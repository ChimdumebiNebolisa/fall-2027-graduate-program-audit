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4e83b1442740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 RANKING" sheetId="1" r:id="Rcf84ae23e03b4e68"/>
    <x:sheet xmlns:r="http://schemas.openxmlformats.org/officeDocument/2006/relationships" name="FUNDING AND ADMISSIONS EVIDENCE" sheetId="2" r:id="R1b00bd76bfd04807"/>
    <x:sheet xmlns:r="http://schemas.openxmlformats.org/officeDocument/2006/relationships" name="EXCLUSIONS" sheetId="3" r:id="R778dc4f822b84216"/>
    <x:sheet xmlns:r="http://schemas.openxmlformats.org/officeDocument/2006/relationships" name="OPEN QUESTIONS" sheetId="4" r:id="Rbe38fc8575ec4a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17365D"/>
      <x:name val="Arial"/>
    </x:font>
    <x:font>
      <x:i/>
      <x:sz val="9"/>
      <x:color rgb="FF595959"/>
      <x:name val="Arial"/>
    </x:font>
    <x:font>
      <x:b/>
      <x:sz val="10"/>
      <x:color rgb="FFFFFFFF"/>
      <x:name val="Arial"/>
    </x:font>
    <x:font>
      <x:sz val="9"/>
      <x:color rgb="FF222222"/>
      <x:name val="Arial"/>
    </x:font>
    <x:font>
      <x:sz val="9"/>
      <x:color rgb="FF0563C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8">
    <x:border/>
    <x:border>
      <x:bottom style="thin">
        <x:color rgb="FF8EA9C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70eb234bdf4c26" /><Relationship Type="http://schemas.openxmlformats.org/officeDocument/2006/relationships/theme" Target="/xl/theme/theme1.xml" Id="Rd6b1f3e12be14691" /><Relationship Type="http://schemas.openxmlformats.org/officeDocument/2006/relationships/sharedStrings" Target="/xl/sharedStrings.xml" Id="R1b158ee427c44e43" /><Relationship Type="http://schemas.openxmlformats.org/officeDocument/2006/relationships/worksheet" Target="/xl/worksheets/sheet1.xml" Id="Rcf84ae23e03b4e68" /><Relationship Type="http://schemas.openxmlformats.org/officeDocument/2006/relationships/worksheet" Target="/xl/worksheets/sheet2.xml" Id="R1b00bd76bfd04807" /><Relationship Type="http://schemas.openxmlformats.org/officeDocument/2006/relationships/worksheet" Target="/xl/worksheets/sheet3.xml" Id="R778dc4f822b84216" /><Relationship Type="http://schemas.openxmlformats.org/officeDocument/2006/relationships/worksheet" Target="/xl/worksheets/sheet4.xml" Id="Rbe38fc8575ec4a68" /></Relationships>
</file>

<file path=xl/tables/table1.xml><?xml version="1.0" encoding="utf-8"?>
<x:table xmlns:x="http://schemas.openxmlformats.org/spreadsheetml/2006/main" id="1" name="P21FINALRANKING" displayName="P21FINALRANKING" ref="A4:AA19" headerRowCount="1" totalsRowCount="0" totalsRowShown="0">
  <x:tableColumns count="27">
    <x:tableColumn id="1" name="Overall Rank"/>
    <x:tableColumn id="2" name="University"/>
    <x:tableColumn id="3" name="Country"/>
    <x:tableColumn id="4" name="Exact Program"/>
    <x:tableColumn id="5" name="Degree Type"/>
    <x:tableColumn id="6" name="Recommendation Tier"/>
    <x:tableColumn id="7" name="Funding Classification"/>
    <x:tableColumn id="8" name="Funding Summary"/>
    <x:tableColumn id="9" name="International Funding Eligible"/>
    <x:tableColumn id="10" name="Academic Eligibility Verified"/>
    <x:tableColumn id="11" name="Relative Admission Position"/>
    <x:tableColumn id="12" name="Admission Rationale"/>
    <x:tableColumn id="13" name="Program Research Fit"/>
    <x:tableColumn id="14" name="Fit Evidence"/>
    <x:tableColumn id="15" name="Example Faculty or Lab"/>
    <x:tableColumn id="16" name="Application Fee"/>
    <x:tableColumn id="17" name="Fee Waiver"/>
    <x:tableColumn id="18" name="Fall 2027 Deadline"/>
    <x:tableColumn id="19" name="Deadline Cycle"/>
    <x:tableColumn id="20" name="Biggest Positive"/>
    <x:tableColumn id="21" name="Biggest Risk"/>
    <x:tableColumn id="22" name="Unresolved Question"/>
    <x:tableColumn id="23" name="Recommended Decision"/>
    <x:tableColumn id="24" name="Official Program URL"/>
    <x:tableColumn id="25" name="Official Funding URL"/>
    <x:tableColumn id="26" name="Admissions Evidence URL"/>
    <x:tableColumn id="2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21FUNDINGANDADMISSIONS" displayName="P21FUNDINGANDADMISSIONS" ref="A4:R27" headerRowCount="1" totalsRowCount="0" totalsRowShown="0">
  <x:tableColumns count="18">
    <x:tableColumn id="1" name="University"/>
    <x:tableColumn id="2" name="Program"/>
    <x:tableColumn id="3" name="Decision Category"/>
    <x:tableColumn id="4" name="Research Degree Claim"/>
    <x:tableColumn id="5" name="Funding Claim"/>
    <x:tableColumn id="6" name="Academic Eligibility Claim"/>
    <x:tableColumn id="7" name="International Eligibility Claim"/>
    <x:tableColumn id="8" name="Program Fit Claim"/>
    <x:tableColumn id="9" name="Source URL"/>
    <x:tableColumn id="10" name="Source Type"/>
    <x:tableColumn id="11" name="Information Cycle"/>
    <x:tableColumn id="12" name="Access Date"/>
    <x:tableColumn id="13" name="Verification Status"/>
    <x:tableColumn id="14" name="Uncertainty"/>
    <x:tableColumn id="15" name="Official Program URL"/>
    <x:tableColumn id="16" name="Official Funding URL"/>
    <x:tableColumn id="17" name="Admissions URL"/>
    <x:tableColumn id="18" name="Fit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21EXCLUSIONS" displayName="P21EXCLUSIONS" ref="A4:K172" headerRowCount="1" totalsRowCount="0" totalsRowShown="0">
  <x:tableColumns count="11">
    <x:tableColumn id="1" name="University"/>
    <x:tableColumn id="2" name="Program"/>
    <x:tableColumn id="3" name="Previous Status"/>
    <x:tableColumn id="4" name="Revised Status"/>
    <x:tableColumn id="5" name="Primary Exclusion Reason"/>
    <x:tableColumn id="6" name="Funding Problem"/>
    <x:tableColumn id="7" name="Eligibility Problem"/>
    <x:tableColumn id="8" name="Fit Problem"/>
    <x:tableColumn id="9" name="Application Economics Problem"/>
    <x:tableColumn id="10" name="Evidence URL"/>
    <x:tableColumn id="11" name="Reconsideration Condi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21OPENQUESTIONS" displayName="P21OPENQUESTIONS" ref="A4:I12" headerRowCount="1" totalsRowCount="0" totalsRowShown="0">
  <x:tableColumns count="9">
    <x:tableColumn id="1" name="Priority"/>
    <x:tableColumn id="2" name="University"/>
    <x:tableColumn id="3" name="Program"/>
    <x:tableColumn id="4" name="Question"/>
    <x:tableColumn id="5" name="Correct Recipient Type"/>
    <x:tableColumn id="6" name="Official Contact"/>
    <x:tableColumn id="7" name="Why the Answer Matters"/>
    <x:tableColumn id="8" name="Current Decision Without Reply"/>
    <x:tableColumn id="9" name="Eviden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a957ac94e54c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1a6ce2aa8443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d917686e24a43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46a901fda5f46bb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24" hidden="0" customWidth="1"/>
    <x:col min="3" max="3" width="14" hidden="0" customWidth="1"/>
    <x:col min="4" max="4" width="24" hidden="0" customWidth="1"/>
    <x:col min="5" max="5" width="14" hidden="0" customWidth="1"/>
    <x:col min="6" max="6" width="20" hidden="0" customWidth="1"/>
    <x:col min="7" max="7" width="20" hidden="0" customWidth="1"/>
    <x:col min="8" max="8" width="34" hidden="0" customWidth="1"/>
    <x:col min="9" max="9" width="14" hidden="0" customWidth="1"/>
    <x:col min="10" max="10" width="14" hidden="0" customWidth="1"/>
    <x:col min="11" max="11" width="20" hidden="0" customWidth="1"/>
    <x:col min="12" max="12" width="34" hidden="0" customWidth="1"/>
    <x:col min="13" max="13" width="24" hidden="0" customWidth="1"/>
    <x:col min="14" max="14" width="34" hidden="0" customWidth="1"/>
    <x:col min="15" max="15" width="24" hidden="0" customWidth="1"/>
    <x:col min="16" max="16" width="11" hidden="0" customWidth="1"/>
    <x:col min="17" max="17" width="14" hidden="0" customWidth="1"/>
    <x:col min="18" max="18" width="20" hidden="0" customWidth="1"/>
    <x:col min="19" max="19" width="20" hidden="0" customWidth="1"/>
    <x:col min="20" max="20" width="34" hidden="0" customWidth="1"/>
    <x:col min="21" max="21" width="34" hidden="0" customWidth="1"/>
    <x:col min="22" max="22" width="34" hidden="0" customWidth="1"/>
    <x:col min="23" max="23" width="34" hidden="0" customWidth="1"/>
    <x:col min="24" max="24" width="24" hidden="0" customWidth="1"/>
    <x:col min="25" max="25" width="17" hidden="0" customWidth="1"/>
    <x:col min="26" max="26" width="17" hidden="0" customWidth="1"/>
    <x:col min="27" max="27" width="14" hidden="0" customWidth="1"/>
  </x:cols>
  <x:sheetData>
    <x:row r="2" ht="25" customHeight="1">
      <x:c r="A2" s="3" t="str">
        <x:v>Pass 2.1 Final Ranking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</x:row>
    <x:row r="3" ht="20" customHeight="1">
      <x:c r="A3" s="4" t="str">
        <x:v>Application-ready programs only. Funding certainty is evaluated before admission position, fit, fee, degree structure, and unresolved risk.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</x:row>
    <x:row r="4" ht="42" customHeight="1">
      <x:c r="A4" s="16" t="str">
        <x:v>Overall Rank</x:v>
      </x:c>
      <x:c r="B4" s="17" t="str">
        <x:v>University</x:v>
      </x:c>
      <x:c r="C4" s="17" t="str">
        <x:v>Country</x:v>
      </x:c>
      <x:c r="D4" s="17" t="str">
        <x:v>Exact Program</x:v>
      </x:c>
      <x:c r="E4" s="17" t="str">
        <x:v>Degree Type</x:v>
      </x:c>
      <x:c r="F4" s="17" t="str">
        <x:v>Recommendation Tier</x:v>
      </x:c>
      <x:c r="G4" s="17" t="str">
        <x:v>Funding Classification</x:v>
      </x:c>
      <x:c r="H4" s="17" t="str">
        <x:v>Funding Summary</x:v>
      </x:c>
      <x:c r="I4" s="17" t="str">
        <x:v>International Funding Eligible</x:v>
      </x:c>
      <x:c r="J4" s="17" t="str">
        <x:v>Academic Eligibility Verified</x:v>
      </x:c>
      <x:c r="K4" s="17" t="str">
        <x:v>Relative Admission Position</x:v>
      </x:c>
      <x:c r="L4" s="17" t="str">
        <x:v>Admission Rationale</x:v>
      </x:c>
      <x:c r="M4" s="17" t="str">
        <x:v>Program Research Fit</x:v>
      </x:c>
      <x:c r="N4" s="17" t="str">
        <x:v>Fit Evidence</x:v>
      </x:c>
      <x:c r="O4" s="17" t="str">
        <x:v>Example Faculty or Lab</x:v>
      </x:c>
      <x:c r="P4" s="17" t="str">
        <x:v>Application Fee</x:v>
      </x:c>
      <x:c r="Q4" s="17" t="str">
        <x:v>Fee Waiver</x:v>
      </x:c>
      <x:c r="R4" s="17" t="str">
        <x:v>Fall 2027 Deadline</x:v>
      </x:c>
      <x:c r="S4" s="17" t="str">
        <x:v>Deadline Cycle</x:v>
      </x:c>
      <x:c r="T4" s="17" t="str">
        <x:v>Biggest Positive</x:v>
      </x:c>
      <x:c r="U4" s="17" t="str">
        <x:v>Biggest Risk</x:v>
      </x:c>
      <x:c r="V4" s="17" t="str">
        <x:v>Unresolved Question</x:v>
      </x:c>
      <x:c r="W4" s="17" t="str">
        <x:v>Recommended Decision</x:v>
      </x:c>
      <x:c r="X4" s="17" t="str">
        <x:v>Official Program URL</x:v>
      </x:c>
      <x:c r="Y4" s="17" t="str">
        <x:v>Official Funding URL</x:v>
      </x:c>
      <x:c r="Z4" s="17" t="str">
        <x:v>Admissions Evidence URL</x:v>
      </x:c>
      <x:c r="AA4" s="18" t="str">
        <x:v>Notes</x:v>
      </x:c>
    </x:row>
    <x:row r="5" ht="58" customHeight="1">
      <x:c r="A5" s="26" t="n">
        <x:v>1</x:v>
      </x:c>
      <x:c r="B5" s="26" t="str">
        <x:v>Lehigh University</x:v>
      </x:c>
      <x:c r="C5" s="26" t="str">
        <x:v>United States</x:v>
      </x:c>
      <x:c r="D5" s="26" t="str">
        <x:v>PhD in Computer Science</x:v>
      </x:c>
      <x:c r="E5" s="26" t="str">
        <x:v>PhD</x:v>
      </x:c>
      <x:c r="F5" s="26" t="str">
        <x:v>Strongest Realistic Options</x:v>
      </x:c>
      <x:c r="G5" s="26" t="str">
        <x:v>Guaranteed full funding</x:v>
      </x:c>
      <x:c r="H5" s="26" t="str">
        <x:v>All Rossin College PhD students are fully funded through an assistantship or fellowship that generally includes tuition and a stipend.</x:v>
      </x:c>
      <x:c r="I5" s="26" t="str">
        <x:v>Yes</x:v>
      </x:c>
      <x:c r="J5" s="26" t="str">
        <x:v>Yes</x:v>
      </x:c>
      <x:c r="K5" s="26" t="str">
        <x:v>Strongest Realistic Option</x:v>
      </x:c>
      <x:c r="L5" s="26" t="str">
        <x:v>The 2.75 minimum is cleared; the 3.5 major-GPA preference makes the 3.35 cumulative record imperfect, but the above-3.5 recent record, accepted research paper, and exact trustworthy-AI fit materially strengthen the file.</x:v>
      </x:c>
      <x:c r="M5" s="26" t="str">
        <x:v>Strong</x:v>
      </x:c>
      <x:c r="N5" s="26" t="str">
        <x:v>Strong Evidex overlap through explicit evaluation of safety, privacy, and security in generative AI and LLM systems; the work also supports security-oriented evaluation of AI-assisted infrastructure tooling.</x:v>
      </x:c>
      <x:c r="O5" s="26" t="str">
        <x:v>Lichao Sun — https://engineering.lehigh.edu/faculty/lichao-sun</x:v>
      </x:c>
      <x:c r="P5" s="26" t="n">
        <x:v>50</x:v>
      </x:c>
      <x:c r="Q5" s="26" t="str">
        <x:v>No general waiver confirmed.</x:v>
      </x:c>
      <x:c r="R5" s="26" t="str">
        <x:v>2026-12-15</x:v>
      </x:c>
      <x:c r="S5" s="26" t="str">
        <x:v>Fall 2027 financial-aid deadline</x:v>
      </x:c>
      <x:c r="T5" s="26" t="str">
        <x:v>Full funding, a $50 fee, and direct trustworthy-generative-AI and security alignment.</x:v>
      </x:c>
      <x:c r="U5" s="26" t="str">
        <x:v>The preferred 3.5 major GPA and a small funded cohort keep admission competitive.</x:v>
      </x:c>
      <x:c r="V5" s="26" t="str">
        <x:v>Offer-level summer, insurance, mandatory-fee, and duration terms remain to be checked after admission.</x:v>
      </x:c>
      <x:c r="W5" s="26" t="str">
        <x:v>Apply</x:v>
      </x:c>
      <x:c r="X5" s="29" t="e">
        <x:f>HYPERLINK("https://engineering.lehigh.edu/academics/graduate/phd/phd-computer-science","Open official source")</x:f>
        <x:v>HYPERLINK is not implemented. linkLocation=https://engineering.lehigh.edu/academics/graduate/phd/phd-computer-science, friendlyName=Open official source</x:v>
      </x:c>
      <x:c r="Y5" s="29" t="e">
        <x:f>HYPERLINK("https://engineering.lehigh.edu/academics/graduate/phd/phd-computer-science","Open official source")</x:f>
        <x:v>HYPERLINK is not implemented. linkLocation=https://engineering.lehigh.edu/academics/graduate/phd/phd-computer-science, friendlyName=Open official source</x:v>
      </x:c>
      <x:c r="Z5" s="29" t="e">
        <x:f>HYPERLINK("https://engineering.lehigh.edu/academics/graduate/phd/phd-computer-science","Open official source")</x:f>
        <x:v>HYPERLINK is not implemented. linkLocation=https://engineering.lehigh.edu/academics/graduate/phd/phd-computer-science, friendlyName=Open official source</x:v>
      </x:c>
      <x:c r="AA5" s="26" t="str">
        <x:v>Program-first review; one faculty example supports program-level fit and is not a recruiting claim.</x:v>
      </x:c>
    </x:row>
    <x:row r="6" ht="58" customHeight="1">
      <x:c r="A6" s="27" t="n">
        <x:v>2</x:v>
      </x:c>
      <x:c r="B6" s="27" t="str">
        <x:v>Old Dominion University</x:v>
      </x:c>
      <x:c r="C6" s="27" t="str">
        <x:v>United States</x:v>
      </x:c>
      <x:c r="D6" s="27" t="str">
        <x:v>Computer Science (Ph.D.)</x:v>
      </x:c>
      <x:c r="E6" s="27" t="str">
        <x:v>PhD</x:v>
      </x:c>
      <x:c r="F6" s="27" t="str">
        <x:v>Strongest Realistic Options</x:v>
      </x:c>
      <x:c r="G6" s="27" t="str">
        <x:v>Standard full funding</x:v>
      </x:c>
      <x:c r="H6" s="27" t="str">
        <x:v>Newly admitted PhD students are guaranteed an RA, TA, or combined appointment; the page states a first-year $20,000 stipend and full tuition waiver, with summer RA funding expected.</x:v>
      </x:c>
      <x:c r="I6" s="27" t="str">
        <x:v>Yes</x:v>
      </x:c>
      <x:c r="J6" s="27" t="str">
        <x:v>Yes</x:v>
      </x:c>
      <x:c r="K6" s="27" t="str">
        <x:v>Strongest Realistic Option</x:v>
      </x:c>
      <x:c r="L6" s="27" t="str">
        <x:v>Direct bachelor entry, no separate numeric department floor, a CS degree, and a strong research-to-security match make this one of the least structurally adverse funded options.</x:v>
      </x:c>
      <x:c r="M6" s="27" t="str">
        <x:v>Strong</x:v>
      </x:c>
      <x:c r="N6" s="27" t="str">
        <x:v>Strong TerraProbe overlap through LLM-powered UI exploration, hybrid analysis of application transition graphs, and Internet-scale security measurement; Evidex overlaps through empirical detection evidence, security evaluation, and privacy testing of LLMs.</x:v>
      </x:c>
      <x:c r="O6" s="27" t="str">
        <x:v>Shuai Hao — https://www.odu.edu/directory/shuai-hao</x:v>
      </x:c>
      <x:c r="P6" s="27" t="n">
        <x:v>50</x:v>
      </x:c>
      <x:c r="Q6" s="27" t="str">
        <x:v>No applicable waiver confirmed.</x:v>
      </x:c>
      <x:c r="R6" s="27" t="str">
        <x:v>April 15, 2027</x:v>
      </x:c>
      <x:c r="S6" s="27" t="str">
        <x:v>Recurring international fall deadline; Fall 2027 label not yet explicit</x:v>
      </x:c>
      <x:c r="T6" s="27" t="str">
        <x:v>Guaranteed entering funding and strong software-security and LLM-evaluation overlap.</x:v>
      </x:c>
      <x:c r="U6" s="27" t="str">
        <x:v>The published dollar amount is modest and renewal, fees, insurance, and summer terms are not fully specified.</x:v>
      </x:c>
      <x:c r="V6" s="27" t="str">
        <x:v>Confirm the written renewal, fee, insurance, and summer terms if admitted.</x:v>
      </x:c>
      <x:c r="W6" s="27" t="str">
        <x:v>Apply</x:v>
      </x:c>
      <x:c r="X6" s="30" t="e">
        <x:f>HYPERLINK("https://www.odu.edu/academics/programs/doctoral/computer-science","Open official source")</x:f>
        <x:v>HYPERLINK is not implemented. linkLocation=https://www.odu.edu/academics/programs/doctoral/computer-science, friendlyName=Open official source</x:v>
      </x:c>
      <x:c r="Y6" s="30" t="e">
        <x:f>HYPERLINK("https://www.odu.edu/academics/programs/doctoral/computer-science","Open official source")</x:f>
        <x:v>HYPERLINK is not implemented. linkLocation=https://www.odu.edu/academics/programs/doctoral/computer-science, friendlyName=Open official source</x:v>
      </x:c>
      <x:c r="Z6" s="30" t="e">
        <x:f>HYPERLINK("https://www.odu.edu/computer-science/academics/graduate/phd/admissions","Open official source")</x:f>
        <x:v>HYPERLINK is not implemented. linkLocation=https://www.odu.edu/computer-science/academics/graduate/phd/admissions, friendlyName=Open official source</x:v>
      </x:c>
      <x:c r="AA6" s="27" t="str">
        <x:v>Program-first review; one faculty example supports program-level fit and is not a recruiting claim.</x:v>
      </x:c>
    </x:row>
    <x:row r="7" ht="58" customHeight="1">
      <x:c r="A7" s="27" t="n">
        <x:v>3</x:v>
      </x:c>
      <x:c r="B7" s="27" t="str">
        <x:v>Temple University</x:v>
      </x:c>
      <x:c r="C7" s="27" t="str">
        <x:v>United States</x:v>
      </x:c>
      <x:c r="D7" s="27" t="str">
        <x:v>Computer and Information Science PhD</x:v>
      </x:c>
      <x:c r="E7" s="27" t="str">
        <x:v>PhD</x:v>
      </x:c>
      <x:c r="F7" s="27" t="str">
        <x:v>Strongest Realistic Options</x:v>
      </x:c>
      <x:c r="G7" s="27" t="str">
        <x:v>Standard full funding</x:v>
      </x:c>
      <x:c r="H7" s="27" t="str">
        <x:v>Admitted PhD students receive an RA or TA with tuition and stipend, and the department says it typically admits only when funding is available.</x:v>
      </x:c>
      <x:c r="I7" s="27" t="str">
        <x:v>Yes</x:v>
      </x:c>
      <x:c r="J7" s="27" t="str">
        <x:v>Yes</x:v>
      </x:c>
      <x:c r="K7" s="27" t="str">
        <x:v>Strongest Realistic Option</x:v>
      </x:c>
      <x:c r="L7" s="27" t="str">
        <x:v>The 3.0 graduate floor and 3.25 assistantship benchmark are cleared by a 3.35 cumulative GPA; research experience and direct generative-AI-for-programming fit improve the case beyond minimum eligibility.</x:v>
      </x:c>
      <x:c r="M7" s="27" t="str">
        <x:v>Strong</x:v>
      </x:c>
      <x:c r="N7" s="27" t="str">
        <x:v>Strong Evidex overlap through empirical evaluation of LLM-generated code explanations, logic-error detection, and responsible AI-supported programming; TerraProbe overlaps through tool-building and experiments around LLM-assisted software creation.</x:v>
      </x:c>
      <x:c r="O7" s="27" t="str">
        <x:v>Stephen MacNeil — https://cis.temple.edu/people/faculty/?s=cs</x:v>
      </x:c>
      <x:c r="P7" s="27" t="n">
        <x:v>60</x:v>
      </x:c>
      <x:c r="Q7" s="27" t="str">
        <x:v>Departmental fee waivers are not offered; limited university waivers do not clearly apply.</x:v>
      </x:c>
      <x:c r="R7" s="27" t="str">
        <x:v>January 15, 2027</x:v>
      </x:c>
      <x:c r="S7" s="27" t="str">
        <x:v>Current recurring Fall deadline; 2027 applications open July 15, 2026</x:v>
      </x:c>
      <x:c r="T7" s="27" t="str">
        <x:v>Funded-admit norm, a $60 fee, and unusually direct LLM-for-programming evaluation fit.</x:v>
      </x:c>
      <x:c r="U7" s="27" t="str">
        <x:v>Admission requires acceptance by faculty in an open track and funding duration beyond the initial appointment is not published.</x:v>
      </x:c>
      <x:c r="V7" s="27" t="str">
        <x:v>Confirm multi-year, summer, health, and residual-fee terms in the offer.</x:v>
      </x:c>
      <x:c r="W7" s="27" t="str">
        <x:v>Apply</x:v>
      </x:c>
      <x:c r="X7" s="30" t="e">
        <x:f>HYPERLINK("https://bulletin.temple.edu/graduate/scd/cst/computer-information-science-phd/","Open official source")</x:f>
        <x:v>HYPERLINK is not implemented. linkLocation=https://bulletin.temple.edu/graduate/scd/cst/computer-information-science-phd/, friendlyName=Open official source</x:v>
      </x:c>
      <x:c r="Y7" s="30" t="e">
        <x:f>HYPERLINK("https://cis.temple.edu/academics/graduate/phd_faq/","Open official source")</x:f>
        <x:v>HYPERLINK is not implemented. linkLocation=https://cis.temple.edu/academics/graduate/phd_faq/, friendlyName=Open official source</x:v>
      </x:c>
      <x:c r="Z7" s="30" t="e">
        <x:f>HYPERLINK("https://www.temple.edu/academics/degree-programs/computer-information-science-phd-st-cis-phd/admissions","Open official source")</x:f>
        <x:v>HYPERLINK is not implemented. linkLocation=https://www.temple.edu/academics/degree-programs/computer-information-science-phd-st-cis-phd/admissions, friendlyName=Open official source</x:v>
      </x:c>
      <x:c r="AA7" s="27" t="str">
        <x:v>Program-first review; one faculty example supports program-level fit and is not a recruiting claim.</x:v>
      </x:c>
    </x:row>
    <x:row r="8" ht="58" customHeight="1">
      <x:c r="A8" s="27" t="n">
        <x:v>4</x:v>
      </x:c>
      <x:c r="B8" s="27" t="str">
        <x:v>The University of Texas at San Antonio</x:v>
      </x:c>
      <x:c r="C8" s="27" t="str">
        <x:v>United States</x:v>
      </x:c>
      <x:c r="D8" s="27" t="str">
        <x:v>Ph.D. in Computer Science</x:v>
      </x:c>
      <x:c r="E8" s="27" t="str">
        <x:v>PhD</x:v>
      </x:c>
      <x:c r="F8" s="27" t="str">
        <x:v>Strongest Realistic Options</x:v>
      </x:c>
      <x:c r="G8" s="27" t="str">
        <x:v>Standard full funding</x:v>
      </x:c>
      <x:c r="H8" s="27" t="str">
        <x:v>The program states that full-time admitted Computer Science PhD students receive GTA or GRA support with stipend, tuition and fee coverage, and insurance.</x:v>
      </x:c>
      <x:c r="I8" s="27" t="str">
        <x:v>Yes</x:v>
      </x:c>
      <x:c r="J8" s="27" t="str">
        <x:v>Yes</x:v>
      </x:c>
      <x:c r="K8" s="27" t="str">
        <x:v>Strongest Realistic Option</x:v>
      </x:c>
      <x:c r="L8" s="27" t="str">
        <x:v>The CS bachelor route is explicit, no higher program GPA floor was found, and the accepted paper plus direct software-analysis match support a strong relative position.</x:v>
      </x:c>
      <x:c r="M8" s="27" t="str">
        <x:v>Strong</x:v>
      </x:c>
      <x:c r="N8" s="27" t="str">
        <x:v>Strong TerraProbe overlap through build-failure diagnosis, cross-environment inconsistency detection, program analysis, bug localization, and software-security validation.</x:v>
      </x:c>
      <x:c r="O8" s="27" t="str">
        <x:v>Xiaoyin Wang — https://sciences.utsa.edu/faculty/profiles/wang-xiaoyin.html</x:v>
      </x:c>
      <x:c r="P8" s="27" t="n">
        <x:v>90</x:v>
      </x:c>
      <x:c r="Q8" s="27" t="str">
        <x:v>No graduate fee waiver; only McNair waivers are recognized.</x:v>
      </x:c>
      <x:c r="R8" s="27" t="str">
        <x:v>2027-02-01</x:v>
      </x:c>
      <x:c r="S8" s="27" t="str">
        <x:v>Fall 2027</x:v>
      </x:c>
      <x:c r="T8" s="27" t="str">
        <x:v>Explicit Fall 2027 cycle, funded-admit norm, and excellent software-analysis and bug-diagnosis fit.</x:v>
      </x:c>
      <x:c r="U8" s="27" t="str">
        <x:v>The $90 international fee cannot normally be waived and renewal duration is not explicit.</x:v>
      </x:c>
      <x:c r="V8" s="27" t="str">
        <x:v>Verify renewal duration and summer support in the written offer.</x:v>
      </x:c>
      <x:c r="W8" s="27" t="str">
        <x:v>Apply</x:v>
      </x:c>
      <x:c r="X8" s="30" t="e">
        <x:f>HYPERLINK("https://future.utsa.edu/programs/doctoral/computer-science/","Open official source")</x:f>
        <x:v>HYPERLINK is not implemented. linkLocation=https://future.utsa.edu/programs/doctoral/computer-science/, friendlyName=Open official source</x:v>
      </x:c>
      <x:c r="Y8" s="30" t="e">
        <x:f>HYPERLINK("https://future.utsa.edu/programs/doctoral/computer-science/","Open official source")</x:f>
        <x:v>HYPERLINK is not implemented. linkLocation=https://future.utsa.edu/programs/doctoral/computer-science/, friendlyName=Open official source</x:v>
      </x:c>
      <x:c r="Z8" s="30" t="e">
        <x:f>HYPERLINK("https://future.utsa.edu/graduate/admissions/","Open official source")</x:f>
        <x:v>HYPERLINK is not implemented. linkLocation=https://future.utsa.edu/graduate/admissions/, friendlyName=Open official source</x:v>
      </x:c>
      <x:c r="AA8" s="27" t="str">
        <x:v>Program-first review; one faculty example supports program-level fit and is not a recruiting claim.</x:v>
      </x:c>
    </x:row>
    <x:row r="9" ht="58" customHeight="1">
      <x:c r="A9" s="27" t="n">
        <x:v>5</x:v>
      </x:c>
      <x:c r="B9" s="27" t="str">
        <x:v>Baylor University</x:v>
      </x:c>
      <x:c r="C9" s="27" t="str">
        <x:v>United States</x:v>
      </x:c>
      <x:c r="D9" s="27" t="str">
        <x:v>Doctor of Philosophy in Computer Science</x:v>
      </x:c>
      <x:c r="E9" s="27" t="str">
        <x:v>PhD</x:v>
      </x:c>
      <x:c r="F9" s="27" t="str">
        <x:v>Strongest Realistic Options</x:v>
      </x:c>
      <x:c r="G9" s="27" t="str">
        <x:v>Standard full funding</x:v>
      </x:c>
      <x:c r="H9" s="27" t="str">
        <x:v>Current official material says nearly all incoming PhD students receive full tuition remission, health coverage, and a multi-year research or teaching assistantship.</x:v>
      </x:c>
      <x:c r="I9" s="27" t="str">
        <x:v>Yes</x:v>
      </x:c>
      <x:c r="J9" s="27" t="str">
        <x:v>Yes</x:v>
      </x:c>
      <x:c r="K9" s="27" t="str">
        <x:v>Strongest Realistic Option</x:v>
      </x:c>
      <x:c r="L9" s="27" t="str">
        <x:v>The program is research-focused, the file has an accepted paper and improving grades, and the software-testing and secure-analysis fit is specific rather than generic.</x:v>
      </x:c>
      <x:c r="M9" s="27" t="str">
        <x:v>Strong</x:v>
      </x:c>
      <x:c r="N9" s="27" t="str">
        <x:v>Strong TerraProbe and Evidex overlap through fuzzing, compiler and binary analysis, protocol testing, and evidence-driven assessment of software correctness and robustness.</x:v>
      </x:c>
      <x:c r="O9" s="27" t="str">
        <x:v>Mengfei Ren — https://www.ecs.baylor.edu/person/mengfei-ren-phd</x:v>
      </x:c>
      <x:c r="P9" s="27" t="n">
        <x:v>50</x:v>
      </x:c>
      <x:c r="Q9" s="27" t="str">
        <x:v>The $50 application fee cannot be waived.</x:v>
      </x:c>
      <x:c r="R9" s="27" t="str">
        <x:v>February 15, 2027</x:v>
      </x:c>
      <x:c r="S9" s="27" t="str">
        <x:v>Recurring Fall financial-aid deadline; cycle year not separately labeled</x:v>
      </x:c>
      <x:c r="T9" s="27" t="str">
        <x:v>Low $50 fee, multi-year package norm, and evidence-driven software-testing alignment.</x:v>
      </x:c>
      <x:c r="U9" s="27" t="str">
        <x:v>The package is described as nearly universal rather than guaranteed to every admit.</x:v>
      </x:c>
      <x:c r="V9" s="27" t="str">
        <x:v>Confirm the exact duration, summer, and mandatory-fee terms in any offer.</x:v>
      </x:c>
      <x:c r="W9" s="27" t="str">
        <x:v>Apply</x:v>
      </x:c>
      <x:c r="X9" s="30" t="e">
        <x:f>HYPERLINK("https://www.ecs.baylor.edu/students-academics/degree-programs/graduate/phd-cs","Open official source")</x:f>
        <x:v>HYPERLINK is not implemented. linkLocation=https://www.ecs.baylor.edu/students-academics/degree-programs/graduate/phd-cs, friendlyName=Open official source</x:v>
      </x:c>
      <x:c r="Y9" s="30" t="e">
        <x:f>HYPERLINK("https://www.ecs.baylor.edu/students-academics/degree-programs/graduate/phd-cs","Open official source")</x:f>
        <x:v>HYPERLINK is not implemented. linkLocation=https://www.ecs.baylor.edu/students-academics/degree-programs/graduate/phd-cs, friendlyName=Open official source</x:v>
      </x:c>
      <x:c r="Z9" s="30" t="e">
        <x:f>HYPERLINK("https://www.ecs.baylor.edu/departments/computer-science/graduate-application-requirements","Open official source")</x:f>
        <x:v>HYPERLINK is not implemented. linkLocation=https://www.ecs.baylor.edu/departments/computer-science/graduate-application-requirements, friendlyName=Open official source</x:v>
      </x:c>
      <x:c r="AA9" s="27" t="str">
        <x:v>Program-first review; one faculty example supports program-level fit and is not a recruiting claim.</x:v>
      </x:c>
    </x:row>
    <x:row r="10" ht="58" customHeight="1">
      <x:c r="A10" s="27" t="n">
        <x:v>6</x:v>
      </x:c>
      <x:c r="B10" s="27" t="str">
        <x:v>New Jersey Institute of Technology</x:v>
      </x:c>
      <x:c r="C10" s="27" t="str">
        <x:v>United States</x:v>
      </x:c>
      <x:c r="D10" s="27" t="str">
        <x:v>Ph.D. Computer Science</x:v>
      </x:c>
      <x:c r="E10" s="27" t="str">
        <x:v>PhD</x:v>
      </x:c>
      <x:c r="F10" s="27" t="str">
        <x:v>Competitive Options</x:v>
      </x:c>
      <x:c r="G10" s="27" t="str">
        <x:v>Highly credible standard funding</x:v>
      </x:c>
      <x:c r="H10" s="27" t="str">
        <x:v>Nearly all enrolled Computer Science PhD students are fully supported as RAs or TAs, but the department explicitly says support is competitive and not every admitted student receives it.</x:v>
      </x:c>
      <x:c r="I10" s="27" t="str">
        <x:v>Yes</x:v>
      </x:c>
      <x:c r="J10" s="27" t="str">
        <x:v>Yes</x:v>
      </x:c>
      <x:c r="K10" s="27" t="str">
        <x:v>Competitive</x:v>
      </x:c>
      <x:c r="L10" s="27" t="str">
        <x:v>Mitch clears formal bachelor-entry eligibility and has an exceptionally close verification and program-analysis fit, but the department expects a superior CS background and funding competition raises the bar.</x:v>
      </x:c>
      <x:c r="M10" s="27" t="str">
        <x:v>Exceptional</x:v>
      </x:c>
      <x:c r="N10" s="27" t="str">
        <x:v>Exceptionally strong TerraProbe overlap through practical program verification, static analysis, specification inference, testing, and repair of software-resource bugs; Evidex overlaps through checkable evidence for correctness and security claims.</x:v>
      </x:c>
      <x:c r="O10" s="27" t="str">
        <x:v>Martin Kellogg — https://people.njit.edu/profile/mjk76</x:v>
      </x:c>
      <x:c r="P10" s="27" t="n">
        <x:v>75</x:v>
      </x:c>
      <x:c r="Q10" s="27" t="str">
        <x:v>A financial-hardship request may be sent to the CS PhD program; approval is not confirmed.</x:v>
      </x:c>
      <x:c r="R10" s="27" t="str">
        <x:v>December 15, 2026</x:v>
      </x:c>
      <x:c r="S10" s="27" t="str">
        <x:v>Recurring Fall funding-consideration deadline</x:v>
      </x:c>
      <x:c r="T10" s="27" t="str">
        <x:v>One of the closest program-analysis and software-verification matches in the corpus.</x:v>
      </x:c>
      <x:c r="U10" s="27" t="str">
        <x:v>Funding is highly credible but not universal; an admission without full support would be unacceptable.</x:v>
      </x:c>
      <x:c r="V10" s="27" t="str">
        <x:v>Apply only on the understanding that an unfunded offer will be declined.</x:v>
      </x:c>
      <x:c r="W10" s="27" t="str">
        <x:v>Apply; accept only with full written funding</x:v>
      </x:c>
      <x:c r="X10" s="30" t="e">
        <x:f>HYPERLINK("https://www.njit.edu/academics/degree/phd-computer-science","Open official source")</x:f>
        <x:v>HYPERLINK is not implemented. linkLocation=https://www.njit.edu/academics/degree/phd-computer-science, friendlyName=Open official source</x:v>
      </x:c>
      <x:c r="Y10" s="30" t="e">
        <x:f>HYPERLINK("https://cs.njit.edu/admission-requirements-and-financial-support-phd-computer-science-program","Open official source")</x:f>
        <x:v>HYPERLINK is not implemented. linkLocation=https://cs.njit.edu/admission-requirements-and-financial-support-phd-computer-science-program, friendlyName=Open official source</x:v>
      </x:c>
      <x:c r="Z10" s="30" t="e">
        <x:f>HYPERLINK("https://www.njit.edu/academics/degree/phd-computer-science","Open official source")</x:f>
        <x:v>HYPERLINK is not implemented. linkLocation=https://www.njit.edu/academics/degree/phd-computer-science, friendlyName=Open official source</x:v>
      </x:c>
      <x:c r="AA10" s="27" t="str">
        <x:v>Program-first review; one faculty example supports program-level fit and is not a recruiting claim.</x:v>
      </x:c>
    </x:row>
    <x:row r="11" ht="58" customHeight="1">
      <x:c r="A11" s="27" t="n">
        <x:v>7</x:v>
      </x:c>
      <x:c r="B11" s="27" t="str">
        <x:v>Virginia Polytechnic Institute and State University</x:v>
      </x:c>
      <x:c r="C11" s="27" t="str">
        <x:v>United States</x:v>
      </x:c>
      <x:c r="D11" s="27" t="str">
        <x:v>Computer Science PhD</x:v>
      </x:c>
      <x:c r="E11" s="27" t="str">
        <x:v>PhD</x:v>
      </x:c>
      <x:c r="F11" s="27" t="str">
        <x:v>Competitive Options</x:v>
      </x:c>
      <x:c r="G11" s="27" t="str">
        <x:v>Guaranteed full funding</x:v>
      </x:c>
      <x:c r="H11" s="27" t="str">
        <x:v>Beginning with Fall 2026, every admitted PhD student receives a five-year offer covering fall and spring; summers are excluded and some fees remain the student's responsibility.</x:v>
      </x:c>
      <x:c r="I11" s="27" t="str">
        <x:v>Yes</x:v>
      </x:c>
      <x:c r="J11" s="27" t="str">
        <x:v>Yes</x:v>
      </x:c>
      <x:c r="K11" s="27" t="str">
        <x:v>Competitive</x:v>
      </x:c>
      <x:c r="L11" s="27" t="str">
        <x:v>Mitch clears the 3.0 minimum and has near-direct AI-for-build-repair research fit, but the program attracts a strong national pool and funded cohort space is limited.</x:v>
      </x:c>
      <x:c r="M11" s="27" t="str">
        <x:v>Exceptional</x:v>
      </x:c>
      <x:c r="N11" s="27" t="str">
        <x:v>Near-direct fit to build/configuration repair, LLM-assisted maintenance, and rigorous evaluation.</x:v>
      </x:c>
      <x:c r="O11" s="27" t="str">
        <x:v>Na Meng — https://website.cs.vt.edu/people/faculty/na-ming.html</x:v>
      </x:c>
      <x:c r="P11" s="27" t="n">
        <x:v>75</x:v>
      </x:c>
      <x:c r="Q11" s="27" t="str">
        <x:v>No applicable international waiver confirmed.</x:v>
      </x:c>
      <x:c r="R11" s="27" t="str">
        <x:v>2026-12-01</x:v>
      </x:c>
      <x:c r="S11" s="27" t="str">
        <x:v>Fall 2027</x:v>
      </x:c>
      <x:c r="T11" s="27" t="str">
        <x:v>Five-year funding commitment and near-direct LLM-assisted build-conflict research alignment.</x:v>
      </x:c>
      <x:c r="U11" s="27" t="str">
        <x:v>Summers are excluded from the guarantee and some fees remain.</x:v>
      </x:c>
      <x:c r="V11" s="27" t="str">
        <x:v>Plan for summer RA, internship, or savings rather than assuming summer coverage.</x:v>
      </x:c>
      <x:c r="W11" s="27" t="str">
        <x:v>Apply</x:v>
      </x:c>
      <x:c r="X11" s="30" t="e">
        <x:f>HYPERLINK("https://website.cs.vt.edu/academic/graduate/future-grads/doctorate.html","Open official source")</x:f>
        <x:v>HYPERLINK is not implemented. linkLocation=https://website.cs.vt.edu/academic/graduate/future-grads/doctorate.html, friendlyName=Open official source</x:v>
      </x:c>
      <x:c r="Y11" s="30" t="e">
        <x:f>HYPERLINK("https://students.cs.vt.edu/Graduate/Funding.html","Open official source")</x:f>
        <x:v>HYPERLINK is not implemented. linkLocation=https://students.cs.vt.edu/Graduate/Funding.html, friendlyName=Open official source</x:v>
      </x:c>
      <x:c r="Z11" s="30" t="e">
        <x:f>HYPERLINK("https://website.cs.vt.edu/academic/graduate/future-grads/doctorate.html","Open official source")</x:f>
        <x:v>HYPERLINK is not implemented. linkLocation=https://website.cs.vt.edu/academic/graduate/future-grads/doctorate.html, friendlyName=Open official source</x:v>
      </x:c>
      <x:c r="AA11" s="27" t="str">
        <x:v>Program-first review; one faculty example supports program-level fit and is not a recruiting claim.</x:v>
      </x:c>
    </x:row>
    <x:row r="12" ht="58" customHeight="1">
      <x:c r="A12" s="27" t="n">
        <x:v>8</x:v>
      </x:c>
      <x:c r="B12" s="27" t="str">
        <x:v>University of Rochester</x:v>
      </x:c>
      <x:c r="C12" s="27" t="str">
        <x:v>United States</x:v>
      </x:c>
      <x:c r="D12" s="27" t="str">
        <x:v>PhD Program in Computer Science</x:v>
      </x:c>
      <x:c r="E12" s="27" t="str">
        <x:v>PhD</x:v>
      </x:c>
      <x:c r="F12" s="27" t="str">
        <x:v>Competitive Options</x:v>
      </x:c>
      <x:c r="G12" s="27" t="str">
        <x:v>Standard full funding</x:v>
      </x:c>
      <x:c r="H12" s="27" t="str">
        <x:v>PhD students in good academic standing receive tuition, health insurance, and a stipend; the typical completion time is four to six years.</x:v>
      </x:c>
      <x:c r="I12" s="27" t="str">
        <x:v>Yes</x:v>
      </x:c>
      <x:c r="J12" s="27" t="str">
        <x:v>Yes</x:v>
      </x:c>
      <x:c r="K12" s="27" t="str">
        <x:v>Competitive</x:v>
      </x:c>
      <x:c r="L12" s="27" t="str">
        <x:v>Bachelor entry is explicit and the systems-security and program-transformation fit is strong, but the department calls admission selective and competitive and gives no GPA-based reason to treat it as safe.</x:v>
      </x:c>
      <x:c r="M12" s="27" t="str">
        <x:v>Strong</x:v>
      </x:c>
      <x:c r="N12" s="27" t="str">
        <x:v>Strong TerraProbe and Evidex overlap through compiler-enforced security, program transformation, memory-safety validation, and evidence-backed analysis of low-level software behavior.</x:v>
      </x:c>
      <x:c r="O12" s="27" t="str">
        <x:v>John Criswell — https://cs.rochester.edu/people/faculty/criswell_john/index.html</x:v>
      </x:c>
      <x:c r="P12" s="27" t="n">
        <x:v>70</x:v>
      </x:c>
      <x:c r="Q12" s="27" t="str">
        <x:v>A limited number of partial waivers exist; none is confirmed.</x:v>
      </x:c>
      <x:c r="R12" s="27" t="str">
        <x:v>2027-01-05</x:v>
      </x:c>
      <x:c r="S12" s="27" t="str">
        <x:v>Fall 2027 PhD deadline</x:v>
      </x:c>
      <x:c r="T12" s="27" t="str">
        <x:v>Full support, a $70 fee, and strong secure-software and compiler-transformation overlap.</x:v>
      </x:c>
      <x:c r="U12" s="27" t="str">
        <x:v>No maximum funding duration or current stipend is published.</x:v>
      </x:c>
      <x:c r="V12" s="27" t="str">
        <x:v>Confirm maximum duration and summer treatment in the offer.</x:v>
      </x:c>
      <x:c r="W12" s="27" t="str">
        <x:v>Apply</x:v>
      </x:c>
      <x:c r="X12" s="30" t="e">
        <x:f>HYPERLINK("https://www.cs.rochester.edu/graduate/phd-program.html","Open official source")</x:f>
        <x:v>HYPERLINK is not implemented. linkLocation=https://www.cs.rochester.edu/graduate/phd-program.html, friendlyName=Open official source</x:v>
      </x:c>
      <x:c r="Y12" s="30" t="e">
        <x:f>HYPERLINK("https://www.cs.rochester.edu/graduate/phd-program.html","Open official source")</x:f>
        <x:v>HYPERLINK is not implemented. linkLocation=https://www.cs.rochester.edu/graduate/phd-program.html, friendlyName=Open official source</x:v>
      </x:c>
      <x:c r="Z12" s="30" t="e">
        <x:f>HYPERLINK("https://www.cs.rochester.edu/graduate/how-to-apply.html","Open official source")</x:f>
        <x:v>HYPERLINK is not implemented. linkLocation=https://www.cs.rochester.edu/graduate/how-to-apply.html, friendlyName=Open official source</x:v>
      </x:c>
      <x:c r="AA12" s="27" t="str">
        <x:v>Program-first review; one faculty example supports program-level fit and is not a recruiting claim.</x:v>
      </x:c>
    </x:row>
    <x:row r="13" ht="58" customHeight="1">
      <x:c r="A13" s="27" t="n">
        <x:v>9</x:v>
      </x:c>
      <x:c r="B13" s="27" t="str">
        <x:v>Drexel University</x:v>
      </x:c>
      <x:c r="C13" s="27" t="str">
        <x:v>United States</x:v>
      </x:c>
      <x:c r="D13" s="27" t="str">
        <x:v>PhD in Computer Science</x:v>
      </x:c>
      <x:c r="E13" s="27" t="str">
        <x:v>PhD</x:v>
      </x:c>
      <x:c r="F13" s="27" t="str">
        <x:v>Competitive Options</x:v>
      </x:c>
      <x:c r="G13" s="27" t="str">
        <x:v>Standard full funding</x:v>
      </x:c>
      <x:c r="H13" s="27" t="str">
        <x:v>The doctoral admissions page states that all Computer Science and Information Science PhD students are fully supported with an RA, TA, or combined assistantship carrying tuition remission and a stipend.</x:v>
      </x:c>
      <x:c r="I13" s="27" t="str">
        <x:v>Yes</x:v>
      </x:c>
      <x:c r="J13" s="27" t="str">
        <x:v>Yes</x:v>
      </x:c>
      <x:c r="K13" s="27" t="str">
        <x:v>Competitive</x:v>
      </x:c>
      <x:c r="L13" s="27" t="str">
        <x:v>Formal eligibility is clear and the LLM-assisted software architecture fit is direct; absent cohort evidence, a strong research record supports competitiveness but not a realistic-label upgrade.</x:v>
      </x:c>
      <x:c r="M13" s="27" t="str">
        <x:v>Strong</x:v>
      </x:c>
      <x:c r="N13" s="27" t="str">
        <x:v>Strong TerraProbe overlap through formal analysis of software architecture, architectural degradation, and current work on improving LLM-assisted code generation with architectural documents and implementation plans.</x:v>
      </x:c>
      <x:c r="O13" s="27" t="str">
        <x:v>Yuanfang Cai — https://drexel.edu/cci/about/directory/C/Cai-Yuanfang/</x:v>
      </x:c>
      <x:c r="P13" s="27" t="n">
        <x:v>65</x:v>
      </x:c>
      <x:c r="Q13" s="27" t="str">
        <x:v>No applicable graduate waiver confirmed.</x:v>
      </x:c>
      <x:c r="R13" s="27" t="str">
        <x:v>December 15, 2026 priority; February 15, 2027 final</x:v>
      </x:c>
      <x:c r="S13" s="27" t="str">
        <x:v>Latest published doctoral cycle; Fall 2027 label not explicit</x:v>
      </x:c>
      <x:c r="T13" s="27" t="str">
        <x:v>All-student support language and current LLM-assisted software-engineering work.</x:v>
      </x:c>
      <x:c r="U13" s="27" t="str">
        <x:v>Duration, insurance, fee coverage, and summer terms are not stated.</x:v>
      </x:c>
      <x:c r="V13" s="27" t="str">
        <x:v>Confirm package duration and residual costs in the offer.</x:v>
      </x:c>
      <x:c r="W13" s="27" t="str">
        <x:v>Apply</x:v>
      </x:c>
      <x:c r="X13" s="30" t="e">
        <x:f>HYPERLINK("https://drexel.edu/cci/academics/doctoral-programs/phd-computer-science/","Open official source")</x:f>
        <x:v>HYPERLINK is not implemented. linkLocation=https://drexel.edu/cci/academics/doctoral-programs/phd-computer-science/, friendlyName=Open official source</x:v>
      </x:c>
      <x:c r="Y13" s="30" t="e">
        <x:f>HYPERLINK("https://drexel.edu/cci/admissions/doctoral/","Open official source")</x:f>
        <x:v>HYPERLINK is not implemented. linkLocation=https://drexel.edu/cci/admissions/doctoral/, friendlyName=Open official source</x:v>
      </x:c>
      <x:c r="Z13" s="30" t="e">
        <x:f>HYPERLINK("https://drexel.edu/cci/admissions/doctoral/","Open official source")</x:f>
        <x:v>HYPERLINK is not implemented. linkLocation=https://drexel.edu/cci/admissions/doctoral/, friendlyName=Open official source</x:v>
      </x:c>
      <x:c r="AA13" s="27" t="str">
        <x:v>Program-first review; one faculty example supports program-level fit and is not a recruiting claim.</x:v>
      </x:c>
    </x:row>
    <x:row r="14" ht="58" customHeight="1">
      <x:c r="A14" s="27" t="n">
        <x:v>10</x:v>
      </x:c>
      <x:c r="B14" s="27" t="str">
        <x:v>University of Arizona</x:v>
      </x:c>
      <x:c r="C14" s="27" t="str">
        <x:v>United States</x:v>
      </x:c>
      <x:c r="D14" s="27" t="str">
        <x:v>Computer Science PhD</x:v>
      </x:c>
      <x:c r="E14" s="27" t="str">
        <x:v>PhD</x:v>
      </x:c>
      <x:c r="F14" s="27" t="str">
        <x:v>Competitive Options</x:v>
      </x:c>
      <x:c r="G14" s="27" t="str">
        <x:v>Standard full funding</x:v>
      </x:c>
      <x:c r="H14" s="27" t="str">
        <x:v>The current prospective-student page says doctoral students making satisfactory progress receive multi-year assistantship funding with tuition waivers and health insurance; another department page describes only the first year as guaranteed.</x:v>
      </x:c>
      <x:c r="I14" s="27" t="str">
        <x:v>Yes</x:v>
      </x:c>
      <x:c r="J14" s="27" t="str">
        <x:v>Yes</x:v>
      </x:c>
      <x:c r="K14" s="27" t="str">
        <x:v>Competitive</x:v>
      </x:c>
      <x:c r="L14" s="27" t="str">
        <x:v>Mitch clears the 3.0 minimum and has specific verification and program-analysis alignment, but the internal funding-language inconsistency and national applicant pool argue against calling it a strongest realistic option.</x:v>
      </x:c>
      <x:c r="M14" s="27" t="str">
        <x:v>Strong</x:v>
      </x:c>
      <x:c r="N14" s="27" t="str">
        <x:v>Strong overlap with Evidex's evidence discipline and TerraProbe's repair validation through abstract interpretation, program analysis, verification, and reasoning about transformation correctness.</x:v>
      </x:c>
      <x:c r="O14" s="27" t="str">
        <x:v>Roberto Giacobazzi — https://www2.cs.arizona.edu/people/giacobazzi/</x:v>
      </x:c>
      <x:c r="P14" s="27" t="n">
        <x:v>90</x:v>
      </x:c>
      <x:c r="Q14" s="27" t="str">
        <x:v>No applicable waiver confirmed.</x:v>
      </x:c>
      <x:c r="R14" s="27" t="str">
        <x:v>January 15, 2027</x:v>
      </x:c>
      <x:c r="S14" s="27" t="str">
        <x:v>Recurring Fall deadline; cycle year not separately labeled</x:v>
      </x:c>
      <x:c r="T14" s="27" t="str">
        <x:v>Strong formal-analysis fit and current program-wide multi-year funding language.</x:v>
      </x:c>
      <x:c r="U14" s="27" t="str">
        <x:v>Official pages conflict on whether support beyond year one is guaranteed.</x:v>
      </x:c>
      <x:c r="V14" s="27" t="str">
        <x:v>Require the written offer to state duration before accepting.</x:v>
      </x:c>
      <x:c r="W14" s="27" t="str">
        <x:v>Apply</x:v>
      </x:c>
      <x:c r="X14" s="30" t="e">
        <x:f>HYPERLINK("https://cs.arizona.edu/graduate/prospective-students","Open official source")</x:f>
        <x:v>HYPERLINK is not implemented. linkLocation=https://cs.arizona.edu/graduate/prospective-students, friendlyName=Open official source</x:v>
      </x:c>
      <x:c r="Y14" s="30" t="e">
        <x:f>HYPERLINK("https://cs.arizona.edu/graduate/prospective-students","Open official source")</x:f>
        <x:v>HYPERLINK is not implemented. linkLocation=https://cs.arizona.edu/graduate/prospective-students, friendlyName=Open official source</x:v>
      </x:c>
      <x:c r="Z14" s="30" t="e">
        <x:f>HYPERLINK("https://cs.arizona.edu/graduate/prospective-students","Open official source")</x:f>
        <x:v>HYPERLINK is not implemented. linkLocation=https://cs.arizona.edu/graduate/prospective-students, friendlyName=Open official source</x:v>
      </x:c>
      <x:c r="AA14" s="27" t="str">
        <x:v>Program-first review; one faculty example supports program-level fit and is not a recruiting claim.</x:v>
      </x:c>
    </x:row>
    <x:row r="15" ht="58" customHeight="1">
      <x:c r="A15" s="27" t="n">
        <x:v>11</x:v>
      </x:c>
      <x:c r="B15" s="27" t="str">
        <x:v>University of Utah</x:v>
      </x:c>
      <x:c r="C15" s="27" t="str">
        <x:v>United States</x:v>
      </x:c>
      <x:c r="D15" s="27" t="str">
        <x:v>Computing PhD</x:v>
      </x:c>
      <x:c r="E15" s="27" t="str">
        <x:v>PhD</x:v>
      </x:c>
      <x:c r="F15" s="27" t="str">
        <x:v>Competitive Options</x:v>
      </x:c>
      <x:c r="G15" s="27" t="str">
        <x:v>Standard full funding</x:v>
      </x:c>
      <x:c r="H15" s="27" t="str">
        <x:v>Computing PhD students receive financial support while in the program and making good progress; current rates include fall and spring pay, possible summer RA support, tuition benefit, and health insurance.</x:v>
      </x:c>
      <x:c r="I15" s="27" t="str">
        <x:v>Yes</x:v>
      </x:c>
      <x:c r="J15" s="27" t="str">
        <x:v>Yes</x:v>
      </x:c>
      <x:c r="K15" s="27" t="str">
        <x:v>Competitive</x:v>
      </x:c>
      <x:c r="L15" s="27" t="str">
        <x:v>The accepted paper and compiler-testing and verification fit are strong, but the program describes rigorous competition for limited positions and does not publish a GPA basis for a stronger label.</x:v>
      </x:c>
      <x:c r="M15" s="27" t="str">
        <x:v>Exceptional</x:v>
      </x:c>
      <x:c r="N15" s="27" t="str">
        <x:v>Strong overlap with TerraProbe's repair validation and minimized failure evidence through compiler testing, synthesis-based optimization, verification, and reduction tools.</x:v>
      </x:c>
      <x:c r="O15" s="27" t="str">
        <x:v>John Regehr — https://users.cs.utah.edu/~regehr/</x:v>
      </x:c>
      <x:c r="P15" s="27" t="n">
        <x:v>65</x:v>
      </x:c>
      <x:c r="Q15" s="27" t="str">
        <x:v>No applicable waiver confirmed.</x:v>
      </x:c>
      <x:c r="R15" s="27" t="str">
        <x:v>December 15, 2026 planning date</x:v>
      </x:c>
      <x:c r="S15" s="27" t="str">
        <x:v>Official page displays an inconsistent year; use the earlier planning date and confirm</x:v>
      </x:c>
      <x:c r="T15" s="27" t="str">
        <x:v>Exceptional compiler-testing and verification alignment with credible in-program support.</x:v>
      </x:c>
      <x:c r="U15" s="27" t="str">
        <x:v>Summer pay is advisor-dependent and differential tuition can remain.</x:v>
      </x:c>
      <x:c r="V15" s="27" t="str">
        <x:v>Confirm the displayed deadline year and offer-specific differential-fee treatment.</x:v>
      </x:c>
      <x:c r="W15" s="27" t="str">
        <x:v>Apply by December 15, 2026 unless the program publishes a different Fall 2027 date</x:v>
      </x:c>
      <x:c r="X15" s="30" t="e">
        <x:f>HYPERLINK("https://www.cs.utah.edu/graduate/academic-programs/ms-and-phd-programs/","Open official source")</x:f>
        <x:v>HYPERLINK is not implemented. linkLocation=https://www.cs.utah.edu/graduate/academic-programs/ms-and-phd-programs/, friendlyName=Open official source</x:v>
      </x:c>
      <x:c r="Y15" s="30" t="e">
        <x:f>HYPERLINK("https://www.cs.utah.edu/graduate/prospective-students/admissions/graduate-financial-support-and-costs/","Open official source")</x:f>
        <x:v>HYPERLINK is not implemented. linkLocation=https://www.cs.utah.edu/graduate/prospective-students/admissions/graduate-financial-support-and-costs/, friendlyName=Open official source</x:v>
      </x:c>
      <x:c r="Z15" s="30" t="e">
        <x:f>HYPERLINK("https://www.cs.utah.edu/graduate/academic-programs/graduate-academic-program-overview/","Open official source")</x:f>
        <x:v>HYPERLINK is not implemented. linkLocation=https://www.cs.utah.edu/graduate/academic-programs/graduate-academic-program-overview/, friendlyName=Open official source</x:v>
      </x:c>
      <x:c r="AA15" s="27" t="str">
        <x:v>Program-first review; one faculty example supports program-level fit and is not a recruiting claim.</x:v>
      </x:c>
    </x:row>
    <x:row r="16" ht="58" customHeight="1">
      <x:c r="A16" s="27" t="n">
        <x:v>12</x:v>
      </x:c>
      <x:c r="B16" s="27" t="str">
        <x:v>North Carolina State University at Raleigh</x:v>
      </x:c>
      <x:c r="C16" s="27" t="str">
        <x:v>United States</x:v>
      </x:c>
      <x:c r="D16" s="27" t="str">
        <x:v>Computer Science PhD</x:v>
      </x:c>
      <x:c r="E16" s="27" t="str">
        <x:v>PhD</x:v>
      </x:c>
      <x:c r="F16" s="27" t="str">
        <x:v>High Reaches</x:v>
      </x:c>
      <x:c r="G16" s="27" t="str">
        <x:v>Guaranteed full funding</x:v>
      </x:c>
      <x:c r="H16" s="27" t="str">
        <x:v>Every fall PhD admit who requests aid receives a four-year package with tuition, individual health insurance, and stipend; student fees and most summers are excluded.</x:v>
      </x:c>
      <x:c r="I16" s="27" t="str">
        <x:v>Yes</x:v>
      </x:c>
      <x:c r="J16" s="27" t="str">
        <x:v>Yes</x:v>
      </x:c>
      <x:c r="K16" s="27" t="str">
        <x:v>High Reach</x:v>
      </x:c>
      <x:c r="L16" s="27" t="str">
        <x:v>Mitch is formally eligible and has a strong AI-for-SE match, but the program's national strength and fully funded cohort make the 3.35 cumulative GPA a meaningful competitive disadvantage.</x:v>
      </x:c>
      <x:c r="M16" s="27" t="str">
        <x:v>Strong</x:v>
      </x:c>
      <x:c r="N16" s="27" t="str">
        <x:v>Strong fit for evaluating how developers use and validate AI-generated repairs.</x:v>
      </x:c>
      <x:c r="O16" s="27" t="str">
        <x:v>Kathryn Stolee — https://csc.ncsu.edu/people/ktstolee/</x:v>
      </x:c>
      <x:c r="P16" s="27" t="n">
        <x:v>95</x:v>
      </x:c>
      <x:c r="Q16" s="27" t="str">
        <x:v>Exceptional waivers may exist; none is confirmed.</x:v>
      </x:c>
      <x:c r="R16" s="27" t="str">
        <x:v>December 15, 2026</x:v>
      </x:c>
      <x:c r="S16" s="27" t="str">
        <x:v>Recurring Fall priority date; Fall 2027 label not explicit</x:v>
      </x:c>
      <x:c r="T16" s="27" t="str">
        <x:v>Explicit universal four-year package and direct developer-AI evaluation fit.</x:v>
      </x:c>
      <x:c r="U16" s="27" t="str">
        <x:v>High reach, $95 fee, four-year limit, student fees, and summer gaps.</x:v>
      </x:c>
      <x:c r="V16" s="27" t="str">
        <x:v>Budget for fees and summers and verify year-five support before acceptance.</x:v>
      </x:c>
      <x:c r="W16" s="27" t="str">
        <x:v>Apply if the high-reach budget permits</x:v>
      </x:c>
      <x:c r="X16" s="30" t="e">
        <x:f>HYPERLINK("https://csc.ncsu.edu/academics/graduate/phd/","Open official source")</x:f>
        <x:v>HYPERLINK is not implemented. linkLocation=https://csc.ncsu.edu/academics/graduate/phd/, friendlyName=Open official source</x:v>
      </x:c>
      <x:c r="Y16" s="30" t="e">
        <x:f>HYPERLINK("https://csc.ncsu.edu/academics/graduate/financial-aid-and-cost/","Open official source")</x:f>
        <x:v>HYPERLINK is not implemented. linkLocation=https://csc.ncsu.edu/academics/graduate/financial-aid-and-cost/, friendlyName=Open official source</x:v>
      </x:c>
      <x:c r="Z16" s="30" t="e">
        <x:f>HYPERLINK("https://csc.ncsu.edu/academics/graduate/phd/","Open official source")</x:f>
        <x:v>HYPERLINK is not implemented. linkLocation=https://csc.ncsu.edu/academics/graduate/phd/, friendlyName=Open official source</x:v>
      </x:c>
      <x:c r="AA16" s="27" t="str">
        <x:v>Program-first review; one faculty example supports program-level fit and is not a recruiting claim.</x:v>
      </x:c>
    </x:row>
    <x:row r="17" ht="58" customHeight="1">
      <x:c r="A17" s="27" t="n">
        <x:v>13</x:v>
      </x:c>
      <x:c r="B17" s="27" t="str">
        <x:v>Vanderbilt University</x:v>
      </x:c>
      <x:c r="C17" s="27" t="str">
        <x:v>United States</x:v>
      </x:c>
      <x:c r="D17" s="27" t="str">
        <x:v>Computer Science PhD</x:v>
      </x:c>
      <x:c r="E17" s="27" t="str">
        <x:v>PhD</x:v>
      </x:c>
      <x:c r="F17" s="27" t="str">
        <x:v>High Reaches</x:v>
      </x:c>
      <x:c r="G17" s="27" t="str">
        <x:v>Standard full funding</x:v>
      </x:c>
      <x:c r="H17" s="27" t="str">
        <x:v>Computer Science PhD students receive a competitive stipend, full tuition waiver, and health insurance through RA or TA appointments.</x:v>
      </x:c>
      <x:c r="I17" s="27" t="str">
        <x:v>Yes</x:v>
      </x:c>
      <x:c r="J17" s="27" t="str">
        <x:v>Yes</x:v>
      </x:c>
      <x:c r="K17" s="27" t="str">
        <x:v>High Reach</x:v>
      </x:c>
      <x:c r="L17" s="27" t="str">
        <x:v>Direct trustworthy-computing fit and an accepted paper justify the attempt, but this is a selective funded cohort and a 3.35 cumulative GPA remains a disadvantage.</x:v>
      </x:c>
      <x:c r="M17" s="27" t="str">
        <x:v>Strong</x:v>
      </x:c>
      <x:c r="N17" s="27" t="str">
        <x:v>Excellent fit for secure, dependable software and evidence-rich evaluation of developer tooling.</x:v>
      </x:c>
      <x:c r="O17" s="27" t="str">
        <x:v>Kevin Leach — https://computing.vanderbilt.edu/bio/kevin-leach/</x:v>
      </x:c>
      <x:c r="P17" s="27" t="n">
        <x:v>95</x:v>
      </x:c>
      <x:c r="Q17" s="27" t="str">
        <x:v>Confirmed automatic Fall 2027 waiver when completed by December 1 for applicants enrolled at a U.S. school.</x:v>
      </x:c>
      <x:c r="R17" s="27" t="str">
        <x:v>2026-12-01</x:v>
      </x:c>
      <x:c r="S17" s="27" t="str">
        <x:v>Fall 2027 waiver deadline; final deadline December 15, 2026</x:v>
      </x:c>
      <x:c r="T17" s="27" t="str">
        <x:v>Strong dependable-software fit and a confirmed $95 waiver for applicants currently enrolled at a U.S. school who complete by December 1.</x:v>
      </x:c>
      <x:c r="U17" s="27" t="str">
        <x:v>High reach and funding duration is not stated on the public page.</x:v>
      </x:c>
      <x:c r="V17" s="27" t="str">
        <x:v>None before applying; review duration and summer terms if admitted.</x:v>
      </x:c>
      <x:c r="W17" s="27" t="str">
        <x:v>Apply by December 1 to secure the fee waiver</x:v>
      </x:c>
      <x:c r="X17" s="30" t="e">
        <x:f>HYPERLINK("https://computing.vanderbilt.edu/csphd/","Open official source")</x:f>
        <x:v>HYPERLINK is not implemented. linkLocation=https://computing.vanderbilt.edu/csphd/, friendlyName=Open official source</x:v>
      </x:c>
      <x:c r="Y17" s="30" t="e">
        <x:f>HYPERLINK("https://computing.vanderbilt.edu/csphd/","Open official source")</x:f>
        <x:v>HYPERLINK is not implemented. linkLocation=https://computing.vanderbilt.edu/csphd/, friendlyName=Open official source</x:v>
      </x:c>
      <x:c r="Z17" s="30" t="e">
        <x:f>HYPERLINK("https://computing.vanderbilt.edu/csphd/","Open official source")</x:f>
        <x:v>HYPERLINK is not implemented. linkLocation=https://computing.vanderbilt.edu/csphd/, friendlyName=Open official source</x:v>
      </x:c>
      <x:c r="AA17" s="27" t="str">
        <x:v>Program-first review; one faculty example supports program-level fit and is not a recruiting claim.</x:v>
      </x:c>
    </x:row>
    <x:row r="18" ht="58" customHeight="1">
      <x:c r="A18" s="27" t="n">
        <x:v>14</x:v>
      </x:c>
      <x:c r="B18" s="27" t="str">
        <x:v>Boston University</x:v>
      </x:c>
      <x:c r="C18" s="27" t="str">
        <x:v>United States</x:v>
      </x:c>
      <x:c r="D18" s="27" t="str">
        <x:v>PhD in Computer Science</x:v>
      </x:c>
      <x:c r="E18" s="27" t="str">
        <x:v>PhD</x:v>
      </x:c>
      <x:c r="F18" s="27" t="str">
        <x:v>High Reaches</x:v>
      </x:c>
      <x:c r="G18" s="27" t="str">
        <x:v>Guaranteed full funding</x:v>
      </x:c>
      <x:c r="H18" s="27" t="str">
        <x:v>Charles River Campus PhD students in good standing are guaranteed five years of 12-month stipend support, full tuition and required fees, and a health-insurance credit; international students are included.</x:v>
      </x:c>
      <x:c r="I18" s="27" t="str">
        <x:v>Yes</x:v>
      </x:c>
      <x:c r="J18" s="27" t="str">
        <x:v>Yes</x:v>
      </x:c>
      <x:c r="K18" s="27" t="str">
        <x:v>High Reach</x:v>
      </x:c>
      <x:c r="L18" s="27" t="str">
        <x:v>The accepted paper and formal-verification fit justify a reach application, but the nationally competitive cohort and 3.35 cumulative GPA do not support a realistic label.</x:v>
      </x:c>
      <x:c r="M18" s="27" t="str">
        <x:v>Strong</x:v>
      </x:c>
      <x:c r="N18" s="27" t="str">
        <x:v>Strong overlap with TerraProbe repair validation and Evidex correctness evidence through refinement and session types, formal verification, program analysis, and dependable distributed software.</x:v>
      </x:c>
      <x:c r="O18" s="27" t="str">
        <x:v>Ankush Das — https://www.bu.edu/cs/profiles/ankush-das/</x:v>
      </x:c>
      <x:c r="P18" s="27" t="n">
        <x:v>95</x:v>
      </x:c>
      <x:c r="Q18" s="27" t="str">
        <x:v>A program waiver route exists, but no waiver is confirmed for this applicant.</x:v>
      </x:c>
      <x:c r="R18" s="27" t="str">
        <x:v>2026-12-01</x:v>
      </x:c>
      <x:c r="S18" s="27" t="str">
        <x:v>Fall 2027</x:v>
      </x:c>
      <x:c r="T18" s="27" t="str">
        <x:v>One of the clearest five-year, international-inclusive packages in the audit.</x:v>
      </x:c>
      <x:c r="U18" s="27" t="str">
        <x:v>High reach, $95 fee, and Boston living costs.</x:v>
      </x:c>
      <x:c r="V18" s="27" t="str">
        <x:v>None before applying; compare the offer stipend with actual Boston living costs.</x:v>
      </x:c>
      <x:c r="W18" s="27" t="str">
        <x:v>Apply if the high-reach budget permits</x:v>
      </x:c>
      <x:c r="X18" s="30" t="e">
        <x:f>HYPERLINK("https://www.bu.edu/cs/phd-program/","Open official source")</x:f>
        <x:v>HYPERLINK is not implemented. linkLocation=https://www.bu.edu/cs/phd-program/, friendlyName=Open official source</x:v>
      </x:c>
      <x:c r="Y18" s="30" t="e">
        <x:f>HYPERLINK("https://www.bu.edu/cas/admissions/phd-mfa/fellowship-aid/aid-for-phd-students/","Open official source")</x:f>
        <x:v>HYPERLINK is not implemented. linkLocation=https://www.bu.edu/cas/admissions/phd-mfa/fellowship-aid/aid-for-phd-students/, friendlyName=Open official source</x:v>
      </x:c>
      <x:c r="Z18" s="30" t="e">
        <x:f>HYPERLINK("https://www.bu.edu/cs/phd-program/admissions/","Open official source")</x:f>
        <x:v>HYPERLINK is not implemented. linkLocation=https://www.bu.edu/cs/phd-program/admissions/, friendlyName=Open official source</x:v>
      </x:c>
      <x:c r="AA18" s="27" t="str">
        <x:v>Program-first review; one faculty example supports program-level fit and is not a recruiting claim.</x:v>
      </x:c>
    </x:row>
    <x:row r="19" ht="58" customHeight="1">
      <x:c r="A19" s="28" t="n">
        <x:v>15</x:v>
      </x:c>
      <x:c r="B19" s="28" t="str">
        <x:v>Carnegie Mellon University</x:v>
      </x:c>
      <x:c r="C19" s="28" t="str">
        <x:v>United States</x:v>
      </x:c>
      <x:c r="D19" s="28" t="str">
        <x:v>Software Engineering PhD</x:v>
      </x:c>
      <x:c r="E19" s="28" t="str">
        <x:v>PhD</x:v>
      </x:c>
      <x:c r="F19" s="28" t="str">
        <x:v>Extreme Reaches</x:v>
      </x:c>
      <x:c r="G19" s="28" t="str">
        <x:v>Guaranteed full funding</x:v>
      </x:c>
      <x:c r="H19" s="28" t="str">
        <x:v>The Software Engineering PhD advertises guaranteed research and teaching assistantships covering tuition and living expenses.</x:v>
      </x:c>
      <x:c r="I19" s="28" t="str">
        <x:v>Yes</x:v>
      </x:c>
      <x:c r="J19" s="28" t="str">
        <x:v>Yes</x:v>
      </x:c>
      <x:c r="K19" s="28" t="str">
        <x:v>Extreme Reach</x:v>
      </x:c>
      <x:c r="L19" s="28" t="str">
        <x:v>The research fit is exceptional and the program explicitly values industry experience, but CMU's Software Engineering PhD is an exceptionally selective small-cohort program; the 3.35 cumulative GPA makes it an extreme reach despite the paper.</x:v>
      </x:c>
      <x:c r="M19" s="28" t="str">
        <x:v>Exceptional</x:v>
      </x:c>
      <x:c r="N19" s="28" t="str">
        <x:v>Direct fit with TerraProbe's repair/evaluation work and reliable AI-assisted software development.</x:v>
      </x:c>
      <x:c r="O19" s="28" t="str">
        <x:v>Claire Le Goues — https://s3d.cmu.edu/people/core-faculty/legoues-claire.html</x:v>
      </x:c>
      <x:c r="P19" s="28" t="n">
        <x:v>80</x:v>
      </x:c>
      <x:c r="Q19" s="28" t="str">
        <x:v>Financial-hardship waiver is available in the application but not confirmed; early fee is $80.</x:v>
      </x:c>
      <x:c r="R19" s="28" t="str">
        <x:v>2026-11-18</x:v>
      </x:c>
      <x:c r="S19" s="28" t="str">
        <x:v>Fall 2027 early-fee deadline; final deadline December 9, 2026</x:v>
      </x:c>
      <x:c r="T19" s="28" t="str">
        <x:v>The strongest direct AI-for-software-engineering and automated-repair fit in the portfolio.</x:v>
      </x:c>
      <x:c r="U19" s="28" t="str">
        <x:v>Extreme selectivity and an $80 early application fee.</x:v>
      </x:c>
      <x:c r="V19" s="28" t="str">
        <x:v>None before applying; request a hardship waiver in the application if needed.</x:v>
      </x:c>
      <x:c r="W19" s="28" t="str">
        <x:v>Apply only as the single extreme-reach bet</x:v>
      </x:c>
      <x:c r="X19" s="31" t="e">
        <x:f>HYPERLINK("https://se-phd.isri.cmu.edu/","Open official source")</x:f>
        <x:v>HYPERLINK is not implemented. linkLocation=https://se-phd.isri.cmu.edu/, friendlyName=Open official source</x:v>
      </x:c>
      <x:c r="Y19" s="31" t="e">
        <x:f>HYPERLINK("https://se-phd.isri.cmu.edu/Prospective%20Students/index.html","Open official source")</x:f>
        <x:v>HYPERLINK is not implemented. linkLocation=https://se-phd.isri.cmu.edu/Prospective%20Students/index.html, friendlyName=Open official source</x:v>
      </x:c>
      <x:c r="Z19" s="31" t="e">
        <x:f>HYPERLINK("https://www.cs.cmu.edu/education/graduate-admissions","Open official source")</x:f>
        <x:v>HYPERLINK is not implemented. linkLocation=https://www.cs.cmu.edu/education/graduate-admissions, friendlyName=Open official source</x:v>
      </x:c>
      <x:c r="AA19" s="28" t="str">
        <x:v>Program-first review; one faculty example supports program-level fit and is not a recruiting claim.</x:v>
      </x:c>
    </x:row>
  </x:sheetData>
  <x:conditionalFormatting sqref="F5:F19">
    <x:cfRule type="containsText" dxfId="0" priority="1" operator="containsText" text="Conditional"/>
    <x:cfRule type="containsText" dxfId="1" priority="2" operator="containsText" text="Do Not Apply"/>
    <x:cfRule type="containsText" dxfId="2" priority="3" operator="containsText" text="Strongest"/>
  </x:conditionalFormatting>
  <x:pageMargins left="0.7" right="0.7" top="0.75" bottom="0.75" header="0.3" footer="0.3"/>
  <x:tableParts count="1">
    <x:tablePart xmlns:r="http://schemas.openxmlformats.org/officeDocument/2006/relationships" r:id="R6ea957ac94e54c83"/>
  </x:tableParts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24" hidden="0" customWidth="1"/>
    <x:col min="9" max="9" width="17" hidden="0" customWidth="1"/>
    <x:col min="10" max="10" width="14" hidden="0" customWidth="1"/>
    <x:col min="11" max="11" width="20" hidden="0" customWidth="1"/>
    <x:col min="12" max="12" width="14" hidden="0" customWidth="1"/>
    <x:col min="13" max="13" width="20" hidden="0" customWidth="1"/>
    <x:col min="14" max="14" width="34" hidden="0" customWidth="1"/>
    <x:col min="15" max="15" width="24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2" ht="25" customHeight="1">
      <x:c r="A2" s="3" t="str">
        <x:v>Funding and Admissions Evidence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0" customHeight="1">
      <x:c r="A3" s="4" t="str">
        <x:v>One row per recommended or conditional program. Claims were compared with current official source content; HTTP status alone was not treated as validation.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42" customHeight="1">
      <x:c r="A4" s="16" t="str">
        <x:v>University</x:v>
      </x:c>
      <x:c r="B4" s="17" t="str">
        <x:v>Program</x:v>
      </x:c>
      <x:c r="C4" s="17" t="str">
        <x:v>Decision Category</x:v>
      </x:c>
      <x:c r="D4" s="17" t="str">
        <x:v>Research Degree Claim</x:v>
      </x:c>
      <x:c r="E4" s="17" t="str">
        <x:v>Funding Claim</x:v>
      </x:c>
      <x:c r="F4" s="17" t="str">
        <x:v>Academic Eligibility Claim</x:v>
      </x:c>
      <x:c r="G4" s="17" t="str">
        <x:v>International Eligibility Claim</x:v>
      </x:c>
      <x:c r="H4" s="17" t="str">
        <x:v>Program Fit Claim</x:v>
      </x:c>
      <x:c r="I4" s="17" t="str">
        <x:v>Source URL</x:v>
      </x:c>
      <x:c r="J4" s="17" t="str">
        <x:v>Source Type</x:v>
      </x:c>
      <x:c r="K4" s="17" t="str">
        <x:v>Information Cycle</x:v>
      </x:c>
      <x:c r="L4" s="17" t="str">
        <x:v>Access Date</x:v>
      </x:c>
      <x:c r="M4" s="17" t="str">
        <x:v>Verification Status</x:v>
      </x:c>
      <x:c r="N4" s="17" t="str">
        <x:v>Uncertainty</x:v>
      </x:c>
      <x:c r="O4" s="17" t="str">
        <x:v>Official Program URL</x:v>
      </x:c>
      <x:c r="P4" s="17" t="str">
        <x:v>Official Funding URL</x:v>
      </x:c>
      <x:c r="Q4" s="17" t="str">
        <x:v>Admissions URL</x:v>
      </x:c>
      <x:c r="R4" s="18" t="str">
        <x:v>Fit URL</x:v>
      </x:c>
    </x:row>
    <x:row r="5" ht="46" customHeight="1">
      <x:c r="A5" s="26" t="str">
        <x:v>Lehigh University</x:v>
      </x:c>
      <x:c r="B5" s="26" t="str">
        <x:v>PhD in Computer Science</x:v>
      </x:c>
      <x:c r="C5" s="26" t="str">
        <x:v>Recommended</x:v>
      </x:c>
      <x:c r="D5" s="26" t="str">
        <x:v>Doctoral coursework, qualifying examination, and dissertation research</x:v>
      </x:c>
      <x:c r="E5" s="26" t="str">
        <x:v>All Rossin College PhD students are fully funded through an assistantship or fellowship that generally includes tuition and a stipend.</x:v>
      </x:c>
      <x:c r="F5" s="26" t="str">
        <x:v>Bachelor's degree in computer science or a related field is accepted Minimum: 2.75/4.0 required; 3.5/4.0 major GPA preferred</x:v>
      </x:c>
      <x:c r="G5" s="26" t="str">
        <x:v>Yes, with English proficiency and immigration requirements</x:v>
      </x:c>
      <x:c r="H5" s="26" t="str">
        <x:v>Strong Evidex overlap through explicit evaluation of safety, privacy, and security in generative AI and LLM systems; the work also supports security-oriented evaluation of AI-assisted infrastructure tooling.</x:v>
      </x:c>
      <x:c r="I5" s="29" t="e">
        <x:f>HYPERLINK("https://engineering.lehigh.edu/academics/graduate/phd/phd-computer-science","Open official source")</x:f>
        <x:v>HYPERLINK is not implemented. linkLocation=https://engineering.lehigh.edu/academics/graduate/phd/phd-computer-science, friendlyName=Open official source</x:v>
      </x:c>
      <x:c r="J5" s="26" t="str">
        <x:v>Official university/department page</x:v>
      </x:c>
      <x:c r="K5" s="26" t="str">
        <x:v>Fall 2027 financial-aid deadline</x:v>
      </x:c>
      <x:c r="L5" s="26" t="str">
        <x:v>2026-09-11</x:v>
      </x:c>
      <x:c r="M5" s="26" t="str">
        <x:v>Claim text manually compared with current official source</x:v>
      </x:c>
      <x:c r="N5" s="26" t="str">
        <x:v>Offer-level summer, insurance, mandatory-fee, and duration terms remain to be checked after admission.</x:v>
      </x:c>
      <x:c r="O5" s="29" t="e">
        <x:f>HYPERLINK("https://engineering.lehigh.edu/academics/graduate/phd/phd-computer-science","Open official source")</x:f>
        <x:v>HYPERLINK is not implemented. linkLocation=https://engineering.lehigh.edu/academics/graduate/phd/phd-computer-science, friendlyName=Open official source</x:v>
      </x:c>
      <x:c r="P5" s="29" t="e">
        <x:f>HYPERLINK("https://engineering.lehigh.edu/academics/graduate/phd/phd-computer-science","Open official source")</x:f>
        <x:v>HYPERLINK is not implemented. linkLocation=https://engineering.lehigh.edu/academics/graduate/phd/phd-computer-science, friendlyName=Open official source</x:v>
      </x:c>
      <x:c r="Q5" s="29" t="e">
        <x:f>HYPERLINK("https://engineering.lehigh.edu/academics/graduate/phd/phd-computer-science","Open official source")</x:f>
        <x:v>HYPERLINK is not implemented. linkLocation=https://engineering.lehigh.edu/academics/graduate/phd/phd-computer-science, friendlyName=Open official source</x:v>
      </x:c>
      <x:c r="R5" s="29" t="e">
        <x:f>HYPERLINK("https://engineering.lehigh.edu/faculty/lichao-sun","Open official source")</x:f>
        <x:v>HYPERLINK is not implemented. linkLocation=https://engineering.lehigh.edu/faculty/lichao-sun, friendlyName=Open official source</x:v>
      </x:c>
    </x:row>
    <x:row r="6" ht="46" customHeight="1">
      <x:c r="A6" s="27" t="str">
        <x:v>Old Dominion University</x:v>
      </x:c>
      <x:c r="B6" s="27" t="str">
        <x:v>Computer Science (Ph.D.)</x:v>
      </x:c>
      <x:c r="C6" s="27" t="str">
        <x:v>Recommended</x:v>
      </x:c>
      <x:c r="D6" s="27" t="str">
        <x:v>Research doctorate requiring advanced study, candidacy milestones, dissertation research, and defense</x:v>
      </x:c>
      <x:c r="E6" s="27" t="str">
        <x:v>Newly admitted PhD students are guaranteed an RA, TA, or combined appointment; the page states a first-year $20,000 stipend and full tuition waiver, with summer RA funding expected.</x:v>
      </x:c>
      <x:c r="F6" s="27" t="str">
        <x:v>Yes — applicants may enter with a bachelor's or master's degree in Computer Science or a related field Minimum: No separate numeric department floor was verified on the current PhD admission page</x:v>
      </x:c>
      <x:c r="G6" s="27" t="str">
        <x:v>Yes, with published international deadlines and English requirements</x:v>
      </x:c>
      <x:c r="H6" s="27" t="str">
        <x:v>Strong TerraProbe overlap through LLM-powered UI exploration, hybrid analysis of application transition graphs, and Internet-scale security measurement; Evidex overlaps through empirical detection evidence, security evaluation, and privacy testing of LLMs.</x:v>
      </x:c>
      <x:c r="I6" s="30" t="e">
        <x:f>HYPERLINK("https://www.odu.edu/academics/programs/doctoral/computer-science","Open official source")</x:f>
        <x:v>HYPERLINK is not implemented. linkLocation=https://www.odu.edu/academics/programs/doctoral/computer-science, friendlyName=Open official source</x:v>
      </x:c>
      <x:c r="J6" s="27" t="str">
        <x:v>Official university/department page</x:v>
      </x:c>
      <x:c r="K6" s="27" t="str">
        <x:v>Recurring international fall deadline; Fall 2027 label not yet explicit</x:v>
      </x:c>
      <x:c r="L6" s="27" t="str">
        <x:v>2026-09-11</x:v>
      </x:c>
      <x:c r="M6" s="27" t="str">
        <x:v>Claim text manually compared with current official source</x:v>
      </x:c>
      <x:c r="N6" s="27" t="str">
        <x:v>Confirm the written renewal, fee, insurance, and summer terms if admitted.</x:v>
      </x:c>
      <x:c r="O6" s="30" t="e">
        <x:f>HYPERLINK("https://www.odu.edu/academics/programs/doctoral/computer-science","Open official source")</x:f>
        <x:v>HYPERLINK is not implemented. linkLocation=https://www.odu.edu/academics/programs/doctoral/computer-science, friendlyName=Open official source</x:v>
      </x:c>
      <x:c r="P6" s="30" t="e">
        <x:f>HYPERLINK("https://www.odu.edu/academics/programs/doctoral/computer-science","Open official source")</x:f>
        <x:v>HYPERLINK is not implemented. linkLocation=https://www.odu.edu/academics/programs/doctoral/computer-science, friendlyName=Open official source</x:v>
      </x:c>
      <x:c r="Q6" s="30" t="e">
        <x:f>HYPERLINK("https://www.odu.edu/computer-science/academics/graduate/phd/admissions","Open official source")</x:f>
        <x:v>HYPERLINK is not implemented. linkLocation=https://www.odu.edu/computer-science/academics/graduate/phd/admissions, friendlyName=Open official source</x:v>
      </x:c>
      <x:c r="R6" s="30" t="e">
        <x:f>HYPERLINK("https://www.odu.edu/directory/shuai-hao","Open official source")</x:f>
        <x:v>HYPERLINK is not implemented. linkLocation=https://www.odu.edu/directory/shuai-hao, friendlyName=Open official source</x:v>
      </x:c>
    </x:row>
    <x:row r="7" ht="46" customHeight="1">
      <x:c r="A7" s="27" t="str">
        <x:v>Temple University</x:v>
      </x:c>
      <x:c r="B7" s="27" t="str">
        <x:v>Computer and Information Science PhD</x:v>
      </x:c>
      <x:c r="C7" s="27" t="str">
        <x:v>Recommended</x:v>
      </x:c>
      <x:c r="D7" s="27" t="str">
        <x:v>Research doctorate requiring advanced coursework, preliminary and candidacy milestones, original dissertation research, and defense</x:v>
      </x:c>
      <x:c r="E7" s="27" t="str">
        <x:v>Admitted PhD students receive an RA or TA with tuition and stipend, and the department says it typically admits only when funding is available.</x:v>
      </x:c>
      <x:c r="F7" s="27" t="str">
        <x:v>Yes — a master's is not required; applicants need sufficient Computer Science preparation Minimum: 3.0 general graduate minimum; 3.25 is published for assistantship consideration and continuation</x:v>
      </x:c>
      <x:c r="G7" s="27" t="str">
        <x:v>Yes, subject to degree equivalency, English evidence, and international documentation</x:v>
      </x:c>
      <x:c r="H7" s="27" t="str">
        <x:v>Strong Evidex overlap through empirical evaluation of LLM-generated code explanations, logic-error detection, and responsible AI-supported programming; TerraProbe overlaps through tool-building and experiments around LLM-assisted software creation.</x:v>
      </x:c>
      <x:c r="I7" s="30" t="e">
        <x:f>HYPERLINK("https://cis.temple.edu/academics/graduate/phd_faq/","Open official source")</x:f>
        <x:v>HYPERLINK is not implemented. linkLocation=https://cis.temple.edu/academics/graduate/phd_faq/, friendlyName=Open official source</x:v>
      </x:c>
      <x:c r="J7" s="27" t="str">
        <x:v>Official university/department page</x:v>
      </x:c>
      <x:c r="K7" s="27" t="str">
        <x:v>Current recurring Fall deadline; 2027 applications open July 15, 2026</x:v>
      </x:c>
      <x:c r="L7" s="27" t="str">
        <x:v>2026-09-11</x:v>
      </x:c>
      <x:c r="M7" s="27" t="str">
        <x:v>Claim text manually compared with current official source</x:v>
      </x:c>
      <x:c r="N7" s="27" t="str">
        <x:v>Confirm multi-year, summer, health, and residual-fee terms in the offer.</x:v>
      </x:c>
      <x:c r="O7" s="30" t="e">
        <x:f>HYPERLINK("https://bulletin.temple.edu/graduate/scd/cst/computer-information-science-phd/","Open official source")</x:f>
        <x:v>HYPERLINK is not implemented. linkLocation=https://bulletin.temple.edu/graduate/scd/cst/computer-information-science-phd/, friendlyName=Open official source</x:v>
      </x:c>
      <x:c r="P7" s="30" t="e">
        <x:f>HYPERLINK("https://cis.temple.edu/academics/graduate/phd_faq/","Open official source")</x:f>
        <x:v>HYPERLINK is not implemented. linkLocation=https://cis.temple.edu/academics/graduate/phd_faq/, friendlyName=Open official source</x:v>
      </x:c>
      <x:c r="Q7" s="30" t="e">
        <x:f>HYPERLINK("https://www.temple.edu/academics/degree-programs/computer-information-science-phd-st-cis-phd/admissions","Open official source")</x:f>
        <x:v>HYPERLINK is not implemented. linkLocation=https://www.temple.edu/academics/degree-programs/computer-information-science-phd-st-cis-phd/admissions, friendlyName=Open official source</x:v>
      </x:c>
      <x:c r="R7" s="30" t="e">
        <x:f>HYPERLINK("https://cis.temple.edu/people/faculty/?s=cs","Open official source")</x:f>
        <x:v>HYPERLINK is not implemented. linkLocation=https://cis.temple.edu/people/faculty/?s=cs, friendlyName=Open official source</x:v>
      </x:c>
    </x:row>
    <x:row r="8" ht="46" customHeight="1">
      <x:c r="A8" s="27" t="str">
        <x:v>The University of Texas at San Antonio</x:v>
      </x:c>
      <x:c r="B8" s="27" t="str">
        <x:v>Ph.D. in Computer Science</x:v>
      </x:c>
      <x:c r="C8" s="27" t="str">
        <x:v>Recommended</x:v>
      </x:c>
      <x:c r="D8" s="27" t="str">
        <x:v>Research doctorate with advanced computer-science study and dissertation research</x:v>
      </x:c>
      <x:c r="E8" s="27" t="str">
        <x:v>The program states that full-time admitted Computer Science PhD students receive GTA or GRA support with stipend, tuition and fee coverage, and insurance.</x:v>
      </x:c>
      <x:c r="F8" s="27" t="str">
        <x:v>Yes — a bachelor's degree or foreign equivalent is accepted Minimum: No higher CS-specific numeric minimum captured on the program page</x:v>
      </x:c>
      <x:c r="G8" s="27" t="str">
        <x:v>Yes — foreign-equivalent credentials are explicitly accepted</x:v>
      </x:c>
      <x:c r="H8" s="27" t="str">
        <x:v>Strong TerraProbe overlap through build-failure diagnosis, cross-environment inconsistency detection, program analysis, bug localization, and software-security validation.</x:v>
      </x:c>
      <x:c r="I8" s="30" t="e">
        <x:f>HYPERLINK("https://future.utsa.edu/programs/doctoral/computer-science/","Open official source")</x:f>
        <x:v>HYPERLINK is not implemented. linkLocation=https://future.utsa.edu/programs/doctoral/computer-science/, friendlyName=Open official source</x:v>
      </x:c>
      <x:c r="J8" s="27" t="str">
        <x:v>Official university/department page</x:v>
      </x:c>
      <x:c r="K8" s="27" t="str">
        <x:v>Fall 2027</x:v>
      </x:c>
      <x:c r="L8" s="27" t="str">
        <x:v>2026-09-11</x:v>
      </x:c>
      <x:c r="M8" s="27" t="str">
        <x:v>Claim text manually compared with current official source</x:v>
      </x:c>
      <x:c r="N8" s="27" t="str">
        <x:v>Verify renewal duration and summer support in the written offer.</x:v>
      </x:c>
      <x:c r="O8" s="30" t="e">
        <x:f>HYPERLINK("https://future.utsa.edu/programs/doctoral/computer-science/","Open official source")</x:f>
        <x:v>HYPERLINK is not implemented. linkLocation=https://future.utsa.edu/programs/doctoral/computer-science/, friendlyName=Open official source</x:v>
      </x:c>
      <x:c r="P8" s="30" t="e">
        <x:f>HYPERLINK("https://future.utsa.edu/programs/doctoral/computer-science/","Open official source")</x:f>
        <x:v>HYPERLINK is not implemented. linkLocation=https://future.utsa.edu/programs/doctoral/computer-science/, friendlyName=Open official source</x:v>
      </x:c>
      <x:c r="Q8" s="30" t="e">
        <x:f>HYPERLINK("https://future.utsa.edu/graduate/admissions/","Open official source")</x:f>
        <x:v>HYPERLINK is not implemented. linkLocation=https://future.utsa.edu/graduate/admissions/, friendlyName=Open official source</x:v>
      </x:c>
      <x:c r="R8" s="30" t="e">
        <x:f>HYPERLINK("https://sciences.utsa.edu/faculty/profiles/wang-xiaoyin.html","Open official source")</x:f>
        <x:v>HYPERLINK is not implemented. linkLocation=https://sciences.utsa.edu/faculty/profiles/wang-xiaoyin.html, friendlyName=Open official source</x:v>
      </x:c>
    </x:row>
    <x:row r="9" ht="46" customHeight="1">
      <x:c r="A9" s="27" t="str">
        <x:v>Baylor University</x:v>
      </x:c>
      <x:c r="B9" s="27" t="str">
        <x:v>Doctor of Philosophy in Computer Science</x:v>
      </x:c>
      <x:c r="C9" s="27" t="str">
        <x:v>Recommended</x:v>
      </x:c>
      <x:c r="D9" s="27" t="str">
        <x:v>Research doctorate with graduate coursework, qualifying milestones, original dissertation research, and a defended dissertation</x:v>
      </x:c>
      <x:c r="E9" s="27" t="str">
        <x:v>Current official material says nearly all incoming PhD students receive full tuition remission, health coverage, and a multi-year research or teaching assistantship.</x:v>
      </x:c>
      <x:c r="F9" s="27" t="str">
        <x:v>Yes — the program explicitly accepts a bachelor's degree in computer science or a closely related field Minimum: No program-specific numeric minimum was published on the official Computer Science pages checked</x:v>
      </x:c>
      <x:c r="G9" s="27" t="str">
        <x:v>Yes — the application requirements publish an international English-proficiency route</x:v>
      </x:c>
      <x:c r="H9" s="27" t="str">
        <x:v>Strong TerraProbe and Evidex overlap through fuzzing, compiler and binary analysis, protocol testing, and evidence-driven assessment of software correctness and robustness.</x:v>
      </x:c>
      <x:c r="I9" s="30" t="e">
        <x:f>HYPERLINK("https://www.ecs.baylor.edu/students-academics/degree-programs/graduate/phd-cs","Open official source")</x:f>
        <x:v>HYPERLINK is not implemented. linkLocation=https://www.ecs.baylor.edu/students-academics/degree-programs/graduate/phd-cs, friendlyName=Open official source</x:v>
      </x:c>
      <x:c r="J9" s="27" t="str">
        <x:v>Official university/department page</x:v>
      </x:c>
      <x:c r="K9" s="27" t="str">
        <x:v>Recurring Fall financial-aid deadline; cycle year not separately labeled</x:v>
      </x:c>
      <x:c r="L9" s="27" t="str">
        <x:v>2026-09-11</x:v>
      </x:c>
      <x:c r="M9" s="27" t="str">
        <x:v>Claim text manually compared with current official source</x:v>
      </x:c>
      <x:c r="N9" s="27" t="str">
        <x:v>Confirm the exact duration, summer, and mandatory-fee terms in any offer.</x:v>
      </x:c>
      <x:c r="O9" s="30" t="e">
        <x:f>HYPERLINK("https://www.ecs.baylor.edu/students-academics/degree-programs/graduate/phd-cs","Open official source")</x:f>
        <x:v>HYPERLINK is not implemented. linkLocation=https://www.ecs.baylor.edu/students-academics/degree-programs/graduate/phd-cs, friendlyName=Open official source</x:v>
      </x:c>
      <x:c r="P9" s="30" t="e">
        <x:f>HYPERLINK("https://www.ecs.baylor.edu/students-academics/degree-programs/graduate/phd-cs","Open official source")</x:f>
        <x:v>HYPERLINK is not implemented. linkLocation=https://www.ecs.baylor.edu/students-academics/degree-programs/graduate/phd-cs, friendlyName=Open official source</x:v>
      </x:c>
      <x:c r="Q9" s="30" t="e">
        <x:f>HYPERLINK("https://www.ecs.baylor.edu/departments/computer-science/graduate-application-requirements","Open official source")</x:f>
        <x:v>HYPERLINK is not implemented. linkLocation=https://www.ecs.baylor.edu/departments/computer-science/graduate-application-requirements, friendlyName=Open official source</x:v>
      </x:c>
      <x:c r="R9" s="30" t="e">
        <x:f>HYPERLINK("https://www.ecs.baylor.edu/person/mengfei-ren-phd","Open official source")</x:f>
        <x:v>HYPERLINK is not implemented. linkLocation=https://www.ecs.baylor.edu/person/mengfei-ren-phd, friendlyName=Open official source</x:v>
      </x:c>
    </x:row>
    <x:row r="10" ht="46" customHeight="1">
      <x:c r="A10" s="27" t="str">
        <x:v>New Jersey Institute of Technology</x:v>
      </x:c>
      <x:c r="B10" s="27" t="str">
        <x:v>Ph.D. Computer Science</x:v>
      </x:c>
      <x:c r="C10" s="27" t="str">
        <x:v>Recommended</x:v>
      </x:c>
      <x:c r="D10" s="27" t="str">
        <x:v>Research-oriented qualifying examination, dissertation committee and proposal, sustained original research, and defense</x:v>
      </x:c>
      <x:c r="E10" s="27" t="str">
        <x:v>Nearly all enrolled Computer Science PhD students are fully supported as RAs or TAs, but the department explicitly says support is competitive and not every admitted student receives it.</x:v>
      </x:c>
      <x:c r="F10" s="27" t="str">
        <x:v>Yes — a relevant accredited bachelor's degree is a published entry route Minimum: No separate numeric program floor was published on the pages checked</x:v>
      </x:c>
      <x:c r="G10" s="27" t="str">
        <x:v>Yes, subject to credential and English requirements</x:v>
      </x:c>
      <x:c r="H10" s="27" t="str">
        <x:v>Exceptionally strong TerraProbe overlap through practical program verification, static analysis, specification inference, testing, and repair of software-resource bugs; Evidex overlaps through checkable evidence for correctness and security claims.</x:v>
      </x:c>
      <x:c r="I10" s="30" t="e">
        <x:f>HYPERLINK("https://cs.njit.edu/admission-requirements-and-financial-support-phd-computer-science-program","Open official source")</x:f>
        <x:v>HYPERLINK is not implemented. linkLocation=https://cs.njit.edu/admission-requirements-and-financial-support-phd-computer-science-program, friendlyName=Open official source</x:v>
      </x:c>
      <x:c r="J10" s="27" t="str">
        <x:v>Official university/department page</x:v>
      </x:c>
      <x:c r="K10" s="27" t="str">
        <x:v>Recurring Fall funding-consideration deadline</x:v>
      </x:c>
      <x:c r="L10" s="27" t="str">
        <x:v>2026-09-11</x:v>
      </x:c>
      <x:c r="M10" s="27" t="str">
        <x:v>Claim text manually compared with current official source</x:v>
      </x:c>
      <x:c r="N10" s="27" t="str">
        <x:v>Apply only on the understanding that an unfunded offer will be declined.</x:v>
      </x:c>
      <x:c r="O10" s="30" t="e">
        <x:f>HYPERLINK("https://www.njit.edu/academics/degree/phd-computer-science","Open official source")</x:f>
        <x:v>HYPERLINK is not implemented. linkLocation=https://www.njit.edu/academics/degree/phd-computer-science, friendlyName=Open official source</x:v>
      </x:c>
      <x:c r="P10" s="30" t="e">
        <x:f>HYPERLINK("https://cs.njit.edu/admission-requirements-and-financial-support-phd-computer-science-program","Open official source")</x:f>
        <x:v>HYPERLINK is not implemented. linkLocation=https://cs.njit.edu/admission-requirements-and-financial-support-phd-computer-science-program, friendlyName=Open official source</x:v>
      </x:c>
      <x:c r="Q10" s="30" t="e">
        <x:f>HYPERLINK("https://www.njit.edu/academics/degree/phd-computer-science","Open official source")</x:f>
        <x:v>HYPERLINK is not implemented. linkLocation=https://www.njit.edu/academics/degree/phd-computer-science, friendlyName=Open official source</x:v>
      </x:c>
      <x:c r="R10" s="30" t="e">
        <x:f>HYPERLINK("https://people.njit.edu/profile/mjk76","Open official source")</x:f>
        <x:v>HYPERLINK is not implemented. linkLocation=https://people.njit.edu/profile/mjk76, friendlyName=Open official source</x:v>
      </x:c>
    </x:row>
    <x:row r="11" ht="46" customHeight="1">
      <x:c r="A11" s="27" t="str">
        <x:v>Virginia Polytechnic Institute and State University</x:v>
      </x:c>
      <x:c r="B11" s="27" t="str">
        <x:v>Computer Science PhD</x:v>
      </x:c>
      <x:c r="C11" s="27" t="str">
        <x:v>Recommended</x:v>
      </x:c>
      <x:c r="D11" s="27" t="str">
        <x:v>Yes — original dissertation and defense required</x:v>
      </x:c>
      <x:c r="E11" s="27" t="str">
        <x:v>Beginning with Fall 2026, every admitted PhD student receives a five-year offer covering fall and spring; summers are excluded and some fees remain the student's responsibility.</x:v>
      </x:c>
      <x:c r="F11" s="27" t="str">
        <x:v>Yes — the program describes a five-year path from the bachelor's degree Minimum: 3.0/4.0</x:v>
      </x:c>
      <x:c r="G11" s="27" t="str">
        <x:v>Yes — international English and application rules are published</x:v>
      </x:c>
      <x:c r="H11" s="27" t="str">
        <x:v>Near-direct fit to build/configuration repair, LLM-assisted maintenance, and rigorous evaluation.</x:v>
      </x:c>
      <x:c r="I11" s="30" t="e">
        <x:f>HYPERLINK("https://students.cs.vt.edu/Graduate/Funding.html","Open official source")</x:f>
        <x:v>HYPERLINK is not implemented. linkLocation=https://students.cs.vt.edu/Graduate/Funding.html, friendlyName=Open official source</x:v>
      </x:c>
      <x:c r="J11" s="27" t="str">
        <x:v>Official university/department page</x:v>
      </x:c>
      <x:c r="K11" s="27" t="str">
        <x:v>Fall 2027</x:v>
      </x:c>
      <x:c r="L11" s="27" t="str">
        <x:v>2026-09-11</x:v>
      </x:c>
      <x:c r="M11" s="27" t="str">
        <x:v>Claim text manually compared with current official source</x:v>
      </x:c>
      <x:c r="N11" s="27" t="str">
        <x:v>Plan for summer RA, internship, or savings rather than assuming summer coverage.</x:v>
      </x:c>
      <x:c r="O11" s="30" t="e">
        <x:f>HYPERLINK("https://website.cs.vt.edu/academic/graduate/future-grads/doctorate.html","Open official source")</x:f>
        <x:v>HYPERLINK is not implemented. linkLocation=https://website.cs.vt.edu/academic/graduate/future-grads/doctorate.html, friendlyName=Open official source</x:v>
      </x:c>
      <x:c r="P11" s="30" t="e">
        <x:f>HYPERLINK("https://students.cs.vt.edu/Graduate/Funding.html","Open official source")</x:f>
        <x:v>HYPERLINK is not implemented. linkLocation=https://students.cs.vt.edu/Graduate/Funding.html, friendlyName=Open official source</x:v>
      </x:c>
      <x:c r="Q11" s="30" t="e">
        <x:f>HYPERLINK("https://website.cs.vt.edu/academic/graduate/future-grads/doctorate.html","Open official source")</x:f>
        <x:v>HYPERLINK is not implemented. linkLocation=https://website.cs.vt.edu/academic/graduate/future-grads/doctorate.html, friendlyName=Open official source</x:v>
      </x:c>
      <x:c r="R11" s="30" t="e">
        <x:f>HYPERLINK("https://website.cs.vt.edu/people/faculty/na-ming.html","Open official source")</x:f>
        <x:v>HYPERLINK is not implemented. linkLocation=https://website.cs.vt.edu/people/faculty/na-ming.html, friendlyName=Open official source</x:v>
      </x:c>
    </x:row>
    <x:row r="12" ht="46" customHeight="1">
      <x:c r="A12" s="27" t="str">
        <x:v>University of Rochester</x:v>
      </x:c>
      <x:c r="B12" s="27" t="str">
        <x:v>PhD Program in Computer Science</x:v>
      </x:c>
      <x:c r="C12" s="27" t="str">
        <x:v>Recommended</x:v>
      </x:c>
      <x:c r="D12" s="27" t="str">
        <x:v>Doctoral coursework and original computer-science research culminating in a dissertation</x:v>
      </x:c>
      <x:c r="E12" s="27" t="str">
        <x:v>PhD students in good academic standing receive tuition, health insurance, and a stipend; the typical completion time is four to six years.</x:v>
      </x:c>
      <x:c r="F12" s="27" t="str">
        <x:v>Yes — applicants may enter with a bachelor's or master's degree Minimum: No numeric CS PhD minimum published on the reviewed pages</x:v>
      </x:c>
      <x:c r="G12" s="27" t="str">
        <x:v>Yes — international applicants and English requirements are addressed</x:v>
      </x:c>
      <x:c r="H12" s="27" t="str">
        <x:v>Strong TerraProbe and Evidex overlap through compiler-enforced security, program transformation, memory-safety validation, and evidence-backed analysis of low-level software behavior.</x:v>
      </x:c>
      <x:c r="I12" s="30" t="e">
        <x:f>HYPERLINK("https://www.cs.rochester.edu/graduate/phd-program.html","Open official source")</x:f>
        <x:v>HYPERLINK is not implemented. linkLocation=https://www.cs.rochester.edu/graduate/phd-program.html, friendlyName=Open official source</x:v>
      </x:c>
      <x:c r="J12" s="27" t="str">
        <x:v>Official university/department page</x:v>
      </x:c>
      <x:c r="K12" s="27" t="str">
        <x:v>Fall 2027 PhD deadline</x:v>
      </x:c>
      <x:c r="L12" s="27" t="str">
        <x:v>2026-09-11</x:v>
      </x:c>
      <x:c r="M12" s="27" t="str">
        <x:v>Claim text manually compared with current official source</x:v>
      </x:c>
      <x:c r="N12" s="27" t="str">
        <x:v>Confirm maximum duration and summer treatment in the offer.</x:v>
      </x:c>
      <x:c r="O12" s="30" t="e">
        <x:f>HYPERLINK("https://www.cs.rochester.edu/graduate/phd-program.html","Open official source")</x:f>
        <x:v>HYPERLINK is not implemented. linkLocation=https://www.cs.rochester.edu/graduate/phd-program.html, friendlyName=Open official source</x:v>
      </x:c>
      <x:c r="P12" s="30" t="e">
        <x:f>HYPERLINK("https://www.cs.rochester.edu/graduate/phd-program.html","Open official source")</x:f>
        <x:v>HYPERLINK is not implemented. linkLocation=https://www.cs.rochester.edu/graduate/phd-program.html, friendlyName=Open official source</x:v>
      </x:c>
      <x:c r="Q12" s="30" t="e">
        <x:f>HYPERLINK("https://www.cs.rochester.edu/graduate/how-to-apply.html","Open official source")</x:f>
        <x:v>HYPERLINK is not implemented. linkLocation=https://www.cs.rochester.edu/graduate/how-to-apply.html, friendlyName=Open official source</x:v>
      </x:c>
      <x:c r="R12" s="30" t="e">
        <x:f>HYPERLINK("https://cs.rochester.edu/people/faculty/criswell_john/index.html","Open official source")</x:f>
        <x:v>HYPERLINK is not implemented. linkLocation=https://cs.rochester.edu/people/faculty/criswell_john/index.html, friendlyName=Open official source</x:v>
      </x:c>
    </x:row>
    <x:row r="13" ht="46" customHeight="1">
      <x:c r="A13" s="27" t="str">
        <x:v>Drexel University</x:v>
      </x:c>
      <x:c r="B13" s="27" t="str">
        <x:v>PhD in Computer Science</x:v>
      </x:c>
      <x:c r="C13" s="27" t="str">
        <x:v>Recommended</x:v>
      </x:c>
      <x:c r="D13" s="27" t="str">
        <x:v>Course qualifying, candidacy exam, thesis proposal, original dissertation, and thesis defense</x:v>
      </x:c>
      <x:c r="E13" s="27" t="str">
        <x:v>The doctoral admissions page states that all Computer Science and Information Science PhD students are fully supported with an RA, TA, or combined assistantship carrying tuition remission and a stipend.</x:v>
      </x:c>
      <x:c r="F13" s="27" t="str">
        <x:v>Yes; 90 credits are required without a prior related master's, compared with 45 post-master's credits Minimum: No numeric doctoral minimum published on the official SCIS pages checked</x:v>
      </x:c>
      <x:c r="G13" s="27" t="str">
        <x:v>Yes, subject to transcript and English requirements</x:v>
      </x:c>
      <x:c r="H13" s="27" t="str">
        <x:v>Strong TerraProbe overlap through formal analysis of software architecture, architectural degradation, and current work on improving LLM-assisted code generation with architectural documents and implementation plans.</x:v>
      </x:c>
      <x:c r="I13" s="30" t="e">
        <x:f>HYPERLINK("https://drexel.edu/cci/admissions/doctoral/","Open official source")</x:f>
        <x:v>HYPERLINK is not implemented. linkLocation=https://drexel.edu/cci/admissions/doctoral/, friendlyName=Open official source</x:v>
      </x:c>
      <x:c r="J13" s="27" t="str">
        <x:v>Official university/department page</x:v>
      </x:c>
      <x:c r="K13" s="27" t="str">
        <x:v>Latest published doctoral cycle; Fall 2027 label not explicit</x:v>
      </x:c>
      <x:c r="L13" s="27" t="str">
        <x:v>2026-09-11</x:v>
      </x:c>
      <x:c r="M13" s="27" t="str">
        <x:v>Claim text manually compared with current official source</x:v>
      </x:c>
      <x:c r="N13" s="27" t="str">
        <x:v>Confirm package duration and residual costs in the offer.</x:v>
      </x:c>
      <x:c r="O13" s="30" t="e">
        <x:f>HYPERLINK("https://drexel.edu/cci/academics/doctoral-programs/phd-computer-science/","Open official source")</x:f>
        <x:v>HYPERLINK is not implemented. linkLocation=https://drexel.edu/cci/academics/doctoral-programs/phd-computer-science/, friendlyName=Open official source</x:v>
      </x:c>
      <x:c r="P13" s="30" t="e">
        <x:f>HYPERLINK("https://drexel.edu/cci/admissions/doctoral/","Open official source")</x:f>
        <x:v>HYPERLINK is not implemented. linkLocation=https://drexel.edu/cci/admissions/doctoral/, friendlyName=Open official source</x:v>
      </x:c>
      <x:c r="Q13" s="30" t="e">
        <x:f>HYPERLINK("https://drexel.edu/cci/admissions/doctoral/","Open official source")</x:f>
        <x:v>HYPERLINK is not implemented. linkLocation=https://drexel.edu/cci/admissions/doctoral/, friendlyName=Open official source</x:v>
      </x:c>
      <x:c r="R13" s="30" t="e">
        <x:f>HYPERLINK("https://drexel.edu/cci/about/directory/C/Cai-Yuanfang/","Open official source")</x:f>
        <x:v>HYPERLINK is not implemented. linkLocation=https://drexel.edu/cci/about/directory/C/Cai-Yuanfang/, friendlyName=Open official source</x:v>
      </x:c>
    </x:row>
    <x:row r="14" ht="46" customHeight="1">
      <x:c r="A14" s="27" t="str">
        <x:v>University of Arizona</x:v>
      </x:c>
      <x:c r="B14" s="27" t="str">
        <x:v>Computer Science PhD</x:v>
      </x:c>
      <x:c r="C14" s="27" t="str">
        <x:v>Recommended</x:v>
      </x:c>
      <x:c r="D14" s="27" t="str">
        <x:v>Research doctoral program culminating in a dissertation</x:v>
      </x:c>
      <x:c r="E14" s="27" t="str">
        <x:v>The current prospective-student page says doctoral students making satisfactory progress receive multi-year assistantship funding with tuition waivers and health insurance; another department page describes only the first year as guaranteed.</x:v>
      </x:c>
      <x:c r="F14" s="27" t="str">
        <x:v>Yes — Graduate College degree admission requires a completed U.S. bachelor's or comparable international degree; no master's prerequisite is published for this PhD Minimum: 3.00 cumulative Graduate College minimum</x:v>
      </x:c>
      <x:c r="G14" s="27" t="str">
        <x:v>Yes — international applicant route and degree-country requirements are published</x:v>
      </x:c>
      <x:c r="H14" s="27" t="str">
        <x:v>Strong overlap with Evidex's evidence discipline and TerraProbe's repair validation through abstract interpretation, program analysis, verification, and reasoning about transformation correctness.</x:v>
      </x:c>
      <x:c r="I14" s="30" t="e">
        <x:f>HYPERLINK("https://cs.arizona.edu/graduate/prospective-students","Open official source")</x:f>
        <x:v>HYPERLINK is not implemented. linkLocation=https://cs.arizona.edu/graduate/prospective-students, friendlyName=Open official source</x:v>
      </x:c>
      <x:c r="J14" s="27" t="str">
        <x:v>Official university/department page</x:v>
      </x:c>
      <x:c r="K14" s="27" t="str">
        <x:v>Recurring Fall deadline; cycle year not separately labeled</x:v>
      </x:c>
      <x:c r="L14" s="27" t="str">
        <x:v>2026-09-11</x:v>
      </x:c>
      <x:c r="M14" s="27" t="str">
        <x:v>Claim text manually compared with current official source</x:v>
      </x:c>
      <x:c r="N14" s="27" t="str">
        <x:v>Require the written offer to state duration before accepting.</x:v>
      </x:c>
      <x:c r="O14" s="30" t="e">
        <x:f>HYPERLINK("https://cs.arizona.edu/graduate/prospective-students","Open official source")</x:f>
        <x:v>HYPERLINK is not implemented. linkLocation=https://cs.arizona.edu/graduate/prospective-students, friendlyName=Open official source</x:v>
      </x:c>
      <x:c r="P14" s="30" t="e">
        <x:f>HYPERLINK("https://cs.arizona.edu/graduate/prospective-students","Open official source")</x:f>
        <x:v>HYPERLINK is not implemented. linkLocation=https://cs.arizona.edu/graduate/prospective-students, friendlyName=Open official source</x:v>
      </x:c>
      <x:c r="Q14" s="30" t="e">
        <x:f>HYPERLINK("https://cs.arizona.edu/graduate/prospective-students","Open official source")</x:f>
        <x:v>HYPERLINK is not implemented. linkLocation=https://cs.arizona.edu/graduate/prospective-students, friendlyName=Open official source</x:v>
      </x:c>
      <x:c r="R14" s="30" t="e">
        <x:f>HYPERLINK("https://www2.cs.arizona.edu/people/giacobazzi/","Open official source")</x:f>
        <x:v>HYPERLINK is not implemented. linkLocation=https://www2.cs.arizona.edu/people/giacobazzi/, friendlyName=Open official source</x:v>
      </x:c>
    </x:row>
    <x:row r="15" ht="46" customHeight="1">
      <x:c r="A15" s="27" t="str">
        <x:v>University of Utah</x:v>
      </x:c>
      <x:c r="B15" s="27" t="str">
        <x:v>Computing PhD</x:v>
      </x:c>
      <x:c r="C15" s="27" t="str">
        <x:v>Recommended</x:v>
      </x:c>
      <x:c r="D15" s="27" t="str">
        <x:v>Research-focused PhD, typically five years, culminating in dissertation work</x:v>
      </x:c>
      <x:c r="E15" s="27" t="str">
        <x:v>Computing PhD students receive financial support while in the program and making good progress; current rates include fall and spring pay, possible summer RA support, tuition benefit, and health insurance.</x:v>
      </x:c>
      <x:c r="F15" s="27" t="str">
        <x:v>Yes — PhD assumes completed undergraduate education in computer science or a related field Minimum: Not verified on the captured school pages</x:v>
      </x:c>
      <x:c r="G15" s="27" t="str">
        <x:v>Yes — dedicated international application fee and TA rules are published</x:v>
      </x:c>
      <x:c r="H15" s="27" t="str">
        <x:v>Strong overlap with TerraProbe's repair validation and minimized failure evidence through compiler testing, synthesis-based optimization, verification, and reduction tools.</x:v>
      </x:c>
      <x:c r="I15" s="30" t="e">
        <x:f>HYPERLINK("https://www.cs.utah.edu/graduate/prospective-students/admissions/graduate-financial-support-and-costs/","Open official source")</x:f>
        <x:v>HYPERLINK is not implemented. linkLocation=https://www.cs.utah.edu/graduate/prospective-students/admissions/graduate-financial-support-and-costs/, friendlyName=Open official source</x:v>
      </x:c>
      <x:c r="J15" s="27" t="str">
        <x:v>Official university/department page</x:v>
      </x:c>
      <x:c r="K15" s="27" t="str">
        <x:v>Official page displays an inconsistent year; use the earlier planning date and confirm</x:v>
      </x:c>
      <x:c r="L15" s="27" t="str">
        <x:v>2026-09-11</x:v>
      </x:c>
      <x:c r="M15" s="27" t="str">
        <x:v>Claim text manually compared with current official source</x:v>
      </x:c>
      <x:c r="N15" s="27" t="str">
        <x:v>Confirm the displayed deadline year and offer-specific differential-fee treatment.</x:v>
      </x:c>
      <x:c r="O15" s="30" t="e">
        <x:f>HYPERLINK("https://www.cs.utah.edu/graduate/academic-programs/ms-and-phd-programs/","Open official source")</x:f>
        <x:v>HYPERLINK is not implemented. linkLocation=https://www.cs.utah.edu/graduate/academic-programs/ms-and-phd-programs/, friendlyName=Open official source</x:v>
      </x:c>
      <x:c r="P15" s="30" t="e">
        <x:f>HYPERLINK("https://www.cs.utah.edu/graduate/prospective-students/admissions/graduate-financial-support-and-costs/","Open official source")</x:f>
        <x:v>HYPERLINK is not implemented. linkLocation=https://www.cs.utah.edu/graduate/prospective-students/admissions/graduate-financial-support-and-costs/, friendlyName=Open official source</x:v>
      </x:c>
      <x:c r="Q15" s="30" t="e">
        <x:f>HYPERLINK("https://www.cs.utah.edu/graduate/academic-programs/graduate-academic-program-overview/","Open official source")</x:f>
        <x:v>HYPERLINK is not implemented. linkLocation=https://www.cs.utah.edu/graduate/academic-programs/graduate-academic-program-overview/, friendlyName=Open official source</x:v>
      </x:c>
      <x:c r="R15" s="30" t="e">
        <x:f>HYPERLINK("https://users.cs.utah.edu/~regehr/","Open official source")</x:f>
        <x:v>HYPERLINK is not implemented. linkLocation=https://users.cs.utah.edu/~regehr/, friendlyName=Open official source</x:v>
      </x:c>
    </x:row>
    <x:row r="16" ht="46" customHeight="1">
      <x:c r="A16" s="27" t="str">
        <x:v>North Carolina State University at Raleigh</x:v>
      </x:c>
      <x:c r="B16" s="27" t="str">
        <x:v>Computer Science PhD</x:v>
      </x:c>
      <x:c r="C16" s="27" t="str">
        <x:v>Recommended</x:v>
      </x:c>
      <x:c r="D16" s="27" t="str">
        <x:v>Yes — original dissertation and defense required</x:v>
      </x:c>
      <x:c r="E16" s="27" t="str">
        <x:v>Every fall PhD admit who requests aid receives a four-year package with tuition, individual health insurance, and stipend; student fees and most summers are excluded.</x:v>
      </x:c>
      <x:c r="F16" s="27" t="str">
        <x:v>Yes — 72-credit route beyond a bachelor's degree Minimum: 3.0/4.0 typical Graduate School baseline</x:v>
      </x:c>
      <x:c r="G16" s="27" t="str">
        <x:v>Yes — international applicants are eligible for fall admission</x:v>
      </x:c>
      <x:c r="H16" s="27" t="str">
        <x:v>Strong fit for evaluating how developers use and validate AI-generated repairs.</x:v>
      </x:c>
      <x:c r="I16" s="30" t="e">
        <x:f>HYPERLINK("https://csc.ncsu.edu/academics/graduate/financial-aid-and-cost/","Open official source")</x:f>
        <x:v>HYPERLINK is not implemented. linkLocation=https://csc.ncsu.edu/academics/graduate/financial-aid-and-cost/, friendlyName=Open official source</x:v>
      </x:c>
      <x:c r="J16" s="27" t="str">
        <x:v>Official university/department page</x:v>
      </x:c>
      <x:c r="K16" s="27" t="str">
        <x:v>Recurring Fall priority date; Fall 2027 label not explicit</x:v>
      </x:c>
      <x:c r="L16" s="27" t="str">
        <x:v>2026-09-11</x:v>
      </x:c>
      <x:c r="M16" s="27" t="str">
        <x:v>Claim text manually compared with current official source</x:v>
      </x:c>
      <x:c r="N16" s="27" t="str">
        <x:v>Budget for fees and summers and verify year-five support before acceptance.</x:v>
      </x:c>
      <x:c r="O16" s="30" t="e">
        <x:f>HYPERLINK("https://csc.ncsu.edu/academics/graduate/phd/","Open official source")</x:f>
        <x:v>HYPERLINK is not implemented. linkLocation=https://csc.ncsu.edu/academics/graduate/phd/, friendlyName=Open official source</x:v>
      </x:c>
      <x:c r="P16" s="30" t="e">
        <x:f>HYPERLINK("https://csc.ncsu.edu/academics/graduate/financial-aid-and-cost/","Open official source")</x:f>
        <x:v>HYPERLINK is not implemented. linkLocation=https://csc.ncsu.edu/academics/graduate/financial-aid-and-cost/, friendlyName=Open official source</x:v>
      </x:c>
      <x:c r="Q16" s="30" t="e">
        <x:f>HYPERLINK("https://csc.ncsu.edu/academics/graduate/phd/","Open official source")</x:f>
        <x:v>HYPERLINK is not implemented. linkLocation=https://csc.ncsu.edu/academics/graduate/phd/, friendlyName=Open official source</x:v>
      </x:c>
      <x:c r="R16" s="30" t="e">
        <x:f>HYPERLINK("https://csc.ncsu.edu/people/ktstolee/","Open official source")</x:f>
        <x:v>HYPERLINK is not implemented. linkLocation=https://csc.ncsu.edu/people/ktstolee/, friendlyName=Open official source</x:v>
      </x:c>
    </x:row>
    <x:row r="17" ht="46" customHeight="1">
      <x:c r="A17" s="27" t="str">
        <x:v>Vanderbilt University</x:v>
      </x:c>
      <x:c r="B17" s="27" t="str">
        <x:v>Computer Science PhD</x:v>
      </x:c>
      <x:c r="C17" s="27" t="str">
        <x:v>Recommended</x:v>
      </x:c>
      <x:c r="D17" s="27" t="str">
        <x:v>Yes — original dissertation and defense required</x:v>
      </x:c>
      <x:c r="E17" s="27" t="str">
        <x:v>Computer Science PhD students receive a competitive stipend, full tuition waiver, and health insurance through RA or TA appointments.</x:v>
      </x:c>
      <x:c r="F17" s="27" t="str">
        <x:v>Yes — undergraduate transcripts and bachelor's/equivalent pathway are supported Minimum: No hard program minimum stated</x:v>
      </x:c>
      <x:c r="G17" s="27" t="str">
        <x:v>Yes — international English and waiver processes are published</x:v>
      </x:c>
      <x:c r="H17" s="27" t="str">
        <x:v>Excellent fit for secure, dependable software and evidence-rich evaluation of developer tooling.</x:v>
      </x:c>
      <x:c r="I17" s="30" t="e">
        <x:f>HYPERLINK("https://computing.vanderbilt.edu/csphd/","Open official source")</x:f>
        <x:v>HYPERLINK is not implemented. linkLocation=https://computing.vanderbilt.edu/csphd/, friendlyName=Open official source</x:v>
      </x:c>
      <x:c r="J17" s="27" t="str">
        <x:v>Official university/department page</x:v>
      </x:c>
      <x:c r="K17" s="27" t="str">
        <x:v>Fall 2027 waiver deadline; final deadline December 15, 2026</x:v>
      </x:c>
      <x:c r="L17" s="27" t="str">
        <x:v>2026-09-11</x:v>
      </x:c>
      <x:c r="M17" s="27" t="str">
        <x:v>Claim text manually compared with current official source</x:v>
      </x:c>
      <x:c r="N17" s="27" t="str">
        <x:v>None before applying; review duration and summer terms if admitted.</x:v>
      </x:c>
      <x:c r="O17" s="30" t="e">
        <x:f>HYPERLINK("https://computing.vanderbilt.edu/csphd/","Open official source")</x:f>
        <x:v>HYPERLINK is not implemented. linkLocation=https://computing.vanderbilt.edu/csphd/, friendlyName=Open official source</x:v>
      </x:c>
      <x:c r="P17" s="30" t="e">
        <x:f>HYPERLINK("https://computing.vanderbilt.edu/csphd/","Open official source")</x:f>
        <x:v>HYPERLINK is not implemented. linkLocation=https://computing.vanderbilt.edu/csphd/, friendlyName=Open official source</x:v>
      </x:c>
      <x:c r="Q17" s="30" t="e">
        <x:f>HYPERLINK("https://computing.vanderbilt.edu/csphd/","Open official source")</x:f>
        <x:v>HYPERLINK is not implemented. linkLocation=https://computing.vanderbilt.edu/csphd/, friendlyName=Open official source</x:v>
      </x:c>
      <x:c r="R17" s="30" t="e">
        <x:f>HYPERLINK("https://computing.vanderbilt.edu/bio/kevin-leach/","Open official source")</x:f>
        <x:v>HYPERLINK is not implemented. linkLocation=https://computing.vanderbilt.edu/bio/kevin-leach/, friendlyName=Open official source</x:v>
      </x:c>
    </x:row>
    <x:row r="18" ht="46" customHeight="1">
      <x:c r="A18" s="27" t="str">
        <x:v>Boston University</x:v>
      </x:c>
      <x:c r="B18" s="27" t="str">
        <x:v>PhD in Computer Science</x:v>
      </x:c>
      <x:c r="C18" s="27" t="str">
        <x:v>Recommended</x:v>
      </x:c>
      <x:c r="D18" s="27" t="str">
        <x:v>Advanced breadth and specialization requirements followed by original dissertation research</x:v>
      </x:c>
      <x:c r="E18" s="27" t="str">
        <x:v>Charles River Campus PhD students in good standing are guaranteed five years of 12-month stipend support, full tuition and required fees, and a health-insurance credit; international students are included.</x:v>
      </x:c>
      <x:c r="F18" s="27" t="str">
        <x:v>Yes — a completed bachelor's is sufficient; no master's prerequisite is published Minimum: No numeric CS PhD minimum published on the current program page</x:v>
      </x:c>
      <x:c r="G18" s="27" t="str">
        <x:v>Yes — international GRS PhD students are eligible and full-time PhD students receive fellowship aid</x:v>
      </x:c>
      <x:c r="H18" s="27" t="str">
        <x:v>Strong overlap with TerraProbe repair validation and Evidex correctness evidence through refinement and session types, formal verification, program analysis, and dependable distributed software.</x:v>
      </x:c>
      <x:c r="I18" s="30" t="e">
        <x:f>HYPERLINK("https://www.bu.edu/cas/admissions/phd-mfa/fellowship-aid/aid-for-phd-students/","Open official source")</x:f>
        <x:v>HYPERLINK is not implemented. linkLocation=https://www.bu.edu/cas/admissions/phd-mfa/fellowship-aid/aid-for-phd-students/, friendlyName=Open official source</x:v>
      </x:c>
      <x:c r="J18" s="27" t="str">
        <x:v>Official university/department page</x:v>
      </x:c>
      <x:c r="K18" s="27" t="str">
        <x:v>Fall 2027</x:v>
      </x:c>
      <x:c r="L18" s="27" t="str">
        <x:v>2026-09-11</x:v>
      </x:c>
      <x:c r="M18" s="27" t="str">
        <x:v>Claim text manually compared with current official source</x:v>
      </x:c>
      <x:c r="N18" s="27" t="str">
        <x:v>None before applying; compare the offer stipend with actual Boston living costs.</x:v>
      </x:c>
      <x:c r="O18" s="30" t="e">
        <x:f>HYPERLINK("https://www.bu.edu/cs/phd-program/","Open official source")</x:f>
        <x:v>HYPERLINK is not implemented. linkLocation=https://www.bu.edu/cs/phd-program/, friendlyName=Open official source</x:v>
      </x:c>
      <x:c r="P18" s="30" t="e">
        <x:f>HYPERLINK("https://www.bu.edu/cas/admissions/phd-mfa/fellowship-aid/aid-for-phd-students/","Open official source")</x:f>
        <x:v>HYPERLINK is not implemented. linkLocation=https://www.bu.edu/cas/admissions/phd-mfa/fellowship-aid/aid-for-phd-students/, friendlyName=Open official source</x:v>
      </x:c>
      <x:c r="Q18" s="30" t="e">
        <x:f>HYPERLINK("https://www.bu.edu/cs/phd-program/admissions/","Open official source")</x:f>
        <x:v>HYPERLINK is not implemented. linkLocation=https://www.bu.edu/cs/phd-program/admissions/, friendlyName=Open official source</x:v>
      </x:c>
      <x:c r="R18" s="30" t="e">
        <x:f>HYPERLINK("https://www.bu.edu/cs/profiles/ankush-das/","Open official source")</x:f>
        <x:v>HYPERLINK is not implemented. linkLocation=https://www.bu.edu/cs/profiles/ankush-das/, friendlyName=Open official source</x:v>
      </x:c>
    </x:row>
    <x:row r="19" ht="46" customHeight="1">
      <x:c r="A19" s="27" t="str">
        <x:v>Carnegie Mellon University</x:v>
      </x:c>
      <x:c r="B19" s="27" t="str">
        <x:v>Software Engineering PhD</x:v>
      </x:c>
      <x:c r="C19" s="27" t="str">
        <x:v>Recommended</x:v>
      </x:c>
      <x:c r="D19" s="27" t="str">
        <x:v>Yes — original dissertation and defense required</x:v>
      </x:c>
      <x:c r="E19" s="27" t="str">
        <x:v>The Software Engineering PhD advertises guaranteed research and teaching assistantships covering tuition and living expenses.</x:v>
      </x:c>
      <x:c r="F19" s="27" t="str">
        <x:v>Yes — SCS accepts applicants holding a bachelor's degree or equivalent Minimum: No hard program minimum located</x:v>
      </x:c>
      <x:c r="G19" s="27" t="str">
        <x:v>Yes — international applicants are explicitly covered by SCS graduate admissions</x:v>
      </x:c>
      <x:c r="H19" s="27" t="str">
        <x:v>Direct fit with TerraProbe's repair/evaluation work and reliable AI-assisted software development.</x:v>
      </x:c>
      <x:c r="I19" s="30" t="e">
        <x:f>HYPERLINK("https://se-phd.isri.cmu.edu/Prospective%20Students/index.html","Open official source")</x:f>
        <x:v>HYPERLINK is not implemented. linkLocation=https://se-phd.isri.cmu.edu/Prospective%20Students/index.html, friendlyName=Open official source</x:v>
      </x:c>
      <x:c r="J19" s="27" t="str">
        <x:v>Official university/department page</x:v>
      </x:c>
      <x:c r="K19" s="27" t="str">
        <x:v>Fall 2027 early-fee deadline; final deadline December 9, 2026</x:v>
      </x:c>
      <x:c r="L19" s="27" t="str">
        <x:v>2026-09-11</x:v>
      </x:c>
      <x:c r="M19" s="27" t="str">
        <x:v>Claim text manually compared with current official source</x:v>
      </x:c>
      <x:c r="N19" s="27" t="str">
        <x:v>None before applying; request a hardship waiver in the application if needed.</x:v>
      </x:c>
      <x:c r="O19" s="30" t="e">
        <x:f>HYPERLINK("https://se-phd.isri.cmu.edu/","Open official source")</x:f>
        <x:v>HYPERLINK is not implemented. linkLocation=https://se-phd.isri.cmu.edu/, friendlyName=Open official source</x:v>
      </x:c>
      <x:c r="P19" s="30" t="e">
        <x:f>HYPERLINK("https://se-phd.isri.cmu.edu/Prospective%20Students/index.html","Open official source")</x:f>
        <x:v>HYPERLINK is not implemented. linkLocation=https://se-phd.isri.cmu.edu/Prospective%20Students/index.html, friendlyName=Open official source</x:v>
      </x:c>
      <x:c r="Q19" s="30" t="e">
        <x:f>HYPERLINK("https://www.cs.cmu.edu/education/graduate-admissions","Open official source")</x:f>
        <x:v>HYPERLINK is not implemented. linkLocation=https://www.cs.cmu.edu/education/graduate-admissions, friendlyName=Open official source</x:v>
      </x:c>
      <x:c r="R19" s="30" t="e">
        <x:f>HYPERLINK("https://s3d.cmu.edu/people/core-faculty/legoues-claire.html","Open official source")</x:f>
        <x:v>HYPERLINK is not implemented. linkLocation=https://s3d.cmu.edu/people/core-faculty/legoues-claire.html, friendlyName=Open official source</x:v>
      </x:c>
    </x:row>
    <x:row r="20" ht="46" customHeight="1">
      <x:c r="A20" s="27" t="str">
        <x:v>University of Illinois Chicago</x:v>
      </x:c>
      <x:c r="B20" s="27" t="str">
        <x:v>PhD in Computer Science</x:v>
      </x:c>
      <x:c r="C20" s="27" t="str">
        <x:v>Conditional</x:v>
      </x:c>
      <x:c r="D20" s="27" t="str">
        <x:v>Doctoral coursework, preliminary examination, dissertation research, and defense</x:v>
      </x:c>
      <x:c r="E20" s="27" t="str">
        <x:v>The department guarantees a funded appointment for the first five years of the PhD</x:v>
      </x:c>
      <x:c r="F20" s="27" t="str">
        <x:v>Yes — bachelor's in computer science or a closely related field Minimum: 3.50/4.00 for the final 60 semester hours</x:v>
      </x:c>
      <x:c r="G20" s="27" t="str">
        <x:v>Yes — international applicants are accepted</x:v>
      </x:c>
      <x:c r="H20" s="27" t="str">
        <x:v>Strong overlap with TerraProbe and Evidex through proof-driven reliable software, program generation and analysis, software quality assurance, reproducibility, and evidence-centered system validation.</x:v>
      </x:c>
      <x:c r="I20" s="30" t="e">
        <x:f>HYPERLINK("https://cs.uic.edu/graduate/admissions/phd/","Open official source")</x:f>
        <x:v>HYPERLINK is not implemented. linkLocation=https://cs.uic.edu/graduate/admissions/phd/, friendlyName=Open official source</x:v>
      </x:c>
      <x:c r="J20" s="27" t="str">
        <x:v>Official university/department page</x:v>
      </x:c>
      <x:c r="K20" s="27" t="str">
        <x:v>Latest program schedule; Fall 2027 year not explicitly printed</x:v>
      </x:c>
      <x:c r="L20" s="27" t="str">
        <x:v>2026-09-11</x:v>
      </x:c>
      <x:c r="M20" s="27" t="str">
        <x:v>Conditional; one decision-changing question remains</x:v>
      </x:c>
      <x:c r="N20" s="27" t="str">
        <x:v>Does Mitch's exact final-60-semester-hour GPA meet UIC's 3.50 requirement, and will the Fall 2027 fee reduction recur?</x:v>
      </x:c>
      <x:c r="O20" s="30" t="e">
        <x:f>HYPERLINK("https://catalog.uic.edu/gcat/colleges-schools/engineering/cs/phd/","Open official source")</x:f>
        <x:v>HYPERLINK is not implemented. linkLocation=https://catalog.uic.edu/gcat/colleges-schools/engineering/cs/phd/, friendlyName=Open official source</x:v>
      </x:c>
      <x:c r="P20" s="30" t="e">
        <x:f>HYPERLINK("https://cs.uic.edu/graduate/admissions/phd/","Open official source")</x:f>
        <x:v>HYPERLINK is not implemented. linkLocation=https://cs.uic.edu/graduate/admissions/phd/, friendlyName=Open official source</x:v>
      </x:c>
      <x:c r="Q20" s="30" t="e">
        <x:f>HYPERLINK("https://catalog.uic.edu/gcat/colleges-schools/engineering/cs/phd/","Open official source")</x:f>
        <x:v>HYPERLINK is not implemented. linkLocation=https://catalog.uic.edu/gcat/colleges-schools/engineering/cs/phd/, friendlyName=Open official source</x:v>
      </x:c>
      <x:c r="R20" s="30" t="e">
        <x:f>HYPERLINK("https://cs.uic.edu/profiles/mark-grechanik/","Open official source")</x:f>
        <x:v>HYPERLINK is not implemented. linkLocation=https://cs.uic.edu/profiles/mark-grechanik/, friendlyName=Open official source</x:v>
      </x:c>
    </x:row>
    <x:row r="21" ht="46" customHeight="1">
      <x:c r="A21" s="27" t="str">
        <x:v>William &amp; Mary</x:v>
      </x:c>
      <x:c r="B21" s="27" t="str">
        <x:v>Computer Science PhD</x:v>
      </x:c>
      <x:c r="C21" s="27" t="str">
        <x:v>Conditional</x:v>
      </x:c>
      <x:c r="D21" s="27" t="str">
        <x:v>Yes — original dissertation and defense required</x:v>
      </x:c>
      <x:c r="E21" s="27" t="str">
        <x:v>All admitted full-time PhD and MS/PhD students receive a stipend and full tuition waiver</x:v>
      </x:c>
      <x:c r="F21" s="27" t="str">
        <x:v>Yes — master's degree is not required for the PhD Minimum: No hard program minimum verified</x:v>
      </x:c>
      <x:c r="G21" s="27" t="str">
        <x:v>Yes — international deadlines and visa considerations are stated</x:v>
      </x:c>
      <x:c r="H21" s="27" t="str">
        <x:v>Exceptional fit for empirical evaluation of AI-generated repairs and code provenance.</x:v>
      </x:c>
      <x:c r="I21" s="30" t="e">
        <x:f>HYPERLINK("https://cdsp.wm.edu/admissions/graduate/","Open official source")</x:f>
        <x:v>HYPERLINK is not implemented. linkLocation=https://cdsp.wm.edu/admissions/graduate/, friendlyName=Open official source</x:v>
      </x:c>
      <x:c r="J21" s="27" t="str">
        <x:v>Official university/department page</x:v>
      </x:c>
      <x:c r="K21" s="27" t="str">
        <x:v>Current page lists February 15 funding priority, March 15 international/visa, June 1 other; Fall 2027 not explicitly labeled</x:v>
      </x:c>
      <x:c r="L21" s="27" t="str">
        <x:v>2026-09-11</x:v>
      </x:c>
      <x:c r="M21" s="27" t="str">
        <x:v>Conditional; one decision-changing question remains</x:v>
      </x:c>
      <x:c r="N21" s="27" t="str">
        <x:v>Does every Fall 2027 Computer Science PhD admit receive a multi-year stipend and full tuition waiver, or can admission be offered without support?</x:v>
      </x:c>
      <x:c r="O21" s="30" t="e">
        <x:f>HYPERLINK("https://cdsp.wm.edu/admissions/graduate/computer-science/","Open official source")</x:f>
        <x:v>HYPERLINK is not implemented. linkLocation=https://cdsp.wm.edu/admissions/graduate/computer-science/, friendlyName=Open official source</x:v>
      </x:c>
      <x:c r="P21" s="30" t="e">
        <x:f>HYPERLINK("https://cdsp.wm.edu/admissions/graduate/computer-science/","Open official source")</x:f>
        <x:v>HYPERLINK is not implemented. linkLocation=https://cdsp.wm.edu/admissions/graduate/computer-science/, friendlyName=Open official source</x:v>
      </x:c>
      <x:c r="Q21" s="30" t="e">
        <x:f>HYPERLINK("https://cdsp.wm.edu/admissions/graduate/computer-science/","Open official source")</x:f>
        <x:v>HYPERLINK is not implemented. linkLocation=https://cdsp.wm.edu/admissions/graduate/computer-science/, friendlyName=Open official source</x:v>
      </x:c>
      <x:c r="R21" s="30" t="e">
        <x:f>HYPERLINK("https://www.cs.wm.edu/~dposhyvanyk/index.html","Open official source")</x:f>
        <x:v>HYPERLINK is not implemented. linkLocation=https://www.cs.wm.edu/~dposhyvanyk/index.html, friendlyName=Open official source</x:v>
      </x:c>
    </x:row>
    <x:row r="22" ht="46" customHeight="1">
      <x:c r="A22" s="27" t="str">
        <x:v>Rensselaer Polytechnic Institute</x:v>
      </x:c>
      <x:c r="B22" s="27" t="str">
        <x:v>Ph.D. in Computer Science</x:v>
      </x:c>
      <x:c r="C22" s="27" t="str">
        <x:v>Conditional</x:v>
      </x:c>
      <x:c r="D22" s="27" t="str">
        <x:v>Core and research qualifying exams, candidacy exam, original research, dissertation, and defense</x:v>
      </x:c>
      <x:c r="E22" s="27" t="str">
        <x:v>Most CS graduate students receive tuition-and-stipend support that the department describes as guaranteed for the PhD duration</x:v>
      </x:c>
      <x:c r="F22" s="27" t="str">
        <x:v>Yes; the doctorate accepts students with or without an MS Minimum: No numeric department minimum published on the program page checked</x:v>
      </x:c>
      <x:c r="G22" s="27" t="str">
        <x:v>Yes, subject to credential and English requirements</x:v>
      </x:c>
      <x:c r="H22" s="27" t="str">
        <x:v>Strong TerraProbe overlap through formal verification of adaptive distributed systems, software verification, and cloud-to-edge middleware with explicit safety guarantees.</x:v>
      </x:c>
      <x:c r="I22" s="30" t="e">
        <x:f>HYPERLINK("https://compsci.rpi.edu/programs/phd-computer-science","Open official source")</x:f>
        <x:v>HYPERLINK is not implemented. linkLocation=https://compsci.rpi.edu/programs/phd-computer-science, friendlyName=Open official source</x:v>
      </x:c>
      <x:c r="J22" s="27" t="str">
        <x:v>Official university/department page</x:v>
      </x:c>
      <x:c r="K22" s="27" t="str">
        <x:v>Current program page checked 2026-09-11; Fall 2027 cycle must be reconfirmed</x:v>
      </x:c>
      <x:c r="L22" s="27" t="str">
        <x:v>2026-09-11</x:v>
      </x:c>
      <x:c r="M22" s="27" t="str">
        <x:v>Conditional; one decision-changing question remains</x:v>
      </x:c>
      <x:c r="N22" s="27" t="str">
        <x:v>Is full tuition-and-stipend support guaranteed to every Fall 2027 Computer Science PhD admit for the full degree?</x:v>
      </x:c>
      <x:c r="O22" s="30" t="e">
        <x:f>HYPERLINK("https://compsci.rpi.edu/programs/phd-computer-science","Open official source")</x:f>
        <x:v>HYPERLINK is not implemented. linkLocation=https://compsci.rpi.edu/programs/phd-computer-science, friendlyName=Open official source</x:v>
      </x:c>
      <x:c r="P22" s="30" t="e">
        <x:f>HYPERLINK("https://compsci.rpi.edu/programs/phd-computer-science","Open official source")</x:f>
        <x:v>HYPERLINK is not implemented. linkLocation=https://compsci.rpi.edu/programs/phd-computer-science, friendlyName=Open official source</x:v>
      </x:c>
      <x:c r="Q22" s="30" t="e">
        <x:f>HYPERLINK("https://compsci.rpi.edu/programs/phd-computer-science","Open official source")</x:f>
        <x:v>HYPERLINK is not implemented. linkLocation=https://compsci.rpi.edu/programs/phd-computer-science, friendlyName=Open official source</x:v>
      </x:c>
      <x:c r="R22" s="30" t="e">
        <x:f>HYPERLINK("https://faculty.rpi.edu/carlos-varela","Open official source")</x:f>
        <x:v>HYPERLINK is not implemented. linkLocation=https://faculty.rpi.edu/carlos-varela, friendlyName=Open official source</x:v>
      </x:c>
    </x:row>
    <x:row r="23" ht="46" customHeight="1">
      <x:c r="A23" s="27" t="str">
        <x:v>McMaster University</x:v>
      </x:c>
      <x:c r="B23" s="27" t="str">
        <x:v>Master of Applied Science in Software Engineering</x:v>
      </x:c>
      <x:c r="C23" s="27" t="str">
        <x:v>Conditional</x:v>
      </x:c>
      <x:c r="D23" s="27" t="str">
        <x:v>Research-intensive master's with supervised thesis</x:v>
      </x:c>
      <x:c r="E23" s="27" t="str">
        <x:v>The department states that full-time MASc and MSc students receive funding</x:v>
      </x:c>
      <x:c r="F23" s="27" t="str">
        <x:v>Yes — a four-year honours degree in engineering, science, or an equivalent computing field is accepted Minimum: B+ minimum, described as approximately 77–79%</x:v>
      </x:c>
      <x:c r="G23" s="27" t="str">
        <x:v>Yes — international deadline, fee, and English rules are published</x:v>
      </x:c>
      <x:c r="H23" s="27" t="str">
        <x:v>Strong TerraProbe and Evidex overlap through automated model transformations, safety and security assurance, software certification evidence, testing, and model-driven development for critical systems.</x:v>
      </x:c>
      <x:c r="I23" s="30" t="e">
        <x:f>HYPERLINK("https://www.eng.mcmaster.ca/app/uploads/2024/03/Application_FAQ_Graduate_Computing-and-Software.pdf","Open official source")</x:f>
        <x:v>HYPERLINK is not implemented. linkLocation=https://www.eng.mcmaster.ca/app/uploads/2024/03/Application_FAQ_Graduate_Computing-and-Software.pdf, friendlyName=Open official source</x:v>
      </x:c>
      <x:c r="J23" s="27" t="str">
        <x:v>Official university/department page</x:v>
      </x:c>
      <x:c r="K23" s="27" t="str">
        <x:v>Latest department information checked 2026-09-11; Fall 2027 is not explicitly labeled</x:v>
      </x:c>
      <x:c r="L23" s="27" t="str">
        <x:v>2026-09-11</x:v>
      </x:c>
      <x:c r="M23" s="27" t="str">
        <x:v>Conditional; one decision-changing question remains</x:v>
      </x:c>
      <x:c r="N23" s="27" t="str">
        <x:v>What two-year package would a willing supervisor guarantee after international tuition and supplementary fees?</x:v>
      </x:c>
      <x:c r="O23" s="30" t="e">
        <x:f>HYPERLINK("https://www.eng.mcmaster.ca/cas/degree-options/software-engineering-masc/","Open official source")</x:f>
        <x:v>HYPERLINK is not implemented. linkLocation=https://www.eng.mcmaster.ca/cas/degree-options/software-engineering-masc/, friendlyName=Open official source</x:v>
      </x:c>
      <x:c r="P23" s="30" t="e">
        <x:f>HYPERLINK("https://www.eng.mcmaster.ca/app/uploads/2024/03/Application_FAQ_Graduate_Computing-and-Software.pdf","Open official source")</x:f>
        <x:v>HYPERLINK is not implemented. linkLocation=https://www.eng.mcmaster.ca/app/uploads/2024/03/Application_FAQ_Graduate_Computing-and-Software.pdf, friendlyName=Open official source</x:v>
      </x:c>
      <x:c r="Q23" s="30" t="e">
        <x:f>HYPERLINK("https://www.eng.mcmaster.ca/cas/degree-options/software-engineering-masc/","Open official source")</x:f>
        <x:v>HYPERLINK is not implemented. linkLocation=https://www.eng.mcmaster.ca/cas/degree-options/software-engineering-masc/, friendlyName=Open official source</x:v>
      </x:c>
      <x:c r="R23" s="30" t="e">
        <x:f>HYPERLINK("https://www.eng.mcmaster.ca/cas/faculty/dr-richard-paige/","Open official source")</x:f>
        <x:v>HYPERLINK is not implemented. linkLocation=https://www.eng.mcmaster.ca/cas/faculty/dr-richard-paige/, friendlyName=Open official source</x:v>
      </x:c>
    </x:row>
    <x:row r="24" ht="46" customHeight="1">
      <x:c r="A24" s="27" t="str">
        <x:v>Simon Fraser University</x:v>
      </x:c>
      <x:c r="B24" s="27" t="str">
        <x:v>Master of Applied Science in Engineering Science</x:v>
      </x:c>
      <x:c r="C24" s="27" t="str">
        <x:v>Conditional</x:v>
      </x:c>
      <x:c r="D24" s="27" t="str">
        <x:v>Coursework, supervised exploratory research, thesis, and defense</x:v>
      </x:c>
      <x:c r="E24" s="27" t="str">
        <x:v>School states that it provides support to thesis MASc students and that research funding lasts two years</x:v>
      </x:c>
      <x:c r="F24" s="27" t="str">
        <x:v>Yes; relevant bachelor's degree or equivalent with required academic standing Minimum: 3.0 cumulative GPA or equivalent published in the official program framework</x:v>
      </x:c>
      <x:c r="G24" s="27" t="str">
        <x:v>Yes, subject to credential and English requirements</x:v>
      </x:c>
      <x:c r="H24" s="27" t="str">
        <x:v>Strong TerraProbe overlap through software-defined acceleration, compiler and runtime tooling, datacenter-scale systems, and systematic performance and reliability evaluation across the computing stack.</x:v>
      </x:c>
      <x:c r="I24" s="30" t="e">
        <x:f>HYPERLINK("https://www.sfu.ca/fas/study/future-graduates/programs/master-applied-science.html","Open official source")</x:f>
        <x:v>HYPERLINK is not implemented. linkLocation=https://www.sfu.ca/fas/study/future-graduates/programs/master-applied-science.html, friendlyName=Open official source</x:v>
      </x:c>
      <x:c r="J24" s="27" t="str">
        <x:v>Official university/department page</x:v>
      </x:c>
      <x:c r="K24" s="27" t="str">
        <x:v>Current pages checked 2026-09-11; Fall 2027 cycle unresolved</x:v>
      </x:c>
      <x:c r="L24" s="27" t="str">
        <x:v>2026-09-11</x:v>
      </x:c>
      <x:c r="M24" s="27" t="str">
        <x:v>Conditional; one decision-changing question remains</x:v>
      </x:c>
      <x:c r="N24" s="27" t="str">
        <x:v>What minimum two-year funding and tuition offset will a willing supervisor commit for an international MASc student?</x:v>
      </x:c>
      <x:c r="O24" s="30" t="e">
        <x:f>HYPERLINK("https://www.sfu.ca/fas/study/future-graduates/programs/master-applied-science.html","Open official source")</x:f>
        <x:v>HYPERLINK is not implemented. linkLocation=https://www.sfu.ca/fas/study/future-graduates/programs/master-applied-science.html, friendlyName=Open official source</x:v>
      </x:c>
      <x:c r="P24" s="30" t="e">
        <x:f>HYPERLINK("https://www.sfu.ca/fas/study/future-graduates/programs/master-applied-science.html","Open official source")</x:f>
        <x:v>HYPERLINK is not implemented. linkLocation=https://www.sfu.ca/fas/study/future-graduates/programs/master-applied-science.html, friendlyName=Open official source</x:v>
      </x:c>
      <x:c r="Q24" s="30" t="e">
        <x:f>HYPERLINK("https://www.sfu.ca/fas/study/future-graduates/programs/master-applied-science.html","Open official source")</x:f>
        <x:v>HYPERLINK is not implemented. linkLocation=https://www.sfu.ca/fas/study/future-graduates/programs/master-applied-science.html, friendlyName=Open official source</x:v>
      </x:c>
      <x:c r="R24" s="30" t="e">
        <x:f>HYPERLINK("https://www.sfu.ca/fas/schools/engineering-science/faculty/faculty-members/zhenman-fang.html","Open official source")</x:f>
        <x:v>HYPERLINK is not implemented. linkLocation=https://www.sfu.ca/fas/schools/engineering-science/faculty/faculty-members/zhenman-fang.html, friendlyName=Open official source</x:v>
      </x:c>
    </x:row>
    <x:row r="25" ht="46" customHeight="1">
      <x:c r="A25" s="27" t="str">
        <x:v>University of Calgary</x:v>
      </x:c>
      <x:c r="B25" s="27" t="str">
        <x:v>PhD in Computer Science (without completed MSc)</x:v>
      </x:c>
      <x:c r="C25" s="27" t="str">
        <x:v>Conditional</x:v>
      </x:c>
      <x:c r="D25" s="27" t="str">
        <x:v>Coursework, single-authored scientific paper, candidacy exam, and dissertation</x:v>
      </x:c>
      <x:c r="E25" s="27" t="str">
        <x:v>Guaranteed department minimum for four years; direct-from-bachelor expected time is five years, leaving a duration gap</x:v>
      </x:c>
      <x:c r="F25" s="27" t="str">
        <x:v>Unclear — a five-year path without a completed MSc is described, but external direct admission from a bachelor's was not explicitly verified. Minimum: 3.0/4.0 over last two years (central/department minimum)</x:v>
      </x:c>
      <x:c r="G25" s="27" t="str">
        <x:v>yes</x:v>
      </x:c>
      <x:c r="H25" s="27" t="str">
        <x:v>Program-level fit remains adequate in the Pass 2 corpus.</x:v>
      </x:c>
      <x:c r="I25" s="30" t="e">
        <x:f>HYPERLINK("https://science.ucalgary.ca/computer-science/future-students/graduate/admission-requirements","Open official source")</x:f>
        <x:v>HYPERLINK is not implemented. linkLocation=https://science.ucalgary.ca/computer-science/future-students/graduate/admission-requirements, friendlyName=Open official source</x:v>
      </x:c>
      <x:c r="J25" s="27" t="str">
        <x:v>Official university/department page</x:v>
      </x:c>
      <x:c r="K25" s="27" t="str">
        <x:v>Official pages state recurring Fall deadlines but do not label calendar year 2027.</x:v>
      </x:c>
      <x:c r="L25" s="27" t="str">
        <x:v>2026-09-11</x:v>
      </x:c>
      <x:c r="M25" s="27" t="str">
        <x:v>Conditional; one decision-changing question remains</x:v>
      </x:c>
      <x:c r="N25" s="27" t="str">
        <x:v>Will the department extend its four-year guaranteed minimum through the expected fifth year for a direct-from-bachelor PhD student?</x:v>
      </x:c>
      <x:c r="O25" s="30" t="e">
        <x:f>HYPERLINK("https://science.ucalgary.ca/computer-science/future-students/graduate/thesis-programs/doctoral-thesis-based","Open official source")</x:f>
        <x:v>HYPERLINK is not implemented. linkLocation=https://science.ucalgary.ca/computer-science/future-students/graduate/thesis-programs/doctoral-thesis-based, friendlyName=Open official source</x:v>
      </x:c>
      <x:c r="P25" s="30" t="e">
        <x:f>HYPERLINK("https://science.ucalgary.ca/computer-science/future-students/graduate/admission-requirements","Open official source")</x:f>
        <x:v>HYPERLINK is not implemented. linkLocation=https://science.ucalgary.ca/computer-science/future-students/graduate/admission-requirements, friendlyName=Open official source</x:v>
      </x:c>
      <x:c r="Q25" s="30" t="e">
        <x:f>HYPERLINK("https://science.ucalgary.ca/computer-science/future-students/graduate/admission-requirements","Open official source")</x:f>
        <x:v>HYPERLINK is not implemented. linkLocation=https://science.ucalgary.ca/computer-science/future-students/graduate/admission-requirements, friendlyName=Open official source</x:v>
      </x:c>
      <x:c r="R25" s="27" t="str"/>
    </x:row>
    <x:row r="26" ht="46" customHeight="1">
      <x:c r="A26" s="27" t="str">
        <x:v>Trent University</x:v>
      </x:c>
      <x:c r="B26" s="27" t="str">
        <x:v>MSc in Applied Modelling and Quantitative Methods — Thesis Stream</x:v>
      </x:c>
      <x:c r="C26" s="27" t="str">
        <x:v>Conditional</x:v>
      </x:c>
      <x:c r="D26" s="27" t="str">
        <x:v>Two-year research master's with supervisor-guided modelling research and thesis</x:v>
      </x:c>
      <x:c r="E26" s="27" t="str">
        <x:v>Eligible full-time research master's students are guaranteed a published package range, but international net sufficiency is unresolved</x:v>
      </x:c>
      <x:c r="F26" s="27" t="str">
        <x:v>Yes — a four-year honours degree or equivalent with quantitative and programming preparation is accepted Minimum: B+ or 77 percent in the last two years</x:v>
      </x:c>
      <x:c r="G26" s="27" t="str">
        <x:v>Yes — international equivalency and funding guidance are published</x:v>
      </x:c>
      <x:c r="H26" s="27" t="str">
        <x:v>Strong Evidex overlap through model validation, model exchange, differencing, conflict detection, and repository evidence; TerraProbe overlaps through cyber-physical and transit-system modelling.</x:v>
      </x:c>
      <x:c r="I26" s="30" t="e">
        <x:f>HYPERLINK("https://www.trentu.ca/graduatestudies/funding-tuition/funding","Open official source")</x:f>
        <x:v>HYPERLINK is not implemented. linkLocation=https://www.trentu.ca/graduatestudies/funding-tuition/funding, friendlyName=Open official source</x:v>
      </x:c>
      <x:c r="J26" s="27" t="str">
        <x:v>Official university/department page</x:v>
      </x:c>
      <x:c r="K26" s="27" t="str">
        <x:v>Recurring fall close date checked 2026-09-11; reconfirm for Fall 2027</x:v>
      </x:c>
      <x:c r="L26" s="27" t="str">
        <x:v>2026-09-11</x:v>
      </x:c>
      <x:c r="M26" s="27" t="str">
        <x:v>Conditional; one decision-changing question remains</x:v>
      </x:c>
      <x:c r="N26" s="27" t="str">
        <x:v>What guaranteed two-year amount remains after international tuition and fees for this thesis-stream MSc?</x:v>
      </x:c>
      <x:c r="O26" s="30" t="e">
        <x:f>HYPERLINK("https://www.trentu.ca/graduatestudies/program/applied-modelling-quantitative-methods-ma-or-msc/thesis-stream","Open official source")</x:f>
        <x:v>HYPERLINK is not implemented. linkLocation=https://www.trentu.ca/graduatestudies/program/applied-modelling-quantitative-methods-ma-or-msc/thesis-stream, friendlyName=Open official source</x:v>
      </x:c>
      <x:c r="P26" s="30" t="e">
        <x:f>HYPERLINK("https://www.trentu.ca/graduatestudies/funding-tuition/funding","Open official source")</x:f>
        <x:v>HYPERLINK is not implemented. linkLocation=https://www.trentu.ca/graduatestudies/funding-tuition/funding, friendlyName=Open official source</x:v>
      </x:c>
      <x:c r="Q26" s="30" t="e">
        <x:f>HYPERLINK("https://www.trentu.ca/graduatestudies/program/applied-modelling-quantitative-methods-ma-or-msc/thesis-stream","Open official source")</x:f>
        <x:v>HYPERLINK is not implemented. linkLocation=https://www.trentu.ca/graduatestudies/program/applied-modelling-quantitative-methods-ma-or-msc/thesis-stream, friendlyName=Open official source</x:v>
      </x:c>
      <x:c r="R26" s="30" t="e">
        <x:f>HYPERLINK("https://www.trentu.ca/cois/faculty-research","Open official source")</x:f>
        <x:v>HYPERLINK is not implemented. linkLocation=https://www.trentu.ca/cois/faculty-research, friendlyName=Open official source</x:v>
      </x:c>
    </x:row>
    <x:row r="27" ht="46" customHeight="1">
      <x:c r="A27" s="28" t="str">
        <x:v>Portland State University</x:v>
      </x:c>
      <x:c r="B27" s="28" t="str">
        <x:v>Doctoral Degree in Computer Science (Ph.D.)</x:v>
      </x:c>
      <x:c r="C27" s="28" t="str">
        <x:v>Conditional</x:v>
      </x:c>
      <x:c r="D27" s="28" t="str">
        <x:v>Research proficiency examination, dissertation proposal, original dissertation research, and defense</x:v>
      </x:c>
      <x:c r="E27" s="28" t="str">
        <x:v>Priority applicants may be considered for one year of guaranteed funding; multi-year support is not published</x:v>
      </x:c>
      <x:c r="F27" s="28" t="str">
        <x:v>Yes; students may enter with a bachelor's or master's degree and adequate CS preparation Minimum: 3.0 undergraduate GPA</x:v>
      </x:c>
      <x:c r="G27" s="28" t="str">
        <x:v>Yes, subject to English and credential requirements</x:v>
      </x:c>
      <x:c r="H27" s="28" t="str">
        <x:v>Strong TerraProbe overlap through automated software verification, concolic testing, compiler transformation validation, and current teaching on agentic software engineering.</x:v>
      </x:c>
      <x:c r="I27" s="31" t="e">
        <x:f>HYPERLINK("https://web.cs.pdx.edu/phd-doctoral-degree-in-cs/","Open official source")</x:f>
        <x:v>HYPERLINK is not implemented. linkLocation=https://web.cs.pdx.edu/phd-doctoral-degree-in-cs/, friendlyName=Open official source</x:v>
      </x:c>
      <x:c r="J27" s="28" t="str">
        <x:v>Official university/department page</x:v>
      </x:c>
      <x:c r="K27" s="28" t="str">
        <x:v>2026-27 handbook recurring fall deadlines checked 2026-09-11; Fall 2027 confirmation required</x:v>
      </x:c>
      <x:c r="L27" s="28" t="str">
        <x:v>2026-09-11</x:v>
      </x:c>
      <x:c r="M27" s="28" t="str">
        <x:v>Conditional; one decision-changing question remains</x:v>
      </x:c>
      <x:c r="N27" s="28" t="str">
        <x:v>Will a Fall 2027 offer guarantee renewable support after year one, including adequate insurance and summer coverage?</x:v>
      </x:c>
      <x:c r="O27" s="31" t="e">
        <x:f>HYPERLINK("https://web.cs.pdx.edu/phd-doctoral-degree-in-cs/","Open official source")</x:f>
        <x:v>HYPERLINK is not implemented. linkLocation=https://web.cs.pdx.edu/phd-doctoral-degree-in-cs/, friendlyName=Open official source</x:v>
      </x:c>
      <x:c r="P27" s="31" t="e">
        <x:f>HYPERLINK("https://web.cs.pdx.edu/cs-graduate-student-handbook-2026-27/","Open official source")</x:f>
        <x:v>HYPERLINK is not implemented. linkLocation=https://web.cs.pdx.edu/cs-graduate-student-handbook-2026-27/, friendlyName=Open official source</x:v>
      </x:c>
      <x:c r="Q27" s="31" t="e">
        <x:f>HYPERLINK("https://web.cs.pdx.edu/phd-doctoral-degree-in-cs/","Open official source")</x:f>
        <x:v>HYPERLINK is not implemented. linkLocation=https://web.cs.pdx.edu/phd-doctoral-degree-in-cs/, friendlyName=Open official source</x:v>
      </x:c>
      <x:c r="R27" s="31" t="e">
        <x:f>HYPERLINK("https://web.cecs.pdx.edu/xie/","Open official source")</x:f>
        <x:v>HYPERLINK is not implemented. linkLocation=https://web.cecs.pdx.edu/xie/, friendlyName=Open official source</x:v>
      </x:c>
    </x:row>
  </x:sheetData>
  <x:conditionalFormatting sqref="C5:C27">
    <x:cfRule type="containsText" dxfId="3" priority="1" operator="containsText" text="Conditional"/>
    <x:cfRule type="containsText" dxfId="4" priority="2" operator="containsText" text="Do Not Apply"/>
    <x:cfRule type="containsText" dxfId="5" priority="3" operator="containsText" text="Strongest"/>
  </x:conditionalFormatting>
  <x:pageMargins left="0.7" right="0.7" top="0.75" bottom="0.75" header="0.3" footer="0.3"/>
  <x:tableParts count="1">
    <x:tablePart xmlns:r="http://schemas.openxmlformats.org/officeDocument/2006/relationships" r:id="Rf01a6ce2aa844377"/>
  </x:tableParts>
</x:worksheet>
</file>

<file path=xl/worksheets/sheet3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0" hidden="0" customWidth="1"/>
    <x:col min="4" max="4" width="20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17" hidden="0" customWidth="1"/>
    <x:col min="11" max="11" width="34" hidden="0" customWidth="1"/>
  </x:cols>
  <x:sheetData>
    <x:row r="2" ht="25" customHeight="1">
      <x:c r="A2" s="3" t="str">
        <x:v>Exclusions and Conditional Programs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0" customHeight="1">
      <x:c r="A3" s="4" t="str">
        <x:v>Conditional rows need one decision-changing answer. Do Not Apply rows fail a gate or lose on the program-first funding, admission, fit, and cost comparison.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42" customHeight="1">
      <x:c r="A4" s="16" t="str">
        <x:v>University</x:v>
      </x:c>
      <x:c r="B4" s="17" t="str">
        <x:v>Program</x:v>
      </x:c>
      <x:c r="C4" s="17" t="str">
        <x:v>Previous Status</x:v>
      </x:c>
      <x:c r="D4" s="17" t="str">
        <x:v>Revised Status</x:v>
      </x:c>
      <x:c r="E4" s="17" t="str">
        <x:v>Primary Exclusion Reason</x:v>
      </x:c>
      <x:c r="F4" s="17" t="str">
        <x:v>Funding Problem</x:v>
      </x:c>
      <x:c r="G4" s="17" t="str">
        <x:v>Eligibility Problem</x:v>
      </x:c>
      <x:c r="H4" s="17" t="str">
        <x:v>Fit Problem</x:v>
      </x:c>
      <x:c r="I4" s="17" t="str">
        <x:v>Application Economics Problem</x:v>
      </x:c>
      <x:c r="J4" s="17" t="str">
        <x:v>Evidence URL</x:v>
      </x:c>
      <x:c r="K4" s="18" t="str">
        <x:v>Reconsideration Condition</x:v>
      </x:c>
    </x:row>
    <x:row r="5" ht="46" customHeight="1">
      <x:c r="A5" s="26" t="str">
        <x:v>Washington University in St Louis</x:v>
      </x:c>
      <x:c r="B5" s="26" t="str">
        <x:v>Computer Science PhD</x:v>
      </x:c>
      <x:c r="C5" s="26" t="str">
        <x:v>Pass 2 active portfolio</x:v>
      </x:c>
      <x:c r="D5" s="26" t="str">
        <x:v>Do Not Apply</x:v>
      </x:c>
      <x:c r="E5" s="26" t="str">
        <x:v>Removed from the Pass 2 active portfolio because the funding/admission/economics combination is weaker than the selected 15 programs.</x:v>
      </x:c>
      <x:c r="F5" s="26" t="str"/>
      <x:c r="G5" s="26" t="str"/>
      <x:c r="H5" s="26" t="str"/>
      <x:c r="I5" s="26" t="str">
        <x:v>The fee or applicable waiver is high, unknown, or unverified.</x:v>
      </x:c>
      <x:c r="J5" s="29" t="e">
        <x:f>HYPERLINK("https://admin.aprc.wustl.edu/academics/graduate-admissions/index.html","Open official source")</x:f>
        <x:v>HYPERLINK is not implemented. linkLocation=https://admin.aprc.wustl.edu/academics/graduate-admissions/index.html, friendlyName=Open official source</x:v>
      </x:c>
      <x:c r="K5" s="26" t="str">
        <x:v>Reconsider only if direct official evidence materially improves the failed gate or application economics.</x:v>
      </x:c>
    </x:row>
    <x:row r="6" ht="46" customHeight="1">
      <x:c r="A6" s="27" t="str">
        <x:v>University of Colorado Boulder</x:v>
      </x:c>
      <x:c r="B6" s="27" t="str">
        <x:v>Doctor of Philosophy in Computer Science</x:v>
      </x:c>
      <x:c r="C6" s="27" t="str">
        <x:v>Pass 2 active portfolio</x:v>
      </x:c>
      <x:c r="D6" s="27" t="str">
        <x:v>Do Not Apply</x:v>
      </x:c>
      <x:c r="E6" s="27" t="str">
        <x:v>Removed from the Pass 2 active portfolio because the funding/admission/economics combination is weaker than the selected 15 programs.</x:v>
      </x:c>
      <x:c r="F6" s="27" t="str"/>
      <x:c r="G6" s="27" t="str"/>
      <x:c r="H6" s="27" t="str"/>
      <x:c r="I6" s="27" t="str"/>
      <x:c r="J6" s="30" t="e">
        <x:f>HYPERLINK("https://www.colorado.edu/cs/graduate-admissions/faqs","Open official source")</x:f>
        <x:v>HYPERLINK is not implemented. linkLocation=https://www.colorado.edu/cs/graduate-admissions/faqs, friendlyName=Open official source</x:v>
      </x:c>
      <x:c r="K6" s="27" t="str">
        <x:v>Reconsider only if direct official evidence materially improves the failed gate or application economics.</x:v>
      </x:c>
    </x:row>
    <x:row r="7" ht="46" customHeight="1">
      <x:c r="A7" s="27" t="str">
        <x:v>University of Massachusetts-Amherst</x:v>
      </x:c>
      <x:c r="B7" s="27" t="str">
        <x:v>Computer Science PhD</x:v>
      </x:c>
      <x:c r="C7" s="27" t="str">
        <x:v>Pass 2 active portfolio</x:v>
      </x:c>
      <x:c r="D7" s="27" t="str">
        <x:v>Do Not Apply</x:v>
      </x:c>
      <x:c r="E7" s="27" t="str">
        <x:v>Removed from the Pass 2 active portfolio because the funding/admission/economics combination is weaker than the selected 15 programs.</x:v>
      </x:c>
      <x:c r="F7" s="27" t="str"/>
      <x:c r="G7" s="27" t="str"/>
      <x:c r="H7" s="27" t="str"/>
      <x:c r="I7" s="27" t="str"/>
      <x:c r="J7" s="30" t="e">
        <x:f>HYPERLINK("https://www.cics.umass.edu/academics/academic-policies/graduate-programs-policies/msphd-degree-requirements/other-msphd-program-information","Open official source")</x:f>
        <x:v>HYPERLINK is not implemented. linkLocation=https://www.cics.umass.edu/academics/academic-policies/graduate-programs-policies/msphd-degree-requirements/other-msphd-program-information, friendlyName=Open official source</x:v>
      </x:c>
      <x:c r="K7" s="27" t="str">
        <x:v>Reconsider only if direct official evidence materially improves the failed gate or application economics.</x:v>
      </x:c>
    </x:row>
    <x:row r="8" ht="46" customHeight="1">
      <x:c r="A8" s="27" t="str">
        <x:v>University of Minnesota-Twin Cities</x:v>
      </x:c>
      <x:c r="B8" s="27" t="str">
        <x:v>PhD in Computer Science</x:v>
      </x:c>
      <x:c r="C8" s="27" t="str">
        <x:v>Pass 2 active portfolio</x:v>
      </x:c>
      <x:c r="D8" s="27" t="str">
        <x:v>Do Not Apply</x:v>
      </x:c>
      <x:c r="E8" s="27" t="str">
        <x:v>Removed from the Pass 2 active portfolio because the funding/admission/economics combination is weaker than the selected 15 programs.</x:v>
      </x:c>
      <x:c r="F8" s="27" t="str"/>
      <x:c r="G8" s="27" t="str"/>
      <x:c r="H8" s="27" t="str"/>
      <x:c r="I8" s="27" t="str"/>
      <x:c r="J8" s="30" t="e">
        <x:f>HYPERLINK("https://cse.umn.edu/cs/graduate-admissions-overview","Open official source")</x:f>
        <x:v>HYPERLINK is not implemented. linkLocation=https://cse.umn.edu/cs/graduate-admissions-overview, friendlyName=Open official source</x:v>
      </x:c>
      <x:c r="K8" s="27" t="str">
        <x:v>Reconsider only if direct official evidence materially improves the failed gate or application economics.</x:v>
      </x:c>
    </x:row>
    <x:row r="9" ht="46" customHeight="1">
      <x:c r="A9" s="27" t="str">
        <x:v>Duke University</x:v>
      </x:c>
      <x:c r="B9" s="27" t="str">
        <x:v>Computer Science PhD</x:v>
      </x:c>
      <x:c r="C9" s="27" t="str">
        <x:v>Pass 2 active portfolio</x:v>
      </x:c>
      <x:c r="D9" s="27" t="str">
        <x:v>Do Not Apply</x:v>
      </x:c>
      <x:c r="E9" s="27" t="str">
        <x:v>Removed from the Pass 2 active portfolio because the funding/admission/economics combination is weaker than the selected 15 programs.</x:v>
      </x:c>
      <x:c r="F9" s="27" t="str"/>
      <x:c r="G9" s="27" t="str"/>
      <x:c r="H9" s="27" t="str"/>
      <x:c r="I9" s="27" t="str">
        <x:v>The fee or applicable waiver is high, unknown, or unverified.</x:v>
      </x:c>
      <x:c r="J9" s="30" t="e">
        <x:f>HYPERLINK("https://cs.duke.edu/graduate/phd/financial","Open official source")</x:f>
        <x:v>HYPERLINK is not implemented. linkLocation=https://cs.duke.edu/graduate/phd/financial, friendlyName=Open official source</x:v>
      </x:c>
      <x:c r="K9" s="27" t="str">
        <x:v>Reconsider only if direct official evidence materially improves the failed gate or application economics.</x:v>
      </x:c>
    </x:row>
    <x:row r="10" ht="46" customHeight="1">
      <x:c r="A10" s="27" t="str">
        <x:v>Northeastern University</x:v>
      </x:c>
      <x:c r="B10" s="27" t="str">
        <x:v>Computer Science PhD</x:v>
      </x:c>
      <x:c r="C10" s="27" t="str">
        <x:v>Pass 2 active portfolio</x:v>
      </x:c>
      <x:c r="D10" s="27" t="str">
        <x:v>Do Not Apply</x:v>
      </x:c>
      <x:c r="E10" s="27" t="str">
        <x:v>Removed from the Pass 2 active portfolio because the funding/admission/economics combination is weaker than the selected 15 programs.</x:v>
      </x:c>
      <x:c r="F10" s="27" t="str"/>
      <x:c r="G10" s="27" t="str"/>
      <x:c r="H10" s="27" t="str"/>
      <x:c r="I10" s="27" t="str">
        <x:v>The fee or applicable waiver is high, unknown, or unverified.</x:v>
      </x:c>
      <x:c r="J10" s="30" t="e">
        <x:f>HYPERLINK("https://devsite.khoury.northeastern.edu/apply/phd-apply/financial-support-for-phd-students/","Open official source")</x:f>
        <x:v>HYPERLINK is not implemented. linkLocation=https://devsite.khoury.northeastern.edu/apply/phd-apply/financial-support-for-phd-students/, friendlyName=Open official source</x:v>
      </x:c>
      <x:c r="K10" s="27" t="str">
        <x:v>Reconsider only if direct official evidence materially improves the failed gate or application economics.</x:v>
      </x:c>
    </x:row>
    <x:row r="11" ht="46" customHeight="1">
      <x:c r="A11" s="27" t="str">
        <x:v>Johns Hopkins University</x:v>
      </x:c>
      <x:c r="B11" s="27" t="str">
        <x:v>Doctor of Philosophy in Computer Science</x:v>
      </x:c>
      <x:c r="C11" s="27" t="str">
        <x:v>Pass 2 active portfolio</x:v>
      </x:c>
      <x:c r="D11" s="27" t="str">
        <x:v>Do Not Apply</x:v>
      </x:c>
      <x:c r="E11" s="27" t="str">
        <x:v>Removed from the Pass 2 active portfolio because the funding/admission/economics combination is weaker than the selected 15 programs.</x:v>
      </x:c>
      <x:c r="F11" s="27" t="str"/>
      <x:c r="G11" s="27" t="str"/>
      <x:c r="H11" s="27" t="str"/>
      <x:c r="I11" s="27" t="str"/>
      <x:c r="J11" s="30" t="e">
        <x:f>HYPERLINK("https://www.cs.jhu.edu/academic-programs/graduate-studies/phd-program/phd-admissions-faqs/","Open official source")</x:f>
        <x:v>HYPERLINK is not implemented. linkLocation=https://www.cs.jhu.edu/academic-programs/graduate-studies/phd-program/phd-admissions-faqs/, friendlyName=Open official source</x:v>
      </x:c>
      <x:c r="K11" s="27" t="str">
        <x:v>Reconsider only if direct official evidence materially improves the failed gate or application economics.</x:v>
      </x:c>
    </x:row>
    <x:row r="12" ht="46" customHeight="1">
      <x:c r="A12" s="27" t="str">
        <x:v>Northwestern University</x:v>
      </x:c>
      <x:c r="B12" s="27" t="str">
        <x:v>Doctor of Philosophy in Computer Science</x:v>
      </x:c>
      <x:c r="C12" s="27" t="str">
        <x:v>Pass 2 active portfolio</x:v>
      </x:c>
      <x:c r="D12" s="27" t="str">
        <x:v>Do Not Apply</x:v>
      </x:c>
      <x:c r="E12" s="27" t="str">
        <x:v>Removed from the Pass 2 active portfolio because the funding/admission/economics combination is weaker than the selected 15 programs.</x:v>
      </x:c>
      <x:c r="F12" s="27" t="str"/>
      <x:c r="G12" s="27" t="str"/>
      <x:c r="H12" s="27" t="str"/>
      <x:c r="I12" s="27" t="str"/>
      <x:c r="J12" s="30" t="e">
        <x:f>HYPERLINK("https://www.mccormick.northwestern.edu/computer-science/resources/student/phd.html","Open official source")</x:f>
        <x:v>HYPERLINK is not implemented. linkLocation=https://www.mccormick.northwestern.edu/computer-science/resources/student/phd.html, friendlyName=Open official source</x:v>
      </x:c>
      <x:c r="K12" s="27" t="str">
        <x:v>Reconsider only if direct official evidence materially improves the failed gate or application economics.</x:v>
      </x:c>
    </x:row>
    <x:row r="13" ht="46" customHeight="1">
      <x:c r="A13" s="27" t="str">
        <x:v>University of Illinois Chicago</x:v>
      </x:c>
      <x:c r="B13" s="27" t="str">
        <x:v>PhD in Computer Science</x:v>
      </x:c>
      <x:c r="C13" s="27" t="str">
        <x:v>Pass 2 active portfolio</x:v>
      </x:c>
      <x:c r="D13" s="27" t="str">
        <x:v>Conditional</x:v>
      </x:c>
      <x:c r="E13" s="27" t="str">
        <x:v>Do not apply until the final-60 GPA is calculated and the cycle fee is published.</x:v>
      </x:c>
      <x:c r="F13" s="27" t="str">
        <x:v>Guaranteed five-year academic-year funding</x:v>
      </x:c>
      <x:c r="G13" s="27" t="str"/>
      <x:c r="H13" s="27" t="str"/>
      <x:c r="I13" s="27" t="str">
        <x:v>The fee or applicable waiver is high, unknown, or unverified.</x:v>
      </x:c>
      <x:c r="J13" s="30" t="e">
        <x:f>HYPERLINK("https://cs.uic.edu/graduate/admissions/phd/","Open official source")</x:f>
        <x:v>HYPERLINK is not implemented. linkLocation=https://cs.uic.edu/graduate/admissions/phd/, friendlyName=Open official source</x:v>
      </x:c>
      <x:c r="K13" s="27" t="str">
        <x:v>Does Mitch's exact final-60-semester-hour GPA meet UIC's 3.50 requirement, and will the Fall 2027 fee reduction recur?</x:v>
      </x:c>
    </x:row>
    <x:row r="14" ht="46" customHeight="1">
      <x:c r="A14" s="27" t="str">
        <x:v>University of Michigan-Ann Arbor</x:v>
      </x:c>
      <x:c r="B14" s="27" t="str">
        <x:v>Computer Science and Engineering PhD</x:v>
      </x:c>
      <x:c r="C14" s="27" t="str">
        <x:v>Pass 2 active portfolio</x:v>
      </x:c>
      <x:c r="D14" s="27" t="str">
        <x:v>Do Not Apply</x:v>
      </x:c>
      <x:c r="E14" s="27" t="str">
        <x:v>Removed from the Pass 2 active portfolio because the funding/admission/economics combination is weaker than the selected 15 programs.</x:v>
      </x:c>
      <x:c r="F14" s="27" t="str"/>
      <x:c r="G14" s="27" t="str"/>
      <x:c r="H14" s="27" t="str"/>
      <x:c r="I14" s="27" t="str">
        <x:v>The fee or applicable waiver is high, unknown, or unverified.</x:v>
      </x:c>
      <x:c r="J14" s="30" t="e">
        <x:f>HYPERLINK("https://cse.engin.umich.edu/academics/graduate/admissions/","Open official source")</x:f>
        <x:v>HYPERLINK is not implemented. linkLocation=https://cse.engin.umich.edu/academics/graduate/admissions/, friendlyName=Open official source</x:v>
      </x:c>
      <x:c r="K14" s="27" t="str">
        <x:v>Reconsider only if direct official evidence materially improves the failed gate or application economics.</x:v>
      </x:c>
    </x:row>
    <x:row r="15" ht="46" customHeight="1">
      <x:c r="A15" s="27" t="str">
        <x:v>Brown University</x:v>
      </x:c>
      <x:c r="B15" s="27" t="str">
        <x:v>Computer Science PhD</x:v>
      </x:c>
      <x:c r="C15" s="27" t="str">
        <x:v>Pass 2 active portfolio</x:v>
      </x:c>
      <x:c r="D15" s="27" t="str">
        <x:v>Do Not Apply</x:v>
      </x:c>
      <x:c r="E15" s="27" t="str">
        <x:v>Removed from the Pass 2 active portfolio because the funding/admission/economics combination is weaker than the selected 15 programs.</x:v>
      </x:c>
      <x:c r="F15" s="27" t="str"/>
      <x:c r="G15" s="27" t="str"/>
      <x:c r="H15" s="27" t="str"/>
      <x:c r="I15" s="27" t="str">
        <x:v>The fee or applicable waiver is high, unknown, or unverified.</x:v>
      </x:c>
      <x:c r="J15" s="30" t="e">
        <x:f>HYPERLINK("https://cs.brown.edu/degrees/doctoral/","Open official source")</x:f>
        <x:v>HYPERLINK is not implemented. linkLocation=https://cs.brown.edu/degrees/doctoral/, friendlyName=Open official source</x:v>
      </x:c>
      <x:c r="K15" s="27" t="str">
        <x:v>Reconsider only if direct official evidence materially improves the failed gate or application economics.</x:v>
      </x:c>
    </x:row>
    <x:row r="16" ht="46" customHeight="1">
      <x:c r="A16" s="27" t="str">
        <x:v>Trent University</x:v>
      </x:c>
      <x:c r="B16" s="27" t="str">
        <x:v>MSc in Applied Modelling and Quantitative Methods — Thesis Stream</x:v>
      </x:c>
      <x:c r="C16" s="27" t="str">
        <x:v>Pass 2 active portfolio</x:v>
      </x:c>
      <x:c r="D16" s="27" t="str">
        <x:v>Conditional</x:v>
      </x:c>
      <x:c r="E16" s="27" t="str">
        <x:v>Do not apply until the guaranteed net amount is confirmed.</x:v>
      </x:c>
      <x:c r="F16" s="27" t="str">
        <x:v>Net-cost conditional funding</x:v>
      </x:c>
      <x:c r="G16" s="27" t="str"/>
      <x:c r="H16" s="27" t="str"/>
      <x:c r="I16" s="27" t="str">
        <x:v>The fee or applicable waiver is high, unknown, or unverified.</x:v>
      </x:c>
      <x:c r="J16" s="30" t="e">
        <x:f>HYPERLINK("https://www.trentu.ca/graduatestudies/funding-tuition/funding","Open official source")</x:f>
        <x:v>HYPERLINK is not implemented. linkLocation=https://www.trentu.ca/graduatestudies/funding-tuition/funding, friendlyName=Open official source</x:v>
      </x:c>
      <x:c r="K16" s="27" t="str">
        <x:v>What guaranteed two-year amount remains after international tuition and fees for this thesis-stream MSc?</x:v>
      </x:c>
    </x:row>
    <x:row r="17" ht="46" customHeight="1">
      <x:c r="A17" s="27" t="str">
        <x:v>University of Toronto</x:v>
      </x:c>
      <x:c r="B17" s="27" t="str">
        <x:v>Master of Applied Science in Electrical and Computer Engineering</x:v>
      </x:c>
      <x:c r="C17" s="27" t="str">
        <x:v>Pass 2 active portfolio</x:v>
      </x:c>
      <x:c r="D17" s="27" t="str">
        <x:v>Do Not Apply</x:v>
      </x:c>
      <x:c r="E17" s="27" t="str">
        <x:v>Removed from the Pass 2 active portfolio because the funding/admission/economics combination is weaker than the selected 15 programs.</x:v>
      </x:c>
      <x:c r="F17" s="27" t="str"/>
      <x:c r="G17" s="27" t="str"/>
      <x:c r="H17" s="27" t="str"/>
      <x:c r="I17" s="27" t="str">
        <x:v>The fee or applicable waiver is high, unknown, or unverified.</x:v>
      </x:c>
      <x:c r="J17" s="30" t="e">
        <x:f>HYPERLINK("https://www.ece.utoronto.ca/graduates/","Open official source")</x:f>
        <x:v>HYPERLINK is not implemented. linkLocation=https://www.ece.utoronto.ca/graduates/, friendlyName=Open official source</x:v>
      </x:c>
      <x:c r="K17" s="27" t="str">
        <x:v>Reconsider only if direct official evidence materially improves the failed gate or application economics.</x:v>
      </x:c>
    </x:row>
    <x:row r="18" ht="46" customHeight="1">
      <x:c r="A18" s="27" t="str">
        <x:v>University of Waterloo</x:v>
      </x:c>
      <x:c r="B18" s="27" t="str">
        <x:v>Master of Applied Science in Electrical and Computer Engineering</x:v>
      </x:c>
      <x:c r="C18" s="27" t="str">
        <x:v>Pass 2 active portfolio</x:v>
      </x:c>
      <x:c r="D18" s="27" t="str">
        <x:v>Do Not Apply</x:v>
      </x:c>
      <x:c r="E18" s="27" t="str">
        <x:v>Removed from the Pass 2 active portfolio because the funding/admission/economics combination is weaker than the selected 15 programs.</x:v>
      </x:c>
      <x:c r="F18" s="27" t="str"/>
      <x:c r="G18" s="27" t="str"/>
      <x:c r="H18" s="27" t="str"/>
      <x:c r="I18" s="27" t="str">
        <x:v>The fee or applicable waiver is high, unknown, or unverified.</x:v>
      </x:c>
      <x:c r="J18" s="30" t="e">
        <x:f>HYPERLINK("https://uwaterloo.ca/electrical-computer-engineering/thinking-applying","Open official source")</x:f>
        <x:v>HYPERLINK is not implemented. linkLocation=https://uwaterloo.ca/electrical-computer-engineering/thinking-applying, friendlyName=Open official source</x:v>
      </x:c>
      <x:c r="K18" s="27" t="str">
        <x:v>Reconsider only if direct official evidence materially improves the failed gate or application economics.</x:v>
      </x:c>
    </x:row>
    <x:row r="19" ht="46" customHeight="1">
      <x:c r="A19" s="27" t="str">
        <x:v>York University</x:v>
      </x:c>
      <x:c r="B19" s="27" t="str">
        <x:v>Master of Science in Computer Science — Thesis Option</x:v>
      </x:c>
      <x:c r="C19" s="27" t="str">
        <x:v>Pass 2 active portfolio</x:v>
      </x:c>
      <x:c r="D19" s="27" t="str">
        <x:v>Do Not Apply</x:v>
      </x:c>
      <x:c r="E19" s="27" t="str">
        <x:v>Removed from the Pass 2 active portfolio because the funding/admission/economics combination is weaker than the selected 15 programs.</x:v>
      </x:c>
      <x:c r="F19" s="27" t="str"/>
      <x:c r="G19" s="27" t="str"/>
      <x:c r="H19" s="27" t="str"/>
      <x:c r="I19" s="27" t="str">
        <x:v>The fee or applicable waiver is high, unknown, or unverified.</x:v>
      </x:c>
      <x:c r="J19" s="30" t="e">
        <x:f>HYPERLINK("https://lassonde.yorku.ca/academics/graduate-program-in-computer-science","Open official source")</x:f>
        <x:v>HYPERLINK is not implemented. linkLocation=https://lassonde.yorku.ca/academics/graduate-program-in-computer-science, friendlyName=Open official source</x:v>
      </x:c>
      <x:c r="K19" s="27" t="str">
        <x:v>Reconsider only if direct official evidence materially improves the failed gate or application economics.</x:v>
      </x:c>
    </x:row>
    <x:row r="20" ht="46" customHeight="1">
      <x:c r="A20" s="27" t="str">
        <x:v>Iowa State University</x:v>
      </x:c>
      <x:c r="B20" s="27" t="str">
        <x:v>Computer Science PhD</x:v>
      </x:c>
      <x:c r="C20" s="27" t="str">
        <x:v>Pass 2 gated out</x:v>
      </x:c>
      <x:c r="D20" s="27" t="str">
        <x:v>Do Not Apply</x:v>
      </x:c>
      <x:c r="E20" s="27" t="str">
        <x:v>Pass 2.1 does not justify application spending; unresolved or failed areas: funding.</x:v>
      </x:c>
      <x:c r="F20" s="27" t="str">
        <x:v>Funding remains conditional or insufficient.</x:v>
      </x:c>
      <x:c r="G20" s="27" t="str"/>
      <x:c r="H20" s="27" t="str"/>
      <x:c r="I20" s="27" t="str"/>
      <x:c r="J20" s="30" t="e">
        <x:f>HYPERLINK("https://www.cs.iastate.edu/graduate-studies/phd-application-requirements","Open official source")</x:f>
        <x:v>HYPERLINK is not implemented. linkLocation=https://www.cs.iastate.edu/graduate-studies/phd-application-requirements, friendlyName=Open official source</x:v>
      </x:c>
      <x:c r="K20" s="27" t="str">
        <x:v>Reconsider only if direct official evidence materially improves the failed gate or application economics.</x:v>
      </x:c>
    </x:row>
    <x:row r="21" ht="46" customHeight="1">
      <x:c r="A21" s="27" t="str">
        <x:v>Rice University</x:v>
      </x:c>
      <x:c r="B21" s="27" t="str">
        <x:v>Doctor of Philosophy in Computer Science</x:v>
      </x:c>
      <x:c r="C21" s="27" t="str">
        <x:v>Pass 2 gated out</x:v>
      </x:c>
      <x:c r="D21" s="27" t="str">
        <x:v>Do Not Apply</x:v>
      </x:c>
      <x:c r="E21" s="27" t="str">
        <x:v>Pass 2.1 does not justify application spending; unresolved or failed areas: funding.</x:v>
      </x:c>
      <x:c r="F21" s="27" t="str">
        <x:v>Funding passes claim-level review but does not overcome the remaining portfolio weaknesses.</x:v>
      </x:c>
      <x:c r="G21" s="27" t="str"/>
      <x:c r="H21" s="27" t="str"/>
      <x:c r="I21" s="27" t="str"/>
      <x:c r="J21" s="30" t="e">
        <x:f>HYPERLINK("https://compsci.rice.edu/academics/graduate-programs/graduate-admission","Open official source")</x:f>
        <x:v>HYPERLINK is not implemented. linkLocation=https://compsci.rice.edu/academics/graduate-programs/graduate-admission, friendlyName=Open official source</x:v>
      </x:c>
      <x:c r="K21" s="27" t="str">
        <x:v>Reconsider only if direct official evidence materially improves the failed gate or application economics.</x:v>
      </x:c>
    </x:row>
    <x:row r="22" ht="46" customHeight="1">
      <x:c r="A22" s="27" t="str">
        <x:v>University of Notre Dame</x:v>
      </x:c>
      <x:c r="B22" s="27" t="str">
        <x:v>Computer Science and Engineering PhD</x:v>
      </x:c>
      <x:c r="C22" s="27" t="str">
        <x:v>Pass 2 gated out</x:v>
      </x:c>
      <x:c r="D22" s="27" t="str">
        <x:v>Do Not Apply</x:v>
      </x:c>
      <x:c r="E22" s="27" t="str">
        <x:v>Pass 2.1 does not justify application spending; unresolved or failed areas: funding.</x:v>
      </x:c>
      <x:c r="F22" s="27" t="str">
        <x:v>Funding remains conditional or insufficient.</x:v>
      </x:c>
      <x:c r="G22" s="27" t="str"/>
      <x:c r="H22" s="27" t="str"/>
      <x:c r="I22" s="27" t="str"/>
      <x:c r="J22" s="30" t="e">
        <x:f>HYPERLINK("https://engineering.nd.edu/departments-programs/graduate-programs/phd-in-computer-science-and-engineering/","Open official source")</x:f>
        <x:v>HYPERLINK is not implemented. linkLocation=https://engineering.nd.edu/departments-programs/graduate-programs/phd-in-computer-science-and-engineering/, friendlyName=Open official source</x:v>
      </x:c>
      <x:c r="K22" s="27" t="str">
        <x:v>Reconsider only if direct official evidence materially improves the failed gate or application economics.</x:v>
      </x:c>
    </x:row>
    <x:row r="23" ht="46" customHeight="1">
      <x:c r="A23" s="27" t="str">
        <x:v>Case Western Reserve University</x:v>
      </x:c>
      <x:c r="B23" s="27" t="str">
        <x:v>Computer Science PhD</x:v>
      </x:c>
      <x:c r="C23" s="27" t="str">
        <x:v>Pass 2 gated out</x:v>
      </x:c>
      <x:c r="D23" s="27" t="str">
        <x:v>Do Not Apply</x:v>
      </x:c>
      <x:c r="E23" s="27" t="str">
        <x:v>Pass 2.1 does not justify application spending; unresolved or failed areas: funding.</x:v>
      </x:c>
      <x:c r="F23" s="27" t="str">
        <x:v>Funding remains conditional or insufficient.</x:v>
      </x:c>
      <x:c r="G23" s="27" t="str"/>
      <x:c r="H23" s="27" t="str"/>
      <x:c r="I23" s="27" t="str"/>
      <x:c r="J23" s="30" t="e">
        <x:f>HYPERLINK("https://case.edu/engineering/computer-and-data-sciences/academics/computing-science/doctor-philosophy-0","Open official source")</x:f>
        <x:v>HYPERLINK is not implemented. linkLocation=https://case.edu/engineering/computer-and-data-sciences/academics/computing-science/doctor-philosophy-0, friendlyName=Open official source</x:v>
      </x:c>
      <x:c r="K23" s="27" t="str">
        <x:v>Reconsider only if direct official evidence materially improves the failed gate or application economics.</x:v>
      </x:c>
    </x:row>
    <x:row r="24" ht="46" customHeight="1">
      <x:c r="A24" s="27" t="str">
        <x:v>Colorado State University-Fort Collins</x:v>
      </x:c>
      <x:c r="B24" s="27" t="str">
        <x:v>Computer Science, Ph.D.</x:v>
      </x:c>
      <x:c r="C24" s="27" t="str">
        <x:v>Pass 2 gated out</x:v>
      </x:c>
      <x:c r="D24" s="27" t="str">
        <x:v>Do Not Apply</x:v>
      </x:c>
      <x:c r="E24" s="27" t="str">
        <x:v>Pass 2.1 does not justify application spending; unresolved or failed areas: funding.</x:v>
      </x:c>
      <x:c r="F24" s="27" t="str">
        <x:v>Funding remains conditional or insufficient.</x:v>
      </x:c>
      <x:c r="G24" s="27" t="str"/>
      <x:c r="H24" s="27" t="str"/>
      <x:c r="I24" s="27" t="str"/>
      <x:c r="J24" s="30" t="e">
        <x:f>HYPERLINK("https://compsci.colostate.edu/graduate-application/","Open official source")</x:f>
        <x:v>HYPERLINK is not implemented. linkLocation=https://compsci.colostate.edu/graduate-application/, friendlyName=Open official source</x:v>
      </x:c>
      <x:c r="K24" s="27" t="str">
        <x:v>Reconsider only if direct official evidence materially improves the failed gate or application economics.</x:v>
      </x:c>
    </x:row>
    <x:row r="25" ht="46" customHeight="1">
      <x:c r="A25" s="27" t="str">
        <x:v>Concordia University</x:v>
      </x:c>
      <x:c r="B25" s="27" t="str">
        <x:v>Master of Applied Science in Software Engineering</x:v>
      </x:c>
      <x:c r="C25" s="27" t="str">
        <x:v>Pass 2 gated out</x:v>
      </x:c>
      <x:c r="D25" s="27" t="str">
        <x:v>Do Not Apply</x:v>
      </x:c>
      <x:c r="E25" s="27" t="str">
        <x:v>Pass 2.1 does not justify application spending; unresolved or failed areas: funding.</x:v>
      </x:c>
      <x:c r="F25" s="27" t="str">
        <x:v>Funding remains conditional or insufficient.</x:v>
      </x:c>
      <x:c r="G25" s="27" t="str"/>
      <x:c r="H25" s="27" t="str"/>
      <x:c r="I25" s="27" t="str"/>
      <x:c r="J25" s="30" t="e">
        <x:f>HYPERLINK("https://www.concordia.ca/academics/graduate/software-engineering-masc.html","Open official source")</x:f>
        <x:v>HYPERLINK is not implemented. linkLocation=https://www.concordia.ca/academics/graduate/software-engineering-masc.html, friendlyName=Open official source</x:v>
      </x:c>
      <x:c r="K25" s="27" t="str">
        <x:v>Reconsider only if direct official evidence materially improves the failed gate or application economics.</x:v>
      </x:c>
    </x:row>
    <x:row r="26" ht="46" customHeight="1">
      <x:c r="A26" s="27" t="str">
        <x:v>Ohio State University-Main Campus</x:v>
      </x:c>
      <x:c r="B26" s="27" t="str">
        <x:v>Doctor of Philosophy in Computer Science and Engineering</x:v>
      </x:c>
      <x:c r="C26" s="27" t="str">
        <x:v>Pass 2 gated out</x:v>
      </x:c>
      <x:c r="D26" s="27" t="str">
        <x:v>Do Not Apply</x:v>
      </x:c>
      <x:c r="E26" s="27" t="str">
        <x:v>Pass 2.1 does not justify application spending; unresolved or failed areas: funding.</x:v>
      </x:c>
      <x:c r="F26" s="27" t="str">
        <x:v>Funding remains conditional or insufficient.</x:v>
      </x:c>
      <x:c r="G26" s="27" t="str"/>
      <x:c r="H26" s="27" t="str"/>
      <x:c r="I26" s="27" t="str"/>
      <x:c r="J26" s="30" t="e">
        <x:f>HYPERLINK("https://cse.osu.edu/prospective-students/graduate/graduate/funding","Open official source")</x:f>
        <x:v>HYPERLINK is not implemented. linkLocation=https://cse.osu.edu/prospective-students/graduate/graduate/funding, friendlyName=Open official source</x:v>
      </x:c>
      <x:c r="K26" s="27" t="str">
        <x:v>Reconsider only if direct official evidence materially improves the failed gate or application economics.</x:v>
      </x:c>
    </x:row>
    <x:row r="27" ht="46" customHeight="1">
      <x:c r="A27" s="27" t="str">
        <x:v>Pennsylvania State University-Main Campus</x:v>
      </x:c>
      <x:c r="B27" s="27" t="str">
        <x:v>Computer Science and Engineering PhD</x:v>
      </x:c>
      <x:c r="C27" s="27" t="str">
        <x:v>Pass 2 gated out</x:v>
      </x:c>
      <x:c r="D27" s="27" t="str">
        <x:v>Do Not Apply</x:v>
      </x:c>
      <x:c r="E27" s="27" t="str">
        <x:v>Pass 2.1 does not justify application spending; unresolved or failed areas: funding.</x:v>
      </x:c>
      <x:c r="F27" s="27" t="str">
        <x:v>Funding remains conditional or insufficient.</x:v>
      </x:c>
      <x:c r="G27" s="27" t="str"/>
      <x:c r="H27" s="27" t="str"/>
      <x:c r="I27" s="27" t="str">
        <x:v>The fee or applicable waiver is high, unknown, or unverified.</x:v>
      </x:c>
      <x:c r="J27" s="30" t="e">
        <x:f>HYPERLINK("https://www.eecs.psu.edu/Students/graduate/EECS-students-graduate-funding-opportunities.aspx","Open official source")</x:f>
        <x:v>HYPERLINK is not implemented. linkLocation=https://www.eecs.psu.edu/Students/graduate/EECS-students-graduate-funding-opportunities.aspx, friendlyName=Open official source</x:v>
      </x:c>
      <x:c r="K27" s="27" t="str">
        <x:v>Reconsider only if direct official evidence materially improves the failed gate or application economics.</x:v>
      </x:c>
    </x:row>
    <x:row r="28" ht="46" customHeight="1">
      <x:c r="A28" s="27" t="str">
        <x:v>Purdue University-Main Campus</x:v>
      </x:c>
      <x:c r="B28" s="27" t="str">
        <x:v>Computer Science PhD</x:v>
      </x:c>
      <x:c r="C28" s="27" t="str">
        <x:v>Pass 2 gated out</x:v>
      </x:c>
      <x:c r="D28" s="27" t="str">
        <x:v>Do Not Apply</x:v>
      </x:c>
      <x:c r="E28" s="27" t="str">
        <x:v>Pass 2.1 does not justify application spending; unresolved or failed areas: funding.</x:v>
      </x:c>
      <x:c r="F28" s="27" t="str">
        <x:v>Funding remains conditional or insufficient.</x:v>
      </x:c>
      <x:c r="G28" s="27" t="str"/>
      <x:c r="H28" s="27" t="str"/>
      <x:c r="I28" s="27" t="str">
        <x:v>The fee or applicable waiver is high, unknown, or unverified.</x:v>
      </x:c>
      <x:c r="J28" s="30" t="e">
        <x:f>HYPERLINK("https://www.cs.purdue.edu/graduate/admission/steps.html","Open official source")</x:f>
        <x:v>HYPERLINK is not implemented. linkLocation=https://www.cs.purdue.edu/graduate/admission/steps.html, friendlyName=Open official source</x:v>
      </x:c>
      <x:c r="K28" s="27" t="str">
        <x:v>Reconsider only if direct official evidence materially improves the failed gate or application economics.</x:v>
      </x:c>
    </x:row>
    <x:row r="29" ht="46" customHeight="1">
      <x:c r="A29" s="27" t="str">
        <x:v>The University of Tennessee-Knoxville</x:v>
      </x:c>
      <x:c r="B29" s="27" t="str">
        <x:v>Computer Science, PhD</x:v>
      </x:c>
      <x:c r="C29" s="27" t="str">
        <x:v>Pass 2 gated out</x:v>
      </x:c>
      <x:c r="D29" s="27" t="str">
        <x:v>Do Not Apply</x:v>
      </x:c>
      <x:c r="E29" s="27" t="str">
        <x:v>Pass 2.1 does not justify application spending; unresolved or failed areas: funding.</x:v>
      </x:c>
      <x:c r="F29" s="27" t="str">
        <x:v>Funding remains conditional or insufficient.</x:v>
      </x:c>
      <x:c r="G29" s="27" t="str"/>
      <x:c r="H29" s="27" t="str"/>
      <x:c r="I29" s="27" t="str"/>
      <x:c r="J29" s="30" t="e">
        <x:f>HYPERLINK("https://eecs.utk.edu/graduate/graduate-admissions/","Open official source")</x:f>
        <x:v>HYPERLINK is not implemented. linkLocation=https://eecs.utk.edu/graduate/graduate-admissions/, friendlyName=Open official source</x:v>
      </x:c>
      <x:c r="K29" s="27" t="str">
        <x:v>Reconsider only if direct official evidence materially improves the failed gate or application economics.</x:v>
      </x:c>
    </x:row>
    <x:row r="30" ht="46" customHeight="1">
      <x:c r="A30" s="27" t="str">
        <x:v>The University of Texas at Austin</x:v>
      </x:c>
      <x:c r="B30" s="27" t="str">
        <x:v>Computer Science PhD</x:v>
      </x:c>
      <x:c r="C30" s="27" t="str">
        <x:v>Pass 2 gated out</x:v>
      </x:c>
      <x:c r="D30" s="27" t="str">
        <x:v>Do Not Apply</x:v>
      </x:c>
      <x:c r="E30" s="27" t="str">
        <x:v>Pass 2.1 does not justify application spending; unresolved or failed areas: funding.</x:v>
      </x:c>
      <x:c r="F30" s="27" t="str">
        <x:v>Funding remains conditional or insufficient.</x:v>
      </x:c>
      <x:c r="G30" s="27" t="str"/>
      <x:c r="H30" s="27" t="str"/>
      <x:c r="I30" s="27" t="str">
        <x:v>The fee or applicable waiver is high, unknown, or unverified.</x:v>
      </x:c>
      <x:c r="J30" s="30" t="e">
        <x:f>HYPERLINK("https://www.cs.utexas.edu/graduate/cost-and-aid","Open official source")</x:f>
        <x:v>HYPERLINK is not implemented. linkLocation=https://www.cs.utexas.edu/graduate/cost-and-aid, friendlyName=Open official source</x:v>
      </x:c>
      <x:c r="K30" s="27" t="str">
        <x:v>Reconsider only if direct official evidence materially improves the failed gate or application economics.</x:v>
      </x:c>
    </x:row>
    <x:row r="31" ht="46" customHeight="1">
      <x:c r="A31" s="27" t="str">
        <x:v>University at Albany</x:v>
      </x:c>
      <x:c r="B31" s="27" t="str">
        <x:v>Doctor of Philosophy in Computer Science</x:v>
      </x:c>
      <x:c r="C31" s="27" t="str">
        <x:v>Pass 2 gated out</x:v>
      </x:c>
      <x:c r="D31" s="27" t="str">
        <x:v>Do Not Apply</x:v>
      </x:c>
      <x:c r="E31" s="27" t="str">
        <x:v>Pass 2.1 does not justify application spending; unresolved or failed areas: funding.</x:v>
      </x:c>
      <x:c r="F31" s="27" t="str">
        <x:v>Funding remains conditional or insufficient.</x:v>
      </x:c>
      <x:c r="G31" s="27" t="str"/>
      <x:c r="H31" s="27" t="str"/>
      <x:c r="I31" s="27" t="str"/>
      <x:c r="J31" s="30" t="e">
        <x:f>HYPERLINK("https://www.albany.edu/computer-science/programs/phd-computer-science","Open official source")</x:f>
        <x:v>HYPERLINK is not implemented. linkLocation=https://www.albany.edu/computer-science/programs/phd-computer-science, friendlyName=Open official source</x:v>
      </x:c>
      <x:c r="K31" s="27" t="str">
        <x:v>Reconsider only if direct official evidence materially improves the failed gate or application economics.</x:v>
      </x:c>
    </x:row>
    <x:row r="32" ht="46" customHeight="1">
      <x:c r="A32" s="27" t="str">
        <x:v>University of Central Florida</x:v>
      </x:c>
      <x:c r="B32" s="27" t="str">
        <x:v>Computer Science PhD</x:v>
      </x:c>
      <x:c r="C32" s="27" t="str">
        <x:v>Pass 2 gated out</x:v>
      </x:c>
      <x:c r="D32" s="27" t="str">
        <x:v>Do Not Apply</x:v>
      </x:c>
      <x:c r="E32" s="27" t="str">
        <x:v>Pass 2.1 does not justify application spending; unresolved or failed areas: funding.</x:v>
      </x:c>
      <x:c r="F32" s="27" t="str">
        <x:v>Funding remains conditional or insufficient.</x:v>
      </x:c>
      <x:c r="G32" s="27" t="str"/>
      <x:c r="H32" s="27" t="str"/>
      <x:c r="I32" s="27" t="str"/>
      <x:c r="J32" s="30" t="e">
        <x:f>HYPERLINK("https://graduate.ucf.edu/graduate-assistantships/","Open official source")</x:f>
        <x:v>HYPERLINK is not implemented. linkLocation=https://graduate.ucf.edu/graduate-assistantships/, friendlyName=Open official source</x:v>
      </x:c>
      <x:c r="K32" s="27" t="str">
        <x:v>Reconsider only if direct official evidence materially improves the failed gate or application economics.</x:v>
      </x:c>
    </x:row>
    <x:row r="33" ht="46" customHeight="1">
      <x:c r="A33" s="27" t="str">
        <x:v>University of Houston</x:v>
      </x:c>
      <x:c r="B33" s="27" t="str">
        <x:v>Ph.D. in Computer Science</x:v>
      </x:c>
      <x:c r="C33" s="27" t="str">
        <x:v>Pass 2 gated out</x:v>
      </x:c>
      <x:c r="D33" s="27" t="str">
        <x:v>Do Not Apply</x:v>
      </x:c>
      <x:c r="E33" s="27" t="str">
        <x:v>Pass 2.1 does not justify application spending; unresolved or failed areas: funding.</x:v>
      </x:c>
      <x:c r="F33" s="27" t="str">
        <x:v>Funding remains conditional or insufficient.</x:v>
      </x:c>
      <x:c r="G33" s="27" t="str"/>
      <x:c r="H33" s="27" t="str"/>
      <x:c r="I33" s="27" t="str"/>
      <x:c r="J33" s="30" t="e">
        <x:f>HYPERLINK("https://www.uh.edu/nsm/computer-science/graduate/admissions/funding/","Open official source")</x:f>
        <x:v>HYPERLINK is not implemented. linkLocation=https://www.uh.edu/nsm/computer-science/graduate/admissions/funding/, friendlyName=Open official source</x:v>
      </x:c>
      <x:c r="K33" s="27" t="str">
        <x:v>Reconsider only if direct official evidence materially improves the failed gate or application economics.</x:v>
      </x:c>
    </x:row>
    <x:row r="34" ht="46" customHeight="1">
      <x:c r="A34" s="27" t="str">
        <x:v>University of Maryland-Baltimore County</x:v>
      </x:c>
      <x:c r="B34" s="27" t="str">
        <x:v>Ph.D. in Computer Science</x:v>
      </x:c>
      <x:c r="C34" s="27" t="str">
        <x:v>Pass 2 gated out</x:v>
      </x:c>
      <x:c r="D34" s="27" t="str">
        <x:v>Do Not Apply</x:v>
      </x:c>
      <x:c r="E34" s="27" t="str">
        <x:v>Pass 2.1 does not justify application spending; unresolved or failed areas: funding.</x:v>
      </x:c>
      <x:c r="F34" s="27" t="str">
        <x:v>Funding remains conditional or insufficient.</x:v>
      </x:c>
      <x:c r="G34" s="27" t="str"/>
      <x:c r="H34" s="27" t="str"/>
      <x:c r="I34" s="27" t="str"/>
      <x:c r="J34" s="30" t="e">
        <x:f>HYPERLINK("https://www.csee.umbc.edu/admission/","Open official source")</x:f>
        <x:v>HYPERLINK is not implemented. linkLocation=https://www.csee.umbc.edu/admission/, friendlyName=Open official source</x:v>
      </x:c>
      <x:c r="K34" s="27" t="str">
        <x:v>Reconsider only if direct official evidence materially improves the failed gate or application economics.</x:v>
      </x:c>
    </x:row>
    <x:row r="35" ht="46" customHeight="1">
      <x:c r="A35" s="27" t="str">
        <x:v>University of Maryland-College Park</x:v>
      </x:c>
      <x:c r="B35" s="27" t="str">
        <x:v>Computer Science PhD</x:v>
      </x:c>
      <x:c r="C35" s="27" t="str">
        <x:v>Pass 2 gated out</x:v>
      </x:c>
      <x:c r="D35" s="27" t="str">
        <x:v>Do Not Apply</x:v>
      </x:c>
      <x:c r="E35" s="27" t="str">
        <x:v>Pass 2.1 does not justify application spending; unresolved or failed areas: funding.</x:v>
      </x:c>
      <x:c r="F35" s="27" t="str">
        <x:v>Funding remains conditional or insufficient.</x:v>
      </x:c>
      <x:c r="G35" s="27" t="str"/>
      <x:c r="H35" s="27" t="str"/>
      <x:c r="I35" s="27" t="str"/>
      <x:c r="J35" s="30" t="e">
        <x:f>HYPERLINK("https://www.cs.umd.edu/grad/admissions-faq","Open official source")</x:f>
        <x:v>HYPERLINK is not implemented. linkLocation=https://www.cs.umd.edu/grad/admissions-faq, friendlyName=Open official source</x:v>
      </x:c>
      <x:c r="K35" s="27" t="str">
        <x:v>Reconsider only if direct official evidence materially improves the failed gate or application economics.</x:v>
      </x:c>
    </x:row>
    <x:row r="36" ht="46" customHeight="1">
      <x:c r="A36" s="27" t="str">
        <x:v>University of New Mexico-Main Campus</x:v>
      </x:c>
      <x:c r="B36" s="27" t="str">
        <x:v>Ph.D. in Computer Science</x:v>
      </x:c>
      <x:c r="C36" s="27" t="str">
        <x:v>Pass 2 gated out</x:v>
      </x:c>
      <x:c r="D36" s="27" t="str">
        <x:v>Do Not Apply</x:v>
      </x:c>
      <x:c r="E36" s="27" t="str">
        <x:v>Pass 2.1 does not justify application spending; unresolved or failed areas: funding.</x:v>
      </x:c>
      <x:c r="F36" s="27" t="str">
        <x:v>Funding remains conditional or insufficient.</x:v>
      </x:c>
      <x:c r="G36" s="27" t="str"/>
      <x:c r="H36" s="27" t="str"/>
      <x:c r="I36" s="27" t="str"/>
      <x:c r="J36" s="30" t="e">
        <x:f>HYPERLINK("https://www.cs.unm.edu/admissions/financial-aid.html","Open official source")</x:f>
        <x:v>HYPERLINK is not implemented. linkLocation=https://www.cs.unm.edu/admissions/financial-aid.html, friendlyName=Open official source</x:v>
      </x:c>
      <x:c r="K36" s="27" t="str">
        <x:v>Reconsider only if direct official evidence materially improves the failed gate or application economics.</x:v>
      </x:c>
    </x:row>
    <x:row r="37" ht="46" customHeight="1">
      <x:c r="A37" s="27" t="str">
        <x:v>William &amp; Mary</x:v>
      </x:c>
      <x:c r="B37" s="27" t="str">
        <x:v>Computer Science PhD</x:v>
      </x:c>
      <x:c r="C37" s="27" t="str">
        <x:v>Pass 2 gated out</x:v>
      </x:c>
      <x:c r="D37" s="27" t="str">
        <x:v>Conditional</x:v>
      </x:c>
      <x:c r="E37" s="27" t="str">
        <x:v>Do not spend the fee until the funded-admit rule and duration are confirmed.</x:v>
      </x:c>
      <x:c r="F37" s="27" t="str">
        <x:v>Conditional funding</x:v>
      </x:c>
      <x:c r="G37" s="27" t="str"/>
      <x:c r="H37" s="27" t="str"/>
      <x:c r="I37" s="27" t="str"/>
      <x:c r="J37" s="30" t="e">
        <x:f>HYPERLINK("https://cdsp.wm.edu/admissions/graduate/","Open official source")</x:f>
        <x:v>HYPERLINK is not implemented. linkLocation=https://cdsp.wm.edu/admissions/graduate/, friendlyName=Open official source</x:v>
      </x:c>
      <x:c r="K37" s="27" t="str">
        <x:v>Does every Fall 2027 Computer Science PhD admit receive a multi-year stipend and full tuition waiver, or can admission be offered without support?</x:v>
      </x:c>
    </x:row>
    <x:row r="38" ht="46" customHeight="1">
      <x:c r="A38" s="27" t="str">
        <x:v>Howard University</x:v>
      </x:c>
      <x:c r="B38" s="27" t="str">
        <x:v>Computer Science (Ph.D.)</x:v>
      </x:c>
      <x:c r="C38" s="27" t="str">
        <x:v>Pass 2 gated out</x:v>
      </x:c>
      <x:c r="D38" s="27" t="str">
        <x:v>Do Not Apply</x:v>
      </x:c>
      <x:c r="E38" s="27" t="str">
        <x:v>Pass 2.1 does not justify application spending; unresolved or failed areas: funding.</x:v>
      </x:c>
      <x:c r="F38" s="27" t="str">
        <x:v>Funding remains conditional or insufficient.</x:v>
      </x:c>
      <x:c r="G38" s="27" t="str"/>
      <x:c r="H38" s="27" t="str"/>
      <x:c r="I38" s="27" t="str">
        <x:v>The fee or applicable waiver is high, unknown, or unverified.</x:v>
      </x:c>
      <x:c r="J38" s="30" t="e">
        <x:f>HYPERLINK("https://gs.howard.edu/index.php/computer-science-phd","Open official source")</x:f>
        <x:v>HYPERLINK is not implemented. linkLocation=https://gs.howard.edu/index.php/computer-science-phd, friendlyName=Open official source</x:v>
      </x:c>
      <x:c r="K38" s="27" t="str">
        <x:v>Reconsider only if direct official evidence materially improves the failed gate or application economics.</x:v>
      </x:c>
    </x:row>
    <x:row r="39" ht="46" customHeight="1">
      <x:c r="A39" s="27" t="str">
        <x:v>McGill University</x:v>
      </x:c>
      <x:c r="B39" s="27" t="str">
        <x:v>Electrical Engineering (Thesis) (M.Sc.)</x:v>
      </x:c>
      <x:c r="C39" s="27" t="str">
        <x:v>Pass 2 gated out</x:v>
      </x:c>
      <x:c r="D39" s="27" t="str">
        <x:v>Do Not Apply</x:v>
      </x:c>
      <x:c r="E39" s="27" t="str">
        <x:v>Pass 2.1 does not justify application spending; unresolved or failed areas: funding.</x:v>
      </x:c>
      <x:c r="F39" s="27" t="str">
        <x:v>Funding remains conditional or insufficient.</x:v>
      </x:c>
      <x:c r="G39" s="27" t="str"/>
      <x:c r="H39" s="27" t="str"/>
      <x:c r="I39" s="27" t="str">
        <x:v>The fee or applicable waiver is high, unknown, or unverified.</x:v>
      </x:c>
      <x:c r="J39" s="30" t="e">
        <x:f>HYPERLINK("https://www.mcgill.ca/ece/graduate/fellowshipsandawards","Open official source")</x:f>
        <x:v>HYPERLINK is not implemented. linkLocation=https://www.mcgill.ca/ece/graduate/fellowshipsandawards, friendlyName=Open official source</x:v>
      </x:c>
      <x:c r="K39" s="27" t="str">
        <x:v>Reconsider only if direct official evidence materially improves the failed gate or application economics.</x:v>
      </x:c>
    </x:row>
    <x:row r="40" ht="46" customHeight="1">
      <x:c r="A40" s="27" t="str">
        <x:v>Portland State University</x:v>
      </x:c>
      <x:c r="B40" s="27" t="str">
        <x:v>Doctoral Degree in Computer Science (Ph.D.)</x:v>
      </x:c>
      <x:c r="C40" s="27" t="str">
        <x:v>Pass 2 gated out</x:v>
      </x:c>
      <x:c r="D40" s="27" t="str">
        <x:v>Conditional</x:v>
      </x:c>
      <x:c r="E40" s="27" t="str">
        <x:v>Do not apply until renewal terms are documented.</x:v>
      </x:c>
      <x:c r="F40" s="27" t="str">
        <x:v>First-year-only conditional funding</x:v>
      </x:c>
      <x:c r="G40" s="27" t="str"/>
      <x:c r="H40" s="27" t="str"/>
      <x:c r="I40" s="27" t="str">
        <x:v>The fee or applicable waiver is high, unknown, or unverified.</x:v>
      </x:c>
      <x:c r="J40" s="30" t="e">
        <x:f>HYPERLINK("https://web.cs.pdx.edu/phd-doctoral-degree-in-cs/","Open official source")</x:f>
        <x:v>HYPERLINK is not implemented. linkLocation=https://web.cs.pdx.edu/phd-doctoral-degree-in-cs/, friendlyName=Open official source</x:v>
      </x:c>
      <x:c r="K40" s="27" t="str">
        <x:v>Will a Fall 2027 offer guarantee renewable support after year one, including adequate insurance and summer coverage?</x:v>
      </x:c>
    </x:row>
    <x:row r="41" ht="46" customHeight="1">
      <x:c r="A41" s="27" t="str">
        <x:v>Rensselaer Polytechnic Institute</x:v>
      </x:c>
      <x:c r="B41" s="27" t="str">
        <x:v>Ph.D. in Computer Science</x:v>
      </x:c>
      <x:c r="C41" s="27" t="str">
        <x:v>Pass 2 gated out</x:v>
      </x:c>
      <x:c r="D41" s="27" t="str">
        <x:v>Conditional</x:v>
      </x:c>
      <x:c r="E41" s="27" t="str">
        <x:v>Do not apply until universal or standard funded-admit treatment is confirmed.</x:v>
      </x:c>
      <x:c r="F41" s="27" t="str">
        <x:v>Conditional funding</x:v>
      </x:c>
      <x:c r="G41" s="27" t="str"/>
      <x:c r="H41" s="27" t="str"/>
      <x:c r="I41" s="27" t="str">
        <x:v>The fee or applicable waiver is high, unknown, or unverified.</x:v>
      </x:c>
      <x:c r="J41" s="30" t="e">
        <x:f>HYPERLINK("https://compsci.rpi.edu/programs/phd-computer-science","Open official source")</x:f>
        <x:v>HYPERLINK is not implemented. linkLocation=https://compsci.rpi.edu/programs/phd-computer-science, friendlyName=Open official source</x:v>
      </x:c>
      <x:c r="K41" s="27" t="str">
        <x:v>Is full tuition-and-stipend support guaranteed to every Fall 2027 Computer Science PhD admit for the full degree?</x:v>
      </x:c>
    </x:row>
    <x:row r="42" ht="46" customHeight="1">
      <x:c r="A42" s="27" t="str">
        <x:v>Southern Methodist University</x:v>
      </x:c>
      <x:c r="B42" s="27" t="str">
        <x:v>Ph.D. in Computer Science</x:v>
      </x:c>
      <x:c r="C42" s="27" t="str">
        <x:v>Pass 2 gated out</x:v>
      </x:c>
      <x:c r="D42" s="27" t="str">
        <x:v>Do Not Apply</x:v>
      </x:c>
      <x:c r="E42" s="27" t="str">
        <x:v>Pass 2.1 does not justify application spending; unresolved or failed areas: funding.</x:v>
      </x:c>
      <x:c r="F42" s="27" t="str">
        <x:v>Funding remains conditional or insufficient.</x:v>
      </x:c>
      <x:c r="G42" s="27" t="str"/>
      <x:c r="H42" s="27" t="str"/>
      <x:c r="I42" s="27" t="str">
        <x:v>The fee or applicable waiver is high, unknown, or unverified.</x:v>
      </x:c>
      <x:c r="J42" s="30" t="e">
        <x:f>HYPERLINK("https://grad.smu.edu/the-international-applicants-guide-to-a-phd","Open official source")</x:f>
        <x:v>HYPERLINK is not implemented. linkLocation=https://grad.smu.edu/the-international-applicants-guide-to-a-phd, friendlyName=Open official source</x:v>
      </x:c>
      <x:c r="K42" s="27" t="str">
        <x:v>Reconsider only if direct official evidence materially improves the failed gate or application economics.</x:v>
      </x:c>
    </x:row>
    <x:row r="43" ht="46" customHeight="1">
      <x:c r="A43" s="27" t="str">
        <x:v>Texas A&amp;M University-College Station</x:v>
      </x:c>
      <x:c r="B43" s="27" t="str">
        <x:v>Doctor of Philosophy in Computer Science</x:v>
      </x:c>
      <x:c r="C43" s="27" t="str">
        <x:v>Pass 2 gated out</x:v>
      </x:c>
      <x:c r="D43" s="27" t="str">
        <x:v>Do Not Apply</x:v>
      </x:c>
      <x:c r="E43" s="27" t="str">
        <x:v>Pass 2.1 does not justify application spending; unresolved or failed areas: funding.</x:v>
      </x:c>
      <x:c r="F43" s="27" t="str">
        <x:v>Funding remains conditional or insufficient.</x:v>
      </x:c>
      <x:c r="G43" s="27" t="str"/>
      <x:c r="H43" s="27" t="str"/>
      <x:c r="I43" s="27" t="str">
        <x:v>The fee or applicable waiver is high, unknown, or unverified.</x:v>
      </x:c>
      <x:c r="J43" s="30" t="e">
        <x:f>HYPERLINK("https://engineering.tamu.edu/cse/academics/degrees/graduate/faq.html","Open official source")</x:f>
        <x:v>HYPERLINK is not implemented. linkLocation=https://engineering.tamu.edu/cse/academics/degrees/graduate/faq.html, friendlyName=Open official source</x:v>
      </x:c>
      <x:c r="K43" s="27" t="str">
        <x:v>Reconsider only if direct official evidence materially improves the failed gate or application economics.</x:v>
      </x:c>
    </x:row>
    <x:row r="44" ht="46" customHeight="1">
      <x:c r="A44" s="27" t="str">
        <x:v>University of California-Davis</x:v>
      </x:c>
      <x:c r="B44" s="27" t="str">
        <x:v>Computer Science PhD</x:v>
      </x:c>
      <x:c r="C44" s="27" t="str">
        <x:v>Pass 2 gated out</x:v>
      </x:c>
      <x:c r="D44" s="27" t="str">
        <x:v>Do Not Apply</x:v>
      </x:c>
      <x:c r="E44" s="27" t="str">
        <x:v>Pass 2.1 does not justify application spending; unresolved or failed areas: funding.</x:v>
      </x:c>
      <x:c r="F44" s="27" t="str">
        <x:v>Funding remains conditional or insufficient.</x:v>
      </x:c>
      <x:c r="G44" s="27" t="str"/>
      <x:c r="H44" s="27" t="str"/>
      <x:c r="I44" s="27" t="str">
        <x:v>The fee or applicable waiver is high, unknown, or unverified.</x:v>
      </x:c>
      <x:c r="J44" s="30" t="e">
        <x:f>HYPERLINK("https://grad.ucdavis.edu/international-applicants","Open official source")</x:f>
        <x:v>HYPERLINK is not implemented. linkLocation=https://grad.ucdavis.edu/international-applicants, friendlyName=Open official source</x:v>
      </x:c>
      <x:c r="K44" s="27" t="str">
        <x:v>Reconsider only if direct official evidence materially improves the failed gate or application economics.</x:v>
      </x:c>
    </x:row>
    <x:row r="45" ht="46" customHeight="1">
      <x:c r="A45" s="27" t="str">
        <x:v>University of Kentucky</x:v>
      </x:c>
      <x:c r="B45" s="27" t="str">
        <x:v>Doctoral Degree in Computer Science</x:v>
      </x:c>
      <x:c r="C45" s="27" t="str">
        <x:v>Pass 2 gated out</x:v>
      </x:c>
      <x:c r="D45" s="27" t="str">
        <x:v>Do Not Apply</x:v>
      </x:c>
      <x:c r="E45" s="27" t="str">
        <x:v>Pass 2.1 does not justify application spending; unresolved or failed areas: funding.</x:v>
      </x:c>
      <x:c r="F45" s="27" t="str">
        <x:v>Funding remains conditional or insufficient.</x:v>
      </x:c>
      <x:c r="G45" s="27" t="str"/>
      <x:c r="H45" s="27" t="str"/>
      <x:c r="I45" s="27" t="str">
        <x:v>The fee or applicable waiver is high, unknown, or unverified.</x:v>
      </x:c>
      <x:c r="J45" s="30" t="e">
        <x:f>HYPERLINK("https://cs.engr.uky.edu/academics-1/graduate-studies/computer-science","Open official source")</x:f>
        <x:v>HYPERLINK is not implemented. linkLocation=https://cs.engr.uky.edu/academics-1/graduate-studies/computer-science, friendlyName=Open official source</x:v>
      </x:c>
      <x:c r="K45" s="27" t="str">
        <x:v>Reconsider only if direct official evidence materially improves the failed gate or application economics.</x:v>
      </x:c>
    </x:row>
    <x:row r="46" ht="46" customHeight="1">
      <x:c r="A46" s="27" t="str">
        <x:v>University of Victoria</x:v>
      </x:c>
      <x:c r="B46" s="27" t="str">
        <x:v>Master of Applied Science in Electrical and Computer Engineering</x:v>
      </x:c>
      <x:c r="C46" s="27" t="str">
        <x:v>Pass 2 gated out</x:v>
      </x:c>
      <x:c r="D46" s="27" t="str">
        <x:v>Do Not Apply</x:v>
      </x:c>
      <x:c r="E46" s="27" t="str">
        <x:v>Pass 2.1 does not justify application spending; unresolved or failed areas: funding.</x:v>
      </x:c>
      <x:c r="F46" s="27" t="str">
        <x:v>Funding remains conditional or insufficient.</x:v>
      </x:c>
      <x:c r="G46" s="27" t="str"/>
      <x:c r="H46" s="27" t="str"/>
      <x:c r="I46" s="27" t="str">
        <x:v>The fee or applicable waiver is high, unknown, or unverified.</x:v>
      </x:c>
      <x:c r="J46" s="30" t="e">
        <x:f>HYPERLINK("https://www.uvic.ca/ecs/ece/future/graduate/awards-and-funding/index.php","Open official source")</x:f>
        <x:v>HYPERLINK is not implemented. linkLocation=https://www.uvic.ca/ecs/ece/future/graduate/awards-and-funding/index.php, friendlyName=Open official source</x:v>
      </x:c>
      <x:c r="K46" s="27" t="str">
        <x:v>Reconsider only if direct official evidence materially improves the failed gate or application economics.</x:v>
      </x:c>
    </x:row>
    <x:row r="47" ht="46" customHeight="1">
      <x:c r="A47" s="27" t="str">
        <x:v>Brandeis University</x:v>
      </x:c>
      <x:c r="B47" s="27" t="str">
        <x:v>Doctor of Philosophy in Computer Science</x:v>
      </x:c>
      <x:c r="C47" s="27" t="str">
        <x:v>Pass 2 gated out</x:v>
      </x:c>
      <x:c r="D47" s="27" t="str">
        <x:v>Do Not Apply</x:v>
      </x:c>
      <x:c r="E47" s="27" t="str">
        <x:v>Pass 2.1 does not justify application spending; unresolved or failed areas: funding.</x:v>
      </x:c>
      <x:c r="F47" s="27" t="str">
        <x:v>Funding remains conditional or insufficient.</x:v>
      </x:c>
      <x:c r="G47" s="27" t="str"/>
      <x:c r="H47" s="27" t="str"/>
      <x:c r="I47" s="27" t="str"/>
      <x:c r="J47" s="30" t="e">
        <x:f>HYPERLINK("https://www.brandeis.edu/gsas/financing/doctoral/index.html","Open official source")</x:f>
        <x:v>HYPERLINK is not implemented. linkLocation=https://www.brandeis.edu/gsas/financing/doctoral/index.html, friendlyName=Open official source</x:v>
      </x:c>
      <x:c r="K47" s="27" t="str">
        <x:v>Reconsider only if direct official evidence materially improves the failed gate or application economics.</x:v>
      </x:c>
    </x:row>
    <x:row r="48" ht="46" customHeight="1">
      <x:c r="A48" s="27" t="str">
        <x:v>Concordia University</x:v>
      </x:c>
      <x:c r="B48" s="27" t="str">
        <x:v>Cybersecurity Engineering (MASc)</x:v>
      </x:c>
      <x:c r="C48" s="27" t="str">
        <x:v>Pass 2 gated out</x:v>
      </x:c>
      <x:c r="D48" s="27" t="str">
        <x:v>Do Not Apply</x:v>
      </x:c>
      <x:c r="E48" s="27" t="str">
        <x:v>Pass 2.1 does not justify application spending; unresolved or failed areas: funding.</x:v>
      </x:c>
      <x:c r="F48" s="27" t="str">
        <x:v>Funding remains conditional or insufficient.</x:v>
      </x:c>
      <x:c r="G48" s="27" t="str"/>
      <x:c r="H48" s="27" t="str"/>
      <x:c r="I48" s="27" t="str">
        <x:v>The fee or applicable waiver is high, unknown, or unverified.</x:v>
      </x:c>
      <x:c r="J48" s="30" t="e">
        <x:f>HYPERLINK("https://www.concordia.ca/academics/graduate/cybersecurity-engineering-masc.html","Open official source")</x:f>
        <x:v>HYPERLINK is not implemented. linkLocation=https://www.concordia.ca/academics/graduate/cybersecurity-engineering-masc.html, friendlyName=Open official source</x:v>
      </x:c>
      <x:c r="K48" s="27" t="str">
        <x:v>Reconsider only if direct official evidence materially improves the failed gate or application economics.</x:v>
      </x:c>
    </x:row>
    <x:row r="49" ht="46" customHeight="1">
      <x:c r="A49" s="27" t="str">
        <x:v>Emory University</x:v>
      </x:c>
      <x:c r="B49" s="27" t="str">
        <x:v>Doctor of Philosophy in Computer Science and Informatics</x:v>
      </x:c>
      <x:c r="C49" s="27" t="str">
        <x:v>Pass 2 gated out</x:v>
      </x:c>
      <x:c r="D49" s="27" t="str">
        <x:v>Do Not Apply</x:v>
      </x:c>
      <x:c r="E49" s="27" t="str">
        <x:v>Pass 2.1 does not justify application spending; unresolved or failed areas: funding.</x:v>
      </x:c>
      <x:c r="F49" s="27" t="str">
        <x:v>Funding passes claim-level review but does not overcome the remaining portfolio weaknesses.</x:v>
      </x:c>
      <x:c r="G49" s="27" t="str"/>
      <x:c r="H49" s="27" t="str"/>
      <x:c r="I49" s="27" t="str"/>
      <x:c r="J49" s="30" t="e">
        <x:f>HYPERLINK("https://computerscience.emory.edu/graduate-phd/admissions/index.html","Open official source")</x:f>
        <x:v>HYPERLINK is not implemented. linkLocation=https://computerscience.emory.edu/graduate-phd/admissions/index.html, friendlyName=Open official source</x:v>
      </x:c>
      <x:c r="K49" s="27" t="str">
        <x:v>Reconsider only if direct official evidence materially improves the failed gate or application economics.</x:v>
      </x:c>
    </x:row>
    <x:row r="50" ht="46" customHeight="1">
      <x:c r="A50" s="27" t="str">
        <x:v>George Washington University</x:v>
      </x:c>
      <x:c r="B50" s="27" t="str">
        <x:v>PhD in Computer Science</x:v>
      </x:c>
      <x:c r="C50" s="27" t="str">
        <x:v>Pass 2 gated out</x:v>
      </x:c>
      <x:c r="D50" s="27" t="str">
        <x:v>Do Not Apply</x:v>
      </x:c>
      <x:c r="E50" s="27" t="str">
        <x:v>Pass 2.1 does not justify application spending; unresolved or failed areas: funding.</x:v>
      </x:c>
      <x:c r="F50" s="27" t="str">
        <x:v>Funding remains conditional or insufficient.</x:v>
      </x:c>
      <x:c r="G50" s="27" t="str"/>
      <x:c r="H50" s="27" t="str"/>
      <x:c r="I50" s="27" t="str"/>
      <x:c r="J50" s="30" t="e">
        <x:f>HYPERLINK("https://graduate.engineering.gwu.edu/doctoral-funding-information","Open official source")</x:f>
        <x:v>HYPERLINK is not implemented. linkLocation=https://graduate.engineering.gwu.edu/doctoral-funding-information, friendlyName=Open official source</x:v>
      </x:c>
      <x:c r="K50" s="27" t="str">
        <x:v>Reconsider only if direct official evidence materially improves the failed gate or application economics.</x:v>
      </x:c>
    </x:row>
    <x:row r="51" ht="46" customHeight="1">
      <x:c r="A51" s="27" t="str">
        <x:v>Michigan Technological University</x:v>
      </x:c>
      <x:c r="B51" s="27" t="str">
        <x:v>Computer Science, PhD</x:v>
      </x:c>
      <x:c r="C51" s="27" t="str">
        <x:v>Pass 2 gated out</x:v>
      </x:c>
      <x:c r="D51" s="27" t="str">
        <x:v>Do Not Apply</x:v>
      </x:c>
      <x:c r="E51" s="27" t="str">
        <x:v>Funding remains conditional after claim-level review and does not support application spending now.</x:v>
      </x:c>
      <x:c r="F51" s="27" t="str">
        <x:v>Funding remains conditional or insufficient.</x:v>
      </x:c>
      <x:c r="G51" s="27" t="str"/>
      <x:c r="H51" s="27" t="str"/>
      <x:c r="I51" s="27" t="str">
        <x:v>The fee or applicable waiver is high, unknown, or unverified.</x:v>
      </x:c>
      <x:c r="J51" s="30" t="e">
        <x:f>HYPERLINK("https://www.mtu.edu/gradschool/financial/assistantships/","Open official source")</x:f>
        <x:v>HYPERLINK is not implemented. linkLocation=https://www.mtu.edu/gradschool/financial/assistantships/, friendlyName=Open official source</x:v>
      </x:c>
      <x:c r="K51" s="27" t="str">
        <x:v>Reconsider only if direct official evidence materially improves the failed gate or application economics.</x:v>
      </x:c>
    </x:row>
    <x:row r="52" ht="46" customHeight="1">
      <x:c r="A52" s="27" t="str">
        <x:v>New Mexico Institute of Mining and Technology</x:v>
      </x:c>
      <x:c r="B52" s="27" t="str">
        <x:v>Doctor of Philosophy in Computer Science</x:v>
      </x:c>
      <x:c r="C52" s="27" t="str">
        <x:v>Pass 2 gated out</x:v>
      </x:c>
      <x:c r="D52" s="27" t="str">
        <x:v>Do Not Apply</x:v>
      </x:c>
      <x:c r="E52" s="27" t="str">
        <x:v>Pass 2.1 does not justify application spending; unresolved or failed areas: funding.</x:v>
      </x:c>
      <x:c r="F52" s="27" t="str">
        <x:v>Funding remains conditional or insufficient.</x:v>
      </x:c>
      <x:c r="G52" s="27" t="str"/>
      <x:c r="H52" s="27" t="str"/>
      <x:c r="I52" s="27" t="str"/>
      <x:c r="J52" s="30" t="e">
        <x:f>HYPERLINK("https://www.nmt.edu/gradstudies/Tuition_Remission.php","Open official source")</x:f>
        <x:v>HYPERLINK is not implemented. linkLocation=https://www.nmt.edu/gradstudies/Tuition_Remission.php, friendlyName=Open official source</x:v>
      </x:c>
      <x:c r="K52" s="27" t="str">
        <x:v>Reconsider only if direct official evidence materially improves the failed gate or application economics.</x:v>
      </x:c>
    </x:row>
    <x:row r="53" ht="46" customHeight="1">
      <x:c r="A53" s="27" t="str">
        <x:v>North Dakota State University-Main Campus</x:v>
      </x:c>
      <x:c r="B53" s="27" t="str">
        <x:v>Doctor of Philosophy in Software and Security Engineering</x:v>
      </x:c>
      <x:c r="C53" s="27" t="str">
        <x:v>Pass 2 gated out</x:v>
      </x:c>
      <x:c r="D53" s="27" t="str">
        <x:v>Do Not Apply</x:v>
      </x:c>
      <x:c r="E53" s="27" t="str">
        <x:v>Pass 2.1 does not justify application spending; unresolved or failed areas: funding.</x:v>
      </x:c>
      <x:c r="F53" s="27" t="str">
        <x:v>Funding remains conditional or insufficient.</x:v>
      </x:c>
      <x:c r="G53" s="27" t="str"/>
      <x:c r="H53" s="27" t="str"/>
      <x:c r="I53" s="27" t="str"/>
      <x:c r="J53" s="30" t="e">
        <x:f>HYPERLINK("https://catalog.ndsu.edu/past-bulletin-archive/2024-25/programs-study/graduate/software-engineering/software-engineering_admissionrequirementstext.pdf","Open official source")</x:f>
        <x:v>HYPERLINK is not implemented. linkLocation=https://catalog.ndsu.edu/past-bulletin-archive/2024-25/programs-study/graduate/software-engineering/software-engineering_admissionrequirementstext.pdf, friendlyName=Open official source</x:v>
      </x:c>
      <x:c r="K53" s="27" t="str">
        <x:v>Reconsider only if direct official evidence materially improves the failed gate or application economics.</x:v>
      </x:c>
    </x:row>
    <x:row r="54" ht="46" customHeight="1">
      <x:c r="A54" s="27" t="str">
        <x:v>Oklahoma State University-Main Campus</x:v>
      </x:c>
      <x:c r="B54" s="27" t="str">
        <x:v>Doctor of Philosophy in Computer Science</x:v>
      </x:c>
      <x:c r="C54" s="27" t="str">
        <x:v>Pass 2 gated out</x:v>
      </x:c>
      <x:c r="D54" s="27" t="str">
        <x:v>Do Not Apply</x:v>
      </x:c>
      <x:c r="E54" s="27" t="str">
        <x:v>Pass 2.1 does not justify application spending; unresolved or failed areas: funding.</x:v>
      </x:c>
      <x:c r="F54" s="27" t="str">
        <x:v>Funding remains conditional or insufficient.</x:v>
      </x:c>
      <x:c r="G54" s="27" t="str"/>
      <x:c r="H54" s="27" t="str"/>
      <x:c r="I54" s="27" t="str">
        <x:v>The fee or applicable waiver is high, unknown, or unverified.</x:v>
      </x:c>
      <x:c r="J54" s="30" t="e">
        <x:f>HYPERLINK("https://cas.okstate.edu/computer_science/graduate/phd_cs","Open official source")</x:f>
        <x:v>HYPERLINK is not implemented. linkLocation=https://cas.okstate.edu/computer_science/graduate/phd_cs, friendlyName=Open official source</x:v>
      </x:c>
      <x:c r="K54" s="27" t="str">
        <x:v>Reconsider only if direct official evidence materially improves the failed gate or application economics.</x:v>
      </x:c>
    </x:row>
    <x:row r="55" ht="46" customHeight="1">
      <x:c r="A55" s="27" t="str">
        <x:v>Rochester Institute of Technology</x:v>
      </x:c>
      <x:c r="B55" s="27" t="str">
        <x:v>Computing and Information Sciences PhD</x:v>
      </x:c>
      <x:c r="C55" s="27" t="str">
        <x:v>Pass 2 gated out</x:v>
      </x:c>
      <x:c r="D55" s="27" t="str">
        <x:v>Do Not Apply</x:v>
      </x:c>
      <x:c r="E55" s="27" t="str">
        <x:v>Pass 2.1 does not justify application spending; unresolved or failed areas: funding.</x:v>
      </x:c>
      <x:c r="F55" s="27" t="str">
        <x:v>Funding remains conditional or insufficient.</x:v>
      </x:c>
      <x:c r="G55" s="27" t="str"/>
      <x:c r="H55" s="27" t="str"/>
      <x:c r="I55" s="27" t="str"/>
      <x:c r="J55" s="30" t="e">
        <x:f>HYPERLINK("https://www.rit.edu/study/computing-and-information-sciences-phd","Open official source")</x:f>
        <x:v>HYPERLINK is not implemented. linkLocation=https://www.rit.edu/study/computing-and-information-sciences-phd, friendlyName=Open official source</x:v>
      </x:c>
      <x:c r="K55" s="27" t="str">
        <x:v>Reconsider only if direct official evidence materially improves the failed gate or application economics.</x:v>
      </x:c>
    </x:row>
    <x:row r="56" ht="46" customHeight="1">
      <x:c r="A56" s="27" t="str">
        <x:v>Rutgers University-New Brunswick</x:v>
      </x:c>
      <x:c r="B56" s="27" t="str">
        <x:v>Computer Science (Ph.D.), New Brunswick</x:v>
      </x:c>
      <x:c r="C56" s="27" t="str">
        <x:v>Pass 2 gated out</x:v>
      </x:c>
      <x:c r="D56" s="27" t="str">
        <x:v>Do Not Apply</x:v>
      </x:c>
      <x:c r="E56" s="27" t="str">
        <x:v>Pass 2.1 does not justify application spending; unresolved or failed areas: funding.</x:v>
      </x:c>
      <x:c r="F56" s="27" t="str">
        <x:v>Funding remains conditional or insufficient.</x:v>
      </x:c>
      <x:c r="G56" s="27" t="str"/>
      <x:c r="H56" s="27" t="str"/>
      <x:c r="I56" s="27" t="str"/>
      <x:c r="J56" s="30" t="e">
        <x:f>HYPERLINK("https://www.cs.rutgers.edu/academics/graduate/ph-d-program/financial-aid","Open official source")</x:f>
        <x:v>HYPERLINK is not implemented. linkLocation=https://www.cs.rutgers.edu/academics/graduate/ph-d-program/financial-aid, friendlyName=Open official source</x:v>
      </x:c>
      <x:c r="K56" s="27" t="str">
        <x:v>Reconsider only if direct official evidence materially improves the failed gate or application economics.</x:v>
      </x:c>
    </x:row>
    <x:row r="57" ht="46" customHeight="1">
      <x:c r="A57" s="27" t="str">
        <x:v>Stony Brook University</x:v>
      </x:c>
      <x:c r="B57" s="27" t="str">
        <x:v>PhD in Computer Science</x:v>
      </x:c>
      <x:c r="C57" s="27" t="str">
        <x:v>Pass 2 gated out</x:v>
      </x:c>
      <x:c r="D57" s="27" t="str">
        <x:v>Do Not Apply</x:v>
      </x:c>
      <x:c r="E57" s="27" t="str">
        <x:v>Pass 2.1 does not justify application spending; unresolved or failed areas: funding.</x:v>
      </x:c>
      <x:c r="F57" s="27" t="str">
        <x:v>Funding remains conditional or insufficient.</x:v>
      </x:c>
      <x:c r="G57" s="27" t="str"/>
      <x:c r="H57" s="27" t="str"/>
      <x:c r="I57" s="27" t="str"/>
      <x:c r="J57" s="30" t="e">
        <x:f>HYPERLINK("https://www3.cs.stonybrook.edu/files/graduate/CSbrochure.pdf","Open official source")</x:f>
        <x:v>HYPERLINK is not implemented. linkLocation=https://www3.cs.stonybrook.edu/files/graduate/CSbrochure.pdf, friendlyName=Open official source</x:v>
      </x:c>
      <x:c r="K57" s="27" t="str">
        <x:v>Reconsider only if direct official evidence materially improves the failed gate or application economics.</x:v>
      </x:c>
    </x:row>
    <x:row r="58" ht="46" customHeight="1">
      <x:c r="A58" s="27" t="str">
        <x:v>Tennessee Technological University</x:v>
      </x:c>
      <x:c r="B58" s="27" t="str">
        <x:v>Computer Science PhD</x:v>
      </x:c>
      <x:c r="C58" s="27" t="str">
        <x:v>Pass 2 gated out</x:v>
      </x:c>
      <x:c r="D58" s="27" t="str">
        <x:v>Do Not Apply</x:v>
      </x:c>
      <x:c r="E58" s="27" t="str">
        <x:v>Pass 2.1 does not justify application spending; unresolved or failed areas: funding.</x:v>
      </x:c>
      <x:c r="F58" s="27" t="str">
        <x:v>Funding remains conditional or insufficient.</x:v>
      </x:c>
      <x:c r="G58" s="27" t="str"/>
      <x:c r="H58" s="27" t="str"/>
      <x:c r="I58" s="27" t="str">
        <x:v>The fee or applicable waiver is high, unknown, or unverified.</x:v>
      </x:c>
      <x:c r="J58" s="30" t="e">
        <x:f>HYPERLINK("https://www.tntech.edu/engineering/programs/csc/graduate-assistantships.php","Open official source")</x:f>
        <x:v>HYPERLINK is not implemented. linkLocation=https://www.tntech.edu/engineering/programs/csc/graduate-assistantships.php, friendlyName=Open official source</x:v>
      </x:c>
      <x:c r="K58" s="27" t="str">
        <x:v>Reconsider only if direct official evidence materially improves the failed gate or application economics.</x:v>
      </x:c>
    </x:row>
    <x:row r="59" ht="46" customHeight="1">
      <x:c r="A59" s="27" t="str">
        <x:v>The University of Texas at Arlington</x:v>
      </x:c>
      <x:c r="B59" s="27" t="str">
        <x:v>Doctoral Degree in Computer Science/Computer Engineering</x:v>
      </x:c>
      <x:c r="C59" s="27" t="str">
        <x:v>Pass 2 gated out</x:v>
      </x:c>
      <x:c r="D59" s="27" t="str">
        <x:v>Do Not Apply</x:v>
      </x:c>
      <x:c r="E59" s="27" t="str">
        <x:v>Pass 2.1 does not justify application spending; unresolved or failed areas: funding.</x:v>
      </x:c>
      <x:c r="F59" s="27" t="str">
        <x:v>Funding remains conditional or insufficient.</x:v>
      </x:c>
      <x:c r="G59" s="27" t="str"/>
      <x:c r="H59" s="27" t="str"/>
      <x:c r="I59" s="27" t="str"/>
      <x:c r="J59" s="30" t="e">
        <x:f>HYPERLINK("https://www.uta.edu/academics/schools-colleges/engineering/academics/departments/cse/phd","Open official source")</x:f>
        <x:v>HYPERLINK is not implemented. linkLocation=https://www.uta.edu/academics/schools-colleges/engineering/academics/departments/cse/phd, friendlyName=Open official source</x:v>
      </x:c>
      <x:c r="K59" s="27" t="str">
        <x:v>Reconsider only if direct official evidence materially improves the failed gate or application economics.</x:v>
      </x:c>
    </x:row>
    <x:row r="60" ht="46" customHeight="1">
      <x:c r="A60" s="27" t="str">
        <x:v>The University of Texas at Dallas</x:v>
      </x:c>
      <x:c r="B60" s="27" t="str">
        <x:v>Computer Science PhD</x:v>
      </x:c>
      <x:c r="C60" s="27" t="str">
        <x:v>Pass 2 gated out</x:v>
      </x:c>
      <x:c r="D60" s="27" t="str">
        <x:v>Do Not Apply</x:v>
      </x:c>
      <x:c r="E60" s="27" t="str">
        <x:v>Pass 2.1 does not justify application spending; unresolved or failed areas: funding.</x:v>
      </x:c>
      <x:c r="F60" s="27" t="str">
        <x:v>Funding remains conditional or insufficient.</x:v>
      </x:c>
      <x:c r="G60" s="27" t="str"/>
      <x:c r="H60" s="27" t="str"/>
      <x:c r="I60" s="27" t="str"/>
      <x:c r="J60" s="30" t="e">
        <x:f>HYPERLINK("https://cs.utdallas.edu/admissions/admissions-faq/","Open official source")</x:f>
        <x:v>HYPERLINK is not implemented. linkLocation=https://cs.utdallas.edu/admissions/admissions-faq/, friendlyName=Open official source</x:v>
      </x:c>
      <x:c r="K60" s="27" t="str">
        <x:v>Reconsider only if direct official evidence materially improves the failed gate or application economics.</x:v>
      </x:c>
    </x:row>
    <x:row r="61" ht="46" customHeight="1">
      <x:c r="A61" s="27" t="str">
        <x:v>The University of Texas at El Paso</x:v>
      </x:c>
      <x:c r="B61" s="27" t="str">
        <x:v>Doctor of Philosophy in Computer Science</x:v>
      </x:c>
      <x:c r="C61" s="27" t="str">
        <x:v>Pass 2 gated out</x:v>
      </x:c>
      <x:c r="D61" s="27" t="str">
        <x:v>Do Not Apply</x:v>
      </x:c>
      <x:c r="E61" s="27" t="str">
        <x:v>Pass 2.1 does not justify application spending; unresolved or failed areas: funding.</x:v>
      </x:c>
      <x:c r="F61" s="27" t="str">
        <x:v>Funding remains conditional or insufficient.</x:v>
      </x:c>
      <x:c r="G61" s="27" t="str"/>
      <x:c r="H61" s="27" t="str"/>
      <x:c r="I61" s="27" t="str">
        <x:v>The fee or applicable waiver is high, unknown, or unverified.</x:v>
      </x:c>
      <x:c r="J61" s="30" t="e">
        <x:f>HYPERLINK("https://www.utep.edu/graduate/funding/doctoral-tuition-remission.html","Open official source")</x:f>
        <x:v>HYPERLINK is not implemented. linkLocation=https://www.utep.edu/graduate/funding/doctoral-tuition-remission.html, friendlyName=Open official source</x:v>
      </x:c>
      <x:c r="K61" s="27" t="str">
        <x:v>Reconsider only if direct official evidence materially improves the failed gate or application economics.</x:v>
      </x:c>
    </x:row>
    <x:row r="62" ht="46" customHeight="1">
      <x:c r="A62" s="27" t="str">
        <x:v>University of Alabama at Birmingham</x:v>
      </x:c>
      <x:c r="B62" s="27" t="str">
        <x:v>Ph.D. in Computer Science</x:v>
      </x:c>
      <x:c r="C62" s="27" t="str">
        <x:v>Pass 2 gated out</x:v>
      </x:c>
      <x:c r="D62" s="27" t="str">
        <x:v>Do Not Apply</x:v>
      </x:c>
      <x:c r="E62" s="27" t="str">
        <x:v>Pass 2.1 does not justify application spending; unresolved or failed areas: funding.</x:v>
      </x:c>
      <x:c r="F62" s="27" t="str">
        <x:v>Funding remains conditional or insufficient.</x:v>
      </x:c>
      <x:c r="G62" s="27" t="str"/>
      <x:c r="H62" s="27" t="str"/>
      <x:c r="I62" s="27" t="str"/>
      <x:c r="J62" s="30" t="e">
        <x:f>HYPERLINK("https://www.uab.edu/cas/computerscience/graduate-programs/financial-aid","Open official source")</x:f>
        <x:v>HYPERLINK is not implemented. linkLocation=https://www.uab.edu/cas/computerscience/graduate-programs/financial-aid, friendlyName=Open official source</x:v>
      </x:c>
      <x:c r="K62" s="27" t="str">
        <x:v>Reconsider only if direct official evidence materially improves the failed gate or application economics.</x:v>
      </x:c>
    </x:row>
    <x:row r="63" ht="46" customHeight="1">
      <x:c r="A63" s="27" t="str">
        <x:v>University of Alabama in Huntsville</x:v>
      </x:c>
      <x:c r="B63" s="27" t="str">
        <x:v>Computer Science, Ph.D.</x:v>
      </x:c>
      <x:c r="C63" s="27" t="str">
        <x:v>Pass 2 gated out</x:v>
      </x:c>
      <x:c r="D63" s="27" t="str">
        <x:v>Do Not Apply</x:v>
      </x:c>
      <x:c r="E63" s="27" t="str">
        <x:v>Pass 2.1 does not justify application spending; unresolved or failed areas: funding.</x:v>
      </x:c>
      <x:c r="F63" s="27" t="str">
        <x:v>Funding remains conditional or insufficient.</x:v>
      </x:c>
      <x:c r="G63" s="27" t="str"/>
      <x:c r="H63" s="27" t="str"/>
      <x:c r="I63" s="27" t="str">
        <x:v>The fee or applicable waiver is high, unknown, or unverified.</x:v>
      </x:c>
      <x:c r="J63" s="30" t="e">
        <x:f>HYPERLINK("https://www.uah.edu/science/departments/computer-science/cs-graduate-programs","Open official source")</x:f>
        <x:v>HYPERLINK is not implemented. linkLocation=https://www.uah.edu/science/departments/computer-science/cs-graduate-programs, friendlyName=Open official source</x:v>
      </x:c>
      <x:c r="K63" s="27" t="str">
        <x:v>Reconsider only if direct official evidence materially improves the failed gate or application economics.</x:v>
      </x:c>
    </x:row>
    <x:row r="64" ht="46" customHeight="1">
      <x:c r="A64" s="27" t="str">
        <x:v>University of Cincinnati-Main Campus</x:v>
      </x:c>
      <x:c r="B64" s="27" t="str">
        <x:v>Doctor of Philosophy in Computer Science and Engineering</x:v>
      </x:c>
      <x:c r="C64" s="27" t="str">
        <x:v>Pass 2 gated out</x:v>
      </x:c>
      <x:c r="D64" s="27" t="str">
        <x:v>Do Not Apply</x:v>
      </x:c>
      <x:c r="E64" s="27" t="str">
        <x:v>Funding remains conditional after claim-level review and does not support application spending now.</x:v>
      </x:c>
      <x:c r="F64" s="27" t="str">
        <x:v>Funding remains conditional or insufficient.</x:v>
      </x:c>
      <x:c r="G64" s="27" t="str"/>
      <x:c r="H64" s="27" t="str"/>
      <x:c r="I64" s="27" t="str"/>
      <x:c r="J64" s="30" t="e">
        <x:f>HYPERLINK("https://www.ceas.uc.edu/admissions/graduate/faqs.html","Open official source")</x:f>
        <x:v>HYPERLINK is not implemented. linkLocation=https://www.ceas.uc.edu/admissions/graduate/faqs.html, friendlyName=Open official source</x:v>
      </x:c>
      <x:c r="K64" s="27" t="str">
        <x:v>Reconsider only if direct official evidence materially improves the failed gate or application economics.</x:v>
      </x:c>
    </x:row>
    <x:row r="65" ht="46" customHeight="1">
      <x:c r="A65" s="27" t="str">
        <x:v>University of Colorado Colorado Springs</x:v>
      </x:c>
      <x:c r="B65" s="27" t="str">
        <x:v>Cybersecurity, PhD</x:v>
      </x:c>
      <x:c r="C65" s="27" t="str">
        <x:v>Pass 2 gated out</x:v>
      </x:c>
      <x:c r="D65" s="27" t="str">
        <x:v>Do Not Apply</x:v>
      </x:c>
      <x:c r="E65" s="27" t="str">
        <x:v>Pass 2.1 does not justify application spending; unresolved or failed areas: funding.</x:v>
      </x:c>
      <x:c r="F65" s="27" t="str">
        <x:v>Funding remains conditional or insufficient.</x:v>
      </x:c>
      <x:c r="G65" s="27" t="str"/>
      <x:c r="H65" s="27" t="str"/>
      <x:c r="I65" s="27" t="str">
        <x:v>The fee or applicable waiver is high, unknown, or unverified.</x:v>
      </x:c>
      <x:c r="J65" s="30" t="e">
        <x:f>HYPERLINK("https://academics.uccs.edu/~schang2/docs/Prospective_Students_UCCS_Systems_Security_Lab.pdf","Open official source")</x:f>
        <x:v>HYPERLINK is not implemented. linkLocation=https://academics.uccs.edu/~schang2/docs/Prospective_Students_UCCS_Systems_Security_Lab.pdf, friendlyName=Open official source</x:v>
      </x:c>
      <x:c r="K65" s="27" t="str">
        <x:v>Reconsider only if direct official evidence materially improves the failed gate or application economics.</x:v>
      </x:c>
    </x:row>
    <x:row r="66" ht="46" customHeight="1">
      <x:c r="A66" s="27" t="str">
        <x:v>University of Delaware</x:v>
      </x:c>
      <x:c r="B66" s="27" t="str">
        <x:v>Ph.D. in Computer Science</x:v>
      </x:c>
      <x:c r="C66" s="27" t="str">
        <x:v>Pass 2 gated out</x:v>
      </x:c>
      <x:c r="D66" s="27" t="str">
        <x:v>Do Not Apply</x:v>
      </x:c>
      <x:c r="E66" s="27" t="str">
        <x:v>Pass 2.1 does not justify application spending; unresolved or failed areas: funding.</x:v>
      </x:c>
      <x:c r="F66" s="27" t="str">
        <x:v>Funding passes claim-level review but does not overcome the remaining portfolio weaknesses.</x:v>
      </x:c>
      <x:c r="G66" s="27" t="str"/>
      <x:c r="H66" s="27" t="str"/>
      <x:c r="I66" s="27" t="str"/>
      <x:c r="J66" s="30" t="e">
        <x:f>HYPERLINK("https://www.udel.edu/academics/colleges/grad/prospective-students/programs/computer-science/","Open official source")</x:f>
        <x:v>HYPERLINK is not implemented. linkLocation=https://www.udel.edu/academics/colleges/grad/prospective-students/programs/computer-science/, friendlyName=Open official source</x:v>
      </x:c>
      <x:c r="K66" s="27" t="str">
        <x:v>Reconsider only if direct official evidence materially improves the failed gate or application economics.</x:v>
      </x:c>
    </x:row>
    <x:row r="67" ht="46" customHeight="1">
      <x:c r="A67" s="27" t="str">
        <x:v>University of Florence</x:v>
      </x:c>
      <x:c r="B67" s="27" t="str">
        <x:v>MSc in Software: Science and Technology</x:v>
      </x:c>
      <x:c r="C67" s="27" t="str">
        <x:v>Pass 2 gated out</x:v>
      </x:c>
      <x:c r="D67" s="27" t="str">
        <x:v>Do Not Apply</x:v>
      </x:c>
      <x:c r="E67" s="27" t="str">
        <x:v>Funding remains conditional after claim-level review and does not support application spending now.</x:v>
      </x:c>
      <x:c r="F67" s="27" t="str">
        <x:v>Funding remains conditional or insufficient.</x:v>
      </x:c>
      <x:c r="G67" s="27" t="str"/>
      <x:c r="H67" s="27" t="str"/>
      <x:c r="I67" s="27" t="str"/>
      <x:c r="J67" s="30" t="e">
        <x:f>HYPERLINK("https://www.dsu.toscana.it/borsa-di-studio","Open official source")</x:f>
        <x:v>HYPERLINK is not implemented. linkLocation=https://www.dsu.toscana.it/borsa-di-studio, friendlyName=Open official source</x:v>
      </x:c>
      <x:c r="K67" s="27" t="str">
        <x:v>Reconsider only if direct official evidence materially improves the failed gate or application economics.</x:v>
      </x:c>
    </x:row>
    <x:row r="68" ht="46" customHeight="1">
      <x:c r="A68" s="27" t="str">
        <x:v>University of Georgia</x:v>
      </x:c>
      <x:c r="B68" s="27" t="str">
        <x:v>Doctor of Philosophy in Computer Science</x:v>
      </x:c>
      <x:c r="C68" s="27" t="str">
        <x:v>Pass 2 gated out</x:v>
      </x:c>
      <x:c r="D68" s="27" t="str">
        <x:v>Do Not Apply</x:v>
      </x:c>
      <x:c r="E68" s="27" t="str">
        <x:v>Pass 2.1 does not justify application spending; unresolved or failed areas: funding.</x:v>
      </x:c>
      <x:c r="F68" s="27" t="str">
        <x:v>Funding remains conditional or insufficient.</x:v>
      </x:c>
      <x:c r="G68" s="27" t="str"/>
      <x:c r="H68" s="27" t="str"/>
      <x:c r="I68" s="27" t="str"/>
      <x:c r="J68" s="30" t="e">
        <x:f>HYPERLINK("https://www.cs.uga.edu/graduate-financial-assistance","Open official source")</x:f>
        <x:v>HYPERLINK is not implemented. linkLocation=https://www.cs.uga.edu/graduate-financial-assistance, friendlyName=Open official source</x:v>
      </x:c>
      <x:c r="K68" s="27" t="str">
        <x:v>Reconsider only if direct official evidence materially improves the failed gate or application economics.</x:v>
      </x:c>
    </x:row>
    <x:row r="69" ht="46" customHeight="1">
      <x:c r="A69" s="27" t="str">
        <x:v>University of Idaho</x:v>
      </x:c>
      <x:c r="B69" s="27" t="str">
        <x:v>Computer Science, Ph.D.</x:v>
      </x:c>
      <x:c r="C69" s="27" t="str">
        <x:v>Pass 2 gated out</x:v>
      </x:c>
      <x:c r="D69" s="27" t="str">
        <x:v>Do Not Apply</x:v>
      </x:c>
      <x:c r="E69" s="27" t="str">
        <x:v>Pass 2.1 does not justify application spending; unresolved or failed areas: funding.</x:v>
      </x:c>
      <x:c r="F69" s="27" t="str">
        <x:v>Funding remains conditional or insufficient.</x:v>
      </x:c>
      <x:c r="G69" s="27" t="str"/>
      <x:c r="H69" s="27" t="str"/>
      <x:c r="I69" s="27" t="str">
        <x:v>The fee or applicable waiver is high, unknown, or unverified.</x:v>
      </x:c>
      <x:c r="J69" s="30" t="e">
        <x:f>HYPERLINK("https://www.uidaho.edu/academics/degree-finder/computer-sci-phd","Open official source")</x:f>
        <x:v>HYPERLINK is not implemented. linkLocation=https://www.uidaho.edu/academics/degree-finder/computer-sci-phd, friendlyName=Open official source</x:v>
      </x:c>
      <x:c r="K69" s="27" t="str">
        <x:v>Reconsider only if direct official evidence materially improves the failed gate or application economics.</x:v>
      </x:c>
    </x:row>
    <x:row r="70" ht="46" customHeight="1">
      <x:c r="A70" s="27" t="str">
        <x:v>University of Illinois Urbana-Champaign</x:v>
      </x:c>
      <x:c r="B70" s="27" t="str">
        <x:v>Computer Science PhD</x:v>
      </x:c>
      <x:c r="C70" s="27" t="str">
        <x:v>Pass 2 gated out</x:v>
      </x:c>
      <x:c r="D70" s="27" t="str">
        <x:v>Do Not Apply</x:v>
      </x:c>
      <x:c r="E70" s="27" t="str">
        <x:v>The 3.35 cumulative GPA is below the published 3.40 CS PhD minimum; only a rare-exception path exists, and the high-fee extreme reach is not justified over the chosen portfolio.</x:v>
      </x:c>
      <x:c r="F70" s="27" t="str">
        <x:v>Funding passes claim-level review but does not overcome the remaining portfolio weaknesses.</x:v>
      </x:c>
      <x:c r="G70" s="27" t="str"/>
      <x:c r="H70" s="27" t="str"/>
      <x:c r="I70" s="27" t="str"/>
      <x:c r="J70" s="30" t="e">
        <x:f>HYPERLINK("https://catalog.illinois.edu/graduate/engineering/computer-science-phd/","Open official source")</x:f>
        <x:v>HYPERLINK is not implemented. linkLocation=https://catalog.illinois.edu/graduate/engineering/computer-science-phd/, friendlyName=Open official source</x:v>
      </x:c>
      <x:c r="K70" s="27" t="str">
        <x:v>Reconsider only if direct official evidence materially improves the failed gate or application economics.</x:v>
      </x:c>
    </x:row>
    <x:row r="71" ht="46" customHeight="1">
      <x:c r="A71" s="27" t="str">
        <x:v>University of Kansas</x:v>
      </x:c>
      <x:c r="B71" s="27" t="str">
        <x:v>Doctor of Philosophy in Computer Science</x:v>
      </x:c>
      <x:c r="C71" s="27" t="str">
        <x:v>Pass 2 gated out</x:v>
      </x:c>
      <x:c r="D71" s="27" t="str">
        <x:v>Do Not Apply</x:v>
      </x:c>
      <x:c r="E71" s="27" t="str">
        <x:v>Pass 2.1 does not justify application spending; unresolved or failed areas: funding.</x:v>
      </x:c>
      <x:c r="F71" s="27" t="str">
        <x:v>Funding remains conditional or insufficient.</x:v>
      </x:c>
      <x:c r="G71" s="27" t="str"/>
      <x:c r="H71" s="27" t="str"/>
      <x:c r="I71" s="27" t="str"/>
      <x:c r="J71" s="30" t="e">
        <x:f>HYPERLINK("https://eecs.ku.edu/graduate-funding","Open official source")</x:f>
        <x:v>HYPERLINK is not implemented. linkLocation=https://eecs.ku.edu/graduate-funding, friendlyName=Open official source</x:v>
      </x:c>
      <x:c r="K71" s="27" t="str">
        <x:v>Reconsider only if direct official evidence materially improves the failed gate or application economics.</x:v>
      </x:c>
    </x:row>
    <x:row r="72" ht="46" customHeight="1">
      <x:c r="A72" s="27" t="str">
        <x:v>University of Massachusetts-Lowell</x:v>
      </x:c>
      <x:c r="B72" s="27" t="str">
        <x:v>Doctor of Philosophy (Ph.D.) in Computer Science</x:v>
      </x:c>
      <x:c r="C72" s="27" t="str">
        <x:v>Pass 2 gated out</x:v>
      </x:c>
      <x:c r="D72" s="27" t="str">
        <x:v>Do Not Apply</x:v>
      </x:c>
      <x:c r="E72" s="27" t="str">
        <x:v>Pass 2.1 does not justify application spending; unresolved or failed areas: funding.</x:v>
      </x:c>
      <x:c r="F72" s="27" t="str">
        <x:v>Funding remains conditional or insufficient.</x:v>
      </x:c>
      <x:c r="G72" s="27" t="str"/>
      <x:c r="H72" s="27" t="str"/>
      <x:c r="I72" s="27" t="str">
        <x:v>The fee or applicable waiver is high, unknown, or unverified.</x:v>
      </x:c>
      <x:c r="J72" s="30" t="e">
        <x:f>HYPERLINK("https://cs.uml.edu/~gcoord/student-faq.html","Open official source")</x:f>
        <x:v>HYPERLINK is not implemented. linkLocation=https://cs.uml.edu/~gcoord/student-faq.html, friendlyName=Open official source</x:v>
      </x:c>
      <x:c r="K72" s="27" t="str">
        <x:v>Reconsider only if direct official evidence materially improves the failed gate or application economics.</x:v>
      </x:c>
    </x:row>
    <x:row r="73" ht="46" customHeight="1">
      <x:c r="A73" s="27" t="str">
        <x:v>University of Nevada-Reno</x:v>
      </x:c>
      <x:c r="B73" s="27" t="str">
        <x:v>Doctor of Philosophy in Computer Science and Engineering</x:v>
      </x:c>
      <x:c r="C73" s="27" t="str">
        <x:v>Pass 2 gated out</x:v>
      </x:c>
      <x:c r="D73" s="27" t="str">
        <x:v>Do Not Apply</x:v>
      </x:c>
      <x:c r="E73" s="27" t="str">
        <x:v>Pass 2.1 does not justify application spending; unresolved or failed areas: funding.</x:v>
      </x:c>
      <x:c r="F73" s="27" t="str">
        <x:v>Funding remains conditional or insufficient.</x:v>
      </x:c>
      <x:c r="G73" s="27" t="str"/>
      <x:c r="H73" s="27" t="str"/>
      <x:c r="I73" s="27" t="str"/>
      <x:c r="J73" s="30" t="e">
        <x:f>HYPERLINK("https://www.unr.edu/grad/funding/assistantships","Open official source")</x:f>
        <x:v>HYPERLINK is not implemented. linkLocation=https://www.unr.edu/grad/funding/assistantships, friendlyName=Open official source</x:v>
      </x:c>
      <x:c r="K73" s="27" t="str">
        <x:v>Reconsider only if direct official evidence materially improves the failed gate or application economics.</x:v>
      </x:c>
    </x:row>
    <x:row r="74" ht="46" customHeight="1">
      <x:c r="A74" s="27" t="str">
        <x:v>University of North Carolina at Charlotte</x:v>
      </x:c>
      <x:c r="B74" s="27" t="str">
        <x:v>Ph.D. in Computing and Information Systems — Software and Information Systems Track</x:v>
      </x:c>
      <x:c r="C74" s="27" t="str">
        <x:v>Pass 2 gated out</x:v>
      </x:c>
      <x:c r="D74" s="27" t="str">
        <x:v>Do Not Apply</x:v>
      </x:c>
      <x:c r="E74" s="27" t="str">
        <x:v>Pass 2.1 does not justify application spending; unresolved or failed areas: funding.</x:v>
      </x:c>
      <x:c r="F74" s="27" t="str">
        <x:v>Funding remains conditional or insufficient.</x:v>
      </x:c>
      <x:c r="G74" s="27" t="str"/>
      <x:c r="H74" s="27" t="str"/>
      <x:c r="I74" s="27" t="str"/>
      <x:c r="J74" s="30" t="e">
        <x:f>HYPERLINK("https://graduateschool.charlotte.edu/funding/funding-faq/","Open official source")</x:f>
        <x:v>HYPERLINK is not implemented. linkLocation=https://graduateschool.charlotte.edu/funding/funding-faq/, friendlyName=Open official source</x:v>
      </x:c>
      <x:c r="K74" s="27" t="str">
        <x:v>Reconsider only if direct official evidence materially improves the failed gate or application economics.</x:v>
      </x:c>
    </x:row>
    <x:row r="75" ht="46" customHeight="1">
      <x:c r="A75" s="27" t="str">
        <x:v>University of Oregon</x:v>
      </x:c>
      <x:c r="B75" s="27" t="str">
        <x:v>Doctor of Philosophy in Computer Science</x:v>
      </x:c>
      <x:c r="C75" s="27" t="str">
        <x:v>Pass 2 gated out</x:v>
      </x:c>
      <x:c r="D75" s="27" t="str">
        <x:v>Do Not Apply</x:v>
      </x:c>
      <x:c r="E75" s="27" t="str">
        <x:v>Pass 2.1 does not justify application spending; unresolved or failed areas: funding.</x:v>
      </x:c>
      <x:c r="F75" s="27" t="str">
        <x:v>Funding remains conditional or insufficient.</x:v>
      </x:c>
      <x:c r="G75" s="27" t="str"/>
      <x:c r="H75" s="27" t="str"/>
      <x:c r="I75" s="27" t="str"/>
      <x:c r="J75" s="30" t="e">
        <x:f>HYPERLINK("https://scds.uoregon.edu/cs/graduate-programs/funding","Open official source")</x:f>
        <x:v>HYPERLINK is not implemented. linkLocation=https://scds.uoregon.edu/cs/graduate-programs/funding, friendlyName=Open official source</x:v>
      </x:c>
      <x:c r="K75" s="27" t="str">
        <x:v>Reconsider only if direct official evidence materially improves the failed gate or application economics.</x:v>
      </x:c>
    </x:row>
    <x:row r="76" ht="46" customHeight="1">
      <x:c r="A76" s="27" t="str">
        <x:v>University of Pittsburgh-Pittsburgh Campus</x:v>
      </x:c>
      <x:c r="B76" s="27" t="str">
        <x:v>Doctor of Philosophy in Computer Science</x:v>
      </x:c>
      <x:c r="C76" s="27" t="str">
        <x:v>Pass 2 gated out</x:v>
      </x:c>
      <x:c r="D76" s="27" t="str">
        <x:v>Do Not Apply</x:v>
      </x:c>
      <x:c r="E76" s="27" t="str">
        <x:v>Pass 2.1 does not justify application spending; unresolved or failed areas: funding.</x:v>
      </x:c>
      <x:c r="F76" s="27" t="str">
        <x:v>Funding remains conditional or insufficient.</x:v>
      </x:c>
      <x:c r="G76" s="27" t="str"/>
      <x:c r="H76" s="27" t="str"/>
      <x:c r="I76" s="27" t="str"/>
      <x:c r="J76" s="30" t="e">
        <x:f>HYPERLINK("https://intranet.cs.pitt.edu/grad/","Open official source")</x:f>
        <x:v>HYPERLINK is not implemented. linkLocation=https://intranet.cs.pitt.edu/grad/, friendlyName=Open official source</x:v>
      </x:c>
      <x:c r="K76" s="27" t="str">
        <x:v>Reconsider only if direct official evidence materially improves the failed gate or application economics.</x:v>
      </x:c>
    </x:row>
    <x:row r="77" ht="46" customHeight="1">
      <x:c r="A77" s="27" t="str">
        <x:v>University of South Carolina-Columbia</x:v>
      </x:c>
      <x:c r="B77" s="27" t="str">
        <x:v>Doctor of Philosophy in Computer Science</x:v>
      </x:c>
      <x:c r="C77" s="27" t="str">
        <x:v>Pass 2 gated out</x:v>
      </x:c>
      <x:c r="D77" s="27" t="str">
        <x:v>Do Not Apply</x:v>
      </x:c>
      <x:c r="E77" s="27" t="str">
        <x:v>Pass 2.1 does not justify application spending; unresolved or failed areas: funding.</x:v>
      </x:c>
      <x:c r="F77" s="27" t="str">
        <x:v>Funding remains conditional or insufficient.</x:v>
      </x:c>
      <x:c r="G77" s="27" t="str"/>
      <x:c r="H77" s="27" t="str"/>
      <x:c r="I77" s="27" t="str"/>
      <x:c r="J77" s="30" t="e">
        <x:f>HYPERLINK("https://cse.sc.edu/content/financial-support","Open official source")</x:f>
        <x:v>HYPERLINK is not implemented. linkLocation=https://cse.sc.edu/content/financial-support, friendlyName=Open official source</x:v>
      </x:c>
      <x:c r="K77" s="27" t="str">
        <x:v>Reconsider only if direct official evidence materially improves the failed gate or application economics.</x:v>
      </x:c>
    </x:row>
    <x:row r="78" ht="46" customHeight="1">
      <x:c r="A78" s="27" t="str">
        <x:v>University of Wyoming</x:v>
      </x:c>
      <x:c r="B78" s="27" t="str">
        <x:v>PhD in Computer Science</x:v>
      </x:c>
      <x:c r="C78" s="27" t="str">
        <x:v>Pass 2 gated out</x:v>
      </x:c>
      <x:c r="D78" s="27" t="str">
        <x:v>Do Not Apply</x:v>
      </x:c>
      <x:c r="E78" s="27" t="str">
        <x:v>Pass 2.1 does not justify application spending; unresolved or failed areas: funding.</x:v>
      </x:c>
      <x:c r="F78" s="27" t="str">
        <x:v>Funding remains conditional or insufficient.</x:v>
      </x:c>
      <x:c r="G78" s="27" t="str"/>
      <x:c r="H78" s="27" t="str"/>
      <x:c r="I78" s="27" t="str"/>
      <x:c r="J78" s="30" t="e">
        <x:f>HYPERLINK("https://www.uwyo.edu/uw/degree-programs/computer-science-ms-phd.html","Open official source")</x:f>
        <x:v>HYPERLINK is not implemented. linkLocation=https://www.uwyo.edu/uw/degree-programs/computer-science-ms-phd.html, friendlyName=Open official source</x:v>
      </x:c>
      <x:c r="K78" s="27" t="str">
        <x:v>Reconsider only if direct official evidence materially improves the failed gate or application economics.</x:v>
      </x:c>
    </x:row>
    <x:row r="79" ht="46" customHeight="1">
      <x:c r="A79" s="27" t="str">
        <x:v>Virginia Commonwealth University</x:v>
      </x:c>
      <x:c r="B79" s="27" t="str">
        <x:v>Doctor of Philosophy in Computer Science</x:v>
      </x:c>
      <x:c r="C79" s="27" t="str">
        <x:v>Pass 2 gated out</x:v>
      </x:c>
      <x:c r="D79" s="27" t="str">
        <x:v>Do Not Apply</x:v>
      </x:c>
      <x:c r="E79" s="27" t="str">
        <x:v>Pass 2.1 does not justify application spending; unresolved or failed areas: funding.</x:v>
      </x:c>
      <x:c r="F79" s="27" t="str">
        <x:v>Funding passes claim-level review but does not overcome the remaining portfolio weaknesses.</x:v>
      </x:c>
      <x:c r="G79" s="27" t="str"/>
      <x:c r="H79" s="27" t="str"/>
      <x:c r="I79" s="27" t="str"/>
      <x:c r="J79" s="30" t="e">
        <x:f>HYPERLINK("https://egr.vcu.edu/future-students/international/","Open official source")</x:f>
        <x:v>HYPERLINK is not implemented. linkLocation=https://egr.vcu.edu/future-students/international/, friendlyName=Open official source</x:v>
      </x:c>
      <x:c r="K79" s="27" t="str">
        <x:v>Reconsider only if direct official evidence materially improves the failed gate or application economics.</x:v>
      </x:c>
    </x:row>
    <x:row r="80" ht="46" customHeight="1">
      <x:c r="A80" s="27" t="str">
        <x:v>Washington State University</x:v>
      </x:c>
      <x:c r="B80" s="27" t="str">
        <x:v>Doctor of Philosophy in Computer Science</x:v>
      </x:c>
      <x:c r="C80" s="27" t="str">
        <x:v>Pass 2 gated out</x:v>
      </x:c>
      <x:c r="D80" s="27" t="str">
        <x:v>Do Not Apply</x:v>
      </x:c>
      <x:c r="E80" s="27" t="str">
        <x:v>Pass 2.1 does not justify application spending; unresolved or failed areas: funding.</x:v>
      </x:c>
      <x:c r="F80" s="27" t="str">
        <x:v>Funding remains conditional or insufficient.</x:v>
      </x:c>
      <x:c r="G80" s="27" t="str"/>
      <x:c r="H80" s="27" t="str"/>
      <x:c r="I80" s="27" t="str"/>
      <x:c r="J80" s="30" t="e">
        <x:f>HYPERLINK("https://gradschool.wsu.edu/degrees/doctor-of-philosophy-computer-science/","Open official source")</x:f>
        <x:v>HYPERLINK is not implemented. linkLocation=https://gradschool.wsu.edu/degrees/doctor-of-philosophy-computer-science/, friendlyName=Open official source</x:v>
      </x:c>
      <x:c r="K80" s="27" t="str">
        <x:v>Reconsider only if direct official evidence materially improves the failed gate or application economics.</x:v>
      </x:c>
    </x:row>
    <x:row r="81" ht="46" customHeight="1">
      <x:c r="A81" s="27" t="str">
        <x:v>Worcester Polytechnic Institute</x:v>
      </x:c>
      <x:c r="B81" s="27" t="str">
        <x:v>PhD in Computer Science</x:v>
      </x:c>
      <x:c r="C81" s="27" t="str">
        <x:v>Pass 2 gated out</x:v>
      </x:c>
      <x:c r="D81" s="27" t="str">
        <x:v>Do Not Apply</x:v>
      </x:c>
      <x:c r="E81" s="27" t="str">
        <x:v>Pass 2.1 does not justify application spending; unresolved or failed areas: funding.</x:v>
      </x:c>
      <x:c r="F81" s="27" t="str">
        <x:v>Funding remains conditional or insufficient.</x:v>
      </x:c>
      <x:c r="G81" s="27" t="str"/>
      <x:c r="H81" s="27" t="str"/>
      <x:c r="I81" s="27" t="str"/>
      <x:c r="J81" s="30" t="e">
        <x:f>HYPERLINK("https://www.wpi.edu/admissions/graduate","Open official source")</x:f>
        <x:v>HYPERLINK is not implemented. linkLocation=https://www.wpi.edu/admissions/graduate, friendlyName=Open official source</x:v>
      </x:c>
      <x:c r="K81" s="27" t="str">
        <x:v>Reconsider only if direct official evidence materially improves the failed gate or application economics.</x:v>
      </x:c>
    </x:row>
    <x:row r="82" ht="46" customHeight="1">
      <x:c r="A82" s="27" t="str">
        <x:v>Brock University</x:v>
      </x:c>
      <x:c r="B82" s="27" t="str">
        <x:v>Computer Science MSc — Thesis Stream</x:v>
      </x:c>
      <x:c r="C82" s="27" t="str">
        <x:v>Pass 2 gated out</x:v>
      </x:c>
      <x:c r="D82" s="27" t="str">
        <x:v>Do Not Apply</x:v>
      </x:c>
      <x:c r="E82" s="27" t="str">
        <x:v>Pass 2.1 does not justify application spending; unresolved or failed areas: funding.</x:v>
      </x:c>
      <x:c r="F82" s="27" t="str">
        <x:v>Funding remains conditional or insufficient.</x:v>
      </x:c>
      <x:c r="G82" s="27" t="str"/>
      <x:c r="H82" s="27" t="str"/>
      <x:c r="I82" s="27" t="str">
        <x:v>The fee or applicable waiver is high, unknown, or unverified.</x:v>
      </x:c>
      <x:c r="J82" s="30" t="e">
        <x:f>HYPERLINK("https://brocku.ca/mathematics-science/computer-science/programs/msc-program/msc-financial/","Open official source")</x:f>
        <x:v>HYPERLINK is not implemented. linkLocation=https://brocku.ca/mathematics-science/computer-science/programs/msc-program/msc-financial/, friendlyName=Open official source</x:v>
      </x:c>
      <x:c r="K82" s="27" t="str">
        <x:v>Reconsider only if direct official evidence materially improves the failed gate or application economics.</x:v>
      </x:c>
    </x:row>
    <x:row r="83" ht="46" customHeight="1">
      <x:c r="A83" s="27" t="str">
        <x:v>Carleton University</x:v>
      </x:c>
      <x:c r="B83" s="27" t="str">
        <x:v>Master of Applied Science in Electrical and Computer Engineering</x:v>
      </x:c>
      <x:c r="C83" s="27" t="str">
        <x:v>Pass 2 gated out</x:v>
      </x:c>
      <x:c r="D83" s="27" t="str">
        <x:v>Do Not Apply</x:v>
      </x:c>
      <x:c r="E83" s="27" t="str">
        <x:v>Pass 2.1 does not justify application spending; unresolved or failed areas: funding.</x:v>
      </x:c>
      <x:c r="F83" s="27" t="str">
        <x:v>Funding remains conditional or insufficient.</x:v>
      </x:c>
      <x:c r="G83" s="27" t="str"/>
      <x:c r="H83" s="27" t="str"/>
      <x:c r="I83" s="27" t="str">
        <x:v>The fee or applicable waiver is high, unknown, or unverified.</x:v>
      </x:c>
      <x:c r="J83" s="30" t="e">
        <x:f>HYPERLINK("https://graduate.carleton.ca/financial-assistance/admissions-funding/","Open official source")</x:f>
        <x:v>HYPERLINK is not implemented. linkLocation=https://graduate.carleton.ca/financial-assistance/admissions-funding/, friendlyName=Open official source</x:v>
      </x:c>
      <x:c r="K83" s="27" t="str">
        <x:v>Reconsider only if direct official evidence materially improves the failed gate or application economics.</x:v>
      </x:c>
    </x:row>
    <x:row r="84" ht="46" customHeight="1">
      <x:c r="A84" s="27" t="str">
        <x:v>Clarkson University</x:v>
      </x:c>
      <x:c r="B84" s="27" t="str">
        <x:v>PhD in Computer Science</x:v>
      </x:c>
      <x:c r="C84" s="27" t="str">
        <x:v>Pass 2 gated out</x:v>
      </x:c>
      <x:c r="D84" s="27" t="str">
        <x:v>Do Not Apply</x:v>
      </x:c>
      <x:c r="E84" s="27" t="str">
        <x:v>Funding remains conditional after claim-level review and does not support application spending now.</x:v>
      </x:c>
      <x:c r="F84" s="27" t="str">
        <x:v>Funding remains conditional or insufficient.</x:v>
      </x:c>
      <x:c r="G84" s="27" t="str"/>
      <x:c r="H84" s="27" t="str"/>
      <x:c r="I84" s="27" t="str">
        <x:v>The fee or applicable waiver is high, unknown, or unverified.</x:v>
      </x:c>
      <x:c r="J84" s="30" t="e">
        <x:f>HYPERLINK("https://www.clarkson.edu/academics/majors-minors/computer-science-phd","Open official source")</x:f>
        <x:v>HYPERLINK is not implemented. linkLocation=https://www.clarkson.edu/academics/majors-minors/computer-science-phd, friendlyName=Open official source</x:v>
      </x:c>
      <x:c r="K84" s="27" t="str">
        <x:v>Reconsider only if direct official evidence materially improves the failed gate or application economics.</x:v>
      </x:c>
    </x:row>
    <x:row r="85" ht="46" customHeight="1">
      <x:c r="A85" s="27" t="str">
        <x:v>Clemson University</x:v>
      </x:c>
      <x:c r="B85" s="27" t="str">
        <x:v>Computer Science Ph.D.</x:v>
      </x:c>
      <x:c r="C85" s="27" t="str">
        <x:v>Pass 2 gated out</x:v>
      </x:c>
      <x:c r="D85" s="27" t="str">
        <x:v>Do Not Apply</x:v>
      </x:c>
      <x:c r="E85" s="27" t="str">
        <x:v>Pass 2.1 does not justify application spending; unresolved or failed areas: funding.</x:v>
      </x:c>
      <x:c r="F85" s="27" t="str">
        <x:v>Funding remains conditional or insufficient.</x:v>
      </x:c>
      <x:c r="G85" s="27" t="str"/>
      <x:c r="H85" s="27" t="str"/>
      <x:c r="I85" s="27" t="str">
        <x:v>The fee or applicable waiver is high, unknown, or unverified.</x:v>
      </x:c>
      <x:c r="J85" s="30" t="e">
        <x:f>HYPERLINK("https://www.clemson.edu/cecas/departments/computing/academics/graduates/faq.html","Open official source")</x:f>
        <x:v>HYPERLINK is not implemented. linkLocation=https://www.clemson.edu/cecas/departments/computing/academics/graduates/faq.html, friendlyName=Open official source</x:v>
      </x:c>
      <x:c r="K85" s="27" t="str">
        <x:v>Reconsider only if direct official evidence materially improves the failed gate or application economics.</x:v>
      </x:c>
    </x:row>
    <x:row r="86" ht="46" customHeight="1">
      <x:c r="A86" s="27" t="str">
        <x:v>Georgia State University</x:v>
      </x:c>
      <x:c r="B86" s="27" t="str">
        <x:v>Doctor of Philosophy in Computer Science</x:v>
      </x:c>
      <x:c r="C86" s="27" t="str">
        <x:v>Pass 2 gated out</x:v>
      </x:c>
      <x:c r="D86" s="27" t="str">
        <x:v>Do Not Apply</x:v>
      </x:c>
      <x:c r="E86" s="27" t="str">
        <x:v>Pass 2.1 does not justify application spending; unresolved or failed areas: funding.</x:v>
      </x:c>
      <x:c r="F86" s="27" t="str">
        <x:v>Funding remains conditional or insufficient.</x:v>
      </x:c>
      <x:c r="G86" s="27" t="str"/>
      <x:c r="H86" s="27" t="str"/>
      <x:c r="I86" s="27" t="str">
        <x:v>The fee or applicable waiver is high, unknown, or unverified.</x:v>
      </x:c>
      <x:c r="J86" s="30" t="e">
        <x:f>HYPERLINK("https://graduate.gsu.edu/program/computer-science-phd/","Open official source")</x:f>
        <x:v>HYPERLINK is not implemented. linkLocation=https://graduate.gsu.edu/program/computer-science-phd/, friendlyName=Open official source</x:v>
      </x:c>
      <x:c r="K86" s="27" t="str">
        <x:v>Reconsider only if direct official evidence materially improves the failed gate or application economics.</x:v>
      </x:c>
    </x:row>
    <x:row r="87" ht="46" customHeight="1">
      <x:c r="A87" s="27" t="str">
        <x:v>Illinois Institute of Technology</x:v>
      </x:c>
      <x:c r="B87" s="27" t="str">
        <x:v>Computer Science (Ph.D.)</x:v>
      </x:c>
      <x:c r="C87" s="27" t="str">
        <x:v>Pass 2 gated out</x:v>
      </x:c>
      <x:c r="D87" s="27" t="str">
        <x:v>Do Not Apply</x:v>
      </x:c>
      <x:c r="E87" s="27" t="str">
        <x:v>Pass 2.1 does not justify application spending; unresolved or failed areas: funding.</x:v>
      </x:c>
      <x:c r="F87" s="27" t="str">
        <x:v>Funding remains conditional or insufficient.</x:v>
      </x:c>
      <x:c r="G87" s="27" t="str"/>
      <x:c r="H87" s="27" t="str"/>
      <x:c r="I87" s="27" t="str">
        <x:v>The fee or applicable waiver is high, unknown, or unverified.</x:v>
      </x:c>
      <x:c r="J87" s="30" t="e">
        <x:f>HYPERLINK("https://cs.iit.edu/~nsultana1/student_projects/phd.html","Open official source")</x:f>
        <x:v>HYPERLINK is not implemented. linkLocation=https://cs.iit.edu/~nsultana1/student_projects/phd.html, friendlyName=Open official source</x:v>
      </x:c>
      <x:c r="K87" s="27" t="str">
        <x:v>Reconsider only if direct official evidence materially improves the failed gate or application economics.</x:v>
      </x:c>
    </x:row>
    <x:row r="88" ht="46" customHeight="1">
      <x:c r="A88" s="27" t="str">
        <x:v>Kansas State University</x:v>
      </x:c>
      <x:c r="B88" s="27" t="str">
        <x:v>Doctor of Philosophy in Computer Science</x:v>
      </x:c>
      <x:c r="C88" s="27" t="str">
        <x:v>Pass 2 gated out</x:v>
      </x:c>
      <x:c r="D88" s="27" t="str">
        <x:v>Do Not Apply</x:v>
      </x:c>
      <x:c r="E88" s="27" t="str">
        <x:v>Pass 2.1 does not justify application spending; unresolved or failed areas: funding.</x:v>
      </x:c>
      <x:c r="F88" s="27" t="str">
        <x:v>Funding remains conditional or insufficient.</x:v>
      </x:c>
      <x:c r="G88" s="27" t="str"/>
      <x:c r="H88" s="27" t="str"/>
      <x:c r="I88" s="27" t="str">
        <x:v>The fee or applicable waiver is high, unknown, or unverified.</x:v>
      </x:c>
      <x:c r="J88" s="30" t="e">
        <x:f>HYPERLINK("https://www.k-state.edu/grad/financial-support/assistantships.html","Open official source")</x:f>
        <x:v>HYPERLINK is not implemented. linkLocation=https://www.k-state.edu/grad/financial-support/assistantships.html, friendlyName=Open official source</x:v>
      </x:c>
      <x:c r="K88" s="27" t="str">
        <x:v>Reconsider only if direct official evidence materially improves the failed gate or application economics.</x:v>
      </x:c>
    </x:row>
    <x:row r="89" ht="46" customHeight="1">
      <x:c r="A89" s="27" t="str">
        <x:v>Louisiana State University and Agricultural &amp; Mechanical College</x:v>
      </x:c>
      <x:c r="B89" s="27" t="str">
        <x:v>Ph.D. in Computer Science and Engineering</x:v>
      </x:c>
      <x:c r="C89" s="27" t="str">
        <x:v>Pass 2 gated out</x:v>
      </x:c>
      <x:c r="D89" s="27" t="str">
        <x:v>Do Not Apply</x:v>
      </x:c>
      <x:c r="E89" s="27" t="str">
        <x:v>Pass 2.1 does not justify application spending; unresolved or failed areas: funding.</x:v>
      </x:c>
      <x:c r="F89" s="27" t="str">
        <x:v>Funding remains conditional or insufficient.</x:v>
      </x:c>
      <x:c r="G89" s="27" t="str"/>
      <x:c r="H89" s="27" t="str"/>
      <x:c r="I89" s="27" t="str">
        <x:v>The fee or applicable waiver is high, unknown, or unverified.</x:v>
      </x:c>
      <x:c r="J89" s="30" t="e">
        <x:f>HYPERLINK("https://www.lsu.edu/eng/cse/programs/graduate_program/graduate_phd.php","Open official source")</x:f>
        <x:v>HYPERLINK is not implemented. linkLocation=https://www.lsu.edu/eng/cse/programs/graduate_program/graduate_phd.php, friendlyName=Open official source</x:v>
      </x:c>
      <x:c r="K89" s="27" t="str">
        <x:v>Reconsider only if direct official evidence materially improves the failed gate or application economics.</x:v>
      </x:c>
    </x:row>
    <x:row r="90" ht="46" customHeight="1">
      <x:c r="A90" s="27" t="str">
        <x:v>McMaster University</x:v>
      </x:c>
      <x:c r="B90" s="27" t="str">
        <x:v>Master of Applied Science in Software Engineering</x:v>
      </x:c>
      <x:c r="C90" s="27" t="str">
        <x:v>Pass 2 gated out</x:v>
      </x:c>
      <x:c r="D90" s="27" t="str">
        <x:v>Conditional</x:v>
      </x:c>
      <x:c r="E90" s="27" t="str">
        <x:v>Do not apply without a supervisor-level funding commitment.</x:v>
      </x:c>
      <x:c r="F90" s="27" t="str">
        <x:v>Supervisor-dependent conditional funding</x:v>
      </x:c>
      <x:c r="G90" s="27" t="str"/>
      <x:c r="H90" s="27" t="str"/>
      <x:c r="I90" s="27" t="str">
        <x:v>The fee or applicable waiver is high, unknown, or unverified.</x:v>
      </x:c>
      <x:c r="J90" s="30" t="e">
        <x:f>HYPERLINK("https://www.eng.mcmaster.ca/app/uploads/2024/03/Application_FAQ_Graduate_Computing-and-Software.pdf","Open official source")</x:f>
        <x:v>HYPERLINK is not implemented. linkLocation=https://www.eng.mcmaster.ca/app/uploads/2024/03/Application_FAQ_Graduate_Computing-and-Software.pdf, friendlyName=Open official source</x:v>
      </x:c>
      <x:c r="K90" s="27" t="str">
        <x:v>What two-year package would a willing supervisor guarantee after international tuition and supplementary fees?</x:v>
      </x:c>
    </x:row>
    <x:row r="91" ht="46" customHeight="1">
      <x:c r="A91" s="27" t="str">
        <x:v>Montana State University</x:v>
      </x:c>
      <x:c r="B91" s="27" t="str">
        <x:v>Computer Science PhD</x:v>
      </x:c>
      <x:c r="C91" s="27" t="str">
        <x:v>Pass 2 gated out</x:v>
      </x:c>
      <x:c r="D91" s="27" t="str">
        <x:v>Do Not Apply</x:v>
      </x:c>
      <x:c r="E91" s="27" t="str">
        <x:v>Pass 2.1 does not justify application spending; unresolved or failed areas: funding.</x:v>
      </x:c>
      <x:c r="F91" s="27" t="str">
        <x:v>Funding remains conditional or insufficient.</x:v>
      </x:c>
      <x:c r="G91" s="27" t="str"/>
      <x:c r="H91" s="27" t="str"/>
      <x:c r="I91" s="27" t="str">
        <x:v>The fee or applicable waiver is high, unknown, or unverified.</x:v>
      </x:c>
      <x:c r="J91" s="30" t="e">
        <x:f>HYPERLINK("https://www.cs.montana.edu/graduate-admissions.html","Open official source")</x:f>
        <x:v>HYPERLINK is not implemented. linkLocation=https://www.cs.montana.edu/graduate-admissions.html, friendlyName=Open official source</x:v>
      </x:c>
      <x:c r="K91" s="27" t="str">
        <x:v>Reconsider only if direct official evidence materially improves the failed gate or application economics.</x:v>
      </x:c>
    </x:row>
    <x:row r="92" ht="46" customHeight="1">
      <x:c r="A92" s="27" t="str">
        <x:v>Simon Fraser University</x:v>
      </x:c>
      <x:c r="B92" s="27" t="str">
        <x:v>Master of Applied Science in Engineering Science</x:v>
      </x:c>
      <x:c r="C92" s="27" t="str">
        <x:v>Pass 2 gated out</x:v>
      </x:c>
      <x:c r="D92" s="27" t="str">
        <x:v>Conditional</x:v>
      </x:c>
      <x:c r="E92" s="27" t="str">
        <x:v>Do not apply until one supervisor confirms a viable package.</x:v>
      </x:c>
      <x:c r="F92" s="27" t="str">
        <x:v>Supervisor-dependent conditional funding</x:v>
      </x:c>
      <x:c r="G92" s="27" t="str"/>
      <x:c r="H92" s="27" t="str"/>
      <x:c r="I92" s="27" t="str">
        <x:v>The fee or applicable waiver is high, unknown, or unverified.</x:v>
      </x:c>
      <x:c r="J92" s="30" t="e">
        <x:f>HYPERLINK("https://www.sfu.ca/fas/study/future-graduates/programs/master-applied-science.html","Open official source")</x:f>
        <x:v>HYPERLINK is not implemented. linkLocation=https://www.sfu.ca/fas/study/future-graduates/programs/master-applied-science.html, friendlyName=Open official source</x:v>
      </x:c>
      <x:c r="K92" s="27" t="str">
        <x:v>What minimum two-year funding and tuition offset will a willing supervisor commit for an international MASc student?</x:v>
      </x:c>
    </x:row>
    <x:row r="93" ht="46" customHeight="1">
      <x:c r="A93" s="27" t="str">
        <x:v>Simon Fraser University</x:v>
      </x:c>
      <x:c r="B93" s="27" t="str">
        <x:v>Master of Science in Computing Science — Thesis Option</x:v>
      </x:c>
      <x:c r="C93" s="27" t="str">
        <x:v>Pass 2 gated out</x:v>
      </x:c>
      <x:c r="D93" s="27" t="str">
        <x:v>Do Not Apply</x:v>
      </x:c>
      <x:c r="E93" s="27" t="str">
        <x:v>Pass 2.1 does not justify application spending; unresolved or failed areas: eligibility.</x:v>
      </x:c>
      <x:c r="F93" s="27" t="str"/>
      <x:c r="G93" s="27" t="str">
        <x:v>Formal academic or international eligibility is unresolved or fails.</x:v>
      </x:c>
      <x:c r="H93" s="27" t="str"/>
      <x:c r="I93" s="27" t="str">
        <x:v>The fee or applicable waiver is high, unknown, or unverified.</x:v>
      </x:c>
      <x:c r="J93" s="30" t="e">
        <x:f>HYPERLINK("https://www.sfu.ca/fas/study/future-graduates/programs/master-science-thesis.html","Open official source")</x:f>
        <x:v>HYPERLINK is not implemented. linkLocation=https://www.sfu.ca/fas/study/future-graduates/programs/master-science-thesis.html, friendlyName=Open official source</x:v>
      </x:c>
      <x:c r="K93" s="27" t="str">
        <x:v>Reconsider only if direct official evidence materially improves the failed gate or application economics.</x:v>
      </x:c>
    </x:row>
    <x:row r="94" ht="46" customHeight="1">
      <x:c r="A94" s="27" t="str">
        <x:v>University of California-Irvine</x:v>
      </x:c>
      <x:c r="B94" s="27" t="str">
        <x:v>Software Engineering PhD</x:v>
      </x:c>
      <x:c r="C94" s="27" t="str">
        <x:v>Pass 2 gated out</x:v>
      </x:c>
      <x:c r="D94" s="27" t="str">
        <x:v>Do Not Apply</x:v>
      </x:c>
      <x:c r="E94" s="27" t="str">
        <x:v>Pass 2.1 does not justify application spending; unresolved or failed areas: funding.</x:v>
      </x:c>
      <x:c r="F94" s="27" t="str">
        <x:v>Funding remains conditional or insufficient.</x:v>
      </x:c>
      <x:c r="G94" s="27" t="str"/>
      <x:c r="H94" s="27" t="str"/>
      <x:c r="I94" s="27" t="str">
        <x:v>The fee or applicable waiver is high, unknown, or unverified.</x:v>
      </x:c>
      <x:c r="J94" s="30" t="e">
        <x:f>HYPERLINK("https://ics.uci.edu/admissions-information-and-computer-science/graduate-admissions/graduate-research-admissions-faq/","Open official source")</x:f>
        <x:v>HYPERLINK is not implemented. linkLocation=https://ics.uci.edu/admissions-information-and-computer-science/graduate-admissions/graduate-research-admissions-faq/, friendlyName=Open official source</x:v>
      </x:c>
      <x:c r="K94" s="27" t="str">
        <x:v>Reconsider only if direct official evidence materially improves the failed gate or application economics.</x:v>
      </x:c>
    </x:row>
    <x:row r="95" ht="46" customHeight="1">
      <x:c r="A95" s="27" t="str">
        <x:v>University of California-Riverside</x:v>
      </x:c>
      <x:c r="B95" s="27" t="str">
        <x:v>Ph.D. in Computer Science</x:v>
      </x:c>
      <x:c r="C95" s="27" t="str">
        <x:v>Pass 2 gated out</x:v>
      </x:c>
      <x:c r="D95" s="27" t="str">
        <x:v>Do Not Apply</x:v>
      </x:c>
      <x:c r="E95" s="27" t="str">
        <x:v>Pass 2.1 does not justify application spending; unresolved or failed areas: funding.</x:v>
      </x:c>
      <x:c r="F95" s="27" t="str">
        <x:v>Funding remains conditional or insufficient.</x:v>
      </x:c>
      <x:c r="G95" s="27" t="str"/>
      <x:c r="H95" s="27" t="str"/>
      <x:c r="I95" s="27" t="str">
        <x:v>The fee or applicable waiver is high, unknown, or unverified.</x:v>
      </x:c>
      <x:c r="J95" s="30" t="e">
        <x:f>HYPERLINK("https://www1.cs.ucr.edu/graduate-admissions-frequently-asked-questions","Open official source")</x:f>
        <x:v>HYPERLINK is not implemented. linkLocation=https://www1.cs.ucr.edu/graduate-admissions-frequently-asked-questions, friendlyName=Open official source</x:v>
      </x:c>
      <x:c r="K95" s="27" t="str">
        <x:v>Reconsider only if direct official evidence materially improves the failed gate or application economics.</x:v>
      </x:c>
    </x:row>
    <x:row r="96" ht="46" customHeight="1">
      <x:c r="A96" s="27" t="str">
        <x:v>University of California-San Diego</x:v>
      </x:c>
      <x:c r="B96" s="27" t="str">
        <x:v>Computer Science and Engineering PhD</x:v>
      </x:c>
      <x:c r="C96" s="27" t="str">
        <x:v>Pass 2 gated out</x:v>
      </x:c>
      <x:c r="D96" s="27" t="str">
        <x:v>Do Not Apply</x:v>
      </x:c>
      <x:c r="E96" s="27" t="str">
        <x:v>Pass 2.1 does not justify application spending; unresolved or failed areas: funding.</x:v>
      </x:c>
      <x:c r="F96" s="27" t="str">
        <x:v>Funding passes claim-level review but does not overcome the remaining portfolio weaknesses.</x:v>
      </x:c>
      <x:c r="G96" s="27" t="str"/>
      <x:c r="H96" s="27" t="str"/>
      <x:c r="I96" s="27" t="str">
        <x:v>The fee or applicable waiver is high, unknown, or unverified.</x:v>
      </x:c>
      <x:c r="J96" s="30" t="e">
        <x:f>HYPERLINK("https://cse.ucsd.edu/graduate/financial-opportunities","Open official source")</x:f>
        <x:v>HYPERLINK is not implemented. linkLocation=https://cse.ucsd.edu/graduate/financial-opportunities, friendlyName=Open official source</x:v>
      </x:c>
      <x:c r="K96" s="27" t="str">
        <x:v>Reconsider only if direct official evidence materially improves the failed gate or application economics.</x:v>
      </x:c>
    </x:row>
    <x:row r="97" ht="46" customHeight="1">
      <x:c r="A97" s="27" t="str">
        <x:v>University of California-Santa Barbara</x:v>
      </x:c>
      <x:c r="B97" s="27" t="str">
        <x:v>Doctor of Philosophy in Computer Science</x:v>
      </x:c>
      <x:c r="C97" s="27" t="str">
        <x:v>Pass 2 gated out</x:v>
      </x:c>
      <x:c r="D97" s="27" t="str">
        <x:v>Do Not Apply</x:v>
      </x:c>
      <x:c r="E97" s="27" t="str">
        <x:v>Pass 2.1 does not justify application spending; unresolved or failed areas: funding.</x:v>
      </x:c>
      <x:c r="F97" s="27" t="str">
        <x:v>Funding remains conditional or insufficient.</x:v>
      </x:c>
      <x:c r="G97" s="27" t="str"/>
      <x:c r="H97" s="27" t="str"/>
      <x:c r="I97" s="27" t="str">
        <x:v>The fee or applicable waiver is high, unknown, or unverified.</x:v>
      </x:c>
      <x:c r="J97" s="30" t="e">
        <x:f>HYPERLINK("https://cs.ucsb.edu/index.php/education/graduate/how-to-apply","Open official source")</x:f>
        <x:v>HYPERLINK is not implemented. linkLocation=https://cs.ucsb.edu/index.php/education/graduate/how-to-apply, friendlyName=Open official source</x:v>
      </x:c>
      <x:c r="K97" s="27" t="str">
        <x:v>Reconsider only if direct official evidence materially improves the failed gate or application economics.</x:v>
      </x:c>
    </x:row>
    <x:row r="98" ht="46" customHeight="1">
      <x:c r="A98" s="27" t="str">
        <x:v>University of Connecticut</x:v>
      </x:c>
      <x:c r="B98" s="27" t="str">
        <x:v>Computer Science and Engineering (PhD)</x:v>
      </x:c>
      <x:c r="C98" s="27" t="str">
        <x:v>Pass 2 gated out</x:v>
      </x:c>
      <x:c r="D98" s="27" t="str">
        <x:v>Do Not Apply</x:v>
      </x:c>
      <x:c r="E98" s="27" t="str">
        <x:v>Pass 2.1 does not justify application spending; unresolved or failed areas: funding.</x:v>
      </x:c>
      <x:c r="F98" s="27" t="str">
        <x:v>Funding remains conditional or insufficient.</x:v>
      </x:c>
      <x:c r="G98" s="27" t="str"/>
      <x:c r="H98" s="27" t="str"/>
      <x:c r="I98" s="27" t="str">
        <x:v>The fee or applicable waiver is high, unknown, or unverified.</x:v>
      </x:c>
      <x:c r="J98" s="30" t="e">
        <x:f>HYPERLINK("https://computing.engineering.uconn.edu/graduate-studies/grad-fellowships-assistantships/","Open official source")</x:f>
        <x:v>HYPERLINK is not implemented. linkLocation=https://computing.engineering.uconn.edu/graduate-studies/grad-fellowships-assistantships/, friendlyName=Open official source</x:v>
      </x:c>
      <x:c r="K98" s="27" t="str">
        <x:v>Reconsider only if direct official evidence materially improves the failed gate or application economics.</x:v>
      </x:c>
    </x:row>
    <x:row r="99" ht="46" customHeight="1">
      <x:c r="A99" s="27" t="str">
        <x:v>University of Gothenburg</x:v>
      </x:c>
      <x:c r="B99" s="27" t="str">
        <x:v>Software Engineering and Management Master's Programme</x:v>
      </x:c>
      <x:c r="C99" s="27" t="str">
        <x:v>Pass 2 gated out</x:v>
      </x:c>
      <x:c r="D99" s="27" t="str">
        <x:v>Do Not Apply</x:v>
      </x:c>
      <x:c r="E99" s="27" t="str">
        <x:v>Pass 2.1 does not justify application spending; unresolved or failed areas: funding.</x:v>
      </x:c>
      <x:c r="F99" s="27" t="str">
        <x:v>Funding remains conditional or insufficient.</x:v>
      </x:c>
      <x:c r="G99" s="27" t="str"/>
      <x:c r="H99" s="27" t="str"/>
      <x:c r="I99" s="27" t="str">
        <x:v>The fee or applicable waiver is high, unknown, or unverified.</x:v>
      </x:c>
      <x:c r="J99" s="30" t="e">
        <x:f>HYPERLINK("https://www.gu.se/en/study-gothenburg/software-engineering-and-management-masters-programme-n2sof","Open official source")</x:f>
        <x:v>HYPERLINK is not implemented. linkLocation=https://www.gu.se/en/study-gothenburg/software-engineering-and-management-masters-programme-n2sof, friendlyName=Open official source</x:v>
      </x:c>
      <x:c r="K99" s="27" t="str">
        <x:v>Reconsider only if direct official evidence materially improves the failed gate or application economics.</x:v>
      </x:c>
    </x:row>
    <x:row r="100" ht="46" customHeight="1">
      <x:c r="A100" s="27" t="str">
        <x:v>University of Guelph</x:v>
      </x:c>
      <x:c r="B100" s="27" t="str">
        <x:v>Doctor of Philosophy in Computer Science</x:v>
      </x:c>
      <x:c r="C100" s="27" t="str">
        <x:v>Pass 2 gated out</x:v>
      </x:c>
      <x:c r="D100" s="27" t="str">
        <x:v>Do Not Apply</x:v>
      </x:c>
      <x:c r="E100" s="27" t="str">
        <x:v>Pass 2.1 does not justify application spending; unresolved or failed areas: eligibility.</x:v>
      </x:c>
      <x:c r="F100" s="27" t="str"/>
      <x:c r="G100" s="27" t="str">
        <x:v>Formal academic or international eligibility is unresolved or fails.</x:v>
      </x:c>
      <x:c r="H100" s="27" t="str"/>
      <x:c r="I100" s="27" t="str">
        <x:v>The fee or applicable waiver is high, unknown, or unverified.</x:v>
      </x:c>
      <x:c r="J100" s="30" t="e">
        <x:f>HYPERLINK("https://www.uoguelph.ca/programs/phd-computer-science","Open official source")</x:f>
        <x:v>HYPERLINK is not implemented. linkLocation=https://www.uoguelph.ca/programs/phd-computer-science, friendlyName=Open official source</x:v>
      </x:c>
      <x:c r="K100" s="27" t="str">
        <x:v>Reconsider only if direct official evidence materially improves the failed gate or application economics.</x:v>
      </x:c>
    </x:row>
    <x:row r="101" ht="46" customHeight="1">
      <x:c r="A101" s="27" t="str">
        <x:v>University of Iowa</x:v>
      </x:c>
      <x:c r="B101" s="27" t="str">
        <x:v>Ph.D. in Computer Science</x:v>
      </x:c>
      <x:c r="C101" s="27" t="str">
        <x:v>Pass 2 gated out</x:v>
      </x:c>
      <x:c r="D101" s="27" t="str">
        <x:v>Do Not Apply</x:v>
      </x:c>
      <x:c r="E101" s="27" t="str">
        <x:v>Pass 2.1 does not justify application spending; unresolved or failed areas: funding.</x:v>
      </x:c>
      <x:c r="F101" s="27" t="str">
        <x:v>Funding remains conditional or insufficient.</x:v>
      </x:c>
      <x:c r="G101" s="27" t="str"/>
      <x:c r="H101" s="27" t="str"/>
      <x:c r="I101" s="27" t="str">
        <x:v>The fee or applicable waiver is high, unknown, or unverified.</x:v>
      </x:c>
      <x:c r="J101" s="30" t="e">
        <x:f>HYPERLINK("https://cs.uiowa.edu/graduate/funding","Open official source")</x:f>
        <x:v>HYPERLINK is not implemented. linkLocation=https://cs.uiowa.edu/graduate/funding, friendlyName=Open official source</x:v>
      </x:c>
      <x:c r="K101" s="27" t="str">
        <x:v>Reconsider only if direct official evidence materially improves the failed gate or application economics.</x:v>
      </x:c>
    </x:row>
    <x:row r="102" ht="46" customHeight="1">
      <x:c r="A102" s="27" t="str">
        <x:v>University of Louisiana at Lafayette</x:v>
      </x:c>
      <x:c r="B102" s="27" t="str">
        <x:v>PhD in Applied Computing and Information Sciences</x:v>
      </x:c>
      <x:c r="C102" s="27" t="str">
        <x:v>Pass 2 gated out</x:v>
      </x:c>
      <x:c r="D102" s="27" t="str">
        <x:v>Do Not Apply</x:v>
      </x:c>
      <x:c r="E102" s="27" t="str">
        <x:v>Pass 2.1 does not justify application spending; unresolved or failed areas: funding.</x:v>
      </x:c>
      <x:c r="F102" s="27" t="str">
        <x:v>Funding remains conditional or insufficient.</x:v>
      </x:c>
      <x:c r="G102" s="27" t="str"/>
      <x:c r="H102" s="27" t="str"/>
      <x:c r="I102" s="27" t="str">
        <x:v>The fee or applicable waiver is high, unknown, or unverified.</x:v>
      </x:c>
      <x:c r="J102" s="30" t="e">
        <x:f>HYPERLINK("https://louisiana.edu/graduateschool/majors-minors/applied-computing-and-information-sciences-phd","Open official source")</x:f>
        <x:v>HYPERLINK is not implemented. linkLocation=https://louisiana.edu/graduateschool/majors-minors/applied-computing-and-information-sciences-phd, friendlyName=Open official source</x:v>
      </x:c>
      <x:c r="K102" s="27" t="str">
        <x:v>Reconsider only if direct official evidence materially improves the failed gate or application economics.</x:v>
      </x:c>
    </x:row>
    <x:row r="103" ht="46" customHeight="1">
      <x:c r="A103" s="27" t="str">
        <x:v>University of Louisville</x:v>
      </x:c>
      <x:c r="B103" s="27" t="str">
        <x:v>Doctor of Philosophy in Computer Science and Engineering</x:v>
      </x:c>
      <x:c r="C103" s="27" t="str">
        <x:v>Pass 2 gated out</x:v>
      </x:c>
      <x:c r="D103" s="27" t="str">
        <x:v>Do Not Apply</x:v>
      </x:c>
      <x:c r="E103" s="27" t="str">
        <x:v>Funding remains conditional after claim-level review and does not support application spending now.</x:v>
      </x:c>
      <x:c r="F103" s="27" t="str">
        <x:v>Funding remains conditional or insufficient.</x:v>
      </x:c>
      <x:c r="G103" s="27" t="str"/>
      <x:c r="H103" s="27" t="str"/>
      <x:c r="I103" s="27" t="str">
        <x:v>The fee or applicable waiver is high, unknown, or unverified.</x:v>
      </x:c>
      <x:c r="J103" s="30" t="e">
        <x:f>HYPERLINK("https://engineering.louisville.edu/graduatefunding/","Open official source")</x:f>
        <x:v>HYPERLINK is not implemented. linkLocation=https://engineering.louisville.edu/graduatefunding/, friendlyName=Open official source</x:v>
      </x:c>
      <x:c r="K103" s="27" t="str">
        <x:v>Reconsider only if direct official evidence materially improves the failed gate or application economics.</x:v>
      </x:c>
    </x:row>
    <x:row r="104" ht="46" customHeight="1">
      <x:c r="A104" s="27" t="str">
        <x:v>University of Missouri-Columbia</x:v>
      </x:c>
      <x:c r="B104" s="27" t="str">
        <x:v>PhD in Computer Science</x:v>
      </x:c>
      <x:c r="C104" s="27" t="str">
        <x:v>Pass 2 gated out</x:v>
      </x:c>
      <x:c r="D104" s="27" t="str">
        <x:v>Do Not Apply</x:v>
      </x:c>
      <x:c r="E104" s="27" t="str">
        <x:v>Pass 2.1 does not justify application spending; unresolved or failed areas: funding.</x:v>
      </x:c>
      <x:c r="F104" s="27" t="str">
        <x:v>Funding remains conditional or insufficient.</x:v>
      </x:c>
      <x:c r="G104" s="27" t="str"/>
      <x:c r="H104" s="27" t="str"/>
      <x:c r="I104" s="27" t="str">
        <x:v>The fee or applicable waiver is high, unknown, or unverified.</x:v>
      </x:c>
      <x:c r="J104" s="30" t="e">
        <x:f>HYPERLINK("https://catalog.missouri.edu/collegeofengineering/computerscience/","Open official source")</x:f>
        <x:v>HYPERLINK is not implemented. linkLocation=https://catalog.missouri.edu/collegeofengineering/computerscience/, friendlyName=Open official source</x:v>
      </x:c>
      <x:c r="K104" s="27" t="str">
        <x:v>Reconsider only if direct official evidence materially improves the failed gate or application economics.</x:v>
      </x:c>
    </x:row>
    <x:row r="105" ht="46" customHeight="1">
      <x:c r="A105" s="27" t="str">
        <x:v>University of Nebraska at Omaha</x:v>
      </x:c>
      <x:c r="B105" s="27" t="str">
        <x:v>Computing &amp; Information Science, Ph.D.</x:v>
      </x:c>
      <x:c r="C105" s="27" t="str">
        <x:v>Pass 2 gated out</x:v>
      </x:c>
      <x:c r="D105" s="27" t="str">
        <x:v>Do Not Apply</x:v>
      </x:c>
      <x:c r="E105" s="27" t="str">
        <x:v>Pass 2.1 does not justify application spending; unresolved or failed areas: funding.</x:v>
      </x:c>
      <x:c r="F105" s="27" t="str">
        <x:v>Funding remains conditional or insufficient.</x:v>
      </x:c>
      <x:c r="G105" s="27" t="str"/>
      <x:c r="H105" s="27" t="str"/>
      <x:c r="I105" s="27" t="str">
        <x:v>The fee or applicable waiver is high, unknown, or unverified.</x:v>
      </x:c>
      <x:c r="J105" s="30" t="e">
        <x:f>HYPERLINK("https://www.unomaha.edu/college-of-information-science-and-technology/phd-it/prospective-students/financial-aid.php","Open official source")</x:f>
        <x:v>HYPERLINK is not implemented. linkLocation=https://www.unomaha.edu/college-of-information-science-and-technology/phd-it/prospective-students/financial-aid.php, friendlyName=Open official source</x:v>
      </x:c>
      <x:c r="K105" s="27" t="str">
        <x:v>Reconsider only if direct official evidence materially improves the failed gate or application economics.</x:v>
      </x:c>
    </x:row>
    <x:row r="106" ht="46" customHeight="1">
      <x:c r="A106" s="27" t="str">
        <x:v>University of New Hampshire-Main Campus</x:v>
      </x:c>
      <x:c r="B106" s="27" t="str">
        <x:v>Computer Science, Ph.D.</x:v>
      </x:c>
      <x:c r="C106" s="27" t="str">
        <x:v>Pass 2 gated out</x:v>
      </x:c>
      <x:c r="D106" s="27" t="str">
        <x:v>Do Not Apply</x:v>
      </x:c>
      <x:c r="E106" s="27" t="str">
        <x:v>Pass 2.1 does not justify application spending; unresolved or failed areas: funding.</x:v>
      </x:c>
      <x:c r="F106" s="27" t="str">
        <x:v>Funding remains conditional or insufficient.</x:v>
      </x:c>
      <x:c r="G106" s="27" t="str"/>
      <x:c r="H106" s="27" t="str"/>
      <x:c r="I106" s="27" t="str">
        <x:v>The fee or applicable waiver is high, unknown, or unverified.</x:v>
      </x:c>
      <x:c r="J106" s="30" t="e">
        <x:f>HYPERLINK("https://www.unh.edu/program/doctor-philosophy/computer-science","Open official source")</x:f>
        <x:v>HYPERLINK is not implemented. linkLocation=https://www.unh.edu/program/doctor-philosophy/computer-science, friendlyName=Open official source</x:v>
      </x:c>
      <x:c r="K106" s="27" t="str">
        <x:v>Reconsider only if direct official evidence materially improves the failed gate or application economics.</x:v>
      </x:c>
    </x:row>
    <x:row r="107" ht="46" customHeight="1">
      <x:c r="A107" s="27" t="str">
        <x:v>University of Rhode Island</x:v>
      </x:c>
      <x:c r="B107" s="27" t="str">
        <x:v>Computer Science Ph.D.</x:v>
      </x:c>
      <x:c r="C107" s="27" t="str">
        <x:v>Pass 2 gated out</x:v>
      </x:c>
      <x:c r="D107" s="27" t="str">
        <x:v>Do Not Apply</x:v>
      </x:c>
      <x:c r="E107" s="27" t="str">
        <x:v>Pass 2.1 does not justify application spending; unresolved or failed areas: funding.</x:v>
      </x:c>
      <x:c r="F107" s="27" t="str">
        <x:v>Funding remains conditional or insufficient.</x:v>
      </x:c>
      <x:c r="G107" s="27" t="str"/>
      <x:c r="H107" s="27" t="str"/>
      <x:c r="I107" s="27" t="str">
        <x:v>The fee or applicable waiver is high, unknown, or unverified.</x:v>
      </x:c>
      <x:c r="J107" s="30" t="e">
        <x:f>HYPERLINK("https://web.uri.edu/graduate-school/funding/assistantships/","Open official source")</x:f>
        <x:v>HYPERLINK is not implemented. linkLocation=https://web.uri.edu/graduate-school/funding/assistantships/, friendlyName=Open official source</x:v>
      </x:c>
      <x:c r="K107" s="27" t="str">
        <x:v>Reconsider only if direct official evidence materially improves the failed gate or application economics.</x:v>
      </x:c>
    </x:row>
    <x:row r="108" ht="46" customHeight="1">
      <x:c r="A108" s="27" t="str">
        <x:v>University of Wisconsin-Madison</x:v>
      </x:c>
      <x:c r="B108" s="27" t="str">
        <x:v>Computer Sciences, PhD</x:v>
      </x:c>
      <x:c r="C108" s="27" t="str">
        <x:v>Pass 2 gated out</x:v>
      </x:c>
      <x:c r="D108" s="27" t="str">
        <x:v>Do Not Apply</x:v>
      </x:c>
      <x:c r="E108" s="27" t="str">
        <x:v>Pass 2.1 does not justify application spending; unresolved or failed areas: funding.</x:v>
      </x:c>
      <x:c r="F108" s="27" t="str">
        <x:v>Funding remains conditional or insufficient.</x:v>
      </x:c>
      <x:c r="G108" s="27" t="str"/>
      <x:c r="H108" s="27" t="str"/>
      <x:c r="I108" s="27" t="str">
        <x:v>The fee or applicable waiver is high, unknown, or unverified.</x:v>
      </x:c>
      <x:c r="J108" s="30" t="e">
        <x:f>HYPERLINK("https://www.cs.wisc.edu/grad/programs/funding/","Open official source")</x:f>
        <x:v>HYPERLINK is not implemented. linkLocation=https://www.cs.wisc.edu/grad/programs/funding/, friendlyName=Open official source</x:v>
      </x:c>
      <x:c r="K108" s="27" t="str">
        <x:v>Reconsider only if direct official evidence materially improves the failed gate or application economics.</x:v>
      </x:c>
    </x:row>
    <x:row r="109" ht="46" customHeight="1">
      <x:c r="A109" s="27" t="str">
        <x:v>University of Wisconsin-Milwaukee</x:v>
      </x:c>
      <x:c r="B109" s="27" t="str">
        <x:v>Computer Science PhD</x:v>
      </x:c>
      <x:c r="C109" s="27" t="str">
        <x:v>Pass 2 gated out</x:v>
      </x:c>
      <x:c r="D109" s="27" t="str">
        <x:v>Do Not Apply</x:v>
      </x:c>
      <x:c r="E109" s="27" t="str">
        <x:v>Pass 2.1 does not justify application spending; unresolved or failed areas: funding.</x:v>
      </x:c>
      <x:c r="F109" s="27" t="str">
        <x:v>Funding remains conditional or insufficient.</x:v>
      </x:c>
      <x:c r="G109" s="27" t="str"/>
      <x:c r="H109" s="27" t="str"/>
      <x:c r="I109" s="27" t="str">
        <x:v>The fee or applicable waiver is high, unknown, or unverified.</x:v>
      </x:c>
      <x:c r="J109" s="30" t="e">
        <x:f>HYPERLINK("https://uwm.edu/engineering/academics/computer-science-phd/","Open official source")</x:f>
        <x:v>HYPERLINK is not implemented. linkLocation=https://uwm.edu/engineering/academics/computer-science-phd/, friendlyName=Open official source</x:v>
      </x:c>
      <x:c r="K109" s="27" t="str">
        <x:v>Reconsider only if direct official evidence materially improves the failed gate or application economics.</x:v>
      </x:c>
    </x:row>
    <x:row r="110" ht="46" customHeight="1">
      <x:c r="A110" s="27" t="str">
        <x:v>West Virginia University</x:v>
      </x:c>
      <x:c r="B110" s="27" t="str">
        <x:v>Computer Science, Ph.D.</x:v>
      </x:c>
      <x:c r="C110" s="27" t="str">
        <x:v>Pass 2 gated out</x:v>
      </x:c>
      <x:c r="D110" s="27" t="str">
        <x:v>Do Not Apply</x:v>
      </x:c>
      <x:c r="E110" s="27" t="str">
        <x:v>Pass 2.1 does not justify application spending; unresolved or failed areas: funding.</x:v>
      </x:c>
      <x:c r="F110" s="27" t="str">
        <x:v>Funding remains conditional or insufficient.</x:v>
      </x:c>
      <x:c r="G110" s="27" t="str"/>
      <x:c r="H110" s="27" t="str"/>
      <x:c r="I110" s="27" t="str">
        <x:v>The fee or applicable waiver is high, unknown, or unverified.</x:v>
      </x:c>
      <x:c r="J110" s="30" t="e">
        <x:f>HYPERLINK("https://lcsee.statler.wvu.edu/graduate","Open official source")</x:f>
        <x:v>HYPERLINK is not implemented. linkLocation=https://lcsee.statler.wvu.edu/graduate, friendlyName=Open official source</x:v>
      </x:c>
      <x:c r="K110" s="27" t="str">
        <x:v>Reconsider only if direct official evidence materially improves the failed gate or application economics.</x:v>
      </x:c>
    </x:row>
    <x:row r="111" ht="46" customHeight="1">
      <x:c r="A111" s="27" t="str">
        <x:v>École Polytechnique de Montréal</x:v>
      </x:c>
      <x:c r="B111" s="27" t="str">
        <x:v>Master of Applied Science in Computer Engineering — Software Engineering Option</x:v>
      </x:c>
      <x:c r="C111" s="27" t="str">
        <x:v>Pass 2 gated out</x:v>
      </x:c>
      <x:c r="D111" s="27" t="str">
        <x:v>Do Not Apply</x:v>
      </x:c>
      <x:c r="E111" s="27" t="str">
        <x:v>Pass 2.1 does not justify application spending; unresolved or failed areas: funding.</x:v>
      </x:c>
      <x:c r="F111" s="27" t="str">
        <x:v>Funding remains conditional or insufficient.</x:v>
      </x:c>
      <x:c r="G111" s="27" t="str"/>
      <x:c r="H111" s="27" t="str"/>
      <x:c r="I111" s="27" t="str">
        <x:v>The fee or applicable waiver is high, unknown, or unverified.</x:v>
      </x:c>
      <x:c r="J111" s="30" t="e">
        <x:f>HYPERLINK("https://www.polymtl.ca/futur/en/es/finances","Open official source")</x:f>
        <x:v>HYPERLINK is not implemented. linkLocation=https://www.polymtl.ca/futur/en/es/finances, friendlyName=Open official source</x:v>
      </x:c>
      <x:c r="K111" s="27" t="str">
        <x:v>Reconsider only if direct official evidence materially improves the failed gate or application economics.</x:v>
      </x:c>
    </x:row>
    <x:row r="112" ht="46" customHeight="1">
      <x:c r="A112" s="27" t="str">
        <x:v>Boise State University</x:v>
      </x:c>
      <x:c r="B112" s="27" t="str">
        <x:v>Doctor of Philosophy in Computing — Computer Science or Cybersecurity emphasis</x:v>
      </x:c>
      <x:c r="C112" s="27" t="str">
        <x:v>Pass 2 gated out</x:v>
      </x:c>
      <x:c r="D112" s="27" t="str">
        <x:v>Do Not Apply</x:v>
      </x:c>
      <x:c r="E112" s="27" t="str">
        <x:v>Funding remains conditional after claim-level review and does not support application spending now.</x:v>
      </x:c>
      <x:c r="F112" s="27" t="str">
        <x:v>Funding remains conditional or insufficient.</x:v>
      </x:c>
      <x:c r="G112" s="27" t="str">
        <x:v>Formal academic or international eligibility is unresolved or fails.</x:v>
      </x:c>
      <x:c r="H112" s="27" t="str"/>
      <x:c r="I112" s="27" t="str"/>
      <x:c r="J112" s="30" t="e">
        <x:f>HYPERLINK("https://www.boisestate.edu/computing/academics/doctoral-program/graduate-assistantships/","Open official source")</x:f>
        <x:v>HYPERLINK is not implemented. linkLocation=https://www.boisestate.edu/computing/academics/doctoral-program/graduate-assistantships/, friendlyName=Open official source</x:v>
      </x:c>
      <x:c r="K112" s="27" t="str">
        <x:v>Reconsider only if direct official evidence materially improves the failed gate or application economics.</x:v>
      </x:c>
    </x:row>
    <x:row r="113" ht="46" customHeight="1">
      <x:c r="A113" s="27" t="str">
        <x:v>Florida International University</x:v>
      </x:c>
      <x:c r="B113" s="27" t="str">
        <x:v>Doctor of Philosophy in Computer Science</x:v>
      </x:c>
      <x:c r="C113" s="27" t="str">
        <x:v>Pass 2 gated out</x:v>
      </x:c>
      <x:c r="D113" s="27" t="str">
        <x:v>Do Not Apply</x:v>
      </x:c>
      <x:c r="E113" s="27" t="str">
        <x:v>Funding remains conditional after claim-level review and does not support application spending now.</x:v>
      </x:c>
      <x:c r="F113" s="27" t="str">
        <x:v>Funding remains conditional or insufficient.</x:v>
      </x:c>
      <x:c r="G113" s="27" t="str">
        <x:v>Formal academic or international eligibility is unresolved or fails.</x:v>
      </x:c>
      <x:c r="H113" s="27" t="str"/>
      <x:c r="I113" s="27" t="str"/>
      <x:c r="J113" s="30" t="e">
        <x:f>HYPERLINK("https://www.cis.fiu.edu/degree/doctor-of-philosophy-in-computer-science/","Open official source")</x:f>
        <x:v>HYPERLINK is not implemented. linkLocation=https://www.cis.fiu.edu/degree/doctor-of-philosophy-in-computer-science/, friendlyName=Open official source</x:v>
      </x:c>
      <x:c r="K113" s="27" t="str">
        <x:v>Reconsider only if direct official evidence materially improves the failed gate or application economics.</x:v>
      </x:c>
    </x:row>
    <x:row r="114" ht="46" customHeight="1">
      <x:c r="A114" s="27" t="str">
        <x:v>George Mason University</x:v>
      </x:c>
      <x:c r="B114" s="27" t="str">
        <x:v>Computer Science PhD</x:v>
      </x:c>
      <x:c r="C114" s="27" t="str">
        <x:v>Pass 2 gated out</x:v>
      </x:c>
      <x:c r="D114" s="27" t="str">
        <x:v>Do Not Apply</x:v>
      </x:c>
      <x:c r="E114" s="27" t="str">
        <x:v>Pass 2.1 does not justify application spending; unresolved or failed areas: funding.</x:v>
      </x:c>
      <x:c r="F114" s="27" t="str">
        <x:v>Funding remains conditional or insufficient.</x:v>
      </x:c>
      <x:c r="G114" s="27" t="str"/>
      <x:c r="H114" s="27" t="str"/>
      <x:c r="I114" s="27" t="str"/>
      <x:c r="J114" s="30" t="e">
        <x:f>HYPERLINK("https://cs.gmu.edu/academics/graduate-programs","Open official source")</x:f>
        <x:v>HYPERLINK is not implemented. linkLocation=https://cs.gmu.edu/academics/graduate-programs, friendlyName=Open official source</x:v>
      </x:c>
      <x:c r="K114" s="27" t="str">
        <x:v>Reconsider only if direct official evidence materially improves the failed gate or application economics.</x:v>
      </x:c>
    </x:row>
    <x:row r="115" ht="46" customHeight="1">
      <x:c r="A115" s="27" t="str">
        <x:v>Oregon State University</x:v>
      </x:c>
      <x:c r="B115" s="27" t="str">
        <x:v>Computer Science PhD</x:v>
      </x:c>
      <x:c r="C115" s="27" t="str">
        <x:v>Pass 2 gated out</x:v>
      </x:c>
      <x:c r="D115" s="27" t="str">
        <x:v>Do Not Apply</x:v>
      </x:c>
      <x:c r="E115" s="27" t="str">
        <x:v>Pass 2.1 does not justify application spending; unresolved or failed areas: funding.</x:v>
      </x:c>
      <x:c r="F115" s="27" t="str">
        <x:v>Funding remains conditional or insufficient.</x:v>
      </x:c>
      <x:c r="G115" s="27" t="str"/>
      <x:c r="H115" s="27" t="str"/>
      <x:c r="I115" s="27" t="str"/>
      <x:c r="J115" s="30" t="e">
        <x:f>HYPERLINK("https://engineering.oregonstate.edu/academics/programs/computer-science/graduate","Open official source")</x:f>
        <x:v>HYPERLINK is not implemented. linkLocation=https://engineering.oregonstate.edu/academics/programs/computer-science/graduate, friendlyName=Open official source</x:v>
      </x:c>
      <x:c r="K115" s="27" t="str">
        <x:v>Reconsider only if direct official evidence materially improves the failed gate or application economics.</x:v>
      </x:c>
    </x:row>
    <x:row r="116" ht="46" customHeight="1">
      <x:c r="A116" s="27" t="str">
        <x:v>University of South Florida</x:v>
      </x:c>
      <x:c r="B116" s="27" t="str">
        <x:v>Doctor of Philosophy in Computer Science and Engineering</x:v>
      </x:c>
      <x:c r="C116" s="27" t="str">
        <x:v>Pass 2 gated out</x:v>
      </x:c>
      <x:c r="D116" s="27" t="str">
        <x:v>Do Not Apply</x:v>
      </x:c>
      <x:c r="E116" s="27" t="str">
        <x:v>Pass 2.1 does not justify application spending; unresolved or failed areas: funding, eligibility.</x:v>
      </x:c>
      <x:c r="F116" s="27" t="str">
        <x:v>Funding passes claim-level review but does not overcome the remaining portfolio weaknesses.</x:v>
      </x:c>
      <x:c r="G116" s="27" t="str">
        <x:v>Formal academic or international eligibility is unresolved or fails.</x:v>
      </x:c>
      <x:c r="H116" s="27" t="str"/>
      <x:c r="I116" s="27" t="str"/>
      <x:c r="J116" s="30" t="e">
        <x:f>HYPERLINK("https://www.usf.edu/ai-cybersecurity-computing/academics/application-faq.aspx","Open official source")</x:f>
        <x:v>HYPERLINK is not implemented. linkLocation=https://www.usf.edu/ai-cybersecurity-computing/academics/application-faq.aspx, friendlyName=Open official source</x:v>
      </x:c>
      <x:c r="K116" s="27" t="str">
        <x:v>Reconsider only if direct official evidence materially improves the failed gate or application economics.</x:v>
      </x:c>
    </x:row>
    <x:row r="117" ht="46" customHeight="1">
      <x:c r="A117" s="27" t="str">
        <x:v>University of Trento</x:v>
      </x:c>
      <x:c r="B117" s="27" t="str">
        <x:v>Master's Degree in Computer Science</x:v>
      </x:c>
      <x:c r="C117" s="27" t="str">
        <x:v>Pass 2 gated out</x:v>
      </x:c>
      <x:c r="D117" s="27" t="str">
        <x:v>Do Not Apply</x:v>
      </x:c>
      <x:c r="E117" s="27" t="str">
        <x:v>Funding remains conditional after claim-level review and does not support application spending now.</x:v>
      </x:c>
      <x:c r="F117" s="27" t="str">
        <x:v>Funding remains conditional or insufficient.</x:v>
      </x:c>
      <x:c r="G117" s="27" t="str">
        <x:v>Formal academic or international eligibility is unresolved or fails.</x:v>
      </x:c>
      <x:c r="H117" s="27" t="str"/>
      <x:c r="I117" s="27" t="str"/>
      <x:c r="J117" s="30" t="e">
        <x:f>HYPERLINK("https://www.unitn.it/en/study/fees-scholarships-accommodation/scholarships-and-awards/scholarships-international-students","Open official source")</x:f>
        <x:v>HYPERLINK is not implemented. linkLocation=https://www.unitn.it/en/study/fees-scholarships-accommodation/scholarships-and-awards/scholarships-international-students, friendlyName=Open official source</x:v>
      </x:c>
      <x:c r="K117" s="27" t="str">
        <x:v>Reconsider only if direct official evidence materially improves the failed gate or application economics.</x:v>
      </x:c>
    </x:row>
    <x:row r="118" ht="46" customHeight="1">
      <x:c r="A118" s="27" t="str">
        <x:v>University of Tulsa</x:v>
      </x:c>
      <x:c r="B118" s="27" t="str">
        <x:v>Computer Science, Ph.D.</x:v>
      </x:c>
      <x:c r="C118" s="27" t="str">
        <x:v>Pass 2 gated out</x:v>
      </x:c>
      <x:c r="D118" s="27" t="str">
        <x:v>Do Not Apply</x:v>
      </x:c>
      <x:c r="E118" s="27" t="str">
        <x:v>Funding remains conditional after claim-level review and does not support application spending now.</x:v>
      </x:c>
      <x:c r="F118" s="27" t="str">
        <x:v>Funding remains conditional or insufficient.</x:v>
      </x:c>
      <x:c r="G118" s="27" t="str">
        <x:v>Formal academic or international eligibility is unresolved or fails.</x:v>
      </x:c>
      <x:c r="H118" s="27" t="str"/>
      <x:c r="I118" s="27" t="str"/>
      <x:c r="J118" s="30" t="e">
        <x:f>HYPERLINK("https://utulsa.edu/tuition-aid/graduate-financial-assistance/assistantships-fellowships/","Open official source")</x:f>
        <x:v>HYPERLINK is not implemented. linkLocation=https://utulsa.edu/tuition-aid/graduate-financial-assistance/assistantships-fellowships/, friendlyName=Open official source</x:v>
      </x:c>
      <x:c r="K118" s="27" t="str">
        <x:v>Reconsider only if direct official evidence materially improves the failed gate or application economics.</x:v>
      </x:c>
    </x:row>
    <x:row r="119" ht="46" customHeight="1">
      <x:c r="A119" s="27" t="str">
        <x:v>Florida Atlantic University</x:v>
      </x:c>
      <x:c r="B119" s="27" t="str">
        <x:v>Doctor of Philosophy with Major in Computer Science</x:v>
      </x:c>
      <x:c r="C119" s="27" t="str">
        <x:v>Pass 2 gated out</x:v>
      </x:c>
      <x:c r="D119" s="27" t="str">
        <x:v>Do Not Apply</x:v>
      </x:c>
      <x:c r="E119" s="27" t="str">
        <x:v>Funding remains conditional after claim-level review and does not support application spending now.</x:v>
      </x:c>
      <x:c r="F119" s="27" t="str">
        <x:v>Funding remains conditional or insufficient.</x:v>
      </x:c>
      <x:c r="G119" s="27" t="str">
        <x:v>Formal academic or international eligibility is unresolved or fails.</x:v>
      </x:c>
      <x:c r="H119" s="27" t="str"/>
      <x:c r="I119" s="27" t="str">
        <x:v>The fee or applicable waiver is high, unknown, or unverified.</x:v>
      </x:c>
      <x:c r="J119" s="30" t="e">
        <x:f>HYPERLINK("https://www.fau.edu/engineering/graduate/phd-funding/","Open official source")</x:f>
        <x:v>HYPERLINK is not implemented. linkLocation=https://www.fau.edu/engineering/graduate/phd-funding/, friendlyName=Open official source</x:v>
      </x:c>
      <x:c r="K119" s="27" t="str">
        <x:v>Reconsider only if direct official evidence materially improves the failed gate or application economics.</x:v>
      </x:c>
    </x:row>
    <x:row r="120" ht="46" customHeight="1">
      <x:c r="A120" s="27" t="str">
        <x:v>Ontario Tech University</x:v>
      </x:c>
      <x:c r="B120" s="27" t="str">
        <x:v>Master of Applied Science in Software Engineering</x:v>
      </x:c>
      <x:c r="C120" s="27" t="str">
        <x:v>Pass 2 gated out</x:v>
      </x:c>
      <x:c r="D120" s="27" t="str">
        <x:v>Do Not Apply</x:v>
      </x:c>
      <x:c r="E120" s="27" t="str">
        <x:v>Funding remains conditional after claim-level review and does not support application spending now.</x:v>
      </x:c>
      <x:c r="F120" s="27" t="str">
        <x:v>Funding remains conditional or insufficient.</x:v>
      </x:c>
      <x:c r="G120" s="27" t="str">
        <x:v>Formal academic or international eligibility is unresolved or fails.</x:v>
      </x:c>
      <x:c r="H120" s="27" t="str"/>
      <x:c r="I120" s="27" t="str">
        <x:v>The fee or applicable waiver is high, unknown, or unverified.</x:v>
      </x:c>
      <x:c r="J120" s="30" t="e">
        <x:f>HYPERLINK("https://gradstudies.ontariotechu.ca/future_students/programs/masters_programs/software_engineering/index.php","Open official source")</x:f>
        <x:v>HYPERLINK is not implemented. linkLocation=https://gradstudies.ontariotechu.ca/future_students/programs/masters_programs/software_engineering/index.php, friendlyName=Open official source</x:v>
      </x:c>
      <x:c r="K120" s="27" t="str">
        <x:v>Reconsider only if direct official evidence materially improves the failed gate or application economics.</x:v>
      </x:c>
    </x:row>
    <x:row r="121" ht="46" customHeight="1">
      <x:c r="A121" s="27" t="str">
        <x:v>Saint Mary’s University</x:v>
      </x:c>
      <x:c r="B121" s="27" t="str">
        <x:v>MSc in Applied Science — Computing Science research field</x:v>
      </x:c>
      <x:c r="C121" s="27" t="str">
        <x:v>Pass 2 gated out</x:v>
      </x:c>
      <x:c r="D121" s="27" t="str">
        <x:v>Do Not Apply</x:v>
      </x:c>
      <x:c r="E121" s="27" t="str">
        <x:v>Funding remains conditional after claim-level review and does not support application spending now.</x:v>
      </x:c>
      <x:c r="F121" s="27" t="str">
        <x:v>Funding remains conditional or insufficient.</x:v>
      </x:c>
      <x:c r="G121" s="27" t="str">
        <x:v>Formal academic or international eligibility is unresolved or fails.</x:v>
      </x:c>
      <x:c r="H121" s="27" t="str"/>
      <x:c r="I121" s="27" t="str">
        <x:v>The fee or applicable waiver is high, unknown, or unverified.</x:v>
      </x:c>
      <x:c r="J121" s="30" t="e">
        <x:f>HYPERLINK("https://www.smu.ca/webfiles/MSc_APSC_ProgramGuide_20240909.pdf","Open official source")</x:f>
        <x:v>HYPERLINK is not implemented. linkLocation=https://www.smu.ca/webfiles/MSc_APSC_ProgramGuide_20240909.pdf, friendlyName=Open official source</x:v>
      </x:c>
      <x:c r="K121" s="27" t="str">
        <x:v>Reconsider only if direct official evidence materially improves the failed gate or application economics.</x:v>
      </x:c>
    </x:row>
    <x:row r="122" ht="46" customHeight="1">
      <x:c r="A122" s="27" t="str">
        <x:v>St. Francis Xavier University</x:v>
      </x:c>
      <x:c r="B122" s="27" t="str">
        <x:v>Master of Science in Computer Science</x:v>
      </x:c>
      <x:c r="C122" s="27" t="str">
        <x:v>Pass 2 gated out</x:v>
      </x:c>
      <x:c r="D122" s="27" t="str">
        <x:v>Do Not Apply</x:v>
      </x:c>
      <x:c r="E122" s="27" t="str">
        <x:v>Funding remains conditional after claim-level review and does not support application spending now.</x:v>
      </x:c>
      <x:c r="F122" s="27" t="str">
        <x:v>Funding remains conditional or insufficient.</x:v>
      </x:c>
      <x:c r="G122" s="27" t="str">
        <x:v>Formal academic or international eligibility is unresolved or fails.</x:v>
      </x:c>
      <x:c r="H122" s="27" t="str"/>
      <x:c r="I122" s="27" t="str">
        <x:v>The fee or applicable waiver is high, unknown, or unverified.</x:v>
      </x:c>
      <x:c r="J122" s="30" t="e">
        <x:f>HYPERLINK("https://www.stfx.ca/programs-courses/programs/master-science-computer-science","Open official source")</x:f>
        <x:v>HYPERLINK is not implemented. linkLocation=https://www.stfx.ca/programs-courses/programs/master-science-computer-science, friendlyName=Open official source</x:v>
      </x:c>
      <x:c r="K122" s="27" t="str">
        <x:v>Reconsider only if direct official evidence materially improves the failed gate or application economics.</x:v>
      </x:c>
    </x:row>
    <x:row r="123" ht="46" customHeight="1">
      <x:c r="A123" s="27" t="str">
        <x:v>University of British Columbia</x:v>
      </x:c>
      <x:c r="B123" s="27" t="str">
        <x:v>Master of Applied Science in Electrical and Computer Engineering</x:v>
      </x:c>
      <x:c r="C123" s="27" t="str">
        <x:v>Pass 2 gated out</x:v>
      </x:c>
      <x:c r="D123" s="27" t="str">
        <x:v>Do Not Apply</x:v>
      </x:c>
      <x:c r="E123" s="27" t="str">
        <x:v>Funding remains conditional after claim-level review and does not support application spending now.</x:v>
      </x:c>
      <x:c r="F123" s="27" t="str">
        <x:v>Funding remains conditional or insufficient.</x:v>
      </x:c>
      <x:c r="G123" s="27" t="str">
        <x:v>Formal academic or international eligibility is unresolved or fails.</x:v>
      </x:c>
      <x:c r="H123" s="27" t="str"/>
      <x:c r="I123" s="27" t="str">
        <x:v>The fee or applicable waiver is high, unknown, or unverified.</x:v>
      </x:c>
      <x:c r="J123" s="30" t="e">
        <x:f>HYPERLINK("https://www.grad.ubc.ca/prospective-students/graduate-degree-programs/master-of-applied-science-electrical-computer-engineering","Open official source")</x:f>
        <x:v>HYPERLINK is not implemented. linkLocation=https://www.grad.ubc.ca/prospective-students/graduate-degree-programs/master-of-applied-science-electrical-computer-engineering, friendlyName=Open official source</x:v>
      </x:c>
      <x:c r="K123" s="27" t="str">
        <x:v>Reconsider only if direct official evidence materially improves the failed gate or application economics.</x:v>
      </x:c>
    </x:row>
    <x:row r="124" ht="46" customHeight="1">
      <x:c r="A124" s="27" t="str">
        <x:v>University of Pisa</x:v>
      </x:c>
      <x:c r="B124" s="27" t="str">
        <x:v>Master's Degree in Computer Science</x:v>
      </x:c>
      <x:c r="C124" s="27" t="str">
        <x:v>Pass 2 gated out</x:v>
      </x:c>
      <x:c r="D124" s="27" t="str">
        <x:v>Do Not Apply</x:v>
      </x:c>
      <x:c r="E124" s="27" t="str">
        <x:v>Funding remains conditional after claim-level review and does not support application spending now.</x:v>
      </x:c>
      <x:c r="F124" s="27" t="str">
        <x:v>Funding remains conditional or insufficient.</x:v>
      </x:c>
      <x:c r="G124" s="27" t="str">
        <x:v>Formal academic or international eligibility is unresolved or fails.</x:v>
      </x:c>
      <x:c r="H124" s="27" t="str"/>
      <x:c r="I124" s="27" t="str">
        <x:v>The fee or applicable waiver is high, unknown, or unverified.</x:v>
      </x:c>
      <x:c r="J124" s="30" t="e">
        <x:f>HYPERLINK("https://www.unipi.it/en/education/registration/enrolment-and-registration/enrolment-for-international-students/university-fees-and-scholarships/","Open official source")</x:f>
        <x:v>HYPERLINK is not implemented. linkLocation=https://www.unipi.it/en/education/registration/enrolment-and-registration/enrolment-for-international-students/university-fees-and-scholarships/, friendlyName=Open official source</x:v>
      </x:c>
      <x:c r="K124" s="27" t="str">
        <x:v>Reconsider only if direct official evidence materially improves the failed gate or application economics.</x:v>
      </x:c>
    </x:row>
    <x:row r="125" ht="46" customHeight="1">
      <x:c r="A125" s="27" t="str">
        <x:v>Università di Camerino</x:v>
      </x:c>
      <x:c r="B125" s="27" t="str">
        <x:v>Master of Science in Computer Science</x:v>
      </x:c>
      <x:c r="C125" s="27" t="str">
        <x:v>Pass 2 gated out</x:v>
      </x:c>
      <x:c r="D125" s="27" t="str">
        <x:v>Do Not Apply</x:v>
      </x:c>
      <x:c r="E125" s="27" t="str">
        <x:v>Funding remains conditional after claim-level review and does not support application spending now.</x:v>
      </x:c>
      <x:c r="F125" s="27" t="str">
        <x:v>Funding remains conditional or insufficient.</x:v>
      </x:c>
      <x:c r="G125" s="27" t="str">
        <x:v>Formal academic or international eligibility is unresolved or fails.</x:v>
      </x:c>
      <x:c r="H125" s="27" t="str"/>
      <x:c r="I125" s="27" t="str">
        <x:v>The fee or applicable waiver is high, unknown, or unverified.</x:v>
      </x:c>
      <x:c r="J125" s="30" t="e">
        <x:f>HYPERLINK("https://international.unicam.it/scholarship-unicam/erdis-scholarships","Open official source")</x:f>
        <x:v>HYPERLINK is not implemented. linkLocation=https://international.unicam.it/scholarship-unicam/erdis-scholarships, friendlyName=Open official source</x:v>
      </x:c>
      <x:c r="K125" s="27" t="str">
        <x:v>Reconsider only if direct official evidence materially improves the failed gate or application economics.</x:v>
      </x:c>
    </x:row>
    <x:row r="126" ht="46" customHeight="1">
      <x:c r="A126" s="27" t="str">
        <x:v>Western University</x:v>
      </x:c>
      <x:c r="B126" s="27" t="str">
        <x:v>Master of Engineering Science (MESc) in Electrical and Computer Engineering</x:v>
      </x:c>
      <x:c r="C126" s="27" t="str">
        <x:v>Pass 2 gated out</x:v>
      </x:c>
      <x:c r="D126" s="27" t="str">
        <x:v>Do Not Apply</x:v>
      </x:c>
      <x:c r="E126" s="27" t="str">
        <x:v>Funding remains conditional after claim-level review and does not support application spending now.</x:v>
      </x:c>
      <x:c r="F126" s="27" t="str">
        <x:v>Funding remains conditional or insufficient.</x:v>
      </x:c>
      <x:c r="G126" s="27" t="str">
        <x:v>Formal academic or international eligibility is unresolved or fails.</x:v>
      </x:c>
      <x:c r="H126" s="27" t="str"/>
      <x:c r="I126" s="27" t="str">
        <x:v>The fee or applicable waiver is high, unknown, or unverified.</x:v>
      </x:c>
      <x:c r="J126" s="30" t="e">
        <x:f>HYPERLINK("https://www.eng.uwo.ca/electrical/graduate/current_students/mesc_program.html","Open official source")</x:f>
        <x:v>HYPERLINK is not implemented. linkLocation=https://www.eng.uwo.ca/electrical/graduate/current_students/mesc_program.html, friendlyName=Open official source</x:v>
      </x:c>
      <x:c r="K126" s="27" t="str">
        <x:v>Reconsider only if direct official evidence materially improves the failed gate or application economics.</x:v>
      </x:c>
    </x:row>
    <x:row r="127" ht="46" customHeight="1">
      <x:c r="A127" s="27" t="str">
        <x:v>Southern Illinois University-Carbondale</x:v>
      </x:c>
      <x:c r="B127" s="27" t="str">
        <x:v>Computer Science, Doctor of Philosophy</x:v>
      </x:c>
      <x:c r="C127" s="27" t="str">
        <x:v>Pass 2 gated out</x:v>
      </x:c>
      <x:c r="D127" s="27" t="str">
        <x:v>Do Not Apply</x:v>
      </x:c>
      <x:c r="E127" s="27" t="str">
        <x:v>Funding remains conditional after claim-level review and does not support application spending now.</x:v>
      </x:c>
      <x:c r="F127" s="27" t="str">
        <x:v>Funding remains conditional or insufficient.</x:v>
      </x:c>
      <x:c r="G127" s="27" t="str">
        <x:v>Formal academic or international eligibility is unresolved or fails.</x:v>
      </x:c>
      <x:c r="H127" s="27" t="str"/>
      <x:c r="I127" s="27" t="str"/>
      <x:c r="J127" s="30" t="e">
        <x:f>HYPERLINK("https://academics.siu.edu/computing-and-technology/computer-science/doctoral/","Open official source")</x:f>
        <x:v>HYPERLINK is not implemented. linkLocation=https://academics.siu.edu/computing-and-technology/computer-science/doctoral/, friendlyName=Open official source</x:v>
      </x:c>
      <x:c r="K127" s="27" t="str">
        <x:v>Reconsider only if direct official evidence materially improves the failed gate or application economics.</x:v>
      </x:c>
    </x:row>
    <x:row r="128" ht="46" customHeight="1">
      <x:c r="A128" s="27" t="str">
        <x:v>Stevens Institute of Technology</x:v>
      </x:c>
      <x:c r="B128" s="27" t="str">
        <x:v>Ph.D. in Computer Science</x:v>
      </x:c>
      <x:c r="C128" s="27" t="str">
        <x:v>Pass 2 gated out</x:v>
      </x:c>
      <x:c r="D128" s="27" t="str">
        <x:v>Do Not Apply</x:v>
      </x:c>
      <x:c r="E128" s="27" t="str">
        <x:v>Pass 2.1 does not justify application spending; unresolved or failed areas: funding, eligibility.</x:v>
      </x:c>
      <x:c r="F128" s="27" t="str">
        <x:v>Funding passes claim-level review but does not overcome the remaining portfolio weaknesses.</x:v>
      </x:c>
      <x:c r="G128" s="27" t="str">
        <x:v>Formal academic or international eligibility is unresolved or fails.</x:v>
      </x:c>
      <x:c r="H128" s="27" t="str"/>
      <x:c r="I128" s="27" t="str"/>
      <x:c r="J128" s="30" t="e">
        <x:f>HYPERLINK("https://www.stevens.edu/program/computer-science-doctoral-program","Open official source")</x:f>
        <x:v>HYPERLINK is not implemented. linkLocation=https://www.stevens.edu/program/computer-science-doctoral-program, friendlyName=Open official source</x:v>
      </x:c>
      <x:c r="K128" s="27" t="str">
        <x:v>Reconsider only if direct official evidence materially improves the failed gate or application economics.</x:v>
      </x:c>
    </x:row>
    <x:row r="129" ht="46" customHeight="1">
      <x:c r="A129" s="27" t="str">
        <x:v>Wichita State University</x:v>
      </x:c>
      <x:c r="B129" s="27" t="str">
        <x:v>PhD in Electrical Engineering and Computer Science</x:v>
      </x:c>
      <x:c r="C129" s="27" t="str">
        <x:v>Pass 2 gated out</x:v>
      </x:c>
      <x:c r="D129" s="27" t="str">
        <x:v>Do Not Apply</x:v>
      </x:c>
      <x:c r="E129" s="27" t="str">
        <x:v>Funding remains conditional after claim-level review and does not support application spending now.</x:v>
      </x:c>
      <x:c r="F129" s="27" t="str">
        <x:v>Funding remains conditional or insufficient.</x:v>
      </x:c>
      <x:c r="G129" s="27" t="str">
        <x:v>Formal academic or international eligibility is unresolved or fails.</x:v>
      </x:c>
      <x:c r="H129" s="27" t="str"/>
      <x:c r="I129" s="27" t="str">
        <x:v>The fee or applicable waiver is high, unknown, or unverified.</x:v>
      </x:c>
      <x:c r="J129" s="30" t="e">
        <x:f>HYPERLINK("https://www.wichita.edu/academics/graduate_school/assistantships.php","Open official source")</x:f>
        <x:v>HYPERLINK is not implemented. linkLocation=https://www.wichita.edu/academics/graduate_school/assistantships.php, friendlyName=Open official source</x:v>
      </x:c>
      <x:c r="K129" s="27" t="str">
        <x:v>Reconsider only if direct official evidence materially improves the failed gate or application economics.</x:v>
      </x:c>
    </x:row>
    <x:row r="130" ht="46" customHeight="1">
      <x:c r="A130" s="27" t="str">
        <x:v>Georgia Institute of Technology-Main Campus</x:v>
      </x:c>
      <x:c r="B130" s="27" t="str">
        <x:v>Computer Science PhD</x:v>
      </x:c>
      <x:c r="C130" s="27" t="str">
        <x:v>Pass 2 gated out</x:v>
      </x:c>
      <x:c r="D130" s="27" t="str">
        <x:v>Do Not Apply</x:v>
      </x:c>
      <x:c r="E130" s="27" t="str">
        <x:v>Pass 2.1 does not justify application spending; unresolved or failed areas: funding.</x:v>
      </x:c>
      <x:c r="F130" s="27" t="str">
        <x:v>Funding remains conditional or insufficient.</x:v>
      </x:c>
      <x:c r="G130" s="27" t="str"/>
      <x:c r="H130" s="27" t="str"/>
      <x:c r="I130" s="27" t="str">
        <x:v>The fee or applicable waiver is high, unknown, or unverified.</x:v>
      </x:c>
      <x:c r="J130" s="30" t="e">
        <x:f>HYPERLINK("https://www.cc.gatech.edu/degree-programs/phd-computer-science","Open official source")</x:f>
        <x:v>HYPERLINK is not implemented. linkLocation=https://www.cc.gatech.edu/degree-programs/phd-computer-science, friendlyName=Open official source</x:v>
      </x:c>
      <x:c r="K130" s="27" t="str">
        <x:v>Reconsider only if direct official evidence materially improves the failed gate or application economics.</x:v>
      </x:c>
    </x:row>
    <x:row r="131" ht="46" customHeight="1">
      <x:c r="A131" s="27" t="str">
        <x:v>University of British Columbia</x:v>
      </x:c>
      <x:c r="B131" s="27" t="str">
        <x:v>MSc in Computer Science (research)</x:v>
      </x:c>
      <x:c r="C131" s="27" t="str">
        <x:v>Pass 2 gated out</x:v>
      </x:c>
      <x:c r="D131" s="27" t="str">
        <x:v>Do Not Apply</x:v>
      </x:c>
      <x:c r="E131" s="27" t="str">
        <x:v>Pass 2.1 does not justify application spending; unresolved or failed areas: professor.</x:v>
      </x:c>
      <x:c r="F131" s="27" t="str"/>
      <x:c r="G131" s="27" t="str"/>
      <x:c r="H131" s="27" t="str">
        <x:v>The existing corpus does not establish sufficient program-level concentration in Mitch's areas.</x:v>
      </x:c>
      <x:c r="I131" s="27" t="str">
        <x:v>The fee or applicable waiver is high, unknown, or unverified.</x:v>
      </x:c>
      <x:c r="J131" s="30" t="e">
        <x:f>HYPERLINK("https://www.cs.ubc.ca/students/grad/admissions","Open official source")</x:f>
        <x:v>HYPERLINK is not implemented. linkLocation=https://www.cs.ubc.ca/students/grad/admissions, friendlyName=Open official source</x:v>
      </x:c>
      <x:c r="K131" s="27" t="str">
        <x:v>Reconsider only if direct official evidence materially improves the failed gate or application economics.</x:v>
      </x:c>
    </x:row>
    <x:row r="132" ht="46" customHeight="1">
      <x:c r="A132" s="27" t="str">
        <x:v>University of Manitoba</x:v>
      </x:c>
      <x:c r="B132" s="27" t="str">
        <x:v>Ph.D. in Computer Science</x:v>
      </x:c>
      <x:c r="C132" s="27" t="str">
        <x:v>Pass 2 gated out</x:v>
      </x:c>
      <x:c r="D132" s="27" t="str">
        <x:v>Do Not Apply</x:v>
      </x:c>
      <x:c r="E132" s="27" t="str">
        <x:v>Pass 2.1 does not justify application spending; unresolved or failed areas: funding, eligibility.</x:v>
      </x:c>
      <x:c r="F132" s="27" t="str">
        <x:v>Funding passes claim-level review but does not overcome the remaining portfolio weaknesses.</x:v>
      </x:c>
      <x:c r="G132" s="27" t="str">
        <x:v>Formal academic or international eligibility is unresolved or fails.</x:v>
      </x:c>
      <x:c r="H132" s="27" t="str"/>
      <x:c r="I132" s="27" t="str">
        <x:v>The fee or applicable waiver is high, unknown, or unverified.</x:v>
      </x:c>
      <x:c r="J132" s="30" t="e">
        <x:f>HYPERLINK("https://umanitoba.ca/science/student-experience/financial-aid-awards/computer-science","Open official source")</x:f>
        <x:v>HYPERLINK is not implemented. linkLocation=https://umanitoba.ca/science/student-experience/financial-aid-awards/computer-science, friendlyName=Open official source</x:v>
      </x:c>
      <x:c r="K132" s="27" t="str">
        <x:v>Reconsider only if direct official evidence materially improves the failed gate or application economics.</x:v>
      </x:c>
    </x:row>
    <x:row r="133" ht="46" customHeight="1">
      <x:c r="A133" s="27" t="str">
        <x:v>University of Toronto</x:v>
      </x:c>
      <x:c r="B133" s="27" t="str">
        <x:v>PhD in Computer Science (PhD U)</x:v>
      </x:c>
      <x:c r="C133" s="27" t="str">
        <x:v>Pass 2 gated out</x:v>
      </x:c>
      <x:c r="D133" s="27" t="str">
        <x:v>Do Not Apply</x:v>
      </x:c>
      <x:c r="E133" s="27" t="str">
        <x:v>Pass 2.1 does not justify application spending; unresolved or failed areas: professor.</x:v>
      </x:c>
      <x:c r="F133" s="27" t="str"/>
      <x:c r="G133" s="27" t="str"/>
      <x:c r="H133" s="27" t="str">
        <x:v>The existing corpus does not establish sufficient program-level concentration in Mitch's areas.</x:v>
      </x:c>
      <x:c r="I133" s="27" t="str">
        <x:v>The fee or applicable waiver is high, unknown, or unverified.</x:v>
      </x:c>
      <x:c r="J133" s="30" t="e">
        <x:f>HYPERLINK("https://web.cs.toronto.edu/graduate/funding-tuition-awards","Open official source")</x:f>
        <x:v>HYPERLINK is not implemented. linkLocation=https://web.cs.toronto.edu/graduate/funding-tuition-awards, friendlyName=Open official source</x:v>
      </x:c>
      <x:c r="K133" s="27" t="str">
        <x:v>Reconsider only if direct official evidence materially improves the failed gate or application economics.</x:v>
      </x:c>
    </x:row>
    <x:row r="134" ht="46" customHeight="1">
      <x:c r="A134" s="27" t="str">
        <x:v>York University</x:v>
      </x:c>
      <x:c r="B134" s="27" t="str">
        <x:v>MASc in Electrical and Computer Engineering</x:v>
      </x:c>
      <x:c r="C134" s="27" t="str">
        <x:v>Pass 2 gated out</x:v>
      </x:c>
      <x:c r="D134" s="27" t="str">
        <x:v>Do Not Apply</x:v>
      </x:c>
      <x:c r="E134" s="27" t="str">
        <x:v>Funding remains conditional after claim-level review and does not support application spending now.</x:v>
      </x:c>
      <x:c r="F134" s="27" t="str">
        <x:v>Funding remains conditional or insufficient.</x:v>
      </x:c>
      <x:c r="G134" s="27" t="str">
        <x:v>Formal academic or international eligibility is unresolved or fails.</x:v>
      </x:c>
      <x:c r="H134" s="27" t="str"/>
      <x:c r="I134" s="27" t="str">
        <x:v>The fee or applicable waiver is high, unknown, or unverified.</x:v>
      </x:c>
      <x:c r="J134" s="30" t="e">
        <x:f>HYPERLINK("https://lassonde.yorku.ca/eecs/academics/financial-information-awards/","Open official source")</x:f>
        <x:v>HYPERLINK is not implemented. linkLocation=https://lassonde.yorku.ca/eecs/academics/financial-information-awards/, friendlyName=Open official source</x:v>
      </x:c>
      <x:c r="K134" s="27" t="str">
        <x:v>Reconsider only if direct official evidence materially improves the failed gate or application economics.</x:v>
      </x:c>
    </x:row>
    <x:row r="135" ht="46" customHeight="1">
      <x:c r="A135" s="27" t="str">
        <x:v>University of Nebraska-Lincoln</x:v>
      </x:c>
      <x:c r="B135" s="27" t="str">
        <x:v>Computer Science PhD</x:v>
      </x:c>
      <x:c r="C135" s="27" t="str">
        <x:v>Pass 2 gated out</x:v>
      </x:c>
      <x:c r="D135" s="27" t="str">
        <x:v>Do Not Apply</x:v>
      </x:c>
      <x:c r="E135" s="27" t="str">
        <x:v>Pass 2.1 does not justify application spending; unresolved or failed areas: funding, eligibility.</x:v>
      </x:c>
      <x:c r="F135" s="27" t="str">
        <x:v>Funding remains conditional or insufficient.</x:v>
      </x:c>
      <x:c r="G135" s="27" t="str">
        <x:v>Formal academic or international eligibility is unresolved or fails.</x:v>
      </x:c>
      <x:c r="H135" s="27" t="str"/>
      <x:c r="I135" s="27" t="str"/>
      <x:c r="J135" s="30" t="e">
        <x:f>HYPERLINK("https://graduate.unl.edu/academics/programs/COMP-PHD/","Open official source")</x:f>
        <x:v>HYPERLINK is not implemented. linkLocation=https://graduate.unl.edu/academics/programs/COMP-PHD/, friendlyName=Open official source</x:v>
      </x:c>
      <x:c r="K135" s="27" t="str">
        <x:v>Reconsider only if direct official evidence materially improves the failed gate or application economics.</x:v>
      </x:c>
    </x:row>
    <x:row r="136" ht="46" customHeight="1">
      <x:c r="A136" s="27" t="str">
        <x:v>Queen’s University</x:v>
      </x:c>
      <x:c r="B136" s="27" t="str">
        <x:v>MSc in Computing (research pattern)</x:v>
      </x:c>
      <x:c r="C136" s="27" t="str">
        <x:v>Pass 2 gated out</x:v>
      </x:c>
      <x:c r="D136" s="27" t="str">
        <x:v>Do Not Apply</x:v>
      </x:c>
      <x:c r="E136" s="27" t="str">
        <x:v>Pass 2.1 does not justify application spending; unresolved or failed areas: professor.</x:v>
      </x:c>
      <x:c r="F136" s="27" t="str"/>
      <x:c r="G136" s="27" t="str"/>
      <x:c r="H136" s="27" t="str">
        <x:v>The existing corpus does not establish sufficient program-level concentration in Mitch's areas.</x:v>
      </x:c>
      <x:c r="I136" s="27" t="str">
        <x:v>The fee or applicable waiver is high, unknown, or unverified.</x:v>
      </x:c>
      <x:c r="J136" s="30" t="e">
        <x:f>HYPERLINK("https://www.cs.queensu.ca/graduate/msc/patterns/research.php","Open official source")</x:f>
        <x:v>HYPERLINK is not implemented. linkLocation=https://www.cs.queensu.ca/graduate/msc/patterns/research.php, friendlyName=Open official source</x:v>
      </x:c>
      <x:c r="K136" s="27" t="str">
        <x:v>Reconsider only if direct official evidence materially improves the failed gate or application economics.</x:v>
      </x:c>
    </x:row>
    <x:row r="137" ht="46" customHeight="1">
      <x:c r="A137" s="27" t="str">
        <x:v>University of Calgary</x:v>
      </x:c>
      <x:c r="B137" s="27" t="str">
        <x:v>MSc in Computer Science (thesis)</x:v>
      </x:c>
      <x:c r="C137" s="27" t="str">
        <x:v>Pass 2 gated out</x:v>
      </x:c>
      <x:c r="D137" s="27" t="str">
        <x:v>Do Not Apply</x:v>
      </x:c>
      <x:c r="E137" s="27" t="str">
        <x:v>Pass 2.1 does not justify application spending; unresolved or failed areas: professor.</x:v>
      </x:c>
      <x:c r="F137" s="27" t="str"/>
      <x:c r="G137" s="27" t="str"/>
      <x:c r="H137" s="27" t="str">
        <x:v>The existing corpus does not establish sufficient program-level concentration in Mitch's areas.</x:v>
      </x:c>
      <x:c r="I137" s="27" t="str">
        <x:v>The fee or applicable waiver is high, unknown, or unverified.</x:v>
      </x:c>
      <x:c r="J137" s="30" t="e">
        <x:f>HYPERLINK("https://science.ucalgary.ca/computer-science/future-students/graduate/admission-requirements","Open official source")</x:f>
        <x:v>HYPERLINK is not implemented. linkLocation=https://science.ucalgary.ca/computer-science/future-students/graduate/admission-requirements, friendlyName=Open official source</x:v>
      </x:c>
      <x:c r="K137" s="27" t="str">
        <x:v>Reconsider only if direct official evidence materially improves the failed gate or application economics.</x:v>
      </x:c>
    </x:row>
    <x:row r="138" ht="46" customHeight="1">
      <x:c r="A138" s="27" t="str">
        <x:v>University of Waterloo</x:v>
      </x:c>
      <x:c r="B138" s="27" t="str">
        <x:v>MMath in Computer Science (thesis)</x:v>
      </x:c>
      <x:c r="C138" s="27" t="str">
        <x:v>Pass 2 gated out</x:v>
      </x:c>
      <x:c r="D138" s="27" t="str">
        <x:v>Do Not Apply</x:v>
      </x:c>
      <x:c r="E138" s="27" t="str">
        <x:v>Pass 2.1 does not justify application spending; unresolved or failed areas: professor.</x:v>
      </x:c>
      <x:c r="F138" s="27" t="str"/>
      <x:c r="G138" s="27" t="str"/>
      <x:c r="H138" s="27" t="str">
        <x:v>The existing corpus does not establish sufficient program-level concentration in Mitch's areas.</x:v>
      </x:c>
      <x:c r="I138" s="27" t="str">
        <x:v>The fee or applicable waiver is high, unknown, or unverified.</x:v>
      </x:c>
      <x:c r="J138" s="30" t="e">
        <x:f>HYPERLINK("https://uwaterloo.ca/computer-science/current-graduate-students/funding-and-awards","Open official source")</x:f>
        <x:v>HYPERLINK is not implemented. linkLocation=https://uwaterloo.ca/computer-science/current-graduate-students/funding-and-awards, friendlyName=Open official source</x:v>
      </x:c>
      <x:c r="K138" s="27" t="str">
        <x:v>Reconsider only if direct official evidence materially improves the failed gate or application economics.</x:v>
      </x:c>
    </x:row>
    <x:row r="139" ht="46" customHeight="1">
      <x:c r="A139" s="27" t="str">
        <x:v>University of British Columbia</x:v>
      </x:c>
      <x:c r="B139" s="27" t="str">
        <x:v>PhD Track via MSc</x:v>
      </x:c>
      <x:c r="C139" s="27" t="str">
        <x:v>Pass 2 gated out</x:v>
      </x:c>
      <x:c r="D139" s="27" t="str">
        <x:v>Do Not Apply</x:v>
      </x:c>
      <x:c r="E139" s="27" t="str">
        <x:v>Pass 2.1 does not justify application spending; unresolved or failed areas: professor.</x:v>
      </x:c>
      <x:c r="F139" s="27" t="str"/>
      <x:c r="G139" s="27" t="str"/>
      <x:c r="H139" s="27" t="str">
        <x:v>The existing corpus does not establish sufficient program-level concentration in Mitch's areas.</x:v>
      </x:c>
      <x:c r="I139" s="27" t="str">
        <x:v>The fee or applicable waiver is high, unknown, or unverified.</x:v>
      </x:c>
      <x:c r="J139" s="30" t="e">
        <x:f>HYPERLINK("https://www.cs.ubc.ca/students/grad/admissions","Open official source")</x:f>
        <x:v>HYPERLINK is not implemented. linkLocation=https://www.cs.ubc.ca/students/grad/admissions, friendlyName=Open official source</x:v>
      </x:c>
      <x:c r="K139" s="27" t="str">
        <x:v>Reconsider only if direct official evidence materially improves the failed gate or application economics.</x:v>
      </x:c>
    </x:row>
    <x:row r="140" ht="46" customHeight="1">
      <x:c r="A140" s="27" t="str">
        <x:v>ETH Zurich</x:v>
      </x:c>
      <x:c r="B140" s="27" t="str">
        <x:v>Direct Doctorate in Computer Science</x:v>
      </x:c>
      <x:c r="C140" s="27" t="str">
        <x:v>Pass 2 gated out</x:v>
      </x:c>
      <x:c r="D140" s="27" t="str">
        <x:v>Do Not Apply</x:v>
      </x:c>
      <x:c r="E140" s="27" t="str">
        <x:v>Funding remains conditional after claim-level review and does not support application spending now.</x:v>
      </x:c>
      <x:c r="F140" s="27" t="str">
        <x:v>Funding remains conditional or insufficient.</x:v>
      </x:c>
      <x:c r="G140" s="27" t="str"/>
      <x:c r="H140" s="27" t="str">
        <x:v>The existing corpus does not establish sufficient program-level concentration in Mitch's areas.</x:v>
      </x:c>
      <x:c r="I140" s="27" t="str">
        <x:v>The fee or applicable waiver is high, unknown, or unverified.</x:v>
      </x:c>
      <x:c r="J140" s="30" t="e">
        <x:f>HYPERLINK("https://ethz.ch/en/doctorate.html","Open official source")</x:f>
        <x:v>HYPERLINK is not implemented. linkLocation=https://ethz.ch/en/doctorate.html, friendlyName=Open official source</x:v>
      </x:c>
      <x:c r="K140" s="27" t="str">
        <x:v>Reconsider only if direct official evidence materially improves the failed gate or application economics.</x:v>
      </x:c>
    </x:row>
    <x:row r="141" ht="46" customHeight="1">
      <x:c r="A141" s="27" t="str">
        <x:v>University of Virginia-Main Campus</x:v>
      </x:c>
      <x:c r="B141" s="27" t="str">
        <x:v>Ph.D. in Computer Science</x:v>
      </x:c>
      <x:c r="C141" s="27" t="str">
        <x:v>Pass 2 gated out</x:v>
      </x:c>
      <x:c r="D141" s="27" t="str">
        <x:v>Do Not Apply</x:v>
      </x:c>
      <x:c r="E141" s="27" t="str">
        <x:v>Funding remains conditional after claim-level review and does not support application spending now.</x:v>
      </x:c>
      <x:c r="F141" s="27" t="str">
        <x:v>Funding remains conditional or insufficient.</x:v>
      </x:c>
      <x:c r="G141" s="27" t="str"/>
      <x:c r="H141" s="27" t="str">
        <x:v>The existing corpus does not establish sufficient program-level concentration in Mitch's areas.</x:v>
      </x:c>
      <x:c r="I141" s="27" t="str"/>
      <x:c r="J141" s="30" t="e">
        <x:f>HYPERLINK("https://engineering.virginia.edu/department/computer-science/academics/graduate-programs/phd-computer-science","Open official source")</x:f>
        <x:v>HYPERLINK is not implemented. linkLocation=https://engineering.virginia.edu/department/computer-science/academics/graduate-programs/phd-computer-science, friendlyName=Open official source</x:v>
      </x:c>
      <x:c r="K141" s="27" t="str">
        <x:v>Reconsider only if direct official evidence materially improves the failed gate or application economics.</x:v>
      </x:c>
    </x:row>
    <x:row r="142" ht="46" customHeight="1">
      <x:c r="A142" s="27" t="str">
        <x:v>University of Waterloo</x:v>
      </x:c>
      <x:c r="B142" s="27" t="str">
        <x:v>PhD in Computer Science (direct from bachelor's exception)</x:v>
      </x:c>
      <x:c r="C142" s="27" t="str">
        <x:v>Pass 2 gated out</x:v>
      </x:c>
      <x:c r="D142" s="27" t="str">
        <x:v>Do Not Apply</x:v>
      </x:c>
      <x:c r="E142" s="27" t="str">
        <x:v>Pass 2.1 does not justify application spending; unresolved or failed areas: professor.</x:v>
      </x:c>
      <x:c r="F142" s="27" t="str"/>
      <x:c r="G142" s="27" t="str"/>
      <x:c r="H142" s="27" t="str">
        <x:v>The existing corpus does not establish sufficient program-level concentration in Mitch's areas.</x:v>
      </x:c>
      <x:c r="I142" s="27" t="str">
        <x:v>The fee or applicable waiver is high, unknown, or unverified.</x:v>
      </x:c>
      <x:c r="J142" s="30" t="e">
        <x:f>HYPERLINK("https://uwaterloo.ca/computer-science/current-graduate-students/funding-and-awards","Open official source")</x:f>
        <x:v>HYPERLINK is not implemented. linkLocation=https://uwaterloo.ca/computer-science/current-graduate-students/funding-and-awards, friendlyName=Open official source</x:v>
      </x:c>
      <x:c r="K142" s="27" t="str">
        <x:v>Reconsider only if direct official evidence materially improves the failed gate or application economics.</x:v>
      </x:c>
    </x:row>
    <x:row r="143" ht="46" customHeight="1">
      <x:c r="A143" s="27" t="str">
        <x:v>Concordia University</x:v>
      </x:c>
      <x:c r="B143" s="27" t="str">
        <x:v>Master of Computer Science (thesis)</x:v>
      </x:c>
      <x:c r="C143" s="27" t="str">
        <x:v>Pass 2 gated out</x:v>
      </x:c>
      <x:c r="D143" s="27" t="str">
        <x:v>Do Not Apply</x:v>
      </x:c>
      <x:c r="E143" s="27" t="str">
        <x:v>Pass 2.1 does not justify application spending; unresolved or failed areas: funding, professor.</x:v>
      </x:c>
      <x:c r="F143" s="27" t="str">
        <x:v>Funding remains conditional or insufficient.</x:v>
      </x:c>
      <x:c r="G143" s="27" t="str"/>
      <x:c r="H143" s="27" t="str">
        <x:v>The existing corpus does not establish sufficient program-level concentration in Mitch's areas.</x:v>
      </x:c>
      <x:c r="I143" s="27" t="str"/>
      <x:c r="J143" s="30" t="e">
        <x:f>HYPERLINK("https://www.concordia.ca/academics/graduate/computer-science-mcompsc.html","Open official source")</x:f>
        <x:v>HYPERLINK is not implemented. linkLocation=https://www.concordia.ca/academics/graduate/computer-science-mcompsc.html, friendlyName=Open official source</x:v>
      </x:c>
      <x:c r="K143" s="27" t="str">
        <x:v>Reconsider only if direct official evidence materially improves the failed gate or application economics.</x:v>
      </x:c>
    </x:row>
    <x:row r="144" ht="46" customHeight="1">
      <x:c r="A144" s="27" t="str">
        <x:v>McGill University</x:v>
      </x:c>
      <x:c r="B144" s="27" t="str">
        <x:v>MSc in Computer Science (thesis)</x:v>
      </x:c>
      <x:c r="C144" s="27" t="str">
        <x:v>Pass 2 gated out</x:v>
      </x:c>
      <x:c r="D144" s="27" t="str">
        <x:v>Do Not Apply</x:v>
      </x:c>
      <x:c r="E144" s="27" t="str">
        <x:v>Pass 2.1 does not justify application spending; unresolved or failed areas: funding, professor.</x:v>
      </x:c>
      <x:c r="F144" s="27" t="str">
        <x:v>Funding remains conditional or insufficient.</x:v>
      </x:c>
      <x:c r="G144" s="27" t="str"/>
      <x:c r="H144" s="27" t="str">
        <x:v>The existing corpus does not establish sufficient program-level concentration in Mitch's areas.</x:v>
      </x:c>
      <x:c r="I144" s="27" t="str">
        <x:v>The fee or applicable waiver is high, unknown, or unverified.</x:v>
      </x:c>
      <x:c r="J144" s="30" t="e">
        <x:f>HYPERLINK("https://www.cs.mcgill.ca/graduate/future/faq/","Open official source")</x:f>
        <x:v>HYPERLINK is not implemented. linkLocation=https://www.cs.mcgill.ca/graduate/future/faq/, friendlyName=Open official source</x:v>
      </x:c>
      <x:c r="K144" s="27" t="str">
        <x:v>Reconsider only if direct official evidence materially improves the failed gate or application economics.</x:v>
      </x:c>
    </x:row>
    <x:row r="145" ht="46" customHeight="1">
      <x:c r="A145" s="27" t="str">
        <x:v>University of Calgary</x:v>
      </x:c>
      <x:c r="B145" s="27" t="str">
        <x:v>PhD in Computer Science (without completed MSc)</x:v>
      </x:c>
      <x:c r="C145" s="27" t="str">
        <x:v>Pass 2 gated out</x:v>
      </x:c>
      <x:c r="D145" s="27" t="str">
        <x:v>Conditional</x:v>
      </x:c>
      <x:c r="E145" s="27" t="str">
        <x:v>Do not apply until the fifth-year funding plan is documented.</x:v>
      </x:c>
      <x:c r="F145" s="27" t="str">
        <x:v>Duration-mismatch conditional funding</x:v>
      </x:c>
      <x:c r="G145" s="27" t="str">
        <x:v>Formal academic or international eligibility is unresolved or fails.</x:v>
      </x:c>
      <x:c r="H145" s="27" t="str">
        <x:v>The existing corpus does not establish sufficient program-level concentration in Mitch's areas.</x:v>
      </x:c>
      <x:c r="I145" s="27" t="str">
        <x:v>The fee or applicable waiver is high, unknown, or unverified.</x:v>
      </x:c>
      <x:c r="J145" s="30" t="e">
        <x:f>HYPERLINK("https://science.ucalgary.ca/computer-science/future-students/graduate/admission-requirements","Open official source")</x:f>
        <x:v>HYPERLINK is not implemented. linkLocation=https://science.ucalgary.ca/computer-science/future-students/graduate/admission-requirements, friendlyName=Open official source</x:v>
      </x:c>
      <x:c r="K145" s="27" t="str">
        <x:v>Will the department extend its four-year guaranteed minimum through the expected fifth year for a direct-from-bachelor PhD student?</x:v>
      </x:c>
    </x:row>
    <x:row r="146" ht="46" customHeight="1">
      <x:c r="A146" s="27" t="str">
        <x:v>University of Edinburgh</x:v>
      </x:c>
      <x:c r="B146" s="27" t="str">
        <x:v>PhD Informatics</x:v>
      </x:c>
      <x:c r="C146" s="27" t="str">
        <x:v>Pass 2 gated out</x:v>
      </x:c>
      <x:c r="D146" s="27" t="str">
        <x:v>Do Not Apply</x:v>
      </x:c>
      <x:c r="E146" s="27" t="str">
        <x:v>Pass 2.1 does not justify application spending; unresolved or failed areas: funding, professor.</x:v>
      </x:c>
      <x:c r="F146" s="27" t="str">
        <x:v>Funding remains conditional or insufficient.</x:v>
      </x:c>
      <x:c r="G146" s="27" t="str"/>
      <x:c r="H146" s="27" t="str">
        <x:v>The existing corpus does not establish sufficient program-level concentration in Mitch's areas.</x:v>
      </x:c>
      <x:c r="I146" s="27" t="str">
        <x:v>The fee or applicable waiver is high, unknown, or unverified.</x:v>
      </x:c>
      <x:c r="J146" s="30" t="e">
        <x:f>HYPERLINK("https://informatics.ed.ac.uk/study-with-us/our-degrees/postgraduate-research-and-cdts/postgraduate-research-funding-opportunities-0","Open official source")</x:f>
        <x:v>HYPERLINK is not implemented. linkLocation=https://informatics.ed.ac.uk/study-with-us/our-degrees/postgraduate-research-and-cdts/postgraduate-research-funding-opportunities-0, friendlyName=Open official source</x:v>
      </x:c>
      <x:c r="K146" s="27" t="str">
        <x:v>Reconsider only if direct official evidence materially improves the failed gate or application economics.</x:v>
      </x:c>
    </x:row>
    <x:row r="147" ht="46" customHeight="1">
      <x:c r="A147" s="27" t="str">
        <x:v>University of Saskatchewan</x:v>
      </x:c>
      <x:c r="B147" s="27" t="str">
        <x:v>MSc in Computer Science (thesis)</x:v>
      </x:c>
      <x:c r="C147" s="27" t="str">
        <x:v>Pass 2 gated out</x:v>
      </x:c>
      <x:c r="D147" s="27" t="str">
        <x:v>Do Not Apply</x:v>
      </x:c>
      <x:c r="E147" s="27" t="str">
        <x:v>Pass 2.1 does not justify application spending; unresolved or failed areas: funding, professor.</x:v>
      </x:c>
      <x:c r="F147" s="27" t="str">
        <x:v>Funding remains conditional or insufficient.</x:v>
      </x:c>
      <x:c r="G147" s="27" t="str"/>
      <x:c r="H147" s="27" t="str">
        <x:v>The existing corpus does not establish sufficient program-level concentration in Mitch's areas.</x:v>
      </x:c>
      <x:c r="I147" s="27" t="str">
        <x:v>The fee or applicable waiver is high, unknown, or unverified.</x:v>
      </x:c>
      <x:c r="J147" s="30" t="e">
        <x:f>HYPERLINK("https://grad.usask.ca/programs/computer-science.php","Open official source")</x:f>
        <x:v>HYPERLINK is not implemented. linkLocation=https://grad.usask.ca/programs/computer-science.php, friendlyName=Open official source</x:v>
      </x:c>
      <x:c r="K147" s="27" t="str">
        <x:v>Reconsider only if direct official evidence materially improves the failed gate or application economics.</x:v>
      </x:c>
    </x:row>
    <x:row r="148" ht="46" customHeight="1">
      <x:c r="A148" s="27" t="str">
        <x:v>University of Victoria</x:v>
      </x:c>
      <x:c r="B148" s="27" t="str">
        <x:v>MSc in Computer Science (thesis)</x:v>
      </x:c>
      <x:c r="C148" s="27" t="str">
        <x:v>Pass 2 gated out</x:v>
      </x:c>
      <x:c r="D148" s="27" t="str">
        <x:v>Do Not Apply</x:v>
      </x:c>
      <x:c r="E148" s="27" t="str">
        <x:v>Pass 2.1 does not justify application spending; unresolved or failed areas: funding, professor.</x:v>
      </x:c>
      <x:c r="F148" s="27" t="str">
        <x:v>Funding remains conditional or insufficient.</x:v>
      </x:c>
      <x:c r="G148" s="27" t="str"/>
      <x:c r="H148" s="27" t="str">
        <x:v>The existing corpus does not establish sufficient program-level concentration in Mitch's areas.</x:v>
      </x:c>
      <x:c r="I148" s="27" t="str">
        <x:v>The fee or applicable waiver is high, unknown, or unverified.</x:v>
      </x:c>
      <x:c r="J148" s="30" t="e">
        <x:f>HYPERLINK("https://www.uvic.ca/ecs/computerscience/programs/msc/index.php","Open official source")</x:f>
        <x:v>HYPERLINK is not implemented. linkLocation=https://www.uvic.ca/ecs/computerscience/programs/msc/index.php, friendlyName=Open official source</x:v>
      </x:c>
      <x:c r="K148" s="27" t="str">
        <x:v>Reconsider only if direct official evidence materially improves the failed gate or application economics.</x:v>
      </x:c>
    </x:row>
    <x:row r="149" ht="46" customHeight="1">
      <x:c r="A149" s="27" t="str">
        <x:v>Åbo Akademi University</x:v>
      </x:c>
      <x:c r="B149" s="27" t="str">
        <x:v>Erasmus Mundus Joint Master in Engineering of Data-intensive Intelligent Software Systems (EDISS)</x:v>
      </x:c>
      <x:c r="C149" s="27" t="str">
        <x:v>Pass 2 gated out</x:v>
      </x:c>
      <x:c r="D149" s="27" t="str">
        <x:v>Do Not Apply</x:v>
      </x:c>
      <x:c r="E149" s="27" t="str">
        <x:v>Funding remains conditional after claim-level review and does not support application spending now.</x:v>
      </x:c>
      <x:c r="F149" s="27" t="str">
        <x:v>Funding remains conditional or insufficient.</x:v>
      </x:c>
      <x:c r="G149" s="27" t="str"/>
      <x:c r="H149" s="27" t="str">
        <x:v>The existing corpus does not establish sufficient program-level concentration in Mitch's areas.</x:v>
      </x:c>
      <x:c r="I149" s="27" t="str">
        <x:v>The fee or applicable waiver is high, unknown, or unverified.</x:v>
      </x:c>
      <x:c r="J149" s="30" t="e">
        <x:f>HYPERLINK("https://www.master-ediss.eu/scholarship/","Open official source")</x:f>
        <x:v>HYPERLINK is not implemented. linkLocation=https://www.master-ediss.eu/scholarship/, friendlyName=Open official source</x:v>
      </x:c>
      <x:c r="K149" s="27" t="str">
        <x:v>Reconsider only if direct official evidence materially improves the failed gate or application economics.</x:v>
      </x:c>
    </x:row>
    <x:row r="150" ht="46" customHeight="1">
      <x:c r="A150" s="27" t="str">
        <x:v>Trinity College Dublin</x:v>
      </x:c>
      <x:c r="B150" s="27" t="str">
        <x:v>PhD in Computer Science and Statistics</x:v>
      </x:c>
      <x:c r="C150" s="27" t="str">
        <x:v>Pass 2 gated out</x:v>
      </x:c>
      <x:c r="D150" s="27" t="str">
        <x:v>Do Not Apply</x:v>
      </x:c>
      <x:c r="E150" s="27" t="str">
        <x:v>Pass 2.1 does not justify application spending; unresolved or failed areas: funding, professor.</x:v>
      </x:c>
      <x:c r="F150" s="27" t="str">
        <x:v>Funding remains conditional or insufficient.</x:v>
      </x:c>
      <x:c r="G150" s="27" t="str"/>
      <x:c r="H150" s="27" t="str">
        <x:v>The existing corpus does not establish sufficient program-level concentration in Mitch's areas.</x:v>
      </x:c>
      <x:c r="I150" s="27" t="str">
        <x:v>The fee or applicable waiver is high, unknown, or unverified.</x:v>
      </x:c>
      <x:c r="J150" s="30" t="e">
        <x:f>HYPERLINK("https://www.tcd.ie/courses/postgraduate/postgraduate-research/engineering-mathematics-and-science/school-of-computer-science-and-statistics/","Open official source")</x:f>
        <x:v>HYPERLINK is not implemented. linkLocation=https://www.tcd.ie/courses/postgraduate/postgraduate-research/engineering-mathematics-and-science/school-of-computer-science-and-statistics/, friendlyName=Open official source</x:v>
      </x:c>
      <x:c r="K150" s="27" t="str">
        <x:v>Reconsider only if direct official evidence materially improves the failed gate or application economics.</x:v>
      </x:c>
    </x:row>
    <x:row r="151" ht="46" customHeight="1">
      <x:c r="A151" s="27" t="str">
        <x:v>Saarland University</x:v>
      </x:c>
      <x:c r="B151" s="27" t="str">
        <x:v>Saarbrücken Graduate School of Computer Science</x:v>
      </x:c>
      <x:c r="C151" s="27" t="str">
        <x:v>Pass 2 gated out</x:v>
      </x:c>
      <x:c r="D151" s="27" t="str">
        <x:v>Do Not Apply</x:v>
      </x:c>
      <x:c r="E151" s="27" t="str">
        <x:v>Pass 2.1 does not justify application spending; unresolved or failed areas: funding, professor.</x:v>
      </x:c>
      <x:c r="F151" s="27" t="str">
        <x:v>Funding remains conditional or insufficient.</x:v>
      </x:c>
      <x:c r="G151" s="27" t="str"/>
      <x:c r="H151" s="27" t="str">
        <x:v>The existing corpus does not establish sufficient program-level concentration in Mitch's areas.</x:v>
      </x:c>
      <x:c r="I151" s="27" t="str">
        <x:v>The fee or applicable waiver is high, unknown, or unverified.</x:v>
      </x:c>
      <x:c r="J151" s="30" t="e">
        <x:f>HYPERLINK("https://www.uni-saarland.de/en/future/computerscience.html","Open official source")</x:f>
        <x:v>HYPERLINK is not implemented. linkLocation=https://www.uni-saarland.de/en/future/computerscience.html, friendlyName=Open official source</x:v>
      </x:c>
      <x:c r="K151" s="27" t="str">
        <x:v>Reconsider only if direct official evidence materially improves the failed gate or application economics.</x:v>
      </x:c>
    </x:row>
    <x:row r="152" ht="46" customHeight="1">
      <x:c r="A152" s="27" t="str">
        <x:v>University College London</x:v>
      </x:c>
      <x:c r="B152" s="27" t="str">
        <x:v>Computer Science MPhil/PhD</x:v>
      </x:c>
      <x:c r="C152" s="27" t="str">
        <x:v>Pass 2 gated out</x:v>
      </x:c>
      <x:c r="D152" s="27" t="str">
        <x:v>Do Not Apply</x:v>
      </x:c>
      <x:c r="E152" s="27" t="str">
        <x:v>Pass 2.1 does not justify application spending; unresolved or failed areas: funding, professor.</x:v>
      </x:c>
      <x:c r="F152" s="27" t="str">
        <x:v>Funding remains conditional or insufficient.</x:v>
      </x:c>
      <x:c r="G152" s="27" t="str"/>
      <x:c r="H152" s="27" t="str">
        <x:v>The existing corpus does not establish sufficient program-level concentration in Mitch's areas.</x:v>
      </x:c>
      <x:c r="I152" s="27" t="str">
        <x:v>The fee or applicable waiver is high, unknown, or unverified.</x:v>
      </x:c>
      <x:c r="J152" s="30" t="e">
        <x:f>HYPERLINK("https://www.ucl.ac.uk/study/prospective-students/graduate/courses/computer-science-mphilphd","Open official source")</x:f>
        <x:v>HYPERLINK is not implemented. linkLocation=https://www.ucl.ac.uk/study/prospective-students/graduate/courses/computer-science-mphilphd, friendlyName=Open official source</x:v>
      </x:c>
      <x:c r="K152" s="27" t="str">
        <x:v>Reconsider only if direct official evidence materially improves the failed gate or application economics.</x:v>
      </x:c>
    </x:row>
    <x:row r="153" ht="46" customHeight="1">
      <x:c r="A153" s="27" t="str">
        <x:v>University of Alberta</x:v>
      </x:c>
      <x:c r="B153" s="27" t="str">
        <x:v>MSc in Computing Science (thesis)</x:v>
      </x:c>
      <x:c r="C153" s="27" t="str">
        <x:v>Pass 2 gated out</x:v>
      </x:c>
      <x:c r="D153" s="27" t="str">
        <x:v>Do Not Apply</x:v>
      </x:c>
      <x:c r="E153" s="27" t="str">
        <x:v>Pass 2.1 does not justify application spending; unresolved or failed areas: funding, professor.</x:v>
      </x:c>
      <x:c r="F153" s="27" t="str">
        <x:v>Funding remains conditional or insufficient.</x:v>
      </x:c>
      <x:c r="G153" s="27" t="str"/>
      <x:c r="H153" s="27" t="str">
        <x:v>The existing corpus does not establish sufficient program-level concentration in Mitch's areas.</x:v>
      </x:c>
      <x:c r="I153" s="27" t="str">
        <x:v>The fee or applicable waiver is high, unknown, or unverified.</x:v>
      </x:c>
      <x:c r="J153" s="30" t="e">
        <x:f>HYPERLINK("https://www.ualberta.ca/en/admissions/media-library/ua_viewbook_graduate-studies_2026-27_web.pdf","Open official source")</x:f>
        <x:v>HYPERLINK is not implemented. linkLocation=https://www.ualberta.ca/en/admissions/media-library/ua_viewbook_graduate-studies_2026-27_web.pdf, friendlyName=Open official source</x:v>
      </x:c>
      <x:c r="K153" s="27" t="str">
        <x:v>Reconsider only if direct official evidence materially improves the failed gate or application economics.</x:v>
      </x:c>
    </x:row>
    <x:row r="154" ht="46" customHeight="1">
      <x:c r="A154" s="27" t="str">
        <x:v>University of Cambridge</x:v>
      </x:c>
      <x:c r="B154" s="27" t="str">
        <x:v>PhD in Computer Science</x:v>
      </x:c>
      <x:c r="C154" s="27" t="str">
        <x:v>Pass 2 gated out</x:v>
      </x:c>
      <x:c r="D154" s="27" t="str">
        <x:v>Do Not Apply</x:v>
      </x:c>
      <x:c r="E154" s="27" t="str">
        <x:v>Pass 2.1 does not justify application spending; unresolved or failed areas: funding, professor.</x:v>
      </x:c>
      <x:c r="F154" s="27" t="str">
        <x:v>Funding remains conditional or insufficient.</x:v>
      </x:c>
      <x:c r="G154" s="27" t="str"/>
      <x:c r="H154" s="27" t="str">
        <x:v>The existing corpus does not establish sufficient program-level concentration in Mitch's areas.</x:v>
      </x:c>
      <x:c r="I154" s="27" t="str">
        <x:v>The fee or applicable waiver is high, unknown, or unverified.</x:v>
      </x:c>
      <x:c r="J154" s="30" t="e">
        <x:f>HYPERLINK("https://www.cst.cam.ac.uk/admissions/phd","Open official source")</x:f>
        <x:v>HYPERLINK is not implemented. linkLocation=https://www.cst.cam.ac.uk/admissions/phd, friendlyName=Open official source</x:v>
      </x:c>
      <x:c r="K154" s="27" t="str">
        <x:v>Reconsider only if direct official evidence materially improves the failed gate or application economics.</x:v>
      </x:c>
    </x:row>
    <x:row r="155" ht="46" customHeight="1">
      <x:c r="A155" s="27" t="str">
        <x:v>University of Oxford</x:v>
      </x:c>
      <x:c r="B155" s="27" t="str">
        <x:v>DPhil in Computer Science</x:v>
      </x:c>
      <x:c r="C155" s="27" t="str">
        <x:v>Pass 2 gated out</x:v>
      </x:c>
      <x:c r="D155" s="27" t="str">
        <x:v>Do Not Apply</x:v>
      </x:c>
      <x:c r="E155" s="27" t="str">
        <x:v>Pass 2.1 does not justify application spending; unresolved or failed areas: funding, professor.</x:v>
      </x:c>
      <x:c r="F155" s="27" t="str">
        <x:v>Funding remains conditional or insufficient.</x:v>
      </x:c>
      <x:c r="G155" s="27" t="str"/>
      <x:c r="H155" s="27" t="str">
        <x:v>The existing corpus does not establish sufficient program-level concentration in Mitch's areas.</x:v>
      </x:c>
      <x:c r="I155" s="27" t="str">
        <x:v>The fee or applicable waiver is high, unknown, or unverified.</x:v>
      </x:c>
      <x:c r="J155" s="30" t="e">
        <x:f>HYPERLINK("https://www.ox.ac.uk/admissions/graduate/courses/dphil-computer-science","Open official source")</x:f>
        <x:v>HYPERLINK is not implemented. linkLocation=https://www.ox.ac.uk/admissions/graduate/courses/dphil-computer-science, friendlyName=Open official source</x:v>
      </x:c>
      <x:c r="K155" s="27" t="str">
        <x:v>Reconsider only if direct official evidence materially improves the failed gate or application economics.</x:v>
      </x:c>
    </x:row>
    <x:row r="156" ht="46" customHeight="1">
      <x:c r="A156" s="27" t="str">
        <x:v>Université de Hearst</x:v>
      </x:c>
      <x:c r="B156" s="27" t="str">
        <x:v>Institution-level exclusion audit; no exact recommended program</x:v>
      </x:c>
      <x:c r="C156" s="27" t="str">
        <x:v>unresolved_no_independent_positive</x:v>
      </x:c>
      <x:c r="D156" s="27" t="str">
        <x:v>Do Not Apply</x:v>
      </x:c>
      <x:c r="E156" s="27" t="str">
        <x:v>No independent positive signal was observed, but the original exclusion was a bounded mechanical screen rather than an exhaustive official-catalog finding.</x:v>
      </x:c>
      <x:c r="F156" s="27" t="str">
        <x:v>No exact research program with credible funding is verified.</x:v>
      </x:c>
      <x:c r="G156" s="27" t="str">
        <x:v>Exact program eligibility is not verified.</x:v>
      </x:c>
      <x:c r="H156" s="27" t="str">
        <x:v>No decision-ready program-level fit is verified.</x:v>
      </x:c>
      <x:c r="I156" s="27" t="str">
        <x:v>No application should be purchased without an exact viable program.</x:v>
      </x:c>
      <x:c r="J156" s="30" t="e">
        <x:f>HYPERLINK("https://uhearst.ca/programmes/nos-programmes-detudes/","Open official source")</x:f>
        <x:v>HYPERLINK is not implemented. linkLocation=https://uhearst.ca/programmes/nos-programmes-detudes/, friendlyName=Open official source</x:v>
      </x:c>
      <x:c r="K156" s="27" t="str">
        <x:v>Reconsider only if a specific research degree, eligibility route, funding package, and program-level fit are verified.</x:v>
      </x:c>
    </x:row>
    <x:row r="157" ht="46" customHeight="1">
      <x:c r="A157" s="27" t="str">
        <x:v>Vilnius College of Technologies and Design</x:v>
      </x:c>
      <x:c r="B157" s="27" t="str">
        <x:v>Institution-level exclusion audit; no exact recommended program</x:v>
      </x:c>
      <x:c r="C157" s="27" t="str">
        <x:v>unresolved_no_independent_positive</x:v>
      </x:c>
      <x:c r="D157" s="27" t="str">
        <x:v>Do Not Apply</x:v>
      </x:c>
      <x:c r="E157" s="27" t="str">
        <x:v>No independent positive signal was observed, but the original exclusion was a bounded mechanical screen rather than an exhaustive official-catalog finding.</x:v>
      </x:c>
      <x:c r="F157" s="27" t="str">
        <x:v>No exact research program with credible funding is verified.</x:v>
      </x:c>
      <x:c r="G157" s="27" t="str">
        <x:v>Exact program eligibility is not verified.</x:v>
      </x:c>
      <x:c r="H157" s="27" t="str">
        <x:v>No decision-ready program-level fit is verified.</x:v>
      </x:c>
      <x:c r="I157" s="27" t="str">
        <x:v>No application should be purchased without an exact viable program.</x:v>
      </x:c>
      <x:c r="J157" s="30" t="e">
        <x:f>HYPERLINK("http://www.vtdko.lt/en/","Open official source")</x:f>
        <x:v>HYPERLINK is not implemented. linkLocation=http://www.vtdko.lt/en/, friendlyName=Open official source</x:v>
      </x:c>
      <x:c r="K157" s="27" t="str">
        <x:v>Reconsider only if a specific research degree, eligibility route, funding package, and program-level fit are verified.</x:v>
      </x:c>
    </x:row>
    <x:row r="158" ht="46" customHeight="1">
      <x:c r="A158" s="27" t="str">
        <x:v>BI Norwegian Business School</x:v>
      </x:c>
      <x:c r="B158" s="27" t="str">
        <x:v>Institution-level exclusion audit; no exact recommended program</x:v>
      </x:c>
      <x:c r="C158" s="27" t="str">
        <x:v>reopen_in_funnel</x:v>
      </x:c>
      <x:c r="D158" s="27" t="str">
        <x:v>Do Not Apply</x:v>
      </x:c>
      <x:c r="E158" s="27" t="str">
        <x:v>An independent discovery path contradicts the bounded original screen; the institution now has a catalog-verification candidate and is not treated as a confirmed no-program result.</x:v>
      </x:c>
      <x:c r="F158" s="27" t="str">
        <x:v>No exact research program with credible funding is verified.</x:v>
      </x:c>
      <x:c r="G158" s="27" t="str">
        <x:v>Exact program eligibility is not verified.</x:v>
      </x:c>
      <x:c r="H158" s="27" t="str">
        <x:v>No decision-ready program-level fit is verified.</x:v>
      </x:c>
      <x:c r="I158" s="27" t="str">
        <x:v>No application should be purchased without an exact viable program.</x:v>
      </x:c>
      <x:c r="J158" s="30" t="e">
        <x:f>HYPERLINK("http://www.bi.edu/","Open official source")</x:f>
        <x:v>HYPERLINK is not implemented. linkLocation=http://www.bi.edu/, friendlyName=Open official source</x:v>
      </x:c>
      <x:c r="K158" s="27" t="str">
        <x:v>Reconsider only if a specific research degree, eligibility route, funding package, and program-level fit are verified.</x:v>
      </x:c>
    </x:row>
    <x:row r="159" ht="46" customHeight="1">
      <x:c r="A159" s="27" t="str">
        <x:v>University of Florence</x:v>
      </x:c>
      <x:c r="B159" s="27" t="str">
        <x:v>Institution-level exclusion audit; no exact recommended program</x:v>
      </x:c>
      <x:c r="C159" s="27" t="str">
        <x:v>unresolved_no_independent_positive</x:v>
      </x:c>
      <x:c r="D159" s="27" t="str">
        <x:v>Do Not Apply</x:v>
      </x:c>
      <x:c r="E159" s="27" t="str">
        <x:v>No independent positive signal was observed, but the original exclusion was a bounded mechanical screen rather than an exhaustive official-catalog finding.</x:v>
      </x:c>
      <x:c r="F159" s="27" t="str">
        <x:v>No exact research program with credible funding is verified.</x:v>
      </x:c>
      <x:c r="G159" s="27" t="str">
        <x:v>Exact program eligibility is not verified.</x:v>
      </x:c>
      <x:c r="H159" s="27" t="str">
        <x:v>No decision-ready program-level fit is verified.</x:v>
      </x:c>
      <x:c r="I159" s="27" t="str">
        <x:v>No application should be purchased without an exact viable program.</x:v>
      </x:c>
      <x:c r="J159" s="30" t="e">
        <x:f>HYPERLINK("https://www.unifi.it","Open official source")</x:f>
        <x:v>HYPERLINK is not implemented. linkLocation=https://www.unifi.it, friendlyName=Open official source</x:v>
      </x:c>
      <x:c r="K159" s="27" t="str">
        <x:v>Reconsider only if a specific research degree, eligibility route, funding package, and program-level fit are verified.</x:v>
      </x:c>
    </x:row>
    <x:row r="160" ht="46" customHeight="1">
      <x:c r="A160" s="27" t="str">
        <x:v>Bournemouth University</x:v>
      </x:c>
      <x:c r="B160" s="27" t="str">
        <x:v>Institution-level exclusion audit; no exact recommended program</x:v>
      </x:c>
      <x:c r="C160" s="27" t="str">
        <x:v>unresolved_no_independent_positive</x:v>
      </x:c>
      <x:c r="D160" s="27" t="str">
        <x:v>Do Not Apply</x:v>
      </x:c>
      <x:c r="E160" s="27" t="str">
        <x:v>No independent positive signal was observed, but the original exclusion was a bounded mechanical screen rather than an exhaustive official-catalog finding.</x:v>
      </x:c>
      <x:c r="F160" s="27" t="str">
        <x:v>No exact research program with credible funding is verified.</x:v>
      </x:c>
      <x:c r="G160" s="27" t="str">
        <x:v>Exact program eligibility is not verified.</x:v>
      </x:c>
      <x:c r="H160" s="27" t="str">
        <x:v>No decision-ready program-level fit is verified.</x:v>
      </x:c>
      <x:c r="I160" s="27" t="str">
        <x:v>No application should be purchased without an exact viable program.</x:v>
      </x:c>
      <x:c r="J160" s="30" t="e">
        <x:f>HYPERLINK("https://www.bournemouth.ac.uk","Open official source")</x:f>
        <x:v>HYPERLINK is not implemented. linkLocation=https://www.bournemouth.ac.uk, friendlyName=Open official source</x:v>
      </x:c>
      <x:c r="K160" s="27" t="str">
        <x:v>Reconsider only if a specific research degree, eligibility route, funding package, and program-level fit are verified.</x:v>
      </x:c>
    </x:row>
    <x:row r="161" ht="46" customHeight="1">
      <x:c r="A161" s="27" t="str">
        <x:v>University of Genoa</x:v>
      </x:c>
      <x:c r="B161" s="27" t="str">
        <x:v>Institution-level exclusion audit; no exact recommended program</x:v>
      </x:c>
      <x:c r="C161" s="27" t="str">
        <x:v>unresolved_no_independent_positive</x:v>
      </x:c>
      <x:c r="D161" s="27" t="str">
        <x:v>Do Not Apply</x:v>
      </x:c>
      <x:c r="E161" s="27" t="str">
        <x:v>No independent positive signal was observed, but the original exclusion was a bounded mechanical screen rather than an exhaustive official-catalog finding.</x:v>
      </x:c>
      <x:c r="F161" s="27" t="str">
        <x:v>No exact research program with credible funding is verified.</x:v>
      </x:c>
      <x:c r="G161" s="27" t="str">
        <x:v>Exact program eligibility is not verified.</x:v>
      </x:c>
      <x:c r="H161" s="27" t="str">
        <x:v>No decision-ready program-level fit is verified.</x:v>
      </x:c>
      <x:c r="I161" s="27" t="str">
        <x:v>No application should be purchased without an exact viable program.</x:v>
      </x:c>
      <x:c r="J161" s="30" t="e">
        <x:f>HYPERLINK("https://unige.it","Open official source")</x:f>
        <x:v>HYPERLINK is not implemented. linkLocation=https://unige.it, friendlyName=Open official source</x:v>
      </x:c>
      <x:c r="K161" s="27" t="str">
        <x:v>Reconsider only if a specific research degree, eligibility route, funding package, and program-level fit are verified.</x:v>
      </x:c>
    </x:row>
    <x:row r="162" ht="46" customHeight="1">
      <x:c r="A162" s="27" t="str">
        <x:v>University of Klagenfurt</x:v>
      </x:c>
      <x:c r="B162" s="27" t="str">
        <x:v>Institution-level exclusion audit; no exact recommended program</x:v>
      </x:c>
      <x:c r="C162" s="27" t="str">
        <x:v>unresolved_no_independent_positive</x:v>
      </x:c>
      <x:c r="D162" s="27" t="str">
        <x:v>Do Not Apply</x:v>
      </x:c>
      <x:c r="E162" s="27" t="str">
        <x:v>No independent positive signal was observed, but the original exclusion was a bounded mechanical screen rather than an exhaustive official-catalog finding.</x:v>
      </x:c>
      <x:c r="F162" s="27" t="str">
        <x:v>No exact research program with credible funding is verified.</x:v>
      </x:c>
      <x:c r="G162" s="27" t="str">
        <x:v>Exact program eligibility is not verified.</x:v>
      </x:c>
      <x:c r="H162" s="27" t="str">
        <x:v>No decision-ready program-level fit is verified.</x:v>
      </x:c>
      <x:c r="I162" s="27" t="str">
        <x:v>No application should be purchased without an exact viable program.</x:v>
      </x:c>
      <x:c r="J162" s="30" t="e">
        <x:f>HYPERLINK("https://www.aau.at","Open official source")</x:f>
        <x:v>HYPERLINK is not implemented. linkLocation=https://www.aau.at, friendlyName=Open official source</x:v>
      </x:c>
      <x:c r="K162" s="27" t="str">
        <x:v>Reconsider only if a specific research degree, eligibility route, funding package, and program-level fit are verified.</x:v>
      </x:c>
    </x:row>
    <x:row r="163" ht="46" customHeight="1">
      <x:c r="A163" s="27" t="str">
        <x:v>Tilburg University</x:v>
      </x:c>
      <x:c r="B163" s="27" t="str">
        <x:v>Institution-level exclusion audit; no exact recommended program</x:v>
      </x:c>
      <x:c r="C163" s="27" t="str">
        <x:v>reopen_in_funnel</x:v>
      </x:c>
      <x:c r="D163" s="27" t="str">
        <x:v>Do Not Apply</x:v>
      </x:c>
      <x:c r="E163" s="27" t="str">
        <x:v>An independent discovery path contradicts the bounded original screen; the institution now has a catalog-verification candidate and is not treated as a confirmed no-program result.</x:v>
      </x:c>
      <x:c r="F163" s="27" t="str">
        <x:v>No exact research program with credible funding is verified.</x:v>
      </x:c>
      <x:c r="G163" s="27" t="str">
        <x:v>Exact program eligibility is not verified.</x:v>
      </x:c>
      <x:c r="H163" s="27" t="str">
        <x:v>No decision-ready program-level fit is verified.</x:v>
      </x:c>
      <x:c r="I163" s="27" t="str">
        <x:v>No application should be purchased without an exact viable program.</x:v>
      </x:c>
      <x:c r="J163" s="30" t="e">
        <x:f>HYPERLINK("https://www.tilburguniversity.edu/","Open official source")</x:f>
        <x:v>HYPERLINK is not implemented. linkLocation=https://www.tilburguniversity.edu/, friendlyName=Open official source</x:v>
      </x:c>
      <x:c r="K163" s="27" t="str">
        <x:v>Reconsider only if a specific research degree, eligibility route, funding package, and program-level fit are verified.</x:v>
      </x:c>
    </x:row>
    <x:row r="164" ht="46" customHeight="1">
      <x:c r="A164" s="27" t="str">
        <x:v>Northumbria University</x:v>
      </x:c>
      <x:c r="B164" s="27" t="str">
        <x:v>Institution-level exclusion audit; no exact recommended program</x:v>
      </x:c>
      <x:c r="C164" s="27" t="str">
        <x:v>unresolved_no_independent_positive</x:v>
      </x:c>
      <x:c r="D164" s="27" t="str">
        <x:v>Do Not Apply</x:v>
      </x:c>
      <x:c r="E164" s="27" t="str">
        <x:v>No independent positive signal was observed, but the original exclusion was a bounded mechanical screen rather than an exhaustive official-catalog finding.</x:v>
      </x:c>
      <x:c r="F164" s="27" t="str">
        <x:v>No exact research program with credible funding is verified.</x:v>
      </x:c>
      <x:c r="G164" s="27" t="str">
        <x:v>Exact program eligibility is not verified.</x:v>
      </x:c>
      <x:c r="H164" s="27" t="str">
        <x:v>No decision-ready program-level fit is verified.</x:v>
      </x:c>
      <x:c r="I164" s="27" t="str">
        <x:v>No application should be purchased without an exact viable program.</x:v>
      </x:c>
      <x:c r="J164" s="30" t="e">
        <x:f>HYPERLINK("https://www.northumbria.ac.uk/","Open official source")</x:f>
        <x:v>HYPERLINK is not implemented. linkLocation=https://www.northumbria.ac.uk/, friendlyName=Open official source</x:v>
      </x:c>
      <x:c r="K164" s="27" t="str">
        <x:v>Reconsider only if a specific research degree, eligibility route, funding package, and program-level fit are verified.</x:v>
      </x:c>
    </x:row>
    <x:row r="165" ht="46" customHeight="1">
      <x:c r="A165" s="27" t="str">
        <x:v>Rollins College</x:v>
      </x:c>
      <x:c r="B165" s="27" t="str">
        <x:v>Institution-level exclusion audit; no exact recommended program</x:v>
      </x:c>
      <x:c r="C165" s="27" t="str">
        <x:v>unresolved_no_independent_positive</x:v>
      </x:c>
      <x:c r="D165" s="27" t="str">
        <x:v>Do Not Apply</x:v>
      </x:c>
      <x:c r="E165" s="27" t="str">
        <x:v>No independent positive signal was observed, but the original exclusion was a bounded mechanical screen rather than an exhaustive official-catalog finding.</x:v>
      </x:c>
      <x:c r="F165" s="27" t="str">
        <x:v>No exact research program with credible funding is verified.</x:v>
      </x:c>
      <x:c r="G165" s="27" t="str">
        <x:v>Exact program eligibility is not verified.</x:v>
      </x:c>
      <x:c r="H165" s="27" t="str">
        <x:v>No decision-ready program-level fit is verified.</x:v>
      </x:c>
      <x:c r="I165" s="27" t="str">
        <x:v>No application should be purchased without an exact viable program.</x:v>
      </x:c>
      <x:c r="J165" s="30" t="e">
        <x:f>HYPERLINK("https://nces.ed.gov/ipeds/datacenter/DataFiles.aspx","Open official source")</x:f>
        <x:v>HYPERLINK is not implemented. linkLocation=https://nces.ed.gov/ipeds/datacenter/DataFiles.aspx, friendlyName=Open official source</x:v>
      </x:c>
      <x:c r="K165" s="27" t="str">
        <x:v>Reconsider only if a specific research degree, eligibility route, funding package, and program-level fit are verified.</x:v>
      </x:c>
    </x:row>
    <x:row r="166" ht="46" customHeight="1">
      <x:c r="A166" s="27" t="str">
        <x:v>St. Francis College</x:v>
      </x:c>
      <x:c r="B166" s="27" t="str">
        <x:v>Institution-level exclusion audit; no exact recommended program</x:v>
      </x:c>
      <x:c r="C166" s="27" t="str">
        <x:v>reopen_in_funnel</x:v>
      </x:c>
      <x:c r="D166" s="27" t="str">
        <x:v>Do Not Apply</x:v>
      </x:c>
      <x:c r="E166" s="27" t="str">
        <x:v>An independent discovery path contradicts the bounded original screen; the institution now has a catalog-verification candidate and is not treated as a confirmed no-program result.</x:v>
      </x:c>
      <x:c r="F166" s="27" t="str">
        <x:v>No exact research program with credible funding is verified.</x:v>
      </x:c>
      <x:c r="G166" s="27" t="str">
        <x:v>Exact program eligibility is not verified.</x:v>
      </x:c>
      <x:c r="H166" s="27" t="str">
        <x:v>No decision-ready program-level fit is verified.</x:v>
      </x:c>
      <x:c r="I166" s="27" t="str">
        <x:v>No application should be purchased without an exact viable program.</x:v>
      </x:c>
      <x:c r="J166" s="30" t="e">
        <x:f>HYPERLINK("https://nces.ed.gov/ipeds/datacenter/DataFiles.aspx","Open official source")</x:f>
        <x:v>HYPERLINK is not implemented. linkLocation=https://nces.ed.gov/ipeds/datacenter/DataFiles.aspx, friendlyName=Open official source</x:v>
      </x:c>
      <x:c r="K166" s="27" t="str">
        <x:v>Reconsider only if a specific research degree, eligibility route, funding package, and program-level fit are verified.</x:v>
      </x:c>
    </x:row>
    <x:row r="167" ht="46" customHeight="1">
      <x:c r="A167" s="27" t="str">
        <x:v>Trine University</x:v>
      </x:c>
      <x:c r="B167" s="27" t="str">
        <x:v>Institution-level exclusion audit; no exact recommended program</x:v>
      </x:c>
      <x:c r="C167" s="27" t="str">
        <x:v>reopen_in_funnel</x:v>
      </x:c>
      <x:c r="D167" s="27" t="str">
        <x:v>Do Not Apply</x:v>
      </x:c>
      <x:c r="E167" s="27" t="str">
        <x:v>An independent discovery path contradicts the bounded original screen; the institution now has a catalog-verification candidate and is not treated as a confirmed no-program result.</x:v>
      </x:c>
      <x:c r="F167" s="27" t="str">
        <x:v>No exact research program with credible funding is verified.</x:v>
      </x:c>
      <x:c r="G167" s="27" t="str">
        <x:v>Exact program eligibility is not verified.</x:v>
      </x:c>
      <x:c r="H167" s="27" t="str">
        <x:v>No decision-ready program-level fit is verified.</x:v>
      </x:c>
      <x:c r="I167" s="27" t="str">
        <x:v>No application should be purchased without an exact viable program.</x:v>
      </x:c>
      <x:c r="J167" s="30" t="e">
        <x:f>HYPERLINK("https://nces.ed.gov/ipeds/datacenter/DataFiles.aspx","Open official source")</x:f>
        <x:v>HYPERLINK is not implemented. linkLocation=https://nces.ed.gov/ipeds/datacenter/DataFiles.aspx, friendlyName=Open official source</x:v>
      </x:c>
      <x:c r="K167" s="27" t="str">
        <x:v>Reconsider only if a specific research degree, eligibility route, funding package, and program-level fit are verified.</x:v>
      </x:c>
    </x:row>
    <x:row r="168" ht="46" customHeight="1">
      <x:c r="A168" s="27" t="str">
        <x:v>University of Indianapolis</x:v>
      </x:c>
      <x:c r="B168" s="27" t="str">
        <x:v>Institution-level exclusion audit; no exact recommended program</x:v>
      </x:c>
      <x:c r="C168" s="27" t="str">
        <x:v>unresolved_no_independent_positive</x:v>
      </x:c>
      <x:c r="D168" s="27" t="str">
        <x:v>Do Not Apply</x:v>
      </x:c>
      <x:c r="E168" s="27" t="str">
        <x:v>No independent positive signal was observed, but the original exclusion was a bounded mechanical screen rather than an exhaustive official-catalog finding.</x:v>
      </x:c>
      <x:c r="F168" s="27" t="str">
        <x:v>No exact research program with credible funding is verified.</x:v>
      </x:c>
      <x:c r="G168" s="27" t="str">
        <x:v>Exact program eligibility is not verified.</x:v>
      </x:c>
      <x:c r="H168" s="27" t="str">
        <x:v>No decision-ready program-level fit is verified.</x:v>
      </x:c>
      <x:c r="I168" s="27" t="str">
        <x:v>No application should be purchased without an exact viable program.</x:v>
      </x:c>
      <x:c r="J168" s="30" t="e">
        <x:f>HYPERLINK("https://nces.ed.gov/ipeds/datacenter/DataFiles.aspx","Open official source")</x:f>
        <x:v>HYPERLINK is not implemented. linkLocation=https://nces.ed.gov/ipeds/datacenter/DataFiles.aspx, friendlyName=Open official source</x:v>
      </x:c>
      <x:c r="K168" s="27" t="str">
        <x:v>Reconsider only if a specific research degree, eligibility route, funding package, and program-level fit are verified.</x:v>
      </x:c>
    </x:row>
    <x:row r="169" ht="46" customHeight="1">
      <x:c r="A169" s="27" t="str">
        <x:v>Vanguard University of Southern California</x:v>
      </x:c>
      <x:c r="B169" s="27" t="str">
        <x:v>Institution-level exclusion audit; no exact recommended program</x:v>
      </x:c>
      <x:c r="C169" s="27" t="str">
        <x:v>unresolved_no_independent_positive</x:v>
      </x:c>
      <x:c r="D169" s="27" t="str">
        <x:v>Do Not Apply</x:v>
      </x:c>
      <x:c r="E169" s="27" t="str">
        <x:v>No independent positive signal was observed, but the original exclusion was a bounded mechanical screen rather than an exhaustive official-catalog finding.</x:v>
      </x:c>
      <x:c r="F169" s="27" t="str">
        <x:v>No exact research program with credible funding is verified.</x:v>
      </x:c>
      <x:c r="G169" s="27" t="str">
        <x:v>Exact program eligibility is not verified.</x:v>
      </x:c>
      <x:c r="H169" s="27" t="str">
        <x:v>No decision-ready program-level fit is verified.</x:v>
      </x:c>
      <x:c r="I169" s="27" t="str">
        <x:v>No application should be purchased without an exact viable program.</x:v>
      </x:c>
      <x:c r="J169" s="30" t="e">
        <x:f>HYPERLINK("https://nces.ed.gov/ipeds/datacenter/DataFiles.aspx","Open official source")</x:f>
        <x:v>HYPERLINK is not implemented. linkLocation=https://nces.ed.gov/ipeds/datacenter/DataFiles.aspx, friendlyName=Open official source</x:v>
      </x:c>
      <x:c r="K169" s="27" t="str">
        <x:v>Reconsider only if a specific research degree, eligibility route, funding package, and program-level fit are verified.</x:v>
      </x:c>
    </x:row>
    <x:row r="170" ht="46" customHeight="1">
      <x:c r="A170" s="27" t="str">
        <x:v>University of Arkansas for Medical Sciences</x:v>
      </x:c>
      <x:c r="B170" s="27" t="str">
        <x:v>Institution-level exclusion audit; no exact recommended program</x:v>
      </x:c>
      <x:c r="C170" s="27" t="str">
        <x:v>unresolved_no_independent_positive</x:v>
      </x:c>
      <x:c r="D170" s="27" t="str">
        <x:v>Do Not Apply</x:v>
      </x:c>
      <x:c r="E170" s="27" t="str">
        <x:v>No independent positive signal was observed, but the original exclusion was a bounded mechanical screen rather than an exhaustive official-catalog finding.</x:v>
      </x:c>
      <x:c r="F170" s="27" t="str">
        <x:v>No exact research program with credible funding is verified.</x:v>
      </x:c>
      <x:c r="G170" s="27" t="str">
        <x:v>Exact program eligibility is not verified.</x:v>
      </x:c>
      <x:c r="H170" s="27" t="str">
        <x:v>No decision-ready program-level fit is verified.</x:v>
      </x:c>
      <x:c r="I170" s="27" t="str">
        <x:v>No application should be purchased without an exact viable program.</x:v>
      </x:c>
      <x:c r="J170" s="30" t="e">
        <x:f>HYPERLINK("https://nces.ed.gov/ipeds/datacenter/DataFiles.aspx","Open official source")</x:f>
        <x:v>HYPERLINK is not implemented. linkLocation=https://nces.ed.gov/ipeds/datacenter/DataFiles.aspx, friendlyName=Open official source</x:v>
      </x:c>
      <x:c r="K170" s="27" t="str">
        <x:v>Reconsider only if a specific research degree, eligibility route, funding package, and program-level fit are verified.</x:v>
      </x:c>
    </x:row>
    <x:row r="171" ht="46" customHeight="1">
      <x:c r="A171" s="27" t="str">
        <x:v>Austin Peay State University</x:v>
      </x:c>
      <x:c r="B171" s="27" t="str">
        <x:v>Institution-level exclusion audit; no exact recommended program</x:v>
      </x:c>
      <x:c r="C171" s="27" t="str">
        <x:v>unresolved_no_independent_positive</x:v>
      </x:c>
      <x:c r="D171" s="27" t="str">
        <x:v>Do Not Apply</x:v>
      </x:c>
      <x:c r="E171" s="27" t="str">
        <x:v>No independent positive signal was observed, but the original exclusion was a bounded mechanical screen rather than an exhaustive official-catalog finding.</x:v>
      </x:c>
      <x:c r="F171" s="27" t="str">
        <x:v>No exact research program with credible funding is verified.</x:v>
      </x:c>
      <x:c r="G171" s="27" t="str">
        <x:v>Exact program eligibility is not verified.</x:v>
      </x:c>
      <x:c r="H171" s="27" t="str">
        <x:v>No decision-ready program-level fit is verified.</x:v>
      </x:c>
      <x:c r="I171" s="27" t="str">
        <x:v>No application should be purchased without an exact viable program.</x:v>
      </x:c>
      <x:c r="J171" s="30" t="e">
        <x:f>HYPERLINK("https://nces.ed.gov/ipeds/datacenter/DataFiles.aspx","Open official source")</x:f>
        <x:v>HYPERLINK is not implemented. linkLocation=https://nces.ed.gov/ipeds/datacenter/DataFiles.aspx, friendlyName=Open official source</x:v>
      </x:c>
      <x:c r="K171" s="27" t="str">
        <x:v>Reconsider only if a specific research degree, eligibility route, funding package, and program-level fit are verified.</x:v>
      </x:c>
    </x:row>
    <x:row r="172" ht="46" customHeight="1">
      <x:c r="A172" s="28" t="str">
        <x:v>University of North Texas Health Science Center</x:v>
      </x:c>
      <x:c r="B172" s="28" t="str">
        <x:v>Institution-level exclusion audit; no exact recommended program</x:v>
      </x:c>
      <x:c r="C172" s="28" t="str">
        <x:v>unresolved_no_independent_positive</x:v>
      </x:c>
      <x:c r="D172" s="28" t="str">
        <x:v>Do Not Apply</x:v>
      </x:c>
      <x:c r="E172" s="28" t="str">
        <x:v>No independent positive signal was observed, but the original exclusion was a bounded mechanical screen rather than an exhaustive official-catalog finding.</x:v>
      </x:c>
      <x:c r="F172" s="28" t="str">
        <x:v>No exact research program with credible funding is verified.</x:v>
      </x:c>
      <x:c r="G172" s="28" t="str">
        <x:v>Exact program eligibility is not verified.</x:v>
      </x:c>
      <x:c r="H172" s="28" t="str">
        <x:v>No decision-ready program-level fit is verified.</x:v>
      </x:c>
      <x:c r="I172" s="28" t="str">
        <x:v>No application should be purchased without an exact viable program.</x:v>
      </x:c>
      <x:c r="J172" s="31" t="e">
        <x:f>HYPERLINK("https://nces.ed.gov/ipeds/datacenter/DataFiles.aspx","Open official source")</x:f>
        <x:v>HYPERLINK is not implemented. linkLocation=https://nces.ed.gov/ipeds/datacenter/DataFiles.aspx, friendlyName=Open official source</x:v>
      </x:c>
      <x:c r="K172" s="28" t="str">
        <x:v>Reconsider only if a specific research degree, eligibility route, funding package, and program-level fit are verified.</x:v>
      </x:c>
    </x:row>
  </x:sheetData>
  <x:conditionalFormatting sqref="D5:D172">
    <x:cfRule type="containsText" dxfId="6" priority="1" operator="containsText" text="Conditional"/>
    <x:cfRule type="containsText" dxfId="7" priority="2" operator="containsText" text="Do Not Apply"/>
    <x:cfRule type="containsText" dxfId="8" priority="3" operator="containsText" text="Strongest"/>
  </x:conditionalFormatting>
  <x:pageMargins left="0.7" right="0.7" top="0.75" bottom="0.75" header="0.3" footer="0.3"/>
  <x:tableParts count="1">
    <x:tablePart xmlns:r="http://schemas.openxmlformats.org/officeDocument/2006/relationships" r:id="R1d917686e24a433b"/>
  </x:tableParts>
</x:worksheet>
</file>

<file path=xl/worksheets/sheet4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24" hidden="0" customWidth="1"/>
    <x:col min="3" max="3" width="24" hidden="0" customWidth="1"/>
    <x:col min="4" max="4" width="34" hidden="0" customWidth="1"/>
    <x:col min="5" max="5" width="14" hidden="0" customWidth="1"/>
    <x:col min="6" max="6" width="24" hidden="0" customWidth="1"/>
    <x:col min="7" max="7" width="34" hidden="0" customWidth="1"/>
    <x:col min="8" max="8" width="34" hidden="0" customWidth="1"/>
    <x:col min="9" max="9" width="17" hidden="0" customWidth="1"/>
  </x:cols>
  <x:sheetData>
    <x:row r="2" ht="25" customHeight="1">
      <x:c r="A2" s="3" t="str">
        <x:v>Decision-Changing Open Questions</x:v>
      </x:c>
      <x:c r="B2" s="3"/>
      <x:c r="C2" s="3"/>
      <x:c r="D2" s="3"/>
      <x:c r="E2" s="3"/>
      <x:c r="F2" s="3"/>
      <x:c r="G2" s="3"/>
      <x:c r="H2" s="3"/>
      <x:c r="I2" s="3"/>
    </x:row>
    <x:row r="3" ht="20" customHeight="1">
      <x:c r="A3" s="4" t="str">
        <x:v>Only questions that could change an application decision are listed. No outreach drafts or professor-tracking fields are included.</x:v>
      </x:c>
      <x:c r="B3" s="4"/>
      <x:c r="C3" s="4"/>
      <x:c r="D3" s="4"/>
      <x:c r="E3" s="4"/>
      <x:c r="F3" s="4"/>
      <x:c r="G3" s="4"/>
      <x:c r="H3" s="4"/>
      <x:c r="I3" s="4"/>
    </x:row>
    <x:row r="4" ht="42" customHeight="1">
      <x:c r="A4" s="16" t="str">
        <x:v>Priority</x:v>
      </x:c>
      <x:c r="B4" s="17" t="str">
        <x:v>University</x:v>
      </x:c>
      <x:c r="C4" s="17" t="str">
        <x:v>Program</x:v>
      </x:c>
      <x:c r="D4" s="17" t="str">
        <x:v>Question</x:v>
      </x:c>
      <x:c r="E4" s="17" t="str">
        <x:v>Correct Recipient Type</x:v>
      </x:c>
      <x:c r="F4" s="17" t="str">
        <x:v>Official Contact</x:v>
      </x:c>
      <x:c r="G4" s="17" t="str">
        <x:v>Why the Answer Matters</x:v>
      </x:c>
      <x:c r="H4" s="17" t="str">
        <x:v>Current Decision Without Reply</x:v>
      </x:c>
      <x:c r="I4" s="18" t="str">
        <x:v>Evidence URL</x:v>
      </x:c>
    </x:row>
    <x:row r="5" ht="46" customHeight="1">
      <x:c r="A5" s="26" t="n">
        <x:v>1</x:v>
      </x:c>
      <x:c r="B5" s="26" t="str">
        <x:v>University of Illinois Chicago</x:v>
      </x:c>
      <x:c r="C5" s="26" t="str">
        <x:v>PhD in Computer Science</x:v>
      </x:c>
      <x:c r="D5" s="26" t="str">
        <x:v>Does Mitch's exact final-60-semester-hour GPA meet UIC's 3.50 requirement, and will the Fall 2027 fee reduction recur?</x:v>
      </x:c>
      <x:c r="E5" s="26" t="str">
        <x:v>Graduate admissions/program admissions</x:v>
      </x:c>
      <x:c r="F5" s="26" t="str">
        <x:v>csgrad@uic.edu</x:v>
      </x:c>
      <x:c r="G5" s="26" t="str">
        <x:v>A transcript calculation determines formal eligibility; the 2027 fee policy changes the application cost by $80.</x:v>
      </x:c>
      <x:c r="H5" s="26" t="str">
        <x:v>Do not apply until the final-60 GPA is calculated and the cycle fee is published.</x:v>
      </x:c>
      <x:c r="I5" s="29" t="e">
        <x:f>HYPERLINK("https://cs.uic.edu/graduate/admissions/phd/","Open official source")</x:f>
        <x:v>HYPERLINK is not implemented. linkLocation=https://cs.uic.edu/graduate/admissions/phd/, friendlyName=Open official source</x:v>
      </x:c>
    </x:row>
    <x:row r="6" ht="46" customHeight="1">
      <x:c r="A6" s="27" t="n">
        <x:v>2</x:v>
      </x:c>
      <x:c r="B6" s="27" t="str">
        <x:v>William &amp; Mary</x:v>
      </x:c>
      <x:c r="C6" s="27" t="str">
        <x:v>Computer Science PhD</x:v>
      </x:c>
      <x:c r="D6" s="27" t="str">
        <x:v>Does every Fall 2027 Computer Science PhD admit receive a multi-year stipend and full tuition waiver, or can admission be offered without support?</x:v>
      </x:c>
      <x:c r="E6" s="27" t="str">
        <x:v>Graduate program administrator</x:v>
      </x:c>
      <x:c r="F6" s="27" t="str">
        <x:v>gradinfo@cs.wm.edu</x:v>
      </x:c>
      <x:c r="G6" s="27" t="str">
        <x:v>Current school-wide language says support may be included, which conflicts with the earlier all-admitted claim.</x:v>
      </x:c>
      <x:c r="H6" s="27" t="str">
        <x:v>Do not spend the fee until the funded-admit rule and duration are confirmed.</x:v>
      </x:c>
      <x:c r="I6" s="30" t="e">
        <x:f>HYPERLINK("https://cdsp.wm.edu/admissions/graduate/","Open official source")</x:f>
        <x:v>HYPERLINK is not implemented. linkLocation=https://cdsp.wm.edu/admissions/graduate/, friendlyName=Open official source</x:v>
      </x:c>
    </x:row>
    <x:row r="7" ht="46" customHeight="1">
      <x:c r="A7" s="27" t="n">
        <x:v>3</x:v>
      </x:c>
      <x:c r="B7" s="27" t="str">
        <x:v>Rensselaer Polytechnic Institute</x:v>
      </x:c>
      <x:c r="C7" s="27" t="str">
        <x:v>Ph.D. in Computer Science</x:v>
      </x:c>
      <x:c r="D7" s="27" t="str">
        <x:v>Is full tuition-and-stipend support guaranteed to every Fall 2027 Computer Science PhD admit for the full degree?</x:v>
      </x:c>
      <x:c r="E7" s="27" t="str">
        <x:v>Computer Science graduate program</x:v>
      </x:c>
      <x:c r="F7" s="27" t="str">
        <x:v>Computer Science graduate admissions</x:v>
      </x:c>
      <x:c r="G7" s="27" t="str">
        <x:v>The page describes support for most students and a duration guarantee without proving that every admit starts funded.</x:v>
      </x:c>
      <x:c r="H7" s="27" t="str">
        <x:v>Do not apply until universal or standard funded-admit treatment is confirmed.</x:v>
      </x:c>
      <x:c r="I7" s="30" t="e">
        <x:f>HYPERLINK("https://compsci.rpi.edu/programs/phd-computer-science","Open official source")</x:f>
        <x:v>HYPERLINK is not implemented. linkLocation=https://compsci.rpi.edu/programs/phd-computer-science, friendlyName=Open official source</x:v>
      </x:c>
    </x:row>
    <x:row r="8" ht="46" customHeight="1">
      <x:c r="A8" s="27" t="n">
        <x:v>4</x:v>
      </x:c>
      <x:c r="B8" s="27" t="str">
        <x:v>McMaster University</x:v>
      </x:c>
      <x:c r="C8" s="27" t="str">
        <x:v>Master of Applied Science in Software Engineering</x:v>
      </x:c>
      <x:c r="D8" s="27" t="str">
        <x:v>What two-year package would a willing supervisor guarantee after international tuition and supplementary fees?</x:v>
      </x:c>
      <x:c r="E8" s="27" t="str">
        <x:v>Potential supervisor or program graduate administrator</x:v>
      </x:c>
      <x:c r="F8" s="27" t="str">
        <x:v>Computing and Software graduate admissions</x:v>
      </x:c>
      <x:c r="G8" s="27" t="str">
        <x:v>The MASc is research-based and funded in principle, but net international viability depends on the supervisor package.</x:v>
      </x:c>
      <x:c r="H8" s="27" t="str">
        <x:v>Do not apply without a supervisor-level funding commitment.</x:v>
      </x:c>
      <x:c r="I8" s="30" t="e">
        <x:f>HYPERLINK("https://www.eng.mcmaster.ca/app/uploads/2024/03/Application_FAQ_Graduate_Computing-and-Software.pdf","Open official source")</x:f>
        <x:v>HYPERLINK is not implemented. linkLocation=https://www.eng.mcmaster.ca/app/uploads/2024/03/Application_FAQ_Graduate_Computing-and-Software.pdf, friendlyName=Open official source</x:v>
      </x:c>
    </x:row>
    <x:row r="9" ht="46" customHeight="1">
      <x:c r="A9" s="27" t="n">
        <x:v>5</x:v>
      </x:c>
      <x:c r="B9" s="27" t="str">
        <x:v>Simon Fraser University</x:v>
      </x:c>
      <x:c r="C9" s="27" t="str">
        <x:v>Master of Applied Science in Engineering Science</x:v>
      </x:c>
      <x:c r="D9" s="27" t="str">
        <x:v>What minimum two-year funding and tuition offset will a willing supervisor commit for an international MASc student?</x:v>
      </x:c>
      <x:c r="E9" s="27" t="str">
        <x:v>Potential supervisor</x:v>
      </x:c>
      <x:c r="F9" s="27" t="str">
        <x:v>Engineering Science graduate program</x:v>
      </x:c>
      <x:c r="G9" s="27" t="str">
        <x:v>Admission and support are supervisor-led, and published sources do not establish the net amount after international tuition.</x:v>
      </x:c>
      <x:c r="H9" s="27" t="str">
        <x:v>Do not apply until one supervisor confirms a viable package.</x:v>
      </x:c>
      <x:c r="I9" s="30" t="e">
        <x:f>HYPERLINK("https://www.sfu.ca/fas/study/future-graduates/programs/master-applied-science.html","Open official source")</x:f>
        <x:v>HYPERLINK is not implemented. linkLocation=https://www.sfu.ca/fas/study/future-graduates/programs/master-applied-science.html, friendlyName=Open official source</x:v>
      </x:c>
    </x:row>
    <x:row r="10" ht="46" customHeight="1">
      <x:c r="A10" s="27" t="n">
        <x:v>6</x:v>
      </x:c>
      <x:c r="B10" s="27" t="str">
        <x:v>University of Calgary</x:v>
      </x:c>
      <x:c r="C10" s="27" t="str">
        <x:v>PhD in Computer Science (without completed MSc)</x:v>
      </x:c>
      <x:c r="D10" s="27" t="str">
        <x:v>Will the department extend its four-year guaranteed minimum through the expected fifth year for a direct-from-bachelor PhD student?</x:v>
      </x:c>
      <x:c r="E10" s="27" t="str">
        <x:v>Computer Science graduate admissions</x:v>
      </x:c>
      <x:c r="F10" s="27" t="str">
        <x:v>Department graduate admissions</x:v>
      </x:c>
      <x:c r="G10" s="27" t="str">
        <x:v>The published funding duration is one year shorter than the expected direct-entry path.</x:v>
      </x:c>
      <x:c r="H10" s="27" t="str">
        <x:v>Do not apply until the fifth-year funding plan is documented.</x:v>
      </x:c>
      <x:c r="I10" s="30" t="e">
        <x:f>HYPERLINK("https://science.ucalgary.ca/computer-science/future-students/graduate/admission-requirements","Open official source")</x:f>
        <x:v>HYPERLINK is not implemented. linkLocation=https://science.ucalgary.ca/computer-science/future-students/graduate/admission-requirements, friendlyName=Open official source</x:v>
      </x:c>
    </x:row>
    <x:row r="11" ht="46" customHeight="1">
      <x:c r="A11" s="27" t="n">
        <x:v>7</x:v>
      </x:c>
      <x:c r="B11" s="27" t="str">
        <x:v>Trent University</x:v>
      </x:c>
      <x:c r="C11" s="27" t="str">
        <x:v>MSc in Applied Modelling and Quantitative Methods — Thesis Stream</x:v>
      </x:c>
      <x:c r="D11" s="27" t="str">
        <x:v>What guaranteed two-year amount remains after international tuition and fees for this thesis-stream MSc?</x:v>
      </x:c>
      <x:c r="E11" s="27" t="str">
        <x:v>Graduate program administrator</x:v>
      </x:c>
      <x:c r="F11" s="27" t="str">
        <x:v>Graduate Studies funding office</x:v>
      </x:c>
      <x:c r="G11" s="27" t="str">
        <x:v>A package is published, but the international tuition offset is limited and net viability is unresolved.</x:v>
      </x:c>
      <x:c r="H11" s="27" t="str">
        <x:v>Do not apply until the guaranteed net amount is confirmed.</x:v>
      </x:c>
      <x:c r="I11" s="30" t="e">
        <x:f>HYPERLINK("https://www.trentu.ca/graduatestudies/funding-tuition/funding","Open official source")</x:f>
        <x:v>HYPERLINK is not implemented. linkLocation=https://www.trentu.ca/graduatestudies/funding-tuition/funding, friendlyName=Open official source</x:v>
      </x:c>
    </x:row>
    <x:row r="12" ht="46" customHeight="1">
      <x:c r="A12" s="28" t="n">
        <x:v>8</x:v>
      </x:c>
      <x:c r="B12" s="28" t="str">
        <x:v>Portland State University</x:v>
      </x:c>
      <x:c r="C12" s="28" t="str">
        <x:v>Doctoral Degree in Computer Science (Ph.D.)</x:v>
      </x:c>
      <x:c r="D12" s="28" t="str">
        <x:v>Will a Fall 2027 offer guarantee renewable support after year one, including adequate insurance and summer coverage?</x:v>
      </x:c>
      <x:c r="E12" s="28" t="str">
        <x:v>Computer Science graduate program</x:v>
      </x:c>
      <x:c r="F12" s="28" t="str">
        <x:v>Computer Science graduate admissions</x:v>
      </x:c>
      <x:c r="G12" s="28" t="str">
        <x:v>The current evidence supports an initial package but not a financially viable multi-year PhD commitment.</x:v>
      </x:c>
      <x:c r="H12" s="28" t="str">
        <x:v>Do not apply until renewal terms are documented.</x:v>
      </x:c>
      <x:c r="I12" s="31" t="e">
        <x:f>HYPERLINK("https://web.cs.pdx.edu/phd-doctoral-degree-in-cs/","Open official source")</x:f>
        <x:v>HYPERLINK is not implemented. linkLocation=https://web.cs.pdx.edu/phd-doctoral-degree-in-cs/, friendlyName=Open official source</x:v>
      </x:c>
    </x:row>
  </x:sheetData>
  <x:conditionalFormatting sqref="H5:H12">
    <x:cfRule type="containsText" dxfId="9" priority="1" operator="containsText" text="Conditional"/>
    <x:cfRule type="containsText" dxfId="10" priority="2" operator="containsText" text="Do Not Apply"/>
    <x:cfRule type="containsText" dxfId="11" priority="3" operator="containsText" text="Strongest"/>
  </x:conditionalFormatting>
  <x:pageMargins left="0.7" right="0.7" top="0.75" bottom="0.75" header="0.3" footer="0.3"/>
  <x:tableParts count="1">
    <x:tablePart xmlns:r="http://schemas.openxmlformats.org/officeDocument/2006/relationships" r:id="R646a901fda5f46bb"/>
  </x:tableParts>
</x:worksheet>
</file>