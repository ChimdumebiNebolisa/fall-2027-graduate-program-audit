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d297358c7f94851" /></Relationships>
</file>

<file path=xl/workbook.xml><?xml version="1.0" encoding="utf-8"?>
<x:workbook xmlns:x="http://schemas.openxmlformats.org/spreadsheetml/2006/main">
  <x:sheets>
    <x:sheet xmlns:r="http://schemas.openxmlformats.org/officeDocument/2006/relationships" name="Coverage Dashboard" sheetId="1" r:id="R24181e828186469d"/>
    <x:sheet xmlns:r="http://schemas.openxmlformats.org/officeDocument/2006/relationships" name="School Summary" sheetId="2" r:id="R1461de0b24e641b1"/>
    <x:sheet xmlns:r="http://schemas.openxmlformats.org/officeDocument/2006/relationships" name="Schools &amp; Programs" sheetId="3" r:id="Rb6ce24f6984f4bf2"/>
    <x:sheet xmlns:r="http://schemas.openxmlformats.org/officeDocument/2006/relationships" name="Professor Outreach" sheetId="4" r:id="R1a4cd511d87547fc"/>
    <x:sheet xmlns:r="http://schemas.openxmlformats.org/officeDocument/2006/relationships" name="Department Admin Outreach" sheetId="5" r:id="Rb572e77f2afa4eb6"/>
    <x:sheet xmlns:r="http://schemas.openxmlformats.org/officeDocument/2006/relationships" name="This Weekend Outreach Queue" sheetId="6" r:id="R83b8ba794f434914"/>
    <x:sheet xmlns:r="http://schemas.openxmlformats.org/officeDocument/2006/relationships" name="Second-Wave Outreach" sheetId="7" r:id="R4e79021f81834b3b"/>
    <x:sheet xmlns:r="http://schemas.openxmlformats.org/officeDocument/2006/relationships" name="Screening &amp; Exclusions" sheetId="8" r:id="R792d346b164842c3"/>
    <x:sheet xmlns:r="http://schemas.openxmlformats.org/officeDocument/2006/relationships" name="Sources" sheetId="9" r:id="R0f0775e1a0ae49a8"/>
    <x:sheet xmlns:r="http://schemas.openxmlformats.org/officeDocument/2006/relationships" name="Outreach Drafts" sheetId="10" r:id="Rff02a6ff0660472c"/>
    <x:sheet xmlns:r="http://schemas.openxmlformats.org/officeDocument/2006/relationships" name="Methodology" sheetId="11" r:id="Re304ebd94b5147c3"/>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FFFFFF"/>
      <x:name val="Arial"/>
    </x:font>
    <x:font>
      <x:sz val="10"/>
      <x:color rgb="FF404040"/>
      <x:name val="Arial"/>
    </x:font>
    <x:font>
      <x:i/>
      <x:sz val="9"/>
      <x:color rgb="FF404040"/>
      <x:name val="Arial"/>
    </x:font>
    <x:font>
      <x:b/>
      <x:sz val="10"/>
      <x:color rgb="FFFFFFFF"/>
      <x:name val="Arial"/>
    </x:font>
    <x:font>
      <x:sz val="9"/>
      <x:name val="Arial"/>
    </x:font>
    <x:font>
      <x:sz val="9"/>
      <x:color rgb="FF0563C1"/>
      <x:name val="Arial"/>
    </x:font>
  </x:fonts>
  <x:fills count="6">
    <x:fill>
      <x:patternFill patternType="none"/>
    </x:fill>
    <x:fill>
      <x:patternFill patternType="gray125"/>
    </x:fill>
    <x:fill>
      <x:patternFill patternType="solid">
        <x:fgColor rgb="FF17365D"/>
      </x:patternFill>
    </x:fill>
    <x:fill>
      <x:patternFill patternType="solid">
        <x:fgColor rgb="FFDCE6F1"/>
      </x:patternFill>
    </x:fill>
    <x:fill>
      <x:patternFill patternType="solid">
        <x:fgColor rgb="FFE7E6E6"/>
      </x:patternFill>
    </x:fill>
    <x:fill>
      <x:patternFill patternType="solid">
        <x:fgColor rgb="FF087E8B"/>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5" fillId="0" borderId="0"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0" fontId="6"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b36911a4034385" /><Relationship Type="http://schemas.openxmlformats.org/officeDocument/2006/relationships/theme" Target="/xl/theme/theme1.xml" Id="R24293449775b4a9a" /><Relationship Type="http://schemas.openxmlformats.org/officeDocument/2006/relationships/sharedStrings" Target="/xl/sharedStrings.xml" Id="Rd862c6606c3f4793" /><Relationship Type="http://schemas.openxmlformats.org/officeDocument/2006/relationships/worksheet" Target="/xl/worksheets/sheet1.xml" Id="R24181e828186469d" /><Relationship Type="http://schemas.openxmlformats.org/officeDocument/2006/relationships/worksheet" Target="/xl/worksheets/sheet2.xml" Id="R1461de0b24e641b1" /><Relationship Type="http://schemas.openxmlformats.org/officeDocument/2006/relationships/worksheet" Target="/xl/worksheets/sheet3.xml" Id="Rb6ce24f6984f4bf2" /><Relationship Type="http://schemas.openxmlformats.org/officeDocument/2006/relationships/worksheet" Target="/xl/worksheets/sheet4.xml" Id="R1a4cd511d87547fc" /><Relationship Type="http://schemas.openxmlformats.org/officeDocument/2006/relationships/worksheet" Target="/xl/worksheets/sheet5.xml" Id="Rb572e77f2afa4eb6" /><Relationship Type="http://schemas.openxmlformats.org/officeDocument/2006/relationships/worksheet" Target="/xl/worksheets/sheet6.xml" Id="R83b8ba794f434914" /><Relationship Type="http://schemas.openxmlformats.org/officeDocument/2006/relationships/worksheet" Target="/xl/worksheets/sheet7.xml" Id="R4e79021f81834b3b" /><Relationship Type="http://schemas.openxmlformats.org/officeDocument/2006/relationships/worksheet" Target="/xl/worksheets/sheet8.xml" Id="R792d346b164842c3" /><Relationship Type="http://schemas.openxmlformats.org/officeDocument/2006/relationships/worksheet" Target="/xl/worksheets/sheet9.xml" Id="R0f0775e1a0ae49a8" /><Relationship Type="http://schemas.openxmlformats.org/officeDocument/2006/relationships/worksheet" Target="/xl/worksheets/sheet10.xml" Id="Rff02a6ff0660472c" /><Relationship Type="http://schemas.openxmlformats.org/officeDocument/2006/relationships/worksheet" Target="/xl/worksheets/sheet11.xml" Id="Re304ebd94b5147c3" /></Relationships>
</file>

<file path=xl/tables/table1.xml><?xml version="1.0" encoding="utf-8"?>
<x:table xmlns:x="http://schemas.openxmlformats.org/spreadsheetml/2006/main" id="1" name="P201CoverageDashboard" displayName="P201CoverageDashboard" ref="A4:C16" headerRowCount="1" totalsRowCount="0" totalsRowShown="0">
  <x:tableColumns count="3">
    <x:tableColumn id="1" name="Metric"/>
    <x:tableColumn id="2" name="Count"/>
    <x:tableColumn id="3" name="Interpretation"/>
  </x:tableColumns>
  <x:tableStyleInfo name="TableStyleMedium2" showFirstColumn="0" showLastColumn="0" showRowStripes="1" showColumnStripes="0"/>
</x:table>
</file>

<file path=xl/tables/table2.xml><?xml version="1.0" encoding="utf-8"?>
<x:table xmlns:x="http://schemas.openxmlformats.org/spreadsheetml/2006/main" id="2" name="P202SchoolSummary" displayName="P202SchoolSummary" ref="A4:R26" headerRowCount="1" totalsRowCount="0" totalsRowShown="0">
  <x:tableColumns count="18">
    <x:tableColumn id="1" name="Portfolio Status"/>
    <x:tableColumn id="2" name="Rank"/>
    <x:tableColumn id="3" name="Institution"/>
    <x:tableColumn id="4" name="Program"/>
    <x:tableColumn id="5" name="Degree"/>
    <x:tableColumn id="6" name="Region"/>
    <x:tableColumn id="7" name="Overall Score"/>
    <x:tableColumn id="8" name="Distinct Strong Professors"/>
    <x:tableColumn id="9" name="Single-Professor Dependency"/>
    <x:tableColumn id="10" name="Funding"/>
    <x:tableColumn id="11" name="Application Fee"/>
    <x:tableColumn id="12" name="Fee Currency"/>
    <x:tableColumn id="13" name="Deadline"/>
    <x:tableColumn id="14" name="Cycle Label"/>
    <x:tableColumn id="15" name="Evidence Completeness"/>
    <x:tableColumn id="16" name="Score Confidence"/>
    <x:tableColumn id="17" name="Unresolved Conflicts"/>
    <x:tableColumn id="18" name="Official Program URL"/>
  </x:tableColumns>
  <x:tableStyleInfo name="TableStyleMedium2" showFirstColumn="0" showLastColumn="0" showRowStripes="1" showColumnStripes="0"/>
</x:table>
</file>

<file path=xl/tables/table3.xml><?xml version="1.0" encoding="utf-8"?>
<x:table xmlns:x="http://schemas.openxmlformats.org/spreadsheetml/2006/main" id="3" name="P203SchoolsPrograms" displayName="P203SchoolsPrograms" ref="A4:Y170" headerRowCount="1" totalsRowCount="0" totalsRowShown="0">
  <x:tableColumns count="25">
    <x:tableColumn id="1" name="Portfolio Status"/>
    <x:tableColumn id="2" name="Evidence Rank"/>
    <x:tableColumn id="3" name="Institution"/>
    <x:tableColumn id="4" name="Country"/>
    <x:tableColumn id="5" name="Region"/>
    <x:tableColumn id="6" name="Program"/>
    <x:tableColumn id="7" name="Degree"/>
    <x:tableColumn id="8" name="Overall Score"/>
    <x:tableColumn id="9" name="Professor Score"/>
    <x:tableColumn id="10" name="Depth Score"/>
    <x:tableColumn id="11" name="Funding Score"/>
    <x:tableColumn id="12" name="Eligibility Score"/>
    <x:tableColumn id="13" name="Admissions Alignment"/>
    <x:tableColumn id="14" name="Economics Score"/>
    <x:tableColumn id="15" name="All Hard Gates Pass"/>
    <x:tableColumn id="16" name="Hard-Gate Failures"/>
    <x:tableColumn id="17" name="Distinct Strong Professors"/>
    <x:tableColumn id="18" name="Funding Status"/>
    <x:tableColumn id="19" name="Application Fee"/>
    <x:tableColumn id="20" name="Fee Currency"/>
    <x:tableColumn id="21" name="Admission Plausibility"/>
    <x:tableColumn id="22" name="Evidence Completeness"/>
    <x:tableColumn id="23" name="Score Confidence"/>
    <x:tableColumn id="24" name="Unresolved Conflicts"/>
    <x:tableColumn id="25" name="Official Program URL"/>
  </x:tableColumns>
  <x:tableStyleInfo name="TableStyleMedium2" showFirstColumn="0" showLastColumn="0" showRowStripes="1" showColumnStripes="0"/>
</x:table>
</file>

<file path=xl/tables/table4.xml><?xml version="1.0" encoding="utf-8"?>
<x:table xmlns:x="http://schemas.openxmlformats.org/spreadsheetml/2006/main" id="4" name="P204ProfessorOutreach" displayName="P204ProfessorOutreach" ref="A4:Q26" headerRowCount="1" totalsRowCount="0" totalsRowShown="0">
  <x:tableColumns count="17">
    <x:tableColumn id="1" name="Priority Rank"/>
    <x:tableColumn id="2" name="Wave"/>
    <x:tableColumn id="3" name="Portfolio Status"/>
    <x:tableColumn id="4" name="Institution"/>
    <x:tableColumn id="5" name="Program"/>
    <x:tableColumn id="6" name="Professor"/>
    <x:tableColumn id="7" name="Official Email"/>
    <x:tableColumn id="8" name="Research Match Score"/>
    <x:tableColumn id="9" name="Outreach Score"/>
    <x:tableColumn id="10" name="Fit Strength"/>
    <x:tableColumn id="11" name="Recruiting Status"/>
    <x:tableColumn id="12" name="Recruiting Evidence"/>
    <x:tableColumn id="13" name="Information Gap"/>
    <x:tableColumn id="14" name="Reply Could Change"/>
    <x:tableColumn id="15" name="Recommended Angle"/>
    <x:tableColumn id="16" name="Contact History"/>
    <x:tableColumn id="17" name="Faculty or Lab URL"/>
  </x:tableColumns>
  <x:tableStyleInfo name="TableStyleMedium2" showFirstColumn="0" showLastColumn="0" showRowStripes="1" showColumnStripes="0"/>
</x:table>
</file>

<file path=xl/tables/table5.xml><?xml version="1.0" encoding="utf-8"?>
<x:table xmlns:x="http://schemas.openxmlformats.org/spreadsheetml/2006/main" id="5" name="P205DepartmentAdminOut" displayName="P205DepartmentAdminOut" ref="A4:M10" headerRowCount="1" totalsRowCount="0" totalsRowShown="0">
  <x:tableColumns count="13">
    <x:tableColumn id="1" name="Priority Rank"/>
    <x:tableColumn id="2" name="Wave"/>
    <x:tableColumn id="3" name="Portfolio Status"/>
    <x:tableColumn id="4" name="Institution"/>
    <x:tableColumn id="5" name="Program"/>
    <x:tableColumn id="6" name="Office"/>
    <x:tableColumn id="7" name="Official Contact"/>
    <x:tableColumn id="8" name="Outreach Score"/>
    <x:tableColumn id="9" name="Information Gap"/>
    <x:tableColumn id="10" name="Reply Could Change"/>
    <x:tableColumn id="11" name="Recommended Angle"/>
    <x:tableColumn id="12" name="Contact History"/>
    <x:tableColumn id="13" name="Contact Source URL"/>
  </x:tableColumns>
  <x:tableStyleInfo name="TableStyleMedium2" showFirstColumn="0" showLastColumn="0" showRowStripes="1" showColumnStripes="0"/>
</x:table>
</file>

<file path=xl/tables/table6.xml><?xml version="1.0" encoding="utf-8"?>
<x:table xmlns:x="http://schemas.openxmlformats.org/spreadsheetml/2006/main" id="6" name="P206ThisWeekendOutreac" displayName="P206ThisWeekendOutreac" ref="A4:L16" headerRowCount="1" totalsRowCount="0" totalsRowShown="0">
  <x:tableColumns count="12">
    <x:tableColumn id="1" name="Priority Rank"/>
    <x:tableColumn id="2" name="Institution"/>
    <x:tableColumn id="3" name="Program"/>
    <x:tableColumn id="4" name="Recipient"/>
    <x:tableColumn id="5" name="Email"/>
    <x:tableColumn id="6" name="Outreach Score"/>
    <x:tableColumn id="7" name="Question"/>
    <x:tableColumn id="8" name="Information Gap"/>
    <x:tableColumn id="9" name="Draft Ready"/>
    <x:tableColumn id="10" name="Send Status"/>
    <x:tableColumn id="11" name="Contact History"/>
    <x:tableColumn id="12" name="Source URL"/>
  </x:tableColumns>
  <x:tableStyleInfo name="TableStyleMedium2" showFirstColumn="0" showLastColumn="0" showRowStripes="1" showColumnStripes="0"/>
</x:table>
</file>

<file path=xl/tables/table7.xml><?xml version="1.0" encoding="utf-8"?>
<x:table xmlns:x="http://schemas.openxmlformats.org/spreadsheetml/2006/main" id="7" name="P207SecondWaveOutreach" displayName="P207SecondWaveOutreach" ref="A4:L15" headerRowCount="1" totalsRowCount="0" totalsRowShown="0">
  <x:tableColumns count="12">
    <x:tableColumn id="1" name="Priority Rank"/>
    <x:tableColumn id="2" name="Institution"/>
    <x:tableColumn id="3" name="Program"/>
    <x:tableColumn id="4" name="Recipient"/>
    <x:tableColumn id="5" name="Email"/>
    <x:tableColumn id="6" name="Outreach Score"/>
    <x:tableColumn id="7" name="Question"/>
    <x:tableColumn id="8" name="Information Gap"/>
    <x:tableColumn id="9" name="Draft Ready"/>
    <x:tableColumn id="10" name="Send Status"/>
    <x:tableColumn id="11" name="Contact History"/>
    <x:tableColumn id="12" name="Source URL"/>
  </x:tableColumns>
  <x:tableStyleInfo name="TableStyleMedium2" showFirstColumn="0" showLastColumn="0" showRowStripes="1" showColumnStripes="0"/>
</x:table>
</file>

<file path=xl/tables/table8.xml><?xml version="1.0" encoding="utf-8"?>
<x:table xmlns:x="http://schemas.openxmlformats.org/spreadsheetml/2006/main" id="8" name="P208ScreeningExclusion" displayName="P208ScreeningExclusion" ref="A4:J1632" headerRowCount="1" totalsRowCount="0" totalsRowShown="0">
  <x:tableColumns count="10">
    <x:tableColumn id="1" name="Region"/>
    <x:tableColumn id="2" name="Institution"/>
    <x:tableColumn id="3" name="Program"/>
    <x:tableColumn id="4" name="Degree"/>
    <x:tableColumn id="5" name="Exclusion Category"/>
    <x:tableColumn id="6" name="Evidence-Backed Reason"/>
    <x:tableColumn id="7" name="Largest Unresolved Question"/>
    <x:tableColumn id="8" name="Source URLs"/>
    <x:tableColumn id="9" name="Independent Sample Result"/>
    <x:tableColumn id="10" name="Sample Risk"/>
  </x:tableColumns>
  <x:tableStyleInfo name="TableStyleMedium2" showFirstColumn="0" showLastColumn="0" showRowStripes="1" showColumnStripes="0"/>
</x:table>
</file>

<file path=xl/tables/table9.xml><?xml version="1.0" encoding="utf-8"?>
<x:table xmlns:x="http://schemas.openxmlformats.org/spreadsheetml/2006/main" id="9" name="P209Sources" displayName="P209Sources" ref="A4:P3600" headerRowCount="1" totalsRowCount="0" totalsRowShown="0">
  <x:tableColumns count="16">
    <x:tableColumn id="1" name="Source ID"/>
    <x:tableColumn id="2" name="Entity Type"/>
    <x:tableColumn id="3" name="Institution"/>
    <x:tableColumn id="4" name="Program ID"/>
    <x:tableColumn id="5" name="Professor ID"/>
    <x:tableColumn id="6" name="Claim Categories"/>
    <x:tableColumn id="7" name="Exact Claim Supported"/>
    <x:tableColumn id="8" name="Source Title"/>
    <x:tableColumn id="9" name="Publisher"/>
    <x:tableColumn id="10" name="Official / Secondary"/>
    <x:tableColumn id="11" name="Accessed"/>
    <x:tableColumn id="12" name="Cycle / Year"/>
    <x:tableColumn id="13" name="Confidence"/>
    <x:tableColumn id="14" name="Verification Status"/>
    <x:tableColumn id="15" name="Access Note"/>
    <x:tableColumn id="16" name="URL"/>
  </x:tableColumns>
  <x:tableStyleInfo name="TableStyleMedium2" showFirstColumn="0" showLastColumn="0" showRowStripes="1" showColumnStripes="0"/>
</x:table>
</file>

<file path=xl/tables/table10.xml><?xml version="1.0" encoding="utf-8"?>
<x:table xmlns:x="http://schemas.openxmlformats.org/spreadsheetml/2006/main" id="10" name="P210OutreachDrafts" displayName="P210OutreachDrafts" ref="A4:M16" headerRowCount="1" totalsRowCount="0" totalsRowShown="0">
  <x:tableColumns count="13">
    <x:tableColumn id="1" name="Priority Rank"/>
    <x:tableColumn id="2" name="Institution"/>
    <x:tableColumn id="3" name="Program"/>
    <x:tableColumn id="4" name="Recipient"/>
    <x:tableColumn id="5" name="Email"/>
    <x:tableColumn id="6" name="Subject"/>
    <x:tableColumn id="7" name="Personalization Anchor"/>
    <x:tableColumn id="8" name="Question"/>
    <x:tableColumn id="9" name="Draft Body"/>
    <x:tableColumn id="10" name="Manual Review"/>
    <x:tableColumn id="11" name="Draft Ready"/>
    <x:tableColumn id="12" name="Send Status"/>
    <x:tableColumn id="13" name="Personalization URL"/>
  </x:tableColumns>
  <x:tableStyleInfo name="TableStyleMedium2" showFirstColumn="0" showLastColumn="0" showRowStripes="1" showColumnStripes="0"/>
</x:table>
</file>

<file path=xl/tables/table11.xml><?xml version="1.0" encoding="utf-8"?>
<x:table xmlns:x="http://schemas.openxmlformats.org/spreadsheetml/2006/main" id="11" name="P211Methodology" displayName="P211Methodology" ref="A4:B16" headerRowCount="1" totalsRowCount="0" totalsRowShown="0">
  <x:tableColumns count="2">
    <x:tableColumn id="1" name="Topic"/>
    <x:tableColumn id="2" name="Method / Ru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fbbee174ef6489d" /></Relationships>
</file>

<file path=xl/worksheets/_rels/sheet2.xml.rels>&#65279;<?xml version="1.0" encoding="utf-8"?><Relationships xmlns="http://schemas.openxmlformats.org/package/2006/relationships"><Relationship Type="http://schemas.openxmlformats.org/officeDocument/2006/relationships/table" Target="/xl/tables/table2.xml" Id="R7da6bec53a5e4b32" /></Relationships>
</file>

<file path=xl/worksheets/_rels/sheet3.xml.rels>&#65279;<?xml version="1.0" encoding="utf-8"?><Relationships xmlns="http://schemas.openxmlformats.org/package/2006/relationships"><Relationship Type="http://schemas.openxmlformats.org/officeDocument/2006/relationships/table" Target="/xl/tables/table3.xml" Id="R39a6f6295b674f03" /></Relationships>
</file>

<file path=xl/worksheets/_rels/sheet4.xml.rels>&#65279;<?xml version="1.0" encoding="utf-8"?><Relationships xmlns="http://schemas.openxmlformats.org/package/2006/relationships"><Relationship Type="http://schemas.openxmlformats.org/officeDocument/2006/relationships/table" Target="/xl/tables/table4.xml" Id="R4458c7e0da5e4cdb" /></Relationships>
</file>

<file path=xl/worksheets/_rels/sheet5.xml.rels>&#65279;<?xml version="1.0" encoding="utf-8"?><Relationships xmlns="http://schemas.openxmlformats.org/package/2006/relationships"><Relationship Type="http://schemas.openxmlformats.org/officeDocument/2006/relationships/table" Target="/xl/tables/table5.xml" Id="R775d1be6a1364ae1" /></Relationships>
</file>

<file path=xl/worksheets/_rels/sheet6.xml.rels>&#65279;<?xml version="1.0" encoding="utf-8"?><Relationships xmlns="http://schemas.openxmlformats.org/package/2006/relationships"><Relationship Type="http://schemas.openxmlformats.org/officeDocument/2006/relationships/table" Target="/xl/tables/table6.xml" Id="R7fd2ddd711064498" /></Relationships>
</file>

<file path=xl/worksheets/_rels/sheet7.xml.rels>&#65279;<?xml version="1.0" encoding="utf-8"?><Relationships xmlns="http://schemas.openxmlformats.org/package/2006/relationships"><Relationship Type="http://schemas.openxmlformats.org/officeDocument/2006/relationships/table" Target="/xl/tables/table7.xml" Id="Rb0b5665ba9694521" /></Relationships>
</file>

<file path=xl/worksheets/_rels/sheet8.xml.rels>&#65279;<?xml version="1.0" encoding="utf-8"?><Relationships xmlns="http://schemas.openxmlformats.org/package/2006/relationships"><Relationship Type="http://schemas.openxmlformats.org/officeDocument/2006/relationships/table" Target="/xl/tables/table8.xml" Id="R7b64a94c85ad4385" /></Relationships>
</file>

<file path=xl/worksheets/_rels/sheet9.xml.rels>&#65279;<?xml version="1.0" encoding="utf-8"?><Relationships xmlns="http://schemas.openxmlformats.org/package/2006/relationships"><Relationship Type="http://schemas.openxmlformats.org/officeDocument/2006/relationships/table" Target="/xl/tables/table9.xml" Id="Rdffaa97540ad4a31" /></Relationships>
</file>

<file path=xl/worksheets/_rels/sheet10.xml.rels>&#65279;<?xml version="1.0" encoding="utf-8"?><Relationships xmlns="http://schemas.openxmlformats.org/package/2006/relationships"><Relationship Type="http://schemas.openxmlformats.org/officeDocument/2006/relationships/table" Target="/xl/tables/table10.xml" Id="R14c60fdec49c4339" /></Relationships>
</file>

<file path=xl/worksheets/_rels/sheet11.xml.rels>&#65279;<?xml version="1.0" encoding="utf-8"?><Relationships xmlns="http://schemas.openxmlformats.org/package/2006/relationships"><Relationship Type="http://schemas.openxmlformats.org/officeDocument/2006/relationships/table" Target="/xl/tables/table11.xml" Id="Rc4d75ef5652a4f78" /></Relationships>
</file>

<file path=xl/worksheets/sheet1.xml><?xml version="1.0" encoding="utf-8"?>
<x:worksheet xmlns:x="http://schemas.openxmlformats.org/spreadsheetml/2006/main">
  <x:sheetPr>
    <x:tabColor rgb="FF087E8B"/>
  </x:sheetPr>
  <x:sheetViews>
    <x:sheetView showGridLines="0" workbookViewId="0">
      <x:pane xSplit="2" ySplit="4" topLeftCell="C5" activePane="bottomRight" state="frozen"/>
    </x:sheetView>
  </x:sheetViews>
  <x:sheetFormatPr defaultRowHeight="15"/>
  <x:cols>
    <x:col min="1" max="1" width="24" hidden="0" customWidth="1"/>
    <x:col min="2" max="2" width="12" hidden="0" customWidth="1"/>
    <x:col min="3" max="3" width="38" hidden="0" customWidth="1"/>
    <x:col min="5" max="5" width="28" hidden="0" customWidth="1"/>
    <x:col min="6" max="6" width="24" hidden="0" customWidth="1"/>
    <x:col min="7" max="7" width="36" hidden="0" customWidth="1"/>
    <x:col min="8" max="8" width="38" hidden="0" customWidth="1"/>
  </x:cols>
  <x:sheetData>
    <x:row r="1" ht="28" customHeight="1">
      <x:c r="A1" s="3" t="str">
        <x:v>Pass 2 Coverage Dashboard</x:v>
      </x:c>
    </x:row>
    <x:row r="2" ht="34" customHeight="1">
      <x:c r="A2" s="7" t="str">
        <x:v>Six validation categories are reported separately. A structural pass does not imply complete second-source or live-access coverage.</x:v>
      </x:c>
    </x:row>
    <x:row r="3" ht="20" customHeight="1">
      <x:c r="A3" s="9" t="str">
        <x:v>Evidence snapshot: 2026-09-11 · 12 records · Use the row-4 filters; uncertainty is intentional.</x:v>
      </x:c>
    </x:row>
    <x:row r="4" ht="34" customHeight="1">
      <x:c r="A4" s="13" t="str">
        <x:v>Metric</x:v>
      </x:c>
      <x:c r="B4" s="13" t="str">
        <x:v>Count</x:v>
      </x:c>
      <x:c r="C4" s="13" t="str">
        <x:v>Interpretation</x:v>
      </x:c>
      <x:c r="E4" s="12" t="str">
        <x:v>Validation Category</x:v>
      </x:c>
      <x:c r="F4" s="12" t="str">
        <x:v>Status</x:v>
      </x:c>
      <x:c r="G4" s="12" t="str">
        <x:v>Coverage</x:v>
      </x:c>
      <x:c r="H4" s="12" t="str">
        <x:v>Limitations</x:v>
      </x:c>
    </x:row>
    <x:row r="5" ht="42" customHeight="1">
      <x:c r="A5" s="17" t="str">
        <x:v>Programs screened</x:v>
      </x:c>
      <x:c r="B5" s="17" t="n">
        <x:v>2181</x:v>
      </x:c>
      <x:c r="C5" s="17" t="str">
        <x:v>Candidate-funnel records across 855 universities</x:v>
      </x:c>
      <x:c r="E5" s="17" t="str">
        <x:v>structural validation</x:v>
      </x:c>
      <x:c r="F5" s="17" t="str">
        <x:v>PASS</x:v>
      </x:c>
      <x:c r="G5" s="17" t="str">
        <x:v>80 core-domain rows; 166 score recalculations; 3596 sources</x:v>
      </x:c>
      <x:c r="H5" s="17" t="str">
        <x:v>Workbook validation is recorded separately after export.</x:v>
      </x:c>
    </x:row>
    <x:row r="6" ht="42" customHeight="1">
      <x:c r="A6" s="17" t="str">
        <x:v>Programs deeply scored</x:v>
      </x:c>
      <x:c r="B6" s="17" t="n">
        <x:v>166</x:v>
      </x:c>
      <x:c r="C6" s="17" t="str">
        <x:v>166 source-backed program records</x:v>
      </x:c>
      <x:c r="E6" s="17" t="str">
        <x:v>evidence-completeness validation</x:v>
      </x:c>
      <x:c r="F6" s="17" t="str">
        <x:v>PASS_WITH_DISCLOSED_GAPS</x:v>
      </x:c>
      <x:c r="G6" s="17" t="str">
        <x:v>primary source recorded for 80/80 core-domain checks</x:v>
      </x:c>
      <x:c r="H6" s="17" t="str">
        <x:v>48 checks have one authoritative URL in the ledger.</x:v>
      </x:c>
    </x:row>
    <x:row r="7" ht="42" customHeight="1">
      <x:c r="A7" s="17" t="str">
        <x:v>Core programs</x:v>
      </x:c>
      <x:c r="B7" s="17" t="n">
        <x:v>16</x:v>
      </x:c>
      <x:c r="C7" s="17" t="str">
        <x:v>Working shortlist; all hard gates pass</x:v>
      </x:c>
      <x:c r="E7" s="17" t="str">
        <x:v>substantive second-source verification</x:v>
      </x:c>
      <x:c r="F7" s="17" t="str">
        <x:v>PARTIAL</x:v>
      </x:c>
      <x:c r="G7" s="17" t="str">
        <x:v>32/80 core-domain checks have two distinct authoritative URLs</x:v>
      </x:c>
      <x:c r="H7" s="17" t="str">
        <x:v>No second distinct authoritative URL was present in the ledger for 48/80 checks; live accessibility: {'request_error': 4, 'not_checked': 16, 'reachable': 54, 'http_error': 6}.</x:v>
      </x:c>
    </x:row>
    <x:row r="8" ht="42" customHeight="1">
      <x:c r="A8" s="17" t="str">
        <x:v>Reserve programs</x:v>
      </x:c>
      <x:c r="B8" s="17" t="n">
        <x:v>6</x:v>
      </x:c>
      <x:c r="C8" s="17" t="str">
        <x:v>Reply-dependent alternatives</x:v>
      </x:c>
      <x:c r="E8" s="17" t="str">
        <x:v>portfolio-rule validation</x:v>
      </x:c>
      <x:c r="F8" s="17" t="str">
        <x:v>PASS</x:v>
      </x:c>
      <x:c r="G8" s="17" t="str">
        <x:v>16 core + 6 reserve; 22 unique institutions</x:v>
      </x:c>
      <x:c r="H8" s="17" t="str">
        <x:v>Fee known numerically for 13/22 active programs.</x:v>
      </x:c>
    </x:row>
    <x:row r="9" ht="42" customHeight="1">
      <x:c r="A9" s="17" t="str">
        <x:v>Do-not-apply programs</x:v>
      </x:c>
      <x:c r="B9" s="17" t="n">
        <x:v>144</x:v>
      </x:c>
      <x:c r="C9" s="17" t="str">
        <x:v>Diagnostic scores only; at least one hard gate failed</x:v>
      </x:c>
      <x:c r="E9" s="17" t="str">
        <x:v>outreach-quality validation</x:v>
      </x:c>
      <x:c r="F9" s="17" t="str">
        <x:v>PASS_WITH_REPLY_DEPENDENCIES</x:v>
      </x:c>
      <x:c r="G9" s="17" t="str">
        <x:v>12 first-wave drafts; 28 confirmed recruiting claims rechecked</x:v>
      </x:c>
      <x:c r="H9" s="17" t="str">
        <x:v>Live source accessibility for recruiting claims: {'reachable': 25, 'request_error': 2, 'http_error': 1}; capacity still requires replies.</x:v>
      </x:c>
    </x:row>
    <x:row r="10" ht="42" customHeight="1">
      <x:c r="A10" s="17" t="str">
        <x:v>Distinct professors evaluated</x:v>
      </x:c>
      <x:c r="B10" s="17" t="n">
        <x:v>788</x:v>
      </x:c>
      <x:c r="C10" s="17" t="str">
        <x:v>830 professor-program candidate records</x:v>
      </x:c>
      <x:c r="E10" s="17" t="str">
        <x:v>visual workbook validation</x:v>
      </x:c>
      <x:c r="F10" s="17" t="str">
        <x:v>PASS</x:v>
      </x:c>
      <x:c r="G10" s="17" t="str">
        <x:v>11/11 sheets rendered and visually inspected; 11 sheets exported</x:v>
      </x:c>
      <x:c r="H10" s="17" t="str">
        <x:v>Visual inspection checks layout/readability; substantive correctness is covered by the other validation categories.</x:v>
      </x:c>
    </x:row>
    <x:row r="11" ht="46" customHeight="1">
      <x:c r="A11" s="17" t="str">
        <x:v>Distinct professors recommended</x:v>
      </x:c>
      <x:c r="B11" s="17" t="n">
        <x:v>144</x:v>
      </x:c>
      <x:c r="C11" s="17" t="str">
        <x:v>Verified strong matches</x:v>
      </x:c>
    </x:row>
    <x:row r="12" ht="46" customHeight="1">
      <x:c r="A12" s="17" t="str">
        <x:v>First-wave contacts</x:v>
      </x:c>
      <x:c r="B12" s="17" t="n">
        <x:v>12</x:v>
      </x:c>
      <x:c r="C12" s="17" t="str">
        <x:v>Drafted and manually reviewed; not sent</x:v>
      </x:c>
    </x:row>
    <x:row r="13" ht="46" customHeight="1">
      <x:c r="A13" s="17" t="str">
        <x:v>Second-wave contacts</x:v>
      </x:c>
      <x:c r="B13" s="17" t="n">
        <x:v>11</x:v>
      </x:c>
      <x:c r="C13" s="17" t="str">
        <x:v>No draft until promoted</x:v>
      </x:c>
    </x:row>
    <x:row r="14" ht="46" customHeight="1">
      <x:c r="A14" s="17" t="str">
        <x:v>Confirmed recruiting rechecks</x:v>
      </x:c>
      <x:c r="B14" s="17" t="n">
        <x:v>28</x:v>
      </x:c>
      <x:c r="C14" s="17" t="str">
        <x:v>Exact degree scope retained</x:v>
      </x:c>
    </x:row>
    <x:row r="15" ht="46" customHeight="1">
      <x:c r="A15" s="17" t="str">
        <x:v>Core-domain rechecks</x:v>
      </x:c>
      <x:c r="B15" s="17" t="n">
        <x:v>80</x:v>
      </x:c>
      <x:c r="C15" s="17" t="str">
        <x:v>Program, faculty, funding, eligibility, deadline</x:v>
      </x:c>
    </x:row>
    <x:row r="16" ht="46" customHeight="1">
      <x:c r="A16" s="17" t="str">
        <x:v>Source-ledger records</x:v>
      </x:c>
      <x:c r="B16" s="17" t="n">
        <x:v>3596</x:v>
      </x:c>
      <x:c r="C16" s="17" t="str">
        <x:v>Program and professor sources combined</x:v>
      </x:c>
    </x:row>
  </x:sheetData>
  <x:mergeCells>
    <x:mergeCell ref="A1:C1"/>
    <x:mergeCell ref="A2:C2"/>
    <x:mergeCell ref="A3:C3"/>
  </x:mergeCells>
  <x:conditionalFormatting sqref="B5:B16">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efbbee174ef6489d"/>
  </x:tableParts>
</x:worksheet>
</file>

<file path=xl/worksheets/sheet2.xml><?xml version="1.0" encoding="utf-8"?>
<x:worksheet xmlns:x="http://schemas.openxmlformats.org/spreadsheetml/2006/main">
  <x:sheetPr>
    <x:tabColor rgb="FF087E8B"/>
  </x:sheetPr>
  <x:sheetViews>
    <x:sheetView showGridLines="0" workbookViewId="0">
      <x:pane xSplit="2" ySplit="4" topLeftCell="C5" activePane="bottomRight" state="frozen"/>
    </x:sheetView>
  </x:sheetViews>
  <x:sheetFormatPr defaultRowHeight="15"/>
  <x:cols>
    <x:col min="1" max="1" width="12" hidden="0" customWidth="1"/>
    <x:col min="2" max="2" width="12" hidden="0" customWidth="1"/>
    <x:col min="3" max="3" width="38" hidden="0" customWidth="1"/>
    <x:col min="4" max="4" width="38" hidden="0" customWidth="1"/>
    <x:col min="5" max="5" width="21" hidden="0" customWidth="1"/>
    <x:col min="6" max="6" width="11" hidden="0" customWidth="1"/>
    <x:col min="7" max="7" width="12" hidden="0" customWidth="1"/>
    <x:col min="8" max="8" width="20" hidden="0" customWidth="1"/>
    <x:col min="9" max="9" width="21" hidden="0" customWidth="1"/>
    <x:col min="10" max="10" width="34" hidden="0" customWidth="1"/>
    <x:col min="11" max="11" width="12" hidden="0" customWidth="1"/>
    <x:col min="12" max="12" width="11" hidden="0" customWidth="1"/>
    <x:col min="13" max="13" width="34" hidden="0" customWidth="1"/>
    <x:col min="14" max="14" width="38" hidden="0" customWidth="1"/>
    <x:col min="15" max="15" width="34" hidden="0" customWidth="1"/>
    <x:col min="16" max="16" width="12" hidden="0" customWidth="1"/>
    <x:col min="17" max="17" width="38" hidden="0" customWidth="1"/>
    <x:col min="18" max="18" width="18" hidden="0" customWidth="1"/>
  </x:cols>
  <x:sheetData>
    <x:row r="1" ht="28" customHeight="1">
      <x:c r="A1" s="3" t="str">
        <x:v>School Summary</x:v>
      </x:c>
    </x:row>
    <x:row r="2" ht="34" customHeight="1">
      <x:c r="A2" s="7" t="str">
        <x:v>One row per active university and program. Professor counts are distinct IDs, not contact rows.</x:v>
      </x:c>
    </x:row>
    <x:row r="3" ht="20" customHeight="1">
      <x:c r="A3" s="9" t="str">
        <x:v>Evidence snapshot: 2026-09-11 · 22 records · Use the row-4 filters; uncertainty is intentional.</x:v>
      </x:c>
    </x:row>
    <x:row r="4" ht="34" customHeight="1">
      <x:c r="A4" s="13" t="str">
        <x:v>Portfolio Status</x:v>
      </x:c>
      <x:c r="B4" s="13" t="str">
        <x:v>Rank</x:v>
      </x:c>
      <x:c r="C4" s="13" t="str">
        <x:v>Institution</x:v>
      </x:c>
      <x:c r="D4" s="13" t="str">
        <x:v>Program</x:v>
      </x:c>
      <x:c r="E4" s="13" t="str">
        <x:v>Degree</x:v>
      </x:c>
      <x:c r="F4" s="13" t="str">
        <x:v>Region</x:v>
      </x:c>
      <x:c r="G4" s="13" t="str">
        <x:v>Overall Score</x:v>
      </x:c>
      <x:c r="H4" s="13" t="str">
        <x:v>Distinct Strong Professors</x:v>
      </x:c>
      <x:c r="I4" s="13" t="str">
        <x:v>Single-Professor Dependency</x:v>
      </x:c>
      <x:c r="J4" s="13" t="str">
        <x:v>Funding</x:v>
      </x:c>
      <x:c r="K4" s="13" t="str">
        <x:v>Application Fee</x:v>
      </x:c>
      <x:c r="L4" s="13" t="str">
        <x:v>Fee Currency</x:v>
      </x:c>
      <x:c r="M4" s="13" t="str">
        <x:v>Deadline</x:v>
      </x:c>
      <x:c r="N4" s="13" t="str">
        <x:v>Cycle Label</x:v>
      </x:c>
      <x:c r="O4" s="13" t="str">
        <x:v>Evidence Completeness</x:v>
      </x:c>
      <x:c r="P4" s="13" t="str">
        <x:v>Score Confidence</x:v>
      </x:c>
      <x:c r="Q4" s="13" t="str">
        <x:v>Unresolved Conflicts</x:v>
      </x:c>
      <x:c r="R4" s="13" t="str">
        <x:v>Official Program URL</x:v>
      </x:c>
    </x:row>
    <x:row r="5" ht="46" customHeight="1">
      <x:c r="A5" s="17" t="str">
        <x:v>core</x:v>
      </x:c>
      <x:c r="B5" s="17" t="n">
        <x:v>1</x:v>
      </x:c>
      <x:c r="C5" s="17" t="str">
        <x:v>Washington University in St Louis</x:v>
      </x:c>
      <x:c r="D5" s="17" t="str">
        <x:v>Computer Science PhD</x:v>
      </x:c>
      <x:c r="E5" s="17" t="str">
        <x:v>PhD</x:v>
      </x:c>
      <x:c r="F5" s="17" t="str">
        <x:v>us</x:v>
      </x:c>
      <x:c r="G5" s="17" t="n">
        <x:v>75</x:v>
      </x:c>
      <x:c r="H5" s="17" t="n">
        <x:v>1</x:v>
      </x:c>
      <x:c r="I5" s="17" t="str">
        <x:v>Yes</x:v>
      </x:c>
      <x:c r="J5" s="17" t="str">
        <x:v>verified support with material cost gaps</x:v>
      </x:c>
      <x:c r="K5" s="17" t="str">
        <x:v>Not stated on reviewed official admissions page</x:v>
      </x:c>
      <x:c r="L5" s="17" t="str">
        <x:v>USD</x:v>
      </x:c>
      <x:c r="M5" s="17" t="str">
        <x:v>Not verified in frozen evidence</x:v>
      </x:c>
      <x:c r="N5" s="17" t="str">
        <x:v>Current McKelvey page lists December 1 for fall PhD applications, but the reviewed page did not explicitly label Fall 2027</x:v>
      </x:c>
      <x:c r="O5" s="17" t="str">
        <x:v>partial</x:v>
      </x:c>
      <x:c r="P5" s="17" t="str">
        <x:v>medium</x:v>
      </x:c>
      <x:c r="Q5" s="17" t="str">
        <x:v>Confirm deadline/fee and multi-year/summer terms with CSE Graduate Admissions | Single-professor dependency. | One or more duration, tuition, fee, health, summer, or net-cost terms remain unresolved.</x:v>
      </x:c>
      <x:c r="R5" s="18" t="e">
        <x:f>HYPERLINK("https://admin.aprc.wustl.edu/academics/graduate-admissions/index.html","Open source")</x:f>
        <x:v>HYPERLINK is not implemented. linkLocation=https://admin.aprc.wustl.edu/academics/graduate-admissions/index.html, friendlyName=Open source</x:v>
      </x:c>
    </x:row>
    <x:row r="6" ht="46" customHeight="1">
      <x:c r="A6" s="17" t="str">
        <x:v>core</x:v>
      </x:c>
      <x:c r="B6" s="17" t="n">
        <x:v>2</x:v>
      </x:c>
      <x:c r="C6" s="17" t="str">
        <x:v>Lehigh University</x:v>
      </x:c>
      <x:c r="D6" s="17" t="str">
        <x:v>PhD in Computer Science</x:v>
      </x:c>
      <x:c r="E6" s="17" t="str">
        <x:v>PhD</x:v>
      </x:c>
      <x:c r="F6" s="17" t="str">
        <x:v>us</x:v>
      </x:c>
      <x:c r="G6" s="17" t="n">
        <x:v>73</x:v>
      </x:c>
      <x:c r="H6" s="17" t="n">
        <x:v>1</x:v>
      </x:c>
      <x:c r="I6" s="17" t="str">
        <x:v>Yes</x:v>
      </x:c>
      <x:c r="J6" s="17" t="str">
        <x:v>verified comprehensive support</x:v>
      </x:c>
      <x:c r="K6" s="17" t="n">
        <x:v>50</x:v>
      </x:c>
      <x:c r="L6" s="17" t="str">
        <x:v>USD</x:v>
      </x:c>
      <x:c r="M6" s="17" t="str">
        <x:v>December 15, 2026 for full financial-aid consideration</x:v>
      </x:c>
      <x:c r="N6" s="17" t="str">
        <x:v>Recurring PhD funding-priority deadline; applications open September 1</x:v>
      </x:c>
      <x:c r="O6" s="17" t="str">
        <x:v>partial</x:v>
      </x:c>
      <x:c r="P6" s="17" t="str">
        <x:v>medium</x:v>
      </x:c>
      <x:c r="Q6" s="17" t="str">
        <x:v>What duration, summer, insurance, and mandatory-fee terms will Lehigh include in the actual funding offer? | Single-professor dependency. | Applicable waiver or final Fall 2027 cost is not guaranteed.</x:v>
      </x:c>
      <x:c r="R6" s="18" t="e">
        <x:f>HYPERLINK("https://engineering.lehigh.edu/academics/graduate/phd/phd-computer-science","Open source")</x:f>
        <x:v>HYPERLINK is not implemented. linkLocation=https://engineering.lehigh.edu/academics/graduate/phd/phd-computer-science, friendlyName=Open source</x:v>
      </x:c>
    </x:row>
    <x:row r="7" ht="46" customHeight="1">
      <x:c r="A7" s="17" t="str">
        <x:v>core</x:v>
      </x:c>
      <x:c r="B7" s="17" t="n">
        <x:v>2</x:v>
      </x:c>
      <x:c r="C7" s="17" t="str">
        <x:v>University of Arizona</x:v>
      </x:c>
      <x:c r="D7" s="17" t="str">
        <x:v>Computer Science PhD</x:v>
      </x:c>
      <x:c r="E7" s="17" t="str">
        <x:v>PhD</x:v>
      </x:c>
      <x:c r="F7" s="17" t="str">
        <x:v>us</x:v>
      </x:c>
      <x:c r="G7" s="17" t="n">
        <x:v>73</x:v>
      </x:c>
      <x:c r="H7" s="17" t="n">
        <x:v>1</x:v>
      </x:c>
      <x:c r="I7" s="17" t="str">
        <x:v>Yes</x:v>
      </x:c>
      <x:c r="J7" s="17" t="str">
        <x:v>verified comprehensive support</x:v>
      </x:c>
      <x:c r="K7" s="17" t="n">
        <x:v>90</x:v>
      </x:c>
      <x:c r="L7" s="17" t="str">
        <x:v>USD</x:v>
      </x:c>
      <x:c r="M7" s="17" t="str">
        <x:v>January 15</x:v>
      </x:c>
      <x:c r="N7" s="17" t="str">
        <x:v>Latest current PhD deadline page; calendar year not explicitly printed</x:v>
      </x:c>
      <x:c r="O7" s="17" t="str">
        <x:v>partial</x:v>
      </x:c>
      <x:c r="P7" s="17" t="str">
        <x:v>medium</x:v>
      </x:c>
      <x:c r="Q7" s="17" t="str">
        <x:v>What duration, stipend, mandatory-fee, and summer terms will the admission offer specify? | Single-professor dependency. | Applicable waiver or final Fall 2027 cost is not guaranteed.</x:v>
      </x:c>
      <x:c r="R7" s="18" t="e">
        <x:f>HYPERLINK("https://cs.arizona.edu/graduate/prospective-students","Open source")</x:f>
        <x:v>HYPERLINK is not implemented. linkLocation=https://cs.arizona.edu/graduate/prospective-students, friendlyName=Open source</x:v>
      </x:c>
    </x:row>
    <x:row r="8" ht="46" customHeight="1">
      <x:c r="A8" s="17" t="str">
        <x:v>core</x:v>
      </x:c>
      <x:c r="B8" s="17" t="n">
        <x:v>2</x:v>
      </x:c>
      <x:c r="C8" s="17" t="str">
        <x:v>University of Colorado Boulder</x:v>
      </x:c>
      <x:c r="D8" s="17" t="str">
        <x:v>Doctor of Philosophy in Computer Science</x:v>
      </x:c>
      <x:c r="E8" s="17" t="str">
        <x:v>PhD</x:v>
      </x:c>
      <x:c r="F8" s="17" t="str">
        <x:v>us</x:v>
      </x:c>
      <x:c r="G8" s="17" t="n">
        <x:v>73</x:v>
      </x:c>
      <x:c r="H8" s="17" t="n">
        <x:v>1</x:v>
      </x:c>
      <x:c r="I8" s="17" t="str">
        <x:v>Yes</x:v>
      </x:c>
      <x:c r="J8" s="17" t="str">
        <x:v>verified comprehensive support</x:v>
      </x:c>
      <x:c r="K8" s="17" t="n">
        <x:v>80</x:v>
      </x:c>
      <x:c r="L8" s="17" t="str">
        <x:v>USD</x:v>
      </x:c>
      <x:c r="M8" s="17" t="str">
        <x:v>December 15, 2026 at 9:59 p.m. MST</x:v>
      </x:c>
      <x:c r="N8" s="17" t="str">
        <x:v>Fall 2027 current application page</x:v>
      </x:c>
      <x:c r="O8" s="17" t="str">
        <x:v>partial</x:v>
      </x:c>
      <x:c r="P8" s="17" t="str">
        <x:v>medium</x:v>
      </x:c>
      <x:c r="Q8" s="17" t="str">
        <x:v>What summer support and current 2027-2028 stipend will the individual offer provide? | Single-professor dependency. | Applicable waiver or final Fall 2027 cost is not guaranteed.</x:v>
      </x:c>
      <x:c r="R8" s="18" t="e">
        <x:f>HYPERLINK("https://www.colorado.edu/cs/academics/graduate-programs/doctor-philosophy","Open source")</x:f>
        <x:v>HYPERLINK is not implemented. linkLocation=https://www.colorado.edu/cs/academics/graduate-programs/doctor-philosophy, friendlyName=Open source</x:v>
      </x:c>
    </x:row>
    <x:row r="9" ht="46" customHeight="1">
      <x:c r="A9" s="17" t="str">
        <x:v>core</x:v>
      </x:c>
      <x:c r="B9" s="17" t="n">
        <x:v>2</x:v>
      </x:c>
      <x:c r="C9" s="17" t="str">
        <x:v>University of Massachusetts-Amherst</x:v>
      </x:c>
      <x:c r="D9" s="17" t="str">
        <x:v>Computer Science PhD</x:v>
      </x:c>
      <x:c r="E9" s="17" t="str">
        <x:v>PhD</x:v>
      </x:c>
      <x:c r="F9" s="17" t="str">
        <x:v>us</x:v>
      </x:c>
      <x:c r="G9" s="17" t="n">
        <x:v>73</x:v>
      </x:c>
      <x:c r="H9" s="17" t="n">
        <x:v>1</x:v>
      </x:c>
      <x:c r="I9" s="17" t="str">
        <x:v>Yes</x:v>
      </x:c>
      <x:c r="J9" s="17" t="str">
        <x:v>verified support with material cost gaps</x:v>
      </x:c>
      <x:c r="K9" s="17" t="n">
        <x:v>90</x:v>
      </x:c>
      <x:c r="L9" s="17" t="str">
        <x:v>USD</x:v>
      </x:c>
      <x:c r="M9" s="17" t="str">
        <x:v>Not verified in frozen evidence</x:v>
      </x:c>
      <x:c r="N9" s="17" t="str">
        <x:v>Current CICS page lists December 15, but the reviewed page did not explicitly label Fall 2027</x:v>
      </x:c>
      <x:c r="O9" s="17" t="str">
        <x:v>partial</x:v>
      </x:c>
      <x:c r="P9" s="17" t="str">
        <x:v>medium</x:v>
      </x:c>
      <x:c r="Q9" s="17" t="str">
        <x:v>Confirm the Fall 2027 offer's summer and insurance/fee details | Single-professor dependency. | One or more duration, tuition, fee, health, summer, or net-cost terms remain unresolved. | Applicable waiver or final Fall 2027 cost is not guaranteed.</x:v>
      </x:c>
      <x:c r="R9" s="18" t="e">
        <x:f>HYPERLINK("https://www.cics.umass.edu/academics/phd-computer-science/how-apply-phd-program","Open source")</x:f>
        <x:v>HYPERLINK is not implemented. linkLocation=https://www.cics.umass.edu/academics/phd-computer-science/how-apply-phd-program, friendlyName=Open source</x:v>
      </x:c>
    </x:row>
    <x:row r="10" ht="46" customHeight="1">
      <x:c r="A10" s="17" t="str">
        <x:v>core</x:v>
      </x:c>
      <x:c r="B10" s="17" t="n">
        <x:v>2</x:v>
      </x:c>
      <x:c r="C10" s="17" t="str">
        <x:v>University of Minnesota-Twin Cities</x:v>
      </x:c>
      <x:c r="D10" s="17" t="str">
        <x:v>PhD in Computer Science</x:v>
      </x:c>
      <x:c r="E10" s="17" t="str">
        <x:v>PhD</x:v>
      </x:c>
      <x:c r="F10" s="17" t="str">
        <x:v>us</x:v>
      </x:c>
      <x:c r="G10" s="17" t="n">
        <x:v>73</x:v>
      </x:c>
      <x:c r="H10" s="17" t="n">
        <x:v>1</x:v>
      </x:c>
      <x:c r="I10" s="17" t="str">
        <x:v>Yes</x:v>
      </x:c>
      <x:c r="J10" s="17" t="str">
        <x:v>verified comprehensive support</x:v>
      </x:c>
      <x:c r="K10" s="17" t="n">
        <x:v>95</x:v>
      </x:c>
      <x:c r="L10" s="17" t="str">
        <x:v>USD</x:v>
      </x:c>
      <x:c r="M10" s="17" t="str">
        <x:v>December 15 for fellowship consideration; January 5 final</x:v>
      </x:c>
      <x:c r="N10" s="17" t="str">
        <x:v>Latest current PhD admissions page; specific calendar years not printed</x:v>
      </x:c>
      <x:c r="O10" s="17" t="str">
        <x:v>partial</x:v>
      </x:c>
      <x:c r="P10" s="17" t="str">
        <x:v>medium</x:v>
      </x:c>
      <x:c r="Q10" s="17" t="str">
        <x:v>What are the offer-specific stipend, summer, remaining health-insurance, and mandatory-fee amounts? | Single-professor dependency. | Applicable waiver or final Fall 2027 cost is not guaranteed.</x:v>
      </x:c>
      <x:c r="R10" s="18" t="e">
        <x:f>HYPERLINK("https://cse.umn.edu/cs/phd-admissions","Open source")</x:f>
        <x:v>HYPERLINK is not implemented. linkLocation=https://cse.umn.edu/cs/phd-admissions, friendlyName=Open source</x:v>
      </x:c>
    </x:row>
    <x:row r="11" ht="46" customHeight="1">
      <x:c r="A11" s="17" t="str">
        <x:v>core</x:v>
      </x:c>
      <x:c r="B11" s="17" t="n">
        <x:v>2</x:v>
      </x:c>
      <x:c r="C11" s="17" t="str">
        <x:v>Virginia Polytechnic Institute and State University</x:v>
      </x:c>
      <x:c r="D11" s="17" t="str">
        <x:v>Computer Science PhD</x:v>
      </x:c>
      <x:c r="E11" s="17" t="str">
        <x:v>PhD</x:v>
      </x:c>
      <x:c r="F11" s="17" t="str">
        <x:v>us</x:v>
      </x:c>
      <x:c r="G11" s="17" t="n">
        <x:v>73</x:v>
      </x:c>
      <x:c r="H11" s="17" t="n">
        <x:v>1</x:v>
      </x:c>
      <x:c r="I11" s="17" t="str">
        <x:v>Yes</x:v>
      </x:c>
      <x:c r="J11" s="17" t="str">
        <x:v>verified support with material cost gaps</x:v>
      </x:c>
      <x:c r="K11" s="17" t="n">
        <x:v>75</x:v>
      </x:c>
      <x:c r="L11" s="17" t="str">
        <x:v>USD</x:v>
      </x:c>
      <x:c r="M11" s="17" t="str">
        <x:v>2026-12-01</x:v>
      </x:c>
      <x:c r="N11" s="17" t="str">
        <x:v>Fall 2027 full-consideration deadline explicitly labeled</x:v>
      </x:c>
      <x:c r="O11" s="17" t="str">
        <x:v>partial</x:v>
      </x:c>
      <x:c r="P11" s="17" t="str">
        <x:v>medium</x:v>
      </x:c>
      <x:c r="Q11" s="17" t="str">
        <x:v>What summer-support expectation applies after year one? | Single-professor dependency. | One or more duration, tuition, fee, health, summer, or net-cost terms remain unresolved. | Applicable waiver or final Fall 2027 cost is not guaranteed.</x:v>
      </x:c>
      <x:c r="R11" s="18" t="e">
        <x:f>HYPERLINK("https://website.cs.vt.edu/academic/graduate/future-grads/doctorate.html","Open source")</x:f>
        <x:v>HYPERLINK is not implemented. linkLocation=https://website.cs.vt.edu/academic/graduate/future-grads/doctorate.html, friendlyName=Open source</x:v>
      </x:c>
    </x:row>
    <x:row r="12" ht="46" customHeight="1">
      <x:c r="A12" s="17" t="str">
        <x:v>core</x:v>
      </x:c>
      <x:c r="B12" s="17" t="n">
        <x:v>3</x:v>
      </x:c>
      <x:c r="C12" s="17" t="str">
        <x:v>Carnegie Mellon University</x:v>
      </x:c>
      <x:c r="D12" s="17" t="str">
        <x:v>Software Engineering PhD</x:v>
      </x:c>
      <x:c r="E12" s="17" t="str">
        <x:v>PhD</x:v>
      </x:c>
      <x:c r="F12" s="17" t="str">
        <x:v>us</x:v>
      </x:c>
      <x:c r="G12" s="17" t="n">
        <x:v>70</x:v>
      </x:c>
      <x:c r="H12" s="17" t="n">
        <x:v>1</x:v>
      </x:c>
      <x:c r="I12" s="17" t="str">
        <x:v>Yes</x:v>
      </x:c>
      <x:c r="J12" s="17" t="str">
        <x:v>verified support with material cost gaps</x:v>
      </x:c>
      <x:c r="K12" s="17" t="n">
        <x:v>0</x:v>
      </x:c>
      <x:c r="L12" s="17" t="str">
        <x:v>USD</x:v>
      </x:c>
      <x:c r="M12" s="17" t="str">
        <x:v>2026-12-09</x:v>
      </x:c>
      <x:c r="N12" s="17" t="str">
        <x:v>Fall 2027 final deadline, explicitly labeled; early deadline 2026-11-18 at 3 p.m. ET</x:v>
      </x:c>
      <x:c r="O12" s="17" t="str">
        <x:v>partial</x:v>
      </x:c>
      <x:c r="P12" s="17" t="str">
        <x:v>medium</x:v>
      </x:c>
      <x:c r="Q12" s="17" t="str">
        <x:v>Confirm exact 2027 stipend and health/fee components in an offer | Single-professor dependency. | One or more duration, tuition, fee, health, summer, or net-cost terms remain unresolved.</x:v>
      </x:c>
      <x:c r="R12" s="18" t="e">
        <x:f>HYPERLINK("https://se-phd.isri.cmu.edu/","Open source")</x:f>
        <x:v>HYPERLINK is not implemented. linkLocation=https://se-phd.isri.cmu.edu/, friendlyName=Open source</x:v>
      </x:c>
    </x:row>
    <x:row r="13" ht="46" customHeight="1">
      <x:c r="A13" s="17" t="str">
        <x:v>core</x:v>
      </x:c>
      <x:c r="B13" s="17" t="n">
        <x:v>3</x:v>
      </x:c>
      <x:c r="C13" s="17" t="str">
        <x:v>Duke University</x:v>
      </x:c>
      <x:c r="D13" s="17" t="str">
        <x:v>Computer Science PhD</x:v>
      </x:c>
      <x:c r="E13" s="17" t="str">
        <x:v>PhD</x:v>
      </x:c>
      <x:c r="F13" s="17" t="str">
        <x:v>us</x:v>
      </x:c>
      <x:c r="G13" s="17" t="n">
        <x:v>70</x:v>
      </x:c>
      <x:c r="H13" s="17" t="n">
        <x:v>1</x:v>
      </x:c>
      <x:c r="I13" s="17" t="str">
        <x:v>Yes</x:v>
      </x:c>
      <x:c r="J13" s="17" t="str">
        <x:v>verified comprehensive support</x:v>
      </x:c>
      <x:c r="K13" s="17" t="n">
        <x:v>105</x:v>
      </x:c>
      <x:c r="L13" s="17" t="str">
        <x:v>USD</x:v>
      </x:c>
      <x:c r="M13" s="17" t="str">
        <x:v>December 15, 2026</x:v>
      </x:c>
      <x:c r="N13" s="17" t="str">
        <x:v>2027 Graduate School deadline table</x:v>
      </x:c>
      <x:c r="O13" s="17" t="str">
        <x:v>partial</x:v>
      </x:c>
      <x:c r="P13" s="17" t="str">
        <x:v>low</x:v>
      </x:c>
      <x:c r="Q13" s="17" t="str">
        <x:v>What are the 2027-2028 stipend, summer-support, and offer-specific conditions? | Single-professor dependency. | Fee is high or the applicable Fall 2027 amount/waiver remains unverified.</x:v>
      </x:c>
      <x:c r="R13" s="18" t="e">
        <x:f>HYPERLINK("https://cs.duke.edu/graduate/phd","Open source")</x:f>
        <x:v>HYPERLINK is not implemented. linkLocation=https://cs.duke.edu/graduate/phd, friendlyName=Open source</x:v>
      </x:c>
    </x:row>
    <x:row r="14" ht="46" customHeight="1">
      <x:c r="A14" s="17" t="str">
        <x:v>core</x:v>
      </x:c>
      <x:c r="B14" s="17" t="n">
        <x:v>3</x:v>
      </x:c>
      <x:c r="C14" s="17" t="str">
        <x:v>New Jersey Institute of Technology</x:v>
      </x:c>
      <x:c r="D14" s="17" t="str">
        <x:v>Ph.D. Computer Science</x:v>
      </x:c>
      <x:c r="E14" s="17" t="str">
        <x:v>PhD</x:v>
      </x:c>
      <x:c r="F14" s="17" t="str">
        <x:v>us</x:v>
      </x:c>
      <x:c r="G14" s="17" t="n">
        <x:v>70</x:v>
      </x:c>
      <x:c r="H14" s="17" t="n">
        <x:v>1</x:v>
      </x:c>
      <x:c r="I14" s="17" t="str">
        <x:v>Yes</x:v>
      </x:c>
      <x:c r="J14" s="17" t="str">
        <x:v>verified comprehensive support</x:v>
      </x:c>
      <x:c r="K14" s="17" t="str">
        <x:v>Not verified on the official department pages checked</x:v>
      </x:c>
      <x:c r="L14" s="17" t="str">
        <x:v>USD</x:v>
      </x:c>
      <x:c r="M14" s="17" t="str">
        <x:v>December 15 recurring deadline for Fall funding consideration; confirm the Fall 2027 cycle</x:v>
      </x:c>
      <x:c r="N14" s="17" t="str">
        <x:v>Recurring funding deadline on current page checked 2026-09-11; Fall 2027 not explicitly labeled</x:v>
      </x:c>
      <x:c r="O14" s="17" t="str">
        <x:v>partial</x:v>
      </x:c>
      <x:c r="P14" s="17" t="str">
        <x:v>low</x:v>
      </x:c>
      <x:c r="Q14" s="17" t="str">
        <x:v>What exact duration, stipend, tuition, mandatory-fee, health-insurance, and summer terms would NJIT put in this applicant's offer? | Single-professor dependency. | Fee is high or the applicable Fall 2027 amount/waiver remains unverified.</x:v>
      </x:c>
      <x:c r="R14" s="18" t="e">
        <x:f>HYPERLINK("https://www.njit.edu/academics/degree/phd-computer-science","Open source")</x:f>
        <x:v>HYPERLINK is not implemented. linkLocation=https://www.njit.edu/academics/degree/phd-computer-science, friendlyName=Open source</x:v>
      </x:c>
    </x:row>
    <x:row r="15" ht="46" customHeight="1">
      <x:c r="A15" s="17" t="str">
        <x:v>core</x:v>
      </x:c>
      <x:c r="B15" s="17" t="n">
        <x:v>3</x:v>
      </x:c>
      <x:c r="C15" s="17" t="str">
        <x:v>Northeastern University</x:v>
      </x:c>
      <x:c r="D15" s="17" t="str">
        <x:v>Computer Science PhD</x:v>
      </x:c>
      <x:c r="E15" s="17" t="str">
        <x:v>PhD</x:v>
      </x:c>
      <x:c r="F15" s="17" t="str">
        <x:v>us</x:v>
      </x:c>
      <x:c r="G15" s="17" t="n">
        <x:v>70</x:v>
      </x:c>
      <x:c r="H15" s="17" t="n">
        <x:v>1</x:v>
      </x:c>
      <x:c r="I15" s="17" t="str">
        <x:v>Yes</x:v>
      </x:c>
      <x:c r="J15" s="17" t="str">
        <x:v>verified support with material cost gaps</x:v>
      </x:c>
      <x:c r="K15" s="17" t="str">
        <x:v>Not stated on reviewed official PhD page</x:v>
      </x:c>
      <x:c r="L15" s="17" t="str">
        <x:v>USD</x:v>
      </x:c>
      <x:c r="M15" s="17" t="str">
        <x:v>Not verified in frozen evidence</x:v>
      </x:c>
      <x:c r="N15" s="17" t="str">
        <x:v>Current Khoury page lists December 15, but the reviewed page did not label Fall 2027</x:v>
      </x:c>
      <x:c r="O15" s="17" t="str">
        <x:v>partial</x:v>
      </x:c>
      <x:c r="P15" s="17" t="str">
        <x:v>low</x:v>
      </x:c>
      <x:c r="Q15" s="17" t="str">
        <x:v>Confirm Fall 2027 deadline, fee, and summer-support mechanics when the cycle page updates | Single-professor dependency. | One or more duration, tuition, fee, health, summer, or net-cost terms remain unresolved. | Fee is high or the applicable Fall 2027 amount/waiver remains unverified.</x:v>
      </x:c>
      <x:c r="R15" s="18" t="e">
        <x:f>HYPERLINK("https://www.khoury.northeastern.edu/apply/phd-apply/","Open source")</x:f>
        <x:v>HYPERLINK is not implemented. linkLocation=https://www.khoury.northeastern.edu/apply/phd-apply/, friendlyName=Open source</x:v>
      </x:c>
    </x:row>
    <x:row r="16" ht="46" customHeight="1">
      <x:c r="A16" s="17" t="str">
        <x:v>core</x:v>
      </x:c>
      <x:c r="B16" s="17" t="n">
        <x:v>4</x:v>
      </x:c>
      <x:c r="C16" s="17" t="str">
        <x:v>Johns Hopkins University</x:v>
      </x:c>
      <x:c r="D16" s="17" t="str">
        <x:v>Doctor of Philosophy in Computer Science</x:v>
      </x:c>
      <x:c r="E16" s="17" t="str">
        <x:v>PhD</x:v>
      </x:c>
      <x:c r="F16" s="17" t="str">
        <x:v>us</x:v>
      </x:c>
      <x:c r="G16" s="17" t="n">
        <x:v>68</x:v>
      </x:c>
      <x:c r="H16" s="17" t="n">
        <x:v>1</x:v>
      </x:c>
      <x:c r="I16" s="17" t="str">
        <x:v>Yes</x:v>
      </x:c>
      <x:c r="J16" s="17" t="str">
        <x:v>verified support with material cost gaps</x:v>
      </x:c>
      <x:c r="K16" s="17" t="n">
        <x:v>75</x:v>
      </x:c>
      <x:c r="L16" s="17" t="str">
        <x:v>USD</x:v>
      </x:c>
      <x:c r="M16" s="17" t="str">
        <x:v>December 15, 2026 inferred from the program's recurring Fall-only December 15 deadline; target year is not separately labeled</x:v>
      </x:c>
      <x:c r="N16" s="17" t="str">
        <x:v>Current recurring deadline checked 2026-09-11; Fall 2027 label requires confirmation</x:v>
      </x:c>
      <x:c r="O16" s="17" t="str">
        <x:v>partial</x:v>
      </x:c>
      <x:c r="P16" s="17" t="str">
        <x:v>medium</x:v>
      </x:c>
      <x:c r="Q16" s="17" t="str">
        <x:v>What maximum duration, fee, summer, and Fall 2027 stipend terms govern the good-standing funding guarantee? | Single-professor dependency. | One or more duration, tuition, fee, health, summer, or net-cost terms remain unresolved. | Applicable waiver or final Fall 2027 cost is not guaranteed.</x:v>
      </x:c>
      <x:c r="R16" s="18" t="e">
        <x:f>HYPERLINK("https://www.cs.jhu.edu/academic-programs/graduate-studies/phd-program/","Open source")</x:f>
        <x:v>HYPERLINK is not implemented. linkLocation=https://www.cs.jhu.edu/academic-programs/graduate-studies/phd-program/, friendlyName=Open source</x:v>
      </x:c>
    </x:row>
    <x:row r="17" ht="46" customHeight="1">
      <x:c r="A17" s="17" t="str">
        <x:v>core</x:v>
      </x:c>
      <x:c r="B17" s="17" t="n">
        <x:v>4</x:v>
      </x:c>
      <x:c r="C17" s="17" t="str">
        <x:v>Northwestern University</x:v>
      </x:c>
      <x:c r="D17" s="17" t="str">
        <x:v>Doctor of Philosophy in Computer Science</x:v>
      </x:c>
      <x:c r="E17" s="17" t="str">
        <x:v>PhD</x:v>
      </x:c>
      <x:c r="F17" s="17" t="str">
        <x:v>us</x:v>
      </x:c>
      <x:c r="G17" s="17" t="n">
        <x:v>68</x:v>
      </x:c>
      <x:c r="H17" s="17" t="n">
        <x:v>1</x:v>
      </x:c>
      <x:c r="I17" s="17" t="str">
        <x:v>Yes</x:v>
      </x:c>
      <x:c r="J17" s="17" t="str">
        <x:v>verified support with material cost gaps</x:v>
      </x:c>
      <x:c r="K17" s="17" t="n">
        <x:v>95</x:v>
      </x:c>
      <x:c r="L17" s="17" t="str">
        <x:v>USD</x:v>
      </x:c>
      <x:c r="M17" s="17" t="str">
        <x:v>Fall 2027 deadline not yet published; latest standard Fall 2026 deadline was December 1, 2025, with late submission through December 15</x:v>
      </x:c>
      <x:c r="N17" s="17" t="str">
        <x:v>Latest 2026–27 application cycle checked 2026-09-11; Fall 2027 requires reconfirmation</x:v>
      </x:c>
      <x:c r="O17" s="17" t="str">
        <x:v>partial</x:v>
      </x:c>
      <x:c r="P17" s="17" t="str">
        <x:v>medium</x:v>
      </x:c>
      <x:c r="Q17" s="17" t="str">
        <x:v>What stipend, summer, health-insurance, and mandatory-fee terms will accompany the five-year Fall 2027 guarantee? | Single-professor dependency. | One or more duration, tuition, fee, health, summer, or net-cost terms remain unresolved. | Applicable waiver or final Fall 2027 cost is not guaranteed.</x:v>
      </x:c>
      <x:c r="R17" s="18" t="e">
        <x:f>HYPERLINK("https://www.mccormick.northwestern.edu/computer-science/academics/graduate/phd/","Open source")</x:f>
        <x:v>HYPERLINK is not implemented. linkLocation=https://www.mccormick.northwestern.edu/computer-science/academics/graduate/phd/, friendlyName=Open source</x:v>
      </x:c>
    </x:row>
    <x:row r="18" ht="46" customHeight="1">
      <x:c r="A18" s="17" t="str">
        <x:v>core</x:v>
      </x:c>
      <x:c r="B18" s="17" t="n">
        <x:v>4</x:v>
      </x:c>
      <x:c r="C18" s="17" t="str">
        <x:v>University of Illinois Chicago</x:v>
      </x:c>
      <x:c r="D18" s="17" t="str">
        <x:v>PhD in Computer Science</x:v>
      </x:c>
      <x:c r="E18" s="17" t="str">
        <x:v>PhD</x:v>
      </x:c>
      <x:c r="F18" s="17" t="str">
        <x:v>us</x:v>
      </x:c>
      <x:c r="G18" s="17" t="n">
        <x:v>68</x:v>
      </x:c>
      <x:c r="H18" s="17" t="n">
        <x:v>1</x:v>
      </x:c>
      <x:c r="I18" s="17" t="str">
        <x:v>Yes</x:v>
      </x:c>
      <x:c r="J18" s="17" t="str">
        <x:v>verified support with material cost gaps</x:v>
      </x:c>
      <x:c r="K18" s="17" t="str">
        <x:v>100 international credential-evaluation fee; Fall 2026 USD 70 application fee was waived by the recommended date</x:v>
      </x:c>
      <x:c r="L18" s="17" t="str">
        <x:v>USD</x:v>
      </x:c>
      <x:c r="M18" s="17" t="str">
        <x:v>February 15, 2027 final; December 15, 2026 recommended, inferred from the annual published schedule</x:v>
      </x:c>
      <x:c r="N18" s="17" t="str">
        <x:v>Latest program schedule; Fall 2027 year not explicitly printed</x:v>
      </x:c>
      <x:c r="O18" s="17" t="str">
        <x:v>partial</x:v>
      </x:c>
      <x:c r="P18" s="17" t="str">
        <x:v>medium</x:v>
      </x:c>
      <x:c r="Q18" s="17" t="str">
        <x:v>What residual fees, health cost, summer stipend, and continuation terms will appear in the individual Fall 2027 offer? | Single-professor dependency. | One or more duration, tuition, fee, health, summer, or net-cost terms remain unresolved. | Applicable waiver or final Fall 2027 cost is not guaranteed.</x:v>
      </x:c>
      <x:c r="R18" s="18" t="e">
        <x:f>HYPERLINK("https://catalog.uic.edu/gcat/colleges-schools/engineering/cs/phd/","Open source")</x:f>
        <x:v>HYPERLINK is not implemented. linkLocation=https://catalog.uic.edu/gcat/colleges-schools/engineering/cs/phd/, friendlyName=Open source</x:v>
      </x:c>
    </x:row>
    <x:row r="19" ht="46" customHeight="1">
      <x:c r="A19" s="17" t="str">
        <x:v>core</x:v>
      </x:c>
      <x:c r="B19" s="17" t="n">
        <x:v>4</x:v>
      </x:c>
      <x:c r="C19" s="17" t="str">
        <x:v>University of Michigan-Ann Arbor</x:v>
      </x:c>
      <x:c r="D19" s="17" t="str">
        <x:v>Computer Science and Engineering PhD</x:v>
      </x:c>
      <x:c r="E19" s="17" t="str">
        <x:v>PhD</x:v>
      </x:c>
      <x:c r="F19" s="17" t="str">
        <x:v>us</x:v>
      </x:c>
      <x:c r="G19" s="17" t="n">
        <x:v>68</x:v>
      </x:c>
      <x:c r="H19" s="17" t="n">
        <x:v>1</x:v>
      </x:c>
      <x:c r="I19" s="17" t="str">
        <x:v>Yes</x:v>
      </x:c>
      <x:c r="J19" s="17" t="str">
        <x:v>verified support with material cost gaps</x:v>
      </x:c>
      <x:c r="K19" s="17" t="str">
        <x:v>90 international / 75 domestic</x:v>
      </x:c>
      <x:c r="L19" s="17" t="str">
        <x:v>USD</x:v>
      </x:c>
      <x:c r="M19" s="17" t="str">
        <x:v>2026-12-15</x:v>
      </x:c>
      <x:c r="N19" s="17" t="str">
        <x:v>Fall 2027 application cycle and deadline explicitly labeled; 11:59 p.m. ET</x:v>
      </x:c>
      <x:c r="O19" s="17" t="str">
        <x:v>partial</x:v>
      </x:c>
      <x:c r="P19" s="17" t="str">
        <x:v>medium</x:v>
      </x:c>
      <x:c r="Q19" s="17" t="str">
        <x:v>How will the committee weigh the &gt;3.5 recent-two-year record against the 3.35 cumulative GPA? | Single-professor dependency. | One or more duration, tuition, fee, health, summer, or net-cost terms remain unresolved. | Applicable waiver or final Fall 2027 cost is not guaranteed.</x:v>
      </x:c>
      <x:c r="R19" s="18" t="e">
        <x:f>HYPERLINK("https://cse.engin.umich.edu/academics/graduate/admissions/","Open source")</x:f>
        <x:v>HYPERLINK is not implemented. linkLocation=https://cse.engin.umich.edu/academics/graduate/admissions/, friendlyName=Open source</x:v>
      </x:c>
    </x:row>
    <x:row r="20" ht="46" customHeight="1">
      <x:c r="A20" s="17" t="str">
        <x:v>core</x:v>
      </x:c>
      <x:c r="B20" s="17" t="n">
        <x:v>4</x:v>
      </x:c>
      <x:c r="C20" s="17" t="str">
        <x:v>University of Utah</x:v>
      </x:c>
      <x:c r="D20" s="17" t="str">
        <x:v>Computing PhD</x:v>
      </x:c>
      <x:c r="E20" s="17" t="str">
        <x:v>PhD</x:v>
      </x:c>
      <x:c r="F20" s="17" t="str">
        <x:v>us</x:v>
      </x:c>
      <x:c r="G20" s="17" t="n">
        <x:v>68</x:v>
      </x:c>
      <x:c r="H20" s="17" t="n">
        <x:v>1</x:v>
      </x:c>
      <x:c r="I20" s="17" t="str">
        <x:v>Yes</x:v>
      </x:c>
      <x:c r="J20" s="17" t="str">
        <x:v>verified support with material cost gaps</x:v>
      </x:c>
      <x:c r="K20" s="17" t="n">
        <x:v>65</x:v>
      </x:c>
      <x:c r="L20" s="17" t="str">
        <x:v>USD</x:v>
      </x:c>
      <x:c r="M20" s="17" t="str">
        <x:v>Current admissions page displays December 15, 2027</x:v>
      </x:c>
      <x:c r="N20" s="17" t="str">
        <x:v>Displayed date conflicts with Fall 2027 timing and must be clarified; not used as a verified Fall 2027 deadline</x:v>
      </x:c>
      <x:c r="O20" s="17" t="str">
        <x:v>partial</x:v>
      </x:c>
      <x:c r="P20" s="17" t="str">
        <x:v>medium</x:v>
      </x:c>
      <x:c r="Q20" s="17" t="str">
        <x:v>What is the correct Fall 2027 deadline, and will the offer specify full first-year appointment and differential-fee coverage? | Single-professor dependency. | One or more duration, tuition, fee, health, summer, or net-cost terms remain unresolved. | Applicable waiver or final Fall 2027 cost is not guaranteed.</x:v>
      </x:c>
      <x:c r="R20" s="18" t="e">
        <x:f>HYPERLINK("https://www.cs.utah.edu/graduate/academic-programs/ms-and-phd-programs/","Open source")</x:f>
        <x:v>HYPERLINK is not implemented. linkLocation=https://www.cs.utah.edu/graduate/academic-programs/ms-and-phd-programs/, friendlyName=Open source</x:v>
      </x:c>
    </x:row>
    <x:row r="21" ht="46" customHeight="1">
      <x:c r="A21" s="17" t="str">
        <x:v>reserve</x:v>
      </x:c>
      <x:c r="B21" s="17" t="n">
        <x:v>5</x:v>
      </x:c>
      <x:c r="C21" s="17" t="str">
        <x:v>Brown University</x:v>
      </x:c>
      <x:c r="D21" s="17" t="str">
        <x:v>Computer Science PhD</x:v>
      </x:c>
      <x:c r="E21" s="17" t="str">
        <x:v>PhD</x:v>
      </x:c>
      <x:c r="F21" s="17" t="str">
        <x:v>us</x:v>
      </x:c>
      <x:c r="G21" s="17" t="n">
        <x:v>65</x:v>
      </x:c>
      <x:c r="H21" s="17" t="n">
        <x:v>1</x:v>
      </x:c>
      <x:c r="I21" s="17" t="str">
        <x:v>Yes</x:v>
      </x:c>
      <x:c r="J21" s="17" t="str">
        <x:v>verified support with material cost gaps</x:v>
      </x:c>
      <x:c r="K21" s="17" t="str">
        <x:v>Not verified</x:v>
      </x:c>
      <x:c r="L21" s="17" t="str">
        <x:v>USD</x:v>
      </x:c>
      <x:c r="M21" s="17" t="str">
        <x:v>December 15</x:v>
      </x:c>
      <x:c r="N21" s="17" t="str">
        <x:v>Current fall-entry deadline; calendar year not explicitly printed</x:v>
      </x:c>
      <x:c r="O21" s="17" t="str">
        <x:v>partial</x:v>
      </x:c>
      <x:c r="P21" s="17" t="str">
        <x:v>low</x:v>
      </x:c>
      <x:c r="Q21" s="17" t="str">
        <x:v>What are the exact guaranteed duration, 2027-2028 stipend, summer, and mandatory-fee terms? | Single-professor dependency. | One or more duration, tuition, fee, health, summer, or net-cost terms remain unresolved. | Fee is high or the applicable Fall 2027 amount/waiver remains unverified.</x:v>
      </x:c>
      <x:c r="R21" s="18" t="e">
        <x:f>HYPERLINK("https://cs.brown.edu/degrees/doctoral/","Open source")</x:f>
        <x:v>HYPERLINK is not implemented. linkLocation=https://cs.brown.edu/degrees/doctoral/, friendlyName=Open source</x:v>
      </x:c>
    </x:row>
    <x:row r="22" ht="46" customHeight="1">
      <x:c r="A22" s="17" t="str">
        <x:v>reserve</x:v>
      </x:c>
      <x:c r="B22" s="17" t="n">
        <x:v>5</x:v>
      </x:c>
      <x:c r="C22" s="17" t="str">
        <x:v>Old Dominion University</x:v>
      </x:c>
      <x:c r="D22" s="17" t="str">
        <x:v>Computer Science (Ph.D.)</x:v>
      </x:c>
      <x:c r="E22" s="17" t="str">
        <x:v>PhD</x:v>
      </x:c>
      <x:c r="F22" s="17" t="str">
        <x:v>us</x:v>
      </x:c>
      <x:c r="G22" s="17" t="n">
        <x:v>65</x:v>
      </x:c>
      <x:c r="H22" s="17" t="n">
        <x:v>1</x:v>
      </x:c>
      <x:c r="I22" s="17" t="str">
        <x:v>Yes</x:v>
      </x:c>
      <x:c r="J22" s="17" t="str">
        <x:v>verified support with material cost gaps</x:v>
      </x:c>
      <x:c r="K22" s="17" t="str">
        <x:v>A nonrefundable graduate application fee applies; exact current amount was not verified on the official pages checked</x:v>
      </x:c>
      <x:c r="L22" s="17" t="str">
        <x:v>USD</x:v>
      </x:c>
      <x:c r="M22" s="17" t="str">
        <x:v>April 15 is the published international fall deadline; Fall 2027 is not separately labeled</x:v>
      </x:c>
      <x:c r="N22" s="17" t="str">
        <x:v>Current recurring departmental deadline checked 2026-09-11; reconfirm for Fall 2027</x:v>
      </x:c>
      <x:c r="O22" s="17" t="str">
        <x:v>partial</x:v>
      </x:c>
      <x:c r="P22" s="17" t="str">
        <x:v>low</x:v>
      </x:c>
      <x:c r="Q22" s="17" t="str">
        <x:v>What written renewal, fee, insurance, and summer terms apply after the guaranteed first-year assistantship? | Single-professor dependency. | One or more duration, tuition, fee, health, summer, or net-cost terms remain unresolved. | Fee is high or the applicable Fall 2027 amount/waiver remains unverified.</x:v>
      </x:c>
      <x:c r="R22" s="18" t="e">
        <x:f>HYPERLINK("https://www.odu.edu/academics/programs/doctoral/computer-science","Open source")</x:f>
        <x:v>HYPERLINK is not implemented. linkLocation=https://www.odu.edu/academics/programs/doctoral/computer-science, friendlyName=Open source</x:v>
      </x:c>
    </x:row>
    <x:row r="23" ht="46" customHeight="1">
      <x:c r="A23" s="17" t="str">
        <x:v>reserve</x:v>
      </x:c>
      <x:c r="B23" s="17" t="n">
        <x:v>5</x:v>
      </x:c>
      <x:c r="C23" s="17" t="str">
        <x:v>Trent University</x:v>
      </x:c>
      <x:c r="D23" s="17" t="str">
        <x:v>MSc in Applied Modelling and Quantitative Methods — Thesis Stream</x:v>
      </x:c>
      <x:c r="E23" s="17" t="str">
        <x:v>Thesis or research master's</x:v>
      </x:c>
      <x:c r="F23" s="17" t="str">
        <x:v>canada</x:v>
      </x:c>
      <x:c r="G23" s="17" t="n">
        <x:v>65</x:v>
      </x:c>
      <x:c r="H23" s="17" t="n">
        <x:v>1</x:v>
      </x:c>
      <x:c r="I23" s="17" t="str">
        <x:v>Yes</x:v>
      </x:c>
      <x:c r="J23" s="17" t="str">
        <x:v>verified support with material cost gaps</x:v>
      </x:c>
      <x:c r="K23" s="17" t="str">
        <x:v>125 per program</x:v>
      </x:c>
      <x:c r="L23" s="17" t="str">
        <x:v>CAD</x:v>
      </x:c>
      <x:c r="M23" s="17" t="str">
        <x:v>February 1 is the general fall close date; Fall 2027 is not separately labeled</x:v>
      </x:c>
      <x:c r="N23" s="17" t="str">
        <x:v>Recurring fall close date checked 2026-09-11; reconfirm for Fall 2027</x:v>
      </x:c>
      <x:c r="O23" s="17" t="str">
        <x:v>partial</x:v>
      </x:c>
      <x:c r="P23" s="17" t="str">
        <x:v>low</x:v>
      </x:c>
      <x:c r="Q23" s="17" t="str">
        <x:v>After international tuition, fees, insurance, and living costs, what guaranteed net amount remains for each of the two years? | Single-professor dependency. | One or more duration, tuition, fee, health, summer, or net-cost terms remain unresolved. | Fee is high or the applicable Fall 2027 amount/waiver remains unverified.</x:v>
      </x:c>
      <x:c r="R23" s="18" t="e">
        <x:f>HYPERLINK("https://www.trentu.ca/graduatestudies/program/applied-modelling-quantitative-methods-ma-or-msc/thesis-stream","Open source")</x:f>
        <x:v>HYPERLINK is not implemented. linkLocation=https://www.trentu.ca/graduatestudies/program/applied-modelling-quantitative-methods-ma-or-msc/thesis-stream, friendlyName=Open source</x:v>
      </x:c>
    </x:row>
    <x:row r="24" ht="46" customHeight="1">
      <x:c r="A24" s="17" t="str">
        <x:v>reserve</x:v>
      </x:c>
      <x:c r="B24" s="17" t="n">
        <x:v>5</x:v>
      </x:c>
      <x:c r="C24" s="17" t="str">
        <x:v>University of Toronto</x:v>
      </x:c>
      <x:c r="D24" s="17" t="str">
        <x:v>Master of Applied Science in Electrical and Computer Engineering</x:v>
      </x:c>
      <x:c r="E24" s="17" t="str">
        <x:v>Thesis or research master's</x:v>
      </x:c>
      <x:c r="F24" s="17" t="str">
        <x:v>canada</x:v>
      </x:c>
      <x:c r="G24" s="17" t="n">
        <x:v>65</x:v>
      </x:c>
      <x:c r="H24" s="17" t="n">
        <x:v>1</x:v>
      </x:c>
      <x:c r="I24" s="17" t="str">
        <x:v>Yes</x:v>
      </x:c>
      <x:c r="J24" s="17" t="str">
        <x:v>verified support with material cost gaps</x:v>
      </x:c>
      <x:c r="K24" s="17" t="n">
        <x:v>135</x:v>
      </x:c>
      <x:c r="L24" s="17" t="str">
        <x:v>CAD</x:v>
      </x:c>
      <x:c r="M24" s="17" t="str">
        <x:v>January 7, 2027 for Fall 2027 or Winter 2028 MASc entry</x:v>
      </x:c>
      <x:c r="N24" s="17" t="str">
        <x:v>Published 2027-28 research-stream deadline</x:v>
      </x:c>
      <x:c r="O24" s="17" t="str">
        <x:v>partial</x:v>
      </x:c>
      <x:c r="P24" s="17" t="str">
        <x:v>low</x:v>
      </x:c>
      <x:c r="Q24" s="17" t="str">
        <x:v>What exact 2027-28 net funding, ancillary-fee, insurance, and summer payment terms apply to an international MASc offer? | Single-professor dependency. | One or more duration, tuition, fee, health, summer, or net-cost terms remain unresolved. | Fee is high or the applicable Fall 2027 amount/waiver remains unverified.</x:v>
      </x:c>
      <x:c r="R24" s="18" t="e">
        <x:f>HYPERLINK("https://www.ece.utoronto.ca/graduates/degree-programs/masc/","Open source")</x:f>
        <x:v>HYPERLINK is not implemented. linkLocation=https://www.ece.utoronto.ca/graduates/degree-programs/masc/, friendlyName=Open source</x:v>
      </x:c>
    </x:row>
    <x:row r="25" ht="46" customHeight="1">
      <x:c r="A25" s="17" t="str">
        <x:v>reserve</x:v>
      </x:c>
      <x:c r="B25" s="17" t="n">
        <x:v>5</x:v>
      </x:c>
      <x:c r="C25" s="17" t="str">
        <x:v>University of Waterloo</x:v>
      </x:c>
      <x:c r="D25" s="17" t="str">
        <x:v>Master of Applied Science in Electrical and Computer Engineering</x:v>
      </x:c>
      <x:c r="E25" s="17" t="str">
        <x:v>Thesis or research master's</x:v>
      </x:c>
      <x:c r="F25" s="17" t="str">
        <x:v>canada</x:v>
      </x:c>
      <x:c r="G25" s="17" t="n">
        <x:v>65</x:v>
      </x:c>
      <x:c r="H25" s="17" t="n">
        <x:v>1</x:v>
      </x:c>
      <x:c r="I25" s="17" t="str">
        <x:v>Yes</x:v>
      </x:c>
      <x:c r="J25" s="17" t="str">
        <x:v>verified support with material cost gaps</x:v>
      </x:c>
      <x:c r="K25" s="17" t="str">
        <x:v>Not verified on the ECE pages checked</x:v>
      </x:c>
      <x:c r="L25" s="17" t="str">
        <x:v>CAD</x:v>
      </x:c>
      <x:c r="M25" s="17" t="str">
        <x:v>February 1, 2027 inferred from the department's recurring September-entry deadline</x:v>
      </x:c>
      <x:c r="N25" s="17" t="str">
        <x:v>Current recurring deadline checked 2026-09-10; Fall 2027 not separately labeled</x:v>
      </x:c>
      <x:c r="O25" s="17" t="str">
        <x:v>partial</x:v>
      </x:c>
      <x:c r="P25" s="17" t="str">
        <x:v>low</x:v>
      </x:c>
      <x:c r="Q25" s="17" t="str">
        <x:v>After international tuition and living costs, is the guaranteed CAD 18,000 plus any supervisor top-up financially viable? | Single-professor dependency. | One or more duration, tuition, fee, health, summer, or net-cost terms remain unresolved. | Fee is high or the applicable Fall 2027 amount/waiver remains unverified.</x:v>
      </x:c>
      <x:c r="R25" s="18" t="e">
        <x:f>HYPERLINK("https://uwaterloo.ca/electrical-computer-engineering/master-applied-science-masc","Open source")</x:f>
        <x:v>HYPERLINK is not implemented. linkLocation=https://uwaterloo.ca/electrical-computer-engineering/master-applied-science-masc, friendlyName=Open source</x:v>
      </x:c>
    </x:row>
    <x:row r="26" ht="46" customHeight="1">
      <x:c r="A26" s="17" t="str">
        <x:v>reserve</x:v>
      </x:c>
      <x:c r="B26" s="17" t="n">
        <x:v>5</x:v>
      </x:c>
      <x:c r="C26" s="17" t="str">
        <x:v>York University</x:v>
      </x:c>
      <x:c r="D26" s="17" t="str">
        <x:v>Master of Science in Computer Science — Thesis Option</x:v>
      </x:c>
      <x:c r="E26" s="17" t="str">
        <x:v>Thesis or research master's</x:v>
      </x:c>
      <x:c r="F26" s="17" t="str">
        <x:v>canada</x:v>
      </x:c>
      <x:c r="G26" s="17" t="n">
        <x:v>65</x:v>
      </x:c>
      <x:c r="H26" s="17" t="n">
        <x:v>1</x:v>
      </x:c>
      <x:c r="I26" s="17" t="str">
        <x:v>Yes</x:v>
      </x:c>
      <x:c r="J26" s="17" t="str">
        <x:v>verified support with material cost gaps</x:v>
      </x:c>
      <x:c r="K26" s="17" t="n">
        <x:v>130</x:v>
      </x:c>
      <x:c r="L26" s="17" t="str">
        <x:v>CAD</x:v>
      </x:c>
      <x:c r="M26" s="17" t="str">
        <x:v>December 1, 2026</x:v>
      </x:c>
      <x:c r="N26" s="17" t="str">
        <x:v>Explicit Fall entry deadline displayed for the current 2027 application cycle</x:v>
      </x:c>
      <x:c r="O26" s="17" t="str">
        <x:v>partial</x:v>
      </x:c>
      <x:c r="P26" s="17" t="str">
        <x:v>low</x:v>
      </x:c>
      <x:c r="Q26" s="17" t="str">
        <x:v>What will the Fall 2027 offer's net amount be after international tuition, ancillary fees, taxes, and health costs? | Single-professor dependency. | One or more duration, tuition, fee, health, summer, or net-cost terms remain unresolved. | Fee is high or the applicable Fall 2027 amount/waiver remains unverified.</x:v>
      </x:c>
      <x:c r="R26" s="18" t="e">
        <x:f>HYPERLINK("https://lassonde.yorku.ca/academics/graduate-program-in-computer-science","Open source")</x:f>
        <x:v>HYPERLINK is not implemented. linkLocation=https://lassonde.yorku.ca/academics/graduate-program-in-computer-science, friendlyName=Open source</x:v>
      </x:c>
    </x:row>
  </x:sheetData>
  <x:mergeCells>
    <x:mergeCell ref="A1:R1"/>
    <x:mergeCell ref="A2:R2"/>
    <x:mergeCell ref="A3:R3"/>
  </x:mergeCells>
  <x:conditionalFormatting sqref="G5:G26">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7da6bec53a5e4b32"/>
  </x:tableParts>
</x:worksheet>
</file>

<file path=xl/worksheets/sheet3.xml><?xml version="1.0" encoding="utf-8"?>
<x:worksheet xmlns:x="http://schemas.openxmlformats.org/spreadsheetml/2006/main">
  <x:sheetPr>
    <x:tabColor rgb="FF087E8B"/>
  </x:sheetPr>
  <x:sheetViews>
    <x:sheetView showGridLines="0" workbookViewId="0">
      <x:pane xSplit="2" ySplit="4" topLeftCell="C5" activePane="bottomRight" state="frozen"/>
    </x:sheetView>
  </x:sheetViews>
  <x:sheetFormatPr defaultRowHeight="15"/>
  <x:cols>
    <x:col min="1" max="1" width="12" hidden="0" customWidth="1"/>
    <x:col min="2" max="2" width="12" hidden="0" customWidth="1"/>
    <x:col min="3" max="3" width="38" hidden="0" customWidth="1"/>
    <x:col min="4" max="4" width="12" hidden="0" customWidth="1"/>
    <x:col min="5" max="5" width="11" hidden="0" customWidth="1"/>
    <x:col min="6" max="6" width="38" hidden="0" customWidth="1"/>
    <x:col min="7" max="7" width="26" hidden="0" customWidth="1"/>
    <x:col min="8" max="8" width="12" hidden="0" customWidth="1"/>
    <x:col min="9" max="9" width="12" hidden="0" customWidth="1"/>
    <x:col min="10" max="10" width="12" hidden="0" customWidth="1"/>
    <x:col min="11" max="11" width="12" hidden="0" customWidth="1"/>
    <x:col min="12" max="12" width="12" hidden="0" customWidth="1"/>
    <x:col min="13" max="13" width="15" hidden="0" customWidth="1"/>
    <x:col min="14" max="14" width="12" hidden="0" customWidth="1"/>
    <x:col min="15" max="15" width="15" hidden="0" customWidth="1"/>
    <x:col min="16" max="16" width="16" hidden="0" customWidth="1"/>
    <x:col min="17" max="17" width="20" hidden="0" customWidth="1"/>
    <x:col min="18" max="18" width="34" hidden="0" customWidth="1"/>
    <x:col min="19" max="19" width="12" hidden="0" customWidth="1"/>
    <x:col min="20" max="20" width="24" hidden="0" customWidth="1"/>
    <x:col min="21" max="21" width="17" hidden="0" customWidth="1"/>
    <x:col min="22" max="22" width="34" hidden="0" customWidth="1"/>
    <x:col min="23" max="23" width="12" hidden="0" customWidth="1"/>
    <x:col min="24" max="24" width="38" hidden="0" customWidth="1"/>
    <x:col min="25" max="25" width="18" hidden="0" customWidth="1"/>
  </x:cols>
  <x:sheetData>
    <x:row r="1" ht="28" customHeight="1">
      <x:c r="A1" s="3" t="str">
        <x:v>Schools &amp; Programs</x:v>
      </x:c>
    </x:row>
    <x:row r="2" ht="34" customHeight="1">
      <x:c r="A2" s="7" t="str">
        <x:v>All 166 deeply scored programs. Do-not-apply rows retain diagnostic scores but are not recommendations.</x:v>
      </x:c>
    </x:row>
    <x:row r="3" ht="20" customHeight="1">
      <x:c r="A3" s="9" t="str">
        <x:v>Evidence snapshot: 2026-09-11 · 166 records · Use the row-4 filters; uncertainty is intentional.</x:v>
      </x:c>
    </x:row>
    <x:row r="4" ht="34" customHeight="1">
      <x:c r="A4" s="13" t="str">
        <x:v>Portfolio Status</x:v>
      </x:c>
      <x:c r="B4" s="13" t="str">
        <x:v>Evidence Rank</x:v>
      </x:c>
      <x:c r="C4" s="13" t="str">
        <x:v>Institution</x:v>
      </x:c>
      <x:c r="D4" s="13" t="str">
        <x:v>Country</x:v>
      </x:c>
      <x:c r="E4" s="13" t="str">
        <x:v>Region</x:v>
      </x:c>
      <x:c r="F4" s="13" t="str">
        <x:v>Program</x:v>
      </x:c>
      <x:c r="G4" s="13" t="str">
        <x:v>Degree</x:v>
      </x:c>
      <x:c r="H4" s="13" t="str">
        <x:v>Overall Score</x:v>
      </x:c>
      <x:c r="I4" s="13" t="str">
        <x:v>Professor Score</x:v>
      </x:c>
      <x:c r="J4" s="13" t="str">
        <x:v>Depth Score</x:v>
      </x:c>
      <x:c r="K4" s="13" t="str">
        <x:v>Funding Score</x:v>
      </x:c>
      <x:c r="L4" s="13" t="str">
        <x:v>Eligibility Score</x:v>
      </x:c>
      <x:c r="M4" s="13" t="str">
        <x:v>Admissions Alignment</x:v>
      </x:c>
      <x:c r="N4" s="13" t="str">
        <x:v>Economics Score</x:v>
      </x:c>
      <x:c r="O4" s="13" t="str">
        <x:v>All Hard Gates Pass</x:v>
      </x:c>
      <x:c r="P4" s="13" t="str">
        <x:v>Hard-Gate Failures</x:v>
      </x:c>
      <x:c r="Q4" s="13" t="str">
        <x:v>Distinct Strong Professors</x:v>
      </x:c>
      <x:c r="R4" s="13" t="str">
        <x:v>Funding Status</x:v>
      </x:c>
      <x:c r="S4" s="13" t="str">
        <x:v>Application Fee</x:v>
      </x:c>
      <x:c r="T4" s="13" t="str">
        <x:v>Fee Currency</x:v>
      </x:c>
      <x:c r="U4" s="13" t="str">
        <x:v>Admission Plausibility</x:v>
      </x:c>
      <x:c r="V4" s="13" t="str">
        <x:v>Evidence Completeness</x:v>
      </x:c>
      <x:c r="W4" s="13" t="str">
        <x:v>Score Confidence</x:v>
      </x:c>
      <x:c r="X4" s="13" t="str">
        <x:v>Unresolved Conflicts</x:v>
      </x:c>
      <x:c r="Y4" s="13" t="str">
        <x:v>Official Program URL</x:v>
      </x:c>
    </x:row>
    <x:row r="5" ht="46" customHeight="1">
      <x:c r="A5" s="17" t="str">
        <x:v>core</x:v>
      </x:c>
      <x:c r="B5" s="17" t="n">
        <x:v>1</x:v>
      </x:c>
      <x:c r="C5" s="17" t="str">
        <x:v>Washington University in St Louis</x:v>
      </x:c>
      <x:c r="D5" s="17" t="str">
        <x:v>United States</x:v>
      </x:c>
      <x:c r="E5" s="17" t="str">
        <x:v>us</x:v>
      </x:c>
      <x:c r="F5" s="17" t="str">
        <x:v>Computer Science PhD</x:v>
      </x:c>
      <x:c r="G5" s="17" t="str">
        <x:v>PhD</x:v>
      </x:c>
      <x:c r="H5" s="17" t="n">
        <x:v>75</x:v>
      </x:c>
      <x:c r="I5" s="17" t="n">
        <x:v>20</x:v>
      </x:c>
      <x:c r="J5" s="17" t="n">
        <x:v>5</x:v>
      </x:c>
      <x:c r="K5" s="17" t="n">
        <x:v>20</x:v>
      </x:c>
      <x:c r="L5" s="17" t="n">
        <x:v>15</x:v>
      </x:c>
      <x:c r="M5" s="17" t="n">
        <x:v>10</x:v>
      </x:c>
      <x:c r="N5" s="17" t="n">
        <x:v>5</x:v>
      </x:c>
      <x:c r="O5" s="17" t="str">
        <x:v>Yes</x:v>
      </x:c>
      <x:c r="P5" s="17" t="str"/>
      <x:c r="Q5" s="17" t="n">
        <x:v>1</x:v>
      </x:c>
      <x:c r="R5" s="17" t="str">
        <x:v>McKelvey states its PhD students are fully funded with full tuition and health insurance</x:v>
      </x:c>
      <x:c r="S5" s="17" t="str">
        <x:v>Not stated on reviewed official admissions page</x:v>
      </x:c>
      <x:c r="T5" s="17" t="str">
        <x:v>USD</x:v>
      </x:c>
      <x:c r="U5" s="17" t="str">
        <x:v>Plausible</x:v>
      </x:c>
      <x:c r="V5" s="17" t="str">
        <x:v>partial</x:v>
      </x:c>
      <x:c r="W5" s="17" t="str">
        <x:v>medium</x:v>
      </x:c>
      <x:c r="X5" s="17" t="str">
        <x:v>Confirm deadline/fee and multi-year/summer terms with CSE Graduate Admissions | Single-professor dependency. | One or more duration, tuition, fee, health, summer, or net-cost terms remain unresolved.</x:v>
      </x:c>
      <x:c r="Y5" s="18" t="e">
        <x:f>HYPERLINK("https://admin.aprc.wustl.edu/academics/graduate-admissions/index.html","Open source")</x:f>
        <x:v>HYPERLINK is not implemented. linkLocation=https://admin.aprc.wustl.edu/academics/graduate-admissions/index.html, friendlyName=Open source</x:v>
      </x:c>
    </x:row>
    <x:row r="6" ht="46" customHeight="1">
      <x:c r="A6" s="17" t="str">
        <x:v>core</x:v>
      </x:c>
      <x:c r="B6" s="17" t="n">
        <x:v>2</x:v>
      </x:c>
      <x:c r="C6" s="17" t="str">
        <x:v>Lehigh University</x:v>
      </x:c>
      <x:c r="D6" s="17" t="str">
        <x:v>United States</x:v>
      </x:c>
      <x:c r="E6" s="17" t="str">
        <x:v>us</x:v>
      </x:c>
      <x:c r="F6" s="17" t="str">
        <x:v>PhD in Computer Science</x:v>
      </x:c>
      <x:c r="G6" s="17" t="str">
        <x:v>PhD</x:v>
      </x:c>
      <x:c r="H6" s="17" t="n">
        <x:v>73</x:v>
      </x:c>
      <x:c r="I6" s="17" t="n">
        <x:v>20</x:v>
      </x:c>
      <x:c r="J6" s="17" t="n">
        <x:v>5</x:v>
      </x:c>
      <x:c r="K6" s="17" t="n">
        <x:v>25</x:v>
      </x:c>
      <x:c r="L6" s="17" t="n">
        <x:v>10</x:v>
      </x:c>
      <x:c r="M6" s="17" t="n">
        <x:v>10</x:v>
      </x:c>
      <x:c r="N6" s="17" t="n">
        <x:v>3</x:v>
      </x:c>
      <x:c r="O6" s="17" t="str">
        <x:v>Yes</x:v>
      </x:c>
      <x:c r="P6" s="17" t="str"/>
      <x:c r="Q6" s="17" t="n">
        <x:v>1</x:v>
      </x:c>
      <x:c r="R6" s="17" t="str">
        <x:v>All Rossin College PhDs are stated to be 100 percent fully funded</x:v>
      </x:c>
      <x:c r="S6" s="17" t="n">
        <x:v>50</x:v>
      </x:c>
      <x:c r="T6" s="17" t="str">
        <x:v>USD</x:v>
      </x:c>
      <x:c r="U6" s="17" t="str">
        <x:v>Plausible</x:v>
      </x:c>
      <x:c r="V6" s="17" t="str">
        <x:v>partial</x:v>
      </x:c>
      <x:c r="W6" s="17" t="str">
        <x:v>medium</x:v>
      </x:c>
      <x:c r="X6" s="17" t="str">
        <x:v>What duration, summer, insurance, and mandatory-fee terms will Lehigh include in the actual funding offer? | Single-professor dependency. | Applicable waiver or final Fall 2027 cost is not guaranteed.</x:v>
      </x:c>
      <x:c r="Y6" s="18" t="e">
        <x:f>HYPERLINK("https://engineering.lehigh.edu/academics/graduate/phd/phd-computer-science","Open source")</x:f>
        <x:v>HYPERLINK is not implemented. linkLocation=https://engineering.lehigh.edu/academics/graduate/phd/phd-computer-science, friendlyName=Open source</x:v>
      </x:c>
    </x:row>
    <x:row r="7" ht="46" customHeight="1">
      <x:c r="A7" s="17" t="str">
        <x:v>core</x:v>
      </x:c>
      <x:c r="B7" s="17" t="n">
        <x:v>2</x:v>
      </x:c>
      <x:c r="C7" s="17" t="str">
        <x:v>University of Arizona</x:v>
      </x:c>
      <x:c r="D7" s="17" t="str">
        <x:v>United States</x:v>
      </x:c>
      <x:c r="E7" s="17" t="str">
        <x:v>us</x:v>
      </x:c>
      <x:c r="F7" s="17" t="str">
        <x:v>Computer Science PhD</x:v>
      </x:c>
      <x:c r="G7" s="17" t="str">
        <x:v>PhD</x:v>
      </x:c>
      <x:c r="H7" s="17" t="n">
        <x:v>73</x:v>
      </x:c>
      <x:c r="I7" s="17" t="n">
        <x:v>20</x:v>
      </x:c>
      <x:c r="J7" s="17" t="n">
        <x:v>5</x:v>
      </x:c>
      <x:c r="K7" s="17" t="n">
        <x:v>25</x:v>
      </x:c>
      <x:c r="L7" s="17" t="n">
        <x:v>10</x:v>
      </x:c>
      <x:c r="M7" s="17" t="n">
        <x:v>10</x:v>
      </x:c>
      <x:c r="N7" s="17" t="n">
        <x:v>3</x:v>
      </x:c>
      <x:c r="O7" s="17" t="str">
        <x:v>Yes</x:v>
      </x:c>
      <x:c r="P7" s="17" t="str"/>
      <x:c r="Q7" s="17" t="n">
        <x:v>1</x:v>
      </x:c>
      <x:c r="R7" s="17" t="str">
        <x:v>Enrolled doctoral students making satisfactory progress are guaranteed multi-year funding; 100% of current PhD students are reported funded</x:v>
      </x:c>
      <x:c r="S7" s="17" t="n">
        <x:v>90</x:v>
      </x:c>
      <x:c r="T7" s="17" t="str">
        <x:v>USD</x:v>
      </x:c>
      <x:c r="U7" s="17" t="str">
        <x:v>Plausible</x:v>
      </x:c>
      <x:c r="V7" s="17" t="str">
        <x:v>partial</x:v>
      </x:c>
      <x:c r="W7" s="17" t="str">
        <x:v>medium</x:v>
      </x:c>
      <x:c r="X7" s="17" t="str">
        <x:v>What duration, stipend, mandatory-fee, and summer terms will the admission offer specify? | Single-professor dependency. | Applicable waiver or final Fall 2027 cost is not guaranteed.</x:v>
      </x:c>
      <x:c r="Y7" s="18" t="e">
        <x:f>HYPERLINK("https://cs.arizona.edu/graduate/prospective-students","Open source")</x:f>
        <x:v>HYPERLINK is not implemented. linkLocation=https://cs.arizona.edu/graduate/prospective-students, friendlyName=Open source</x:v>
      </x:c>
    </x:row>
    <x:row r="8" ht="46" customHeight="1">
      <x:c r="A8" s="17" t="str">
        <x:v>core</x:v>
      </x:c>
      <x:c r="B8" s="17" t="n">
        <x:v>2</x:v>
      </x:c>
      <x:c r="C8" s="17" t="str">
        <x:v>University of Colorado Boulder</x:v>
      </x:c>
      <x:c r="D8" s="17" t="str">
        <x:v>United States</x:v>
      </x:c>
      <x:c r="E8" s="17" t="str">
        <x:v>us</x:v>
      </x:c>
      <x:c r="F8" s="17" t="str">
        <x:v>Doctor of Philosophy in Computer Science</x:v>
      </x:c>
      <x:c r="G8" s="17" t="str">
        <x:v>PhD</x:v>
      </x:c>
      <x:c r="H8" s="17" t="n">
        <x:v>73</x:v>
      </x:c>
      <x:c r="I8" s="17" t="n">
        <x:v>20</x:v>
      </x:c>
      <x:c r="J8" s="17" t="n">
        <x:v>5</x:v>
      </x:c>
      <x:c r="K8" s="17" t="n">
        <x:v>25</x:v>
      </x:c>
      <x:c r="L8" s="17" t="n">
        <x:v>10</x:v>
      </x:c>
      <x:c r="M8" s="17" t="n">
        <x:v>10</x:v>
      </x:c>
      <x:c r="N8" s="17" t="n">
        <x:v>3</x:v>
      </x:c>
      <x:c r="O8" s="17" t="str">
        <x:v>Yes</x:v>
      </x:c>
      <x:c r="P8" s="17" t="str"/>
      <x:c r="Q8" s="17" t="n">
        <x:v>1</x:v>
      </x:c>
      <x:c r="R8" s="17" t="str">
        <x:v>All admitted PhD students receive a TA or RA offer and the department describes a five-year full-funding commitment</x:v>
      </x:c>
      <x:c r="S8" s="17" t="n">
        <x:v>80</x:v>
      </x:c>
      <x:c r="T8" s="17" t="str">
        <x:v>USD</x:v>
      </x:c>
      <x:c r="U8" s="17" t="str">
        <x:v>Plausible</x:v>
      </x:c>
      <x:c r="V8" s="17" t="str">
        <x:v>partial</x:v>
      </x:c>
      <x:c r="W8" s="17" t="str">
        <x:v>medium</x:v>
      </x:c>
      <x:c r="X8" s="17" t="str">
        <x:v>What summer support and current 2027-2028 stipend will the individual offer provide? | Single-professor dependency. | Applicable waiver or final Fall 2027 cost is not guaranteed.</x:v>
      </x:c>
      <x:c r="Y8" s="18" t="e">
        <x:f>HYPERLINK("https://www.colorado.edu/cs/academics/graduate-programs/doctor-philosophy","Open source")</x:f>
        <x:v>HYPERLINK is not implemented. linkLocation=https://www.colorado.edu/cs/academics/graduate-programs/doctor-philosophy, friendlyName=Open source</x:v>
      </x:c>
    </x:row>
    <x:row r="9" ht="46" customHeight="1">
      <x:c r="A9" s="17" t="str">
        <x:v>core</x:v>
      </x:c>
      <x:c r="B9" s="17" t="n">
        <x:v>2</x:v>
      </x:c>
      <x:c r="C9" s="17" t="str">
        <x:v>University of Massachusetts-Amherst</x:v>
      </x:c>
      <x:c r="D9" s="17" t="str">
        <x:v>United States</x:v>
      </x:c>
      <x:c r="E9" s="17" t="str">
        <x:v>us</x:v>
      </x:c>
      <x:c r="F9" s="17" t="str">
        <x:v>Computer Science PhD</x:v>
      </x:c>
      <x:c r="G9" s="17" t="str">
        <x:v>PhD</x:v>
      </x:c>
      <x:c r="H9" s="17" t="n">
        <x:v>73</x:v>
      </x:c>
      <x:c r="I9" s="17" t="n">
        <x:v>20</x:v>
      </x:c>
      <x:c r="J9" s="17" t="n">
        <x:v>5</x:v>
      </x:c>
      <x:c r="K9" s="17" t="n">
        <x:v>20</x:v>
      </x:c>
      <x:c r="L9" s="17" t="n">
        <x:v>15</x:v>
      </x:c>
      <x:c r="M9" s="17" t="n">
        <x:v>10</x:v>
      </x:c>
      <x:c r="N9" s="17" t="n">
        <x:v>3</x:v>
      </x:c>
      <x:c r="O9" s="17" t="str">
        <x:v>Yes</x:v>
      </x:c>
      <x:c r="P9" s="17" t="str"/>
      <x:c r="Q9" s="17" t="n">
        <x:v>1</x:v>
      </x:c>
      <x:c r="R9" s="17" t="str">
        <x:v>CICS policy guarantees support for the first five years for covered doctoral students, subject to adequate progress and availability of funds</x:v>
      </x:c>
      <x:c r="S9" s="17" t="n">
        <x:v>90</x:v>
      </x:c>
      <x:c r="T9" s="17" t="str">
        <x:v>USD</x:v>
      </x:c>
      <x:c r="U9" s="17" t="str">
        <x:v>Plausible</x:v>
      </x:c>
      <x:c r="V9" s="17" t="str">
        <x:v>partial</x:v>
      </x:c>
      <x:c r="W9" s="17" t="str">
        <x:v>medium</x:v>
      </x:c>
      <x:c r="X9" s="17" t="str">
        <x:v>Confirm the Fall 2027 offer's summer and insurance/fee details | Single-professor dependency. | One or more duration, tuition, fee, health, summer, or net-cost terms remain unresolved. | Applicable waiver or final Fall 2027 cost is not guaranteed.</x:v>
      </x:c>
      <x:c r="Y9" s="18" t="e">
        <x:f>HYPERLINK("https://www.cics.umass.edu/academics/phd-computer-science/how-apply-phd-program","Open source")</x:f>
        <x:v>HYPERLINK is not implemented. linkLocation=https://www.cics.umass.edu/academics/phd-computer-science/how-apply-phd-program, friendlyName=Open source</x:v>
      </x:c>
    </x:row>
    <x:row r="10" ht="46" customHeight="1">
      <x:c r="A10" s="17" t="str">
        <x:v>core</x:v>
      </x:c>
      <x:c r="B10" s="17" t="n">
        <x:v>2</x:v>
      </x:c>
      <x:c r="C10" s="17" t="str">
        <x:v>University of Minnesota-Twin Cities</x:v>
      </x:c>
      <x:c r="D10" s="17" t="str">
        <x:v>United States</x:v>
      </x:c>
      <x:c r="E10" s="17" t="str">
        <x:v>us</x:v>
      </x:c>
      <x:c r="F10" s="17" t="str">
        <x:v>PhD in Computer Science</x:v>
      </x:c>
      <x:c r="G10" s="17" t="str">
        <x:v>PhD</x:v>
      </x:c>
      <x:c r="H10" s="17" t="n">
        <x:v>73</x:v>
      </x:c>
      <x:c r="I10" s="17" t="n">
        <x:v>20</x:v>
      </x:c>
      <x:c r="J10" s="17" t="n">
        <x:v>5</x:v>
      </x:c>
      <x:c r="K10" s="17" t="n">
        <x:v>25</x:v>
      </x:c>
      <x:c r="L10" s="17" t="n">
        <x:v>10</x:v>
      </x:c>
      <x:c r="M10" s="17" t="n">
        <x:v>10</x:v>
      </x:c>
      <x:c r="N10" s="17" t="n">
        <x:v>3</x:v>
      </x:c>
      <x:c r="O10" s="17" t="str">
        <x:v>Yes</x:v>
      </x:c>
      <x:c r="P10" s="17" t="str"/>
      <x:c r="Q10" s="17" t="n">
        <x:v>1</x:v>
      </x:c>
      <x:c r="R10" s="17" t="str">
        <x:v>All admitted Computer Science PhD students are guaranteed funding from day one while making satisfactory academic and research progress</x:v>
      </x:c>
      <x:c r="S10" s="17" t="n">
        <x:v>95</x:v>
      </x:c>
      <x:c r="T10" s="17" t="str">
        <x:v>USD</x:v>
      </x:c>
      <x:c r="U10" s="17" t="str">
        <x:v>Plausible</x:v>
      </x:c>
      <x:c r="V10" s="17" t="str">
        <x:v>partial</x:v>
      </x:c>
      <x:c r="W10" s="17" t="str">
        <x:v>medium</x:v>
      </x:c>
      <x:c r="X10" s="17" t="str">
        <x:v>What are the offer-specific stipend, summer, remaining health-insurance, and mandatory-fee amounts? | Single-professor dependency. | Applicable waiver or final Fall 2027 cost is not guaranteed.</x:v>
      </x:c>
      <x:c r="Y10" s="18" t="e">
        <x:f>HYPERLINK("https://cse.umn.edu/cs/phd-admissions","Open source")</x:f>
        <x:v>HYPERLINK is not implemented. linkLocation=https://cse.umn.edu/cs/phd-admissions, friendlyName=Open source</x:v>
      </x:c>
    </x:row>
    <x:row r="11" ht="46" customHeight="1">
      <x:c r="A11" s="17" t="str">
        <x:v>core</x:v>
      </x:c>
      <x:c r="B11" s="17" t="n">
        <x:v>2</x:v>
      </x:c>
      <x:c r="C11" s="17" t="str">
        <x:v>Virginia Polytechnic Institute and State University</x:v>
      </x:c>
      <x:c r="D11" s="17" t="str">
        <x:v>United States</x:v>
      </x:c>
      <x:c r="E11" s="17" t="str">
        <x:v>us</x:v>
      </x:c>
      <x:c r="F11" s="17" t="str">
        <x:v>Computer Science PhD</x:v>
      </x:c>
      <x:c r="G11" s="17" t="str">
        <x:v>PhD</x:v>
      </x:c>
      <x:c r="H11" s="17" t="n">
        <x:v>73</x:v>
      </x:c>
      <x:c r="I11" s="17" t="n">
        <x:v>20</x:v>
      </x:c>
      <x:c r="J11" s="17" t="n">
        <x:v>5</x:v>
      </x:c>
      <x:c r="K11" s="17" t="n">
        <x:v>20</x:v>
      </x:c>
      <x:c r="L11" s="17" t="n">
        <x:v>15</x:v>
      </x:c>
      <x:c r="M11" s="17" t="n">
        <x:v>10</x:v>
      </x:c>
      <x:c r="N11" s="17" t="n">
        <x:v>3</x:v>
      </x:c>
      <x:c r="O11" s="17" t="str">
        <x:v>Yes</x:v>
      </x:c>
      <x:c r="P11" s="17" t="str"/>
      <x:c r="Q11" s="17" t="n">
        <x:v>1</x:v>
      </x:c>
      <x:c r="R11" s="17" t="str">
        <x:v>Beginning with the Fall 2026 admission cycle, 100% of admitted PhD students receive a conditional five-year offer, excluding summers; some fees remain the student's responsibility.</x:v>
      </x:c>
      <x:c r="S11" s="17" t="n">
        <x:v>75</x:v>
      </x:c>
      <x:c r="T11" s="17" t="str">
        <x:v>USD</x:v>
      </x:c>
      <x:c r="U11" s="17" t="str">
        <x:v>Plausible</x:v>
      </x:c>
      <x:c r="V11" s="17" t="str">
        <x:v>partial</x:v>
      </x:c>
      <x:c r="W11" s="17" t="str">
        <x:v>medium</x:v>
      </x:c>
      <x:c r="X11" s="17" t="str">
        <x:v>What summer-support expectation applies after year one? | Single-professor dependency. | One or more duration, tuition, fee, health, summer, or net-cost terms remain unresolved. | Applicable waiver or final Fall 2027 cost is not guaranteed.</x:v>
      </x:c>
      <x:c r="Y11" s="18" t="e">
        <x:f>HYPERLINK("https://website.cs.vt.edu/academic/graduate/future-grads/doctorate.html","Open source")</x:f>
        <x:v>HYPERLINK is not implemented. linkLocation=https://website.cs.vt.edu/academic/graduate/future-grads/doctorate.html, friendlyName=Open source</x:v>
      </x:c>
    </x:row>
    <x:row r="12" ht="46" customHeight="1">
      <x:c r="A12" s="17" t="str">
        <x:v>core</x:v>
      </x:c>
      <x:c r="B12" s="17" t="n">
        <x:v>3</x:v>
      </x:c>
      <x:c r="C12" s="17" t="str">
        <x:v>Carnegie Mellon University</x:v>
      </x:c>
      <x:c r="D12" s="17" t="str">
        <x:v>United States</x:v>
      </x:c>
      <x:c r="E12" s="17" t="str">
        <x:v>us</x:v>
      </x:c>
      <x:c r="F12" s="17" t="str">
        <x:v>Software Engineering PhD</x:v>
      </x:c>
      <x:c r="G12" s="17" t="str">
        <x:v>PhD</x:v>
      </x:c>
      <x:c r="H12" s="17" t="n">
        <x:v>70</x:v>
      </x:c>
      <x:c r="I12" s="17" t="n">
        <x:v>20</x:v>
      </x:c>
      <x:c r="J12" s="17" t="n">
        <x:v>5</x:v>
      </x:c>
      <x:c r="K12" s="17" t="n">
        <x:v>20</x:v>
      </x:c>
      <x:c r="L12" s="17" t="n">
        <x:v>10</x:v>
      </x:c>
      <x:c r="M12" s="17" t="n">
        <x:v>10</x:v>
      </x:c>
      <x:c r="N12" s="17" t="n">
        <x:v>5</x:v>
      </x:c>
      <x:c r="O12" s="17" t="str">
        <x:v>Yes</x:v>
      </x:c>
      <x:c r="P12" s="17" t="str"/>
      <x:c r="Q12" s="17" t="n">
        <x:v>1</x:v>
      </x:c>
      <x:c r="R12" s="17" t="str">
        <x:v>Credible full-support commitment: tuition and living support for admitted SE PhD students in good standing</x:v>
      </x:c>
      <x:c r="S12" s="17" t="n">
        <x:v>0</x:v>
      </x:c>
      <x:c r="T12" s="17" t="str">
        <x:v>USD</x:v>
      </x:c>
      <x:c r="U12" s="17" t="str">
        <x:v>Plausible</x:v>
      </x:c>
      <x:c r="V12" s="17" t="str">
        <x:v>partial</x:v>
      </x:c>
      <x:c r="W12" s="17" t="str">
        <x:v>medium</x:v>
      </x:c>
      <x:c r="X12" s="17" t="str">
        <x:v>Confirm exact 2027 stipend and health/fee components in an offer | Single-professor dependency. | One or more duration, tuition, fee, health, summer, or net-cost terms remain unresolved.</x:v>
      </x:c>
      <x:c r="Y12" s="18" t="e">
        <x:f>HYPERLINK("https://se-phd.isri.cmu.edu/","Open source")</x:f>
        <x:v>HYPERLINK is not implemented. linkLocation=https://se-phd.isri.cmu.edu/, friendlyName=Open source</x:v>
      </x:c>
    </x:row>
    <x:row r="13" ht="46" customHeight="1">
      <x:c r="A13" s="17" t="str">
        <x:v>core</x:v>
      </x:c>
      <x:c r="B13" s="17" t="n">
        <x:v>3</x:v>
      </x:c>
      <x:c r="C13" s="17" t="str">
        <x:v>Duke University</x:v>
      </x:c>
      <x:c r="D13" s="17" t="str">
        <x:v>United States</x:v>
      </x:c>
      <x:c r="E13" s="17" t="str">
        <x:v>us</x:v>
      </x:c>
      <x:c r="F13" s="17" t="str">
        <x:v>Computer Science PhD</x:v>
      </x:c>
      <x:c r="G13" s="17" t="str">
        <x:v>PhD</x:v>
      </x:c>
      <x:c r="H13" s="17" t="n">
        <x:v>70</x:v>
      </x:c>
      <x:c r="I13" s="17" t="n">
        <x:v>20</x:v>
      </x:c>
      <x:c r="J13" s="17" t="n">
        <x:v>5</x:v>
      </x:c>
      <x:c r="K13" s="17" t="n">
        <x:v>25</x:v>
      </x:c>
      <x:c r="L13" s="17" t="n">
        <x:v>10</x:v>
      </x:c>
      <x:c r="M13" s="17" t="n">
        <x:v>10</x:v>
      </x:c>
      <x:c r="N13" s="17" t="n">
        <x:v>0</x:v>
      </x:c>
      <x:c r="O13" s="17" t="str">
        <x:v>Yes</x:v>
      </x:c>
      <x:c r="P13" s="17" t="str"/>
      <x:c r="Q13" s="17" t="n">
        <x:v>1</x:v>
      </x:c>
      <x:c r="R13" s="17" t="str">
        <x:v>PhD students in good standing receive full funding including tuition, fees, insurance, and stipend</x:v>
      </x:c>
      <x:c r="S13" s="17" t="n">
        <x:v>105</x:v>
      </x:c>
      <x:c r="T13" s="17" t="str">
        <x:v>USD</x:v>
      </x:c>
      <x:c r="U13" s="17" t="str">
        <x:v>Plausible</x:v>
      </x:c>
      <x:c r="V13" s="17" t="str">
        <x:v>partial</x:v>
      </x:c>
      <x:c r="W13" s="17" t="str">
        <x:v>low</x:v>
      </x:c>
      <x:c r="X13" s="17" t="str">
        <x:v>What are the 2027-2028 stipend, summer-support, and offer-specific conditions? | Single-professor dependency. | Fee is high or the applicable Fall 2027 amount/waiver remains unverified.</x:v>
      </x:c>
      <x:c r="Y13" s="18" t="e">
        <x:f>HYPERLINK("https://cs.duke.edu/graduate/phd","Open source")</x:f>
        <x:v>HYPERLINK is not implemented. linkLocation=https://cs.duke.edu/graduate/phd, friendlyName=Open source</x:v>
      </x:c>
    </x:row>
    <x:row r="14" ht="46" customHeight="1">
      <x:c r="A14" s="17" t="str">
        <x:v>core</x:v>
      </x:c>
      <x:c r="B14" s="17" t="n">
        <x:v>3</x:v>
      </x:c>
      <x:c r="C14" s="17" t="str">
        <x:v>New Jersey Institute of Technology</x:v>
      </x:c>
      <x:c r="D14" s="17" t="str">
        <x:v>United States</x:v>
      </x:c>
      <x:c r="E14" s="17" t="str">
        <x:v>us</x:v>
      </x:c>
      <x:c r="F14" s="17" t="str">
        <x:v>Ph.D. Computer Science</x:v>
      </x:c>
      <x:c r="G14" s="17" t="str">
        <x:v>PhD</x:v>
      </x:c>
      <x:c r="H14" s="17" t="n">
        <x:v>70</x:v>
      </x:c>
      <x:c r="I14" s="17" t="n">
        <x:v>20</x:v>
      </x:c>
      <x:c r="J14" s="17" t="n">
        <x:v>5</x:v>
      </x:c>
      <x:c r="K14" s="17" t="n">
        <x:v>25</x:v>
      </x:c>
      <x:c r="L14" s="17" t="n">
        <x:v>10</x:v>
      </x:c>
      <x:c r="M14" s="17" t="n">
        <x:v>10</x:v>
      </x:c>
      <x:c r="N14" s="17" t="n">
        <x:v>0</x:v>
      </x:c>
      <x:c r="O14" s="17" t="str">
        <x:v>Yes</x:v>
      </x:c>
      <x:c r="P14" s="17" t="str"/>
      <x:c r="Q14" s="17" t="n">
        <x:v>1</x:v>
      </x:c>
      <x:c r="R14" s="17" t="str">
        <x:v>The department reports that nearly all enrolled PhD students are fully supported</x:v>
      </x:c>
      <x:c r="S14" s="17" t="str">
        <x:v>Not verified on the official department pages checked</x:v>
      </x:c>
      <x:c r="T14" s="17" t="str">
        <x:v>USD</x:v>
      </x:c>
      <x:c r="U14" s="17" t="str">
        <x:v>Plausible</x:v>
      </x:c>
      <x:c r="V14" s="17" t="str">
        <x:v>partial</x:v>
      </x:c>
      <x:c r="W14" s="17" t="str">
        <x:v>low</x:v>
      </x:c>
      <x:c r="X14" s="17" t="str">
        <x:v>What exact duration, stipend, tuition, mandatory-fee, health-insurance, and summer terms would NJIT put in this applicant's offer? | Single-professor dependency. | Fee is high or the applicable Fall 2027 amount/waiver remains unverified.</x:v>
      </x:c>
      <x:c r="Y14" s="18" t="e">
        <x:f>HYPERLINK("https://www.njit.edu/academics/degree/phd-computer-science","Open source")</x:f>
        <x:v>HYPERLINK is not implemented. linkLocation=https://www.njit.edu/academics/degree/phd-computer-science, friendlyName=Open source</x:v>
      </x:c>
    </x:row>
    <x:row r="15" ht="46" customHeight="1">
      <x:c r="A15" s="17" t="str">
        <x:v>core</x:v>
      </x:c>
      <x:c r="B15" s="17" t="n">
        <x:v>3</x:v>
      </x:c>
      <x:c r="C15" s="17" t="str">
        <x:v>Northeastern University</x:v>
      </x:c>
      <x:c r="D15" s="17" t="str">
        <x:v>United States</x:v>
      </x:c>
      <x:c r="E15" s="17" t="str">
        <x:v>us</x:v>
      </x:c>
      <x:c r="F15" s="17" t="str">
        <x:v>Computer Science PhD</x:v>
      </x:c>
      <x:c r="G15" s="17" t="str">
        <x:v>PhD</x:v>
      </x:c>
      <x:c r="H15" s="17" t="n">
        <x:v>70</x:v>
      </x:c>
      <x:c r="I15" s="17" t="n">
        <x:v>20</x:v>
      </x:c>
      <x:c r="J15" s="17" t="n">
        <x:v>5</x:v>
      </x:c>
      <x:c r="K15" s="17" t="n">
        <x:v>20</x:v>
      </x:c>
      <x:c r="L15" s="17" t="n">
        <x:v>15</x:v>
      </x:c>
      <x:c r="M15" s="17" t="n">
        <x:v>10</x:v>
      </x:c>
      <x:c r="N15" s="17" t="n">
        <x:v>0</x:v>
      </x:c>
      <x:c r="O15" s="17" t="str">
        <x:v>Yes</x:v>
      </x:c>
      <x:c r="P15" s="17" t="str"/>
      <x:c r="Q15" s="17" t="n">
        <x:v>1</x:v>
      </x:c>
      <x:c r="R15" s="17" t="str">
        <x:v>Khoury states all admitted CS and Cybersecurity PhD students receive a five-year package</x:v>
      </x:c>
      <x:c r="S15" s="17" t="str">
        <x:v>Not stated on reviewed official PhD page</x:v>
      </x:c>
      <x:c r="T15" s="17" t="str">
        <x:v>USD</x:v>
      </x:c>
      <x:c r="U15" s="17" t="str">
        <x:v>Plausible</x:v>
      </x:c>
      <x:c r="V15" s="17" t="str">
        <x:v>partial</x:v>
      </x:c>
      <x:c r="W15" s="17" t="str">
        <x:v>low</x:v>
      </x:c>
      <x:c r="X15" s="17" t="str">
        <x:v>Confirm Fall 2027 deadline, fee, and summer-support mechanics when the cycle page updates | Single-professor dependency. | One or more duration, tuition, fee, health, summer, or net-cost terms remain unresolved. | Fee is high or the applicable Fall 2027 amount/waiver remains unverified.</x:v>
      </x:c>
      <x:c r="Y15" s="18" t="e">
        <x:f>HYPERLINK("https://www.khoury.northeastern.edu/apply/phd-apply/","Open source")</x:f>
        <x:v>HYPERLINK is not implemented. linkLocation=https://www.khoury.northeastern.edu/apply/phd-apply/, friendlyName=Open source</x:v>
      </x:c>
    </x:row>
    <x:row r="16" ht="46" customHeight="1">
      <x:c r="A16" s="17" t="str">
        <x:v>core</x:v>
      </x:c>
      <x:c r="B16" s="17" t="n">
        <x:v>4</x:v>
      </x:c>
      <x:c r="C16" s="17" t="str">
        <x:v>Johns Hopkins University</x:v>
      </x:c>
      <x:c r="D16" s="17" t="str">
        <x:v>United States</x:v>
      </x:c>
      <x:c r="E16" s="17" t="str">
        <x:v>us</x:v>
      </x:c>
      <x:c r="F16" s="17" t="str">
        <x:v>Doctor of Philosophy in Computer Science</x:v>
      </x:c>
      <x:c r="G16" s="17" t="str">
        <x:v>PhD</x:v>
      </x:c>
      <x:c r="H16" s="17" t="n">
        <x:v>68</x:v>
      </x:c>
      <x:c r="I16" s="17" t="n">
        <x:v>20</x:v>
      </x:c>
      <x:c r="J16" s="17" t="n">
        <x:v>5</x:v>
      </x:c>
      <x:c r="K16" s="17" t="n">
        <x:v>20</x:v>
      </x:c>
      <x:c r="L16" s="17" t="n">
        <x:v>10</x:v>
      </x:c>
      <x:c r="M16" s="17" t="n">
        <x:v>10</x:v>
      </x:c>
      <x:c r="N16" s="17" t="n">
        <x:v>3</x:v>
      </x:c>
      <x:c r="O16" s="17" t="str">
        <x:v>Yes</x:v>
      </x:c>
      <x:c r="P16" s="17" t="str"/>
      <x:c r="Q16" s="17" t="n">
        <x:v>1</x:v>
      </x:c>
      <x:c r="R16" s="17" t="str">
        <x:v>All full-time CS PhD students in good standing are guaranteed full funding</x:v>
      </x:c>
      <x:c r="S16" s="17" t="n">
        <x:v>75</x:v>
      </x:c>
      <x:c r="T16" s="17" t="str">
        <x:v>USD</x:v>
      </x:c>
      <x:c r="U16" s="17" t="str">
        <x:v>Plausible</x:v>
      </x:c>
      <x:c r="V16" s="17" t="str">
        <x:v>partial</x:v>
      </x:c>
      <x:c r="W16" s="17" t="str">
        <x:v>medium</x:v>
      </x:c>
      <x:c r="X16" s="17" t="str">
        <x:v>What maximum duration, fee, summer, and Fall 2027 stipend terms govern the good-standing funding guarantee? | Single-professor dependency. | One or more duration, tuition, fee, health, summer, or net-cost terms remain unresolved. | Applicable waiver or final Fall 2027 cost is not guaranteed.</x:v>
      </x:c>
      <x:c r="Y16" s="18" t="e">
        <x:f>HYPERLINK("https://www.cs.jhu.edu/academic-programs/graduate-studies/phd-program/","Open source")</x:f>
        <x:v>HYPERLINK is not implemented. linkLocation=https://www.cs.jhu.edu/academic-programs/graduate-studies/phd-program/, friendlyName=Open source</x:v>
      </x:c>
    </x:row>
    <x:row r="17" ht="46" customHeight="1">
      <x:c r="A17" s="17" t="str">
        <x:v>core</x:v>
      </x:c>
      <x:c r="B17" s="17" t="n">
        <x:v>4</x:v>
      </x:c>
      <x:c r="C17" s="17" t="str">
        <x:v>Northwestern University</x:v>
      </x:c>
      <x:c r="D17" s="17" t="str">
        <x:v>United States</x:v>
      </x:c>
      <x:c r="E17" s="17" t="str">
        <x:v>us</x:v>
      </x:c>
      <x:c r="F17" s="17" t="str">
        <x:v>Doctor of Philosophy in Computer Science</x:v>
      </x:c>
      <x:c r="G17" s="17" t="str">
        <x:v>PhD</x:v>
      </x:c>
      <x:c r="H17" s="17" t="n">
        <x:v>68</x:v>
      </x:c>
      <x:c r="I17" s="17" t="n">
        <x:v>20</x:v>
      </x:c>
      <x:c r="J17" s="17" t="n">
        <x:v>5</x:v>
      </x:c>
      <x:c r="K17" s="17" t="n">
        <x:v>20</x:v>
      </x:c>
      <x:c r="L17" s="17" t="n">
        <x:v>10</x:v>
      </x:c>
      <x:c r="M17" s="17" t="n">
        <x:v>10</x:v>
      </x:c>
      <x:c r="N17" s="17" t="n">
        <x:v>3</x:v>
      </x:c>
      <x:c r="O17" s="17" t="str">
        <x:v>Yes</x:v>
      </x:c>
      <x:c r="P17" s="17" t="str"/>
      <x:c r="Q17" s="17" t="n">
        <x:v>1</x:v>
      </x:c>
      <x:c r="R17" s="17" t="str">
        <x:v>The department guarantees doctoral funding through the fifth year</x:v>
      </x:c>
      <x:c r="S17" s="17" t="n">
        <x:v>95</x:v>
      </x:c>
      <x:c r="T17" s="17" t="str">
        <x:v>USD</x:v>
      </x:c>
      <x:c r="U17" s="17" t="str">
        <x:v>Plausible</x:v>
      </x:c>
      <x:c r="V17" s="17" t="str">
        <x:v>partial</x:v>
      </x:c>
      <x:c r="W17" s="17" t="str">
        <x:v>medium</x:v>
      </x:c>
      <x:c r="X17" s="17" t="str">
        <x:v>What stipend, summer, health-insurance, and mandatory-fee terms will accompany the five-year Fall 2027 guarantee? | Single-professor dependency. | One or more duration, tuition, fee, health, summer, or net-cost terms remain unresolved. | Applicable waiver or final Fall 2027 cost is not guaranteed.</x:v>
      </x:c>
      <x:c r="Y17" s="18" t="e">
        <x:f>HYPERLINK("https://www.mccormick.northwestern.edu/computer-science/academics/graduate/phd/","Open source")</x:f>
        <x:v>HYPERLINK is not implemented. linkLocation=https://www.mccormick.northwestern.edu/computer-science/academics/graduate/phd/, friendlyName=Open source</x:v>
      </x:c>
    </x:row>
    <x:row r="18" ht="46" customHeight="1">
      <x:c r="A18" s="17" t="str">
        <x:v>core</x:v>
      </x:c>
      <x:c r="B18" s="17" t="n">
        <x:v>4</x:v>
      </x:c>
      <x:c r="C18" s="17" t="str">
        <x:v>University of Illinois Chicago</x:v>
      </x:c>
      <x:c r="D18" s="17" t="str">
        <x:v>United States</x:v>
      </x:c>
      <x:c r="E18" s="17" t="str">
        <x:v>us</x:v>
      </x:c>
      <x:c r="F18" s="17" t="str">
        <x:v>PhD in Computer Science</x:v>
      </x:c>
      <x:c r="G18" s="17" t="str">
        <x:v>PhD</x:v>
      </x:c>
      <x:c r="H18" s="17" t="n">
        <x:v>68</x:v>
      </x:c>
      <x:c r="I18" s="17" t="n">
        <x:v>20</x:v>
      </x:c>
      <x:c r="J18" s="17" t="n">
        <x:v>5</x:v>
      </x:c>
      <x:c r="K18" s="17" t="n">
        <x:v>20</x:v>
      </x:c>
      <x:c r="L18" s="17" t="n">
        <x:v>10</x:v>
      </x:c>
      <x:c r="M18" s="17" t="n">
        <x:v>10</x:v>
      </x:c>
      <x:c r="N18" s="17" t="n">
        <x:v>3</x:v>
      </x:c>
      <x:c r="O18" s="17" t="str">
        <x:v>Yes</x:v>
      </x:c>
      <x:c r="P18" s="17" t="str"/>
      <x:c r="Q18" s="17" t="n">
        <x:v>1</x:v>
      </x:c>
      <x:c r="R18" s="17" t="str">
        <x:v>The department guarantees a funded appointment for the first five years of the PhD</x:v>
      </x:c>
      <x:c r="S18" s="17" t="str">
        <x:v>100 international credential-evaluation fee; Fall 2026 USD 70 application fee was waived by the recommended date</x:v>
      </x:c>
      <x:c r="T18" s="17" t="str">
        <x:v>USD</x:v>
      </x:c>
      <x:c r="U18" s="17" t="str">
        <x:v>Plausible</x:v>
      </x:c>
      <x:c r="V18" s="17" t="str">
        <x:v>partial</x:v>
      </x:c>
      <x:c r="W18" s="17" t="str">
        <x:v>medium</x:v>
      </x:c>
      <x:c r="X18" s="17" t="str">
        <x:v>What residual fees, health cost, summer stipend, and continuation terms will appear in the individual Fall 2027 offer? | Single-professor dependency. | One or more duration, tuition, fee, health, summer, or net-cost terms remain unresolved. | Applicable waiver or final Fall 2027 cost is not guaranteed.</x:v>
      </x:c>
      <x:c r="Y18" s="18" t="e">
        <x:f>HYPERLINK("https://catalog.uic.edu/gcat/colleges-schools/engineering/cs/phd/","Open source")</x:f>
        <x:v>HYPERLINK is not implemented. linkLocation=https://catalog.uic.edu/gcat/colleges-schools/engineering/cs/phd/, friendlyName=Open source</x:v>
      </x:c>
    </x:row>
    <x:row r="19" ht="46" customHeight="1">
      <x:c r="A19" s="17" t="str">
        <x:v>core</x:v>
      </x:c>
      <x:c r="B19" s="17" t="n">
        <x:v>4</x:v>
      </x:c>
      <x:c r="C19" s="17" t="str">
        <x:v>University of Michigan-Ann Arbor</x:v>
      </x:c>
      <x:c r="D19" s="17" t="str">
        <x:v>United States</x:v>
      </x:c>
      <x:c r="E19" s="17" t="str">
        <x:v>us</x:v>
      </x:c>
      <x:c r="F19" s="17" t="str">
        <x:v>Computer Science and Engineering PhD</x:v>
      </x:c>
      <x:c r="G19" s="17" t="str">
        <x:v>PhD</x:v>
      </x:c>
      <x:c r="H19" s="17" t="n">
        <x:v>68</x:v>
      </x:c>
      <x:c r="I19" s="17" t="n">
        <x:v>20</x:v>
      </x:c>
      <x:c r="J19" s="17" t="n">
        <x:v>5</x:v>
      </x:c>
      <x:c r="K19" s="17" t="n">
        <x:v>20</x:v>
      </x:c>
      <x:c r="L19" s="17" t="n">
        <x:v>10</x:v>
      </x:c>
      <x:c r="M19" s="17" t="n">
        <x:v>10</x:v>
      </x:c>
      <x:c r="N19" s="17" t="n">
        <x:v>3</x:v>
      </x:c>
      <x:c r="O19" s="17" t="str">
        <x:v>Yes</x:v>
      </x:c>
      <x:c r="P19" s="17" t="str"/>
      <x:c r="Q19" s="17" t="n">
        <x:v>1</x:v>
      </x:c>
      <x:c r="R19" s="17" t="str">
        <x:v>CSE guarantees full support for admitted PhD students for five years from bachelor's entry, subject to progress and program conditions</x:v>
      </x:c>
      <x:c r="S19" s="17" t="str">
        <x:v>90 international / 75 domestic</x:v>
      </x:c>
      <x:c r="T19" s="17" t="str">
        <x:v>USD</x:v>
      </x:c>
      <x:c r="U19" s="17" t="str">
        <x:v>Plausible</x:v>
      </x:c>
      <x:c r="V19" s="17" t="str">
        <x:v>partial</x:v>
      </x:c>
      <x:c r="W19" s="17" t="str">
        <x:v>medium</x:v>
      </x:c>
      <x:c r="X19" s="17" t="str">
        <x:v>How will the committee weigh the &gt;3.5 recent-two-year record against the 3.35 cumulative GPA? | Single-professor dependency. | One or more duration, tuition, fee, health, summer, or net-cost terms remain unresolved. | Applicable waiver or final Fall 2027 cost is not guaranteed.</x:v>
      </x:c>
      <x:c r="Y19" s="18" t="e">
        <x:f>HYPERLINK("https://cse.engin.umich.edu/academics/graduate/admissions/","Open source")</x:f>
        <x:v>HYPERLINK is not implemented. linkLocation=https://cse.engin.umich.edu/academics/graduate/admissions/, friendlyName=Open source</x:v>
      </x:c>
    </x:row>
    <x:row r="20" ht="46" customHeight="1">
      <x:c r="A20" s="17" t="str">
        <x:v>core</x:v>
      </x:c>
      <x:c r="B20" s="17" t="n">
        <x:v>4</x:v>
      </x:c>
      <x:c r="C20" s="17" t="str">
        <x:v>University of Utah</x:v>
      </x:c>
      <x:c r="D20" s="17" t="str">
        <x:v>United States</x:v>
      </x:c>
      <x:c r="E20" s="17" t="str">
        <x:v>us</x:v>
      </x:c>
      <x:c r="F20" s="17" t="str">
        <x:v>Computing PhD</x:v>
      </x:c>
      <x:c r="G20" s="17" t="str">
        <x:v>PhD</x:v>
      </x:c>
      <x:c r="H20" s="17" t="n">
        <x:v>68</x:v>
      </x:c>
      <x:c r="I20" s="17" t="n">
        <x:v>20</x:v>
      </x:c>
      <x:c r="J20" s="17" t="n">
        <x:v>5</x:v>
      </x:c>
      <x:c r="K20" s="17" t="n">
        <x:v>20</x:v>
      </x:c>
      <x:c r="L20" s="17" t="n">
        <x:v>10</x:v>
      </x:c>
      <x:c r="M20" s="17" t="n">
        <x:v>10</x:v>
      </x:c>
      <x:c r="N20" s="17" t="n">
        <x:v>3</x:v>
      </x:c>
      <x:c r="O20" s="17" t="str">
        <x:v>Yes</x:v>
      </x:c>
      <x:c r="P20" s="17" t="str"/>
      <x:c r="Q20" s="17" t="n">
        <x:v>1</x:v>
      </x:c>
      <x:c r="R20" s="17" t="str">
        <x:v>PhD students receive financial support throughout the graduate career while making good progress</x:v>
      </x:c>
      <x:c r="S20" s="17" t="n">
        <x:v>65</x:v>
      </x:c>
      <x:c r="T20" s="17" t="str">
        <x:v>USD</x:v>
      </x:c>
      <x:c r="U20" s="17" t="str">
        <x:v>Plausible</x:v>
      </x:c>
      <x:c r="V20" s="17" t="str">
        <x:v>partial</x:v>
      </x:c>
      <x:c r="W20" s="17" t="str">
        <x:v>medium</x:v>
      </x:c>
      <x:c r="X20" s="17" t="str">
        <x:v>What is the correct Fall 2027 deadline, and will the offer specify full first-year appointment and differential-fee coverage? | Single-professor dependency. | One or more duration, tuition, fee, health, summer, or net-cost terms remain unresolved. | Applicable waiver or final Fall 2027 cost is not guaranteed.</x:v>
      </x:c>
      <x:c r="Y20" s="18" t="e">
        <x:f>HYPERLINK("https://www.cs.utah.edu/graduate/academic-programs/ms-and-phd-programs/","Open source")</x:f>
        <x:v>HYPERLINK is not implemented. linkLocation=https://www.cs.utah.edu/graduate/academic-programs/ms-and-phd-programs/, friendlyName=Open source</x:v>
      </x:c>
    </x:row>
    <x:row r="21" ht="46" customHeight="1">
      <x:c r="A21" s="17" t="str">
        <x:v>reserve</x:v>
      </x:c>
      <x:c r="B21" s="17" t="n">
        <x:v>5</x:v>
      </x:c>
      <x:c r="C21" s="17" t="str">
        <x:v>Brown University</x:v>
      </x:c>
      <x:c r="D21" s="17" t="str">
        <x:v>United States</x:v>
      </x:c>
      <x:c r="E21" s="17" t="str">
        <x:v>us</x:v>
      </x:c>
      <x:c r="F21" s="17" t="str">
        <x:v>Computer Science PhD</x:v>
      </x:c>
      <x:c r="G21" s="17" t="str">
        <x:v>PhD</x:v>
      </x:c>
      <x:c r="H21" s="17" t="n">
        <x:v>65</x:v>
      </x:c>
      <x:c r="I21" s="17" t="n">
        <x:v>20</x:v>
      </x:c>
      <x:c r="J21" s="17" t="n">
        <x:v>5</x:v>
      </x:c>
      <x:c r="K21" s="17" t="n">
        <x:v>20</x:v>
      </x:c>
      <x:c r="L21" s="17" t="n">
        <x:v>10</x:v>
      </x:c>
      <x:c r="M21" s="17" t="n">
        <x:v>10</x:v>
      </x:c>
      <x:c r="N21" s="17" t="n">
        <x:v>0</x:v>
      </x:c>
      <x:c r="O21" s="17" t="str">
        <x:v>Yes</x:v>
      </x:c>
      <x:c r="P21" s="17" t="str"/>
      <x:c r="Q21" s="17" t="n">
        <x:v>1</x:v>
      </x:c>
      <x:c r="R21" s="17" t="str">
        <x:v>All PhD students, including international students, receive financial support</x:v>
      </x:c>
      <x:c r="S21" s="17" t="str">
        <x:v>Not verified</x:v>
      </x:c>
      <x:c r="T21" s="17" t="str">
        <x:v>USD</x:v>
      </x:c>
      <x:c r="U21" s="17" t="str">
        <x:v>Plausible</x:v>
      </x:c>
      <x:c r="V21" s="17" t="str">
        <x:v>partial</x:v>
      </x:c>
      <x:c r="W21" s="17" t="str">
        <x:v>low</x:v>
      </x:c>
      <x:c r="X21" s="17" t="str">
        <x:v>What are the exact guaranteed duration, 2027-2028 stipend, summer, and mandatory-fee terms? | Single-professor dependency. | One or more duration, tuition, fee, health, summer, or net-cost terms remain unresolved. | Fee is high or the applicable Fall 2027 amount/waiver remains unverified.</x:v>
      </x:c>
      <x:c r="Y21" s="18" t="e">
        <x:f>HYPERLINK("https://cs.brown.edu/degrees/doctoral/","Open source")</x:f>
        <x:v>HYPERLINK is not implemented. linkLocation=https://cs.brown.edu/degrees/doctoral/, friendlyName=Open source</x:v>
      </x:c>
    </x:row>
    <x:row r="22" ht="46" customHeight="1">
      <x:c r="A22" s="17" t="str">
        <x:v>reserve</x:v>
      </x:c>
      <x:c r="B22" s="17" t="n">
        <x:v>5</x:v>
      </x:c>
      <x:c r="C22" s="17" t="str">
        <x:v>Old Dominion University</x:v>
      </x:c>
      <x:c r="D22" s="17" t="str">
        <x:v>United States</x:v>
      </x:c>
      <x:c r="E22" s="17" t="str">
        <x:v>us</x:v>
      </x:c>
      <x:c r="F22" s="17" t="str">
        <x:v>Computer Science (Ph.D.)</x:v>
      </x:c>
      <x:c r="G22" s="17" t="str">
        <x:v>PhD</x:v>
      </x:c>
      <x:c r="H22" s="17" t="n">
        <x:v>65</x:v>
      </x:c>
      <x:c r="I22" s="17" t="n">
        <x:v>20</x:v>
      </x:c>
      <x:c r="J22" s="17" t="n">
        <x:v>5</x:v>
      </x:c>
      <x:c r="K22" s="17" t="n">
        <x:v>20</x:v>
      </x:c>
      <x:c r="L22" s="17" t="n">
        <x:v>10</x:v>
      </x:c>
      <x:c r="M22" s="17" t="n">
        <x:v>10</x:v>
      </x:c>
      <x:c r="N22" s="17" t="n">
        <x:v>0</x:v>
      </x:c>
      <x:c r="O22" s="17" t="str">
        <x:v>Yes</x:v>
      </x:c>
      <x:c r="P22" s="17" t="str"/>
      <x:c r="Q22" s="17" t="n">
        <x:v>1</x:v>
      </x:c>
      <x:c r="R22" s="17" t="str">
        <x:v>The current degree page states newly admitted PhD students are guaranteed a research or teaching assistantship, or combination; continuation terms must still be verified</x:v>
      </x:c>
      <x:c r="S22" s="17" t="str">
        <x:v>A nonrefundable graduate application fee applies; exact current amount was not verified on the official pages checked</x:v>
      </x:c>
      <x:c r="T22" s="17" t="str">
        <x:v>USD</x:v>
      </x:c>
      <x:c r="U22" s="17" t="str">
        <x:v>Plausible</x:v>
      </x:c>
      <x:c r="V22" s="17" t="str">
        <x:v>partial</x:v>
      </x:c>
      <x:c r="W22" s="17" t="str">
        <x:v>low</x:v>
      </x:c>
      <x:c r="X22" s="17" t="str">
        <x:v>What written renewal, fee, insurance, and summer terms apply after the guaranteed first-year assistantship? | Single-professor dependency. | One or more duration, tuition, fee, health, summer, or net-cost terms remain unresolved. | Fee is high or the applicable Fall 2027 amount/waiver remains unverified.</x:v>
      </x:c>
      <x:c r="Y22" s="18" t="e">
        <x:f>HYPERLINK("https://www.odu.edu/academics/programs/doctoral/computer-science","Open source")</x:f>
        <x:v>HYPERLINK is not implemented. linkLocation=https://www.odu.edu/academics/programs/doctoral/computer-science, friendlyName=Open source</x:v>
      </x:c>
    </x:row>
    <x:row r="23" ht="46" customHeight="1">
      <x:c r="A23" s="17" t="str">
        <x:v>reserve</x:v>
      </x:c>
      <x:c r="B23" s="17" t="n">
        <x:v>5</x:v>
      </x:c>
      <x:c r="C23" s="17" t="str">
        <x:v>Trent University</x:v>
      </x:c>
      <x:c r="D23" s="17" t="str">
        <x:v>Canada</x:v>
      </x:c>
      <x:c r="E23" s="17" t="str">
        <x:v>canada</x:v>
      </x:c>
      <x:c r="F23" s="17" t="str">
        <x:v>MSc in Applied Modelling and Quantitative Methods — Thesis Stream</x:v>
      </x:c>
      <x:c r="G23" s="17" t="str">
        <x:v>Thesis or research master's</x:v>
      </x:c>
      <x:c r="H23" s="17" t="n">
        <x:v>65</x:v>
      </x:c>
      <x:c r="I23" s="17" t="n">
        <x:v>20</x:v>
      </x:c>
      <x:c r="J23" s="17" t="n">
        <x:v>5</x:v>
      </x:c>
      <x:c r="K23" s="17" t="n">
        <x:v>20</x:v>
      </x:c>
      <x:c r="L23" s="17" t="n">
        <x:v>10</x:v>
      </x:c>
      <x:c r="M23" s="17" t="n">
        <x:v>10</x:v>
      </x:c>
      <x:c r="N23" s="17" t="n">
        <x:v>0</x:v>
      </x:c>
      <x:c r="O23" s="17" t="str">
        <x:v>Yes</x:v>
      </x:c>
      <x:c r="P23" s="17" t="str"/>
      <x:c r="Q23" s="17" t="n">
        <x:v>1</x:v>
      </x:c>
      <x:c r="R23" s="17" t="str">
        <x:v>Eligible full-time research master's students are guaranteed a published package range, but international net sufficiency is unresolved</x:v>
      </x:c>
      <x:c r="S23" s="17" t="str">
        <x:v>125 per program</x:v>
      </x:c>
      <x:c r="T23" s="17" t="str">
        <x:v>CAD</x:v>
      </x:c>
      <x:c r="U23" s="17" t="str">
        <x:v>Plausible</x:v>
      </x:c>
      <x:c r="V23" s="17" t="str">
        <x:v>partial</x:v>
      </x:c>
      <x:c r="W23" s="17" t="str">
        <x:v>low</x:v>
      </x:c>
      <x:c r="X23" s="17" t="str">
        <x:v>After international tuition, fees, insurance, and living costs, what guaranteed net amount remains for each of the two years? | Single-professor dependency. | One or more duration, tuition, fee, health, summer, or net-cost terms remain unresolved. | Fee is high or the applicable Fall 2027 amount/waiver remains unverified.</x:v>
      </x:c>
      <x:c r="Y23" s="18" t="e">
        <x:f>HYPERLINK("https://www.trentu.ca/graduatestudies/program/applied-modelling-quantitative-methods-ma-or-msc/thesis-stream","Open source")</x:f>
        <x:v>HYPERLINK is not implemented. linkLocation=https://www.trentu.ca/graduatestudies/program/applied-modelling-quantitative-methods-ma-or-msc/thesis-stream, friendlyName=Open source</x:v>
      </x:c>
    </x:row>
    <x:row r="24" ht="46" customHeight="1">
      <x:c r="A24" s="17" t="str">
        <x:v>reserve</x:v>
      </x:c>
      <x:c r="B24" s="17" t="n">
        <x:v>5</x:v>
      </x:c>
      <x:c r="C24" s="17" t="str">
        <x:v>University of Toronto</x:v>
      </x:c>
      <x:c r="D24" s="17" t="str">
        <x:v>Canada</x:v>
      </x:c>
      <x:c r="E24" s="17" t="str">
        <x:v>canada</x:v>
      </x:c>
      <x:c r="F24" s="17" t="str">
        <x:v>Master of Applied Science in Electrical and Computer Engineering</x:v>
      </x:c>
      <x:c r="G24" s="17" t="str">
        <x:v>Thesis or research master's</x:v>
      </x:c>
      <x:c r="H24" s="17" t="n">
        <x:v>65</x:v>
      </x:c>
      <x:c r="I24" s="17" t="n">
        <x:v>20</x:v>
      </x:c>
      <x:c r="J24" s="17" t="n">
        <x:v>5</x:v>
      </x:c>
      <x:c r="K24" s="17" t="n">
        <x:v>20</x:v>
      </x:c>
      <x:c r="L24" s="17" t="n">
        <x:v>10</x:v>
      </x:c>
      <x:c r="M24" s="17" t="n">
        <x:v>10</x:v>
      </x:c>
      <x:c r="N24" s="17" t="n">
        <x:v>0</x:v>
      </x:c>
      <x:c r="O24" s="17" t="str">
        <x:v>Yes</x:v>
      </x:c>
      <x:c r="P24" s="17" t="str"/>
      <x:c r="Q24" s="17" t="n">
        <x:v>1</x:v>
      </x:c>
      <x:c r="R24" s="17" t="str">
        <x:v>All MASc students in satisfactory standing receive guaranteed funding for the normal degree period</x:v>
      </x:c>
      <x:c r="S24" s="17" t="n">
        <x:v>135</x:v>
      </x:c>
      <x:c r="T24" s="17" t="str">
        <x:v>CAD</x:v>
      </x:c>
      <x:c r="U24" s="17" t="str">
        <x:v>Plausible</x:v>
      </x:c>
      <x:c r="V24" s="17" t="str">
        <x:v>partial</x:v>
      </x:c>
      <x:c r="W24" s="17" t="str">
        <x:v>low</x:v>
      </x:c>
      <x:c r="X24" s="17" t="str">
        <x:v>What exact 2027-28 net funding, ancillary-fee, insurance, and summer payment terms apply to an international MASc offer? | Single-professor dependency. | One or more duration, tuition, fee, health, summer, or net-cost terms remain unresolved. | Fee is high or the applicable Fall 2027 amount/waiver remains unverified.</x:v>
      </x:c>
      <x:c r="Y24" s="18" t="e">
        <x:f>HYPERLINK("https://www.ece.utoronto.ca/graduates/degree-programs/masc/","Open source")</x:f>
        <x:v>HYPERLINK is not implemented. linkLocation=https://www.ece.utoronto.ca/graduates/degree-programs/masc/, friendlyName=Open source</x:v>
      </x:c>
    </x:row>
    <x:row r="25" ht="46" customHeight="1">
      <x:c r="A25" s="17" t="str">
        <x:v>reserve</x:v>
      </x:c>
      <x:c r="B25" s="17" t="n">
        <x:v>5</x:v>
      </x:c>
      <x:c r="C25" s="17" t="str">
        <x:v>University of Waterloo</x:v>
      </x:c>
      <x:c r="D25" s="17" t="str">
        <x:v>Canada</x:v>
      </x:c>
      <x:c r="E25" s="17" t="str">
        <x:v>canada</x:v>
      </x:c>
      <x:c r="F25" s="17" t="str">
        <x:v>Master of Applied Science in Electrical and Computer Engineering</x:v>
      </x:c>
      <x:c r="G25" s="17" t="str">
        <x:v>Thesis or research master's</x:v>
      </x:c>
      <x:c r="H25" s="17" t="n">
        <x:v>65</x:v>
      </x:c>
      <x:c r="I25" s="17" t="n">
        <x:v>20</x:v>
      </x:c>
      <x:c r="J25" s="17" t="n">
        <x:v>5</x:v>
      </x:c>
      <x:c r="K25" s="17" t="n">
        <x:v>20</x:v>
      </x:c>
      <x:c r="L25" s="17" t="n">
        <x:v>10</x:v>
      </x:c>
      <x:c r="M25" s="17" t="n">
        <x:v>10</x:v>
      </x:c>
      <x:c r="N25" s="17" t="n">
        <x:v>0</x:v>
      </x:c>
      <x:c r="O25" s="17" t="str">
        <x:v>Yes</x:v>
      </x:c>
      <x:c r="P25" s="17" t="str"/>
      <x:c r="Q25" s="17" t="n">
        <x:v>1</x:v>
      </x:c>
      <x:c r="R25" s="17" t="str">
        <x:v>Guaranteed department minimum for all admitted domestic and international MASc students</x:v>
      </x:c>
      <x:c r="S25" s="17" t="str">
        <x:v>Not verified on the ECE pages checked</x:v>
      </x:c>
      <x:c r="T25" s="17" t="str">
        <x:v>CAD</x:v>
      </x:c>
      <x:c r="U25" s="17" t="str">
        <x:v>Plausible</x:v>
      </x:c>
      <x:c r="V25" s="17" t="str">
        <x:v>partial</x:v>
      </x:c>
      <x:c r="W25" s="17" t="str">
        <x:v>low</x:v>
      </x:c>
      <x:c r="X25" s="17" t="str">
        <x:v>After international tuition and living costs, is the guaranteed CAD 18,000 plus any supervisor top-up financially viable? | Single-professor dependency. | One or more duration, tuition, fee, health, summer, or net-cost terms remain unresolved. | Fee is high or the applicable Fall 2027 amount/waiver remains unverified.</x:v>
      </x:c>
      <x:c r="Y25" s="18" t="e">
        <x:f>HYPERLINK("https://uwaterloo.ca/electrical-computer-engineering/master-applied-science-masc","Open source")</x:f>
        <x:v>HYPERLINK is not implemented. linkLocation=https://uwaterloo.ca/electrical-computer-engineering/master-applied-science-masc, friendlyName=Open source</x:v>
      </x:c>
    </x:row>
    <x:row r="26" ht="46" customHeight="1">
      <x:c r="A26" s="17" t="str">
        <x:v>reserve</x:v>
      </x:c>
      <x:c r="B26" s="17" t="n">
        <x:v>5</x:v>
      </x:c>
      <x:c r="C26" s="17" t="str">
        <x:v>York University</x:v>
      </x:c>
      <x:c r="D26" s="17" t="str">
        <x:v>Canada</x:v>
      </x:c>
      <x:c r="E26" s="17" t="str">
        <x:v>canada</x:v>
      </x:c>
      <x:c r="F26" s="17" t="str">
        <x:v>Master of Science in Computer Science — Thesis Option</x:v>
      </x:c>
      <x:c r="G26" s="17" t="str">
        <x:v>Thesis or research master's</x:v>
      </x:c>
      <x:c r="H26" s="17" t="n">
        <x:v>65</x:v>
      </x:c>
      <x:c r="I26" s="17" t="n">
        <x:v>20</x:v>
      </x:c>
      <x:c r="J26" s="17" t="n">
        <x:v>5</x:v>
      </x:c>
      <x:c r="K26" s="17" t="n">
        <x:v>20</x:v>
      </x:c>
      <x:c r="L26" s="17" t="n">
        <x:v>10</x:v>
      </x:c>
      <x:c r="M26" s="17" t="n">
        <x:v>10</x:v>
      </x:c>
      <x:c r="N26" s="17" t="n">
        <x:v>0</x:v>
      </x:c>
      <x:c r="O26" s="17" t="str">
        <x:v>Yes</x:v>
      </x:c>
      <x:c r="P26" s="17" t="str"/>
      <x:c r="Q26" s="17" t="n">
        <x:v>1</x:v>
      </x:c>
      <x:c r="R26" s="17" t="str">
        <x:v>Lassonde describes a guaranteed package for qualified thesis/dissertation students; every full-time non-AI thesis/project master's student is automatically considered for support over five terms</x:v>
      </x:c>
      <x:c r="S26" s="17" t="n">
        <x:v>130</x:v>
      </x:c>
      <x:c r="T26" s="17" t="str">
        <x:v>CAD</x:v>
      </x:c>
      <x:c r="U26" s="17" t="str">
        <x:v>Plausible</x:v>
      </x:c>
      <x:c r="V26" s="17" t="str">
        <x:v>partial</x:v>
      </x:c>
      <x:c r="W26" s="17" t="str">
        <x:v>low</x:v>
      </x:c>
      <x:c r="X26" s="17" t="str">
        <x:v>What will the Fall 2027 offer's net amount be after international tuition, ancillary fees, taxes, and health costs? | Single-professor dependency. | One or more duration, tuition, fee, health, summer, or net-cost terms remain unresolved. | Fee is high or the applicable Fall 2027 amount/waiver remains unverified.</x:v>
      </x:c>
      <x:c r="Y26" s="18" t="e">
        <x:f>HYPERLINK("https://lassonde.yorku.ca/academics/graduate-program-in-computer-science","Open source")</x:f>
        <x:v>HYPERLINK is not implemented. linkLocation=https://lassonde.yorku.ca/academics/graduate-program-in-computer-science, friendlyName=Open source</x:v>
      </x:c>
    </x:row>
    <x:row r="27" ht="46" customHeight="1">
      <x:c r="A27" s="17" t="str">
        <x:v>do_not_apply</x:v>
      </x:c>
      <x:c r="B27" s="17" t="str"/>
      <x:c r="C27" s="17" t="str">
        <x:v>Iowa State University</x:v>
      </x:c>
      <x:c r="D27" s="17" t="str">
        <x:v>United States</x:v>
      </x:c>
      <x:c r="E27" s="17" t="str">
        <x:v>us</x:v>
      </x:c>
      <x:c r="F27" s="17" t="str">
        <x:v>Computer Science PhD</x:v>
      </x:c>
      <x:c r="G27" s="17" t="str">
        <x:v>PhD</x:v>
      </x:c>
      <x:c r="H27" s="17" t="n">
        <x:v>65</x:v>
      </x:c>
      <x:c r="I27" s="17" t="n">
        <x:v>20</x:v>
      </x:c>
      <x:c r="J27" s="17" t="n">
        <x:v>5</x:v>
      </x:c>
      <x:c r="K27" s="17" t="n">
        <x:v>10</x:v>
      </x:c>
      <x:c r="L27" s="17" t="n">
        <x:v>15</x:v>
      </x:c>
      <x:c r="M27" s="17" t="n">
        <x:v>10</x:v>
      </x:c>
      <x:c r="N27" s="17" t="n">
        <x:v>5</x:v>
      </x:c>
      <x:c r="O27" s="17" t="str">
        <x:v>No</x:v>
      </x:c>
      <x:c r="P27" s="17" t="str">
        <x:v>funding</x:v>
      </x:c>
      <x:c r="Q27" s="17" t="n">
        <x:v>1</x:v>
      </x:c>
      <x:c r="R27" s="17" t="str">
        <x:v>Selected admitted PhD students receive two academic years of TA support with full tuition and health; years 3–5 and summers are usually RA but advisor-dependent</x:v>
      </x:c>
      <x:c r="S27" s="17" t="n">
        <x:v>0</x:v>
      </x:c>
      <x:c r="T27" s="17" t="str">
        <x:v>USD</x:v>
      </x:c>
      <x:c r="U27" s="17" t="str">
        <x:v>Plausible</x:v>
      </x:c>
      <x:c r="V27" s="17" t="str">
        <x:v>partial</x:v>
      </x:c>
      <x:c r="W27" s="17" t="str">
        <x:v>low</x:v>
      </x:c>
      <x:c r="X27" s="17" t="str">
        <x:v>Can the department describe a fallback if RA support is unavailable in years 3–5 or summer? | Single-professor dependency. | Official funding evidence exists but does not prove a credible program-wide package or full scholarship.</x:v>
      </x:c>
      <x:c r="Y27" s="18" t="e">
        <x:f>HYPERLINK("https://www.cs.iastate.edu/graduate-studies/phd-application-requirements","Open source")</x:f>
        <x:v>HYPERLINK is not implemented. linkLocation=https://www.cs.iastate.edu/graduate-studies/phd-application-requirements, friendlyName=Open source</x:v>
      </x:c>
    </x:row>
    <x:row r="28" ht="46" customHeight="1">
      <x:c r="A28" s="17" t="str">
        <x:v>do_not_apply</x:v>
      </x:c>
      <x:c r="B28" s="17" t="str"/>
      <x:c r="C28" s="17" t="str">
        <x:v>Rice University</x:v>
      </x:c>
      <x:c r="D28" s="17" t="str">
        <x:v>United States</x:v>
      </x:c>
      <x:c r="E28" s="17" t="str">
        <x:v>us</x:v>
      </x:c>
      <x:c r="F28" s="17" t="str">
        <x:v>Doctor of Philosophy in Computer Science</x:v>
      </x:c>
      <x:c r="G28" s="17" t="str">
        <x:v>PhD</x:v>
      </x:c>
      <x:c r="H28" s="17" t="n">
        <x:v>65</x:v>
      </x:c>
      <x:c r="I28" s="17" t="n">
        <x:v>20</x:v>
      </x:c>
      <x:c r="J28" s="17" t="n">
        <x:v>5</x:v>
      </x:c>
      <x:c r="K28" s="17" t="n">
        <x:v>10</x:v>
      </x:c>
      <x:c r="L28" s="17" t="n">
        <x:v>15</x:v>
      </x:c>
      <x:c r="M28" s="17" t="n">
        <x:v>10</x:v>
      </x:c>
      <x:c r="N28" s="17" t="n">
        <x:v>5</x:v>
      </x:c>
      <x:c r="O28" s="17" t="str">
        <x:v>No</x:v>
      </x:c>
      <x:c r="P28" s="17" t="str">
        <x:v>funding</x:v>
      </x:c>
      <x:c r="Q28" s="17" t="n">
        <x:v>1</x:v>
      </x:c>
      <x:c r="R28" s="17" t="str">
        <x:v>Full support commitment for Computer Science PhD students</x:v>
      </x:c>
      <x:c r="S28" s="17" t="n">
        <x:v>0</x:v>
      </x:c>
      <x:c r="T28" s="17" t="str">
        <x:v>USD</x:v>
      </x:c>
      <x:c r="U28" s="17" t="str">
        <x:v>Insufficient evidence</x:v>
      </x:c>
      <x:c r="V28" s="17" t="str">
        <x:v>partial</x:v>
      </x:c>
      <x:c r="W28" s="17" t="str">
        <x:v>low</x:v>
      </x:c>
      <x:c r="X28" s="17" t="str">
        <x:v>What exact duration, summer coverage, insurance subsidy, and mandatory-fee burden will appear in the Fall 2027 support letter? | Single-professor dependency. | Official funding evidence exists but does not prove a credible program-wide package or full scholarship.</x:v>
      </x:c>
      <x:c r="Y28" s="18" t="e">
        <x:f>HYPERLINK("https://compsci.rice.edu/academics/graduate-programs/phd-program","Open source")</x:f>
        <x:v>HYPERLINK is not implemented. linkLocation=https://compsci.rice.edu/academics/graduate-programs/phd-program, friendlyName=Open source</x:v>
      </x:c>
    </x:row>
    <x:row r="29" ht="46" customHeight="1">
      <x:c r="A29" s="17" t="str">
        <x:v>do_not_apply</x:v>
      </x:c>
      <x:c r="B29" s="17" t="str"/>
      <x:c r="C29" s="17" t="str">
        <x:v>University of Notre Dame</x:v>
      </x:c>
      <x:c r="D29" s="17" t="str">
        <x:v>United States</x:v>
      </x:c>
      <x:c r="E29" s="17" t="str">
        <x:v>us</x:v>
      </x:c>
      <x:c r="F29" s="17" t="str">
        <x:v>Computer Science and Engineering PhD</x:v>
      </x:c>
      <x:c r="G29" s="17" t="str">
        <x:v>PhD</x:v>
      </x:c>
      <x:c r="H29" s="17" t="n">
        <x:v>65</x:v>
      </x:c>
      <x:c r="I29" s="17" t="n">
        <x:v>20</x:v>
      </x:c>
      <x:c r="J29" s="17" t="n">
        <x:v>5</x:v>
      </x:c>
      <x:c r="K29" s="17" t="n">
        <x:v>10</x:v>
      </x:c>
      <x:c r="L29" s="17" t="n">
        <x:v>15</x:v>
      </x:c>
      <x:c r="M29" s="17" t="n">
        <x:v>10</x:v>
      </x:c>
      <x:c r="N29" s="17" t="n">
        <x:v>5</x:v>
      </x:c>
      <x:c r="O29" s="17" t="str">
        <x:v>No</x:v>
      </x:c>
      <x:c r="P29" s="17" t="str">
        <x:v>funding</x:v>
      </x:c>
      <x:c r="Q29" s="17" t="n">
        <x:v>1</x:v>
      </x:c>
      <x:c r="R29" s="17" t="str">
        <x:v>Program states PhD students are generally supported with 12-month stipends, full tuition scholarships, and 100% health premium</x:v>
      </x:c>
      <x:c r="S29" s="17" t="n">
        <x:v>75</x:v>
      </x:c>
      <x:c r="T29" s="17" t="str">
        <x:v>USD</x:v>
      </x:c>
      <x:c r="U29" s="17" t="str">
        <x:v>Insufficient evidence</x:v>
      </x:c>
      <x:c r="V29" s="17" t="str">
        <x:v>partial</x:v>
      </x:c>
      <x:c r="W29" s="17" t="str">
        <x:v>low</x:v>
      </x:c>
      <x:c r="X29" s="17" t="str">
        <x:v>Confirm guaranteed duration in the admission offer and whether the December 15 date is unchanged for Fall 2027 | Single-professor dependency. | Official funding evidence exists but does not prove a credible program-wide package or full scholarship.</x:v>
      </x:c>
      <x:c r="Y29" s="18" t="e">
        <x:f>HYPERLINK("https://engineering.nd.edu/departments-programs/graduate-programs/phd-in-computer-science-and-engineering/","Open source")</x:f>
        <x:v>HYPERLINK is not implemented. linkLocation=https://engineering.nd.edu/departments-programs/graduate-programs/phd-in-computer-science-and-engineering/, friendlyName=Open source</x:v>
      </x:c>
    </x:row>
    <x:row r="30" ht="46" customHeight="1">
      <x:c r="A30" s="17" t="str">
        <x:v>do_not_apply</x:v>
      </x:c>
      <x:c r="B30" s="17" t="str"/>
      <x:c r="C30" s="17" t="str">
        <x:v>Baylor University</x:v>
      </x:c>
      <x:c r="D30" s="17" t="str">
        <x:v>United States</x:v>
      </x:c>
      <x:c r="E30" s="17" t="str">
        <x:v>us</x:v>
      </x:c>
      <x:c r="F30" s="17" t="str">
        <x:v>Doctor of Philosophy in Computer Science</x:v>
      </x:c>
      <x:c r="G30" s="17" t="str">
        <x:v>PhD</x:v>
      </x:c>
      <x:c r="H30" s="17" t="n">
        <x:v>63</x:v>
      </x:c>
      <x:c r="I30" s="17" t="n">
        <x:v>20</x:v>
      </x:c>
      <x:c r="J30" s="17" t="n">
        <x:v>5</x:v>
      </x:c>
      <x:c r="K30" s="17" t="n">
        <x:v>10</x:v>
      </x:c>
      <x:c r="L30" s="17" t="n">
        <x:v>15</x:v>
      </x:c>
      <x:c r="M30" s="17" t="n">
        <x:v>10</x:v>
      </x:c>
      <x:c r="N30" s="17" t="n">
        <x:v>3</x:v>
      </x:c>
      <x:c r="O30" s="17" t="str">
        <x:v>No</x:v>
      </x:c>
      <x:c r="P30" s="17" t="str">
        <x:v>funding</x:v>
      </x:c>
      <x:c r="Q30" s="17" t="n">
        <x:v>1</x:v>
      </x:c>
      <x:c r="R30" s="17" t="str">
        <x:v>Credible program-level support package; not an applicant-specific offer</x:v>
      </x:c>
      <x:c r="S30" s="17" t="n">
        <x:v>50</x:v>
      </x:c>
      <x:c r="T30" s="17" t="str">
        <x:v>USD</x:v>
      </x:c>
      <x:c r="U30" s="17" t="str">
        <x:v>Plausible</x:v>
      </x:c>
      <x:c r="V30" s="17" t="str">
        <x:v>partial</x:v>
      </x:c>
      <x:c r="W30" s="17" t="str">
        <x:v>low</x:v>
      </x:c>
      <x:c r="X30" s="17" t="str">
        <x:v>Will a Fall 2027 offer specify renewable multi-year stipend, summer, health-insurance, and fee terms adequate for the applicant's net cost? | Single-professor dependency. | Official funding evidence exists but does not prove a credible program-wide package or full scholarship. | Applicable waiver or final Fall 2027 cost is not guaranteed.</x:v>
      </x:c>
      <x:c r="Y30" s="18" t="e">
        <x:f>HYPERLINK("https://www.ecs.baylor.edu/students-academics/degree-programs/graduate/phd-cs","Open source")</x:f>
        <x:v>HYPERLINK is not implemented. linkLocation=https://www.ecs.baylor.edu/students-academics/degree-programs/graduate/phd-cs, friendlyName=Open source</x:v>
      </x:c>
    </x:row>
    <x:row r="31" ht="46" customHeight="1">
      <x:c r="A31" s="17" t="str">
        <x:v>do_not_apply</x:v>
      </x:c>
      <x:c r="B31" s="17" t="str"/>
      <x:c r="C31" s="17" t="str">
        <x:v>Boston University</x:v>
      </x:c>
      <x:c r="D31" s="17" t="str">
        <x:v>United States</x:v>
      </x:c>
      <x:c r="E31" s="17" t="str">
        <x:v>us</x:v>
      </x:c>
      <x:c r="F31" s="17" t="str">
        <x:v>PhD in Computer Science</x:v>
      </x:c>
      <x:c r="G31" s="17" t="str">
        <x:v>PhD</x:v>
      </x:c>
      <x:c r="H31" s="17" t="n">
        <x:v>63</x:v>
      </x:c>
      <x:c r="I31" s="17" t="n">
        <x:v>20</x:v>
      </x:c>
      <x:c r="J31" s="17" t="n">
        <x:v>5</x:v>
      </x:c>
      <x:c r="K31" s="17" t="n">
        <x:v>10</x:v>
      </x:c>
      <x:c r="L31" s="17" t="n">
        <x:v>15</x:v>
      </x:c>
      <x:c r="M31" s="17" t="n">
        <x:v>10</x:v>
      </x:c>
      <x:c r="N31" s="17" t="n">
        <x:v>3</x:v>
      </x:c>
      <x:c r="O31" s="17" t="str">
        <x:v>No</x:v>
      </x:c>
      <x:c r="P31" s="17" t="str">
        <x:v>funding</x:v>
      </x:c>
      <x:c r="Q31" s="17" t="n">
        <x:v>1</x:v>
      </x:c>
      <x:c r="R31" s="17" t="str">
        <x:v>Charles River Campus PhD students in good standing are guaranteed five years of stipend support, full tuition scholarship, and a health-insurance credit</x:v>
      </x:c>
      <x:c r="S31" s="17" t="n">
        <x:v>95</x:v>
      </x:c>
      <x:c r="T31" s="17" t="str">
        <x:v>USD</x:v>
      </x:c>
      <x:c r="U31" s="17" t="str">
        <x:v>Insufficient evidence</x:v>
      </x:c>
      <x:c r="V31" s="17" t="str">
        <x:v>partial</x:v>
      </x:c>
      <x:c r="W31" s="17" t="str">
        <x:v>low</x:v>
      </x:c>
      <x:c r="X31" s="17" t="str">
        <x:v>Does the Computer Science offer fund 12 months each year, and what net amount remains after housing and any insurance balance? | Single-professor dependency. | Official funding evidence exists but does not prove a credible program-wide package or full scholarship. | Applicable waiver or final Fall 2027 cost is not guaranteed.</x:v>
      </x:c>
      <x:c r="Y31" s="18" t="e">
        <x:f>HYPERLINK("https://www.bu.edu/cs/phd-program/","Open source")</x:f>
        <x:v>HYPERLINK is not implemented. linkLocation=https://www.bu.edu/cs/phd-program/, friendlyName=Open source</x:v>
      </x:c>
    </x:row>
    <x:row r="32" ht="46" customHeight="1">
      <x:c r="A32" s="17" t="str">
        <x:v>do_not_apply</x:v>
      </x:c>
      <x:c r="B32" s="17" t="str"/>
      <x:c r="C32" s="17" t="str">
        <x:v>Case Western Reserve University</x:v>
      </x:c>
      <x:c r="D32" s="17" t="str">
        <x:v>United States</x:v>
      </x:c>
      <x:c r="E32" s="17" t="str">
        <x:v>us</x:v>
      </x:c>
      <x:c r="F32" s="17" t="str">
        <x:v>Computer Science PhD</x:v>
      </x:c>
      <x:c r="G32" s="17" t="str">
        <x:v>PhD</x:v>
      </x:c>
      <x:c r="H32" s="17" t="n">
        <x:v>63</x:v>
      </x:c>
      <x:c r="I32" s="17" t="n">
        <x:v>20</x:v>
      </x:c>
      <x:c r="J32" s="17" t="n">
        <x:v>5</x:v>
      </x:c>
      <x:c r="K32" s="17" t="n">
        <x:v>10</x:v>
      </x:c>
      <x:c r="L32" s="17" t="n">
        <x:v>15</x:v>
      </x:c>
      <x:c r="M32" s="17" t="n">
        <x:v>10</x:v>
      </x:c>
      <x:c r="N32" s="17" t="n">
        <x:v>3</x:v>
      </x:c>
      <x:c r="O32" s="17" t="str">
        <x:v>No</x:v>
      </x:c>
      <x:c r="P32" s="17" t="str">
        <x:v>funding</x:v>
      </x:c>
      <x:c r="Q32" s="17" t="n">
        <x:v>1</x:v>
      </x:c>
      <x:c r="R32" s="17" t="str">
        <x:v>Official program says selected incoming students are supported; no universal guarantee located</x:v>
      </x:c>
      <x:c r="S32" s="17" t="n">
        <x:v>50</x:v>
      </x:c>
      <x:c r="T32" s="17" t="str">
        <x:v>USD</x:v>
      </x:c>
      <x:c r="U32" s="17" t="str">
        <x:v>Insufficient evidence</x:v>
      </x:c>
      <x:c r="V32" s="17" t="str">
        <x:v>partial</x:v>
      </x:c>
      <x:c r="W32" s="17" t="str">
        <x:v>low</x:v>
      </x:c>
      <x:c r="X32" s="17" t="str">
        <x:v>Would the program issue a full multi-year funding offer, and is GRE still required for Fall 2027? | Single-professor dependency. | Official funding evidence exists but does not prove a credible program-wide package or full scholarship. | Applicable waiver or final Fall 2027 cost is not guaranteed.</x:v>
      </x:c>
      <x:c r="Y32" s="18" t="e">
        <x:f>HYPERLINK("https://case.edu/programs/computer-science-phd","Open source")</x:f>
        <x:v>HYPERLINK is not implemented. linkLocation=https://case.edu/programs/computer-science-phd, friendlyName=Open source</x:v>
      </x:c>
    </x:row>
    <x:row r="33" ht="46" customHeight="1">
      <x:c r="A33" s="17" t="str">
        <x:v>do_not_apply</x:v>
      </x:c>
      <x:c r="B33" s="17" t="str"/>
      <x:c r="C33" s="17" t="str">
        <x:v>Colorado State University-Fort Collins</x:v>
      </x:c>
      <x:c r="D33" s="17" t="str">
        <x:v>United States</x:v>
      </x:c>
      <x:c r="E33" s="17" t="str">
        <x:v>us</x:v>
      </x:c>
      <x:c r="F33" s="17" t="str">
        <x:v>Computer Science, Ph.D.</x:v>
      </x:c>
      <x:c r="G33" s="17" t="str">
        <x:v>PhD</x:v>
      </x:c>
      <x:c r="H33" s="17" t="n">
        <x:v>63</x:v>
      </x:c>
      <x:c r="I33" s="17" t="n">
        <x:v>20</x:v>
      </x:c>
      <x:c r="J33" s="17" t="n">
        <x:v>5</x:v>
      </x:c>
      <x:c r="K33" s="17" t="n">
        <x:v>10</x:v>
      </x:c>
      <x:c r="L33" s="17" t="n">
        <x:v>15</x:v>
      </x:c>
      <x:c r="M33" s="17" t="n">
        <x:v>10</x:v>
      </x:c>
      <x:c r="N33" s="17" t="n">
        <x:v>3</x:v>
      </x:c>
      <x:c r="O33" s="17" t="str">
        <x:v>No</x:v>
      </x:c>
      <x:c r="P33" s="17" t="str">
        <x:v>funding</x:v>
      </x:c>
      <x:c r="Q33" s="17" t="n">
        <x:v>1</x:v>
      </x:c>
      <x:c r="R33" s="17" t="str">
        <x:v>Financial support is available to many PhD students but is limited, highly competitive, and not guaranteed</x:v>
      </x:c>
      <x:c r="S33" s="17" t="n">
        <x:v>70</x:v>
      </x:c>
      <x:c r="T33" s="17" t="str">
        <x:v>USD</x:v>
      </x:c>
      <x:c r="U33" s="17" t="str">
        <x:v>Insufficient evidence</x:v>
      </x:c>
      <x:c r="V33" s="17" t="str">
        <x:v>partial</x:v>
      </x:c>
      <x:c r="W33" s="17" t="str">
        <x:v>low</x:v>
      </x:c>
      <x:c r="X33" s="17" t="str">
        <x:v>Will a Fall 2027 offer guarantee adequate stipend, tuition, fees, health insurance, and summer support for the expected duration? | Single-professor dependency. | Official funding evidence exists but does not prove a credible program-wide package or full scholarship. | Applicable waiver or final Fall 2027 cost is not guaranteed.</x:v>
      </x:c>
      <x:c r="Y33" s="18" t="e">
        <x:f>HYPERLINK("https://graduateschool.colostate.edu/programs/computer-science-phd/","Open source")</x:f>
        <x:v>HYPERLINK is not implemented. linkLocation=https://graduateschool.colostate.edu/programs/computer-science-phd/, friendlyName=Open source</x:v>
      </x:c>
    </x:row>
    <x:row r="34" ht="46" customHeight="1">
      <x:c r="A34" s="17" t="str">
        <x:v>do_not_apply</x:v>
      </x:c>
      <x:c r="B34" s="17" t="str"/>
      <x:c r="C34" s="17" t="str">
        <x:v>Concordia University</x:v>
      </x:c>
      <x:c r="D34" s="17" t="str">
        <x:v>Canada</x:v>
      </x:c>
      <x:c r="E34" s="17" t="str">
        <x:v>canada</x:v>
      </x:c>
      <x:c r="F34" s="17" t="str">
        <x:v>Master of Applied Science in Software Engineering</x:v>
      </x:c>
      <x:c r="G34" s="17" t="str">
        <x:v>MASc</x:v>
      </x:c>
      <x:c r="H34" s="17" t="n">
        <x:v>63</x:v>
      </x:c>
      <x:c r="I34" s="17" t="n">
        <x:v>20</x:v>
      </x:c>
      <x:c r="J34" s="17" t="n">
        <x:v>5</x:v>
      </x:c>
      <x:c r="K34" s="17" t="n">
        <x:v>10</x:v>
      </x:c>
      <x:c r="L34" s="17" t="n">
        <x:v>15</x:v>
      </x:c>
      <x:c r="M34" s="17" t="n">
        <x:v>10</x:v>
      </x:c>
      <x:c r="N34" s="17" t="n">
        <x:v>3</x:v>
      </x:c>
      <x:c r="O34" s="17" t="str">
        <x:v>No</x:v>
      </x:c>
      <x:c r="P34" s="17" t="str">
        <x:v>funding</x:v>
      </x:c>
      <x:c r="Q34" s="17" t="n">
        <x:v>1</x:v>
      </x:c>
      <x:c r="R34" s="17" t="str">
        <x:v>Packages are generally available and offered to most research and thesis students, but not promised to every admit</x:v>
      </x:c>
      <x:c r="S34" s="17" t="n">
        <x:v>100</x:v>
      </x:c>
      <x:c r="T34" s="17" t="str">
        <x:v>CAD</x:v>
      </x:c>
      <x:c r="U34" s="17" t="str">
        <x:v>Plausible</x:v>
      </x:c>
      <x:c r="V34" s="17" t="str">
        <x:v>partial</x:v>
      </x:c>
      <x:c r="W34" s="17" t="str">
        <x:v>low</x:v>
      </x:c>
      <x:c r="X34" s="17" t="str">
        <x:v>What guaranteed stipend, tuition offset, mandatory-fee, health-insurance, and summer support will the admission offer provide? | Single-professor dependency. | Official funding evidence exists but does not prove a credible program-wide package or full scholarship. | Applicable waiver or final Fall 2027 cost is not guaranteed.</x:v>
      </x:c>
      <x:c r="Y34" s="18" t="e">
        <x:f>HYPERLINK("https://www.concordia.ca/academics/graduate/software-engineering-masc.html","Open source")</x:f>
        <x:v>HYPERLINK is not implemented. linkLocation=https://www.concordia.ca/academics/graduate/software-engineering-masc.html, friendlyName=Open source</x:v>
      </x:c>
    </x:row>
    <x:row r="35" ht="46" customHeight="1">
      <x:c r="A35" s="17" t="str">
        <x:v>do_not_apply</x:v>
      </x:c>
      <x:c r="B35" s="17" t="str"/>
      <x:c r="C35" s="17" t="str">
        <x:v>North Carolina State University at Raleigh</x:v>
      </x:c>
      <x:c r="D35" s="17" t="str">
        <x:v>United States</x:v>
      </x:c>
      <x:c r="E35" s="17" t="str">
        <x:v>us</x:v>
      </x:c>
      <x:c r="F35" s="17" t="str">
        <x:v>Computer Science PhD</x:v>
      </x:c>
      <x:c r="G35" s="17" t="str">
        <x:v>PhD</x:v>
      </x:c>
      <x:c r="H35" s="17" t="n">
        <x:v>63</x:v>
      </x:c>
      <x:c r="I35" s="17" t="n">
        <x:v>20</x:v>
      </x:c>
      <x:c r="J35" s="17" t="n">
        <x:v>5</x:v>
      </x:c>
      <x:c r="K35" s="17" t="n">
        <x:v>10</x:v>
      </x:c>
      <x:c r="L35" s="17" t="n">
        <x:v>15</x:v>
      </x:c>
      <x:c r="M35" s="17" t="n">
        <x:v>10</x:v>
      </x:c>
      <x:c r="N35" s="17" t="n">
        <x:v>3</x:v>
      </x:c>
      <x:c r="O35" s="17" t="str">
        <x:v>No</x:v>
      </x:c>
      <x:c r="P35" s="17" t="str">
        <x:v>funding</x:v>
      </x:c>
      <x:c r="Q35" s="17" t="n">
        <x:v>1</x:v>
      </x:c>
      <x:c r="R35" s="17" t="str">
        <x:v>Current official policy promises tuition, individual health insurance, and stipend for four years to every fall PhD admit requesting aid; fees, summers, year five, and adviser transition remain unresolved.</x:v>
      </x:c>
      <x:c r="S35" s="17" t="str">
        <x:v>95 international / 85 domestic</x:v>
      </x:c>
      <x:c r="T35" s="17" t="str">
        <x:v>USD</x:v>
      </x:c>
      <x:c r="U35" s="17" t="str">
        <x:v>Insufficient evidence</x:v>
      </x:c>
      <x:c r="V35" s="17" t="str">
        <x:v>partial</x:v>
      </x:c>
      <x:c r="W35" s="17" t="str">
        <x:v>low</x:v>
      </x:c>
      <x:c r="X35" s="17" t="str">
        <x:v>What are the summer, student-fee, year-five, and adviser-transition terms in a Fall 2027 offer? | Single-professor dependency. | Official funding evidence exists but does not prove a credible program-wide package or full scholarship. | Applicable waiver or final Fall 2027 cost is not guaranteed.</x:v>
      </x:c>
      <x:c r="Y35" s="18" t="e">
        <x:f>HYPERLINK("https://csc.ncsu.edu/academics/graduate/phd/","Open source")</x:f>
        <x:v>HYPERLINK is not implemented. linkLocation=https://csc.ncsu.edu/academics/graduate/phd/, friendlyName=Open source</x:v>
      </x:c>
    </x:row>
    <x:row r="36" ht="46" customHeight="1">
      <x:c r="A36" s="17" t="str">
        <x:v>do_not_apply</x:v>
      </x:c>
      <x:c r="B36" s="17" t="str"/>
      <x:c r="C36" s="17" t="str">
        <x:v>Ohio State University-Main Campus</x:v>
      </x:c>
      <x:c r="D36" s="17" t="str">
        <x:v>United States</x:v>
      </x:c>
      <x:c r="E36" s="17" t="str">
        <x:v>us</x:v>
      </x:c>
      <x:c r="F36" s="17" t="str">
        <x:v>Doctor of Philosophy in Computer Science and Engineering</x:v>
      </x:c>
      <x:c r="G36" s="17" t="str">
        <x:v>PhD</x:v>
      </x:c>
      <x:c r="H36" s="17" t="n">
        <x:v>63</x:v>
      </x:c>
      <x:c r="I36" s="17" t="n">
        <x:v>20</x:v>
      </x:c>
      <x:c r="J36" s="17" t="n">
        <x:v>5</x:v>
      </x:c>
      <x:c r="K36" s="17" t="n">
        <x:v>10</x:v>
      </x:c>
      <x:c r="L36" s="17" t="n">
        <x:v>15</x:v>
      </x:c>
      <x:c r="M36" s="17" t="n">
        <x:v>10</x:v>
      </x:c>
      <x:c r="N36" s="17" t="n">
        <x:v>3</x:v>
      </x:c>
      <x:c r="O36" s="17" t="str">
        <x:v>No</x:v>
      </x:c>
      <x:c r="P36" s="17" t="str">
        <x:v>funding</x:v>
      </x:c>
      <x:c r="Q36" s="17" t="n">
        <x:v>1</x:v>
      </x:c>
      <x:c r="R36" s="17" t="str">
        <x:v>Associateships are the primary route but department-funded positions are limited; awards are not guaranteed to every admit</x:v>
      </x:c>
      <x:c r="S36" s="17" t="n">
        <x:v>70</x:v>
      </x:c>
      <x:c r="T36" s="17" t="str">
        <x:v>USD</x:v>
      </x:c>
      <x:c r="U36" s="17" t="str">
        <x:v>Insufficient evidence</x:v>
      </x:c>
      <x:c r="V36" s="17" t="str">
        <x:v>partial</x:v>
      </x:c>
      <x:c r="W36" s="17" t="str">
        <x:v>low</x:v>
      </x:c>
      <x:c r="X36" s="17" t="str">
        <x:v>Will the individual offer include a renewable associateship or fellowship, and which fees and summer living costs remain? | Single-professor dependency. | Official funding evidence exists but does not prove a credible program-wide package or full scholarship. | Applicable waiver or final Fall 2027 cost is not guaranteed.</x:v>
      </x:c>
      <x:c r="Y36" s="18" t="e">
        <x:f>HYPERLINK("https://cse.osu.edu/graduate/graduate/doctor-philosophy-program","Open source")</x:f>
        <x:v>HYPERLINK is not implemented. linkLocation=https://cse.osu.edu/graduate/graduate/doctor-philosophy-program, friendlyName=Open source</x:v>
      </x:c>
    </x:row>
    <x:row r="37" ht="46" customHeight="1">
      <x:c r="A37" s="17" t="str">
        <x:v>do_not_apply</x:v>
      </x:c>
      <x:c r="B37" s="17" t="str"/>
      <x:c r="C37" s="17" t="str">
        <x:v>Pennsylvania State University-Main Campus</x:v>
      </x:c>
      <x:c r="D37" s="17" t="str">
        <x:v>United States</x:v>
      </x:c>
      <x:c r="E37" s="17" t="str">
        <x:v>us</x:v>
      </x:c>
      <x:c r="F37" s="17" t="str">
        <x:v>Computer Science and Engineering PhD</x:v>
      </x:c>
      <x:c r="G37" s="17" t="str">
        <x:v>PhD</x:v>
      </x:c>
      <x:c r="H37" s="17" t="n">
        <x:v>63</x:v>
      </x:c>
      <x:c r="I37" s="17" t="n">
        <x:v>20</x:v>
      </x:c>
      <x:c r="J37" s="17" t="n">
        <x:v>5</x:v>
      </x:c>
      <x:c r="K37" s="17" t="n">
        <x:v>10</x:v>
      </x:c>
      <x:c r="L37" s="17" t="n">
        <x:v>15</x:v>
      </x:c>
      <x:c r="M37" s="17" t="n">
        <x:v>10</x:v>
      </x:c>
      <x:c r="N37" s="17" t="n">
        <x:v>3</x:v>
      </x:c>
      <x:c r="O37" s="17" t="str">
        <x:v>No</x:v>
      </x:c>
      <x:c r="P37" s="17" t="str">
        <x:v>funding</x:v>
      </x:c>
      <x:c r="Q37" s="17" t="n">
        <x:v>1</x:v>
      </x:c>
      <x:c r="R37" s="17" t="str">
        <x:v>Appointments can include stipend, tuition, and 80% health premium; renewal and summer support are not guaranteed</x:v>
      </x:c>
      <x:c r="S37" s="17" t="str">
        <x:v>85 international / 65 domestic</x:v>
      </x:c>
      <x:c r="T37" s="17" t="str">
        <x:v>USD</x:v>
      </x:c>
      <x:c r="U37" s="17" t="str">
        <x:v>Insufficient evidence</x:v>
      </x:c>
      <x:c r="V37" s="17" t="str">
        <x:v>partial</x:v>
      </x:c>
      <x:c r="W37" s="17" t="str">
        <x:v>low</x:v>
      </x:c>
      <x:c r="X37" s="17" t="str">
        <x:v>Can CSE provide a written multi-year minimum-support commitment for Fall 2027? | Single-professor dependency. | Official funding evidence exists but does not prove a credible program-wide package or full scholarship. | Applicable waiver or final Fall 2027 cost is not guaranteed.</x:v>
      </x:c>
      <x:c r="Y37" s="18" t="e">
        <x:f>HYPERLINK("https://www.eecs.psu.edu/students/graduate/Graduate-Degree-Programs-CSE.aspx","Open source")</x:f>
        <x:v>HYPERLINK is not implemented. linkLocation=https://www.eecs.psu.edu/students/graduate/Graduate-Degree-Programs-CSE.aspx, friendlyName=Open source</x:v>
      </x:c>
    </x:row>
    <x:row r="38" ht="46" customHeight="1">
      <x:c r="A38" s="17" t="str">
        <x:v>do_not_apply</x:v>
      </x:c>
      <x:c r="B38" s="17" t="str"/>
      <x:c r="C38" s="17" t="str">
        <x:v>Purdue University-Main Campus</x:v>
      </x:c>
      <x:c r="D38" s="17" t="str">
        <x:v>United States</x:v>
      </x:c>
      <x:c r="E38" s="17" t="str">
        <x:v>us</x:v>
      </x:c>
      <x:c r="F38" s="17" t="str">
        <x:v>Computer Science PhD</x:v>
      </x:c>
      <x:c r="G38" s="17" t="str">
        <x:v>PhD</x:v>
      </x:c>
      <x:c r="H38" s="17" t="n">
        <x:v>63</x:v>
      </x:c>
      <x:c r="I38" s="17" t="n">
        <x:v>20</x:v>
      </x:c>
      <x:c r="J38" s="17" t="n">
        <x:v>5</x:v>
      </x:c>
      <x:c r="K38" s="17" t="n">
        <x:v>10</x:v>
      </x:c>
      <x:c r="L38" s="17" t="n">
        <x:v>15</x:v>
      </x:c>
      <x:c r="M38" s="17" t="n">
        <x:v>10</x:v>
      </x:c>
      <x:c r="N38" s="17" t="n">
        <x:v>3</x:v>
      </x:c>
      <x:c r="O38" s="17" t="str">
        <x:v>No</x:v>
      </x:c>
      <x:c r="P38" s="17" t="str">
        <x:v>funding</x:v>
      </x:c>
      <x:c r="Q38" s="17" t="n">
        <x:v>1</x:v>
      </x:c>
      <x:c r="R38" s="17" t="str">
        <x:v>Applicants are automatically considered, but the program explicitly allows admission without funding</x:v>
      </x:c>
      <x:c r="S38" s="17" t="str">
        <x:v>75 international / 60 domestic</x:v>
      </x:c>
      <x:c r="T38" s="17" t="str">
        <x:v>USD</x:v>
      </x:c>
      <x:c r="U38" s="17" t="str">
        <x:v>Plausible</x:v>
      </x:c>
      <x:c r="V38" s="17" t="str">
        <x:v>partial</x:v>
      </x:c>
      <x:c r="W38" s="17" t="str">
        <x:v>low</x:v>
      </x:c>
      <x:c r="X38" s="17" t="str">
        <x:v>Would a Fall 2027 offer include a multi-year support commitment? | Single-professor dependency. | Official funding evidence exists but does not prove a credible program-wide package or full scholarship. | Applicable waiver or final Fall 2027 cost is not guaranteed.</x:v>
      </x:c>
      <x:c r="Y38" s="18" t="e">
        <x:f>HYPERLINK("https://www.cs.purdue.edu/graduate/admission/steps.html","Open source")</x:f>
        <x:v>HYPERLINK is not implemented. linkLocation=https://www.cs.purdue.edu/graduate/admission/steps.html, friendlyName=Open source</x:v>
      </x:c>
    </x:row>
    <x:row r="39" ht="46" customHeight="1">
      <x:c r="A39" s="17" t="str">
        <x:v>do_not_apply</x:v>
      </x:c>
      <x:c r="B39" s="17" t="str"/>
      <x:c r="C39" s="17" t="str">
        <x:v>The University of Tennessee-Knoxville</x:v>
      </x:c>
      <x:c r="D39" s="17" t="str">
        <x:v>United States</x:v>
      </x:c>
      <x:c r="E39" s="17" t="str">
        <x:v>us</x:v>
      </x:c>
      <x:c r="F39" s="17" t="str">
        <x:v>Computer Science, PhD</x:v>
      </x:c>
      <x:c r="G39" s="17" t="str">
        <x:v>PhD</x:v>
      </x:c>
      <x:c r="H39" s="17" t="n">
        <x:v>63</x:v>
      </x:c>
      <x:c r="I39" s="17" t="n">
        <x:v>20</x:v>
      </x:c>
      <x:c r="J39" s="17" t="n">
        <x:v>5</x:v>
      </x:c>
      <x:c r="K39" s="17" t="n">
        <x:v>10</x:v>
      </x:c>
      <x:c r="L39" s="17" t="n">
        <x:v>15</x:v>
      </x:c>
      <x:c r="M39" s="17" t="n">
        <x:v>10</x:v>
      </x:c>
      <x:c r="N39" s="17" t="n">
        <x:v>3</x:v>
      </x:c>
      <x:c r="O39" s="17" t="str">
        <x:v>No</x:v>
      </x:c>
      <x:c r="P39" s="17" t="str">
        <x:v>funding</x:v>
      </x:c>
      <x:c r="Q39" s="17" t="n">
        <x:v>1</x:v>
      </x:c>
      <x:c r="R39" s="17" t="str">
        <x:v>EECS reports roughly 100 GRAs, but positions depend on faculty availability and are competitive, not guaranteed</x:v>
      </x:c>
      <x:c r="S39" s="17" t="n">
        <x:v>60</x:v>
      </x:c>
      <x:c r="T39" s="17" t="str">
        <x:v>USD</x:v>
      </x:c>
      <x:c r="U39" s="17" t="str">
        <x:v>Insufficient evidence</x:v>
      </x:c>
      <x:c r="V39" s="17" t="str">
        <x:v>partial</x:v>
      </x:c>
      <x:c r="W39" s="17" t="str">
        <x:v>low</x:v>
      </x:c>
      <x:c r="X39" s="17" t="str">
        <x:v>Which faculty member will commit to advising and funding the applicant, and what Fall 2027 deadline and year-round package apply? | Single-professor dependency. | Official funding evidence exists but does not prove a credible program-wide package or full scholarship. | Applicable waiver or final Fall 2027 cost is not guaranteed.</x:v>
      </x:c>
      <x:c r="Y39" s="18" t="e">
        <x:f>HYPERLINK("https://tickle.utk.edu/academics/graduate-programs/computer-science-phd/","Open source")</x:f>
        <x:v>HYPERLINK is not implemented. linkLocation=https://tickle.utk.edu/academics/graduate-programs/computer-science-phd/, friendlyName=Open source</x:v>
      </x:c>
    </x:row>
    <x:row r="40" ht="46" customHeight="1">
      <x:c r="A40" s="17" t="str">
        <x:v>do_not_apply</x:v>
      </x:c>
      <x:c r="B40" s="17" t="str"/>
      <x:c r="C40" s="17" t="str">
        <x:v>The University of Texas at Austin</x:v>
      </x:c>
      <x:c r="D40" s="17" t="str">
        <x:v>United States</x:v>
      </x:c>
      <x:c r="E40" s="17" t="str">
        <x:v>us</x:v>
      </x:c>
      <x:c r="F40" s="17" t="str">
        <x:v>Computer Science PhD</x:v>
      </x:c>
      <x:c r="G40" s="17" t="str">
        <x:v>PhD</x:v>
      </x:c>
      <x:c r="H40" s="17" t="n">
        <x:v>63</x:v>
      </x:c>
      <x:c r="I40" s="17" t="n">
        <x:v>20</x:v>
      </x:c>
      <x:c r="J40" s="17" t="n">
        <x:v>5</x:v>
      </x:c>
      <x:c r="K40" s="17" t="n">
        <x:v>10</x:v>
      </x:c>
      <x:c r="L40" s="17" t="n">
        <x:v>15</x:v>
      </x:c>
      <x:c r="M40" s="17" t="n">
        <x:v>10</x:v>
      </x:c>
      <x:c r="N40" s="17" t="n">
        <x:v>3</x:v>
      </x:c>
      <x:c r="O40" s="17" t="str">
        <x:v>No</x:v>
      </x:c>
      <x:c r="P40" s="17" t="str">
        <x:v>funding</x:v>
      </x:c>
      <x:c r="Q40" s="17" t="n">
        <x:v>1</x:v>
      </x:c>
      <x:c r="R40" s="17" t="str">
        <x:v>Most CS PhD students receive support for the first five years; not stated as an unconditional guarantee for every admit</x:v>
      </x:c>
      <x:c r="S40" s="17" t="str">
        <x:v>90 international / 65 domestic</x:v>
      </x:c>
      <x:c r="T40" s="17" t="str">
        <x:v>USD</x:v>
      </x:c>
      <x:c r="U40" s="17" t="str">
        <x:v>Plausible</x:v>
      </x:c>
      <x:c r="V40" s="17" t="str">
        <x:v>partial</x:v>
      </x:c>
      <x:c r="W40" s="17" t="str">
        <x:v>low</x:v>
      </x:c>
      <x:c r="X40" s="17" t="str">
        <x:v>Confirm that any offer contains a five-year minimum-support commitment | Single-professor dependency. | Official funding evidence exists but does not prove a credible program-wide package or full scholarship. | Applicable waiver or final Fall 2027 cost is not guaranteed.</x:v>
      </x:c>
      <x:c r="Y40" s="18" t="e">
        <x:f>HYPERLINK("https://www.cs.utexas.edu/graduate/degrees-and-programs","Open source")</x:f>
        <x:v>HYPERLINK is not implemented. linkLocation=https://www.cs.utexas.edu/graduate/degrees-and-programs, friendlyName=Open source</x:v>
      </x:c>
    </x:row>
    <x:row r="41" ht="46" customHeight="1">
      <x:c r="A41" s="17" t="str">
        <x:v>do_not_apply</x:v>
      </x:c>
      <x:c r="B41" s="17" t="str"/>
      <x:c r="C41" s="17" t="str">
        <x:v>University at Albany</x:v>
      </x:c>
      <x:c r="D41" s="17" t="str">
        <x:v>United States</x:v>
      </x:c>
      <x:c r="E41" s="17" t="str">
        <x:v>us</x:v>
      </x:c>
      <x:c r="F41" s="17" t="str">
        <x:v>Doctor of Philosophy in Computer Science</x:v>
      </x:c>
      <x:c r="G41" s="17" t="str">
        <x:v>PhD</x:v>
      </x:c>
      <x:c r="H41" s="17" t="n">
        <x:v>63</x:v>
      </x:c>
      <x:c r="I41" s="17" t="n">
        <x:v>20</x:v>
      </x:c>
      <x:c r="J41" s="17" t="n">
        <x:v>5</x:v>
      </x:c>
      <x:c r="K41" s="17" t="n">
        <x:v>10</x:v>
      </x:c>
      <x:c r="L41" s="17" t="n">
        <x:v>15</x:v>
      </x:c>
      <x:c r="M41" s="17" t="n">
        <x:v>10</x:v>
      </x:c>
      <x:c r="N41" s="17" t="n">
        <x:v>3</x:v>
      </x:c>
      <x:c r="O41" s="17" t="str">
        <x:v>No</x:v>
      </x:c>
      <x:c r="P41" s="17" t="str">
        <x:v>funding</x:v>
      </x:c>
      <x:c r="Q41" s="17" t="n">
        <x:v>1</x:v>
      </x:c>
      <x:c r="R41" s="17" t="str">
        <x:v>Assistantship consideration exists for applicants meeting the priority deadline; no universal award is published</x:v>
      </x:c>
      <x:c r="S41" s="17" t="n">
        <x:v>75</x:v>
      </x:c>
      <x:c r="T41" s="17" t="str">
        <x:v>USD</x:v>
      </x:c>
      <x:c r="U41" s="17" t="str">
        <x:v>Insufficient evidence</x:v>
      </x:c>
      <x:c r="V41" s="17" t="str">
        <x:v>partial</x:v>
      </x:c>
      <x:c r="W41" s="17" t="str">
        <x:v>low</x:v>
      </x:c>
      <x:c r="X41" s="17" t="str">
        <x:v>Does the Fall 2027 CS assistantship cover full tuition, fees, insurance, summer support, and multiple years at a livable stipend? | Single-professor dependency. | Official funding evidence exists but does not prove a credible program-wide package or full scholarship. | Applicable waiver or final Fall 2027 cost is not guaranteed.</x:v>
      </x:c>
      <x:c r="Y41" s="18" t="e">
        <x:f>HYPERLINK("https://www.albany.edu/computer-science/programs/phd-computer-science","Open source")</x:f>
        <x:v>HYPERLINK is not implemented. linkLocation=https://www.albany.edu/computer-science/programs/phd-computer-science, friendlyName=Open source</x:v>
      </x:c>
    </x:row>
    <x:row r="42" ht="46" customHeight="1">
      <x:c r="A42" s="17" t="str">
        <x:v>do_not_apply</x:v>
      </x:c>
      <x:c r="B42" s="17" t="str"/>
      <x:c r="C42" s="17" t="str">
        <x:v>University of Central Florida</x:v>
      </x:c>
      <x:c r="D42" s="17" t="str">
        <x:v>United States</x:v>
      </x:c>
      <x:c r="E42" s="17" t="str">
        <x:v>us</x:v>
      </x:c>
      <x:c r="F42" s="17" t="str">
        <x:v>Computer Science PhD</x:v>
      </x:c>
      <x:c r="G42" s="17" t="str">
        <x:v>PhD</x:v>
      </x:c>
      <x:c r="H42" s="17" t="n">
        <x:v>63</x:v>
      </x:c>
      <x:c r="I42" s="17" t="n">
        <x:v>20</x:v>
      </x:c>
      <x:c r="J42" s="17" t="n">
        <x:v>5</x:v>
      </x:c>
      <x:c r="K42" s="17" t="n">
        <x:v>10</x:v>
      </x:c>
      <x:c r="L42" s="17" t="n">
        <x:v>15</x:v>
      </x:c>
      <x:c r="M42" s="17" t="n">
        <x:v>10</x:v>
      </x:c>
      <x:c r="N42" s="17" t="n">
        <x:v>3</x:v>
      </x:c>
      <x:c r="O42" s="17" t="str">
        <x:v>No</x:v>
      </x:c>
      <x:c r="P42" s="17" t="str">
        <x:v>funding</x:v>
      </x:c>
      <x:c r="Q42" s="17" t="n">
        <x:v>1</x:v>
      </x:c>
      <x:c r="R42" s="17" t="str">
        <x:v>A qualifying 0.5 FTE assistantship provides stipend and tuition benefits, but an appointment is not guaranteed to every PhD admit</x:v>
      </x:c>
      <x:c r="S42" s="17" t="n">
        <x:v>31</x:v>
      </x:c>
      <x:c r="T42" s="17" t="str">
        <x:v>USD</x:v>
      </x:c>
      <x:c r="U42" s="17" t="str">
        <x:v>Insufficient evidence</x:v>
      </x:c>
      <x:c r="V42" s="17" t="str">
        <x:v>partial</x:v>
      </x:c>
      <x:c r="W42" s="17" t="str">
        <x:v>low</x:v>
      </x:c>
      <x:c r="X42" s="17" t="str">
        <x:v>Will a Fall 2027 admission offer include a renewable qualifying assistantship and cover remaining local fees and summer living costs? | Single-professor dependency. | Official funding evidence exists but does not prove a credible program-wide package or full scholarship. | Applicable waiver or final Fall 2027 cost is not guaranteed.</x:v>
      </x:c>
      <x:c r="Y42" s="18" t="e">
        <x:f>HYPERLINK("https://www.ucf.edu/degree/computer-science-phd/","Open source")</x:f>
        <x:v>HYPERLINK is not implemented. linkLocation=https://www.ucf.edu/degree/computer-science-phd/, friendlyName=Open source</x:v>
      </x:c>
    </x:row>
    <x:row r="43" ht="46" customHeight="1">
      <x:c r="A43" s="17" t="str">
        <x:v>do_not_apply</x:v>
      </x:c>
      <x:c r="B43" s="17" t="str"/>
      <x:c r="C43" s="17" t="str">
        <x:v>University of Houston</x:v>
      </x:c>
      <x:c r="D43" s="17" t="str">
        <x:v>United States</x:v>
      </x:c>
      <x:c r="E43" s="17" t="str">
        <x:v>us</x:v>
      </x:c>
      <x:c r="F43" s="17" t="str">
        <x:v>Ph.D. in Computer Science</x:v>
      </x:c>
      <x:c r="G43" s="17" t="str">
        <x:v>PhD</x:v>
      </x:c>
      <x:c r="H43" s="17" t="n">
        <x:v>63</x:v>
      </x:c>
      <x:c r="I43" s="17" t="n">
        <x:v>20</x:v>
      </x:c>
      <x:c r="J43" s="17" t="n">
        <x:v>5</x:v>
      </x:c>
      <x:c r="K43" s="17" t="n">
        <x:v>10</x:v>
      </x:c>
      <x:c r="L43" s="17" t="n">
        <x:v>15</x:v>
      </x:c>
      <x:c r="M43" s="17" t="n">
        <x:v>10</x:v>
      </x:c>
      <x:c r="N43" s="17" t="n">
        <x:v>3</x:v>
      </x:c>
      <x:c r="O43" s="17" t="str">
        <x:v>No</x:v>
      </x:c>
      <x:c r="P43" s="17" t="str">
        <x:v>funding</x:v>
      </x:c>
      <x:c r="Q43" s="17" t="n">
        <x:v>1</x:v>
      </x:c>
      <x:c r="R43" s="17" t="str">
        <x:v>PhD students are described as typically funded, but no universal written guarantee is published</x:v>
      </x:c>
      <x:c r="S43" s="17" t="n">
        <x:v>80</x:v>
      </x:c>
      <x:c r="T43" s="17" t="str">
        <x:v>USD</x:v>
      </x:c>
      <x:c r="U43" s="17" t="str">
        <x:v>Insufficient evidence</x:v>
      </x:c>
      <x:c r="V43" s="17" t="str">
        <x:v>partial</x:v>
      </x:c>
      <x:c r="W43" s="17" t="str">
        <x:v>low</x:v>
      </x:c>
      <x:c r="X43" s="17" t="str">
        <x:v>Will the Fall 2027 offer guarantee an assistantship, tuition fellowship, stipend, insurance, and summer support for the expected duration? | Single-professor dependency. | Official funding evidence exists but does not prove a credible program-wide package or full scholarship. | Applicable waiver or final Fall 2027 cost is not guaranteed.</x:v>
      </x:c>
      <x:c r="Y43" s="18" t="e">
        <x:f>HYPERLINK("https://www.uh.edu/nsm/computer-science/graduate/phd/index.php","Open source")</x:f>
        <x:v>HYPERLINK is not implemented. linkLocation=https://www.uh.edu/nsm/computer-science/graduate/phd/index.php, friendlyName=Open source</x:v>
      </x:c>
    </x:row>
    <x:row r="44" ht="46" customHeight="1">
      <x:c r="A44" s="17" t="str">
        <x:v>do_not_apply</x:v>
      </x:c>
      <x:c r="B44" s="17" t="str"/>
      <x:c r="C44" s="17" t="str">
        <x:v>University of Maryland-Baltimore County</x:v>
      </x:c>
      <x:c r="D44" s="17" t="str">
        <x:v>United States</x:v>
      </x:c>
      <x:c r="E44" s="17" t="str">
        <x:v>us</x:v>
      </x:c>
      <x:c r="F44" s="17" t="str">
        <x:v>Ph.D. in Computer Science</x:v>
      </x:c>
      <x:c r="G44" s="17" t="str">
        <x:v>PhD</x:v>
      </x:c>
      <x:c r="H44" s="17" t="n">
        <x:v>63</x:v>
      </x:c>
      <x:c r="I44" s="17" t="n">
        <x:v>20</x:v>
      </x:c>
      <x:c r="J44" s="17" t="n">
        <x:v>5</x:v>
      </x:c>
      <x:c r="K44" s="17" t="n">
        <x:v>10</x:v>
      </x:c>
      <x:c r="L44" s="17" t="n">
        <x:v>15</x:v>
      </x:c>
      <x:c r="M44" s="17" t="n">
        <x:v>10</x:v>
      </x:c>
      <x:c r="N44" s="17" t="n">
        <x:v>3</x:v>
      </x:c>
      <x:c r="O44" s="17" t="str">
        <x:v>No</x:v>
      </x:c>
      <x:c r="P44" s="17" t="str">
        <x:v>funding</x:v>
      </x:c>
      <x:c r="Q44" s="17" t="n">
        <x:v>1</x:v>
      </x:c>
      <x:c r="R44" s="17" t="str">
        <x:v>Some graduate students receive support; strong new admits may be considered, without a universal guarantee</x:v>
      </x:c>
      <x:c r="S44" s="17" t="n">
        <x:v>75</x:v>
      </x:c>
      <x:c r="T44" s="17" t="str">
        <x:v>USD</x:v>
      </x:c>
      <x:c r="U44" s="17" t="str">
        <x:v>Reach</x:v>
      </x:c>
      <x:c r="V44" s="17" t="str">
        <x:v>partial</x:v>
      </x:c>
      <x:c r="W44" s="17" t="str">
        <x:v>low</x:v>
      </x:c>
      <x:c r="X44" s="17" t="str">
        <x:v>Will a Fall 2027 offer provide renewable stipend, tuition, fees, health insurance, and summer support? | Single-professor dependency. | Official funding evidence exists but does not prove a credible program-wide package or full scholarship. | Applicable waiver or final Fall 2027 cost is not guaranteed.</x:v>
      </x:c>
      <x:c r="Y44" s="18" t="e">
        <x:f>HYPERLINK("https://www.csee.umbc.edu/graduate/computer-science-m-s-ph-d/","Open source")</x:f>
        <x:v>HYPERLINK is not implemented. linkLocation=https://www.csee.umbc.edu/graduate/computer-science-m-s-ph-d/, friendlyName=Open source</x:v>
      </x:c>
    </x:row>
    <x:row r="45" ht="46" customHeight="1">
      <x:c r="A45" s="17" t="str">
        <x:v>do_not_apply</x:v>
      </x:c>
      <x:c r="B45" s="17" t="str"/>
      <x:c r="C45" s="17" t="str">
        <x:v>University of Maryland-College Park</x:v>
      </x:c>
      <x:c r="D45" s="17" t="str">
        <x:v>United States</x:v>
      </x:c>
      <x:c r="E45" s="17" t="str">
        <x:v>us</x:v>
      </x:c>
      <x:c r="F45" s="17" t="str">
        <x:v>Computer Science PhD</x:v>
      </x:c>
      <x:c r="G45" s="17" t="str">
        <x:v>PhD</x:v>
      </x:c>
      <x:c r="H45" s="17" t="n">
        <x:v>63</x:v>
      </x:c>
      <x:c r="I45" s="17" t="n">
        <x:v>20</x:v>
      </x:c>
      <x:c r="J45" s="17" t="n">
        <x:v>5</x:v>
      </x:c>
      <x:c r="K45" s="17" t="n">
        <x:v>10</x:v>
      </x:c>
      <x:c r="L45" s="17" t="n">
        <x:v>15</x:v>
      </x:c>
      <x:c r="M45" s="17" t="n">
        <x:v>10</x:v>
      </x:c>
      <x:c r="N45" s="17" t="n">
        <x:v>3</x:v>
      </x:c>
      <x:c r="O45" s="17" t="str">
        <x:v>No</x:v>
      </x:c>
      <x:c r="P45" s="17" t="str">
        <x:v>funding</x:v>
      </x:c>
      <x:c r="Q45" s="17" t="n">
        <x:v>1</x:v>
      </x:c>
      <x:c r="R45" s="17" t="str">
        <x:v>All PhD students are funded through TA/RA subject to progress, but the official FAQ explicitly says no funding guarantee is provided in the admission offer.</x:v>
      </x:c>
      <x:c r="S45" s="17" t="n">
        <x:v>75</x:v>
      </x:c>
      <x:c r="T45" s="17" t="str">
        <x:v>USD</x:v>
      </x:c>
      <x:c r="U45" s="17" t="str">
        <x:v>Plausible</x:v>
      </x:c>
      <x:c r="V45" s="17" t="str">
        <x:v>partial</x:v>
      </x:c>
      <x:c r="W45" s="17" t="str">
        <x:v>low</x:v>
      </x:c>
      <x:c r="X45" s="17" t="str">
        <x:v>Would a Fall 2027 offer include a written multi-year tuition, stipend, health, fee, and summer commitment? | Single-professor dependency. | Official funding evidence exists but does not prove a credible program-wide package or full scholarship. | Applicable waiver or final Fall 2027 cost is not guaranteed.</x:v>
      </x:c>
      <x:c r="Y45" s="18" t="e">
        <x:f>HYPERLINK("https://www.cs.umd.edu/grad/apply","Open source")</x:f>
        <x:v>HYPERLINK is not implemented. linkLocation=https://www.cs.umd.edu/grad/apply, friendlyName=Open source</x:v>
      </x:c>
    </x:row>
    <x:row r="46" ht="46" customHeight="1">
      <x:c r="A46" s="17" t="str">
        <x:v>do_not_apply</x:v>
      </x:c>
      <x:c r="B46" s="17" t="str"/>
      <x:c r="C46" s="17" t="str">
        <x:v>University of New Mexico-Main Campus</x:v>
      </x:c>
      <x:c r="D46" s="17" t="str">
        <x:v>United States</x:v>
      </x:c>
      <x:c r="E46" s="17" t="str">
        <x:v>us</x:v>
      </x:c>
      <x:c r="F46" s="17" t="str">
        <x:v>Ph.D. in Computer Science</x:v>
      </x:c>
      <x:c r="G46" s="17" t="str">
        <x:v>PhD</x:v>
      </x:c>
      <x:c r="H46" s="17" t="n">
        <x:v>63</x:v>
      </x:c>
      <x:c r="I46" s="17" t="n">
        <x:v>20</x:v>
      </x:c>
      <x:c r="J46" s="17" t="n">
        <x:v>5</x:v>
      </x:c>
      <x:c r="K46" s="17" t="n">
        <x:v>10</x:v>
      </x:c>
      <x:c r="L46" s="17" t="n">
        <x:v>15</x:v>
      </x:c>
      <x:c r="M46" s="17" t="n">
        <x:v>10</x:v>
      </x:c>
      <x:c r="N46" s="17" t="n">
        <x:v>3</x:v>
      </x:c>
      <x:c r="O46" s="17" t="str">
        <x:v>No</x:v>
      </x:c>
      <x:c r="P46" s="17" t="str">
        <x:v>funding</x:v>
      </x:c>
      <x:c r="Q46" s="17" t="n">
        <x:v>1</x:v>
      </x:c>
      <x:c r="R46" s="17" t="str">
        <x:v>Support is competitive and limited; the department states not all students receive support</x:v>
      </x:c>
      <x:c r="S46" s="17" t="n">
        <x:v>70</x:v>
      </x:c>
      <x:c r="T46" s="17" t="str">
        <x:v>USD</x:v>
      </x:c>
      <x:c r="U46" s="17" t="str">
        <x:v>Insufficient evidence</x:v>
      </x:c>
      <x:c r="V46" s="17" t="str">
        <x:v>partial</x:v>
      </x:c>
      <x:c r="W46" s="17" t="str">
        <x:v>low</x:v>
      </x:c>
      <x:c r="X46" s="17" t="str">
        <x:v>Will the offer include renewable tuition, stipend, fees, insurance, and summer support? | Single-professor dependency. | Official funding evidence exists but does not prove a credible program-wide package or full scholarship. | Applicable waiver or final Fall 2027 cost is not guaranteed.</x:v>
      </x:c>
      <x:c r="Y46" s="18" t="e">
        <x:f>HYPERLINK("https://www.cs.unm.edu/programs-and-degrees/ph.d./index.html","Open source")</x:f>
        <x:v>HYPERLINK is not implemented. linkLocation=https://www.cs.unm.edu/programs-and-degrees/ph.d./index.html, friendlyName=Open source</x:v>
      </x:c>
    </x:row>
    <x:row r="47" ht="46" customHeight="1">
      <x:c r="A47" s="17" t="str">
        <x:v>do_not_apply</x:v>
      </x:c>
      <x:c r="B47" s="17" t="str"/>
      <x:c r="C47" s="17" t="str">
        <x:v>University of Rochester</x:v>
      </x:c>
      <x:c r="D47" s="17" t="str">
        <x:v>United States</x:v>
      </x:c>
      <x:c r="E47" s="17" t="str">
        <x:v>us</x:v>
      </x:c>
      <x:c r="F47" s="17" t="str">
        <x:v>PhD Program in Computer Science</x:v>
      </x:c>
      <x:c r="G47" s="17" t="str">
        <x:v>PhD</x:v>
      </x:c>
      <x:c r="H47" s="17" t="n">
        <x:v>63</x:v>
      </x:c>
      <x:c r="I47" s="17" t="n">
        <x:v>20</x:v>
      </x:c>
      <x:c r="J47" s="17" t="n">
        <x:v>5</x:v>
      </x:c>
      <x:c r="K47" s="17" t="n">
        <x:v>10</x:v>
      </x:c>
      <x:c r="L47" s="17" t="n">
        <x:v>15</x:v>
      </x:c>
      <x:c r="M47" s="17" t="n">
        <x:v>10</x:v>
      </x:c>
      <x:c r="N47" s="17" t="n">
        <x:v>3</x:v>
      </x:c>
      <x:c r="O47" s="17" t="str">
        <x:v>No</x:v>
      </x:c>
      <x:c r="P47" s="17" t="str">
        <x:v>funding</x:v>
      </x:c>
      <x:c r="Q47" s="17" t="n">
        <x:v>1</x:v>
      </x:c>
      <x:c r="R47" s="17" t="str">
        <x:v>The department states that PhD students in good standing receive full support</x:v>
      </x:c>
      <x:c r="S47" s="17" t="n">
        <x:v>70</x:v>
      </x:c>
      <x:c r="T47" s="17" t="str">
        <x:v>USD</x:v>
      </x:c>
      <x:c r="U47" s="17" t="str">
        <x:v>Plausible</x:v>
      </x:c>
      <x:c r="V47" s="17" t="str">
        <x:v>partial</x:v>
      </x:c>
      <x:c r="W47" s="17" t="str">
        <x:v>low</x:v>
      </x:c>
      <x:c r="X47" s="17" t="str">
        <x:v>What stipend, residual fees, summer coverage, and maximum duration will the Fall 2027 written offer guarantee? | Single-professor dependency. | Official funding evidence exists but does not prove a credible program-wide package or full scholarship. | Applicable waiver or final Fall 2027 cost is not guaranteed.</x:v>
      </x:c>
      <x:c r="Y47" s="18" t="e">
        <x:f>HYPERLINK("https://www.cs.rochester.edu/graduate/phd-program.html","Open source")</x:f>
        <x:v>HYPERLINK is not implemented. linkLocation=https://www.cs.rochester.edu/graduate/phd-program.html, friendlyName=Open source</x:v>
      </x:c>
    </x:row>
    <x:row r="48" ht="46" customHeight="1">
      <x:c r="A48" s="17" t="str">
        <x:v>do_not_apply</x:v>
      </x:c>
      <x:c r="B48" s="17" t="str"/>
      <x:c r="C48" s="17" t="str">
        <x:v>William &amp; Mary</x:v>
      </x:c>
      <x:c r="D48" s="17" t="str">
        <x:v>United States</x:v>
      </x:c>
      <x:c r="E48" s="17" t="str">
        <x:v>us</x:v>
      </x:c>
      <x:c r="F48" s="17" t="str">
        <x:v>Computer Science PhD</x:v>
      </x:c>
      <x:c r="G48" s="17" t="str">
        <x:v>PhD</x:v>
      </x:c>
      <x:c r="H48" s="17" t="n">
        <x:v>63</x:v>
      </x:c>
      <x:c r="I48" s="17" t="n">
        <x:v>20</x:v>
      </x:c>
      <x:c r="J48" s="17" t="n">
        <x:v>5</x:v>
      </x:c>
      <x:c r="K48" s="17" t="n">
        <x:v>10</x:v>
      </x:c>
      <x:c r="L48" s="17" t="n">
        <x:v>15</x:v>
      </x:c>
      <x:c r="M48" s="17" t="n">
        <x:v>10</x:v>
      </x:c>
      <x:c r="N48" s="17" t="n">
        <x:v>3</x:v>
      </x:c>
      <x:c r="O48" s="17" t="str">
        <x:v>No</x:v>
      </x:c>
      <x:c r="P48" s="17" t="str">
        <x:v>funding</x:v>
      </x:c>
      <x:c r="Q48" s="17" t="n">
        <x:v>1</x:v>
      </x:c>
      <x:c r="R48" s="17" t="str">
        <x:v>All admitted full-time PhD and MS/PhD students receive a stipend and full tuition waiver</x:v>
      </x:c>
      <x:c r="S48" s="17" t="n">
        <x:v>50</x:v>
      </x:c>
      <x:c r="T48" s="17" t="str">
        <x:v>USD</x:v>
      </x:c>
      <x:c r="U48" s="17" t="str">
        <x:v>Plausible</x:v>
      </x:c>
      <x:c r="V48" s="17" t="str">
        <x:v>partial</x:v>
      </x:c>
      <x:c r="W48" s="17" t="str">
        <x:v>low</x:v>
      </x:c>
      <x:c r="X48" s="17" t="str">
        <x:v>How many years of support are guaranteed and are summer and health insurance included? | Single-professor dependency. | Official funding evidence exists but does not prove a credible program-wide package or full scholarship. | Applicable waiver or final Fall 2027 cost is not guaranteed.</x:v>
      </x:c>
      <x:c r="Y48" s="18" t="e">
        <x:f>HYPERLINK("https://cdsp.wm.edu/admissions/graduate/computer-science/","Open source")</x:f>
        <x:v>HYPERLINK is not implemented. linkLocation=https://cdsp.wm.edu/admissions/graduate/computer-science/, friendlyName=Open source</x:v>
      </x:c>
    </x:row>
    <x:row r="49" ht="46" customHeight="1">
      <x:c r="A49" s="17" t="str">
        <x:v>do_not_apply</x:v>
      </x:c>
      <x:c r="B49" s="17" t="str"/>
      <x:c r="C49" s="17" t="str">
        <x:v>Howard University</x:v>
      </x:c>
      <x:c r="D49" s="17" t="str">
        <x:v>United States</x:v>
      </x:c>
      <x:c r="E49" s="17" t="str">
        <x:v>us</x:v>
      </x:c>
      <x:c r="F49" s="17" t="str">
        <x:v>Computer Science (Ph.D.)</x:v>
      </x:c>
      <x:c r="G49" s="17" t="str">
        <x:v>PhD</x:v>
      </x:c>
      <x:c r="H49" s="17" t="n">
        <x:v>60</x:v>
      </x:c>
      <x:c r="I49" s="17" t="n">
        <x:v>20</x:v>
      </x:c>
      <x:c r="J49" s="17" t="n">
        <x:v>5</x:v>
      </x:c>
      <x:c r="K49" s="17" t="n">
        <x:v>10</x:v>
      </x:c>
      <x:c r="L49" s="17" t="n">
        <x:v>15</x:v>
      </x:c>
      <x:c r="M49" s="17" t="n">
        <x:v>10</x:v>
      </x:c>
      <x:c r="N49" s="17" t="n">
        <x:v>0</x:v>
      </x:c>
      <x:c r="O49" s="17" t="str">
        <x:v>No</x:v>
      </x:c>
      <x:c r="P49" s="17" t="str">
        <x:v>funding</x:v>
      </x:c>
      <x:c r="Q49" s="17" t="n">
        <x:v>1</x:v>
      </x:c>
      <x:c r="R49" s="17" t="str">
        <x:v>Competitive rather than universal</x:v>
      </x:c>
      <x:c r="S49" s="17" t="str">
        <x:v>Not verified</x:v>
      </x:c>
      <x:c r="T49" s="17" t="str">
        <x:v>USD</x:v>
      </x:c>
      <x:c r="U49" s="17" t="str">
        <x:v>Insufficient evidence</x:v>
      </x:c>
      <x:c r="V49" s="17" t="str">
        <x:v>partial</x:v>
      </x:c>
      <x:c r="W49" s="17" t="str">
        <x:v>low</x:v>
      </x:c>
      <x:c r="X49" s="17" t="str">
        <x:v>How many Computer Science Fall 2027 admits receive renewable tuition, stipend, insurance, and summer support? | Single-professor dependency. | Official funding evidence exists but does not prove a credible program-wide package or full scholarship. | Fee is high or the applicable Fall 2027 amount/waiver remains unverified.</x:v>
      </x:c>
      <x:c r="Y49" s="18" t="e">
        <x:f>HYPERLINK("https://gs.howard.edu/index.php/computer-science-phd","Open source")</x:f>
        <x:v>HYPERLINK is not implemented. linkLocation=https://gs.howard.edu/index.php/computer-science-phd, friendlyName=Open source</x:v>
      </x:c>
    </x:row>
    <x:row r="50" ht="46" customHeight="1">
      <x:c r="A50" s="17" t="str">
        <x:v>do_not_apply</x:v>
      </x:c>
      <x:c r="B50" s="17" t="str"/>
      <x:c r="C50" s="17" t="str">
        <x:v>McGill University</x:v>
      </x:c>
      <x:c r="D50" s="17" t="str">
        <x:v>Canada</x:v>
      </x:c>
      <x:c r="E50" s="17" t="str">
        <x:v>canada</x:v>
      </x:c>
      <x:c r="F50" s="17" t="str">
        <x:v>Electrical Engineering (Thesis) (M.Sc.)</x:v>
      </x:c>
      <x:c r="G50" s="17" t="str">
        <x:v>Thesis or research master's</x:v>
      </x:c>
      <x:c r="H50" s="17" t="n">
        <x:v>60</x:v>
      </x:c>
      <x:c r="I50" s="17" t="n">
        <x:v>20</x:v>
      </x:c>
      <x:c r="J50" s="17" t="n">
        <x:v>5</x:v>
      </x:c>
      <x:c r="K50" s="17" t="n">
        <x:v>10</x:v>
      </x:c>
      <x:c r="L50" s="17" t="n">
        <x:v>15</x:v>
      </x:c>
      <x:c r="M50" s="17" t="n">
        <x:v>10</x:v>
      </x:c>
      <x:c r="N50" s="17" t="n">
        <x:v>0</x:v>
      </x:c>
      <x:c r="O50" s="17" t="str">
        <x:v>No</x:v>
      </x:c>
      <x:c r="P50" s="17" t="str">
        <x:v>funding</x:v>
      </x:c>
      <x:c r="Q50" s="17" t="n">
        <x:v>1</x:v>
      </x:c>
      <x:c r="R50" s="17" t="str">
        <x:v>Thesis master's students receive a funding letter with admission and typically receive some supervisor funding; amount is not universal</x:v>
      </x:c>
      <x:c r="S50" s="17" t="str">
        <x:v>Not verified on the official pages checked</x:v>
      </x:c>
      <x:c r="T50" s="17" t="str">
        <x:v>CAD</x:v>
      </x:c>
      <x:c r="U50" s="17" t="str">
        <x:v>Insufficient evidence</x:v>
      </x:c>
      <x:c r="V50" s="17" t="str">
        <x:v>partial</x:v>
      </x:c>
      <x:c r="W50" s="17" t="str">
        <x:v>low</x:v>
      </x:c>
      <x:c r="X50" s="17" t="str">
        <x:v>What guaranteed net funding, tuition, fees, insurance, summer coverage, and renewal terms will an international ECE MSc offer contain? | Single-professor dependency. | Official funding evidence exists but does not prove a credible program-wide package or full scholarship. | Fee is high or the applicable Fall 2027 amount/waiver remains unverified.</x:v>
      </x:c>
      <x:c r="Y50" s="18" t="e">
        <x:f>HYPERLINK("https://www.mcgill.ca/gradapplicants/program/electrical-engineering-msc","Open source")</x:f>
        <x:v>HYPERLINK is not implemented. linkLocation=https://www.mcgill.ca/gradapplicants/program/electrical-engineering-msc, friendlyName=Open source</x:v>
      </x:c>
    </x:row>
    <x:row r="51" ht="46" customHeight="1">
      <x:c r="A51" s="17" t="str">
        <x:v>do_not_apply</x:v>
      </x:c>
      <x:c r="B51" s="17" t="str"/>
      <x:c r="C51" s="17" t="str">
        <x:v>Portland State University</x:v>
      </x:c>
      <x:c r="D51" s="17" t="str">
        <x:v>United States</x:v>
      </x:c>
      <x:c r="E51" s="17" t="str">
        <x:v>us</x:v>
      </x:c>
      <x:c r="F51" s="17" t="str">
        <x:v>Doctoral Degree in Computer Science (Ph.D.)</x:v>
      </x:c>
      <x:c r="G51" s="17" t="str">
        <x:v>PhD</x:v>
      </x:c>
      <x:c r="H51" s="17" t="n">
        <x:v>60</x:v>
      </x:c>
      <x:c r="I51" s="17" t="n">
        <x:v>20</x:v>
      </x:c>
      <x:c r="J51" s="17" t="n">
        <x:v>5</x:v>
      </x:c>
      <x:c r="K51" s="17" t="n">
        <x:v>10</x:v>
      </x:c>
      <x:c r="L51" s="17" t="n">
        <x:v>15</x:v>
      </x:c>
      <x:c r="M51" s="17" t="n">
        <x:v>10</x:v>
      </x:c>
      <x:c r="N51" s="17" t="n">
        <x:v>0</x:v>
      </x:c>
      <x:c r="O51" s="17" t="str">
        <x:v>No</x:v>
      </x:c>
      <x:c r="P51" s="17" t="str">
        <x:v>funding</x:v>
      </x:c>
      <x:c r="Q51" s="17" t="n">
        <x:v>1</x:v>
      </x:c>
      <x:c r="R51" s="17" t="str">
        <x:v>Priority applicants may be considered for one year of guaranteed funding; multi-year support is not published</x:v>
      </x:c>
      <x:c r="S51" s="17" t="str">
        <x:v>Not verified</x:v>
      </x:c>
      <x:c r="T51" s="17" t="str">
        <x:v>USD</x:v>
      </x:c>
      <x:c r="U51" s="17" t="str">
        <x:v>Plausible</x:v>
      </x:c>
      <x:c r="V51" s="17" t="str">
        <x:v>partial</x:v>
      </x:c>
      <x:c r="W51" s="17" t="str">
        <x:v>low</x:v>
      </x:c>
      <x:c r="X51" s="17" t="str">
        <x:v>Will a Fall 2027 admission offer include renewable support after the first year and adequate insurance and summer coverage? | Single-professor dependency. | Official funding evidence exists but does not prove a credible program-wide package or full scholarship. | Fee is high or the applicable Fall 2027 amount/waiver remains unverified.</x:v>
      </x:c>
      <x:c r="Y51" s="18" t="e">
        <x:f>HYPERLINK("https://web.cs.pdx.edu/phd-doctoral-degree-in-cs/","Open source")</x:f>
        <x:v>HYPERLINK is not implemented. linkLocation=https://web.cs.pdx.edu/phd-doctoral-degree-in-cs/, friendlyName=Open source</x:v>
      </x:c>
    </x:row>
    <x:row r="52" ht="46" customHeight="1">
      <x:c r="A52" s="17" t="str">
        <x:v>do_not_apply</x:v>
      </x:c>
      <x:c r="B52" s="17" t="str"/>
      <x:c r="C52" s="17" t="str">
        <x:v>Rensselaer Polytechnic Institute</x:v>
      </x:c>
      <x:c r="D52" s="17" t="str">
        <x:v>United States</x:v>
      </x:c>
      <x:c r="E52" s="17" t="str">
        <x:v>us</x:v>
      </x:c>
      <x:c r="F52" s="17" t="str">
        <x:v>Ph.D. in Computer Science</x:v>
      </x:c>
      <x:c r="G52" s="17" t="str">
        <x:v>PhD</x:v>
      </x:c>
      <x:c r="H52" s="17" t="n">
        <x:v>60</x:v>
      </x:c>
      <x:c r="I52" s="17" t="n">
        <x:v>20</x:v>
      </x:c>
      <x:c r="J52" s="17" t="n">
        <x:v>5</x:v>
      </x:c>
      <x:c r="K52" s="17" t="n">
        <x:v>10</x:v>
      </x:c>
      <x:c r="L52" s="17" t="n">
        <x:v>15</x:v>
      </x:c>
      <x:c r="M52" s="17" t="n">
        <x:v>10</x:v>
      </x:c>
      <x:c r="N52" s="17" t="n">
        <x:v>0</x:v>
      </x:c>
      <x:c r="O52" s="17" t="str">
        <x:v>No</x:v>
      </x:c>
      <x:c r="P52" s="17" t="str">
        <x:v>funding</x:v>
      </x:c>
      <x:c r="Q52" s="17" t="n">
        <x:v>1</x:v>
      </x:c>
      <x:c r="R52" s="17" t="str">
        <x:v>Most CS graduate students receive tuition-and-stipend support that the department describes as guaranteed for the PhD duration</x:v>
      </x:c>
      <x:c r="S52" s="17" t="str">
        <x:v>Not verified</x:v>
      </x:c>
      <x:c r="T52" s="17" t="str">
        <x:v>USD</x:v>
      </x:c>
      <x:c r="U52" s="17" t="str">
        <x:v>Plausible to reach</x:v>
      </x:c>
      <x:c r="V52" s="17" t="str">
        <x:v>partial</x:v>
      </x:c>
      <x:c r="W52" s="17" t="str">
        <x:v>low</x:v>
      </x:c>
      <x:c r="X52" s="17" t="str">
        <x:v>Will the individual Fall 2027 admission offer confirm the department's duration guarantee and specify fees, insurance, and renewal conditions? | Single-professor dependency. | Official funding evidence exists but does not prove a credible program-wide package or full scholarship. | Fee is high or the applicable Fall 2027 amount/waiver remains unverified.</x:v>
      </x:c>
      <x:c r="Y52" s="18" t="e">
        <x:f>HYPERLINK("https://compsci.rpi.edu/programs/phd-computer-science","Open source")</x:f>
        <x:v>HYPERLINK is not implemented. linkLocation=https://compsci.rpi.edu/programs/phd-computer-science, friendlyName=Open source</x:v>
      </x:c>
    </x:row>
    <x:row r="53" ht="46" customHeight="1">
      <x:c r="A53" s="17" t="str">
        <x:v>do_not_apply</x:v>
      </x:c>
      <x:c r="B53" s="17" t="str"/>
      <x:c r="C53" s="17" t="str">
        <x:v>Southern Methodist University</x:v>
      </x:c>
      <x:c r="D53" s="17" t="str">
        <x:v>United States</x:v>
      </x:c>
      <x:c r="E53" s="17" t="str">
        <x:v>us</x:v>
      </x:c>
      <x:c r="F53" s="17" t="str">
        <x:v>Ph.D. in Computer Science</x:v>
      </x:c>
      <x:c r="G53" s="17" t="str">
        <x:v>PhD</x:v>
      </x:c>
      <x:c r="H53" s="17" t="n">
        <x:v>60</x:v>
      </x:c>
      <x:c r="I53" s="17" t="n">
        <x:v>20</x:v>
      </x:c>
      <x:c r="J53" s="17" t="n">
        <x:v>5</x:v>
      </x:c>
      <x:c r="K53" s="17" t="n">
        <x:v>10</x:v>
      </x:c>
      <x:c r="L53" s="17" t="n">
        <x:v>15</x:v>
      </x:c>
      <x:c r="M53" s="17" t="n">
        <x:v>10</x:v>
      </x:c>
      <x:c r="N53" s="17" t="n">
        <x:v>0</x:v>
      </x:c>
      <x:c r="O53" s="17" t="str">
        <x:v>No</x:v>
      </x:c>
      <x:c r="P53" s="17" t="str">
        <x:v>funding</x:v>
      </x:c>
      <x:c r="Q53" s="17" t="n">
        <x:v>1</x:v>
      </x:c>
      <x:c r="R53" s="17" t="str">
        <x:v>Competitive; many doctoral students are considered, but no Computer Science universal commitment is published</x:v>
      </x:c>
      <x:c r="S53" s="17" t="str">
        <x:v>Not verified</x:v>
      </x:c>
      <x:c r="T53" s="17" t="str">
        <x:v>USD</x:v>
      </x:c>
      <x:c r="U53" s="17" t="str">
        <x:v>Insufficient evidence</x:v>
      </x:c>
      <x:c r="V53" s="17" t="str">
        <x:v>partial</x:v>
      </x:c>
      <x:c r="W53" s="17" t="str">
        <x:v>low</x:v>
      </x:c>
      <x:c r="X53" s="17" t="str">
        <x:v>Does the Computer Science PhD normally fund international admits with a renewable full package, and what is the Fall 2027 deadline? | Single-professor dependency. | Official funding evidence exists but does not prove a credible program-wide package or full scholarship. | Fee is high or the applicable Fall 2027 amount/waiver remains unverified.</x:v>
      </x:c>
      <x:c r="Y53" s="18" t="e">
        <x:f>HYPERLINK("https://www.smu.edu/lyle/departments/cs/doctoral-programs","Open source")</x:f>
        <x:v>HYPERLINK is not implemented. linkLocation=https://www.smu.edu/lyle/departments/cs/doctoral-programs, friendlyName=Open source</x:v>
      </x:c>
    </x:row>
    <x:row r="54" ht="46" customHeight="1">
      <x:c r="A54" s="17" t="str">
        <x:v>do_not_apply</x:v>
      </x:c>
      <x:c r="B54" s="17" t="str"/>
      <x:c r="C54" s="17" t="str">
        <x:v>Texas A&amp;M University-College Station</x:v>
      </x:c>
      <x:c r="D54" s="17" t="str">
        <x:v>United States</x:v>
      </x:c>
      <x:c r="E54" s="17" t="str">
        <x:v>us</x:v>
      </x:c>
      <x:c r="F54" s="17" t="str">
        <x:v>Doctor of Philosophy in Computer Science</x:v>
      </x:c>
      <x:c r="G54" s="17" t="str">
        <x:v>PhD</x:v>
      </x:c>
      <x:c r="H54" s="17" t="n">
        <x:v>60</x:v>
      </x:c>
      <x:c r="I54" s="17" t="n">
        <x:v>20</x:v>
      </x:c>
      <x:c r="J54" s="17" t="n">
        <x:v>5</x:v>
      </x:c>
      <x:c r="K54" s="17" t="n">
        <x:v>10</x:v>
      </x:c>
      <x:c r="L54" s="17" t="n">
        <x:v>15</x:v>
      </x:c>
      <x:c r="M54" s="17" t="n">
        <x:v>10</x:v>
      </x:c>
      <x:c r="N54" s="17" t="n">
        <x:v>0</x:v>
      </x:c>
      <x:c r="O54" s="17" t="str">
        <x:v>No</x:v>
      </x:c>
      <x:c r="P54" s="17" t="str">
        <x:v>funding</x:v>
      </x:c>
      <x:c r="Q54" s="17" t="n">
        <x:v>1</x:v>
      </x:c>
      <x:c r="R54" s="17" t="str">
        <x:v>Automatic consideration exists, but assistantship selection is not guaranteed</x:v>
      </x:c>
      <x:c r="S54" s="17" t="str">
        <x:v>Not verified</x:v>
      </x:c>
      <x:c r="T54" s="17" t="str">
        <x:v>USD</x:v>
      </x:c>
      <x:c r="U54" s="17" t="str">
        <x:v>Insufficient evidence</x:v>
      </x:c>
      <x:c r="V54" s="17" t="str">
        <x:v>partial</x:v>
      </x:c>
      <x:c r="W54" s="17" t="str">
        <x:v>low</x:v>
      </x:c>
      <x:c r="X54" s="17" t="str">
        <x:v>Would a Fall 2027 offer include an assistantship covering nonresident tuition plus an adequate stipend and twelve-month support? | Single-professor dependency. | Official funding evidence exists but does not prove a credible program-wide package or full scholarship. | Fee is high or the applicable Fall 2027 amount/waiver remains unverified.</x:v>
      </x:c>
      <x:c r="Y54" s="18" t="e">
        <x:f>HYPERLINK("https://engineering.tamu.edu/cse/academics/degrees/graduate/phd-cs.html","Open source")</x:f>
        <x:v>HYPERLINK is not implemented. linkLocation=https://engineering.tamu.edu/cse/academics/degrees/graduate/phd-cs.html, friendlyName=Open source</x:v>
      </x:c>
    </x:row>
    <x:row r="55" ht="46" customHeight="1">
      <x:c r="A55" s="17" t="str">
        <x:v>do_not_apply</x:v>
      </x:c>
      <x:c r="B55" s="17" t="str"/>
      <x:c r="C55" s="17" t="str">
        <x:v>University of California-Davis</x:v>
      </x:c>
      <x:c r="D55" s="17" t="str">
        <x:v>United States</x:v>
      </x:c>
      <x:c r="E55" s="17" t="str">
        <x:v>us</x:v>
      </x:c>
      <x:c r="F55" s="17" t="str">
        <x:v>Computer Science PhD</x:v>
      </x:c>
      <x:c r="G55" s="17" t="str">
        <x:v>PhD</x:v>
      </x:c>
      <x:c r="H55" s="17" t="n">
        <x:v>60</x:v>
      </x:c>
      <x:c r="I55" s="17" t="n">
        <x:v>20</x:v>
      </x:c>
      <x:c r="J55" s="17" t="n">
        <x:v>5</x:v>
      </x:c>
      <x:c r="K55" s="17" t="n">
        <x:v>10</x:v>
      </x:c>
      <x:c r="L55" s="17" t="n">
        <x:v>15</x:v>
      </x:c>
      <x:c r="M55" s="17" t="n">
        <x:v>10</x:v>
      </x:c>
      <x:c r="N55" s="17" t="n">
        <x:v>0</x:v>
      </x:c>
      <x:c r="O55" s="17" t="str">
        <x:v>No</x:v>
      </x:c>
      <x:c r="P55" s="17" t="str">
        <x:v>funding</x:v>
      </x:c>
      <x:c r="Q55" s="17" t="n">
        <x:v>1</x:v>
      </x:c>
      <x:c r="R55" s="17" t="str">
        <x:v>Official international page says programs may offer first-year support but later funding is not assured</x:v>
      </x:c>
      <x:c r="S55" s="17" t="str">
        <x:v>155 international / 135 domestic</x:v>
      </x:c>
      <x:c r="T55" s="17" t="str">
        <x:v>USD</x:v>
      </x:c>
      <x:c r="U55" s="17" t="str">
        <x:v>Plausible</x:v>
      </x:c>
      <x:c r="V55" s="17" t="str">
        <x:v>partial</x:v>
      </x:c>
      <x:c r="W55" s="17" t="str">
        <x:v>low</x:v>
      </x:c>
      <x:c r="X55" s="17" t="str">
        <x:v>Can the graduate group guarantee five years of tuition, stipend, health, and summer support in writing? | Single-professor dependency. | Official funding evidence exists but does not prove a credible program-wide package or full scholarship. | Fee is high or the applicable Fall 2027 amount/waiver remains unverified.</x:v>
      </x:c>
      <x:c r="Y55" s="18" t="e">
        <x:f>HYPERLINK("https://grad.ucdavis.edu/programs/gcsi","Open source")</x:f>
        <x:v>HYPERLINK is not implemented. linkLocation=https://grad.ucdavis.edu/programs/gcsi, friendlyName=Open source</x:v>
      </x:c>
    </x:row>
    <x:row r="56" ht="46" customHeight="1">
      <x:c r="A56" s="17" t="str">
        <x:v>do_not_apply</x:v>
      </x:c>
      <x:c r="B56" s="17" t="str"/>
      <x:c r="C56" s="17" t="str">
        <x:v>University of Kentucky</x:v>
      </x:c>
      <x:c r="D56" s="17" t="str">
        <x:v>United States</x:v>
      </x:c>
      <x:c r="E56" s="17" t="str">
        <x:v>us</x:v>
      </x:c>
      <x:c r="F56" s="17" t="str">
        <x:v>Doctoral Degree in Computer Science</x:v>
      </x:c>
      <x:c r="G56" s="17" t="str">
        <x:v>PhD</x:v>
      </x:c>
      <x:c r="H56" s="17" t="n">
        <x:v>60</x:v>
      </x:c>
      <x:c r="I56" s="17" t="n">
        <x:v>20</x:v>
      </x:c>
      <x:c r="J56" s="17" t="n">
        <x:v>5</x:v>
      </x:c>
      <x:c r="K56" s="17" t="n">
        <x:v>10</x:v>
      </x:c>
      <x:c r="L56" s="17" t="n">
        <x:v>15</x:v>
      </x:c>
      <x:c r="M56" s="17" t="n">
        <x:v>10</x:v>
      </x:c>
      <x:c r="N56" s="17" t="n">
        <x:v>0</x:v>
      </x:c>
      <x:c r="O56" s="17" t="str">
        <x:v>No</x:v>
      </x:c>
      <x:c r="P56" s="17" t="str">
        <x:v>funding</x:v>
      </x:c>
      <x:c r="Q56" s="17" t="n">
        <x:v>1</x:v>
      </x:c>
      <x:c r="R56" s="17" t="str">
        <x:v>Department states nearly 100 percent of PhD students are fully funded; individual admission support is not guaranteed</x:v>
      </x:c>
      <x:c r="S56" s="17" t="str">
        <x:v>Not separately captured in reviewed official evidence</x:v>
      </x:c>
      <x:c r="T56" s="17" t="str">
        <x:v>USD</x:v>
      </x:c>
      <x:c r="U56" s="17" t="str">
        <x:v>Insufficient evidence</x:v>
      </x:c>
      <x:c r="V56" s="17" t="str">
        <x:v>partial</x:v>
      </x:c>
      <x:c r="W56" s="17" t="str">
        <x:v>low</x:v>
      </x:c>
      <x:c r="X56" s="17" t="str">
        <x:v>Does a Fall 2027 offer guarantee year-round stipend, tuition, fees, and insurance for the expected duration? | Single-professor dependency. | Official funding evidence exists but does not prove a credible program-wide package or full scholarship. | Fee is high or the applicable Fall 2027 amount/waiver remains unverified.</x:v>
      </x:c>
      <x:c r="Y56" s="18" t="e">
        <x:f>HYPERLINK("https://academics.uky.edu/programs/doctoral/computer-science","Open source")</x:f>
        <x:v>HYPERLINK is not implemented. linkLocation=https://academics.uky.edu/programs/doctoral/computer-science, friendlyName=Open source</x:v>
      </x:c>
    </x:row>
    <x:row r="57" ht="46" customHeight="1">
      <x:c r="A57" s="17" t="str">
        <x:v>do_not_apply</x:v>
      </x:c>
      <x:c r="B57" s="17" t="str"/>
      <x:c r="C57" s="17" t="str">
        <x:v>University of Victoria</x:v>
      </x:c>
      <x:c r="D57" s="17" t="str">
        <x:v>Canada</x:v>
      </x:c>
      <x:c r="E57" s="17" t="str">
        <x:v>canada</x:v>
      </x:c>
      <x:c r="F57" s="17" t="str">
        <x:v>Master of Applied Science in Electrical and Computer Engineering</x:v>
      </x:c>
      <x:c r="G57" s="17" t="str">
        <x:v>Thesis or research master's</x:v>
      </x:c>
      <x:c r="H57" s="17" t="n">
        <x:v>60</x:v>
      </x:c>
      <x:c r="I57" s="17" t="n">
        <x:v>20</x:v>
      </x:c>
      <x:c r="J57" s="17" t="n">
        <x:v>5</x:v>
      </x:c>
      <x:c r="K57" s="17" t="n">
        <x:v>10</x:v>
      </x:c>
      <x:c r="L57" s="17" t="n">
        <x:v>15</x:v>
      </x:c>
      <x:c r="M57" s="17" t="n">
        <x:v>10</x:v>
      </x:c>
      <x:c r="N57" s="17" t="n">
        <x:v>0</x:v>
      </x:c>
      <x:c r="O57" s="17" t="str">
        <x:v>No</x:v>
      </x:c>
      <x:c r="P57" s="17" t="str">
        <x:v>funding</x:v>
      </x:c>
      <x:c r="Q57" s="17" t="n">
        <x:v>1</x:v>
      </x:c>
      <x:c r="R57" s="17" t="str">
        <x:v>Not guaranteed; assistantships depend on supervisor funds and performance and fellowships are competitive</x:v>
      </x:c>
      <x:c r="S57" s="17" t="str">
        <x:v>Required; exact current amount not published on the ECE page checked</x:v>
      </x:c>
      <x:c r="T57" s="17" t="str">
        <x:v>CAD</x:v>
      </x:c>
      <x:c r="U57" s="17" t="str">
        <x:v>Plausible</x:v>
      </x:c>
      <x:c r="V57" s="17" t="str">
        <x:v>partial</x:v>
      </x:c>
      <x:c r="W57" s="17" t="str">
        <x:v>low</x:v>
      </x:c>
      <x:c r="X57" s="17" t="str">
        <x:v>Will an aligned supervisor recommend admission and provide a renewable package sufficient after international tuition, fees, and living costs? | Single-professor dependency. | Official funding evidence exists but does not prove a credible program-wide package or full scholarship. | Fee is high or the applicable Fall 2027 amount/waiver remains unverified.</x:v>
      </x:c>
      <x:c r="Y57" s="18" t="e">
        <x:f>HYPERLINK("https://www.uvic.ca/graduate/programs/graduate-programs/credential-pages/electrical-computer-engineering-cred/electrical-and-computer-engineering-masc.php","Open source")</x:f>
        <x:v>HYPERLINK is not implemented. linkLocation=https://www.uvic.ca/graduate/programs/graduate-programs/credential-pages/electrical-computer-engineering-cred/electrical-and-computer-engineering-masc.php, friendlyName=Open source</x:v>
      </x:c>
    </x:row>
    <x:row r="58" ht="46" customHeight="1">
      <x:c r="A58" s="17" t="str">
        <x:v>do_not_apply</x:v>
      </x:c>
      <x:c r="B58" s="17" t="str"/>
      <x:c r="C58" s="17" t="str">
        <x:v>Vanderbilt University</x:v>
      </x:c>
      <x:c r="D58" s="17" t="str">
        <x:v>United States</x:v>
      </x:c>
      <x:c r="E58" s="17" t="str">
        <x:v>us</x:v>
      </x:c>
      <x:c r="F58" s="17" t="str">
        <x:v>Computer Science PhD</x:v>
      </x:c>
      <x:c r="G58" s="17" t="str">
        <x:v>PhD</x:v>
      </x:c>
      <x:c r="H58" s="17" t="n">
        <x:v>60</x:v>
      </x:c>
      <x:c r="I58" s="17" t="n">
        <x:v>20</x:v>
      </x:c>
      <x:c r="J58" s="17" t="n">
        <x:v>5</x:v>
      </x:c>
      <x:c r="K58" s="17" t="n">
        <x:v>10</x:v>
      </x:c>
      <x:c r="L58" s="17" t="n">
        <x:v>10</x:v>
      </x:c>
      <x:c r="M58" s="17" t="n">
        <x:v>10</x:v>
      </x:c>
      <x:c r="N58" s="17" t="n">
        <x:v>5</x:v>
      </x:c>
      <x:c r="O58" s="17" t="str">
        <x:v>No</x:v>
      </x:c>
      <x:c r="P58" s="17" t="str">
        <x:v>funding</x:v>
      </x:c>
      <x:c r="Q58" s="17" t="n">
        <x:v>1</x:v>
      </x:c>
      <x:c r="R58" s="17" t="str">
        <x:v>CS PhD students receive stipend, full tuition waiver, and health insurance; continuation depends on academic/research progress</x:v>
      </x:c>
      <x:c r="S58" s="17" t="n">
        <x:v>95</x:v>
      </x:c>
      <x:c r="T58" s="17" t="str">
        <x:v>USD</x:v>
      </x:c>
      <x:c r="U58" s="17" t="str">
        <x:v>Plausible</x:v>
      </x:c>
      <x:c r="V58" s="17" t="str">
        <x:v>partial</x:v>
      </x:c>
      <x:c r="W58" s="17" t="str">
        <x:v>low</x:v>
      </x:c>
      <x:c r="X58" s="17" t="str">
        <x:v>Confirm duration and summer-support language in the Fall 2027 offer | Single-professor dependency. | Official funding evidence exists but does not prove a credible program-wide package or full scholarship.</x:v>
      </x:c>
      <x:c r="Y58" s="18" t="e">
        <x:f>HYPERLINK("https://computing.vanderbilt.edu/csphd/","Open source")</x:f>
        <x:v>HYPERLINK is not implemented. linkLocation=https://computing.vanderbilt.edu/csphd/, friendlyName=Open source</x:v>
      </x:c>
    </x:row>
    <x:row r="59" ht="46" customHeight="1">
      <x:c r="A59" s="17" t="str">
        <x:v>do_not_apply</x:v>
      </x:c>
      <x:c r="B59" s="17" t="str"/>
      <x:c r="C59" s="17" t="str">
        <x:v>Brandeis University</x:v>
      </x:c>
      <x:c r="D59" s="17" t="str">
        <x:v>United States</x:v>
      </x:c>
      <x:c r="E59" s="17" t="str">
        <x:v>us</x:v>
      </x:c>
      <x:c r="F59" s="17" t="str">
        <x:v>Doctor of Philosophy in Computer Science</x:v>
      </x:c>
      <x:c r="G59" s="17" t="str">
        <x:v>PhD</x:v>
      </x:c>
      <x:c r="H59" s="17" t="n">
        <x:v>58</x:v>
      </x:c>
      <x:c r="I59" s="17" t="n">
        <x:v>20</x:v>
      </x:c>
      <x:c r="J59" s="17" t="n">
        <x:v>5</x:v>
      </x:c>
      <x:c r="K59" s="17" t="n">
        <x:v>10</x:v>
      </x:c>
      <x:c r="L59" s="17" t="n">
        <x:v>10</x:v>
      </x:c>
      <x:c r="M59" s="17" t="n">
        <x:v>10</x:v>
      </x:c>
      <x:c r="N59" s="17" t="n">
        <x:v>3</x:v>
      </x:c>
      <x:c r="O59" s="17" t="str">
        <x:v>No</x:v>
      </x:c>
      <x:c r="P59" s="17" t="str">
        <x:v>funding</x:v>
      </x:c>
      <x:c r="Q59" s="17" t="n">
        <x:v>1</x:v>
      </x:c>
      <x:c r="R59" s="17" t="str">
        <x:v>Brandeis states that most doctoral students receive five years of funding; CS-specific universal coverage is not established</x:v>
      </x:c>
      <x:c r="S59" s="17" t="n">
        <x:v>75</x:v>
      </x:c>
      <x:c r="T59" s="17" t="str">
        <x:v>USD</x:v>
      </x:c>
      <x:c r="U59" s="17" t="str">
        <x:v>Plausible</x:v>
      </x:c>
      <x:c r="V59" s="17" t="str">
        <x:v>partial</x:v>
      </x:c>
      <x:c r="W59" s="17" t="str">
        <x:v>low</x:v>
      </x:c>
      <x:c r="X59" s="17" t="str">
        <x:v>Does every admitted Fall 2027 CS PhD student receive the five-year tuition, stipend, and health package, including summer and fees? | Single-professor dependency. | Official funding evidence exists but does not prove a credible program-wide package or full scholarship. | Applicable waiver or final Fall 2027 cost is not guaranteed.</x:v>
      </x:c>
      <x:c r="Y59" s="18" t="e">
        <x:f>HYPERLINK("https://www.brandeis.edu/gsas/programs/computer_science.html","Open source")</x:f>
        <x:v>HYPERLINK is not implemented. linkLocation=https://www.brandeis.edu/gsas/programs/computer_science.html, friendlyName=Open source</x:v>
      </x:c>
    </x:row>
    <x:row r="60" ht="46" customHeight="1">
      <x:c r="A60" s="17" t="str">
        <x:v>do_not_apply</x:v>
      </x:c>
      <x:c r="B60" s="17" t="str"/>
      <x:c r="C60" s="17" t="str">
        <x:v>Concordia University</x:v>
      </x:c>
      <x:c r="D60" s="17" t="str">
        <x:v>Canada</x:v>
      </x:c>
      <x:c r="E60" s="17" t="str">
        <x:v>canada</x:v>
      </x:c>
      <x:c r="F60" s="17" t="str">
        <x:v>Cybersecurity Engineering (MASc)</x:v>
      </x:c>
      <x:c r="G60" s="17" t="str">
        <x:v>Thesis or research master's</x:v>
      </x:c>
      <x:c r="H60" s="17" t="n">
        <x:v>58</x:v>
      </x:c>
      <x:c r="I60" s="17" t="n">
        <x:v>20</x:v>
      </x:c>
      <x:c r="J60" s="17" t="n">
        <x:v>5</x:v>
      </x:c>
      <x:c r="K60" s="17" t="n">
        <x:v>10</x:v>
      </x:c>
      <x:c r="L60" s="17" t="n">
        <x:v>10</x:v>
      </x:c>
      <x:c r="M60" s="17" t="n">
        <x:v>10</x:v>
      </x:c>
      <x:c r="N60" s="17" t="n">
        <x:v>3</x:v>
      </x:c>
      <x:c r="O60" s="17" t="str">
        <x:v>No</x:v>
      </x:c>
      <x:c r="P60" s="17" t="str">
        <x:v>funding</x:v>
      </x:c>
      <x:c r="Q60" s="17" t="n">
        <x:v>1</x:v>
      </x:c>
      <x:c r="R60" s="17" t="str">
        <x:v>Funding packages are described as generally available and offered to most thesis students, not guaranteed to every admit</x:v>
      </x:c>
      <x:c r="S60" s="17" t="str">
        <x:v>100 per program</x:v>
      </x:c>
      <x:c r="T60" s="17" t="str">
        <x:v>CAD</x:v>
      </x:c>
      <x:c r="U60" s="17" t="str">
        <x:v>Plausible</x:v>
      </x:c>
      <x:c r="V60" s="17" t="str">
        <x:v>partial</x:v>
      </x:c>
      <x:c r="W60" s="17" t="str">
        <x:v>low</x:v>
      </x:c>
      <x:c r="X60" s="17" t="str">
        <x:v>Will a willing advisor provide a two-year package that covers international tuition, compulsory fees, insurance, and living costs? | Single-professor dependency. | Official funding evidence exists but does not prove a credible program-wide package or full scholarship. | Applicable waiver or final Fall 2027 cost is not guaranteed.</x:v>
      </x:c>
      <x:c r="Y60" s="18" t="e">
        <x:f>HYPERLINK("https://www.concordia.ca/academics/graduate/cybersecurity-engineering-masc.html","Open source")</x:f>
        <x:v>HYPERLINK is not implemented. linkLocation=https://www.concordia.ca/academics/graduate/cybersecurity-engineering-masc.html, friendlyName=Open source</x:v>
      </x:c>
    </x:row>
    <x:row r="61" ht="46" customHeight="1">
      <x:c r="A61" s="17" t="str">
        <x:v>do_not_apply</x:v>
      </x:c>
      <x:c r="B61" s="17" t="str"/>
      <x:c r="C61" s="17" t="str">
        <x:v>Drexel University</x:v>
      </x:c>
      <x:c r="D61" s="17" t="str">
        <x:v>United States</x:v>
      </x:c>
      <x:c r="E61" s="17" t="str">
        <x:v>us</x:v>
      </x:c>
      <x:c r="F61" s="17" t="str">
        <x:v>PhD in Computer Science</x:v>
      </x:c>
      <x:c r="G61" s="17" t="str">
        <x:v>PhD</x:v>
      </x:c>
      <x:c r="H61" s="17" t="n">
        <x:v>58</x:v>
      </x:c>
      <x:c r="I61" s="17" t="n">
        <x:v>20</x:v>
      </x:c>
      <x:c r="J61" s="17" t="n">
        <x:v>5</x:v>
      </x:c>
      <x:c r="K61" s="17" t="n">
        <x:v>10</x:v>
      </x:c>
      <x:c r="L61" s="17" t="n">
        <x:v>10</x:v>
      </x:c>
      <x:c r="M61" s="17" t="n">
        <x:v>10</x:v>
      </x:c>
      <x:c r="N61" s="17" t="n">
        <x:v>3</x:v>
      </x:c>
      <x:c r="O61" s="17" t="str">
        <x:v>No</x:v>
      </x:c>
      <x:c r="P61" s="17" t="str">
        <x:v>funding</x:v>
      </x:c>
      <x:c r="Q61" s="17" t="n">
        <x:v>1</x:v>
      </x:c>
      <x:c r="R61" s="17" t="str">
        <x:v>All PhD students are stated to be fully supported</x:v>
      </x:c>
      <x:c r="S61" s="17" t="n">
        <x:v>65</x:v>
      </x:c>
      <x:c r="T61" s="17" t="str">
        <x:v>USD</x:v>
      </x:c>
      <x:c r="U61" s="17" t="str">
        <x:v>Insufficient evidence</x:v>
      </x:c>
      <x:c r="V61" s="17" t="str">
        <x:v>partial</x:v>
      </x:c>
      <x:c r="W61" s="17" t="str">
        <x:v>low</x:v>
      </x:c>
      <x:c r="X61" s="17" t="str">
        <x:v>What stipend, fee, insurance, summer, and renewal terms will appear in the Fall 2027 assistantship offer? | Single-professor dependency. | Official funding evidence exists but does not prove a credible program-wide package or full scholarship. | Applicable waiver or final Fall 2027 cost is not guaranteed.</x:v>
      </x:c>
      <x:c r="Y61" s="18" t="e">
        <x:f>HYPERLINK("https://drexel.edu/cci/academics/doctoral-programs/phd-computer-science/","Open source")</x:f>
        <x:v>HYPERLINK is not implemented. linkLocation=https://drexel.edu/cci/academics/doctoral-programs/phd-computer-science/, friendlyName=Open source</x:v>
      </x:c>
    </x:row>
    <x:row r="62" ht="46" customHeight="1">
      <x:c r="A62" s="17" t="str">
        <x:v>do_not_apply</x:v>
      </x:c>
      <x:c r="B62" s="17" t="str"/>
      <x:c r="C62" s="17" t="str">
        <x:v>Emory University</x:v>
      </x:c>
      <x:c r="D62" s="17" t="str">
        <x:v>United States</x:v>
      </x:c>
      <x:c r="E62" s="17" t="str">
        <x:v>us</x:v>
      </x:c>
      <x:c r="F62" s="17" t="str">
        <x:v>Doctor of Philosophy in Computer Science and Informatics</x:v>
      </x:c>
      <x:c r="G62" s="17" t="str">
        <x:v>PhD</x:v>
      </x:c>
      <x:c r="H62" s="17" t="n">
        <x:v>58</x:v>
      </x:c>
      <x:c r="I62" s="17" t="n">
        <x:v>20</x:v>
      </x:c>
      <x:c r="J62" s="17" t="n">
        <x:v>5</x:v>
      </x:c>
      <x:c r="K62" s="17" t="n">
        <x:v>10</x:v>
      </x:c>
      <x:c r="L62" s="17" t="n">
        <x:v>10</x:v>
      </x:c>
      <x:c r="M62" s="17" t="n">
        <x:v>10</x:v>
      </x:c>
      <x:c r="N62" s="17" t="n">
        <x:v>3</x:v>
      </x:c>
      <x:c r="O62" s="17" t="str">
        <x:v>No</x:v>
      </x:c>
      <x:c r="P62" s="17" t="str">
        <x:v>funding</x:v>
      </x:c>
      <x:c r="Q62" s="17" t="n">
        <x:v>1</x:v>
      </x:c>
      <x:c r="R62" s="17" t="str">
        <x:v>Official program pages state that admitted CSI PhD students receive full tuition and a competitive stipend</x:v>
      </x:c>
      <x:c r="S62" s="17" t="n">
        <x:v>75</x:v>
      </x:c>
      <x:c r="T62" s="17" t="str">
        <x:v>USD</x:v>
      </x:c>
      <x:c r="U62" s="17" t="str">
        <x:v>Plausible</x:v>
      </x:c>
      <x:c r="V62" s="17" t="str">
        <x:v>partial</x:v>
      </x:c>
      <x:c r="W62" s="17" t="str">
        <x:v>low</x:v>
      </x:c>
      <x:c r="X62" s="17" t="str">
        <x:v>What are the Fall 2027 stipend, insurance, mandatory-fee, summer-support, and English-test terms in the actual offer? | Single-professor dependency. | Official funding evidence exists but does not prove a credible program-wide package or full scholarship. | Applicable waiver or final Fall 2027 cost is not guaranteed.</x:v>
      </x:c>
      <x:c r="Y62" s="18" t="e">
        <x:f>HYPERLINK("https://computerscience.emory.edu/graduate-phd/index.html","Open source")</x:f>
        <x:v>HYPERLINK is not implemented. linkLocation=https://computerscience.emory.edu/graduate-phd/index.html, friendlyName=Open source</x:v>
      </x:c>
    </x:row>
    <x:row r="63" ht="46" customHeight="1">
      <x:c r="A63" s="17" t="str">
        <x:v>do_not_apply</x:v>
      </x:c>
      <x:c r="B63" s="17" t="str"/>
      <x:c r="C63" s="17" t="str">
        <x:v>George Washington University</x:v>
      </x:c>
      <x:c r="D63" s="17" t="str">
        <x:v>United States</x:v>
      </x:c>
      <x:c r="E63" s="17" t="str">
        <x:v>us</x:v>
      </x:c>
      <x:c r="F63" s="17" t="str">
        <x:v>PhD in Computer Science</x:v>
      </x:c>
      <x:c r="G63" s="17" t="str">
        <x:v>PhD</x:v>
      </x:c>
      <x:c r="H63" s="17" t="n">
        <x:v>58</x:v>
      </x:c>
      <x:c r="I63" s="17" t="n">
        <x:v>20</x:v>
      </x:c>
      <x:c r="J63" s="17" t="n">
        <x:v>5</x:v>
      </x:c>
      <x:c r="K63" s="17" t="n">
        <x:v>10</x:v>
      </x:c>
      <x:c r="L63" s="17" t="n">
        <x:v>10</x:v>
      </x:c>
      <x:c r="M63" s="17" t="n">
        <x:v>10</x:v>
      </x:c>
      <x:c r="N63" s="17" t="n">
        <x:v>3</x:v>
      </x:c>
      <x:c r="O63" s="17" t="str">
        <x:v>No</x:v>
      </x:c>
      <x:c r="P63" s="17" t="str">
        <x:v>funding</x:v>
      </x:c>
      <x:c r="Q63" s="17" t="n">
        <x:v>1</x:v>
      </x:c>
      <x:c r="R63" s="17" t="str">
        <x:v>All doctoral applicants are generally considered, but an award is not guaranteed</x:v>
      </x:c>
      <x:c r="S63" s="17" t="n">
        <x:v>80</x:v>
      </x:c>
      <x:c r="T63" s="17" t="str">
        <x:v>USD</x:v>
      </x:c>
      <x:c r="U63" s="17" t="str">
        <x:v>Plausible</x:v>
      </x:c>
      <x:c r="V63" s="17" t="str">
        <x:v>partial</x:v>
      </x:c>
      <x:c r="W63" s="17" t="str">
        <x:v>low</x:v>
      </x:c>
      <x:c r="X63" s="17" t="str">
        <x:v>Will a CS faculty member select the applicant for a renewable package covering all tuition, living costs, fees, insurance, and summers? | Single-professor dependency. | Official funding evidence exists but does not prove a credible program-wide package or full scholarship. | Applicable waiver or final Fall 2027 cost is not guaranteed.</x:v>
      </x:c>
      <x:c r="Y63" s="18" t="e">
        <x:f>HYPERLINK("https://graduate.engineering.gwu.edu/phd-computer-science","Open source")</x:f>
        <x:v>HYPERLINK is not implemented. linkLocation=https://graduate.engineering.gwu.edu/phd-computer-science, friendlyName=Open source</x:v>
      </x:c>
    </x:row>
    <x:row r="64" ht="46" customHeight="1">
      <x:c r="A64" s="17" t="str">
        <x:v>do_not_apply</x:v>
      </x:c>
      <x:c r="B64" s="17" t="str"/>
      <x:c r="C64" s="17" t="str">
        <x:v>Michigan Technological University</x:v>
      </x:c>
      <x:c r="D64" s="17" t="str">
        <x:v>United States</x:v>
      </x:c>
      <x:c r="E64" s="17" t="str">
        <x:v>us</x:v>
      </x:c>
      <x:c r="F64" s="17" t="str">
        <x:v>Computer Science, PhD</x:v>
      </x:c>
      <x:c r="G64" s="17" t="str">
        <x:v>PhD</x:v>
      </x:c>
      <x:c r="H64" s="17" t="n">
        <x:v>58</x:v>
      </x:c>
      <x:c r="I64" s="17" t="n">
        <x:v>20</x:v>
      </x:c>
      <x:c r="J64" s="17" t="n">
        <x:v>5</x:v>
      </x:c>
      <x:c r="K64" s="17" t="n">
        <x:v>10</x:v>
      </x:c>
      <x:c r="L64" s="17" t="n">
        <x:v>10</x:v>
      </x:c>
      <x:c r="M64" s="17" t="n">
        <x:v>10</x:v>
      </x:c>
      <x:c r="N64" s="17" t="n">
        <x:v>3</x:v>
      </x:c>
      <x:c r="O64" s="17" t="str">
        <x:v>No</x:v>
      </x:c>
      <x:c r="P64" s="17" t="str">
        <x:v>funding</x:v>
      </x:c>
      <x:c r="Q64" s="17" t="n">
        <x:v>1</x:v>
      </x:c>
      <x:c r="R64" s="17" t="str">
        <x:v>Credible official doctoral route with full tuition and a published minimum stipend, although an individual appointment is not guaranteed</x:v>
      </x:c>
      <x:c r="S64" s="17" t="str">
        <x:v>10 for international applicants on the current admissions page</x:v>
      </x:c>
      <x:c r="T64" s="17" t="str">
        <x:v>USD</x:v>
      </x:c>
      <x:c r="U64" s="17" t="str">
        <x:v>Insufficient evidence</x:v>
      </x:c>
      <x:c r="V64" s="17" t="str">
        <x:v>partial</x:v>
      </x:c>
      <x:c r="W64" s="17" t="str">
        <x:v>low</x:v>
      </x:c>
      <x:c r="X64" s="17" t="str">
        <x:v>Will the actual assistantship offer provide renewable academic-year and summer support after fees and insurance? | Single-professor dependency. | Official funding evidence exists but does not prove a credible program-wide package or full scholarship. | Applicable waiver or final Fall 2027 cost is not guaranteed.</x:v>
      </x:c>
      <x:c r="Y64" s="18" t="e">
        <x:f>HYPERLINK("https://www.mtu.edu/gradschool/programs/degrees/computer-science/","Open source")</x:f>
        <x:v>HYPERLINK is not implemented. linkLocation=https://www.mtu.edu/gradschool/programs/degrees/computer-science/, friendlyName=Open source</x:v>
      </x:c>
    </x:row>
    <x:row r="65" ht="46" customHeight="1">
      <x:c r="A65" s="17" t="str">
        <x:v>do_not_apply</x:v>
      </x:c>
      <x:c r="B65" s="17" t="str"/>
      <x:c r="C65" s="17" t="str">
        <x:v>New Mexico Institute of Mining and Technology</x:v>
      </x:c>
      <x:c r="D65" s="17" t="str">
        <x:v>United States</x:v>
      </x:c>
      <x:c r="E65" s="17" t="str">
        <x:v>us</x:v>
      </x:c>
      <x:c r="F65" s="17" t="str">
        <x:v>Doctor of Philosophy in Computer Science</x:v>
      </x:c>
      <x:c r="G65" s="17" t="str">
        <x:v>PhD</x:v>
      </x:c>
      <x:c r="H65" s="17" t="n">
        <x:v>58</x:v>
      </x:c>
      <x:c r="I65" s="17" t="n">
        <x:v>20</x:v>
      </x:c>
      <x:c r="J65" s="17" t="n">
        <x:v>5</x:v>
      </x:c>
      <x:c r="K65" s="17" t="n">
        <x:v>10</x:v>
      </x:c>
      <x:c r="L65" s="17" t="n">
        <x:v>10</x:v>
      </x:c>
      <x:c r="M65" s="17" t="n">
        <x:v>10</x:v>
      </x:c>
      <x:c r="N65" s="17" t="n">
        <x:v>3</x:v>
      </x:c>
      <x:c r="O65" s="17" t="str">
        <x:v>No</x:v>
      </x:c>
      <x:c r="P65" s="17" t="str">
        <x:v>funding</x:v>
      </x:c>
      <x:c r="Q65" s="17" t="n">
        <x:v>1</x:v>
      </x:c>
      <x:c r="R65" s="17" t="str">
        <x:v>Assistantships are available until funds are exhausted; appointment is not guaranteed</x:v>
      </x:c>
      <x:c r="S65" s="17" t="n">
        <x:v>60</x:v>
      </x:c>
      <x:c r="T65" s="17" t="str">
        <x:v>USD</x:v>
      </x:c>
      <x:c r="U65" s="17" t="str">
        <x:v>Insufficient evidence</x:v>
      </x:c>
      <x:c r="V65" s="17" t="str">
        <x:v>partial</x:v>
      </x:c>
      <x:c r="W65" s="17" t="str">
        <x:v>low</x:v>
      </x:c>
      <x:c r="X65" s="17" t="str">
        <x:v>Will NMT issue a renewable 0.5 FTE appointment whose stipend and tuition remission also cover fees, insurance, and summer needs? | Single-professor dependency. | Official funding evidence exists but does not prove a credible program-wide package or full scholarship. | Applicable waiver or final Fall 2027 cost is not guaranteed.</x:v>
      </x:c>
      <x:c r="Y65" s="18" t="e">
        <x:f>HYPERLINK("https://www.nmt.edu/academics/compsci/graduate.php","Open source")</x:f>
        <x:v>HYPERLINK is not implemented. linkLocation=https://www.nmt.edu/academics/compsci/graduate.php, friendlyName=Open source</x:v>
      </x:c>
    </x:row>
    <x:row r="66" ht="46" customHeight="1">
      <x:c r="A66" s="17" t="str">
        <x:v>do_not_apply</x:v>
      </x:c>
      <x:c r="B66" s="17" t="str"/>
      <x:c r="C66" s="17" t="str">
        <x:v>North Dakota State University-Main Campus</x:v>
      </x:c>
      <x:c r="D66" s="17" t="str">
        <x:v>United States</x:v>
      </x:c>
      <x:c r="E66" s="17" t="str">
        <x:v>us</x:v>
      </x:c>
      <x:c r="F66" s="17" t="str">
        <x:v>Doctor of Philosophy in Software and Security Engineering</x:v>
      </x:c>
      <x:c r="G66" s="17" t="str">
        <x:v>PhD</x:v>
      </x:c>
      <x:c r="H66" s="17" t="n">
        <x:v>58</x:v>
      </x:c>
      <x:c r="I66" s="17" t="n">
        <x:v>20</x:v>
      </x:c>
      <x:c r="J66" s="17" t="n">
        <x:v>5</x:v>
      </x:c>
      <x:c r="K66" s="17" t="n">
        <x:v>10</x:v>
      </x:c>
      <x:c r="L66" s="17" t="n">
        <x:v>10</x:v>
      </x:c>
      <x:c r="M66" s="17" t="n">
        <x:v>10</x:v>
      </x:c>
      <x:c r="N66" s="17" t="n">
        <x:v>3</x:v>
      </x:c>
      <x:c r="O66" s="17" t="str">
        <x:v>No</x:v>
      </x:c>
      <x:c r="P66" s="17" t="str">
        <x:v>funding</x:v>
      </x:c>
      <x:c r="Q66" s="17" t="n">
        <x:v>1</x:v>
      </x:c>
      <x:c r="R66" s="17" t="str">
        <x:v>Competitive and not confirmed for the applicant</x:v>
      </x:c>
      <x:c r="S66" s="17" t="n">
        <x:v>35</x:v>
      </x:c>
      <x:c r="T66" s="17" t="str">
        <x:v>USD</x:v>
      </x:c>
      <x:c r="U66" s="17" t="str">
        <x:v>Plausible</x:v>
      </x:c>
      <x:c r="V66" s="17" t="str">
        <x:v>partial</x:v>
      </x:c>
      <x:c r="W66" s="17" t="str">
        <x:v>low</x:v>
      </x:c>
      <x:c r="X66" s="17" t="str">
        <x:v>Will the program issue a renewable 20-hour assistantship with a current stipend adequate after uncovered differential tuition, mandatory fees, insurance, and summer costs? | Single-professor dependency. | Official funding evidence exists but does not prove a credible program-wide package or full scholarship. | Applicable waiver or final Fall 2027 cost is not guaranteed.</x:v>
      </x:c>
      <x:c r="Y66" s="18" t="e">
        <x:f>HYPERLINK("https://catalog.ndsu.edu/curriculum/graduate/software-and-security-engineering-doctorate/","Open source")</x:f>
        <x:v>HYPERLINK is not implemented. linkLocation=https://catalog.ndsu.edu/curriculum/graduate/software-and-security-engineering-doctorate/, friendlyName=Open source</x:v>
      </x:c>
    </x:row>
    <x:row r="67" ht="46" customHeight="1">
      <x:c r="A67" s="17" t="str">
        <x:v>do_not_apply</x:v>
      </x:c>
      <x:c r="B67" s="17" t="str"/>
      <x:c r="C67" s="17" t="str">
        <x:v>Oklahoma State University-Main Campus</x:v>
      </x:c>
      <x:c r="D67" s="17" t="str">
        <x:v>United States</x:v>
      </x:c>
      <x:c r="E67" s="17" t="str">
        <x:v>us</x:v>
      </x:c>
      <x:c r="F67" s="17" t="str">
        <x:v>Doctor of Philosophy in Computer Science</x:v>
      </x:c>
      <x:c r="G67" s="17" t="str">
        <x:v>PhD</x:v>
      </x:c>
      <x:c r="H67" s="17" t="n">
        <x:v>58</x:v>
      </x:c>
      <x:c r="I67" s="17" t="n">
        <x:v>20</x:v>
      </x:c>
      <x:c r="J67" s="17" t="n">
        <x:v>5</x:v>
      </x:c>
      <x:c r="K67" s="17" t="n">
        <x:v>10</x:v>
      </x:c>
      <x:c r="L67" s="17" t="n">
        <x:v>10</x:v>
      </x:c>
      <x:c r="M67" s="17" t="n">
        <x:v>10</x:v>
      </x:c>
      <x:c r="N67" s="17" t="n">
        <x:v>3</x:v>
      </x:c>
      <x:c r="O67" s="17" t="str">
        <x:v>No</x:v>
      </x:c>
      <x:c r="P67" s="17" t="str">
        <x:v>funding</x:v>
      </x:c>
      <x:c r="Q67" s="17" t="n">
        <x:v>1</x:v>
      </x:c>
      <x:c r="R67" s="17" t="str">
        <x:v>The department reports several awards and says most PhD students who apply for a TA receive one, but no universal or complete package is promised</x:v>
      </x:c>
      <x:c r="S67" s="17" t="str">
        <x:v>USD 75 for international applicants</x:v>
      </x:c>
      <x:c r="T67" s="17" t="str">
        <x:v>USD</x:v>
      </x:c>
      <x:c r="U67" s="17" t="str">
        <x:v>Insufficient evidence</x:v>
      </x:c>
      <x:c r="V67" s="17" t="str">
        <x:v>partial</x:v>
      </x:c>
      <x:c r="W67" s="17" t="str">
        <x:v>low</x:v>
      </x:c>
      <x:c r="X67" s="17" t="str">
        <x:v>Will OSU issue and renew an assistantship that covers full tuition, mandatory fees, insurance, stipend, and summer for this applicant? | Single-professor dependency. | Official funding evidence exists but does not prove a credible program-wide package or full scholarship. | Applicable waiver or final Fall 2027 cost is not guaranteed.</x:v>
      </x:c>
      <x:c r="Y67" s="18" t="e">
        <x:f>HYPERLINK("https://cas.okstate.edu/computer_science/graduate/phd_cs","Open source")</x:f>
        <x:v>HYPERLINK is not implemented. linkLocation=https://cas.okstate.edu/computer_science/graduate/phd_cs, friendlyName=Open source</x:v>
      </x:c>
    </x:row>
    <x:row r="68" ht="46" customHeight="1">
      <x:c r="A68" s="17" t="str">
        <x:v>do_not_apply</x:v>
      </x:c>
      <x:c r="B68" s="17" t="str"/>
      <x:c r="C68" s="17" t="str">
        <x:v>Rochester Institute of Technology</x:v>
      </x:c>
      <x:c r="D68" s="17" t="str">
        <x:v>United States</x:v>
      </x:c>
      <x:c r="E68" s="17" t="str">
        <x:v>us</x:v>
      </x:c>
      <x:c r="F68" s="17" t="str">
        <x:v>Computing and Information Sciences PhD</x:v>
      </x:c>
      <x:c r="G68" s="17" t="str">
        <x:v>PhD</x:v>
      </x:c>
      <x:c r="H68" s="17" t="n">
        <x:v>58</x:v>
      </x:c>
      <x:c r="I68" s="17" t="n">
        <x:v>20</x:v>
      </x:c>
      <x:c r="J68" s="17" t="n">
        <x:v>5</x:v>
      </x:c>
      <x:c r="K68" s="17" t="n">
        <x:v>10</x:v>
      </x:c>
      <x:c r="L68" s="17" t="n">
        <x:v>10</x:v>
      </x:c>
      <x:c r="M68" s="17" t="n">
        <x:v>10</x:v>
      </x:c>
      <x:c r="N68" s="17" t="n">
        <x:v>3</x:v>
      </x:c>
      <x:c r="O68" s="17" t="str">
        <x:v>No</x:v>
      </x:c>
      <x:c r="P68" s="17" t="str">
        <x:v>funding</x:v>
      </x:c>
      <x:c r="Q68" s="17" t="n">
        <x:v>1</x:v>
      </x:c>
      <x:c r="R68" s="17" t="str">
        <x:v>Program states PhD students typically receive full tuition plus RA stipend or TA salary; not worded as universal guarantee</x:v>
      </x:c>
      <x:c r="S68" s="17" t="n">
        <x:v>65</x:v>
      </x:c>
      <x:c r="T68" s="17" t="str">
        <x:v>USD</x:v>
      </x:c>
      <x:c r="U68" s="17" t="str">
        <x:v>Plausible</x:v>
      </x:c>
      <x:c r="V68" s="17" t="str">
        <x:v>partial</x:v>
      </x:c>
      <x:c r="W68" s="17" t="str">
        <x:v>low</x:v>
      </x:c>
      <x:c r="X68" s="17" t="str">
        <x:v>Confirm guaranteed package duration, health, summer, and whether the advertised openings are for Fall 2027 | Single-professor dependency. | Official funding evidence exists but does not prove a credible program-wide package or full scholarship. | Applicable waiver or final Fall 2027 cost is not guaranteed.</x:v>
      </x:c>
      <x:c r="Y68" s="18" t="e">
        <x:f>HYPERLINK("https://www.rit.edu/study/computing-and-information-sciences-phd","Open source")</x:f>
        <x:v>HYPERLINK is not implemented. linkLocation=https://www.rit.edu/study/computing-and-information-sciences-phd, friendlyName=Open source</x:v>
      </x:c>
    </x:row>
    <x:row r="69" ht="46" customHeight="1">
      <x:c r="A69" s="17" t="str">
        <x:v>do_not_apply</x:v>
      </x:c>
      <x:c r="B69" s="17" t="str"/>
      <x:c r="C69" s="17" t="str">
        <x:v>Rutgers University-New Brunswick</x:v>
      </x:c>
      <x:c r="D69" s="17" t="str">
        <x:v>United States</x:v>
      </x:c>
      <x:c r="E69" s="17" t="str">
        <x:v>us</x:v>
      </x:c>
      <x:c r="F69" s="17" t="str">
        <x:v>Computer Science (Ph.D.), New Brunswick</x:v>
      </x:c>
      <x:c r="G69" s="17" t="str">
        <x:v>PhD</x:v>
      </x:c>
      <x:c r="H69" s="17" t="n">
        <x:v>58</x:v>
      </x:c>
      <x:c r="I69" s="17" t="n">
        <x:v>20</x:v>
      </x:c>
      <x:c r="J69" s="17" t="n">
        <x:v>5</x:v>
      </x:c>
      <x:c r="K69" s="17" t="n">
        <x:v>10</x:v>
      </x:c>
      <x:c r="L69" s="17" t="n">
        <x:v>10</x:v>
      </x:c>
      <x:c r="M69" s="17" t="n">
        <x:v>10</x:v>
      </x:c>
      <x:c r="N69" s="17" t="n">
        <x:v>3</x:v>
      </x:c>
      <x:c r="O69" s="17" t="str">
        <x:v>No</x:v>
      </x:c>
      <x:c r="P69" s="17" t="str">
        <x:v>funding</x:v>
      </x:c>
      <x:c r="Q69" s="17" t="n">
        <x:v>1</x:v>
      </x:c>
      <x:c r="R69" s="17" t="str">
        <x:v>Support is typically provided; first two years are typically guaranteed and the following three years are expected, not promised to every admit</x:v>
      </x:c>
      <x:c r="S69" s="17" t="n">
        <x:v>70</x:v>
      </x:c>
      <x:c r="T69" s="17" t="str">
        <x:v>USD</x:v>
      </x:c>
      <x:c r="U69" s="17" t="str">
        <x:v>Insufficient evidence</x:v>
      </x:c>
      <x:c r="V69" s="17" t="str">
        <x:v>partial</x:v>
      </x:c>
      <x:c r="W69" s="17" t="str">
        <x:v>low</x:v>
      </x:c>
      <x:c r="X69" s="17" t="str">
        <x:v>Will the admission offer guarantee adequate stipend, tuition, insurance, fees, and summer support for all five years? | Single-professor dependency. | Official funding evidence exists but does not prove a credible program-wide package or full scholarship. | Applicable waiver or final Fall 2027 cost is not guaranteed.</x:v>
      </x:c>
      <x:c r="Y69" s="18" t="e">
        <x:f>HYPERLINK("https://www.cs.rutgers.edu/academics/graduate/ph-d-program/computer-science-program","Open source")</x:f>
        <x:v>HYPERLINK is not implemented. linkLocation=https://www.cs.rutgers.edu/academics/graduate/ph-d-program/computer-science-program, friendlyName=Open source</x:v>
      </x:c>
    </x:row>
    <x:row r="70" ht="46" customHeight="1">
      <x:c r="A70" s="17" t="str">
        <x:v>do_not_apply</x:v>
      </x:c>
      <x:c r="B70" s="17" t="str"/>
      <x:c r="C70" s="17" t="str">
        <x:v>Stony Brook University</x:v>
      </x:c>
      <x:c r="D70" s="17" t="str">
        <x:v>United States</x:v>
      </x:c>
      <x:c r="E70" s="17" t="str">
        <x:v>us</x:v>
      </x:c>
      <x:c r="F70" s="17" t="str">
        <x:v>PhD in Computer Science</x:v>
      </x:c>
      <x:c r="G70" s="17" t="str">
        <x:v>PhD</x:v>
      </x:c>
      <x:c r="H70" s="17" t="n">
        <x:v>58</x:v>
      </x:c>
      <x:c r="I70" s="17" t="n">
        <x:v>20</x:v>
      </x:c>
      <x:c r="J70" s="17" t="n">
        <x:v>5</x:v>
      </x:c>
      <x:c r="K70" s="17" t="n">
        <x:v>10</x:v>
      </x:c>
      <x:c r="L70" s="17" t="n">
        <x:v>10</x:v>
      </x:c>
      <x:c r="M70" s="17" t="n">
        <x:v>10</x:v>
      </x:c>
      <x:c r="N70" s="17" t="n">
        <x:v>3</x:v>
      </x:c>
      <x:c r="O70" s="17" t="str">
        <x:v>No</x:v>
      </x:c>
      <x:c r="P70" s="17" t="str">
        <x:v>funding</x:v>
      </x:c>
      <x:c r="Q70" s="17" t="n">
        <x:v>1</x:v>
      </x:c>
      <x:c r="R70" s="17" t="str">
        <x:v>First-year PhD students are generally supported; official orientation states all PhD TA/RA positions include tuition and fee scholarship</x:v>
      </x:c>
      <x:c r="S70" s="17" t="n">
        <x:v>100</x:v>
      </x:c>
      <x:c r="T70" s="17" t="str">
        <x:v>USD</x:v>
      </x:c>
      <x:c r="U70" s="17" t="str">
        <x:v>Insufficient evidence</x:v>
      </x:c>
      <x:c r="V70" s="17" t="str">
        <x:v>partial</x:v>
      </x:c>
      <x:c r="W70" s="17" t="str">
        <x:v>low</x:v>
      </x:c>
      <x:c r="X70" s="17" t="str">
        <x:v>Does every Fall 2027 PhD admit receive first-year support, and what advisor-backed summer and later-year support is guaranteed? | Single-professor dependency. | Official funding evidence exists but does not prove a credible program-wide package or full scholarship. | Applicable waiver or final Fall 2027 cost is not guaranteed.</x:v>
      </x:c>
      <x:c r="Y70" s="18" t="e">
        <x:f>HYPERLINK("https://www.cs.stonybrook.edu/students/Graduate-Studies","Open source")</x:f>
        <x:v>HYPERLINK is not implemented. linkLocation=https://www.cs.stonybrook.edu/students/Graduate-Studies, friendlyName=Open source</x:v>
      </x:c>
    </x:row>
    <x:row r="71" ht="46" customHeight="1">
      <x:c r="A71" s="17" t="str">
        <x:v>do_not_apply</x:v>
      </x:c>
      <x:c r="B71" s="17" t="str"/>
      <x:c r="C71" s="17" t="str">
        <x:v>Tennessee Technological University</x:v>
      </x:c>
      <x:c r="D71" s="17" t="str">
        <x:v>United States</x:v>
      </x:c>
      <x:c r="E71" s="17" t="str">
        <x:v>us</x:v>
      </x:c>
      <x:c r="F71" s="17" t="str">
        <x:v>Computer Science PhD</x:v>
      </x:c>
      <x:c r="G71" s="17" t="str">
        <x:v>PhD</x:v>
      </x:c>
      <x:c r="H71" s="17" t="n">
        <x:v>58</x:v>
      </x:c>
      <x:c r="I71" s="17" t="n">
        <x:v>20</x:v>
      </x:c>
      <x:c r="J71" s="17" t="n">
        <x:v>5</x:v>
      </x:c>
      <x:c r="K71" s="17" t="n">
        <x:v>10</x:v>
      </x:c>
      <x:c r="L71" s="17" t="n">
        <x:v>10</x:v>
      </x:c>
      <x:c r="M71" s="17" t="n">
        <x:v>10</x:v>
      </x:c>
      <x:c r="N71" s="17" t="n">
        <x:v>3</x:v>
      </x:c>
      <x:c r="O71" s="17" t="str">
        <x:v>No</x:v>
      </x:c>
      <x:c r="P71" s="17" t="str">
        <x:v>funding</x:v>
      </x:c>
      <x:c r="Q71" s="17" t="n">
        <x:v>1</x:v>
      </x:c>
      <x:c r="R71" s="17" t="str">
        <x:v>Several competitive full- and part-time assistantships are available; no universal award is published</x:v>
      </x:c>
      <x:c r="S71" s="17" t="str">
        <x:v>40 for international applicants</x:v>
      </x:c>
      <x:c r="T71" s="17" t="str">
        <x:v>USD</x:v>
      </x:c>
      <x:c r="U71" s="17" t="str">
        <x:v>Insufficient evidence</x:v>
      </x:c>
      <x:c r="V71" s="17" t="str">
        <x:v>partial</x:v>
      </x:c>
      <x:c r="W71" s="17" t="str">
        <x:v>low</x:v>
      </x:c>
      <x:c r="X71" s="17" t="str">
        <x:v>Will a Fall 2027 award guarantee renewable academic-year and summer support while covering tuition, fees, and insurance? | Single-professor dependency. | Official funding evidence exists but does not prove a credible program-wide package or full scholarship. | Applicable waiver or final Fall 2027 cost is not guaranteed.</x:v>
      </x:c>
      <x:c r="Y71" s="18" t="e">
        <x:f>HYPERLINK("https://www.tntech.edu/engineering/programs/csc/ph.d-program.php","Open source")</x:f>
        <x:v>HYPERLINK is not implemented. linkLocation=https://www.tntech.edu/engineering/programs/csc/ph.d-program.php, friendlyName=Open source</x:v>
      </x:c>
    </x:row>
    <x:row r="72" ht="46" customHeight="1">
      <x:c r="A72" s="17" t="str">
        <x:v>do_not_apply</x:v>
      </x:c>
      <x:c r="B72" s="17" t="str"/>
      <x:c r="C72" s="17" t="str">
        <x:v>The University of Texas at Arlington</x:v>
      </x:c>
      <x:c r="D72" s="17" t="str">
        <x:v>United States</x:v>
      </x:c>
      <x:c r="E72" s="17" t="str">
        <x:v>us</x:v>
      </x:c>
      <x:c r="F72" s="17" t="str">
        <x:v>Doctoral Degree in Computer Science/Computer Engineering</x:v>
      </x:c>
      <x:c r="G72" s="17" t="str">
        <x:v>PhD</x:v>
      </x:c>
      <x:c r="H72" s="17" t="n">
        <x:v>58</x:v>
      </x:c>
      <x:c r="I72" s="17" t="n">
        <x:v>20</x:v>
      </x:c>
      <x:c r="J72" s="17" t="n">
        <x:v>5</x:v>
      </x:c>
      <x:c r="K72" s="17" t="n">
        <x:v>10</x:v>
      </x:c>
      <x:c r="L72" s="17" t="n">
        <x:v>10</x:v>
      </x:c>
      <x:c r="M72" s="17" t="n">
        <x:v>10</x:v>
      </x:c>
      <x:c r="N72" s="17" t="n">
        <x:v>3</x:v>
      </x:c>
      <x:c r="O72" s="17" t="str">
        <x:v>No</x:v>
      </x:c>
      <x:c r="P72" s="17" t="str">
        <x:v>funding</x:v>
      </x:c>
      <x:c r="Q72" s="17" t="n">
        <x:v>1</x:v>
      </x:c>
      <x:c r="R72" s="17" t="str">
        <x:v>Support is available but is not guaranteed to every admitted doctoral student</x:v>
      </x:c>
      <x:c r="S72" s="17" t="n">
        <x:v>90</x:v>
      </x:c>
      <x:c r="T72" s="17" t="str">
        <x:v>USD</x:v>
      </x:c>
      <x:c r="U72" s="17" t="str">
        <x:v>Plausible</x:v>
      </x:c>
      <x:c r="V72" s="17" t="str">
        <x:v>partial</x:v>
      </x:c>
      <x:c r="W72" s="17" t="str">
        <x:v>low</x:v>
      </x:c>
      <x:c r="X72" s="17" t="str">
        <x:v>Will a Fall 2027 offer guarantee a renewable assistantship and cover tuition, fees, insurance, and summer living costs? | Single-professor dependency. | Official funding evidence exists but does not prove a credible program-wide package or full scholarship. | Applicable waiver or final Fall 2027 cost is not guaranteed.</x:v>
      </x:c>
      <x:c r="Y72" s="18" t="e">
        <x:f>HYPERLINK("https://www.uta.edu/academics/schools-colleges/engineering/academics/departments/cse/phd","Open source")</x:f>
        <x:v>HYPERLINK is not implemented. linkLocation=https://www.uta.edu/academics/schools-colleges/engineering/academics/departments/cse/phd, friendlyName=Open source</x:v>
      </x:c>
    </x:row>
    <x:row r="73" ht="46" customHeight="1">
      <x:c r="A73" s="17" t="str">
        <x:v>do_not_apply</x:v>
      </x:c>
      <x:c r="B73" s="17" t="str"/>
      <x:c r="C73" s="17" t="str">
        <x:v>The University of Texas at Dallas</x:v>
      </x:c>
      <x:c r="D73" s="17" t="str">
        <x:v>United States</x:v>
      </x:c>
      <x:c r="E73" s="17" t="str">
        <x:v>us</x:v>
      </x:c>
      <x:c r="F73" s="17" t="str">
        <x:v>Computer Science PhD</x:v>
      </x:c>
      <x:c r="G73" s="17" t="str">
        <x:v>PhD</x:v>
      </x:c>
      <x:c r="H73" s="17" t="n">
        <x:v>58</x:v>
      </x:c>
      <x:c r="I73" s="17" t="n">
        <x:v>20</x:v>
      </x:c>
      <x:c r="J73" s="17" t="n">
        <x:v>5</x:v>
      </x:c>
      <x:c r="K73" s="17" t="n">
        <x:v>10</x:v>
      </x:c>
      <x:c r="L73" s="17" t="n">
        <x:v>10</x:v>
      </x:c>
      <x:c r="M73" s="17" t="n">
        <x:v>10</x:v>
      </x:c>
      <x:c r="N73" s="17" t="n">
        <x:v>3</x:v>
      </x:c>
      <x:c r="O73" s="17" t="str">
        <x:v>No</x:v>
      </x:c>
      <x:c r="P73" s="17" t="str">
        <x:v>funding</x:v>
      </x:c>
      <x:c r="Q73" s="17" t="n">
        <x:v>1</x:v>
      </x:c>
      <x:c r="R73" s="17" t="str">
        <x:v>FAQ says most TA decisions are associated with fall review, but no funding guarantee was located</x:v>
      </x:c>
      <x:c r="S73" s="17" t="n">
        <x:v>75</x:v>
      </x:c>
      <x:c r="T73" s="17" t="str">
        <x:v>USD</x:v>
      </x:c>
      <x:c r="U73" s="17" t="str">
        <x:v>Plausible</x:v>
      </x:c>
      <x:c r="V73" s="17" t="str">
        <x:v>partial</x:v>
      </x:c>
      <x:c r="W73" s="17" t="str">
        <x:v>low</x:v>
      </x:c>
      <x:c r="X73" s="17" t="str">
        <x:v>Obtain an official last-60-hour GPA calculation and written funding terms | Single-professor dependency. | Official funding evidence exists but does not prove a credible program-wide package or full scholarship. | Applicable waiver or final Fall 2027 cost is not guaranteed.</x:v>
      </x:c>
      <x:c r="Y73" s="18" t="e">
        <x:f>HYPERLINK("https://catalog.utdallas.edu/2026/graduate/programs/ecs/computer-science","Open source")</x:f>
        <x:v>HYPERLINK is not implemented. linkLocation=https://catalog.utdallas.edu/2026/graduate/programs/ecs/computer-science, friendlyName=Open source</x:v>
      </x:c>
    </x:row>
    <x:row r="74" ht="46" customHeight="1">
      <x:c r="A74" s="17" t="str">
        <x:v>do_not_apply</x:v>
      </x:c>
      <x:c r="B74" s="17" t="str"/>
      <x:c r="C74" s="17" t="str">
        <x:v>The University of Texas at El Paso</x:v>
      </x:c>
      <x:c r="D74" s="17" t="str">
        <x:v>United States</x:v>
      </x:c>
      <x:c r="E74" s="17" t="str">
        <x:v>us</x:v>
      </x:c>
      <x:c r="F74" s="17" t="str">
        <x:v>Doctor of Philosophy in Computer Science</x:v>
      </x:c>
      <x:c r="G74" s="17" t="str">
        <x:v>PhD</x:v>
      </x:c>
      <x:c r="H74" s="17" t="n">
        <x:v>58</x:v>
      </x:c>
      <x:c r="I74" s="17" t="n">
        <x:v>20</x:v>
      </x:c>
      <x:c r="J74" s="17" t="n">
        <x:v>5</x:v>
      </x:c>
      <x:c r="K74" s="17" t="n">
        <x:v>10</x:v>
      </x:c>
      <x:c r="L74" s="17" t="n">
        <x:v>10</x:v>
      </x:c>
      <x:c r="M74" s="17" t="n">
        <x:v>10</x:v>
      </x:c>
      <x:c r="N74" s="17" t="n">
        <x:v>3</x:v>
      </x:c>
      <x:c r="O74" s="17" t="str">
        <x:v>No</x:v>
      </x:c>
      <x:c r="P74" s="17" t="str">
        <x:v>funding</x:v>
      </x:c>
      <x:c r="Q74" s="17" t="n">
        <x:v>1</x:v>
      </x:c>
      <x:c r="R74" s="17" t="str">
        <x:v>Full-time PhD applicants may be considered for assistantships, but no universal appointment is promised</x:v>
      </x:c>
      <x:c r="S74" s="17" t="str">
        <x:v>USD 80 for an international graduate application under the current catalog</x:v>
      </x:c>
      <x:c r="T74" s="17" t="str">
        <x:v>USD</x:v>
      </x:c>
      <x:c r="U74" s="17" t="str">
        <x:v>Insufficient evidence</x:v>
      </x:c>
      <x:c r="V74" s="17" t="str">
        <x:v>partial</x:v>
      </x:c>
      <x:c r="W74" s="17" t="str">
        <x:v>low</x:v>
      </x:c>
      <x:c r="X74" s="17" t="str">
        <x:v>Will UTEP issue a renewable 20-hour appointment with adequate stipend and written coverage of tuition, fees, insurance, and summers? | Single-professor dependency. | Official funding evidence exists but does not prove a credible program-wide package or full scholarship. | Applicable waiver or final Fall 2027 cost is not guaranteed.</x:v>
      </x:c>
      <x:c r="Y74" s="18" t="e">
        <x:f>HYPERLINK("https://catalog.utep.edu/grad/college-of-engineering/computer-science/computer-science-phd/","Open source")</x:f>
        <x:v>HYPERLINK is not implemented. linkLocation=https://catalog.utep.edu/grad/college-of-engineering/computer-science/computer-science-phd/, friendlyName=Open source</x:v>
      </x:c>
    </x:row>
    <x:row r="75" ht="46" customHeight="1">
      <x:c r="A75" s="17" t="str">
        <x:v>do_not_apply</x:v>
      </x:c>
      <x:c r="B75" s="17" t="str"/>
      <x:c r="C75" s="17" t="str">
        <x:v>University of Alabama at Birmingham</x:v>
      </x:c>
      <x:c r="D75" s="17" t="str">
        <x:v>United States</x:v>
      </x:c>
      <x:c r="E75" s="17" t="str">
        <x:v>us</x:v>
      </x:c>
      <x:c r="F75" s="17" t="str">
        <x:v>Ph.D. in Computer Science</x:v>
      </x:c>
      <x:c r="G75" s="17" t="str">
        <x:v>PhD</x:v>
      </x:c>
      <x:c r="H75" s="17" t="n">
        <x:v>58</x:v>
      </x:c>
      <x:c r="I75" s="17" t="n">
        <x:v>20</x:v>
      </x:c>
      <x:c r="J75" s="17" t="n">
        <x:v>5</x:v>
      </x:c>
      <x:c r="K75" s="17" t="n">
        <x:v>10</x:v>
      </x:c>
      <x:c r="L75" s="17" t="n">
        <x:v>10</x:v>
      </x:c>
      <x:c r="M75" s="17" t="n">
        <x:v>10</x:v>
      </x:c>
      <x:c r="N75" s="17" t="n">
        <x:v>3</x:v>
      </x:c>
      <x:c r="O75" s="17" t="str">
        <x:v>No</x:v>
      </x:c>
      <x:c r="P75" s="17" t="str">
        <x:v>funding</x:v>
      </x:c>
      <x:c r="Q75" s="17" t="n">
        <x:v>1</x:v>
      </x:c>
      <x:c r="R75" s="17" t="str">
        <x:v>The majority of admitted doctoral students receive RA or TA support, but support is not universal</x:v>
      </x:c>
      <x:c r="S75" s="17" t="n">
        <x:v>60</x:v>
      </x:c>
      <x:c r="T75" s="17" t="str">
        <x:v>USD</x:v>
      </x:c>
      <x:c r="U75" s="17" t="str">
        <x:v>Plausible</x:v>
      </x:c>
      <x:c r="V75" s="17" t="str">
        <x:v>partial</x:v>
      </x:c>
      <x:c r="W75" s="17" t="str">
        <x:v>low</x:v>
      </x:c>
      <x:c r="X75" s="17" t="str">
        <x:v>Will a Fall 2027 offer guarantee renewable stipend, full tuition, mandatory fees, health insurance, and summer support? | Single-professor dependency. | Official funding evidence exists but does not prove a credible program-wide package or full scholarship. | Applicable waiver or final Fall 2027 cost is not guaranteed.</x:v>
      </x:c>
      <x:c r="Y75" s="18" t="e">
        <x:f>HYPERLINK("https://www.uab.edu/cas/computerscience/graduate-programs/doctoral-program","Open source")</x:f>
        <x:v>HYPERLINK is not implemented. linkLocation=https://www.uab.edu/cas/computerscience/graduate-programs/doctoral-program, friendlyName=Open source</x:v>
      </x:c>
    </x:row>
    <x:row r="76" ht="46" customHeight="1">
      <x:c r="A76" s="17" t="str">
        <x:v>do_not_apply</x:v>
      </x:c>
      <x:c r="B76" s="17" t="str"/>
      <x:c r="C76" s="17" t="str">
        <x:v>University of Alabama in Huntsville</x:v>
      </x:c>
      <x:c r="D76" s="17" t="str">
        <x:v>United States</x:v>
      </x:c>
      <x:c r="E76" s="17" t="str">
        <x:v>us</x:v>
      </x:c>
      <x:c r="F76" s="17" t="str">
        <x:v>Computer Science, Ph.D.</x:v>
      </x:c>
      <x:c r="G76" s="17" t="str">
        <x:v>PhD</x:v>
      </x:c>
      <x:c r="H76" s="17" t="n">
        <x:v>58</x:v>
      </x:c>
      <x:c r="I76" s="17" t="n">
        <x:v>20</x:v>
      </x:c>
      <x:c r="J76" s="17" t="n">
        <x:v>5</x:v>
      </x:c>
      <x:c r="K76" s="17" t="n">
        <x:v>10</x:v>
      </x:c>
      <x:c r="L76" s="17" t="n">
        <x:v>10</x:v>
      </x:c>
      <x:c r="M76" s="17" t="n">
        <x:v>10</x:v>
      </x:c>
      <x:c r="N76" s="17" t="n">
        <x:v>3</x:v>
      </x:c>
      <x:c r="O76" s="17" t="str">
        <x:v>No</x:v>
      </x:c>
      <x:c r="P76" s="17" t="str">
        <x:v>funding</x:v>
      </x:c>
      <x:c r="Q76" s="17" t="n">
        <x:v>1</x:v>
      </x:c>
      <x:c r="R76" s="17" t="str">
        <x:v>Credible assistantship routes exist, but neither GTA nor GRA support is universal or guaranteed</x:v>
      </x:c>
      <x:c r="S76" s="17" t="str">
        <x:v>USD 60 nonrefundable graduate application fee</x:v>
      </x:c>
      <x:c r="T76" s="17" t="str">
        <x:v>USD</x:v>
      </x:c>
      <x:c r="U76" s="17" t="str">
        <x:v>Plausible</x:v>
      </x:c>
      <x:c r="V76" s="17" t="str">
        <x:v>partial</x:v>
      </x:c>
      <x:c r="W76" s="17" t="str">
        <x:v>low</x:v>
      </x:c>
      <x:c r="X76" s="17" t="str">
        <x:v>Will Computer Science issue a renewable assistantship that states stipend, tuition, mandatory fees, insurance, and summer support for the full doctorate? | Single-professor dependency. | Official funding evidence exists but does not prove a credible program-wide package or full scholarship. | Applicable waiver or final Fall 2027 cost is not guaranteed.</x:v>
      </x:c>
      <x:c r="Y76" s="18" t="e">
        <x:f>HYPERLINK("https://www.uah.edu/science/departments/computer-science/cs-graduate-programs","Open source")</x:f>
        <x:v>HYPERLINK is not implemented. linkLocation=https://www.uah.edu/science/departments/computer-science/cs-graduate-programs, friendlyName=Open source</x:v>
      </x:c>
    </x:row>
    <x:row r="77" ht="46" customHeight="1">
      <x:c r="A77" s="17" t="str">
        <x:v>do_not_apply</x:v>
      </x:c>
      <x:c r="B77" s="17" t="str"/>
      <x:c r="C77" s="17" t="str">
        <x:v>University of Cincinnati-Main Campus</x:v>
      </x:c>
      <x:c r="D77" s="17" t="str">
        <x:v>United States</x:v>
      </x:c>
      <x:c r="E77" s="17" t="str">
        <x:v>us</x:v>
      </x:c>
      <x:c r="F77" s="17" t="str">
        <x:v>Doctor of Philosophy in Computer Science and Engineering</x:v>
      </x:c>
      <x:c r="G77" s="17" t="str">
        <x:v>PhD</x:v>
      </x:c>
      <x:c r="H77" s="17" t="n">
        <x:v>58</x:v>
      </x:c>
      <x:c r="I77" s="17" t="n">
        <x:v>20</x:v>
      </x:c>
      <x:c r="J77" s="17" t="n">
        <x:v>5</x:v>
      </x:c>
      <x:c r="K77" s="17" t="n">
        <x:v>10</x:v>
      </x:c>
      <x:c r="L77" s="17" t="n">
        <x:v>10</x:v>
      </x:c>
      <x:c r="M77" s="17" t="n">
        <x:v>10</x:v>
      </x:c>
      <x:c r="N77" s="17" t="n">
        <x:v>3</x:v>
      </x:c>
      <x:c r="O77" s="17" t="str">
        <x:v>No</x:v>
      </x:c>
      <x:c r="P77" s="17" t="str">
        <x:v>funding</x:v>
      </x:c>
      <x:c r="Q77" s="17" t="n">
        <x:v>1</x:v>
      </x:c>
      <x:c r="R77" s="17" t="str">
        <x:v>Credible program-level first-year doctoral support; later-year offer terms remain unresolved</x:v>
      </x:c>
      <x:c r="S77" s="17" t="n">
        <x:v>80</x:v>
      </x:c>
      <x:c r="T77" s="17" t="str">
        <x:v>USD</x:v>
      </x:c>
      <x:c r="U77" s="17" t="str">
        <x:v>Plausible</x:v>
      </x:c>
      <x:c r="V77" s="17" t="str">
        <x:v>partial</x:v>
      </x:c>
      <x:c r="W77" s="17" t="str">
        <x:v>low</x:v>
      </x:c>
      <x:c r="X77" s="17" t="str">
        <x:v>Will a Fall 2027 offer extend assistantship, tuition, insurance, fee, and summer support beyond the explicitly published first year? | Single-professor dependency. | Official funding evidence exists but does not prove a credible program-wide package or full scholarship. | Applicable waiver or final Fall 2027 cost is not guaranteed.</x:v>
      </x:c>
      <x:c r="Y77" s="18" t="e">
        <x:f>HYPERLINK("https://www.ceas.uc.edu/academics/departments/electrical-computer-engineering/degrees-programs/computer-science-engineering-phd.html","Open source")</x:f>
        <x:v>HYPERLINK is not implemented. linkLocation=https://www.ceas.uc.edu/academics/departments/electrical-computer-engineering/degrees-programs/computer-science-engineering-phd.html, friendlyName=Open source</x:v>
      </x:c>
    </x:row>
    <x:row r="78" ht="46" customHeight="1">
      <x:c r="A78" s="17" t="str">
        <x:v>do_not_apply</x:v>
      </x:c>
      <x:c r="B78" s="17" t="str"/>
      <x:c r="C78" s="17" t="str">
        <x:v>University of Colorado Colorado Springs</x:v>
      </x:c>
      <x:c r="D78" s="17" t="str">
        <x:v>United States</x:v>
      </x:c>
      <x:c r="E78" s="17" t="str">
        <x:v>us</x:v>
      </x:c>
      <x:c r="F78" s="17" t="str">
        <x:v>Cybersecurity, PhD</x:v>
      </x:c>
      <x:c r="G78" s="17" t="str">
        <x:v>PhD</x:v>
      </x:c>
      <x:c r="H78" s="17" t="n">
        <x:v>58</x:v>
      </x:c>
      <x:c r="I78" s="17" t="n">
        <x:v>20</x:v>
      </x:c>
      <x:c r="J78" s="17" t="n">
        <x:v>5</x:v>
      </x:c>
      <x:c r="K78" s="17" t="n">
        <x:v>10</x:v>
      </x:c>
      <x:c r="L78" s="17" t="n">
        <x:v>10</x:v>
      </x:c>
      <x:c r="M78" s="17" t="n">
        <x:v>10</x:v>
      </x:c>
      <x:c r="N78" s="17" t="n">
        <x:v>3</x:v>
      </x:c>
      <x:c r="O78" s="17" t="str">
        <x:v>No</x:v>
      </x:c>
      <x:c r="P78" s="17" t="str">
        <x:v>funding</x:v>
      </x:c>
      <x:c r="Q78" s="17" t="n">
        <x:v>1</x:v>
      </x:c>
      <x:c r="R78" s="17" t="str">
        <x:v>A laboratory advertises tuition plus stipend for qualified PhD researchers regardless of citizenship, subject to fit and grant capacity</x:v>
      </x:c>
      <x:c r="S78" s="17" t="str">
        <x:v>USD 60 nonrefundable graduate application fee</x:v>
      </x:c>
      <x:c r="T78" s="17" t="str">
        <x:v>USD</x:v>
      </x:c>
      <x:c r="U78" s="17" t="str">
        <x:v>Plausible</x:v>
      </x:c>
      <x:c r="V78" s="17" t="str">
        <x:v>partial</x:v>
      </x:c>
      <x:c r="W78" s="17" t="str">
        <x:v>low</x:v>
      </x:c>
      <x:c r="X78" s="17" t="str">
        <x:v>Will an aligned faculty member commit renewable grant funding with adequate stipend and written tuition, fee, insurance, and summer coverage? | Single-professor dependency. | Official funding evidence exists but does not prove a credible program-wide package or full scholarship. | Applicable waiver or final Fall 2027 cost is not guaranteed.</x:v>
      </x:c>
      <x:c r="Y78" s="18" t="e">
        <x:f>HYPERLINK("https://www.uccs.edu/academics/programs/security-phd","Open source")</x:f>
        <x:v>HYPERLINK is not implemented. linkLocation=https://www.uccs.edu/academics/programs/security-phd, friendlyName=Open source</x:v>
      </x:c>
    </x:row>
    <x:row r="79" ht="46" customHeight="1">
      <x:c r="A79" s="17" t="str">
        <x:v>do_not_apply</x:v>
      </x:c>
      <x:c r="B79" s="17" t="str"/>
      <x:c r="C79" s="17" t="str">
        <x:v>University of Delaware</x:v>
      </x:c>
      <x:c r="D79" s="17" t="str">
        <x:v>United States</x:v>
      </x:c>
      <x:c r="E79" s="17" t="str">
        <x:v>us</x:v>
      </x:c>
      <x:c r="F79" s="17" t="str">
        <x:v>Ph.D. in Computer Science</x:v>
      </x:c>
      <x:c r="G79" s="17" t="str">
        <x:v>PhD</x:v>
      </x:c>
      <x:c r="H79" s="17" t="n">
        <x:v>58</x:v>
      </x:c>
      <x:c r="I79" s="17" t="n">
        <x:v>20</x:v>
      </x:c>
      <x:c r="J79" s="17" t="n">
        <x:v>5</x:v>
      </x:c>
      <x:c r="K79" s="17" t="n">
        <x:v>10</x:v>
      </x:c>
      <x:c r="L79" s="17" t="n">
        <x:v>10</x:v>
      </x:c>
      <x:c r="M79" s="17" t="n">
        <x:v>10</x:v>
      </x:c>
      <x:c r="N79" s="17" t="n">
        <x:v>3</x:v>
      </x:c>
      <x:c r="O79" s="17" t="str">
        <x:v>No</x:v>
      </x:c>
      <x:c r="P79" s="17" t="str">
        <x:v>funding</x:v>
      </x:c>
      <x:c r="Q79" s="17" t="n">
        <x:v>1</x:v>
      </x:c>
      <x:c r="R79" s="17" t="str">
        <x:v>All or nearly all doctoral students receive a stipend and full tuition scholarship, while the department cautions that aid is competitive and not automatic</x:v>
      </x:c>
      <x:c r="S79" s="17" t="n">
        <x:v>75</x:v>
      </x:c>
      <x:c r="T79" s="17" t="str">
        <x:v>USD</x:v>
      </x:c>
      <x:c r="U79" s="17" t="str">
        <x:v>Plausible</x:v>
      </x:c>
      <x:c r="V79" s="17" t="str">
        <x:v>partial</x:v>
      </x:c>
      <x:c r="W79" s="17" t="str">
        <x:v>low</x:v>
      </x:c>
      <x:c r="X79" s="17" t="str">
        <x:v>What exact stipend, mandatory-fee, insurance, and summer terms will the individual funded offer contain? | Single-professor dependency. | Official funding evidence exists but does not prove a credible program-wide package or full scholarship. | Applicable waiver or final Fall 2027 cost is not guaranteed.</x:v>
      </x:c>
      <x:c r="Y79" s="18" t="e">
        <x:f>HYPERLINK("https://www.udel.edu/academics/colleges/grad/prospective-students/programs/computer-science/","Open source")</x:f>
        <x:v>HYPERLINK is not implemented. linkLocation=https://www.udel.edu/academics/colleges/grad/prospective-students/programs/computer-science/, friendlyName=Open source</x:v>
      </x:c>
    </x:row>
    <x:row r="80" ht="46" customHeight="1">
      <x:c r="A80" s="17" t="str">
        <x:v>do_not_apply</x:v>
      </x:c>
      <x:c r="B80" s="17" t="str"/>
      <x:c r="C80" s="17" t="str">
        <x:v>University of Florence</x:v>
      </x:c>
      <x:c r="D80" s="17" t="str">
        <x:v>Italy</x:v>
      </x:c>
      <x:c r="E80" s="17" t="str">
        <x:v>europe</x:v>
      </x:c>
      <x:c r="F80" s="17" t="str">
        <x:v>MSc in Software: Science and Technology</x:v>
      </x:c>
      <x:c r="G80" s="17" t="str">
        <x:v>Thesis or research master's</x:v>
      </x:c>
      <x:c r="H80" s="17" t="n">
        <x:v>58</x:v>
      </x:c>
      <x:c r="I80" s="17" t="n">
        <x:v>20</x:v>
      </x:c>
      <x:c r="J80" s="17" t="n">
        <x:v>5</x:v>
      </x:c>
      <x:c r="K80" s="17" t="n">
        <x:v>10</x:v>
      </x:c>
      <x:c r="L80" s="17" t="n">
        <x:v>10</x:v>
      </x:c>
      <x:c r="M80" s="17" t="n">
        <x:v>10</x:v>
      </x:c>
      <x:c r="N80" s="17" t="n">
        <x:v>3</x:v>
      </x:c>
      <x:c r="O80" s="17" t="str">
        <x:v>No</x:v>
      </x:c>
      <x:c r="P80" s="17" t="str">
        <x:v>funding</x:v>
      </x:c>
      <x:c r="Q80" s="17" t="n">
        <x:v>1</x:v>
      </x:c>
      <x:c r="R80" s="17" t="str">
        <x:v>Credible full-cost route with cash, meals, and housing if available; selection is competitive and document-dependent</x:v>
      </x:c>
      <x:c r="S80" s="17" t="n">
        <x:v>20</x:v>
      </x:c>
      <x:c r="T80" s="17" t="str">
        <x:v>EUR</x:v>
      </x:c>
      <x:c r="U80" s="17" t="str">
        <x:v>Plausible</x:v>
      </x:c>
      <x:c r="V80" s="17" t="str">
        <x:v>partial</x:v>
      </x:c>
      <x:c r="W80" s="17" t="str">
        <x:v>low</x:v>
      </x:c>
      <x:c r="X80" s="17" t="str">
        <x:v>Can the applicant complete the required foreign economic documentation and win the 2027–28 DSU package, including an available housing place? | Single-professor dependency. | Official funding evidence exists but does not prove a credible program-wide package or full scholarship. | Applicable waiver or final Fall 2027 cost is not guaranteed.</x:v>
      </x:c>
      <x:c r="Y80" s="18" t="e">
        <x:f>HYPERLINK("https://www.unifi.it/en/study-us/degree-programs/second-cycle-degree/software-science-and-technology","Open source")</x:f>
        <x:v>HYPERLINK is not implemented. linkLocation=https://www.unifi.it/en/study-us/degree-programs/second-cycle-degree/software-science-and-technology, friendlyName=Open source</x:v>
      </x:c>
    </x:row>
    <x:row r="81" ht="46" customHeight="1">
      <x:c r="A81" s="17" t="str">
        <x:v>do_not_apply</x:v>
      </x:c>
      <x:c r="B81" s="17" t="str"/>
      <x:c r="C81" s="17" t="str">
        <x:v>University of Georgia</x:v>
      </x:c>
      <x:c r="D81" s="17" t="str">
        <x:v>United States</x:v>
      </x:c>
      <x:c r="E81" s="17" t="str">
        <x:v>us</x:v>
      </x:c>
      <x:c r="F81" s="17" t="str">
        <x:v>Doctor of Philosophy in Computer Science</x:v>
      </x:c>
      <x:c r="G81" s="17" t="str">
        <x:v>PhD</x:v>
      </x:c>
      <x:c r="H81" s="17" t="n">
        <x:v>58</x:v>
      </x:c>
      <x:c r="I81" s="17" t="n">
        <x:v>20</x:v>
      </x:c>
      <x:c r="J81" s="17" t="n">
        <x:v>5</x:v>
      </x:c>
      <x:c r="K81" s="17" t="n">
        <x:v>10</x:v>
      </x:c>
      <x:c r="L81" s="17" t="n">
        <x:v>10</x:v>
      </x:c>
      <x:c r="M81" s="17" t="n">
        <x:v>10</x:v>
      </x:c>
      <x:c r="N81" s="17" t="n">
        <x:v>3</x:v>
      </x:c>
      <x:c r="O81" s="17" t="str">
        <x:v>No</x:v>
      </x:c>
      <x:c r="P81" s="17" t="str">
        <x:v>funding</x:v>
      </x:c>
      <x:c r="Q81" s="17" t="n">
        <x:v>1</x:v>
      </x:c>
      <x:c r="R81" s="17" t="str">
        <x:v>PhD students receive priority for a limited TA/RA pool, but support is awarded only until departmental needs are met</x:v>
      </x:c>
      <x:c r="S81" s="17" t="n">
        <x:v>100</x:v>
      </x:c>
      <x:c r="T81" s="17" t="str">
        <x:v>USD</x:v>
      </x:c>
      <x:c r="U81" s="17" t="str">
        <x:v>Plausible</x:v>
      </x:c>
      <x:c r="V81" s="17" t="str">
        <x:v>partial</x:v>
      </x:c>
      <x:c r="W81" s="17" t="str">
        <x:v>low</x:v>
      </x:c>
      <x:c r="X81" s="17" t="str">
        <x:v>Will the applicant receive a renewable TA/RA package that covers the full doctoral period, including fees, insurance, and summer? | Single-professor dependency. | Official funding evidence exists but does not prove a credible program-wide package or full scholarship. | Applicable waiver or final Fall 2027 cost is not guaranteed.</x:v>
      </x:c>
      <x:c r="Y81" s="18" t="e">
        <x:f>HYPERLINK("https://www.cs.uga.edu/doctor-philosophy-computer-science","Open source")</x:f>
        <x:v>HYPERLINK is not implemented. linkLocation=https://www.cs.uga.edu/doctor-philosophy-computer-science, friendlyName=Open source</x:v>
      </x:c>
    </x:row>
    <x:row r="82" ht="46" customHeight="1">
      <x:c r="A82" s="17" t="str">
        <x:v>do_not_apply</x:v>
      </x:c>
      <x:c r="B82" s="17" t="str"/>
      <x:c r="C82" s="17" t="str">
        <x:v>University of Idaho</x:v>
      </x:c>
      <x:c r="D82" s="17" t="str">
        <x:v>United States</x:v>
      </x:c>
      <x:c r="E82" s="17" t="str">
        <x:v>us</x:v>
      </x:c>
      <x:c r="F82" s="17" t="str">
        <x:v>Computer Science, Ph.D.</x:v>
      </x:c>
      <x:c r="G82" s="17" t="str">
        <x:v>PhD</x:v>
      </x:c>
      <x:c r="H82" s="17" t="n">
        <x:v>58</x:v>
      </x:c>
      <x:c r="I82" s="17" t="n">
        <x:v>20</x:v>
      </x:c>
      <x:c r="J82" s="17" t="n">
        <x:v>5</x:v>
      </x:c>
      <x:c r="K82" s="17" t="n">
        <x:v>10</x:v>
      </x:c>
      <x:c r="L82" s="17" t="n">
        <x:v>10</x:v>
      </x:c>
      <x:c r="M82" s="17" t="n">
        <x:v>10</x:v>
      </x:c>
      <x:c r="N82" s="17" t="n">
        <x:v>3</x:v>
      </x:c>
      <x:c r="O82" s="17" t="str">
        <x:v>No</x:v>
      </x:c>
      <x:c r="P82" s="17" t="str">
        <x:v>funding</x:v>
      </x:c>
      <x:c r="Q82" s="17" t="n">
        <x:v>1</x:v>
      </x:c>
      <x:c r="R82" s="17" t="str">
        <x:v>Competitive opportunities exist, but the program does not promise a universal award</x:v>
      </x:c>
      <x:c r="S82" s="17" t="str">
        <x:v>USD 50</x:v>
      </x:c>
      <x:c r="T82" s="17" t="str">
        <x:v>USD</x:v>
      </x:c>
      <x:c r="U82" s="17" t="str">
        <x:v>Plausible to reach</x:v>
      </x:c>
      <x:c r="V82" s="17" t="str">
        <x:v>partial</x:v>
      </x:c>
      <x:c r="W82" s="17" t="str">
        <x:v>low</x:v>
      </x:c>
      <x:c r="X82" s="17" t="str">
        <x:v>Will the program issue a renewable faculty or departmental package that covers tuition, fees, insurance, stipend, and summer for an international PhD student? | Single-professor dependency. | Official funding evidence exists but does not prove a credible program-wide package or full scholarship. | Applicable waiver or final Fall 2027 cost is not guaranteed.</x:v>
      </x:c>
      <x:c r="Y82" s="18" t="e">
        <x:f>HYPERLINK("https://www.uidaho.edu/academics/degree-finder/computer-sci-phd","Open source")</x:f>
        <x:v>HYPERLINK is not implemented. linkLocation=https://www.uidaho.edu/academics/degree-finder/computer-sci-phd, friendlyName=Open source</x:v>
      </x:c>
    </x:row>
    <x:row r="83" ht="46" customHeight="1">
      <x:c r="A83" s="17" t="str">
        <x:v>do_not_apply</x:v>
      </x:c>
      <x:c r="B83" s="17" t="str"/>
      <x:c r="C83" s="17" t="str">
        <x:v>University of Illinois Urbana-Champaign</x:v>
      </x:c>
      <x:c r="D83" s="17" t="str">
        <x:v>United States</x:v>
      </x:c>
      <x:c r="E83" s="17" t="str">
        <x:v>us</x:v>
      </x:c>
      <x:c r="F83" s="17" t="str">
        <x:v>Computer Science PhD</x:v>
      </x:c>
      <x:c r="G83" s="17" t="str">
        <x:v>PhD</x:v>
      </x:c>
      <x:c r="H83" s="17" t="n">
        <x:v>58</x:v>
      </x:c>
      <x:c r="I83" s="17" t="n">
        <x:v>20</x:v>
      </x:c>
      <x:c r="J83" s="17" t="n">
        <x:v>5</x:v>
      </x:c>
      <x:c r="K83" s="17" t="n">
        <x:v>10</x:v>
      </x:c>
      <x:c r="L83" s="17" t="n">
        <x:v>10</x:v>
      </x:c>
      <x:c r="M83" s="17" t="n">
        <x:v>10</x:v>
      </x:c>
      <x:c r="N83" s="17" t="n">
        <x:v>3</x:v>
      </x:c>
      <x:c r="O83" s="17" t="str">
        <x:v>No</x:v>
      </x:c>
      <x:c r="P83" s="17" t="str">
        <x:v>funding</x:v>
      </x:c>
      <x:c r="Q83" s="17" t="n">
        <x:v>1</x:v>
      </x:c>
      <x:c r="R83" s="17" t="str">
        <x:v>Catalog describes five years of eligible appointments with stipend and tuition waiver</x:v>
      </x:c>
      <x:c r="S83" s="17" t="n">
        <x:v>90</x:v>
      </x:c>
      <x:c r="T83" s="17" t="str">
        <x:v>USD</x:v>
      </x:c>
      <x:c r="U83" s="17" t="str">
        <x:v>Insufficient evidence</x:v>
      </x:c>
      <x:c r="V83" s="17" t="str">
        <x:v>partial</x:v>
      </x:c>
      <x:c r="W83" s="17" t="str">
        <x:v>low</x:v>
      </x:c>
      <x:c r="X83" s="17" t="str">
        <x:v>How will the committee weigh the stronger recent-two-year record against the 3.35 cumulative GPA and 3.40 recommendation? | Single-professor dependency. | Official funding evidence exists but does not prove a credible program-wide package or full scholarship. | Applicable waiver or final Fall 2027 cost is not guaranteed.</x:v>
      </x:c>
      <x:c r="Y83" s="18" t="e">
        <x:f>HYPERLINK("https://catalog.illinois.edu/graduate/engineering/computer-science-phd/","Open source")</x:f>
        <x:v>HYPERLINK is not implemented. linkLocation=https://catalog.illinois.edu/graduate/engineering/computer-science-phd/, friendlyName=Open source</x:v>
      </x:c>
    </x:row>
    <x:row r="84" ht="46" customHeight="1">
      <x:c r="A84" s="17" t="str">
        <x:v>do_not_apply</x:v>
      </x:c>
      <x:c r="B84" s="17" t="str"/>
      <x:c r="C84" s="17" t="str">
        <x:v>University of Kansas</x:v>
      </x:c>
      <x:c r="D84" s="17" t="str">
        <x:v>United States</x:v>
      </x:c>
      <x:c r="E84" s="17" t="str">
        <x:v>us</x:v>
      </x:c>
      <x:c r="F84" s="17" t="str">
        <x:v>Doctor of Philosophy in Computer Science</x:v>
      </x:c>
      <x:c r="G84" s="17" t="str">
        <x:v>PhD</x:v>
      </x:c>
      <x:c r="H84" s="17" t="n">
        <x:v>58</x:v>
      </x:c>
      <x:c r="I84" s="17" t="n">
        <x:v>20</x:v>
      </x:c>
      <x:c r="J84" s="17" t="n">
        <x:v>5</x:v>
      </x:c>
      <x:c r="K84" s="17" t="n">
        <x:v>10</x:v>
      </x:c>
      <x:c r="L84" s="17" t="n">
        <x:v>10</x:v>
      </x:c>
      <x:c r="M84" s="17" t="n">
        <x:v>10</x:v>
      </x:c>
      <x:c r="N84" s="17" t="n">
        <x:v>3</x:v>
      </x:c>
      <x:c r="O84" s="17" t="str">
        <x:v>No</x:v>
      </x:c>
      <x:c r="P84" s="17" t="str">
        <x:v>funding</x:v>
      </x:c>
      <x:c r="Q84" s="17" t="n">
        <x:v>1</x:v>
      </x:c>
      <x:c r="R84" s="17" t="str">
        <x:v>More than 75 percent of EECS graduate students receive assistantship or fellowship support, but funds are limited and competitive</x:v>
      </x:c>
      <x:c r="S84" s="17" t="n">
        <x:v>100</x:v>
      </x:c>
      <x:c r="T84" s="17" t="str">
        <x:v>USD</x:v>
      </x:c>
      <x:c r="U84" s="17" t="str">
        <x:v>Insufficient evidence</x:v>
      </x:c>
      <x:c r="V84" s="17" t="str">
        <x:v>partial</x:v>
      </x:c>
      <x:c r="W84" s="17" t="str">
        <x:v>low</x:v>
      </x:c>
      <x:c r="X84" s="17" t="str">
        <x:v>Will the Fall 2027 offer contain renewable full tuition, stipend, insurance, fees, and summer support? | Single-professor dependency. | Official funding evidence exists but does not prove a credible program-wide package or full scholarship. | Applicable waiver or final Fall 2027 cost is not guaranteed.</x:v>
      </x:c>
      <x:c r="Y84" s="18" t="e">
        <x:f>HYPERLINK("https://degrees.ku.edu/graduate/doctoral/computer-science/","Open source")</x:f>
        <x:v>HYPERLINK is not implemented. linkLocation=https://degrees.ku.edu/graduate/doctoral/computer-science/, friendlyName=Open source</x:v>
      </x:c>
    </x:row>
    <x:row r="85" ht="46" customHeight="1">
      <x:c r="A85" s="17" t="str">
        <x:v>do_not_apply</x:v>
      </x:c>
      <x:c r="B85" s="17" t="str"/>
      <x:c r="C85" s="17" t="str">
        <x:v>University of Massachusetts-Lowell</x:v>
      </x:c>
      <x:c r="D85" s="17" t="str">
        <x:v>United States</x:v>
      </x:c>
      <x:c r="E85" s="17" t="str">
        <x:v>us</x:v>
      </x:c>
      <x:c r="F85" s="17" t="str">
        <x:v>Doctor of Philosophy (Ph.D.) in Computer Science</x:v>
      </x:c>
      <x:c r="G85" s="17" t="str">
        <x:v>PhD</x:v>
      </x:c>
      <x:c r="H85" s="17" t="n">
        <x:v>58</x:v>
      </x:c>
      <x:c r="I85" s="17" t="n">
        <x:v>20</x:v>
      </x:c>
      <x:c r="J85" s="17" t="n">
        <x:v>5</x:v>
      </x:c>
      <x:c r="K85" s="17" t="n">
        <x:v>10</x:v>
      </x:c>
      <x:c r="L85" s="17" t="n">
        <x:v>10</x:v>
      </x:c>
      <x:c r="M85" s="17" t="n">
        <x:v>10</x:v>
      </x:c>
      <x:c r="N85" s="17" t="n">
        <x:v>3</x:v>
      </x:c>
      <x:c r="O85" s="17" t="str">
        <x:v>No</x:v>
      </x:c>
      <x:c r="P85" s="17" t="str">
        <x:v>funding</x:v>
      </x:c>
      <x:c r="Q85" s="17" t="n">
        <x:v>1</x:v>
      </x:c>
      <x:c r="R85" s="17" t="str">
        <x:v>Support is generally directed to PhD students but is not guaranteed</x:v>
      </x:c>
      <x:c r="S85" s="17" t="str">
        <x:v>USD 50 graduate application fee for non-engineering/non-business programs</x:v>
      </x:c>
      <x:c r="T85" s="17" t="str">
        <x:v>USD</x:v>
      </x:c>
      <x:c r="U85" s="17" t="str">
        <x:v>Insufficient evidence</x:v>
      </x:c>
      <x:c r="V85" s="17" t="str">
        <x:v>partial</x:v>
      </x:c>
      <x:c r="W85" s="17" t="str">
        <x:v>low</x:v>
      </x:c>
      <x:c r="X85" s="17" t="str">
        <x:v>Will an adviser or department commit a renewable package covering adequate stipend, tuition, fees, insurance, and summers? | Single-professor dependency. | Official funding evidence exists but does not prove a credible program-wide package or full scholarship. | Applicable waiver or final Fall 2027 cost is not guaranteed.</x:v>
      </x:c>
      <x:c r="Y85" s="18" t="e">
        <x:f>HYPERLINK("https://www.uml.edu/sciences/computer-science/programs/doctorate.aspx","Open source")</x:f>
        <x:v>HYPERLINK is not implemented. linkLocation=https://www.uml.edu/sciences/computer-science/programs/doctorate.aspx, friendlyName=Open source</x:v>
      </x:c>
    </x:row>
    <x:row r="86" ht="46" customHeight="1">
      <x:c r="A86" s="17" t="str">
        <x:v>do_not_apply</x:v>
      </x:c>
      <x:c r="B86" s="17" t="str"/>
      <x:c r="C86" s="17" t="str">
        <x:v>University of Nevada-Reno</x:v>
      </x:c>
      <x:c r="D86" s="17" t="str">
        <x:v>United States</x:v>
      </x:c>
      <x:c r="E86" s="17" t="str">
        <x:v>us</x:v>
      </x:c>
      <x:c r="F86" s="17" t="str">
        <x:v>Doctor of Philosophy in Computer Science and Engineering</x:v>
      </x:c>
      <x:c r="G86" s="17" t="str">
        <x:v>PhD</x:v>
      </x:c>
      <x:c r="H86" s="17" t="n">
        <x:v>58</x:v>
      </x:c>
      <x:c r="I86" s="17" t="n">
        <x:v>20</x:v>
      </x:c>
      <x:c r="J86" s="17" t="n">
        <x:v>5</x:v>
      </x:c>
      <x:c r="K86" s="17" t="n">
        <x:v>10</x:v>
      </x:c>
      <x:c r="L86" s="17" t="n">
        <x:v>10</x:v>
      </x:c>
      <x:c r="M86" s="17" t="n">
        <x:v>10</x:v>
      </x:c>
      <x:c r="N86" s="17" t="n">
        <x:v>3</x:v>
      </x:c>
      <x:c r="O86" s="17" t="str">
        <x:v>No</x:v>
      </x:c>
      <x:c r="P86" s="17" t="str">
        <x:v>funding</x:v>
      </x:c>
      <x:c r="Q86" s="17" t="n">
        <x:v>1</x:v>
      </x:c>
      <x:c r="R86" s="17" t="str">
        <x:v>Assistantships are contingent on available funding and awarded by the program or department, not guaranteed by the Graduate School</x:v>
      </x:c>
      <x:c r="S86" s="17" t="n">
        <x:v>95</x:v>
      </x:c>
      <x:c r="T86" s="17" t="str">
        <x:v>USD</x:v>
      </x:c>
      <x:c r="U86" s="17" t="str">
        <x:v>Insufficient evidence</x:v>
      </x:c>
      <x:c r="V86" s="17" t="str">
        <x:v>partial</x:v>
      </x:c>
      <x:c r="W86" s="17" t="str">
        <x:v>low</x:v>
      </x:c>
      <x:c r="X86" s="17" t="str">
        <x:v>Will the department issue a renewable assistantship covering stipend, insurance, and sufficient tuition while leaving a manageable mandatory-fee balance? | Single-professor dependency. | Official funding evidence exists but does not prove a credible program-wide package or full scholarship. | Applicable waiver or final Fall 2027 cost is not guaranteed.</x:v>
      </x:c>
      <x:c r="Y86" s="18" t="e">
        <x:f>HYPERLINK("https://www.unr.edu/cse/graduate-program","Open source")</x:f>
        <x:v>HYPERLINK is not implemented. linkLocation=https://www.unr.edu/cse/graduate-program, friendlyName=Open source</x:v>
      </x:c>
    </x:row>
    <x:row r="87" ht="46" customHeight="1">
      <x:c r="A87" s="17" t="str">
        <x:v>do_not_apply</x:v>
      </x:c>
      <x:c r="B87" s="17" t="str"/>
      <x:c r="C87" s="17" t="str">
        <x:v>University of North Carolina at Charlotte</x:v>
      </x:c>
      <x:c r="D87" s="17" t="str">
        <x:v>United States</x:v>
      </x:c>
      <x:c r="E87" s="17" t="str">
        <x:v>us</x:v>
      </x:c>
      <x:c r="F87" s="17" t="str">
        <x:v>Ph.D. in Computing and Information Systems — Software and Information Systems Track</x:v>
      </x:c>
      <x:c r="G87" s="17" t="str">
        <x:v>PhD</x:v>
      </x:c>
      <x:c r="H87" s="17" t="n">
        <x:v>58</x:v>
      </x:c>
      <x:c r="I87" s="17" t="n">
        <x:v>20</x:v>
      </x:c>
      <x:c r="J87" s="17" t="n">
        <x:v>5</x:v>
      </x:c>
      <x:c r="K87" s="17" t="n">
        <x:v>10</x:v>
      </x:c>
      <x:c r="L87" s="17" t="n">
        <x:v>10</x:v>
      </x:c>
      <x:c r="M87" s="17" t="n">
        <x:v>10</x:v>
      </x:c>
      <x:c r="N87" s="17" t="n">
        <x:v>3</x:v>
      </x:c>
      <x:c r="O87" s="17" t="str">
        <x:v>No</x:v>
      </x:c>
      <x:c r="P87" s="17" t="str">
        <x:v>funding</x:v>
      </x:c>
      <x:c r="Q87" s="17" t="n">
        <x:v>1</x:v>
      </x:c>
      <x:c r="R87" s="17" t="str">
        <x:v>Full-time doctoral students with an eligible assistantship receive GASP tuition and insurance, but the program does not promise an assistantship to every admit</x:v>
      </x:c>
      <x:c r="S87" s="17" t="n">
        <x:v>85</x:v>
      </x:c>
      <x:c r="T87" s="17" t="str">
        <x:v>USD</x:v>
      </x:c>
      <x:c r="U87" s="17" t="str">
        <x:v>Insufficient evidence</x:v>
      </x:c>
      <x:c r="V87" s="17" t="str">
        <x:v>partial</x:v>
      </x:c>
      <x:c r="W87" s="17" t="str">
        <x:v>low</x:v>
      </x:c>
      <x:c r="X87" s="17" t="str">
        <x:v>Will the SIS track offer an eligible assistantship with sufficient stipend and GASP coverage for the full expected duration? | Single-professor dependency. | Official funding evidence exists but does not prove a credible program-wide package or full scholarship. | Applicable waiver or final Fall 2027 cost is not guaranteed.</x:v>
      </x:c>
      <x:c r="Y87" s="18" t="e">
        <x:f>HYPERLINK("https://cci.charlotte.edu/academics/software-and-information-systems/phd-sis-track","Open source")</x:f>
        <x:v>HYPERLINK is not implemented. linkLocation=https://cci.charlotte.edu/academics/software-and-information-systems/phd-sis-track, friendlyName=Open source</x:v>
      </x:c>
    </x:row>
    <x:row r="88" ht="46" customHeight="1">
      <x:c r="A88" s="17" t="str">
        <x:v>do_not_apply</x:v>
      </x:c>
      <x:c r="B88" s="17" t="str"/>
      <x:c r="C88" s="17" t="str">
        <x:v>University of Oregon</x:v>
      </x:c>
      <x:c r="D88" s="17" t="str">
        <x:v>United States</x:v>
      </x:c>
      <x:c r="E88" s="17" t="str">
        <x:v>us</x:v>
      </x:c>
      <x:c r="F88" s="17" t="str">
        <x:v>Doctor of Philosophy in Computer Science</x:v>
      </x:c>
      <x:c r="G88" s="17" t="str">
        <x:v>PhD</x:v>
      </x:c>
      <x:c r="H88" s="17" t="n">
        <x:v>58</x:v>
      </x:c>
      <x:c r="I88" s="17" t="n">
        <x:v>20</x:v>
      </x:c>
      <x:c r="J88" s="17" t="n">
        <x:v>5</x:v>
      </x:c>
      <x:c r="K88" s="17" t="n">
        <x:v>10</x:v>
      </x:c>
      <x:c r="L88" s="17" t="n">
        <x:v>10</x:v>
      </x:c>
      <x:c r="M88" s="17" t="n">
        <x:v>10</x:v>
      </x:c>
      <x:c r="N88" s="17" t="n">
        <x:v>3</x:v>
      </x:c>
      <x:c r="O88" s="17" t="str">
        <x:v>No</x:v>
      </x:c>
      <x:c r="P88" s="17" t="str">
        <x:v>funding</x:v>
      </x:c>
      <x:c r="Q88" s="17" t="n">
        <x:v>1</x:v>
      </x:c>
      <x:c r="R88" s="17" t="str">
        <x:v>PhD students are eligible for up to five years of departmental support, but the official program page explicitly says eligibility is not a guarantee</x:v>
      </x:c>
      <x:c r="S88" s="17" t="n">
        <x:v>90</x:v>
      </x:c>
      <x:c r="T88" s="17" t="str">
        <x:v>USD</x:v>
      </x:c>
      <x:c r="U88" s="17" t="str">
        <x:v>Plausible</x:v>
      </x:c>
      <x:c r="V88" s="17" t="str">
        <x:v>partial</x:v>
      </x:c>
      <x:c r="W88" s="17" t="str">
        <x:v>low</x:v>
      </x:c>
      <x:c r="X88" s="17" t="str">
        <x:v>Will a Fall 2027 offer guarantee a funded appointment for the full expected duration and cover summer, insurance, tuition, and mandatory fees? | Single-professor dependency. | Official funding evidence exists but does not prove a credible program-wide package or full scholarship. | Applicable waiver or final Fall 2027 cost is not guaranteed.</x:v>
      </x:c>
      <x:c r="Y88" s="18" t="e">
        <x:f>HYPERLINK("https://scds.uoregon.edu/cs/graduate-programs/cs-phd","Open source")</x:f>
        <x:v>HYPERLINK is not implemented. linkLocation=https://scds.uoregon.edu/cs/graduate-programs/cs-phd, friendlyName=Open source</x:v>
      </x:c>
    </x:row>
    <x:row r="89" ht="46" customHeight="1">
      <x:c r="A89" s="17" t="str">
        <x:v>do_not_apply</x:v>
      </x:c>
      <x:c r="B89" s="17" t="str"/>
      <x:c r="C89" s="17" t="str">
        <x:v>University of Pittsburgh-Pittsburgh Campus</x:v>
      </x:c>
      <x:c r="D89" s="17" t="str">
        <x:v>United States</x:v>
      </x:c>
      <x:c r="E89" s="17" t="str">
        <x:v>us</x:v>
      </x:c>
      <x:c r="F89" s="17" t="str">
        <x:v>Doctor of Philosophy in Computer Science</x:v>
      </x:c>
      <x:c r="G89" s="17" t="str">
        <x:v>PhD</x:v>
      </x:c>
      <x:c r="H89" s="17" t="n">
        <x:v>58</x:v>
      </x:c>
      <x:c r="I89" s="17" t="n">
        <x:v>20</x:v>
      </x:c>
      <x:c r="J89" s="17" t="n">
        <x:v>5</x:v>
      </x:c>
      <x:c r="K89" s="17" t="n">
        <x:v>10</x:v>
      </x:c>
      <x:c r="L89" s="17" t="n">
        <x:v>10</x:v>
      </x:c>
      <x:c r="M89" s="17" t="n">
        <x:v>10</x:v>
      </x:c>
      <x:c r="N89" s="17" t="n">
        <x:v>3</x:v>
      </x:c>
      <x:c r="O89" s="17" t="str">
        <x:v>No</x:v>
      </x:c>
      <x:c r="P89" s="17" t="str">
        <x:v>funding</x:v>
      </x:c>
      <x:c r="Q89" s="17" t="n">
        <x:v>1</x:v>
      </x:c>
      <x:c r="R89" s="17" t="str">
        <x:v>Official guidance says doctoral students are often supported, but it does not establish a universal funding guarantee</x:v>
      </x:c>
      <x:c r="S89" s="17" t="n">
        <x:v>85</x:v>
      </x:c>
      <x:c r="T89" s="17" t="str">
        <x:v>USD</x:v>
      </x:c>
      <x:c r="U89" s="17" t="str">
        <x:v>Plausible</x:v>
      </x:c>
      <x:c r="V89" s="17" t="str">
        <x:v>partial</x:v>
      </x:c>
      <x:c r="W89" s="17" t="str">
        <x:v>low</x:v>
      </x:c>
      <x:c r="X89" s="17" t="str">
        <x:v>Will a Fall 2027 CS PhD admission offer guarantee full tuition, adequate stipend, insurance, fees, and summer support for a stated duration? | Single-professor dependency. | Official funding evidence exists but does not prove a credible program-wide package or full scholarship. | Applicable waiver or final Fall 2027 cost is not guaranteed.</x:v>
      </x:c>
      <x:c r="Y89" s="18" t="e">
        <x:f>HYPERLINK("https://intranet.cs.pitt.edu/grad/","Open source")</x:f>
        <x:v>HYPERLINK is not implemented. linkLocation=https://intranet.cs.pitt.edu/grad/, friendlyName=Open source</x:v>
      </x:c>
    </x:row>
    <x:row r="90" ht="46" customHeight="1">
      <x:c r="A90" s="17" t="str">
        <x:v>do_not_apply</x:v>
      </x:c>
      <x:c r="B90" s="17" t="str"/>
      <x:c r="C90" s="17" t="str">
        <x:v>University of South Carolina-Columbia</x:v>
      </x:c>
      <x:c r="D90" s="17" t="str">
        <x:v>United States</x:v>
      </x:c>
      <x:c r="E90" s="17" t="str">
        <x:v>us</x:v>
      </x:c>
      <x:c r="F90" s="17" t="str">
        <x:v>Doctor of Philosophy in Computer Science</x:v>
      </x:c>
      <x:c r="G90" s="17" t="str">
        <x:v>PhD</x:v>
      </x:c>
      <x:c r="H90" s="17" t="n">
        <x:v>58</x:v>
      </x:c>
      <x:c r="I90" s="17" t="n">
        <x:v>20</x:v>
      </x:c>
      <x:c r="J90" s="17" t="n">
        <x:v>5</x:v>
      </x:c>
      <x:c r="K90" s="17" t="n">
        <x:v>10</x:v>
      </x:c>
      <x:c r="L90" s="17" t="n">
        <x:v>10</x:v>
      </x:c>
      <x:c r="M90" s="17" t="n">
        <x:v>10</x:v>
      </x:c>
      <x:c r="N90" s="17" t="n">
        <x:v>3</x:v>
      </x:c>
      <x:c r="O90" s="17" t="str">
        <x:v>No</x:v>
      </x:c>
      <x:c r="P90" s="17" t="str">
        <x:v>funding</x:v>
      </x:c>
      <x:c r="Q90" s="17" t="n">
        <x:v>1</x:v>
      </x:c>
      <x:c r="R90" s="17" t="str">
        <x:v>All admitted applicants are considered for limited TAs; RAs may be offered by individual faculty</x:v>
      </x:c>
      <x:c r="S90" s="17" t="n">
        <x:v>50</x:v>
      </x:c>
      <x:c r="T90" s="17" t="str">
        <x:v>USD</x:v>
      </x:c>
      <x:c r="U90" s="17" t="str">
        <x:v>Insufficient evidence</x:v>
      </x:c>
      <x:c r="V90" s="17" t="str">
        <x:v>partial</x:v>
      </x:c>
      <x:c r="W90" s="17" t="str">
        <x:v>low</x:v>
      </x:c>
      <x:c r="X90" s="17" t="str">
        <x:v>Will an actual offer guarantee renewable support and fully specify residual tuition, fees, insurance, and summer funding? | Single-professor dependency. | Official funding evidence exists but does not prove a credible program-wide package or full scholarship. | Applicable waiver or final Fall 2027 cost is not guaranteed.</x:v>
      </x:c>
      <x:c r="Y90" s="18" t="e">
        <x:f>HYPERLINK("https://cse.sc.edu/graduate/phd","Open source")</x:f>
        <x:v>HYPERLINK is not implemented. linkLocation=https://cse.sc.edu/graduate/phd, friendlyName=Open source</x:v>
      </x:c>
    </x:row>
    <x:row r="91" ht="46" customHeight="1">
      <x:c r="A91" s="17" t="str">
        <x:v>do_not_apply</x:v>
      </x:c>
      <x:c r="B91" s="17" t="str"/>
      <x:c r="C91" s="17" t="str">
        <x:v>University of Wyoming</x:v>
      </x:c>
      <x:c r="D91" s="17" t="str">
        <x:v>United States</x:v>
      </x:c>
      <x:c r="E91" s="17" t="str">
        <x:v>us</x:v>
      </x:c>
      <x:c r="F91" s="17" t="str">
        <x:v>PhD in Computer Science</x:v>
      </x:c>
      <x:c r="G91" s="17" t="str">
        <x:v>PhD</x:v>
      </x:c>
      <x:c r="H91" s="17" t="n">
        <x:v>58</x:v>
      </x:c>
      <x:c r="I91" s="17" t="n">
        <x:v>20</x:v>
      </x:c>
      <x:c r="J91" s="17" t="n">
        <x:v>5</x:v>
      </x:c>
      <x:c r="K91" s="17" t="n">
        <x:v>10</x:v>
      </x:c>
      <x:c r="L91" s="17" t="n">
        <x:v>10</x:v>
      </x:c>
      <x:c r="M91" s="17" t="n">
        <x:v>10</x:v>
      </x:c>
      <x:c r="N91" s="17" t="n">
        <x:v>3</x:v>
      </x:c>
      <x:c r="O91" s="17" t="str">
        <x:v>No</x:v>
      </x:c>
      <x:c r="P91" s="17" t="str">
        <x:v>funding</x:v>
      </x:c>
      <x:c r="Q91" s="17" t="n">
        <x:v>1</x:v>
      </x:c>
      <x:c r="R91" s="17" t="str">
        <x:v>The program says a majority receive stipends covering tuition and living expenses, not that every admit is funded</x:v>
      </x:c>
      <x:c r="S91" s="17" t="n">
        <x:v>50</x:v>
      </x:c>
      <x:c r="T91" s="17" t="str">
        <x:v>USD</x:v>
      </x:c>
      <x:c r="U91" s="17" t="str">
        <x:v>Plausible</x:v>
      </x:c>
      <x:c r="V91" s="17" t="str">
        <x:v>partial</x:v>
      </x:c>
      <x:c r="W91" s="17" t="str">
        <x:v>low</x:v>
      </x:c>
      <x:c r="X91" s="17" t="str">
        <x:v>Will the applicant receive a full-time renewable assistantship, and what summer or incidental costs remain outside it? | Single-professor dependency. | Official funding evidence exists but does not prove a credible program-wide package or full scholarship. | Applicable waiver or final Fall 2027 cost is not guaranteed.</x:v>
      </x:c>
      <x:c r="Y91" s="18" t="e">
        <x:f>HYPERLINK("https://www.uwyo.edu/uw/degree-programs/computer-science-ms-phd.html","Open source")</x:f>
        <x:v>HYPERLINK is not implemented. linkLocation=https://www.uwyo.edu/uw/degree-programs/computer-science-ms-phd.html, friendlyName=Open source</x:v>
      </x:c>
    </x:row>
    <x:row r="92" ht="46" customHeight="1">
      <x:c r="A92" s="17" t="str">
        <x:v>do_not_apply</x:v>
      </x:c>
      <x:c r="B92" s="17" t="str"/>
      <x:c r="C92" s="17" t="str">
        <x:v>Virginia Commonwealth University</x:v>
      </x:c>
      <x:c r="D92" s="17" t="str">
        <x:v>United States</x:v>
      </x:c>
      <x:c r="E92" s="17" t="str">
        <x:v>us</x:v>
      </x:c>
      <x:c r="F92" s="17" t="str">
        <x:v>Doctor of Philosophy in Computer Science</x:v>
      </x:c>
      <x:c r="G92" s="17" t="str">
        <x:v>PhD</x:v>
      </x:c>
      <x:c r="H92" s="17" t="n">
        <x:v>58</x:v>
      </x:c>
      <x:c r="I92" s="17" t="n">
        <x:v>20</x:v>
      </x:c>
      <x:c r="J92" s="17" t="n">
        <x:v>5</x:v>
      </x:c>
      <x:c r="K92" s="17" t="n">
        <x:v>10</x:v>
      </x:c>
      <x:c r="L92" s="17" t="n">
        <x:v>10</x:v>
      </x:c>
      <x:c r="M92" s="17" t="n">
        <x:v>10</x:v>
      </x:c>
      <x:c r="N92" s="17" t="n">
        <x:v>3</x:v>
      </x:c>
      <x:c r="O92" s="17" t="str">
        <x:v>No</x:v>
      </x:c>
      <x:c r="P92" s="17" t="str">
        <x:v>funding</x:v>
      </x:c>
      <x:c r="Q92" s="17" t="n">
        <x:v>1</x:v>
      </x:c>
      <x:c r="R92" s="17" t="str">
        <x:v>Doctoral applicants are automatically considered and current guidance states that admitted doctoral students are funded by a faculty advisor or program</x:v>
      </x:c>
      <x:c r="S92" s="17" t="n">
        <x:v>70</x:v>
      </x:c>
      <x:c r="T92" s="17" t="str">
        <x:v>USD</x:v>
      </x:c>
      <x:c r="U92" s="17" t="str">
        <x:v>Insufficient evidence</x:v>
      </x:c>
      <x:c r="V92" s="17" t="str">
        <x:v>partial</x:v>
      </x:c>
      <x:c r="W92" s="17" t="str">
        <x:v>low</x:v>
      </x:c>
      <x:c r="X92" s="17" t="str">
        <x:v>Which advisor will support the application, and what duration, summer, stipend, and insurance terms will the Fall 2027 assistantship letter contain? | Single-professor dependency. | Official funding evidence exists but does not prove a credible program-wide package or full scholarship. | Applicable waiver or final Fall 2027 cost is not guaranteed.</x:v>
      </x:c>
      <x:c r="Y92" s="18" t="e">
        <x:f>HYPERLINK("https://bulletin.vcu.edu/graduate/school-engineering/computer-science/computer-science-phd/","Open source")</x:f>
        <x:v>HYPERLINK is not implemented. linkLocation=https://bulletin.vcu.edu/graduate/school-engineering/computer-science/computer-science-phd/, friendlyName=Open source</x:v>
      </x:c>
    </x:row>
    <x:row r="93" ht="46" customHeight="1">
      <x:c r="A93" s="17" t="str">
        <x:v>do_not_apply</x:v>
      </x:c>
      <x:c r="B93" s="17" t="str"/>
      <x:c r="C93" s="17" t="str">
        <x:v>Washington State University</x:v>
      </x:c>
      <x:c r="D93" s="17" t="str">
        <x:v>United States</x:v>
      </x:c>
      <x:c r="E93" s="17" t="str">
        <x:v>us</x:v>
      </x:c>
      <x:c r="F93" s="17" t="str">
        <x:v>Doctor of Philosophy in Computer Science</x:v>
      </x:c>
      <x:c r="G93" s="17" t="str">
        <x:v>PhD</x:v>
      </x:c>
      <x:c r="H93" s="17" t="n">
        <x:v>58</x:v>
      </x:c>
      <x:c r="I93" s="17" t="n">
        <x:v>20</x:v>
      </x:c>
      <x:c r="J93" s="17" t="n">
        <x:v>5</x:v>
      </x:c>
      <x:c r="K93" s="17" t="n">
        <x:v>10</x:v>
      </x:c>
      <x:c r="L93" s="17" t="n">
        <x:v>10</x:v>
      </x:c>
      <x:c r="M93" s="17" t="n">
        <x:v>10</x:v>
      </x:c>
      <x:c r="N93" s="17" t="n">
        <x:v>3</x:v>
      </x:c>
      <x:c r="O93" s="17" t="str">
        <x:v>No</x:v>
      </x:c>
      <x:c r="P93" s="17" t="str">
        <x:v>funding</x:v>
      </x:c>
      <x:c r="Q93" s="17" t="n">
        <x:v>1</x:v>
      </x:c>
      <x:c r="R93" s="17" t="str">
        <x:v>Not guaranteed; 47 of 52 current students are reported as receiving assistantships</x:v>
      </x:c>
      <x:c r="S93" s="17" t="n">
        <x:v>90</x:v>
      </x:c>
      <x:c r="T93" s="17" t="str">
        <x:v>USD</x:v>
      </x:c>
      <x:c r="U93" s="17" t="str">
        <x:v>Plausible</x:v>
      </x:c>
      <x:c r="V93" s="17" t="str">
        <x:v>partial</x:v>
      </x:c>
      <x:c r="W93" s="17" t="str">
        <x:v>low</x:v>
      </x:c>
      <x:c r="X93" s="17" t="str">
        <x:v>Will EECS issue and renew an assistantship for the full doctorate, and what net cost remains after mandatory fees and summer living expenses? | Single-professor dependency. | Official funding evidence exists but does not prove a credible program-wide package or full scholarship. | Applicable waiver or final Fall 2027 cost is not guaranteed.</x:v>
      </x:c>
      <x:c r="Y93" s="18" t="e">
        <x:f>HYPERLINK("https://gradschool.wsu.edu/degrees/doctor-of-philosophy-computer-science/","Open source")</x:f>
        <x:v>HYPERLINK is not implemented. linkLocation=https://gradschool.wsu.edu/degrees/doctor-of-philosophy-computer-science/, friendlyName=Open source</x:v>
      </x:c>
    </x:row>
    <x:row r="94" ht="46" customHeight="1">
      <x:c r="A94" s="17" t="str">
        <x:v>do_not_apply</x:v>
      </x:c>
      <x:c r="B94" s="17" t="str"/>
      <x:c r="C94" s="17" t="str">
        <x:v>Worcester Polytechnic Institute</x:v>
      </x:c>
      <x:c r="D94" s="17" t="str">
        <x:v>United States</x:v>
      </x:c>
      <x:c r="E94" s="17" t="str">
        <x:v>us</x:v>
      </x:c>
      <x:c r="F94" s="17" t="str">
        <x:v>PhD in Computer Science</x:v>
      </x:c>
      <x:c r="G94" s="17" t="str">
        <x:v>PhD</x:v>
      </x:c>
      <x:c r="H94" s="17" t="n">
        <x:v>58</x:v>
      </x:c>
      <x:c r="I94" s="17" t="n">
        <x:v>20</x:v>
      </x:c>
      <x:c r="J94" s="17" t="n">
        <x:v>5</x:v>
      </x:c>
      <x:c r="K94" s="17" t="n">
        <x:v>10</x:v>
      </x:c>
      <x:c r="L94" s="17" t="n">
        <x:v>10</x:v>
      </x:c>
      <x:c r="M94" s="17" t="n">
        <x:v>10</x:v>
      </x:c>
      <x:c r="N94" s="17" t="n">
        <x:v>3</x:v>
      </x:c>
      <x:c r="O94" s="17" t="str">
        <x:v>No</x:v>
      </x:c>
      <x:c r="P94" s="17" t="str">
        <x:v>funding</x:v>
      </x:c>
      <x:c r="Q94" s="17" t="n">
        <x:v>1</x:v>
      </x:c>
      <x:c r="R94" s="17" t="str">
        <x:v>All applicants receive automatic consideration; post-priority applicants remain eligible while funds are available</x:v>
      </x:c>
      <x:c r="S94" s="17" t="n">
        <x:v>70</x:v>
      </x:c>
      <x:c r="T94" s="17" t="str">
        <x:v>USD</x:v>
      </x:c>
      <x:c r="U94" s="17" t="str">
        <x:v>Insufficient evidence</x:v>
      </x:c>
      <x:c r="V94" s="17" t="str">
        <x:v>partial</x:v>
      </x:c>
      <x:c r="W94" s="17" t="str">
        <x:v>low</x:v>
      </x:c>
      <x:c r="X94" s="17" t="str">
        <x:v>Will WPI issue a multi-year full package covering tuition, fees, health insurance, and summers in addition to stipend? | Single-professor dependency. | Official funding evidence exists but does not prove a credible program-wide package or full scholarship. | Applicable waiver or final Fall 2027 cost is not guaranteed.</x:v>
      </x:c>
      <x:c r="Y94" s="18" t="e">
        <x:f>HYPERLINK("https://www.wpi.edu/academics/study/computer-science-phd","Open source")</x:f>
        <x:v>HYPERLINK is not implemented. linkLocation=https://www.wpi.edu/academics/study/computer-science-phd, friendlyName=Open source</x:v>
      </x:c>
    </x:row>
    <x:row r="95" ht="46" customHeight="1">
      <x:c r="A95" s="17" t="str">
        <x:v>do_not_apply</x:v>
      </x:c>
      <x:c r="B95" s="17" t="str"/>
      <x:c r="C95" s="17" t="str">
        <x:v>Brock University</x:v>
      </x:c>
      <x:c r="D95" s="17" t="str">
        <x:v>Canada</x:v>
      </x:c>
      <x:c r="E95" s="17" t="str">
        <x:v>canada</x:v>
      </x:c>
      <x:c r="F95" s="17" t="str">
        <x:v>Computer Science MSc — Thesis Stream</x:v>
      </x:c>
      <x:c r="G95" s="17" t="str">
        <x:v>Thesis or research master's</x:v>
      </x:c>
      <x:c r="H95" s="17" t="n">
        <x:v>55</x:v>
      </x:c>
      <x:c r="I95" s="17" t="n">
        <x:v>20</x:v>
      </x:c>
      <x:c r="J95" s="17" t="n">
        <x:v>5</x:v>
      </x:c>
      <x:c r="K95" s="17" t="n">
        <x:v>10</x:v>
      </x:c>
      <x:c r="L95" s="17" t="n">
        <x:v>10</x:v>
      </x:c>
      <x:c r="M95" s="17" t="n">
        <x:v>10</x:v>
      </x:c>
      <x:c r="N95" s="17" t="n">
        <x:v>0</x:v>
      </x:c>
      <x:c r="O95" s="17" t="str">
        <x:v>No</x:v>
      </x:c>
      <x:c r="P95" s="17" t="str">
        <x:v>funding</x:v>
      </x:c>
      <x:c r="Q95" s="17" t="n">
        <x:v>1</x:v>
      </x:c>
      <x:c r="R95" s="17" t="str">
        <x:v>Departmental funding is described, but numerical examples are old and the page warns international funding does not cover all costs</x:v>
      </x:c>
      <x:c r="S95" s="17" t="str">
        <x:v>Exact current amount not verified</x:v>
      </x:c>
      <x:c r="T95" s="17" t="str">
        <x:v>CAD</x:v>
      </x:c>
      <x:c r="U95" s="17" t="str">
        <x:v>Insufficient evidence</x:v>
      </x:c>
      <x:c r="V95" s="17" t="str">
        <x:v>partial</x:v>
      </x:c>
      <x:c r="W95" s="17" t="str">
        <x:v>low</x:v>
      </x:c>
      <x:c r="X95" s="17" t="str">
        <x:v>What current six-term net package will Brock provide after international tuition, fees, taxes, insurance, and living costs? | Single-professor dependency. | Official funding evidence exists but does not prove a credible program-wide package or full scholarship. | Fee is high or the applicable Fall 2027 amount/waiver remains unverified.</x:v>
      </x:c>
      <x:c r="Y95" s="18" t="e">
        <x:f>HYPERLINK("https://brocku.ca/programs/graduate/msc-cosc/","Open source")</x:f>
        <x:v>HYPERLINK is not implemented. linkLocation=https://brocku.ca/programs/graduate/msc-cosc/, friendlyName=Open source</x:v>
      </x:c>
    </x:row>
    <x:row r="96" ht="46" customHeight="1">
      <x:c r="A96" s="17" t="str">
        <x:v>do_not_apply</x:v>
      </x:c>
      <x:c r="B96" s="17" t="str"/>
      <x:c r="C96" s="17" t="str">
        <x:v>Carleton University</x:v>
      </x:c>
      <x:c r="D96" s="17" t="str">
        <x:v>Canada</x:v>
      </x:c>
      <x:c r="E96" s="17" t="str">
        <x:v>canada</x:v>
      </x:c>
      <x:c r="F96" s="17" t="str">
        <x:v>Master of Applied Science in Electrical and Computer Engineering</x:v>
      </x:c>
      <x:c r="G96" s="17" t="str">
        <x:v>Thesis or research master's</x:v>
      </x:c>
      <x:c r="H96" s="17" t="n">
        <x:v>55</x:v>
      </x:c>
      <x:c r="I96" s="17" t="n">
        <x:v>20</x:v>
      </x:c>
      <x:c r="J96" s="17" t="n">
        <x:v>5</x:v>
      </x:c>
      <x:c r="K96" s="17" t="n">
        <x:v>10</x:v>
      </x:c>
      <x:c r="L96" s="17" t="n">
        <x:v>10</x:v>
      </x:c>
      <x:c r="M96" s="17" t="n">
        <x:v>10</x:v>
      </x:c>
      <x:c r="N96" s="17" t="n">
        <x:v>0</x:v>
      </x:c>
      <x:c r="O96" s="17" t="str">
        <x:v>No</x:v>
      </x:c>
      <x:c r="P96" s="17" t="str">
        <x:v>funding</x:v>
      </x:c>
      <x:c r="Q96" s="17" t="n">
        <x:v>1</x:v>
      </x:c>
      <x:c r="R96" s="17" t="str">
        <x:v>Automatically considered but limited to a few outstanding international applicants; no package is guaranteed</x:v>
      </x:c>
      <x:c r="S96" s="17" t="n">
        <x:v>125</x:v>
      </x:c>
      <x:c r="T96" s="17" t="str">
        <x:v>CAD</x:v>
      </x:c>
      <x:c r="U96" s="17" t="str">
        <x:v>Insufficient evidence</x:v>
      </x:c>
      <x:c r="V96" s="17" t="str">
        <x:v>partial</x:v>
      </x:c>
      <x:c r="W96" s="17" t="str">
        <x:v>low</x:v>
      </x:c>
      <x:c r="X96" s="17" t="str">
        <x:v>Will an aligned supervisor support admission with an international package that covers tuition, UHIP, fees, and living costs for the full thesis period? | Single-professor dependency. | Official funding evidence exists but does not prove a credible program-wide package or full scholarship. | Fee is high or the applicable Fall 2027 amount/waiver remains unverified.</x:v>
      </x:c>
      <x:c r="Y96" s="18" t="e">
        <x:f>HYPERLINK("https://graduate.carleton.ca/program/electrical-and-computer-engineering-masters-programs/","Open source")</x:f>
        <x:v>HYPERLINK is not implemented. linkLocation=https://graduate.carleton.ca/program/electrical-and-computer-engineering-masters-programs/, friendlyName=Open source</x:v>
      </x:c>
    </x:row>
    <x:row r="97" ht="46" customHeight="1">
      <x:c r="A97" s="17" t="str">
        <x:v>do_not_apply</x:v>
      </x:c>
      <x:c r="B97" s="17" t="str"/>
      <x:c r="C97" s="17" t="str">
        <x:v>Clarkson University</x:v>
      </x:c>
      <x:c r="D97" s="17" t="str">
        <x:v>United States</x:v>
      </x:c>
      <x:c r="E97" s="17" t="str">
        <x:v>us</x:v>
      </x:c>
      <x:c r="F97" s="17" t="str">
        <x:v>PhD in Computer Science</x:v>
      </x:c>
      <x:c r="G97" s="17" t="str">
        <x:v>PhD</x:v>
      </x:c>
      <x:c r="H97" s="17" t="n">
        <x:v>55</x:v>
      </x:c>
      <x:c r="I97" s="17" t="n">
        <x:v>20</x:v>
      </x:c>
      <x:c r="J97" s="17" t="n">
        <x:v>5</x:v>
      </x:c>
      <x:c r="K97" s="17" t="n">
        <x:v>10</x:v>
      </x:c>
      <x:c r="L97" s="17" t="n">
        <x:v>10</x:v>
      </x:c>
      <x:c r="M97" s="17" t="n">
        <x:v>10</x:v>
      </x:c>
      <x:c r="N97" s="17" t="n">
        <x:v>0</x:v>
      </x:c>
      <x:c r="O97" s="17" t="str">
        <x:v>No</x:v>
      </x:c>
      <x:c r="P97" s="17" t="str">
        <x:v>funding</x:v>
      </x:c>
      <x:c r="Q97" s="17" t="n">
        <x:v>1</x:v>
      </x:c>
      <x:c r="R97" s="17" t="str">
        <x:v>The PhD page states admitted doctoral students are eligible for full funding; the official memo specifies the assistantship floor and tuition scholarship</x:v>
      </x:c>
      <x:c r="S97" s="17" t="str">
        <x:v>Current official graduate FAQ states the application fee is waived</x:v>
      </x:c>
      <x:c r="T97" s="17" t="str">
        <x:v>USD</x:v>
      </x:c>
      <x:c r="U97" s="17" t="str">
        <x:v>Plausible</x:v>
      </x:c>
      <x:c r="V97" s="17" t="str">
        <x:v>partial</x:v>
      </x:c>
      <x:c r="W97" s="17" t="str">
        <x:v>low</x:v>
      </x:c>
      <x:c r="X97" s="17" t="str">
        <x:v>Will Clarkson's written offer extend adequate stipend and tuition coverage through the full doctorate and specify fees, insurance, and summers? | Single-professor dependency. | Official funding evidence exists but does not prove a credible program-wide package or full scholarship. | Fee is high or the applicable Fall 2027 amount/waiver remains unverified.</x:v>
      </x:c>
      <x:c r="Y97" s="18" t="e">
        <x:f>HYPERLINK("https://www.clarkson.edu/academics/majors-minors/computer-science-phd","Open source")</x:f>
        <x:v>HYPERLINK is not implemented. linkLocation=https://www.clarkson.edu/academics/majors-minors/computer-science-phd, friendlyName=Open source</x:v>
      </x:c>
    </x:row>
    <x:row r="98" ht="46" customHeight="1">
      <x:c r="A98" s="17" t="str">
        <x:v>do_not_apply</x:v>
      </x:c>
      <x:c r="B98" s="17" t="str"/>
      <x:c r="C98" s="17" t="str">
        <x:v>Clemson University</x:v>
      </x:c>
      <x:c r="D98" s="17" t="str">
        <x:v>United States</x:v>
      </x:c>
      <x:c r="E98" s="17" t="str">
        <x:v>us</x:v>
      </x:c>
      <x:c r="F98" s="17" t="str">
        <x:v>Computer Science Ph.D.</x:v>
      </x:c>
      <x:c r="G98" s="17" t="str">
        <x:v>PhD</x:v>
      </x:c>
      <x:c r="H98" s="17" t="n">
        <x:v>55</x:v>
      </x:c>
      <x:c r="I98" s="17" t="n">
        <x:v>20</x:v>
      </x:c>
      <x:c r="J98" s="17" t="n">
        <x:v>5</x:v>
      </x:c>
      <x:c r="K98" s="17" t="n">
        <x:v>10</x:v>
      </x:c>
      <x:c r="L98" s="17" t="n">
        <x:v>10</x:v>
      </x:c>
      <x:c r="M98" s="17" t="n">
        <x:v>10</x:v>
      </x:c>
      <x:c r="N98" s="17" t="n">
        <x:v>0</x:v>
      </x:c>
      <x:c r="O98" s="17" t="str">
        <x:v>No</x:v>
      </x:c>
      <x:c r="P98" s="17" t="str">
        <x:v>funding</x:v>
      </x:c>
      <x:c r="Q98" s="17" t="n">
        <x:v>1</x:v>
      </x:c>
      <x:c r="R98" s="17" t="str">
        <x:v>All qualified PhD applicants are considered, but appointments are competitive and not guaranteed</x:v>
      </x:c>
      <x:c r="S98" s="17" t="str">
        <x:v>Not verified in reviewed official evidence</x:v>
      </x:c>
      <x:c r="T98" s="17" t="str">
        <x:v>USD</x:v>
      </x:c>
      <x:c r="U98" s="17" t="str">
        <x:v>Insufficient evidence</x:v>
      </x:c>
      <x:c r="V98" s="17" t="str">
        <x:v>partial</x:v>
      </x:c>
      <x:c r="W98" s="17" t="str">
        <x:v>low</x:v>
      </x:c>
      <x:c r="X98" s="17" t="str">
        <x:v>Will a Fall 2027 offer include renewable stipend, adequate tuition remission, fees, insurance, and summer support? | Single-professor dependency. | Official funding evidence exists but does not prove a credible program-wide package or full scholarship. | Fee is high or the applicable Fall 2027 amount/waiver remains unverified.</x:v>
      </x:c>
      <x:c r="Y98" s="18" t="e">
        <x:f>HYPERLINK("https://www.clemson.edu/cecas/departments/computing/academics/graduates/degrees/phd-cs.html","Open source")</x:f>
        <x:v>HYPERLINK is not implemented. linkLocation=https://www.clemson.edu/cecas/departments/computing/academics/graduates/degrees/phd-cs.html, friendlyName=Open source</x:v>
      </x:c>
    </x:row>
    <x:row r="99" ht="46" customHeight="1">
      <x:c r="A99" s="17" t="str">
        <x:v>do_not_apply</x:v>
      </x:c>
      <x:c r="B99" s="17" t="str"/>
      <x:c r="C99" s="17" t="str">
        <x:v>Georgia State University</x:v>
      </x:c>
      <x:c r="D99" s="17" t="str">
        <x:v>United States</x:v>
      </x:c>
      <x:c r="E99" s="17" t="str">
        <x:v>us</x:v>
      </x:c>
      <x:c r="F99" s="17" t="str">
        <x:v>Doctor of Philosophy in Computer Science</x:v>
      </x:c>
      <x:c r="G99" s="17" t="str">
        <x:v>PhD</x:v>
      </x:c>
      <x:c r="H99" s="17" t="n">
        <x:v>55</x:v>
      </x:c>
      <x:c r="I99" s="17" t="n">
        <x:v>20</x:v>
      </x:c>
      <x:c r="J99" s="17" t="n">
        <x:v>5</x:v>
      </x:c>
      <x:c r="K99" s="17" t="n">
        <x:v>10</x:v>
      </x:c>
      <x:c r="L99" s="17" t="n">
        <x:v>10</x:v>
      </x:c>
      <x:c r="M99" s="17" t="n">
        <x:v>10</x:v>
      </x:c>
      <x:c r="N99" s="17" t="n">
        <x:v>0</x:v>
      </x:c>
      <x:c r="O99" s="17" t="str">
        <x:v>No</x:v>
      </x:c>
      <x:c r="P99" s="17" t="str">
        <x:v>funding</x:v>
      </x:c>
      <x:c r="Q99" s="17" t="n">
        <x:v>1</x:v>
      </x:c>
      <x:c r="R99" s="17" t="str">
        <x:v>All accepted students are considered, but only top candidates may receive funding with a tuition waiver</x:v>
      </x:c>
      <x:c r="S99" s="17" t="str">
        <x:v>Exact current graduate application fee not verified</x:v>
      </x:c>
      <x:c r="T99" s="17" t="str">
        <x:v>USD</x:v>
      </x:c>
      <x:c r="U99" s="17" t="str">
        <x:v>Insufficient evidence</x:v>
      </x:c>
      <x:c r="V99" s="17" t="str">
        <x:v>partial</x:v>
      </x:c>
      <x:c r="W99" s="17" t="str">
        <x:v>low</x:v>
      </x:c>
      <x:c r="X99" s="17" t="str">
        <x:v>Would a Fall 2027 offer include renewable support with tuition, fees, insurance, and summer coverage rather than only competitive consideration? | Single-professor dependency. | Official funding evidence exists but does not prove a credible program-wide package or full scholarship. | Fee is high or the applicable Fall 2027 amount/waiver remains unverified.</x:v>
      </x:c>
      <x:c r="Y99" s="18" t="e">
        <x:f>HYPERLINK("https://graduate.gsu.edu/program/computer-science-phd/","Open source")</x:f>
        <x:v>HYPERLINK is not implemented. linkLocation=https://graduate.gsu.edu/program/computer-science-phd/, friendlyName=Open source</x:v>
      </x:c>
    </x:row>
    <x:row r="100" ht="46" customHeight="1">
      <x:c r="A100" s="17" t="str">
        <x:v>do_not_apply</x:v>
      </x:c>
      <x:c r="B100" s="17" t="str"/>
      <x:c r="C100" s="17" t="str">
        <x:v>Illinois Institute of Technology</x:v>
      </x:c>
      <x:c r="D100" s="17" t="str">
        <x:v>United States</x:v>
      </x:c>
      <x:c r="E100" s="17" t="str">
        <x:v>us</x:v>
      </x:c>
      <x:c r="F100" s="17" t="str">
        <x:v>Computer Science (Ph.D.)</x:v>
      </x:c>
      <x:c r="G100" s="17" t="str">
        <x:v>PhD</x:v>
      </x:c>
      <x:c r="H100" s="17" t="n">
        <x:v>55</x:v>
      </x:c>
      <x:c r="I100" s="17" t="n">
        <x:v>20</x:v>
      </x:c>
      <x:c r="J100" s="17" t="n">
        <x:v>5</x:v>
      </x:c>
      <x:c r="K100" s="17" t="n">
        <x:v>10</x:v>
      </x:c>
      <x:c r="L100" s="17" t="n">
        <x:v>10</x:v>
      </x:c>
      <x:c r="M100" s="17" t="n">
        <x:v>10</x:v>
      </x:c>
      <x:c r="N100" s="17" t="n">
        <x:v>0</x:v>
      </x:c>
      <x:c r="O100" s="17" t="str">
        <x:v>No</x:v>
      </x:c>
      <x:c r="P100" s="17" t="str">
        <x:v>funding</x:v>
      </x:c>
      <x:c r="Q100" s="17" t="n">
        <x:v>1</x:v>
      </x:c>
      <x:c r="R100" s="17" t="str">
        <x:v>A current faculty opportunity covers tuition and stipend for domestic and international students, but Fall 2027 availability is unconfirmed</x:v>
      </x:c>
      <x:c r="S100" s="17" t="str">
        <x:v>Not verified on the official pages checked</x:v>
      </x:c>
      <x:c r="T100" s="17" t="str">
        <x:v>USD</x:v>
      </x:c>
      <x:c r="U100" s="17" t="str">
        <x:v>Insufficient evidence</x:v>
      </x:c>
      <x:c r="V100" s="17" t="str">
        <x:v>partial</x:v>
      </x:c>
      <x:c r="W100" s="17" t="str">
        <x:v>low</x:v>
      </x:c>
      <x:c r="X100" s="17" t="str">
        <x:v>Will the advertised faculty funding slot remain open for Fall 2027 with renewable stipend, tuition, fees, insurance, and summer coverage? | Single-professor dependency. | Official funding evidence exists but does not prove a credible program-wide package or full scholarship. | Fee is high or the applicable Fall 2027 amount/waiver remains unverified.</x:v>
      </x:c>
      <x:c r="Y100" s="18" t="e">
        <x:f>HYPERLINK("https://www.iit.edu/academics/programs/computer-science-phd","Open source")</x:f>
        <x:v>HYPERLINK is not implemented. linkLocation=https://www.iit.edu/academics/programs/computer-science-phd, friendlyName=Open source</x:v>
      </x:c>
    </x:row>
    <x:row r="101" ht="46" customHeight="1">
      <x:c r="A101" s="17" t="str">
        <x:v>do_not_apply</x:v>
      </x:c>
      <x:c r="B101" s="17" t="str"/>
      <x:c r="C101" s="17" t="str">
        <x:v>Kansas State University</x:v>
      </x:c>
      <x:c r="D101" s="17" t="str">
        <x:v>United States</x:v>
      </x:c>
      <x:c r="E101" s="17" t="str">
        <x:v>us</x:v>
      </x:c>
      <x:c r="F101" s="17" t="str">
        <x:v>Doctor of Philosophy in Computer Science</x:v>
      </x:c>
      <x:c r="G101" s="17" t="str">
        <x:v>PhD</x:v>
      </x:c>
      <x:c r="H101" s="17" t="n">
        <x:v>55</x:v>
      </x:c>
      <x:c r="I101" s="17" t="n">
        <x:v>20</x:v>
      </x:c>
      <x:c r="J101" s="17" t="n">
        <x:v>5</x:v>
      </x:c>
      <x:c r="K101" s="17" t="n">
        <x:v>10</x:v>
      </x:c>
      <x:c r="L101" s="17" t="n">
        <x:v>10</x:v>
      </x:c>
      <x:c r="M101" s="17" t="n">
        <x:v>10</x:v>
      </x:c>
      <x:c r="N101" s="17" t="n">
        <x:v>0</x:v>
      </x:c>
      <x:c r="O101" s="17" t="str">
        <x:v>No</x:v>
      </x:c>
      <x:c r="P101" s="17" t="str">
        <x:v>funding</x:v>
      </x:c>
      <x:c r="Q101" s="17" t="n">
        <x:v>1</x:v>
      </x:c>
      <x:c r="R101" s="17" t="str">
        <x:v>Credible assistantship mechanisms exist, but selection and complete coverage are not guaranteed</x:v>
      </x:c>
      <x:c r="S101" s="17" t="str">
        <x:v>Exact current amount not verified on the official pages checked</x:v>
      </x:c>
      <x:c r="T101" s="17" t="str">
        <x:v>USD</x:v>
      </x:c>
      <x:c r="U101" s="17" t="str">
        <x:v>Plausible</x:v>
      </x:c>
      <x:c r="V101" s="17" t="str">
        <x:v>partial</x:v>
      </x:c>
      <x:c r="W101" s="17" t="str">
        <x:v>low</x:v>
      </x:c>
      <x:c r="X101" s="17" t="str">
        <x:v>Which appointment will be offered, for how many years, and what tuition, fees, insurance, stipend, and summer costs will it cover? | Single-professor dependency. | Official funding evidence exists but does not prove a credible program-wide package or full scholarship. | Fee is high or the applicable Fall 2027 amount/waiver remains unverified.</x:v>
      </x:c>
      <x:c r="Y101" s="18" t="e">
        <x:f>HYPERLINK("https://www.cs.ksu.edu/academics/graduate/phd/","Open source")</x:f>
        <x:v>HYPERLINK is not implemented. linkLocation=https://www.cs.ksu.edu/academics/graduate/phd/, friendlyName=Open source</x:v>
      </x:c>
    </x:row>
    <x:row r="102" ht="46" customHeight="1">
      <x:c r="A102" s="17" t="str">
        <x:v>do_not_apply</x:v>
      </x:c>
      <x:c r="B102" s="17" t="str"/>
      <x:c r="C102" s="17" t="str">
        <x:v>Louisiana State University and Agricultural &amp; Mechanical College</x:v>
      </x:c>
      <x:c r="D102" s="17" t="str">
        <x:v>United States</x:v>
      </x:c>
      <x:c r="E102" s="17" t="str">
        <x:v>us</x:v>
      </x:c>
      <x:c r="F102" s="17" t="str">
        <x:v>Ph.D. in Computer Science and Engineering</x:v>
      </x:c>
      <x:c r="G102" s="17" t="str">
        <x:v>PhD</x:v>
      </x:c>
      <x:c r="H102" s="17" t="n">
        <x:v>55</x:v>
      </x:c>
      <x:c r="I102" s="17" t="n">
        <x:v>20</x:v>
      </x:c>
      <x:c r="J102" s="17" t="n">
        <x:v>5</x:v>
      </x:c>
      <x:c r="K102" s="17" t="n">
        <x:v>10</x:v>
      </x:c>
      <x:c r="L102" s="17" t="n">
        <x:v>10</x:v>
      </x:c>
      <x:c r="M102" s="17" t="n">
        <x:v>10</x:v>
      </x:c>
      <x:c r="N102" s="17" t="n">
        <x:v>0</x:v>
      </x:c>
      <x:c r="O102" s="17" t="str">
        <x:v>No</x:v>
      </x:c>
      <x:c r="P102" s="17" t="str">
        <x:v>funding</x:v>
      </x:c>
      <x:c r="Q102" s="17" t="n">
        <x:v>1</x:v>
      </x:c>
      <x:c r="R102" s="17" t="str">
        <x:v>Top doctoral admits may receive teaching support and faculty may award research support, but neither is universal</x:v>
      </x:c>
      <x:c r="S102" s="17" t="str">
        <x:v>Exact fee amount not verified on the accessible official pages</x:v>
      </x:c>
      <x:c r="T102" s="17" t="str">
        <x:v>USD</x:v>
      </x:c>
      <x:c r="U102" s="17" t="str">
        <x:v>Insufficient evidence</x:v>
      </x:c>
      <x:c r="V102" s="17" t="str">
        <x:v>partial</x:v>
      </x:c>
      <x:c r="W102" s="17" t="str">
        <x:v>low</x:v>
      </x:c>
      <x:c r="X102" s="17" t="str">
        <x:v>Will LSU issue a renewable five-year package and exactly which tuition, fees, insurance, stipend, and summer costs will it cover? | Single-professor dependency. | Official funding evidence exists but does not prove a credible program-wide package or full scholarship. | Fee is high or the applicable Fall 2027 amount/waiver remains unverified.</x:v>
      </x:c>
      <x:c r="Y102" s="18" t="e">
        <x:f>HYPERLINK("https://www.lsu.edu/eng/cse/programs/graduate_program/graduate_phd.php","Open source")</x:f>
        <x:v>HYPERLINK is not implemented. linkLocation=https://www.lsu.edu/eng/cse/programs/graduate_program/graduate_phd.php, friendlyName=Open source</x:v>
      </x:c>
    </x:row>
    <x:row r="103" ht="46" customHeight="1">
      <x:c r="A103" s="17" t="str">
        <x:v>do_not_apply</x:v>
      </x:c>
      <x:c r="B103" s="17" t="str"/>
      <x:c r="C103" s="17" t="str">
        <x:v>McMaster University</x:v>
      </x:c>
      <x:c r="D103" s="17" t="str">
        <x:v>Canada</x:v>
      </x:c>
      <x:c r="E103" s="17" t="str">
        <x:v>canada</x:v>
      </x:c>
      <x:c r="F103" s="17" t="str">
        <x:v>Master of Applied Science in Software Engineering</x:v>
      </x:c>
      <x:c r="G103" s="17" t="str">
        <x:v>MASc</x:v>
      </x:c>
      <x:c r="H103" s="17" t="n">
        <x:v>55</x:v>
      </x:c>
      <x:c r="I103" s="17" t="n">
        <x:v>20</x:v>
      </x:c>
      <x:c r="J103" s="17" t="n">
        <x:v>5</x:v>
      </x:c>
      <x:c r="K103" s="17" t="n">
        <x:v>10</x:v>
      </x:c>
      <x:c r="L103" s="17" t="n">
        <x:v>10</x:v>
      </x:c>
      <x:c r="M103" s="17" t="n">
        <x:v>10</x:v>
      </x:c>
      <x:c r="N103" s="17" t="n">
        <x:v>0</x:v>
      </x:c>
      <x:c r="O103" s="17" t="str">
        <x:v>No</x:v>
      </x:c>
      <x:c r="P103" s="17" t="str">
        <x:v>funding</x:v>
      </x:c>
      <x:c r="Q103" s="17" t="n">
        <x:v>1</x:v>
      </x:c>
      <x:c r="R103" s="17" t="str">
        <x:v>The department states that full-time MASc and MSc students receive funding</x:v>
      </x:c>
      <x:c r="S103" s="17" t="n">
        <x:v>150</x:v>
      </x:c>
      <x:c r="T103" s="17" t="str">
        <x:v>CAD</x:v>
      </x:c>
      <x:c r="U103" s="17" t="str">
        <x:v>Plausible</x:v>
      </x:c>
      <x:c r="V103" s="17" t="str">
        <x:v>partial</x:v>
      </x:c>
      <x:c r="W103" s="17" t="str">
        <x:v>low</x:v>
      </x:c>
      <x:c r="X103" s="17" t="str">
        <x:v>What is the guaranteed twenty-month net package after international tuition, mandatory fees, health coverage, and summer registration costs? | Single-professor dependency. | Official funding evidence exists but does not prove a credible program-wide package or full scholarship. | Fee is high or the applicable Fall 2027 amount/waiver remains unverified.</x:v>
      </x:c>
      <x:c r="Y103" s="18" t="e">
        <x:f>HYPERLINK("https://www.eng.mcmaster.ca/cas/degree-options/software-engineering-masc/","Open source")</x:f>
        <x:v>HYPERLINK is not implemented. linkLocation=https://www.eng.mcmaster.ca/cas/degree-options/software-engineering-masc/, friendlyName=Open source</x:v>
      </x:c>
    </x:row>
    <x:row r="104" ht="46" customHeight="1">
      <x:c r="A104" s="17" t="str">
        <x:v>do_not_apply</x:v>
      </x:c>
      <x:c r="B104" s="17" t="str"/>
      <x:c r="C104" s="17" t="str">
        <x:v>Montana State University</x:v>
      </x:c>
      <x:c r="D104" s="17" t="str">
        <x:v>United States</x:v>
      </x:c>
      <x:c r="E104" s="17" t="str">
        <x:v>us</x:v>
      </x:c>
      <x:c r="F104" s="17" t="str">
        <x:v>Computer Science PhD</x:v>
      </x:c>
      <x:c r="G104" s="17" t="str">
        <x:v>PhD</x:v>
      </x:c>
      <x:c r="H104" s="17" t="n">
        <x:v>55</x:v>
      </x:c>
      <x:c r="I104" s="17" t="n">
        <x:v>20</x:v>
      </x:c>
      <x:c r="J104" s="17" t="n">
        <x:v>5</x:v>
      </x:c>
      <x:c r="K104" s="17" t="n">
        <x:v>10</x:v>
      </x:c>
      <x:c r="L104" s="17" t="n">
        <x:v>10</x:v>
      </x:c>
      <x:c r="M104" s="17" t="n">
        <x:v>10</x:v>
      </x:c>
      <x:c r="N104" s="17" t="n">
        <x:v>0</x:v>
      </x:c>
      <x:c r="O104" s="17" t="str">
        <x:v>No</x:v>
      </x:c>
      <x:c r="P104" s="17" t="str">
        <x:v>funding</x:v>
      </x:c>
      <x:c r="Q104" s="17" t="n">
        <x:v>1</x:v>
      </x:c>
      <x:c r="R104" s="17" t="str">
        <x:v>Department materials describe typical PhD support, but the only blanket fully-funded and guaranteed-GTA claim is on a page labeled draft</x:v>
      </x:c>
      <x:c r="S104" s="17" t="str">
        <x:v>Exact current amount not verified</x:v>
      </x:c>
      <x:c r="T104" s="17" t="str">
        <x:v>USD</x:v>
      </x:c>
      <x:c r="U104" s="17" t="str">
        <x:v>Plausible</x:v>
      </x:c>
      <x:c r="V104" s="17" t="str">
        <x:v>partial</x:v>
      </x:c>
      <x:c r="W104" s="17" t="str">
        <x:v>low</x:v>
      </x:c>
      <x:c r="X104" s="17" t="str">
        <x:v>Does the Fall 2027 offer provide guaranteed multi-year funding with tuition, fees, insurance, and summer despite the draft-page caveat? | Single-professor dependency. | Official funding evidence exists but does not prove a credible program-wide package or full scholarship. | Fee is high or the applicable Fall 2027 amount/waiver remains unverified.</x:v>
      </x:c>
      <x:c r="Y104" s="18" t="e">
        <x:f>HYPERLINK("https://www.cs.montana.edu/phd-degree.html","Open source")</x:f>
        <x:v>HYPERLINK is not implemented. linkLocation=https://www.cs.montana.edu/phd-degree.html, friendlyName=Open source</x:v>
      </x:c>
    </x:row>
    <x:row r="105" ht="46" customHeight="1">
      <x:c r="A105" s="17" t="str">
        <x:v>do_not_apply</x:v>
      </x:c>
      <x:c r="B105" s="17" t="str"/>
      <x:c r="C105" s="17" t="str">
        <x:v>Simon Fraser University</x:v>
      </x:c>
      <x:c r="D105" s="17" t="str">
        <x:v>Canada</x:v>
      </x:c>
      <x:c r="E105" s="17" t="str">
        <x:v>canada</x:v>
      </x:c>
      <x:c r="F105" s="17" t="str">
        <x:v>Master of Applied Science in Engineering Science</x:v>
      </x:c>
      <x:c r="G105" s="17" t="str">
        <x:v>Thesis or research master's</x:v>
      </x:c>
      <x:c r="H105" s="17" t="n">
        <x:v>55</x:v>
      </x:c>
      <x:c r="I105" s="17" t="n">
        <x:v>20</x:v>
      </x:c>
      <x:c r="J105" s="17" t="n">
        <x:v>5</x:v>
      </x:c>
      <x:c r="K105" s="17" t="n">
        <x:v>10</x:v>
      </x:c>
      <x:c r="L105" s="17" t="n">
        <x:v>10</x:v>
      </x:c>
      <x:c r="M105" s="17" t="n">
        <x:v>10</x:v>
      </x:c>
      <x:c r="N105" s="17" t="n">
        <x:v>0</x:v>
      </x:c>
      <x:c r="O105" s="17" t="str">
        <x:v>No</x:v>
      </x:c>
      <x:c r="P105" s="17" t="str">
        <x:v>funding</x:v>
      </x:c>
      <x:c r="Q105" s="17" t="n">
        <x:v>1</x:v>
      </x:c>
      <x:c r="R105" s="17" t="str">
        <x:v>School states that it provides support to thesis MASc students and that research funding lasts two years</x:v>
      </x:c>
      <x:c r="S105" s="17" t="str">
        <x:v>Not verified for this route</x:v>
      </x:c>
      <x:c r="T105" s="17" t="str">
        <x:v>CAD</x:v>
      </x:c>
      <x:c r="U105" s="17" t="str">
        <x:v>Plausible</x:v>
      </x:c>
      <x:c r="V105" s="17" t="str">
        <x:v>partial</x:v>
      </x:c>
      <x:c r="W105" s="17" t="str">
        <x:v>low</x:v>
      </x:c>
      <x:c r="X105" s="17" t="str">
        <x:v>What minimum net amount and tuition offset will a willing supervisor commit for the full two-year international MASc? | Single-professor dependency. | Official funding evidence exists but does not prove a credible program-wide package or full scholarship. | Fee is high or the applicable Fall 2027 amount/waiver remains unverified.</x:v>
      </x:c>
      <x:c r="Y105" s="18" t="e">
        <x:f>HYPERLINK("https://www.sfu.ca/fas/study/future-graduates/programs/master-applied-science.html","Open source")</x:f>
        <x:v>HYPERLINK is not implemented. linkLocation=https://www.sfu.ca/fas/study/future-graduates/programs/master-applied-science.html, friendlyName=Open source</x:v>
      </x:c>
    </x:row>
    <x:row r="106" ht="46" customHeight="1">
      <x:c r="A106" s="17" t="str">
        <x:v>do_not_apply</x:v>
      </x:c>
      <x:c r="B106" s="17" t="str"/>
      <x:c r="C106" s="17" t="str">
        <x:v>Simon Fraser University</x:v>
      </x:c>
      <x:c r="D106" s="17" t="str">
        <x:v>Canada</x:v>
      </x:c>
      <x:c r="E106" s="17" t="str">
        <x:v>canada</x:v>
      </x:c>
      <x:c r="F106" s="17" t="str">
        <x:v>Master of Science in Computing Science — Thesis Option</x:v>
      </x:c>
      <x:c r="G106" s="17" t="str">
        <x:v>Thesis or research master's</x:v>
      </x:c>
      <x:c r="H106" s="17" t="n">
        <x:v>55</x:v>
      </x:c>
      <x:c r="I106" s="17" t="n">
        <x:v>20</x:v>
      </x:c>
      <x:c r="J106" s="17" t="n">
        <x:v>5</x:v>
      </x:c>
      <x:c r="K106" s="17" t="n">
        <x:v>20</x:v>
      </x:c>
      <x:c r="L106" s="17" t="n">
        <x:v>5</x:v>
      </x:c>
      <x:c r="M106" s="17" t="n">
        <x:v>5</x:v>
      </x:c>
      <x:c r="N106" s="17" t="n">
        <x:v>0</x:v>
      </x:c>
      <x:c r="O106" s="17" t="str">
        <x:v>No</x:v>
      </x:c>
      <x:c r="P106" s="17" t="str">
        <x:v>eligibility</x:v>
      </x:c>
      <x:c r="Q106" s="17" t="n">
        <x:v>1</x:v>
      </x:c>
      <x:c r="R106" s="17" t="str">
        <x:v>Every thesis master's student is guaranteed minimum funding of 24,000 per year for two years</x:v>
      </x:c>
      <x:c r="S106" s="17" t="n">
        <x:v>160</x:v>
      </x:c>
      <x:c r="T106" s="17" t="str">
        <x:v>CAD</x:v>
      </x:c>
      <x:c r="U106" s="17" t="str">
        <x:v>Eligibility concern</x:v>
      </x:c>
      <x:c r="V106" s="17" t="str">
        <x:v>partial</x:v>
      </x:c>
      <x:c r="W106" s="17" t="str">
        <x:v>low</x:v>
      </x:c>
      <x:c r="X106" s="17" t="str">
        <x:v>Will SFU deem the applicant's 3.35/4.0 GPA equivalent to its 3.00/4.33 threshold, and what is net support after tuition and fees? | Single-professor dependency. | One or more duration, tuition, fee, health, summer, or net-cost terms remain unresolved. | Fee is high or the applicable Fall 2027 amount/waiver remains unverified.</x:v>
      </x:c>
      <x:c r="Y106" s="18" t="e">
        <x:f>HYPERLINK("https://www.sfu.ca/fas/study/future-graduates/programs/master-science-thesis.html","Open source")</x:f>
        <x:v>HYPERLINK is not implemented. linkLocation=https://www.sfu.ca/fas/study/future-graduates/programs/master-science-thesis.html, friendlyName=Open source</x:v>
      </x:c>
    </x:row>
    <x:row r="107" ht="46" customHeight="1">
      <x:c r="A107" s="17" t="str">
        <x:v>do_not_apply</x:v>
      </x:c>
      <x:c r="B107" s="17" t="str"/>
      <x:c r="C107" s="17" t="str">
        <x:v>Temple University</x:v>
      </x:c>
      <x:c r="D107" s="17" t="str">
        <x:v>United States</x:v>
      </x:c>
      <x:c r="E107" s="17" t="str">
        <x:v>us</x:v>
      </x:c>
      <x:c r="F107" s="17" t="str">
        <x:v>Computer and Information Science PhD</x:v>
      </x:c>
      <x:c r="G107" s="17" t="str">
        <x:v>PhD</x:v>
      </x:c>
      <x:c r="H107" s="17" t="n">
        <x:v>55</x:v>
      </x:c>
      <x:c r="I107" s="17" t="n">
        <x:v>20</x:v>
      </x:c>
      <x:c r="J107" s="17" t="n">
        <x:v>5</x:v>
      </x:c>
      <x:c r="K107" s="17" t="n">
        <x:v>10</x:v>
      </x:c>
      <x:c r="L107" s="17" t="n">
        <x:v>10</x:v>
      </x:c>
      <x:c r="M107" s="17" t="n">
        <x:v>10</x:v>
      </x:c>
      <x:c r="N107" s="17" t="n">
        <x:v>0</x:v>
      </x:c>
      <x:c r="O107" s="17" t="str">
        <x:v>No</x:v>
      </x:c>
      <x:c r="P107" s="17" t="str">
        <x:v>funding</x:v>
      </x:c>
      <x:c r="Q107" s="17" t="n">
        <x:v>1</x:v>
      </x:c>
      <x:c r="R107" s="17" t="str">
        <x:v>The department says admitted PhD students are awarded RA or TA support and typically admits only when funding is available</x:v>
      </x:c>
      <x:c r="S107" s="17" t="str">
        <x:v>A nonrefundable graduate application fee applies; exact current amount was not verified on the official pages checked</x:v>
      </x:c>
      <x:c r="T107" s="17" t="str">
        <x:v>USD</x:v>
      </x:c>
      <x:c r="U107" s="17" t="str">
        <x:v>Plausible</x:v>
      </x:c>
      <x:c r="V107" s="17" t="str">
        <x:v>partial</x:v>
      </x:c>
      <x:c r="W107" s="17" t="str">
        <x:v>low</x:v>
      </x:c>
      <x:c r="X107" s="17" t="str">
        <x:v>Which Fall 2027 deadline controls and what written multi-year offer covers fees, insurance, and summers beyond tuition and stipend? | Single-professor dependency. | Official funding evidence exists but does not prove a credible program-wide package or full scholarship. | Fee is high or the applicable Fall 2027 amount/waiver remains unverified.</x:v>
      </x:c>
      <x:c r="Y107" s="18" t="e">
        <x:f>HYPERLINK("https://bulletin.temple.edu/graduate/scd/cst/computer-information-science-phd/","Open source")</x:f>
        <x:v>HYPERLINK is not implemented. linkLocation=https://bulletin.temple.edu/graduate/scd/cst/computer-information-science-phd/, friendlyName=Open source</x:v>
      </x:c>
    </x:row>
    <x:row r="108" ht="46" customHeight="1">
      <x:c r="A108" s="17" t="str">
        <x:v>do_not_apply</x:v>
      </x:c>
      <x:c r="B108" s="17" t="str"/>
      <x:c r="C108" s="17" t="str">
        <x:v>The University of Texas at San Antonio</x:v>
      </x:c>
      <x:c r="D108" s="17" t="str">
        <x:v>United States</x:v>
      </x:c>
      <x:c r="E108" s="17" t="str">
        <x:v>us</x:v>
      </x:c>
      <x:c r="F108" s="17" t="str">
        <x:v>Ph.D. in Computer Science</x:v>
      </x:c>
      <x:c r="G108" s="17" t="str">
        <x:v>PhD</x:v>
      </x:c>
      <x:c r="H108" s="17" t="n">
        <x:v>55</x:v>
      </x:c>
      <x:c r="I108" s="17" t="n">
        <x:v>20</x:v>
      </x:c>
      <x:c r="J108" s="17" t="n">
        <x:v>5</x:v>
      </x:c>
      <x:c r="K108" s="17" t="n">
        <x:v>10</x:v>
      </x:c>
      <x:c r="L108" s="17" t="n">
        <x:v>10</x:v>
      </x:c>
      <x:c r="M108" s="17" t="n">
        <x:v>10</x:v>
      </x:c>
      <x:c r="N108" s="17" t="n">
        <x:v>0</x:v>
      </x:c>
      <x:c r="O108" s="17" t="str">
        <x:v>No</x:v>
      </x:c>
      <x:c r="P108" s="17" t="str">
        <x:v>funding</x:v>
      </x:c>
      <x:c r="Q108" s="17" t="n">
        <x:v>1</x:v>
      </x:c>
      <x:c r="R108" s="17" t="str">
        <x:v>All full-time admitted Computer Science PhD students are welcomed with GTA or GRA support</x:v>
      </x:c>
      <x:c r="S108" s="17" t="str">
        <x:v>Not verified in reviewed official evidence</x:v>
      </x:c>
      <x:c r="T108" s="17" t="str">
        <x:v>USD</x:v>
      </x:c>
      <x:c r="U108" s="17" t="str">
        <x:v>Plausible</x:v>
      </x:c>
      <x:c r="V108" s="17" t="str">
        <x:v>partial</x:v>
      </x:c>
      <x:c r="W108" s="17" t="str">
        <x:v>low</x:v>
      </x:c>
      <x:c r="X108" s="17" t="str">
        <x:v>What renewal duration, summer pay, and residual fee or living-cost terms will the individual offer specify? | Single-professor dependency. | Official funding evidence exists but does not prove a credible program-wide package or full scholarship. | Fee is high or the applicable Fall 2027 amount/waiver remains unverified.</x:v>
      </x:c>
      <x:c r="Y108" s="18" t="e">
        <x:f>HYPERLINK("https://future.utsa.edu/programs/doctoral/computer-science/","Open source")</x:f>
        <x:v>HYPERLINK is not implemented. linkLocation=https://future.utsa.edu/programs/doctoral/computer-science/, friendlyName=Open source</x:v>
      </x:c>
    </x:row>
    <x:row r="109" ht="46" customHeight="1">
      <x:c r="A109" s="17" t="str">
        <x:v>do_not_apply</x:v>
      </x:c>
      <x:c r="B109" s="17" t="str"/>
      <x:c r="C109" s="17" t="str">
        <x:v>University of California-Irvine</x:v>
      </x:c>
      <x:c r="D109" s="17" t="str">
        <x:v>United States</x:v>
      </x:c>
      <x:c r="E109" s="17" t="str">
        <x:v>us</x:v>
      </x:c>
      <x:c r="F109" s="17" t="str">
        <x:v>Software Engineering PhD</x:v>
      </x:c>
      <x:c r="G109" s="17" t="str">
        <x:v>PhD</x:v>
      </x:c>
      <x:c r="H109" s="17" t="n">
        <x:v>55</x:v>
      </x:c>
      <x:c r="I109" s="17" t="n">
        <x:v>20</x:v>
      </x:c>
      <x:c r="J109" s="17" t="n">
        <x:v>5</x:v>
      </x:c>
      <x:c r="K109" s="17" t="n">
        <x:v>10</x:v>
      </x:c>
      <x:c r="L109" s="17" t="n">
        <x:v>10</x:v>
      </x:c>
      <x:c r="M109" s="17" t="n">
        <x:v>10</x:v>
      </x:c>
      <x:c r="N109" s="17" t="n">
        <x:v>0</x:v>
      </x:c>
      <x:c r="O109" s="17" t="str">
        <x:v>No</x:v>
      </x:c>
      <x:c r="P109" s="17" t="str">
        <x:v>funding</x:v>
      </x:c>
      <x:c r="Q109" s="17" t="n">
        <x:v>1</x:v>
      </x:c>
      <x:c r="R109" s="17" t="str">
        <x:v>ICS states it strives to award all admitted PhD students full funding; this is not an unconditional guarantee</x:v>
      </x:c>
      <x:c r="S109" s="17" t="str">
        <x:v>155 international / 135 domestic</x:v>
      </x:c>
      <x:c r="T109" s="17" t="str">
        <x:v>USD</x:v>
      </x:c>
      <x:c r="U109" s="17" t="str">
        <x:v>Insufficient evidence</x:v>
      </x:c>
      <x:c r="V109" s="17" t="str">
        <x:v>partial</x:v>
      </x:c>
      <x:c r="W109" s="17" t="str">
        <x:v>low</x:v>
      </x:c>
      <x:c r="X109" s="17" t="str">
        <x:v>Will the admission offer guarantee multi-year tuition, stipend, health, and summer support? | Single-professor dependency. | Official funding evidence exists but does not prove a credible program-wide package or full scholarship. | Fee is high or the applicable Fall 2027 amount/waiver remains unverified.</x:v>
      </x:c>
      <x:c r="Y109" s="18" t="e">
        <x:f>HYPERLINK("https://informatics.ics.uci.edu/phd-software-engineering/","Open source")</x:f>
        <x:v>HYPERLINK is not implemented. linkLocation=https://informatics.ics.uci.edu/phd-software-engineering/, friendlyName=Open source</x:v>
      </x:c>
    </x:row>
    <x:row r="110" ht="46" customHeight="1">
      <x:c r="A110" s="17" t="str">
        <x:v>do_not_apply</x:v>
      </x:c>
      <x:c r="B110" s="17" t="str"/>
      <x:c r="C110" s="17" t="str">
        <x:v>University of California-Riverside</x:v>
      </x:c>
      <x:c r="D110" s="17" t="str">
        <x:v>United States</x:v>
      </x:c>
      <x:c r="E110" s="17" t="str">
        <x:v>us</x:v>
      </x:c>
      <x:c r="F110" s="17" t="str">
        <x:v>Ph.D. in Computer Science</x:v>
      </x:c>
      <x:c r="G110" s="17" t="str">
        <x:v>PhD</x:v>
      </x:c>
      <x:c r="H110" s="17" t="n">
        <x:v>55</x:v>
      </x:c>
      <x:c r="I110" s="17" t="n">
        <x:v>20</x:v>
      </x:c>
      <x:c r="J110" s="17" t="n">
        <x:v>5</x:v>
      </x:c>
      <x:c r="K110" s="17" t="n">
        <x:v>10</x:v>
      </x:c>
      <x:c r="L110" s="17" t="n">
        <x:v>10</x:v>
      </x:c>
      <x:c r="M110" s="17" t="n">
        <x:v>10</x:v>
      </x:c>
      <x:c r="N110" s="17" t="n">
        <x:v>0</x:v>
      </x:c>
      <x:c r="O110" s="17" t="str">
        <x:v>No</x:v>
      </x:c>
      <x:c r="P110" s="17" t="str">
        <x:v>funding</x:v>
      </x:c>
      <x:c r="Q110" s="17" t="n">
        <x:v>1</x:v>
      </x:c>
      <x:c r="R110" s="17" t="str">
        <x:v>Packages of one to five years may be offered, but the department states that not all PhD students are funded</x:v>
      </x:c>
      <x:c r="S110" s="17" t="n">
        <x:v>155</x:v>
      </x:c>
      <x:c r="T110" s="17" t="str">
        <x:v>USD</x:v>
      </x:c>
      <x:c r="U110" s="17" t="str">
        <x:v>Plausible</x:v>
      </x:c>
      <x:c r="V110" s="17" t="str">
        <x:v>partial</x:v>
      </x:c>
      <x:c r="W110" s="17" t="str">
        <x:v>low</x:v>
      </x:c>
      <x:c r="X110" s="17" t="str">
        <x:v>Will the Fall 2027 offer fund the full expected duration and cover tuition, fees, insurance, and summers? | Single-professor dependency. | Official funding evidence exists but does not prove a credible program-wide package or full scholarship. | Fee is high or the applicable Fall 2027 amount/waiver remains unverified.</x:v>
      </x:c>
      <x:c r="Y110" s="18" t="e">
        <x:f>HYPERLINK("https://www1.cs.ucr.edu/graduate/programs/computer-science-phd","Open source")</x:f>
        <x:v>HYPERLINK is not implemented. linkLocation=https://www1.cs.ucr.edu/graduate/programs/computer-science-phd, friendlyName=Open source</x:v>
      </x:c>
    </x:row>
    <x:row r="111" ht="46" customHeight="1">
      <x:c r="A111" s="17" t="str">
        <x:v>do_not_apply</x:v>
      </x:c>
      <x:c r="B111" s="17" t="str"/>
      <x:c r="C111" s="17" t="str">
        <x:v>University of California-San Diego</x:v>
      </x:c>
      <x:c r="D111" s="17" t="str">
        <x:v>United States</x:v>
      </x:c>
      <x:c r="E111" s="17" t="str">
        <x:v>us</x:v>
      </x:c>
      <x:c r="F111" s="17" t="str">
        <x:v>Computer Science and Engineering PhD</x:v>
      </x:c>
      <x:c r="G111" s="17" t="str">
        <x:v>PhD</x:v>
      </x:c>
      <x:c r="H111" s="17" t="n">
        <x:v>55</x:v>
      </x:c>
      <x:c r="I111" s="17" t="n">
        <x:v>20</x:v>
      </x:c>
      <x:c r="J111" s="17" t="n">
        <x:v>5</x:v>
      </x:c>
      <x:c r="K111" s="17" t="n">
        <x:v>10</x:v>
      </x:c>
      <x:c r="L111" s="17" t="n">
        <x:v>10</x:v>
      </x:c>
      <x:c r="M111" s="17" t="n">
        <x:v>10</x:v>
      </x:c>
      <x:c r="N111" s="17" t="n">
        <x:v>0</x:v>
      </x:c>
      <x:c r="O111" s="17" t="str">
        <x:v>No</x:v>
      </x:c>
      <x:c r="P111" s="17" t="str">
        <x:v>funding</x:v>
      </x:c>
      <x:c r="Q111" s="17" t="n">
        <x:v>1</x:v>
      </x:c>
      <x:c r="R111" s="17" t="str">
        <x:v>All incoming PhD students receive first-year stipend plus full fees and nonresident tuition; later years are usually advisor GSR or fellowship funded</x:v>
      </x:c>
      <x:c r="S111" s="17" t="n">
        <x:v>155</x:v>
      </x:c>
      <x:c r="T111" s="17" t="str">
        <x:v>USD</x:v>
      </x:c>
      <x:c r="U111" s="17" t="str">
        <x:v>Plausible</x:v>
      </x:c>
      <x:c r="V111" s="17" t="str">
        <x:v>partial</x:v>
      </x:c>
      <x:c r="W111" s="17" t="str">
        <x:v>low</x:v>
      </x:c>
      <x:c r="X111" s="17" t="str">
        <x:v>What multi-year and summer support will the offer and prospective advisor commit beyond year one? | Single-professor dependency. | Official funding evidence exists but does not prove a credible program-wide package or full scholarship. | Fee is high or the applicable Fall 2027 amount/waiver remains unverified.</x:v>
      </x:c>
      <x:c r="Y111" s="18" t="e">
        <x:f>HYPERLINK("https://cse.ucsd.edu/graduate/doctoral-programs-computer-science-and-engineering","Open source")</x:f>
        <x:v>HYPERLINK is not implemented. linkLocation=https://cse.ucsd.edu/graduate/doctoral-programs-computer-science-and-engineering, friendlyName=Open source</x:v>
      </x:c>
    </x:row>
    <x:row r="112" ht="46" customHeight="1">
      <x:c r="A112" s="17" t="str">
        <x:v>do_not_apply</x:v>
      </x:c>
      <x:c r="B112" s="17" t="str"/>
      <x:c r="C112" s="17" t="str">
        <x:v>University of California-Santa Barbara</x:v>
      </x:c>
      <x:c r="D112" s="17" t="str">
        <x:v>United States</x:v>
      </x:c>
      <x:c r="E112" s="17" t="str">
        <x:v>us</x:v>
      </x:c>
      <x:c r="F112" s="17" t="str">
        <x:v>Doctor of Philosophy in Computer Science</x:v>
      </x:c>
      <x:c r="G112" s="17" t="str">
        <x:v>PhD</x:v>
      </x:c>
      <x:c r="H112" s="17" t="n">
        <x:v>55</x:v>
      </x:c>
      <x:c r="I112" s="17" t="n">
        <x:v>20</x:v>
      </x:c>
      <x:c r="J112" s="17" t="n">
        <x:v>5</x:v>
      </x:c>
      <x:c r="K112" s="17" t="n">
        <x:v>10</x:v>
      </x:c>
      <x:c r="L112" s="17" t="n">
        <x:v>10</x:v>
      </x:c>
      <x:c r="M112" s="17" t="n">
        <x:v>10</x:v>
      </x:c>
      <x:c r="N112" s="17" t="n">
        <x:v>0</x:v>
      </x:c>
      <x:c r="O112" s="17" t="str">
        <x:v>No</x:v>
      </x:c>
      <x:c r="P112" s="17" t="str">
        <x:v>funding</x:v>
      </x:c>
      <x:c r="Q112" s="17" t="n">
        <x:v>1</x:v>
      </x:c>
      <x:c r="R112" s="17" t="str">
        <x:v>Admitted PhD students are typically offered support subject to eligibility; not an unconditional promise to every admit</x:v>
      </x:c>
      <x:c r="S112" s="17" t="n">
        <x:v>155</x:v>
      </x:c>
      <x:c r="T112" s="17" t="str">
        <x:v>USD</x:v>
      </x:c>
      <x:c r="U112" s="17" t="str">
        <x:v>Insufficient evidence</x:v>
      </x:c>
      <x:c r="V112" s="17" t="str">
        <x:v>partial</x:v>
      </x:c>
      <x:c r="W112" s="17" t="str">
        <x:v>low</x:v>
      </x:c>
      <x:c r="X112" s="17" t="str">
        <x:v>Will the offer guarantee year-round stipend, full tuition/NRST, mandatory fees, and health insurance for the expected duration? | Single-professor dependency. | Official funding evidence exists but does not prove a credible program-wide package or full scholarship. | Fee is high or the applicable Fall 2027 amount/waiver remains unverified.</x:v>
      </x:c>
      <x:c r="Y112" s="18" t="e">
        <x:f>HYPERLINK("https://cs.ucsb.edu/index.php/education/graduate/phd-degree","Open source")</x:f>
        <x:v>HYPERLINK is not implemented. linkLocation=https://cs.ucsb.edu/index.php/education/graduate/phd-degree, friendlyName=Open source</x:v>
      </x:c>
    </x:row>
    <x:row r="113" ht="46" customHeight="1">
      <x:c r="A113" s="17" t="str">
        <x:v>do_not_apply</x:v>
      </x:c>
      <x:c r="B113" s="17" t="str"/>
      <x:c r="C113" s="17" t="str">
        <x:v>University of Connecticut</x:v>
      </x:c>
      <x:c r="D113" s="17" t="str">
        <x:v>United States</x:v>
      </x:c>
      <x:c r="E113" s="17" t="str">
        <x:v>us</x:v>
      </x:c>
      <x:c r="F113" s="17" t="str">
        <x:v>Computer Science and Engineering (PhD)</x:v>
      </x:c>
      <x:c r="G113" s="17" t="str">
        <x:v>PhD</x:v>
      </x:c>
      <x:c r="H113" s="17" t="n">
        <x:v>55</x:v>
      </x:c>
      <x:c r="I113" s="17" t="n">
        <x:v>20</x:v>
      </x:c>
      <x:c r="J113" s="17" t="n">
        <x:v>5</x:v>
      </x:c>
      <x:c r="K113" s="17" t="n">
        <x:v>10</x:v>
      </x:c>
      <x:c r="L113" s="17" t="n">
        <x:v>10</x:v>
      </x:c>
      <x:c r="M113" s="17" t="n">
        <x:v>10</x:v>
      </x:c>
      <x:c r="N113" s="17" t="n">
        <x:v>0</x:v>
      </x:c>
      <x:c r="O113" s="17" t="str">
        <x:v>No</x:v>
      </x:c>
      <x:c r="P113" s="17" t="str">
        <x:v>funding</x:v>
      </x:c>
      <x:c r="Q113" s="17" t="n">
        <x:v>1</x:v>
      </x:c>
      <x:c r="R113" s="17" t="str">
        <x:v>RAs are described as the most common support, but availability and an individual package are not guaranteed</x:v>
      </x:c>
      <x:c r="S113" s="17" t="str">
        <x:v>Not verified on the official school pages checked</x:v>
      </x:c>
      <x:c r="T113" s="17" t="str">
        <x:v>USD</x:v>
      </x:c>
      <x:c r="U113" s="17" t="str">
        <x:v>Insufficient evidence</x:v>
      </x:c>
      <x:c r="V113" s="17" t="str">
        <x:v>partial</x:v>
      </x:c>
      <x:c r="W113" s="17" t="str">
        <x:v>low</x:v>
      </x:c>
      <x:c r="X113" s="17" t="str">
        <x:v>Can a verified-fit UConn advisor or the School confirm a renewable international package covering tuition, fees, insurance, stipend, and summer? | Single-professor dependency. | Official funding evidence exists but does not prove a credible program-wide package or full scholarship. | Fee is high or the applicable Fall 2027 amount/waiver remains unverified.</x:v>
      </x:c>
      <x:c r="Y113" s="18" t="e">
        <x:f>HYPERLINK("https://catalog.uconn.edu/graduate/degree-programs/computer-science-engineering-phd/","Open source")</x:f>
        <x:v>HYPERLINK is not implemented. linkLocation=https://catalog.uconn.edu/graduate/degree-programs/computer-science-engineering-phd/, friendlyName=Open source</x:v>
      </x:c>
    </x:row>
    <x:row r="114" ht="46" customHeight="1">
      <x:c r="A114" s="17" t="str">
        <x:v>do_not_apply</x:v>
      </x:c>
      <x:c r="B114" s="17" t="str"/>
      <x:c r="C114" s="17" t="str">
        <x:v>University of Gothenburg</x:v>
      </x:c>
      <x:c r="D114" s="17" t="str">
        <x:v>Sweden</x:v>
      </x:c>
      <x:c r="E114" s="17" t="str">
        <x:v>europe</x:v>
      </x:c>
      <x:c r="F114" s="17" t="str">
        <x:v>Software Engineering and Management Master's Programme</x:v>
      </x:c>
      <x:c r="G114" s="17" t="str">
        <x:v>Thesis or research master's</x:v>
      </x:c>
      <x:c r="H114" s="17" t="n">
        <x:v>55</x:v>
      </x:c>
      <x:c r="I114" s="17" t="n">
        <x:v>20</x:v>
      </x:c>
      <x:c r="J114" s="17" t="n">
        <x:v>5</x:v>
      </x:c>
      <x:c r="K114" s="17" t="n">
        <x:v>10</x:v>
      </x:c>
      <x:c r="L114" s="17" t="n">
        <x:v>10</x:v>
      </x:c>
      <x:c r="M114" s="17" t="n">
        <x:v>10</x:v>
      </x:c>
      <x:c r="N114" s="17" t="n">
        <x:v>0</x:v>
      </x:c>
      <x:c r="O114" s="17" t="str">
        <x:v>No</x:v>
      </x:c>
      <x:c r="P114" s="17" t="str">
        <x:v>funding</x:v>
      </x:c>
      <x:c r="Q114" s="17" t="n">
        <x:v>1</x:v>
      </x:c>
      <x:c r="R114" s="17" t="str">
        <x:v>Resolvable only through a competitive scholarship award; no program guarantee</x:v>
      </x:c>
      <x:c r="S114" s="17" t="str">
        <x:v>Not verified on the University of Gothenburg program page</x:v>
      </x:c>
      <x:c r="T114" s="17" t="str">
        <x:v>SEK</x:v>
      </x:c>
      <x:c r="U114" s="17" t="str">
        <x:v>Plausible</x:v>
      </x:c>
      <x:c r="V114" s="17" t="str">
        <x:v>partial</x:v>
      </x:c>
      <x:c r="W114" s="17" t="str">
        <x:v>low</x:v>
      </x:c>
      <x:c r="X114" s="17" t="str">
        <x:v>Can the applicant secure a scholarship that covers both the SEK 294,000 tuition and living costs, rather than only a tuition waiver? | Single-professor dependency. | Official funding evidence exists but does not prove a credible program-wide package or full scholarship. | Fee is high or the applicable Fall 2027 amount/waiver remains unverified.</x:v>
      </x:c>
      <x:c r="Y114" s="18" t="e">
        <x:f>HYPERLINK("https://www.gu.se/en/study-gothenburg/software-engineering-and-management-masters-programme-n2sof","Open source")</x:f>
        <x:v>HYPERLINK is not implemented. linkLocation=https://www.gu.se/en/study-gothenburg/software-engineering-and-management-masters-programme-n2sof, friendlyName=Open source</x:v>
      </x:c>
    </x:row>
    <x:row r="115" ht="46" customHeight="1">
      <x:c r="A115" s="17" t="str">
        <x:v>do_not_apply</x:v>
      </x:c>
      <x:c r="B115" s="17" t="str"/>
      <x:c r="C115" s="17" t="str">
        <x:v>University of Guelph</x:v>
      </x:c>
      <x:c r="D115" s="17" t="str">
        <x:v>Canada</x:v>
      </x:c>
      <x:c r="E115" s="17" t="str">
        <x:v>canada</x:v>
      </x:c>
      <x:c r="F115" s="17" t="str">
        <x:v>Doctor of Philosophy in Computer Science</x:v>
      </x:c>
      <x:c r="G115" s="17" t="str">
        <x:v>PhD</x:v>
      </x:c>
      <x:c r="H115" s="17" t="n">
        <x:v>55</x:v>
      </x:c>
      <x:c r="I115" s="17" t="n">
        <x:v>20</x:v>
      </x:c>
      <x:c r="J115" s="17" t="n">
        <x:v>5</x:v>
      </x:c>
      <x:c r="K115" s="17" t="n">
        <x:v>20</x:v>
      </x:c>
      <x:c r="L115" s="17" t="n">
        <x:v>5</x:v>
      </x:c>
      <x:c r="M115" s="17" t="n">
        <x:v>5</x:v>
      </x:c>
      <x:c r="N115" s="17" t="n">
        <x:v>0</x:v>
      </x:c>
      <x:c r="O115" s="17" t="str">
        <x:v>No</x:v>
      </x:c>
      <x:c r="P115" s="17" t="str">
        <x:v>eligibility</x:v>
      </x:c>
      <x:c r="Q115" s="17" t="n">
        <x:v>1</x:v>
      </x:c>
      <x:c r="R115" s="17" t="str">
        <x:v>Minimum CAD 25,000 annual stipend guaranteed to admitted domestic and international PhD students who secure an advisor</x:v>
      </x:c>
      <x:c r="S115" s="17" t="str">
        <x:v>Current OUAC graduate fee not verified on the Computer Science program page</x:v>
      </x:c>
      <x:c r="T115" s="17" t="str">
        <x:v>CAD</x:v>
      </x:c>
      <x:c r="U115" s="17" t="str">
        <x:v>Eligibility concern</x:v>
      </x:c>
      <x:c r="V115" s="17" t="str">
        <x:v>partial</x:v>
      </x:c>
      <x:c r="W115" s="17" t="str">
        <x:v>low</x:v>
      </x:c>
      <x:c r="X115" s="17" t="str">
        <x:v>Will Guelph formally accept this bachelor's-only record into the renamed PhD route and confirm whether one or two advisors are required under the current calendar? | Single-professor dependency. | One or more duration, tuition, fee, health, summer, or net-cost terms remain unresolved. | Fee is high or the applicable Fall 2027 amount/waiver remains unverified.</x:v>
      </x:c>
      <x:c r="Y115" s="18" t="e">
        <x:f>HYPERLINK("https://www.uoguelph.ca/programs/phd-computer-science","Open source")</x:f>
        <x:v>HYPERLINK is not implemented. linkLocation=https://www.uoguelph.ca/programs/phd-computer-science, friendlyName=Open source</x:v>
      </x:c>
    </x:row>
    <x:row r="116" ht="46" customHeight="1">
      <x:c r="A116" s="17" t="str">
        <x:v>do_not_apply</x:v>
      </x:c>
      <x:c r="B116" s="17" t="str"/>
      <x:c r="C116" s="17" t="str">
        <x:v>University of Iowa</x:v>
      </x:c>
      <x:c r="D116" s="17" t="str">
        <x:v>United States</x:v>
      </x:c>
      <x:c r="E116" s="17" t="str">
        <x:v>us</x:v>
      </x:c>
      <x:c r="F116" s="17" t="str">
        <x:v>Ph.D. in Computer Science</x:v>
      </x:c>
      <x:c r="G116" s="17" t="str">
        <x:v>PhD</x:v>
      </x:c>
      <x:c r="H116" s="17" t="n">
        <x:v>55</x:v>
      </x:c>
      <x:c r="I116" s="17" t="n">
        <x:v>20</x:v>
      </x:c>
      <x:c r="J116" s="17" t="n">
        <x:v>5</x:v>
      </x:c>
      <x:c r="K116" s="17" t="n">
        <x:v>10</x:v>
      </x:c>
      <x:c r="L116" s="17" t="n">
        <x:v>10</x:v>
      </x:c>
      <x:c r="M116" s="17" t="n">
        <x:v>10</x:v>
      </x:c>
      <x:c r="N116" s="17" t="n">
        <x:v>0</x:v>
      </x:c>
      <x:c r="O116" s="17" t="str">
        <x:v>No</x:v>
      </x:c>
      <x:c r="P116" s="17" t="str">
        <x:v>funding</x:v>
      </x:c>
      <x:c r="Q116" s="17" t="n">
        <x:v>1</x:v>
      </x:c>
      <x:c r="R116" s="17" t="str">
        <x:v>Most graduate students receive support, but a universal program-wide guarantee is not published</x:v>
      </x:c>
      <x:c r="S116" s="17" t="str">
        <x:v>Not verified in reviewed official evidence</x:v>
      </x:c>
      <x:c r="T116" s="17" t="str">
        <x:v>USD</x:v>
      </x:c>
      <x:c r="U116" s="17" t="str">
        <x:v>Plausible</x:v>
      </x:c>
      <x:c r="V116" s="17" t="str">
        <x:v>partial</x:v>
      </x:c>
      <x:c r="W116" s="17" t="str">
        <x:v>low</x:v>
      </x:c>
      <x:c r="X116" s="17" t="str">
        <x:v>Will a Fall 2027 offer guarantee first-year and renewable stipend, tuition, fees, insurance, and summer support? | Single-professor dependency. | Official funding evidence exists but does not prove a credible program-wide package or full scholarship. | Fee is high or the applicable Fall 2027 amount/waiver remains unverified.</x:v>
      </x:c>
      <x:c r="Y116" s="18" t="e">
        <x:f>HYPERLINK("https://cs.uiowa.edu/graduate/phd-computer-science","Open source")</x:f>
        <x:v>HYPERLINK is not implemented. linkLocation=https://cs.uiowa.edu/graduate/phd-computer-science, friendlyName=Open source</x:v>
      </x:c>
    </x:row>
    <x:row r="117" ht="46" customHeight="1">
      <x:c r="A117" s="17" t="str">
        <x:v>do_not_apply</x:v>
      </x:c>
      <x:c r="B117" s="17" t="str"/>
      <x:c r="C117" s="17" t="str">
        <x:v>University of Louisiana at Lafayette</x:v>
      </x:c>
      <x:c r="D117" s="17" t="str">
        <x:v>United States</x:v>
      </x:c>
      <x:c r="E117" s="17" t="str">
        <x:v>us</x:v>
      </x:c>
      <x:c r="F117" s="17" t="str">
        <x:v>PhD in Applied Computing and Information Sciences</x:v>
      </x:c>
      <x:c r="G117" s="17" t="str">
        <x:v>PhD</x:v>
      </x:c>
      <x:c r="H117" s="17" t="n">
        <x:v>55</x:v>
      </x:c>
      <x:c r="I117" s="17" t="n">
        <x:v>20</x:v>
      </x:c>
      <x:c r="J117" s="17" t="n">
        <x:v>5</x:v>
      </x:c>
      <x:c r="K117" s="17" t="n">
        <x:v>10</x:v>
      </x:c>
      <x:c r="L117" s="17" t="n">
        <x:v>10</x:v>
      </x:c>
      <x:c r="M117" s="17" t="n">
        <x:v>10</x:v>
      </x:c>
      <x:c r="N117" s="17" t="n">
        <x:v>0</x:v>
      </x:c>
      <x:c r="O117" s="17" t="str">
        <x:v>No</x:v>
      </x:c>
      <x:c r="P117" s="17" t="str">
        <x:v>funding</x:v>
      </x:c>
      <x:c r="Q117" s="17" t="n">
        <x:v>1</x:v>
      </x:c>
      <x:c r="R117" s="17" t="str">
        <x:v>The 2026–27 doctoral fellowship is competitive, not automatic</x:v>
      </x:c>
      <x:c r="S117" s="17" t="str">
        <x:v>Exact current amount not verified on the official pages checked</x:v>
      </x:c>
      <x:c r="T117" s="17" t="str">
        <x:v>USD</x:v>
      </x:c>
      <x:c r="U117" s="17" t="str">
        <x:v>Plausible</x:v>
      </x:c>
      <x:c r="V117" s="17" t="str">
        <x:v>partial</x:v>
      </x:c>
      <x:c r="W117" s="17" t="str">
        <x:v>low</x:v>
      </x:c>
      <x:c r="X117" s="17" t="str">
        <x:v>Will an actual Fall 2027 offer include the fellowship or an equivalent four-year package, and what insurance or other charges remain? | Single-professor dependency. | Official funding evidence exists but does not prove a credible program-wide package or full scholarship. | Fee is high or the applicable Fall 2027 amount/waiver remains unverified.</x:v>
      </x:c>
      <x:c r="Y117" s="18" t="e">
        <x:f>HYPERLINK("https://louisiana.edu/graduateschool/majors-minors/applied-computing-and-information-sciences-phd","Open source")</x:f>
        <x:v>HYPERLINK is not implemented. linkLocation=https://louisiana.edu/graduateschool/majors-minors/applied-computing-and-information-sciences-phd, friendlyName=Open source</x:v>
      </x:c>
    </x:row>
    <x:row r="118" ht="46" customHeight="1">
      <x:c r="A118" s="17" t="str">
        <x:v>do_not_apply</x:v>
      </x:c>
      <x:c r="B118" s="17" t="str"/>
      <x:c r="C118" s="17" t="str">
        <x:v>University of Louisville</x:v>
      </x:c>
      <x:c r="D118" s="17" t="str">
        <x:v>United States</x:v>
      </x:c>
      <x:c r="E118" s="17" t="str">
        <x:v>us</x:v>
      </x:c>
      <x:c r="F118" s="17" t="str">
        <x:v>Doctor of Philosophy in Computer Science and Engineering</x:v>
      </x:c>
      <x:c r="G118" s="17" t="str">
        <x:v>PhD</x:v>
      </x:c>
      <x:c r="H118" s="17" t="n">
        <x:v>55</x:v>
      </x:c>
      <x:c r="I118" s="17" t="n">
        <x:v>20</x:v>
      </x:c>
      <x:c r="J118" s="17" t="n">
        <x:v>5</x:v>
      </x:c>
      <x:c r="K118" s="17" t="n">
        <x:v>10</x:v>
      </x:c>
      <x:c r="L118" s="17" t="n">
        <x:v>10</x:v>
      </x:c>
      <x:c r="M118" s="17" t="n">
        <x:v>10</x:v>
      </x:c>
      <x:c r="N118" s="17" t="n">
        <x:v>0</x:v>
      </x:c>
      <x:c r="O118" s="17" t="str">
        <x:v>No</x:v>
      </x:c>
      <x:c r="P118" s="17" t="str">
        <x:v>funding</x:v>
      </x:c>
      <x:c r="Q118" s="17" t="n">
        <x:v>1</x:v>
      </x:c>
      <x:c r="R118" s="17" t="str">
        <x:v>Qualified doctoral applicants may receive the fellowship and are automatically considered; the route is credible but no individual award is guaranteed</x:v>
      </x:c>
      <x:c r="S118" s="17" t="str">
        <x:v>Amount not verified on the program-specific official pages checked</x:v>
      </x:c>
      <x:c r="T118" s="17" t="str">
        <x:v>USD</x:v>
      </x:c>
      <x:c r="U118" s="17" t="str">
        <x:v>Plausible</x:v>
      </x:c>
      <x:c r="V118" s="17" t="str">
        <x:v>partial</x:v>
      </x:c>
      <x:c r="W118" s="17" t="str">
        <x:v>low</x:v>
      </x:c>
      <x:c r="X118" s="17" t="str">
        <x:v>Will the eventual written offer include this fellowship and clarify mandatory fees, summer timing, and renewal through completion? | Single-professor dependency. | Official funding evidence exists but does not prove a credible program-wide package or full scholarship. | Fee is high or the applicable Fall 2027 amount/waiver remains unverified.</x:v>
      </x:c>
      <x:c r="Y118" s="18" t="e">
        <x:f>HYPERLINK("https://catalog.louisville.edu/graduate/programs-study/doctor-philosophy-computer-science-engineering/","Open source")</x:f>
        <x:v>HYPERLINK is not implemented. linkLocation=https://catalog.louisville.edu/graduate/programs-study/doctor-philosophy-computer-science-engineering/, friendlyName=Open source</x:v>
      </x:c>
    </x:row>
    <x:row r="119" ht="46" customHeight="1">
      <x:c r="A119" s="17" t="str">
        <x:v>do_not_apply</x:v>
      </x:c>
      <x:c r="B119" s="17" t="str"/>
      <x:c r="C119" s="17" t="str">
        <x:v>University of Missouri-Columbia</x:v>
      </x:c>
      <x:c r="D119" s="17" t="str">
        <x:v>United States</x:v>
      </x:c>
      <x:c r="E119" s="17" t="str">
        <x:v>us</x:v>
      </x:c>
      <x:c r="F119" s="17" t="str">
        <x:v>PhD in Computer Science</x:v>
      </x:c>
      <x:c r="G119" s="17" t="str">
        <x:v>PhD</x:v>
      </x:c>
      <x:c r="H119" s="17" t="n">
        <x:v>55</x:v>
      </x:c>
      <x:c r="I119" s="17" t="n">
        <x:v>20</x:v>
      </x:c>
      <x:c r="J119" s="17" t="n">
        <x:v>5</x:v>
      </x:c>
      <x:c r="K119" s="17" t="n">
        <x:v>10</x:v>
      </x:c>
      <x:c r="L119" s="17" t="n">
        <x:v>10</x:v>
      </x:c>
      <x:c r="M119" s="17" t="n">
        <x:v>10</x:v>
      </x:c>
      <x:c r="N119" s="17" t="n">
        <x:v>0</x:v>
      </x:c>
      <x:c r="O119" s="17" t="str">
        <x:v>No</x:v>
      </x:c>
      <x:c r="P119" s="17" t="str">
        <x:v>funding</x:v>
      </x:c>
      <x:c r="Q119" s="17" t="n">
        <x:v>1</x:v>
      </x:c>
      <x:c r="R119" s="17" t="str">
        <x:v>Official assistantship routes exist, but selection and coverage are not guaranteed</x:v>
      </x:c>
      <x:c r="S119" s="17" t="str">
        <x:v>Not verified on the official department pages checked</x:v>
      </x:c>
      <x:c r="T119" s="17" t="str">
        <x:v>USD</x:v>
      </x:c>
      <x:c r="U119" s="17" t="str">
        <x:v>Insufficient evidence</x:v>
      </x:c>
      <x:c r="V119" s="17" t="str">
        <x:v>partial</x:v>
      </x:c>
      <x:c r="W119" s="17" t="str">
        <x:v>low</x:v>
      </x:c>
      <x:c r="X119" s="17" t="str">
        <x:v>Will Mizzou issue an international-eligible assistantship with renewable tuition, fee, insurance, stipend, and summer coverage? | Single-professor dependency. | Official funding evidence exists but does not prove a credible program-wide package or full scholarship. | Fee is high or the applicable Fall 2027 amount/waiver remains unverified.</x:v>
      </x:c>
      <x:c r="Y119" s="18" t="e">
        <x:f>HYPERLINK("https://catalog.missouri.edu/collegeofengineering/computerscience/","Open source")</x:f>
        <x:v>HYPERLINK is not implemented. linkLocation=https://catalog.missouri.edu/collegeofengineering/computerscience/, friendlyName=Open source</x:v>
      </x:c>
    </x:row>
    <x:row r="120" ht="46" customHeight="1">
      <x:c r="A120" s="17" t="str">
        <x:v>do_not_apply</x:v>
      </x:c>
      <x:c r="B120" s="17" t="str"/>
      <x:c r="C120" s="17" t="str">
        <x:v>University of Nebraska at Omaha</x:v>
      </x:c>
      <x:c r="D120" s="17" t="str">
        <x:v>United States</x:v>
      </x:c>
      <x:c r="E120" s="17" t="str">
        <x:v>us</x:v>
      </x:c>
      <x:c r="F120" s="17" t="str">
        <x:v>Computing &amp; Information Science, Ph.D.</x:v>
      </x:c>
      <x:c r="G120" s="17" t="str">
        <x:v>PhD</x:v>
      </x:c>
      <x:c r="H120" s="17" t="n">
        <x:v>55</x:v>
      </x:c>
      <x:c r="I120" s="17" t="n">
        <x:v>20</x:v>
      </x:c>
      <x:c r="J120" s="17" t="n">
        <x:v>5</x:v>
      </x:c>
      <x:c r="K120" s="17" t="n">
        <x:v>10</x:v>
      </x:c>
      <x:c r="L120" s="17" t="n">
        <x:v>10</x:v>
      </x:c>
      <x:c r="M120" s="17" t="n">
        <x:v>10</x:v>
      </x:c>
      <x:c r="N120" s="17" t="n">
        <x:v>0</x:v>
      </x:c>
      <x:c r="O120" s="17" t="str">
        <x:v>No</x:v>
      </x:c>
      <x:c r="P120" s="17" t="str">
        <x:v>funding</x:v>
      </x:c>
      <x:c r="Q120" s="17" t="n">
        <x:v>1</x:v>
      </x:c>
      <x:c r="R120" s="17" t="str">
        <x:v>Automatic consideration is published, but awards are competitive and not universal</x:v>
      </x:c>
      <x:c r="S120" s="17" t="str">
        <x:v>Not verified on the official program pages checked</x:v>
      </x:c>
      <x:c r="T120" s="17" t="str">
        <x:v>USD</x:v>
      </x:c>
      <x:c r="U120" s="17" t="str">
        <x:v>Insufficient evidence</x:v>
      </x:c>
      <x:c r="V120" s="17" t="str">
        <x:v>partial</x:v>
      </x:c>
      <x:c r="W120" s="17" t="str">
        <x:v>low</x:v>
      </x:c>
      <x:c r="X120" s="17" t="str">
        <x:v>Will UNO issue a renewable assistantship whose stipend plus tuition, fees, insurance, and summer terms produce adequate net funding? | Single-professor dependency. | Official funding evidence exists but does not prove a credible program-wide package or full scholarship. | Fee is high or the applicable Fall 2027 amount/waiver remains unverified.</x:v>
      </x:c>
      <x:c r="Y120" s="18" t="e">
        <x:f>HYPERLINK("https://www.unomaha.edu/college-of-information-science-and-technology/academics/computing_and_information_science_phd.php","Open source")</x:f>
        <x:v>HYPERLINK is not implemented. linkLocation=https://www.unomaha.edu/college-of-information-science-and-technology/academics/computing_and_information_science_phd.php, friendlyName=Open source</x:v>
      </x:c>
    </x:row>
    <x:row r="121" ht="46" customHeight="1">
      <x:c r="A121" s="17" t="str">
        <x:v>do_not_apply</x:v>
      </x:c>
      <x:c r="B121" s="17" t="str"/>
      <x:c r="C121" s="17" t="str">
        <x:v>University of New Hampshire-Main Campus</x:v>
      </x:c>
      <x:c r="D121" s="17" t="str">
        <x:v>United States</x:v>
      </x:c>
      <x:c r="E121" s="17" t="str">
        <x:v>us</x:v>
      </x:c>
      <x:c r="F121" s="17" t="str">
        <x:v>Computer Science, Ph.D.</x:v>
      </x:c>
      <x:c r="G121" s="17" t="str">
        <x:v>PhD</x:v>
      </x:c>
      <x:c r="H121" s="17" t="n">
        <x:v>55</x:v>
      </x:c>
      <x:c r="I121" s="17" t="n">
        <x:v>20</x:v>
      </x:c>
      <x:c r="J121" s="17" t="n">
        <x:v>5</x:v>
      </x:c>
      <x:c r="K121" s="17" t="n">
        <x:v>10</x:v>
      </x:c>
      <x:c r="L121" s="17" t="n">
        <x:v>10</x:v>
      </x:c>
      <x:c r="M121" s="17" t="n">
        <x:v>10</x:v>
      </x:c>
      <x:c r="N121" s="17" t="n">
        <x:v>0</x:v>
      </x:c>
      <x:c r="O121" s="17" t="str">
        <x:v>No</x:v>
      </x:c>
      <x:c r="P121" s="17" t="str">
        <x:v>funding</x:v>
      </x:c>
      <x:c r="Q121" s="17" t="n">
        <x:v>1</x:v>
      </x:c>
      <x:c r="R121" s="17" t="str">
        <x:v>Full-funding consideration dates are published, but no program-wide award guarantee or package was found</x:v>
      </x:c>
      <x:c r="S121" s="17" t="str">
        <x:v>Not published on the official program pages checked</x:v>
      </x:c>
      <x:c r="T121" s="17" t="str">
        <x:v>USD</x:v>
      </x:c>
      <x:c r="U121" s="17" t="str">
        <x:v>Insufficient evidence</x:v>
      </x:c>
      <x:c r="V121" s="17" t="str">
        <x:v>partial</x:v>
      </x:c>
      <x:c r="W121" s="17" t="str">
        <x:v>low</x:v>
      </x:c>
      <x:c r="X121" s="17" t="str">
        <x:v>Will UNH offer this applicant renewable year-round support covering tuition, mandatory fees, insurance, stipend, and summer? | Single-professor dependency. | Official funding evidence exists but does not prove a credible program-wide package or full scholarship. | Fee is high or the applicable Fall 2027 amount/waiver remains unverified.</x:v>
      </x:c>
      <x:c r="Y121" s="18" t="e">
        <x:f>HYPERLINK("https://www.unh.edu/program/doctor-philosophy/computer-science","Open source")</x:f>
        <x:v>HYPERLINK is not implemented. linkLocation=https://www.unh.edu/program/doctor-philosophy/computer-science, friendlyName=Open source</x:v>
      </x:c>
    </x:row>
    <x:row r="122" ht="46" customHeight="1">
      <x:c r="A122" s="17" t="str">
        <x:v>do_not_apply</x:v>
      </x:c>
      <x:c r="B122" s="17" t="str"/>
      <x:c r="C122" s="17" t="str">
        <x:v>University of Rhode Island</x:v>
      </x:c>
      <x:c r="D122" s="17" t="str">
        <x:v>United States</x:v>
      </x:c>
      <x:c r="E122" s="17" t="str">
        <x:v>us</x:v>
      </x:c>
      <x:c r="F122" s="17" t="str">
        <x:v>Computer Science Ph.D.</x:v>
      </x:c>
      <x:c r="G122" s="17" t="str">
        <x:v>PhD</x:v>
      </x:c>
      <x:c r="H122" s="17" t="n">
        <x:v>55</x:v>
      </x:c>
      <x:c r="I122" s="17" t="n">
        <x:v>20</x:v>
      </x:c>
      <x:c r="J122" s="17" t="n">
        <x:v>5</x:v>
      </x:c>
      <x:c r="K122" s="17" t="n">
        <x:v>10</x:v>
      </x:c>
      <x:c r="L122" s="17" t="n">
        <x:v>10</x:v>
      </x:c>
      <x:c r="M122" s="17" t="n">
        <x:v>10</x:v>
      </x:c>
      <x:c r="N122" s="17" t="n">
        <x:v>0</x:v>
      </x:c>
      <x:c r="O122" s="17" t="str">
        <x:v>No</x:v>
      </x:c>
      <x:c r="P122" s="17" t="str">
        <x:v>funding</x:v>
      </x:c>
      <x:c r="Q122" s="17" t="n">
        <x:v>1</x:v>
      </x:c>
      <x:c r="R122" s="17" t="str">
        <x:v>Selected full-time graduate students may receive assistantships; no universal award is promised</x:v>
      </x:c>
      <x:c r="S122" s="17" t="str">
        <x:v>A graduate application fee is required; exact amount was not verified on the official pages checked</x:v>
      </x:c>
      <x:c r="T122" s="17" t="str">
        <x:v>USD</x:v>
      </x:c>
      <x:c r="U122" s="17" t="str">
        <x:v>Insufficient evidence</x:v>
      </x:c>
      <x:c r="V122" s="17" t="str">
        <x:v>partial</x:v>
      </x:c>
      <x:c r="W122" s="17" t="str">
        <x:v>low</x:v>
      </x:c>
      <x:c r="X122" s="17" t="str">
        <x:v>Will the department issue a renewable full-time assistantship, and what is the net annual cost after uncovered fees, insurance details, and summer living support? | Single-professor dependency. | Official funding evidence exists but does not prove a credible program-wide package or full scholarship. | Fee is high or the applicable Fall 2027 amount/waiver remains unverified.</x:v>
      </x:c>
      <x:c r="Y122" s="18" t="e">
        <x:f>HYPERLINK("https://www.uri.edu/programs/program/computer-science-ph-d/","Open source")</x:f>
        <x:v>HYPERLINK is not implemented. linkLocation=https://www.uri.edu/programs/program/computer-science-ph-d/, friendlyName=Open source</x:v>
      </x:c>
    </x:row>
    <x:row r="123" ht="46" customHeight="1">
      <x:c r="A123" s="17" t="str">
        <x:v>do_not_apply</x:v>
      </x:c>
      <x:c r="B123" s="17" t="str"/>
      <x:c r="C123" s="17" t="str">
        <x:v>University of Wisconsin-Madison</x:v>
      </x:c>
      <x:c r="D123" s="17" t="str">
        <x:v>United States</x:v>
      </x:c>
      <x:c r="E123" s="17" t="str">
        <x:v>us</x:v>
      </x:c>
      <x:c r="F123" s="17" t="str">
        <x:v>Computer Sciences, PhD</x:v>
      </x:c>
      <x:c r="G123" s="17" t="str">
        <x:v>PhD</x:v>
      </x:c>
      <x:c r="H123" s="17" t="n">
        <x:v>55</x:v>
      </x:c>
      <x:c r="I123" s="17" t="n">
        <x:v>20</x:v>
      </x:c>
      <x:c r="J123" s="17" t="n">
        <x:v>5</x:v>
      </x:c>
      <x:c r="K123" s="17" t="n">
        <x:v>10</x:v>
      </x:c>
      <x:c r="L123" s="17" t="n">
        <x:v>10</x:v>
      </x:c>
      <x:c r="M123" s="17" t="n">
        <x:v>10</x:v>
      </x:c>
      <x:c r="N123" s="17" t="n">
        <x:v>0</x:v>
      </x:c>
      <x:c r="O123" s="17" t="str">
        <x:v>No</x:v>
      </x:c>
      <x:c r="P123" s="17" t="str">
        <x:v>funding</x:v>
      </x:c>
      <x:c r="Q123" s="17" t="n">
        <x:v>1</x:v>
      </x:c>
      <x:c r="R123" s="17" t="str">
        <x:v>Many traditional MS/PhD admits are offered a four-year funding guarantee; not all admits are guaranteed support</x:v>
      </x:c>
      <x:c r="S123" s="17" t="str">
        <x:v>Not verified on the department or program page</x:v>
      </x:c>
      <x:c r="T123" s="17" t="str">
        <x:v>USD</x:v>
      </x:c>
      <x:c r="U123" s="17" t="str">
        <x:v>Plausible</x:v>
      </x:c>
      <x:c r="V123" s="17" t="str">
        <x:v>partial</x:v>
      </x:c>
      <x:c r="W123" s="17" t="str">
        <x:v>low</x:v>
      </x:c>
      <x:c r="X123" s="17" t="str">
        <x:v>Will an admission offer include the published four-year funding guarantee for this applicant? | Single-professor dependency. | Official funding evidence exists but does not prove a credible program-wide package or full scholarship. | Fee is high or the applicable Fall 2027 amount/waiver remains unverified.</x:v>
      </x:c>
      <x:c r="Y123" s="18" t="e">
        <x:f>HYPERLINK("https://guide.wisc.edu/graduate/computer-sciences/computer-sciences-phd/","Open source")</x:f>
        <x:v>HYPERLINK is not implemented. linkLocation=https://guide.wisc.edu/graduate/computer-sciences/computer-sciences-phd/, friendlyName=Open source</x:v>
      </x:c>
    </x:row>
    <x:row r="124" ht="46" customHeight="1">
      <x:c r="A124" s="17" t="str">
        <x:v>do_not_apply</x:v>
      </x:c>
      <x:c r="B124" s="17" t="str"/>
      <x:c r="C124" s="17" t="str">
        <x:v>University of Wisconsin-Milwaukee</x:v>
      </x:c>
      <x:c r="D124" s="17" t="str">
        <x:v>United States</x:v>
      </x:c>
      <x:c r="E124" s="17" t="str">
        <x:v>us</x:v>
      </x:c>
      <x:c r="F124" s="17" t="str">
        <x:v>Computer Science PhD</x:v>
      </x:c>
      <x:c r="G124" s="17" t="str">
        <x:v>PhD</x:v>
      </x:c>
      <x:c r="H124" s="17" t="n">
        <x:v>55</x:v>
      </x:c>
      <x:c r="I124" s="17" t="n">
        <x:v>20</x:v>
      </x:c>
      <x:c r="J124" s="17" t="n">
        <x:v>5</x:v>
      </x:c>
      <x:c r="K124" s="17" t="n">
        <x:v>10</x:v>
      </x:c>
      <x:c r="L124" s="17" t="n">
        <x:v>10</x:v>
      </x:c>
      <x:c r="M124" s="17" t="n">
        <x:v>10</x:v>
      </x:c>
      <x:c r="N124" s="17" t="n">
        <x:v>0</x:v>
      </x:c>
      <x:c r="O124" s="17" t="str">
        <x:v>No</x:v>
      </x:c>
      <x:c r="P124" s="17" t="str">
        <x:v>funding</x:v>
      </x:c>
      <x:c r="Q124" s="17" t="n">
        <x:v>1</x:v>
      </x:c>
      <x:c r="R124" s="17" t="str">
        <x:v>Many doctoral students receive support, but there is no universal published guarantee</x:v>
      </x:c>
      <x:c r="S124" s="17" t="str">
        <x:v>Not verified on the official program pages checked</x:v>
      </x:c>
      <x:c r="T124" s="17" t="str">
        <x:v>USD</x:v>
      </x:c>
      <x:c r="U124" s="17" t="str">
        <x:v>Insufficient evidence</x:v>
      </x:c>
      <x:c r="V124" s="17" t="str">
        <x:v>partial</x:v>
      </x:c>
      <x:c r="W124" s="17" t="str">
        <x:v>low</x:v>
      </x:c>
      <x:c r="X124" s="17" t="str">
        <x:v>Will UWM award and renew an assistantship that covers full tuition, fees, insurance, stipend, and summer for this applicant? | Single-professor dependency. | Official funding evidence exists but does not prove a credible program-wide package or full scholarship. | Fee is high or the applicable Fall 2027 amount/waiver remains unverified.</x:v>
      </x:c>
      <x:c r="Y124" s="18" t="e">
        <x:f>HYPERLINK("https://uwm.edu/engineering/academics/computer-science-phd/","Open source")</x:f>
        <x:v>HYPERLINK is not implemented. linkLocation=https://uwm.edu/engineering/academics/computer-science-phd/, friendlyName=Open source</x:v>
      </x:c>
    </x:row>
    <x:row r="125" ht="46" customHeight="1">
      <x:c r="A125" s="17" t="str">
        <x:v>do_not_apply</x:v>
      </x:c>
      <x:c r="B125" s="17" t="str"/>
      <x:c r="C125" s="17" t="str">
        <x:v>West Virginia University</x:v>
      </x:c>
      <x:c r="D125" s="17" t="str">
        <x:v>United States</x:v>
      </x:c>
      <x:c r="E125" s="17" t="str">
        <x:v>us</x:v>
      </x:c>
      <x:c r="F125" s="17" t="str">
        <x:v>Computer Science, Ph.D.</x:v>
      </x:c>
      <x:c r="G125" s="17" t="str">
        <x:v>PhD</x:v>
      </x:c>
      <x:c r="H125" s="17" t="n">
        <x:v>55</x:v>
      </x:c>
      <x:c r="I125" s="17" t="n">
        <x:v>20</x:v>
      </x:c>
      <x:c r="J125" s="17" t="n">
        <x:v>5</x:v>
      </x:c>
      <x:c r="K125" s="17" t="n">
        <x:v>10</x:v>
      </x:c>
      <x:c r="L125" s="17" t="n">
        <x:v>10</x:v>
      </x:c>
      <x:c r="M125" s="17" t="n">
        <x:v>10</x:v>
      </x:c>
      <x:c r="N125" s="17" t="n">
        <x:v>0</x:v>
      </x:c>
      <x:c r="O125" s="17" t="str">
        <x:v>No</x:v>
      </x:c>
      <x:c r="P125" s="17" t="str">
        <x:v>funding</x:v>
      </x:c>
      <x:c r="Q125" s="17" t="n">
        <x:v>1</x:v>
      </x:c>
      <x:c r="R125" s="17" t="str">
        <x:v>Credible support mechanisms exist but the department explicitly does not guarantee them</x:v>
      </x:c>
      <x:c r="S125" s="17" t="str">
        <x:v>Exact current amount not verified</x:v>
      </x:c>
      <x:c r="T125" s="17" t="str">
        <x:v>USD</x:v>
      </x:c>
      <x:c r="U125" s="17" t="str">
        <x:v>Insufficient evidence</x:v>
      </x:c>
      <x:c r="V125" s="17" t="str">
        <x:v>partial</x:v>
      </x:c>
      <x:c r="W125" s="17" t="str">
        <x:v>low</x:v>
      </x:c>
      <x:c r="X125" s="17" t="str">
        <x:v>Will WVU provide a renewable GTA or GRA and what net tuition, college charges, fees, insurance, stipend, and summer costs remain? | Single-professor dependency. | Official funding evidence exists but does not prove a credible program-wide package or full scholarship. | Fee is high or the applicable Fall 2027 amount/waiver remains unverified.</x:v>
      </x:c>
      <x:c r="Y125" s="18" t="e">
        <x:f>HYPERLINK("https://catalog.wvu.edu/graduate/collegeofengineeringandmineralresources/thelanedepartmentofcomputerscienceandelectricalengineering/cs/phd/","Open source")</x:f>
        <x:v>HYPERLINK is not implemented. linkLocation=https://catalog.wvu.edu/graduate/collegeofengineeringandmineralresources/thelanedepartmentofcomputerscienceandelectricalengineering/cs/phd/, friendlyName=Open source</x:v>
      </x:c>
    </x:row>
    <x:row r="126" ht="46" customHeight="1">
      <x:c r="A126" s="17" t="str">
        <x:v>do_not_apply</x:v>
      </x:c>
      <x:c r="B126" s="17" t="str"/>
      <x:c r="C126" s="17" t="str">
        <x:v>École Polytechnique de Montréal</x:v>
      </x:c>
      <x:c r="D126" s="17" t="str">
        <x:v>Canada</x:v>
      </x:c>
      <x:c r="E126" s="17" t="str">
        <x:v>canada</x:v>
      </x:c>
      <x:c r="F126" s="17" t="str">
        <x:v>Master of Applied Science in Computer Engineering — Software Engineering Option</x:v>
      </x:c>
      <x:c r="G126" s="17" t="str">
        <x:v>Thesis or research master's</x:v>
      </x:c>
      <x:c r="H126" s="17" t="n">
        <x:v>55</x:v>
      </x:c>
      <x:c r="I126" s="17" t="n">
        <x:v>20</x:v>
      </x:c>
      <x:c r="J126" s="17" t="n">
        <x:v>5</x:v>
      </x:c>
      <x:c r="K126" s="17" t="n">
        <x:v>10</x:v>
      </x:c>
      <x:c r="L126" s="17" t="n">
        <x:v>10</x:v>
      </x:c>
      <x:c r="M126" s="17" t="n">
        <x:v>10</x:v>
      </x:c>
      <x:c r="N126" s="17" t="n">
        <x:v>0</x:v>
      </x:c>
      <x:c r="O126" s="17" t="str">
        <x:v>No</x:v>
      </x:c>
      <x:c r="P126" s="17" t="str">
        <x:v>funding</x:v>
      </x:c>
      <x:c r="Q126" s="17" t="n">
        <x:v>1</x:v>
      </x:c>
      <x:c r="R126" s="17" t="str">
        <x:v>Resolvable through a named supervisor or funded project; no program-wide guarantee</x:v>
      </x:c>
      <x:c r="S126" s="17" t="str">
        <x:v>Current amount not verified</x:v>
      </x:c>
      <x:c r="T126" s="17" t="str">
        <x:v>CAD</x:v>
      </x:c>
      <x:c r="U126" s="17" t="str">
        <x:v>Insufficient evidence</x:v>
      </x:c>
      <x:c r="V126" s="17" t="str">
        <x:v>partial</x:v>
      </x:c>
      <x:c r="W126" s="17" t="str">
        <x:v>low</x:v>
      </x:c>
      <x:c r="X126" s="17" t="str">
        <x:v>Will an eligible software-engineering supervisor accept the applicant and provide renewable funding that covers international tuition, insurance, and living costs? | Single-professor dependency. | Official funding evidence exists but does not prove a credible program-wide package or full scholarship. | Fee is high or the applicable Fall 2027 amount/waiver remains unverified.</x:v>
      </x:c>
      <x:c r="Y126" s="18" t="e">
        <x:f>HYPERLINK("https://www.polymtl.ca/gigl/en/programs-offered/graduate-studies","Open source")</x:f>
        <x:v>HYPERLINK is not implemented. linkLocation=https://www.polymtl.ca/gigl/en/programs-offered/graduate-studies, friendlyName=Open source</x:v>
      </x:c>
    </x:row>
    <x:row r="127" ht="46" customHeight="1">
      <x:c r="A127" s="17" t="str">
        <x:v>do_not_apply</x:v>
      </x:c>
      <x:c r="B127" s="17" t="str"/>
      <x:c r="C127" s="17" t="str">
        <x:v>Boise State University</x:v>
      </x:c>
      <x:c r="D127" s="17" t="str">
        <x:v>United States</x:v>
      </x:c>
      <x:c r="E127" s="17" t="str">
        <x:v>us</x:v>
      </x:c>
      <x:c r="F127" s="17" t="str">
        <x:v>Doctor of Philosophy in Computing — Computer Science or Cybersecurity emphasis</x:v>
      </x:c>
      <x:c r="G127" s="17" t="str">
        <x:v>PhD</x:v>
      </x:c>
      <x:c r="H127" s="17" t="n">
        <x:v>53</x:v>
      </x:c>
      <x:c r="I127" s="17" t="n">
        <x:v>20</x:v>
      </x:c>
      <x:c r="J127" s="17" t="n">
        <x:v>5</x:v>
      </x:c>
      <x:c r="K127" s="17" t="n">
        <x:v>10</x:v>
      </x:c>
      <x:c r="L127" s="17" t="n">
        <x:v>5</x:v>
      </x:c>
      <x:c r="M127" s="17" t="n">
        <x:v>10</x:v>
      </x:c>
      <x:c r="N127" s="17" t="n">
        <x:v>3</x:v>
      </x:c>
      <x:c r="O127" s="17" t="str">
        <x:v>No</x:v>
      </x:c>
      <x:c r="P127" s="17" t="str">
        <x:v>funding|eligibility</x:v>
      </x:c>
      <x:c r="Q127" s="17" t="n">
        <x:v>1</x:v>
      </x:c>
      <x:c r="R127" s="17" t="str">
        <x:v>Credible official route exists, but awards are competitive and not guaranteed</x:v>
      </x:c>
      <x:c r="S127" s="17" t="n">
        <x:v>95</x:v>
      </x:c>
      <x:c r="T127" s="17" t="str">
        <x:v>USD</x:v>
      </x:c>
      <x:c r="U127" s="17" t="str">
        <x:v>Eligibility concern</x:v>
      </x:c>
      <x:c r="V127" s="17" t="str">
        <x:v>partial</x:v>
      </x:c>
      <x:c r="W127" s="17" t="str">
        <x:v>low</x:v>
      </x:c>
      <x:c r="X127" s="17" t="str">
        <x:v>Does the applicant's transcript satisfy an exact emphasis gate, and can an aligned advisor commit a complete post-first-year funding plan before enrollment? | Single-professor dependency. | Official funding evidence exists but does not prove a credible program-wide package or full scholarship. | Applicable waiver or final Fall 2027 cost is not guaranteed.</x:v>
      </x:c>
      <x:c r="Y127" s="18" t="e">
        <x:f>HYPERLINK("https://www.boisestate.edu/computing/academics/doctoral-program/","Open source")</x:f>
        <x:v>HYPERLINK is not implemented. linkLocation=https://www.boisestate.edu/computing/academics/doctoral-program/, friendlyName=Open source</x:v>
      </x:c>
    </x:row>
    <x:row r="128" ht="46" customHeight="1">
      <x:c r="A128" s="17" t="str">
        <x:v>do_not_apply</x:v>
      </x:c>
      <x:c r="B128" s="17" t="str"/>
      <x:c r="C128" s="17" t="str">
        <x:v>Florida International University</x:v>
      </x:c>
      <x:c r="D128" s="17" t="str">
        <x:v>United States</x:v>
      </x:c>
      <x:c r="E128" s="17" t="str">
        <x:v>us</x:v>
      </x:c>
      <x:c r="F128" s="17" t="str">
        <x:v>Doctor of Philosophy in Computer Science</x:v>
      </x:c>
      <x:c r="G128" s="17" t="str">
        <x:v>PhD</x:v>
      </x:c>
      <x:c r="H128" s="17" t="n">
        <x:v>53</x:v>
      </x:c>
      <x:c r="I128" s="17" t="n">
        <x:v>20</x:v>
      </x:c>
      <x:c r="J128" s="17" t="n">
        <x:v>5</x:v>
      </x:c>
      <x:c r="K128" s="17" t="n">
        <x:v>10</x:v>
      </x:c>
      <x:c r="L128" s="17" t="n">
        <x:v>5</x:v>
      </x:c>
      <x:c r="M128" s="17" t="n">
        <x:v>10</x:v>
      </x:c>
      <x:c r="N128" s="17" t="n">
        <x:v>3</x:v>
      </x:c>
      <x:c r="O128" s="17" t="str">
        <x:v>No</x:v>
      </x:c>
      <x:c r="P128" s="17" t="str">
        <x:v>funding|eligibility</x:v>
      </x:c>
      <x:c r="Q128" s="17" t="n">
        <x:v>1</x:v>
      </x:c>
      <x:c r="R128" s="17" t="str">
        <x:v>Credible official route exists but the first-year award is limited to the most qualified applicants</x:v>
      </x:c>
      <x:c r="S128" s="17" t="n">
        <x:v>30</x:v>
      </x:c>
      <x:c r="T128" s="17" t="str">
        <x:v>USD</x:v>
      </x:c>
      <x:c r="U128" s="17" t="str">
        <x:v>Eligibility concern</x:v>
      </x:c>
      <x:c r="V128" s="17" t="str">
        <x:v>partial</x:v>
      </x:c>
      <x:c r="W128" s="17" t="str">
        <x:v>low</x:v>
      </x:c>
      <x:c r="X128" s="17" t="str">
        <x:v>Does the transcript clear FIU's upper-division GPA and calculus/statistics gates, and can an advisor commit support beyond the first TA year? | Single-professor dependency. | Official funding evidence exists but does not prove a credible program-wide package or full scholarship. | Applicable waiver or final Fall 2027 cost is not guaranteed.</x:v>
      </x:c>
      <x:c r="Y128" s="18" t="e">
        <x:f>HYPERLINK("https://www.cis.fiu.edu/degree/doctor-of-philosophy-in-computer-science/","Open source")</x:f>
        <x:v>HYPERLINK is not implemented. linkLocation=https://www.cis.fiu.edu/degree/doctor-of-philosophy-in-computer-science/, friendlyName=Open source</x:v>
      </x:c>
    </x:row>
    <x:row r="129" ht="46" customHeight="1">
      <x:c r="A129" s="17" t="str">
        <x:v>do_not_apply</x:v>
      </x:c>
      <x:c r="B129" s="17" t="str"/>
      <x:c r="C129" s="17" t="str">
        <x:v>George Mason University</x:v>
      </x:c>
      <x:c r="D129" s="17" t="str">
        <x:v>United States</x:v>
      </x:c>
      <x:c r="E129" s="17" t="str">
        <x:v>us</x:v>
      </x:c>
      <x:c r="F129" s="17" t="str">
        <x:v>Computer Science PhD</x:v>
      </x:c>
      <x:c r="G129" s="17" t="str">
        <x:v>PhD</x:v>
      </x:c>
      <x:c r="H129" s="17" t="n">
        <x:v>53</x:v>
      </x:c>
      <x:c r="I129" s="17" t="n">
        <x:v>20</x:v>
      </x:c>
      <x:c r="J129" s="17" t="n">
        <x:v>5</x:v>
      </x:c>
      <x:c r="K129" s="17" t="n">
        <x:v>0</x:v>
      </x:c>
      <x:c r="L129" s="17" t="n">
        <x:v>15</x:v>
      </x:c>
      <x:c r="M129" s="17" t="n">
        <x:v>10</x:v>
      </x:c>
      <x:c r="N129" s="17" t="n">
        <x:v>3</x:v>
      </x:c>
      <x:c r="O129" s="17" t="str">
        <x:v>No</x:v>
      </x:c>
      <x:c r="P129" s="17" t="str">
        <x:v>funding</x:v>
      </x:c>
      <x:c r="Q129" s="17" t="n">
        <x:v>1</x:v>
      </x:c>
      <x:c r="R129" s="17" t="str">
        <x:v>No independently sourced material funding claim retained</x:v>
      </x:c>
      <x:c r="S129" s="17" t="n">
        <x:v>75</x:v>
      </x:c>
      <x:c r="T129" s="17" t="str">
        <x:v>USD</x:v>
      </x:c>
      <x:c r="U129" s="17" t="str">
        <x:v>Plausible</x:v>
      </x:c>
      <x:c r="V129" s="17" t="str">
        <x:v>partial</x:v>
      </x:c>
      <x:c r="W129" s="17" t="str">
        <x:v>low</x:v>
      </x:c>
      <x:c r="X129" s="17" t="str">
        <x:v>Will Fall 2027 admission include guaranteed tuition, stipend, health, and duration? | Single-professor dependency. | No verified official material funding source is recorded. | Applicable waiver or final Fall 2027 cost is not guaranteed.</x:v>
      </x:c>
      <x:c r="Y129" s="18" t="e">
        <x:f>HYPERLINK("https://cs.gmu.edu/academics/graduate-programs","Open source")</x:f>
        <x:v>HYPERLINK is not implemented. linkLocation=https://cs.gmu.edu/academics/graduate-programs, friendlyName=Open source</x:v>
      </x:c>
    </x:row>
    <x:row r="130" ht="46" customHeight="1">
      <x:c r="A130" s="17" t="str">
        <x:v>do_not_apply</x:v>
      </x:c>
      <x:c r="B130" s="17" t="str"/>
      <x:c r="C130" s="17" t="str">
        <x:v>Oregon State University</x:v>
      </x:c>
      <x:c r="D130" s="17" t="str">
        <x:v>United States</x:v>
      </x:c>
      <x:c r="E130" s="17" t="str">
        <x:v>us</x:v>
      </x:c>
      <x:c r="F130" s="17" t="str">
        <x:v>Computer Science PhD</x:v>
      </x:c>
      <x:c r="G130" s="17" t="str">
        <x:v>PhD</x:v>
      </x:c>
      <x:c r="H130" s="17" t="n">
        <x:v>53</x:v>
      </x:c>
      <x:c r="I130" s="17" t="n">
        <x:v>20</x:v>
      </x:c>
      <x:c r="J130" s="17" t="n">
        <x:v>5</x:v>
      </x:c>
      <x:c r="K130" s="17" t="n">
        <x:v>0</x:v>
      </x:c>
      <x:c r="L130" s="17" t="n">
        <x:v>15</x:v>
      </x:c>
      <x:c r="M130" s="17" t="n">
        <x:v>10</x:v>
      </x:c>
      <x:c r="N130" s="17" t="n">
        <x:v>3</x:v>
      </x:c>
      <x:c r="O130" s="17" t="str">
        <x:v>No</x:v>
      </x:c>
      <x:c r="P130" s="17" t="str">
        <x:v>funding</x:v>
      </x:c>
      <x:c r="Q130" s="17" t="n">
        <x:v>1</x:v>
      </x:c>
      <x:c r="R130" s="17" t="str">
        <x:v>No independently sourced material funding claim retained</x:v>
      </x:c>
      <x:c r="S130" s="17" t="n">
        <x:v>85</x:v>
      </x:c>
      <x:c r="T130" s="17" t="str">
        <x:v>USD</x:v>
      </x:c>
      <x:c r="U130" s="17" t="str">
        <x:v>Plausible</x:v>
      </x:c>
      <x:c r="V130" s="17" t="str">
        <x:v>partial</x:v>
      </x:c>
      <x:c r="W130" s="17" t="str">
        <x:v>low</x:v>
      </x:c>
      <x:c r="X130" s="17" t="str">
        <x:v>Is every admitted CS PhD guaranteed tuition, stipend, health, and a minimum duration? | Single-professor dependency. | No verified official material funding source is recorded. | Applicable waiver or final Fall 2027 cost is not guaranteed.</x:v>
      </x:c>
      <x:c r="Y130" s="18" t="e">
        <x:f>HYPERLINK("https://engineering.oregonstate.edu/academics/programs/computer-science/graduate","Open source")</x:f>
        <x:v>HYPERLINK is not implemented. linkLocation=https://engineering.oregonstate.edu/academics/programs/computer-science/graduate, friendlyName=Open source</x:v>
      </x:c>
    </x:row>
    <x:row r="131" ht="46" customHeight="1">
      <x:c r="A131" s="17" t="str">
        <x:v>do_not_apply</x:v>
      </x:c>
      <x:c r="B131" s="17" t="str"/>
      <x:c r="C131" s="17" t="str">
        <x:v>University of South Florida</x:v>
      </x:c>
      <x:c r="D131" s="17" t="str">
        <x:v>United States</x:v>
      </x:c>
      <x:c r="E131" s="17" t="str">
        <x:v>us</x:v>
      </x:c>
      <x:c r="F131" s="17" t="str">
        <x:v>Doctor of Philosophy in Computer Science and Engineering</x:v>
      </x:c>
      <x:c r="G131" s="17" t="str">
        <x:v>PhD</x:v>
      </x:c>
      <x:c r="H131" s="17" t="n">
        <x:v>53</x:v>
      </x:c>
      <x:c r="I131" s="17" t="n">
        <x:v>20</x:v>
      </x:c>
      <x:c r="J131" s="17" t="n">
        <x:v>5</x:v>
      </x:c>
      <x:c r="K131" s="17" t="n">
        <x:v>10</x:v>
      </x:c>
      <x:c r="L131" s="17" t="n">
        <x:v>5</x:v>
      </x:c>
      <x:c r="M131" s="17" t="n">
        <x:v>10</x:v>
      </x:c>
      <x:c r="N131" s="17" t="n">
        <x:v>3</x:v>
      </x:c>
      <x:c r="O131" s="17" t="str">
        <x:v>No</x:v>
      </x:c>
      <x:c r="P131" s="17" t="str">
        <x:v>funding|eligibility</x:v>
      </x:c>
      <x:c r="Q131" s="17" t="n">
        <x:v>1</x:v>
      </x:c>
      <x:c r="R131" s="17" t="str">
        <x:v>All incoming PhD students are offered assistantships according to the current department FAQ</x:v>
      </x:c>
      <x:c r="S131" s="17" t="n">
        <x:v>30</x:v>
      </x:c>
      <x:c r="T131" s="17" t="str">
        <x:v>USD</x:v>
      </x:c>
      <x:c r="U131" s="17" t="str">
        <x:v>Eligibility concern</x:v>
      </x:c>
      <x:c r="V131" s="17" t="str">
        <x:v>partial</x:v>
      </x:c>
      <x:c r="W131" s="17" t="str">
        <x:v>low</x:v>
      </x:c>
      <x:c r="X131" s="17" t="str">
        <x:v>Does the applicant satisfy the current post-baccalaureate CSE prerequisites, and what duration and net value will the assistantship offer provide? | Single-professor dependency. | Official funding evidence exists but does not prove a credible program-wide package or full scholarship. | Applicable waiver or final Fall 2027 cost is not guaranteed.</x:v>
      </x:c>
      <x:c r="Y131" s="18" t="e">
        <x:f>HYPERLINK("https://catalog.usf.edu/preview_program.php?catoid=28&amp;poid=16127&amp;returnto=5315","Open source")</x:f>
        <x:v>HYPERLINK is not implemented. linkLocation=https://catalog.usf.edu/preview_program.php?catoid=28&amp;poid=16127&amp;returnto=5315, friendlyName=Open source</x:v>
      </x:c>
    </x:row>
    <x:row r="132" ht="46" customHeight="1">
      <x:c r="A132" s="17" t="str">
        <x:v>do_not_apply</x:v>
      </x:c>
      <x:c r="B132" s="17" t="str"/>
      <x:c r="C132" s="17" t="str">
        <x:v>University of Trento</x:v>
      </x:c>
      <x:c r="D132" s="17" t="str">
        <x:v>Italy</x:v>
      </x:c>
      <x:c r="E132" s="17" t="str">
        <x:v>europe</x:v>
      </x:c>
      <x:c r="F132" s="17" t="str">
        <x:v>Master's Degree in Computer Science</x:v>
      </x:c>
      <x:c r="G132" s="17" t="str">
        <x:v>Thesis or research master's</x:v>
      </x:c>
      <x:c r="H132" s="17" t="n">
        <x:v>53</x:v>
      </x:c>
      <x:c r="I132" s="17" t="n">
        <x:v>20</x:v>
      </x:c>
      <x:c r="J132" s="17" t="n">
        <x:v>5</x:v>
      </x:c>
      <x:c r="K132" s="17" t="n">
        <x:v>10</x:v>
      </x:c>
      <x:c r="L132" s="17" t="n">
        <x:v>5</x:v>
      </x:c>
      <x:c r="M132" s="17" t="n">
        <x:v>10</x:v>
      </x:c>
      <x:c r="N132" s="17" t="n">
        <x:v>3</x:v>
      </x:c>
      <x:c r="O132" s="17" t="str">
        <x:v>No</x:v>
      </x:c>
      <x:c r="P132" s="17" t="str">
        <x:v>funding|eligibility</x:v>
      </x:c>
      <x:c r="Q132" s="17" t="n">
        <x:v>1</x:v>
      </x:c>
      <x:c r="R132" s="17" t="str">
        <x:v>Credible official route exists but is limited, rank-dependent, and not confirmed</x:v>
      </x:c>
      <x:c r="S132" s="17" t="n">
        <x:v>30</x:v>
      </x:c>
      <x:c r="T132" s="17" t="str">
        <x:v>EUR</x:v>
      </x:c>
      <x:c r="U132" s="17" t="str">
        <x:v>Eligibility concern</x:v>
      </x:c>
      <x:c r="V132" s="17" t="str">
        <x:v>partial</x:v>
      </x:c>
      <x:c r="W132" s="17" t="str">
        <x:v>low</x:v>
      </x:c>
      <x:c r="X132" s="17" t="str">
        <x:v>What admission score and scholarship rank will the applicant receive under the 2027-2028 call, and will the annual award cover the actual Trento living-cost gap? | Single-professor dependency. | Official funding evidence exists but does not prove a credible program-wide package or full scholarship. | Applicable waiver or final Fall 2027 cost is not guaranteed.</x:v>
      </x:c>
      <x:c r="Y132" s="18" t="e">
        <x:f>HYPERLINK("https://corsi.unitn.it/en/computer-science-master","Open source")</x:f>
        <x:v>HYPERLINK is not implemented. linkLocation=https://corsi.unitn.it/en/computer-science-master, friendlyName=Open source</x:v>
      </x:c>
    </x:row>
    <x:row r="133" ht="46" customHeight="1">
      <x:c r="A133" s="17" t="str">
        <x:v>do_not_apply</x:v>
      </x:c>
      <x:c r="B133" s="17" t="str"/>
      <x:c r="C133" s="17" t="str">
        <x:v>University of Tulsa</x:v>
      </x:c>
      <x:c r="D133" s="17" t="str">
        <x:v>United States</x:v>
      </x:c>
      <x:c r="E133" s="17" t="str">
        <x:v>us</x:v>
      </x:c>
      <x:c r="F133" s="17" t="str">
        <x:v>Computer Science, Ph.D.</x:v>
      </x:c>
      <x:c r="G133" s="17" t="str">
        <x:v>PhD</x:v>
      </x:c>
      <x:c r="H133" s="17" t="n">
        <x:v>53</x:v>
      </x:c>
      <x:c r="I133" s="17" t="n">
        <x:v>20</x:v>
      </x:c>
      <x:c r="J133" s="17" t="n">
        <x:v>5</x:v>
      </x:c>
      <x:c r="K133" s="17" t="n">
        <x:v>10</x:v>
      </x:c>
      <x:c r="L133" s="17" t="n">
        <x:v>5</x:v>
      </x:c>
      <x:c r="M133" s="17" t="n">
        <x:v>10</x:v>
      </x:c>
      <x:c r="N133" s="17" t="n">
        <x:v>3</x:v>
      </x:c>
      <x:c r="O133" s="17" t="str">
        <x:v>No</x:v>
      </x:c>
      <x:c r="P133" s="17" t="str">
        <x:v>funding|eligibility</x:v>
      </x:c>
      <x:c r="Q133" s="17" t="n">
        <x:v>1</x:v>
      </x:c>
      <x:c r="R133" s="17" t="str">
        <x:v>Open to admitted full-time doctoral students and includes a published minimum stipend, full tuition, and health insurance; award is competitive</x:v>
      </x:c>
      <x:c r="S133" s="17" t="n">
        <x:v>60</x:v>
      </x:c>
      <x:c r="T133" s="17" t="str">
        <x:v>USD</x:v>
      </x:c>
      <x:c r="U133" s="17" t="str">
        <x:v>Eligibility concern</x:v>
      </x:c>
      <x:c r="V133" s="17" t="str">
        <x:v>partial</x:v>
      </x:c>
      <x:c r="W133" s="17" t="str">
        <x:v>low</x:v>
      </x:c>
      <x:c r="X133" s="17" t="str">
        <x:v>Will Tandy confirm direct bachelor's eligibility and the applicant's exact prerequisite fit for the CS PhD? | Single-professor dependency. | Official funding evidence exists but does not prove a credible program-wide package or full scholarship. | Applicable waiver or final Fall 2027 cost is not guaranteed.</x:v>
      </x:c>
      <x:c r="Y133" s="18" t="e">
        <x:f>HYPERLINK("https://utulsa.edu/programs/computer-science/","Open source")</x:f>
        <x:v>HYPERLINK is not implemented. linkLocation=https://utulsa.edu/programs/computer-science/, friendlyName=Open source</x:v>
      </x:c>
    </x:row>
    <x:row r="134" ht="46" customHeight="1">
      <x:c r="A134" s="17" t="str">
        <x:v>do_not_apply</x:v>
      </x:c>
      <x:c r="B134" s="17" t="str"/>
      <x:c r="C134" s="17" t="str">
        <x:v>Florida Atlantic University</x:v>
      </x:c>
      <x:c r="D134" s="17" t="str">
        <x:v>United States</x:v>
      </x:c>
      <x:c r="E134" s="17" t="str">
        <x:v>us</x:v>
      </x:c>
      <x:c r="F134" s="17" t="str">
        <x:v>Doctor of Philosophy with Major in Computer Science</x:v>
      </x:c>
      <x:c r="G134" s="17" t="str">
        <x:v>PhD</x:v>
      </x:c>
      <x:c r="H134" s="17" t="n">
        <x:v>50</x:v>
      </x:c>
      <x:c r="I134" s="17" t="n">
        <x:v>20</x:v>
      </x:c>
      <x:c r="J134" s="17" t="n">
        <x:v>5</x:v>
      </x:c>
      <x:c r="K134" s="17" t="n">
        <x:v>10</x:v>
      </x:c>
      <x:c r="L134" s="17" t="n">
        <x:v>5</x:v>
      </x:c>
      <x:c r="M134" s="17" t="n">
        <x:v>10</x:v>
      </x:c>
      <x:c r="N134" s="17" t="n">
        <x:v>0</x:v>
      </x:c>
      <x:c r="O134" s="17" t="str">
        <x:v>No</x:v>
      </x:c>
      <x:c r="P134" s="17" t="str">
        <x:v>funding|eligibility</x:v>
      </x:c>
      <x:c r="Q134" s="17" t="n">
        <x:v>1</x:v>
      </x:c>
      <x:c r="R134" s="17" t="str">
        <x:v>College states traditional doctoral students are supported with stipend, tuition waiver, and health insurance, contingent on positions and advisor support</x:v>
      </x:c>
      <x:c r="S134" s="17" t="str">
        <x:v>Not verified on the official pages checked</x:v>
      </x:c>
      <x:c r="T134" s="17" t="str">
        <x:v>USD</x:v>
      </x:c>
      <x:c r="U134" s="17" t="str">
        <x:v>Eligibility concern</x:v>
      </x:c>
      <x:c r="V134" s="17" t="str">
        <x:v>partial</x:v>
      </x:c>
      <x:c r="W134" s="17" t="str">
        <x:v>low</x:v>
      </x:c>
      <x:c r="X134" s="17" t="str">
        <x:v>Does FAU permit this international applicant with a U.S. computer science bachelor's but no master's to enter the direct BS-to-PhD route? | Single-professor dependency. | Official funding evidence exists but does not prove a credible program-wide package or full scholarship. | Fee is high or the applicable Fall 2027 amount/waiver remains unverified.</x:v>
      </x:c>
      <x:c r="Y134" s="18" t="e">
        <x:f>HYPERLINK("https://www.fau.edu/engineering/eecs/graduate/phd/computer-science/","Open source")</x:f>
        <x:v>HYPERLINK is not implemented. linkLocation=https://www.fau.edu/engineering/eecs/graduate/phd/computer-science/, friendlyName=Open source</x:v>
      </x:c>
    </x:row>
    <x:row r="135" ht="46" customHeight="1">
      <x:c r="A135" s="17" t="str">
        <x:v>do_not_apply</x:v>
      </x:c>
      <x:c r="B135" s="17" t="str"/>
      <x:c r="C135" s="17" t="str">
        <x:v>Ontario Tech University</x:v>
      </x:c>
      <x:c r="D135" s="17" t="str">
        <x:v>Canada</x:v>
      </x:c>
      <x:c r="E135" s="17" t="str">
        <x:v>canada</x:v>
      </x:c>
      <x:c r="F135" s="17" t="str">
        <x:v>Master of Applied Science in Software Engineering</x:v>
      </x:c>
      <x:c r="G135" s="17" t="str">
        <x:v>Thesis or research master's</x:v>
      </x:c>
      <x:c r="H135" s="17" t="n">
        <x:v>50</x:v>
      </x:c>
      <x:c r="I135" s="17" t="n">
        <x:v>20</x:v>
      </x:c>
      <x:c r="J135" s="17" t="n">
        <x:v>5</x:v>
      </x:c>
      <x:c r="K135" s="17" t="n">
        <x:v>10</x:v>
      </x:c>
      <x:c r="L135" s="17" t="n">
        <x:v>5</x:v>
      </x:c>
      <x:c r="M135" s="17" t="n">
        <x:v>10</x:v>
      </x:c>
      <x:c r="N135" s="17" t="n">
        <x:v>0</x:v>
      </x:c>
      <x:c r="O135" s="17" t="str">
        <x:v>No</x:v>
      </x:c>
      <x:c r="P135" s="17" t="str">
        <x:v>funding|eligibility</x:v>
      </x:c>
      <x:c r="Q135" s="17" t="n">
        <x:v>1</x:v>
      </x:c>
      <x:c r="R135" s="17" t="str">
        <x:v>Credible faculty-level minimum exists but requires a signed supervisor funding commitment</x:v>
      </x:c>
      <x:c r="S135" s="17" t="n">
        <x:v>110</x:v>
      </x:c>
      <x:c r="T135" s="17" t="str">
        <x:v>CAD</x:v>
      </x:c>
      <x:c r="U135" s="17" t="str">
        <x:v>Eligibility concern</x:v>
      </x:c>
      <x:c r="V135" s="17" t="str">
        <x:v>partial</x:v>
      </x:c>
      <x:c r="W135" s="17" t="str">
        <x:v>low</x:v>
      </x:c>
      <x:c r="X135" s="17" t="str">
        <x:v>Can an aligned software-verification professor sign a 24-month supervision and funding agreement whose net value remains viable after international tuition and fees? | Single-professor dependency. | Official funding evidence exists but does not prove a credible program-wide package or full scholarship. | Fee is high or the applicable Fall 2027 amount/waiver remains unverified.</x:v>
      </x:c>
      <x:c r="Y135" s="18" t="e">
        <x:f>HYPERLINK("https://gradstudies.ontariotechu.ca/future_students/programs/masters_programs/software_engineering/index.php","Open source")</x:f>
        <x:v>HYPERLINK is not implemented. linkLocation=https://gradstudies.ontariotechu.ca/future_students/programs/masters_programs/software_engineering/index.php, friendlyName=Open source</x:v>
      </x:c>
    </x:row>
    <x:row r="136" ht="46" customHeight="1">
      <x:c r="A136" s="17" t="str">
        <x:v>do_not_apply</x:v>
      </x:c>
      <x:c r="B136" s="17" t="str"/>
      <x:c r="C136" s="17" t="str">
        <x:v>Saint Mary’s University</x:v>
      </x:c>
      <x:c r="D136" s="17" t="str">
        <x:v>Canada</x:v>
      </x:c>
      <x:c r="E136" s="17" t="str">
        <x:v>canada</x:v>
      </x:c>
      <x:c r="F136" s="17" t="str">
        <x:v>MSc in Applied Science — Computing Science research field</x:v>
      </x:c>
      <x:c r="G136" s="17" t="str">
        <x:v>Thesis or research master's</x:v>
      </x:c>
      <x:c r="H136" s="17" t="n">
        <x:v>50</x:v>
      </x:c>
      <x:c r="I136" s="17" t="n">
        <x:v>20</x:v>
      </x:c>
      <x:c r="J136" s="17" t="n">
        <x:v>5</x:v>
      </x:c>
      <x:c r="K136" s="17" t="n">
        <x:v>10</x:v>
      </x:c>
      <x:c r="L136" s="17" t="n">
        <x:v>5</x:v>
      </x:c>
      <x:c r="M136" s="17" t="n">
        <x:v>10</x:v>
      </x:c>
      <x:c r="N136" s="17" t="n">
        <x:v>0</x:v>
      </x:c>
      <x:c r="O136" s="17" t="str">
        <x:v>No</x:v>
      </x:c>
      <x:c r="P136" s="17" t="str">
        <x:v>funding|eligibility</x:v>
      </x:c>
      <x:c r="Q136" s="17" t="n">
        <x:v>1</x:v>
      </x:c>
      <x:c r="R136" s="17" t="str">
        <x:v>Official guide reports typical full-time MSc stipends of CAD 18,600 to 25,000 per year; individual composition and net value require confirmation</x:v>
      </x:c>
      <x:c r="S136" s="17" t="str">
        <x:v>Not verified</x:v>
      </x:c>
      <x:c r="T136" s="17" t="str">
        <x:v>CAD</x:v>
      </x:c>
      <x:c r="U136" s="17" t="str">
        <x:v>Eligibility concern</x:v>
      </x:c>
      <x:c r="V136" s="17" t="str">
        <x:v>partial</x:v>
      </x:c>
      <x:c r="W136" s="17" t="str">
        <x:v>low</x:v>
      </x:c>
      <x:c r="X136" s="17" t="str">
        <x:v>Will a Computing Science supervisor accept the applicant and confirm a two-year international package whose post-tuition value is adequate? | Single-professor dependency. | Official funding evidence exists but does not prove a credible program-wide package or full scholarship. | Fee is high or the applicable Fall 2027 amount/waiver remains unverified.</x:v>
      </x:c>
      <x:c r="Y136" s="18" t="e">
        <x:f>HYPERLINK("https://www.smu.ca/faculty-of-science/master-in-applied-science-future-students.html","Open source")</x:f>
        <x:v>HYPERLINK is not implemented. linkLocation=https://www.smu.ca/faculty-of-science/master-in-applied-science-future-students.html, friendlyName=Open source</x:v>
      </x:c>
    </x:row>
    <x:row r="137" ht="46" customHeight="1">
      <x:c r="A137" s="17" t="str">
        <x:v>do_not_apply</x:v>
      </x:c>
      <x:c r="B137" s="17" t="str"/>
      <x:c r="C137" s="17" t="str">
        <x:v>St. Francis Xavier University</x:v>
      </x:c>
      <x:c r="D137" s="17" t="str">
        <x:v>Canada</x:v>
      </x:c>
      <x:c r="E137" s="17" t="str">
        <x:v>canada</x:v>
      </x:c>
      <x:c r="F137" s="17" t="str">
        <x:v>Master of Science in Computer Science</x:v>
      </x:c>
      <x:c r="G137" s="17" t="str">
        <x:v>Thesis or research master's</x:v>
      </x:c>
      <x:c r="H137" s="17" t="n">
        <x:v>50</x:v>
      </x:c>
      <x:c r="I137" s="17" t="n">
        <x:v>20</x:v>
      </x:c>
      <x:c r="J137" s="17" t="n">
        <x:v>5</x:v>
      </x:c>
      <x:c r="K137" s="17" t="n">
        <x:v>10</x:v>
      </x:c>
      <x:c r="L137" s="17" t="n">
        <x:v>5</x:v>
      </x:c>
      <x:c r="M137" s="17" t="n">
        <x:v>10</x:v>
      </x:c>
      <x:c r="N137" s="17" t="n">
        <x:v>0</x:v>
      </x:c>
      <x:c r="O137" s="17" t="str">
        <x:v>No</x:v>
      </x:c>
      <x:c r="P137" s="17" t="str">
        <x:v>funding|eligibility</x:v>
      </x:c>
      <x:c r="Q137" s="17" t="n">
        <x:v>1</x:v>
      </x:c>
      <x:c r="R137" s="17" t="str">
        <x:v>Credible program-level route: most accepted MSc students receive a package covering tuition and some living expenses</x:v>
      </x:c>
      <x:c r="S137" s="17" t="str">
        <x:v>Current amount not verified</x:v>
      </x:c>
      <x:c r="T137" s="17" t="str">
        <x:v>CAD</x:v>
      </x:c>
      <x:c r="U137" s="17" t="str">
        <x:v>Eligibility concern</x:v>
      </x:c>
      <x:c r="V137" s="17" t="str">
        <x:v>partial</x:v>
      </x:c>
      <x:c r="W137" s="17" t="str">
        <x:v>low</x:v>
      </x:c>
      <x:c r="X137" s="17" t="str">
        <x:v>Will a willing supervisor support the application, and will the specific package cover tuition plus adequate living, fees, insurance, and summer costs for two years? | Single-professor dependency. | Official funding evidence exists but does not prove a credible program-wide package or full scholarship. | Fee is high or the applicable Fall 2027 amount/waiver remains unverified.</x:v>
      </x:c>
      <x:c r="Y137" s="18" t="e">
        <x:f>HYPERLINK("https://www.stfx.ca/programs-courses/programs/master-science-computer-science","Open source")</x:f>
        <x:v>HYPERLINK is not implemented. linkLocation=https://www.stfx.ca/programs-courses/programs/master-science-computer-science, friendlyName=Open source</x:v>
      </x:c>
    </x:row>
    <x:row r="138" ht="46" customHeight="1">
      <x:c r="A138" s="17" t="str">
        <x:v>do_not_apply</x:v>
      </x:c>
      <x:c r="B138" s="17" t="str"/>
      <x:c r="C138" s="17" t="str">
        <x:v>University of British Columbia</x:v>
      </x:c>
      <x:c r="D138" s="17" t="str">
        <x:v>Canada</x:v>
      </x:c>
      <x:c r="E138" s="17" t="str">
        <x:v>canada</x:v>
      </x:c>
      <x:c r="F138" s="17" t="str">
        <x:v>Master of Applied Science in Electrical and Computer Engineering</x:v>
      </x:c>
      <x:c r="G138" s="17" t="str">
        <x:v>Thesis or research master's</x:v>
      </x:c>
      <x:c r="H138" s="17" t="n">
        <x:v>50</x:v>
      </x:c>
      <x:c r="I138" s="17" t="n">
        <x:v>20</x:v>
      </x:c>
      <x:c r="J138" s="17" t="n">
        <x:v>5</x:v>
      </x:c>
      <x:c r="K138" s="17" t="n">
        <x:v>10</x:v>
      </x:c>
      <x:c r="L138" s="17" t="n">
        <x:v>5</x:v>
      </x:c>
      <x:c r="M138" s="17" t="n">
        <x:v>10</x:v>
      </x:c>
      <x:c r="N138" s="17" t="n">
        <x:v>0</x:v>
      </x:c>
      <x:c r="O138" s="17" t="str">
        <x:v>No</x:v>
      </x:c>
      <x:c r="P138" s="17" t="str">
        <x:v>funding|eligibility</x:v>
      </x:c>
      <x:c r="Q138" s="17" t="n">
        <x:v>1</x:v>
      </x:c>
      <x:c r="R138" s="17" t="str">
        <x:v>Most MASc and PhD students without major awards receive supervisor RAs; 50 percent of MASc students receive at least 32,575 gross annual funding in the first two years</x:v>
      </x:c>
      <x:c r="S138" s="17" t="n">
        <x:v>168.25</x:v>
      </x:c>
      <x:c r="T138" s="17" t="str">
        <x:v>CAD</x:v>
      </x:c>
      <x:c r="U138" s="17" t="str">
        <x:v>Eligibility concern</x:v>
      </x:c>
      <x:c r="V138" s="17" t="str">
        <x:v>partial</x:v>
      </x:c>
      <x:c r="W138" s="17" t="str">
        <x:v>low</x:v>
      </x:c>
      <x:c r="X138" s="17" t="str">
        <x:v>Will ECE treat the applicant's CS curriculum as sufficiently overlapping with ECE and issue a two-year net-positive funding package? | Single-professor dependency. | Official funding evidence exists but does not prove a credible program-wide package or full scholarship. | Fee is high or the applicable Fall 2027 amount/waiver remains unverified.</x:v>
      </x:c>
      <x:c r="Y138" s="18" t="e">
        <x:f>HYPERLINK("https://www.grad.ubc.ca/prospective-students/graduate-degree-programs/master-of-applied-science-electrical-computer-engineering","Open source")</x:f>
        <x:v>HYPERLINK is not implemented. linkLocation=https://www.grad.ubc.ca/prospective-students/graduate-degree-programs/master-of-applied-science-electrical-computer-engineering, friendlyName=Open source</x:v>
      </x:c>
    </x:row>
    <x:row r="139" ht="46" customHeight="1">
      <x:c r="A139" s="17" t="str">
        <x:v>do_not_apply</x:v>
      </x:c>
      <x:c r="B139" s="17" t="str"/>
      <x:c r="C139" s="17" t="str">
        <x:v>University of Pisa</x:v>
      </x:c>
      <x:c r="D139" s="17" t="str">
        <x:v>Italy</x:v>
      </x:c>
      <x:c r="E139" s="17" t="str">
        <x:v>europe</x:v>
      </x:c>
      <x:c r="F139" s="17" t="str">
        <x:v>Master's Degree in Computer Science</x:v>
      </x:c>
      <x:c r="G139" s="17" t="str">
        <x:v>Thesis or research master's</x:v>
      </x:c>
      <x:c r="H139" s="17" t="n">
        <x:v>50</x:v>
      </x:c>
      <x:c r="I139" s="17" t="n">
        <x:v>20</x:v>
      </x:c>
      <x:c r="J139" s="17" t="n">
        <x:v>5</x:v>
      </x:c>
      <x:c r="K139" s="17" t="n">
        <x:v>10</x:v>
      </x:c>
      <x:c r="L139" s="17" t="n">
        <x:v>5</x:v>
      </x:c>
      <x:c r="M139" s="17" t="n">
        <x:v>10</x:v>
      </x:c>
      <x:c r="N139" s="17" t="n">
        <x:v>0</x:v>
      </x:c>
      <x:c r="O139" s="17" t="str">
        <x:v>No</x:v>
      </x:c>
      <x:c r="P139" s="17" t="str">
        <x:v>funding|eligibility</x:v>
      </x:c>
      <x:c r="Q139" s="17" t="n">
        <x:v>1</x:v>
      </x:c>
      <x:c r="R139" s="17" t="str">
        <x:v>Credible full-cost scholarship route exists but award is competitive and document-dependent</x:v>
      </x:c>
      <x:c r="S139" s="17" t="str">
        <x:v>Exact Computer Science application fee not verified</x:v>
      </x:c>
      <x:c r="T139" s="17" t="str">
        <x:v>EUR</x:v>
      </x:c>
      <x:c r="U139" s="17" t="str">
        <x:v>Eligibility concern</x:v>
      </x:c>
      <x:c r="V139" s="17" t="str">
        <x:v>partial</x:v>
      </x:c>
      <x:c r="W139" s="17" t="str">
        <x:v>low</x:v>
      </x:c>
      <x:c r="X139" s="17" t="str">
        <x:v>Does the transcript satisfy the 72-credit subject distribution, and can the applicant document DSU economic eligibility for 2027–28? | Single-professor dependency. | Official funding evidence exists but does not prove a credible program-wide package or full scholarship. | Fee is high or the applicable Fall 2027 amount/waiver remains unverified.</x:v>
      </x:c>
      <x:c r="Y139" s="18" t="e">
        <x:f>HYPERLINK("https://www.unipi.it/en/education/courses/master-degree/computer-science-wif-lm-en/","Open source")</x:f>
        <x:v>HYPERLINK is not implemented. linkLocation=https://www.unipi.it/en/education/courses/master-degree/computer-science-wif-lm-en/, friendlyName=Open source</x:v>
      </x:c>
    </x:row>
    <x:row r="140" ht="46" customHeight="1">
      <x:c r="A140" s="17" t="str">
        <x:v>do_not_apply</x:v>
      </x:c>
      <x:c r="B140" s="17" t="str"/>
      <x:c r="C140" s="17" t="str">
        <x:v>Università di Camerino</x:v>
      </x:c>
      <x:c r="D140" s="17" t="str">
        <x:v>Italy</x:v>
      </x:c>
      <x:c r="E140" s="17" t="str">
        <x:v>europe</x:v>
      </x:c>
      <x:c r="F140" s="17" t="str">
        <x:v>Master of Science in Computer Science</x:v>
      </x:c>
      <x:c r="G140" s="17" t="str">
        <x:v>Thesis or research master's</x:v>
      </x:c>
      <x:c r="H140" s="17" t="n">
        <x:v>50</x:v>
      </x:c>
      <x:c r="I140" s="17" t="n">
        <x:v>20</x:v>
      </x:c>
      <x:c r="J140" s="17" t="n">
        <x:v>5</x:v>
      </x:c>
      <x:c r="K140" s="17" t="n">
        <x:v>10</x:v>
      </x:c>
      <x:c r="L140" s="17" t="n">
        <x:v>5</x:v>
      </x:c>
      <x:c r="M140" s="17" t="n">
        <x:v>10</x:v>
      </x:c>
      <x:c r="N140" s="17" t="n">
        <x:v>0</x:v>
      </x:c>
      <x:c r="O140" s="17" t="str">
        <x:v>No</x:v>
      </x:c>
      <x:c r="P140" s="17" t="str">
        <x:v>funding|eligibility</x:v>
      </x:c>
      <x:c r="Q140" s="17" t="n">
        <x:v>1</x:v>
      </x:c>
      <x:c r="R140" s="17" t="str">
        <x:v>Credible full-cost ERDIS route exists, but the current detailed international award decision remains applicant- and document-dependent</x:v>
      </x:c>
      <x:c r="S140" s="17" t="str">
        <x:v>Exact pre-admission fee not verified</x:v>
      </x:c>
      <x:c r="T140" s="17" t="str">
        <x:v>EUR</x:v>
      </x:c>
      <x:c r="U140" s="17" t="str">
        <x:v>Eligibility concern</x:v>
      </x:c>
      <x:c r="V140" s="17" t="str">
        <x:v>partial</x:v>
      </x:c>
      <x:c r="W140" s="17" t="str">
        <x:v>low</x:v>
      </x:c>
      <x:c r="X140" s="17" t="str">
        <x:v>Will academic review accept the applicant's curriculum and B2 evidence, and can current ERDIS terms be documented for a complete 2027–28 package? | Single-professor dependency. | Official funding evidence exists but does not prove a credible program-wide package or full scholarship. | Fee is high or the applicable Fall 2027 amount/waiver remains unverified.</x:v>
      </x:c>
      <x:c r="Y140" s="18" t="e">
        <x:f>HYPERLINK("https://sst.unicam.it/corsi/computer-science","Open source")</x:f>
        <x:v>HYPERLINK is not implemented. linkLocation=https://sst.unicam.it/corsi/computer-science, friendlyName=Open source</x:v>
      </x:c>
    </x:row>
    <x:row r="141" ht="46" customHeight="1">
      <x:c r="A141" s="17" t="str">
        <x:v>do_not_apply</x:v>
      </x:c>
      <x:c r="B141" s="17" t="str"/>
      <x:c r="C141" s="17" t="str">
        <x:v>Western University</x:v>
      </x:c>
      <x:c r="D141" s="17" t="str">
        <x:v>Canada</x:v>
      </x:c>
      <x:c r="E141" s="17" t="str">
        <x:v>canada</x:v>
      </x:c>
      <x:c r="F141" s="17" t="str">
        <x:v>Master of Engineering Science (MESc) in Electrical and Computer Engineering</x:v>
      </x:c>
      <x:c r="G141" s="17" t="str">
        <x:v>Thesis or research master's</x:v>
      </x:c>
      <x:c r="H141" s="17" t="n">
        <x:v>50</x:v>
      </x:c>
      <x:c r="I141" s="17" t="n">
        <x:v>20</x:v>
      </x:c>
      <x:c r="J141" s="17" t="n">
        <x:v>5</x:v>
      </x:c>
      <x:c r="K141" s="17" t="n">
        <x:v>10</x:v>
      </x:c>
      <x:c r="L141" s="17" t="n">
        <x:v>5</x:v>
      </x:c>
      <x:c r="M141" s="17" t="n">
        <x:v>10</x:v>
      </x:c>
      <x:c r="N141" s="17" t="n">
        <x:v>0</x:v>
      </x:c>
      <x:c r="O141" s="17" t="str">
        <x:v>No</x:v>
      </x:c>
      <x:c r="P141" s="17" t="str">
        <x:v>funding|eligibility</x:v>
      </x:c>
      <x:c r="Q141" s="17" t="n">
        <x:v>1</x:v>
      </x:c>
      <x:c r="R141" s="17" t="str">
        <x:v>Published minimum package of 14,200 plus tuition for eligible MESc students, excluding ancillary fees</x:v>
      </x:c>
      <x:c r="S141" s="17" t="str">
        <x:v>Not verified for this program</x:v>
      </x:c>
      <x:c r="T141" s="17" t="str">
        <x:v>CAD</x:v>
      </x:c>
      <x:c r="U141" s="17" t="str">
        <x:v>Eligibility concern</x:v>
      </x:c>
      <x:c r="V141" s="17" t="str">
        <x:v>partial</x:v>
      </x:c>
      <x:c r="W141" s="17" t="str">
        <x:v>low</x:v>
      </x:c>
      <x:c r="X141" s="17" t="str">
        <x:v>Will ECE accept the applicant's computer science bachelor's as similar preparation and identify a fundable supervisor? | Single-professor dependency. | Official funding evidence exists but does not prove a credible program-wide package or full scholarship. | Fee is high or the applicable Fall 2027 amount/waiver remains unverified.</x:v>
      </x:c>
      <x:c r="Y141" s="18" t="e">
        <x:f>HYPERLINK("https://www.eng.uwo.ca/graduate/future-students/Graduate-Degree-Programs/electrical-computer.html","Open source")</x:f>
        <x:v>HYPERLINK is not implemented. linkLocation=https://www.eng.uwo.ca/graduate/future-students/Graduate-Degree-Programs/electrical-computer.html, friendlyName=Open source</x:v>
      </x:c>
    </x:row>
    <x:row r="142" ht="46" customHeight="1">
      <x:c r="A142" s="17" t="str">
        <x:v>do_not_apply</x:v>
      </x:c>
      <x:c r="B142" s="17" t="str"/>
      <x:c r="C142" s="17" t="str">
        <x:v>Southern Illinois University-Carbondale</x:v>
      </x:c>
      <x:c r="D142" s="17" t="str">
        <x:v>United States</x:v>
      </x:c>
      <x:c r="E142" s="17" t="str">
        <x:v>us</x:v>
      </x:c>
      <x:c r="F142" s="17" t="str">
        <x:v>Computer Science, Doctor of Philosophy</x:v>
      </x:c>
      <x:c r="G142" s="17" t="str">
        <x:v>PhD</x:v>
      </x:c>
      <x:c r="H142" s="17" t="n">
        <x:v>48</x:v>
      </x:c>
      <x:c r="I142" s="17" t="n">
        <x:v>20</x:v>
      </x:c>
      <x:c r="J142" s="17" t="n">
        <x:v>5</x:v>
      </x:c>
      <x:c r="K142" s="17" t="n">
        <x:v>10</x:v>
      </x:c>
      <x:c r="L142" s="17" t="n">
        <x:v>5</x:v>
      </x:c>
      <x:c r="M142" s="17" t="n">
        <x:v>5</x:v>
      </x:c>
      <x:c r="N142" s="17" t="n">
        <x:v>3</x:v>
      </x:c>
      <x:c r="O142" s="17" t="str">
        <x:v>No</x:v>
      </x:c>
      <x:c r="P142" s="17" t="str">
        <x:v>funding|eligibility</x:v>
      </x:c>
      <x:c r="Q142" s="17" t="n">
        <x:v>1</x:v>
      </x:c>
      <x:c r="R142" s="17" t="str">
        <x:v>Program reports many qualified doctoral students receive stipend-bearing assistantships with tuition waiver</x:v>
      </x:c>
      <x:c r="S142" s="17" t="n">
        <x:v>65</x:v>
      </x:c>
      <x:c r="T142" s="17" t="str">
        <x:v>USD</x:v>
      </x:c>
      <x:c r="U142" s="17" t="str">
        <x:v>Eligibility concern</x:v>
      </x:c>
      <x:c r="V142" s="17" t="str">
        <x:v>partial</x:v>
      </x:c>
      <x:c r="W142" s="17" t="str">
        <x:v>low</x:v>
      </x:c>
      <x:c r="X142" s="17" t="str">
        <x:v>Will SIU classify this 3.35-GPA bachelor's applicant as exceptional and admit them directly without a master's? | Single-professor dependency. | Official funding evidence exists but does not prove a credible program-wide package or full scholarship. | Applicable waiver or final Fall 2027 cost is not guaranteed.</x:v>
      </x:c>
      <x:c r="Y142" s="18" t="e">
        <x:f>HYPERLINK("https://academics.siu.edu/computing-and-technology/computer-science/doctoral/","Open source")</x:f>
        <x:v>HYPERLINK is not implemented. linkLocation=https://academics.siu.edu/computing-and-technology/computer-science/doctoral/, friendlyName=Open source</x:v>
      </x:c>
    </x:row>
    <x:row r="143" ht="46" customHeight="1">
      <x:c r="A143" s="17" t="str">
        <x:v>do_not_apply</x:v>
      </x:c>
      <x:c r="B143" s="17" t="str"/>
      <x:c r="C143" s="17" t="str">
        <x:v>Stevens Institute of Technology</x:v>
      </x:c>
      <x:c r="D143" s="17" t="str">
        <x:v>United States</x:v>
      </x:c>
      <x:c r="E143" s="17" t="str">
        <x:v>us</x:v>
      </x:c>
      <x:c r="F143" s="17" t="str">
        <x:v>Ph.D. in Computer Science</x:v>
      </x:c>
      <x:c r="G143" s="17" t="str">
        <x:v>PhD</x:v>
      </x:c>
      <x:c r="H143" s="17" t="n">
        <x:v>48</x:v>
      </x:c>
      <x:c r="I143" s="17" t="n">
        <x:v>20</x:v>
      </x:c>
      <x:c r="J143" s="17" t="n">
        <x:v>5</x:v>
      </x:c>
      <x:c r="K143" s="17" t="n">
        <x:v>10</x:v>
      </x:c>
      <x:c r="L143" s="17" t="n">
        <x:v>5</x:v>
      </x:c>
      <x:c r="M143" s="17" t="n">
        <x:v>5</x:v>
      </x:c>
      <x:c r="N143" s="17" t="n">
        <x:v>3</x:v>
      </x:c>
      <x:c r="O143" s="17" t="str">
        <x:v>No</x:v>
      </x:c>
      <x:c r="P143" s="17" t="str">
        <x:v>funding|eligibility</x:v>
      </x:c>
      <x:c r="Q143" s="17" t="n">
        <x:v>1</x:v>
      </x:c>
      <x:c r="R143" s="17" t="str">
        <x:v>The program states all Computer Science doctoral students receive financial support</x:v>
      </x:c>
      <x:c r="S143" s="17" t="n">
        <x:v>60</x:v>
      </x:c>
      <x:c r="T143" s="17" t="str">
        <x:v>USD</x:v>
      </x:c>
      <x:c r="U143" s="17" t="str">
        <x:v>Eligibility concern</x:v>
      </x:c>
      <x:c r="V143" s="17" t="str">
        <x:v>partial</x:v>
      </x:c>
      <x:c r="W143" s="17" t="str">
        <x:v>low</x:v>
      </x:c>
      <x:c r="X143" s="17" t="str">
        <x:v>Will Stevens confirm direct PhD eligibility from this bachelor's record, and what exact support terms will the offer contain? | Single-professor dependency. | Official funding evidence exists but does not prove a credible program-wide package or full scholarship. | Applicable waiver or final Fall 2027 cost is not guaranteed.</x:v>
      </x:c>
      <x:c r="Y143" s="18" t="e">
        <x:f>HYPERLINK("https://www.stevens.edu/program/computer-science-doctoral-program","Open source")</x:f>
        <x:v>HYPERLINK is not implemented. linkLocation=https://www.stevens.edu/program/computer-science-doctoral-program, friendlyName=Open source</x:v>
      </x:c>
    </x:row>
    <x:row r="144" ht="46" customHeight="1">
      <x:c r="A144" s="17" t="str">
        <x:v>do_not_apply</x:v>
      </x:c>
      <x:c r="B144" s="17" t="str"/>
      <x:c r="C144" s="17" t="str">
        <x:v>Wichita State University</x:v>
      </x:c>
      <x:c r="D144" s="17" t="str">
        <x:v>United States</x:v>
      </x:c>
      <x:c r="E144" s="17" t="str">
        <x:v>us</x:v>
      </x:c>
      <x:c r="F144" s="17" t="str">
        <x:v>PhD in Electrical Engineering and Computer Science</x:v>
      </x:c>
      <x:c r="G144" s="17" t="str">
        <x:v>PhD</x:v>
      </x:c>
      <x:c r="H144" s="17" t="n">
        <x:v>48</x:v>
      </x:c>
      <x:c r="I144" s="17" t="n">
        <x:v>20</x:v>
      </x:c>
      <x:c r="J144" s="17" t="n">
        <x:v>5</x:v>
      </x:c>
      <x:c r="K144" s="17" t="n">
        <x:v>10</x:v>
      </x:c>
      <x:c r="L144" s="17" t="n">
        <x:v>5</x:v>
      </x:c>
      <x:c r="M144" s="17" t="n">
        <x:v>5</x:v>
      </x:c>
      <x:c r="N144" s="17" t="n">
        <x:v>3</x:v>
      </x:c>
      <x:c r="O144" s="17" t="str">
        <x:v>No</x:v>
      </x:c>
      <x:c r="P144" s="17" t="str">
        <x:v>funding|eligibility</x:v>
      </x:c>
      <x:c r="Q144" s="17" t="n">
        <x:v>1</x:v>
      </x:c>
      <x:c r="R144" s="17" t="str">
        <x:v>Assistantships are available and may waive up to 100 percent of tuition; appointment is not guaranteed</x:v>
      </x:c>
      <x:c r="S144" s="17" t="str">
        <x:v>75 by priority date, 135 by secondary date, and 175 after the secondary date in the latest published international Fall schedule</x:v>
      </x:c>
      <x:c r="T144" s="17" t="str">
        <x:v>USD</x:v>
      </x:c>
      <x:c r="U144" s="17" t="str">
        <x:v>Eligibility concern</x:v>
      </x:c>
      <x:c r="V144" s="17" t="str">
        <x:v>partial</x:v>
      </x:c>
      <x:c r="W144" s="17" t="str">
        <x:v>low</x:v>
      </x:c>
      <x:c r="X144" s="17" t="str">
        <x:v>Will a CS-track faculty member commit to advise this bachelor's applicant and certify the record as exceptional? | Single-professor dependency. | Official funding evidence exists but does not prove a credible program-wide package or full scholarship. | Applicable waiver or final Fall 2027 cost is not guaranteed.</x:v>
      </x:c>
      <x:c r="Y144" s="18" t="e">
        <x:f>HYPERLINK("https://catalog.wichita.edu/graduate/engineering/electrical-computer-engineering/phd-in-eecs/","Open source")</x:f>
        <x:v>HYPERLINK is not implemented. linkLocation=https://catalog.wichita.edu/graduate/engineering/electrical-computer-engineering/phd-in-eecs/, friendlyName=Open source</x:v>
      </x:c>
    </x:row>
    <x:row r="145" ht="46" customHeight="1">
      <x:c r="A145" s="17" t="str">
        <x:v>do_not_apply</x:v>
      </x:c>
      <x:c r="B145" s="17" t="str"/>
      <x:c r="C145" s="17" t="str">
        <x:v>Georgia Institute of Technology-Main Campus</x:v>
      </x:c>
      <x:c r="D145" s="17" t="str">
        <x:v>United States</x:v>
      </x:c>
      <x:c r="E145" s="17" t="str">
        <x:v>us</x:v>
      </x:c>
      <x:c r="F145" s="17" t="str">
        <x:v>Computer Science PhD</x:v>
      </x:c>
      <x:c r="G145" s="17" t="str">
        <x:v>PhD</x:v>
      </x:c>
      <x:c r="H145" s="17" t="n">
        <x:v>45</x:v>
      </x:c>
      <x:c r="I145" s="17" t="n">
        <x:v>20</x:v>
      </x:c>
      <x:c r="J145" s="17" t="n">
        <x:v>5</x:v>
      </x:c>
      <x:c r="K145" s="17" t="n">
        <x:v>0</x:v>
      </x:c>
      <x:c r="L145" s="17" t="n">
        <x:v>10</x:v>
      </x:c>
      <x:c r="M145" s="17" t="n">
        <x:v>10</x:v>
      </x:c>
      <x:c r="N145" s="17" t="n">
        <x:v>0</x:v>
      </x:c>
      <x:c r="O145" s="17" t="str">
        <x:v>No</x:v>
      </x:c>
      <x:c r="P145" s="17" t="str">
        <x:v>funding</x:v>
      </x:c>
      <x:c r="Q145" s="17" t="n">
        <x:v>1</x:v>
      </x:c>
      <x:c r="R145" s="17" t="str">
        <x:v>No independently sourced material funding claim retained</x:v>
      </x:c>
      <x:c r="S145" s="17" t="str">
        <x:v>105 international / 95 domestic</x:v>
      </x:c>
      <x:c r="T145" s="17" t="str">
        <x:v>USD</x:v>
      </x:c>
      <x:c r="U145" s="17" t="str">
        <x:v>Plausible</x:v>
      </x:c>
      <x:c r="V145" s="17" t="str">
        <x:v>partial</x:v>
      </x:c>
      <x:c r="W145" s="17" t="str">
        <x:v>low</x:v>
      </x:c>
      <x:c r="X145" s="17" t="str">
        <x:v>Will a Fall 2027 CS PhD offer guarantee tuition, stipend, insurance, and duration? | Single-professor dependency. | No verified official material funding source is recorded. | Fee is high or the applicable Fall 2027 amount/waiver remains unverified.</x:v>
      </x:c>
      <x:c r="Y145" s="18" t="e">
        <x:f>HYPERLINK("https://www.cc.gatech.edu/degree-programs/phd-computer-science","Open source")</x:f>
        <x:v>HYPERLINK is not implemented. linkLocation=https://www.cc.gatech.edu/degree-programs/phd-computer-science, friendlyName=Open source</x:v>
      </x:c>
    </x:row>
    <x:row r="146" ht="46" customHeight="1">
      <x:c r="A146" s="17" t="str">
        <x:v>do_not_apply</x:v>
      </x:c>
      <x:c r="B146" s="17" t="str"/>
      <x:c r="C146" s="17" t="str">
        <x:v>University of British Columbia</x:v>
      </x:c>
      <x:c r="D146" s="17" t="str">
        <x:v>Canada</x:v>
      </x:c>
      <x:c r="E146" s="17" t="str">
        <x:v>canada</x:v>
      </x:c>
      <x:c r="F146" s="17" t="str">
        <x:v>MSc in Computer Science (research)</x:v>
      </x:c>
      <x:c r="G146" s="17" t="str">
        <x:v>Thesis or research master's</x:v>
      </x:c>
      <x:c r="H146" s="17" t="n">
        <x:v>45</x:v>
      </x:c>
      <x:c r="I146" s="17" t="n">
        <x:v>0</x:v>
      </x:c>
      <x:c r="J146" s="17" t="n">
        <x:v>0</x:v>
      </x:c>
      <x:c r="K146" s="17" t="n">
        <x:v>20</x:v>
      </x:c>
      <x:c r="L146" s="17" t="n">
        <x:v>10</x:v>
      </x:c>
      <x:c r="M146" s="17" t="n">
        <x:v>10</x:v>
      </x:c>
      <x:c r="N146" s="17" t="n">
        <x:v>5</x:v>
      </x:c>
      <x:c r="O146" s="17" t="str">
        <x:v>No</x:v>
      </x:c>
      <x:c r="P146" s="17" t="str">
        <x:v>professor</x:v>
      </x:c>
      <x:c r="Q146" s="17" t="n">
        <x:v>0</x:v>
      </x:c>
      <x:c r="R146" s="17" t="str">
        <x:v>Guaranteed at department standard minimum for two years</x:v>
      </x:c>
      <x:c r="S146" s="17" t="n">
        <x:v>168.25</x:v>
      </x:c>
      <x:c r="T146" s="17" t="str">
        <x:v>CAD</x:v>
      </x:c>
      <x:c r="U146" s="17" t="str">
        <x:v>Insufficient evidence</x:v>
      </x:c>
      <x:c r="V146" s="17" t="str">
        <x:v>partial</x:v>
      </x:c>
      <x:c r="W146" s="17" t="str">
        <x:v>low</x:v>
      </x:c>
      <x:c r="X146" s="17" t="str">
        <x:v>Confirm whether the 2027-28 package preserves the year-two international net level | No candidate clears every Stage 4 professor evidence gate. | No verified department depth. | One or more duration, tuition, fee, health, summer, or net-cost terms remain unresolved.</x:v>
      </x:c>
      <x:c r="Y146" s="18" t="e">
        <x:f>HYPERLINK("https://www.cs.ubc.ca/students/grad/admissions","Open source")</x:f>
        <x:v>HYPERLINK is not implemented. linkLocation=https://www.cs.ubc.ca/students/grad/admissions, friendlyName=Open source</x:v>
      </x:c>
    </x:row>
    <x:row r="147" ht="46" customHeight="1">
      <x:c r="A147" s="17" t="str">
        <x:v>do_not_apply</x:v>
      </x:c>
      <x:c r="B147" s="17" t="str"/>
      <x:c r="C147" s="17" t="str">
        <x:v>University of Manitoba</x:v>
      </x:c>
      <x:c r="D147" s="17" t="str">
        <x:v>Canada</x:v>
      </x:c>
      <x:c r="E147" s="17" t="str">
        <x:v>canada</x:v>
      </x:c>
      <x:c r="F147" s="17" t="str">
        <x:v>Ph.D. in Computer Science</x:v>
      </x:c>
      <x:c r="G147" s="17" t="str">
        <x:v>PhD</x:v>
      </x:c>
      <x:c r="H147" s="17" t="n">
        <x:v>45</x:v>
      </x:c>
      <x:c r="I147" s="17" t="n">
        <x:v>20</x:v>
      </x:c>
      <x:c r="J147" s="17" t="n">
        <x:v>5</x:v>
      </x:c>
      <x:c r="K147" s="17" t="n">
        <x:v>10</x:v>
      </x:c>
      <x:c r="L147" s="17" t="n">
        <x:v>5</x:v>
      </x:c>
      <x:c r="M147" s="17" t="n">
        <x:v>5</x:v>
      </x:c>
      <x:c r="N147" s="17" t="n">
        <x:v>0</x:v>
      </x:c>
      <x:c r="O147" s="17" t="str">
        <x:v>No</x:v>
      </x:c>
      <x:c r="P147" s="17" t="str">
        <x:v>funding|eligibility</x:v>
      </x:c>
      <x:c r="Q147" s="17" t="n">
        <x:v>1</x:v>
      </x:c>
      <x:c r="R147" s="17" t="str">
        <x:v>Department publishes minimum PhD funding of CAD 23,000 annually for the first four years</x:v>
      </x:c>
      <x:c r="S147" s="17" t="str">
        <x:v>Not verified from a current official fee page</x:v>
      </x:c>
      <x:c r="T147" s="17" t="str">
        <x:v>CAD</x:v>
      </x:c>
      <x:c r="U147" s="17" t="str">
        <x:v>Eligibility concern</x:v>
      </x:c>
      <x:c r="V147" s="17" t="str">
        <x:v>partial</x:v>
      </x:c>
      <x:c r="W147" s="17" t="str">
        <x:v>low</x:v>
      </x:c>
      <x:c r="X147" s="17" t="str">
        <x:v>Will the department approve the applicant's bachelor's-only exceptional entry and will a supervisor endorse that route in writing? | Single-professor dependency. | Official funding evidence exists but does not prove a credible program-wide package or full scholarship. | Fee is high or the applicable Fall 2027 amount/waiver remains unverified.</x:v>
      </x:c>
      <x:c r="Y147" s="18" t="e">
        <x:f>HYPERLINK("https://umanitoba.ca/graduate-studies/admissions/programs-of-study/computer-science-phd","Open source")</x:f>
        <x:v>HYPERLINK is not implemented. linkLocation=https://umanitoba.ca/graduate-studies/admissions/programs-of-study/computer-science-phd, friendlyName=Open source</x:v>
      </x:c>
    </x:row>
    <x:row r="148" ht="46" customHeight="1">
      <x:c r="A148" s="17" t="str">
        <x:v>do_not_apply</x:v>
      </x:c>
      <x:c r="B148" s="17" t="str"/>
      <x:c r="C148" s="17" t="str">
        <x:v>University of Toronto</x:v>
      </x:c>
      <x:c r="D148" s="17" t="str">
        <x:v>Canada</x:v>
      </x:c>
      <x:c r="E148" s="17" t="str">
        <x:v>canada</x:v>
      </x:c>
      <x:c r="F148" s="17" t="str">
        <x:v>PhD in Computer Science (PhD U)</x:v>
      </x:c>
      <x:c r="G148" s="17" t="str">
        <x:v>Direct-entry PhD</x:v>
      </x:c>
      <x:c r="H148" s="17" t="n">
        <x:v>45</x:v>
      </x:c>
      <x:c r="I148" s="17" t="n">
        <x:v>0</x:v>
      </x:c>
      <x:c r="J148" s="17" t="n">
        <x:v>0</x:v>
      </x:c>
      <x:c r="K148" s="17" t="n">
        <x:v>25</x:v>
      </x:c>
      <x:c r="L148" s="17" t="n">
        <x:v>10</x:v>
      </x:c>
      <x:c r="M148" s="17" t="n">
        <x:v>10</x:v>
      </x:c>
      <x:c r="N148" s="17" t="n">
        <x:v>0</x:v>
      </x:c>
      <x:c r="O148" s="17" t="str">
        <x:v>No</x:v>
      </x:c>
      <x:c r="P148" s="17" t="str">
        <x:v>professor</x:v>
      </x:c>
      <x:c r="Q148" s="17" t="n">
        <x:v>0</x:v>
      </x:c>
      <x:c r="R148" s="17" t="str">
        <x:v>Guaranteed full-time research-stream funding; enhanced package targets $39,500 take-home</x:v>
      </x:c>
      <x:c r="S148" s="17" t="n">
        <x:v>130</x:v>
      </x:c>
      <x:c r="T148" s="17" t="str">
        <x:v>CAD</x:v>
      </x:c>
      <x:c r="U148" s="17" t="str">
        <x:v>Insufficient evidence</x:v>
      </x:c>
      <x:c r="V148" s="17" t="str">
        <x:v>partial</x:v>
      </x:c>
      <x:c r="W148" s="17" t="str">
        <x:v>low</x:v>
      </x:c>
      <x:c r="X148" s="17" t="str">
        <x:v>Recheck deadline immediately after the Fall 2027 application opens in October 2026 | No candidate clears every Stage 4 professor evidence gate. | No verified department depth. | Fee is high or the applicable Fall 2027 amount/waiver remains unverified.</x:v>
      </x:c>
      <x:c r="Y148" s="18" t="e">
        <x:f>HYPERLINK("https://web.cs.toronto.edu/graduate/faq","Open source")</x:f>
        <x:v>HYPERLINK is not implemented. linkLocation=https://web.cs.toronto.edu/graduate/faq, friendlyName=Open source</x:v>
      </x:c>
    </x:row>
    <x:row r="149" ht="46" customHeight="1">
      <x:c r="A149" s="17" t="str">
        <x:v>do_not_apply</x:v>
      </x:c>
      <x:c r="B149" s="17" t="str"/>
      <x:c r="C149" s="17" t="str">
        <x:v>York University</x:v>
      </x:c>
      <x:c r="D149" s="17" t="str">
        <x:v>Canada</x:v>
      </x:c>
      <x:c r="E149" s="17" t="str">
        <x:v>canada</x:v>
      </x:c>
      <x:c r="F149" s="17" t="str">
        <x:v>MASc in Electrical and Computer Engineering</x:v>
      </x:c>
      <x:c r="G149" s="17" t="str">
        <x:v>Thesis or research master's</x:v>
      </x:c>
      <x:c r="H149" s="17" t="n">
        <x:v>45</x:v>
      </x:c>
      <x:c r="I149" s="17" t="n">
        <x:v>20</x:v>
      </x:c>
      <x:c r="J149" s="17" t="n">
        <x:v>5</x:v>
      </x:c>
      <x:c r="K149" s="17" t="n">
        <x:v>10</x:v>
      </x:c>
      <x:c r="L149" s="17" t="n">
        <x:v>5</x:v>
      </x:c>
      <x:c r="M149" s="17" t="n">
        <x:v>5</x:v>
      </x:c>
      <x:c r="N149" s="17" t="n">
        <x:v>0</x:v>
      </x:c>
      <x:c r="O149" s="17" t="str">
        <x:v>No</x:v>
      </x:c>
      <x:c r="P149" s="17" t="str">
        <x:v>funding|eligibility</x:v>
      </x:c>
      <x:c r="Q149" s="17" t="n">
        <x:v>1</x:v>
      </x:c>
      <x:c r="R149" s="17" t="str">
        <x:v>Full-time thesis and project master's students are automatically considered; program also permits self-funded admission</x:v>
      </x:c>
      <x:c r="S149" s="17" t="str">
        <x:v>Not verified on the official program pages checked</x:v>
      </x:c>
      <x:c r="T149" s="17" t="str">
        <x:v>CAD</x:v>
      </x:c>
      <x:c r="U149" s="17" t="str">
        <x:v>Eligibility concern</x:v>
      </x:c>
      <x:c r="V149" s="17" t="str">
        <x:v>partial</x:v>
      </x:c>
      <x:c r="W149" s="17" t="str">
        <x:v>low</x:v>
      </x:c>
      <x:c r="X149" s="17" t="str">
        <x:v>Will York treat the applicant's CS bachelor's and senior project as equivalent to the listed engineering preparation? | Single-professor dependency. | Official funding evidence exists but does not prove a credible program-wide package or full scholarship. | Fee is high or the applicable Fall 2027 amount/waiver remains unverified.</x:v>
      </x:c>
      <x:c r="Y149" s="18" t="e">
        <x:f>HYPERLINK("https://futurestudents.yorku.ca/graduate/programs/electrical-engineering-and-computer-science","Open source")</x:f>
        <x:v>HYPERLINK is not implemented. linkLocation=https://futurestudents.yorku.ca/graduate/programs/electrical-engineering-and-computer-science, friendlyName=Open source</x:v>
      </x:c>
    </x:row>
    <x:row r="150" ht="46" customHeight="1">
      <x:c r="A150" s="17" t="str">
        <x:v>do_not_apply</x:v>
      </x:c>
      <x:c r="B150" s="17" t="str"/>
      <x:c r="C150" s="17" t="str">
        <x:v>University of Nebraska-Lincoln</x:v>
      </x:c>
      <x:c r="D150" s="17" t="str">
        <x:v>United States</x:v>
      </x:c>
      <x:c r="E150" s="17" t="str">
        <x:v>us</x:v>
      </x:c>
      <x:c r="F150" s="17" t="str">
        <x:v>Computer Science PhD</x:v>
      </x:c>
      <x:c r="G150" s="17" t="str">
        <x:v>PhD</x:v>
      </x:c>
      <x:c r="H150" s="17" t="n">
        <x:v>43</x:v>
      </x:c>
      <x:c r="I150" s="17" t="n">
        <x:v>20</x:v>
      </x:c>
      <x:c r="J150" s="17" t="n">
        <x:v>5</x:v>
      </x:c>
      <x:c r="K150" s="17" t="n">
        <x:v>0</x:v>
      </x:c>
      <x:c r="L150" s="17" t="n">
        <x:v>5</x:v>
      </x:c>
      <x:c r="M150" s="17" t="n">
        <x:v>10</x:v>
      </x:c>
      <x:c r="N150" s="17" t="n">
        <x:v>3</x:v>
      </x:c>
      <x:c r="O150" s="17" t="str">
        <x:v>No</x:v>
      </x:c>
      <x:c r="P150" s="17" t="str">
        <x:v>funding|eligibility</x:v>
      </x:c>
      <x:c r="Q150" s="17" t="n">
        <x:v>1</x:v>
      </x:c>
      <x:c r="R150" s="17" t="str">
        <x:v>No independently sourced material funding claim retained</x:v>
      </x:c>
      <x:c r="S150" s="17" t="n">
        <x:v>50</x:v>
      </x:c>
      <x:c r="T150" s="17" t="str">
        <x:v>USD</x:v>
      </x:c>
      <x:c r="U150" s="17" t="str">
        <x:v>Eligibility concern</x:v>
      </x:c>
      <x:c r="V150" s="17" t="str">
        <x:v>partial</x:v>
      </x:c>
      <x:c r="W150" s="17" t="str">
        <x:v>low</x:v>
      </x:c>
      <x:c r="X150" s="17" t="str">
        <x:v>Can a bachelor's-only applicant be admitted directly, and what support is guaranteed? | Single-professor dependency. | No verified official material funding source is recorded. | Applicable waiver or final Fall 2027 cost is not guaranteed.</x:v>
      </x:c>
      <x:c r="Y150" s="18" t="e">
        <x:f>HYPERLINK("https://graduate.unl.edu/academics/programs/COMP-PHD/","Open source")</x:f>
        <x:v>HYPERLINK is not implemented. linkLocation=https://graduate.unl.edu/academics/programs/COMP-PHD/, friendlyName=Open source</x:v>
      </x:c>
    </x:row>
    <x:row r="151" ht="46" customHeight="1">
      <x:c r="A151" s="17" t="str">
        <x:v>do_not_apply</x:v>
      </x:c>
      <x:c r="B151" s="17" t="str"/>
      <x:c r="C151" s="17" t="str">
        <x:v>Queen’s University</x:v>
      </x:c>
      <x:c r="D151" s="17" t="str">
        <x:v>Canada</x:v>
      </x:c>
      <x:c r="E151" s="17" t="str">
        <x:v>canada</x:v>
      </x:c>
      <x:c r="F151" s="17" t="str">
        <x:v>MSc in Computing (research pattern)</x:v>
      </x:c>
      <x:c r="G151" s="17" t="str">
        <x:v>Thesis or research master's</x:v>
      </x:c>
      <x:c r="H151" s="17" t="n">
        <x:v>40</x:v>
      </x:c>
      <x:c r="I151" s="17" t="n">
        <x:v>0</x:v>
      </x:c>
      <x:c r="J151" s="17" t="n">
        <x:v>0</x:v>
      </x:c>
      <x:c r="K151" s="17" t="n">
        <x:v>20</x:v>
      </x:c>
      <x:c r="L151" s="17" t="n">
        <x:v>10</x:v>
      </x:c>
      <x:c r="M151" s="17" t="n">
        <x:v>10</x:v>
      </x:c>
      <x:c r="N151" s="17" t="n">
        <x:v>0</x:v>
      </x:c>
      <x:c r="O151" s="17" t="str">
        <x:v>No</x:v>
      </x:c>
      <x:c r="P151" s="17" t="str">
        <x:v>professor</x:v>
      </x:c>
      <x:c r="Q151" s="17" t="n">
        <x:v>0</x:v>
      </x:c>
      <x:c r="R151" s="17" t="str">
        <x:v>Guaranteed minimum for research MSc, subject to duration and satisfactory progress</x:v>
      </x:c>
      <x:c r="S151" s="17" t="n">
        <x:v>120</x:v>
      </x:c>
      <x:c r="T151" s="17" t="str">
        <x:v>CAD</x:v>
      </x:c>
      <x:c r="U151" s="17" t="str">
        <x:v>Insufficient evidence</x:v>
      </x:c>
      <x:c r="V151" s="17" t="str">
        <x:v>partial</x:v>
      </x:c>
      <x:c r="W151" s="17" t="str">
        <x:v>low</x:v>
      </x:c>
      <x:c r="X151" s="17" t="str">
        <x:v>Only reconsider if Queen's confirms the transcript meets its A-standing equivalency despite the cumulative GPA | No candidate clears every Stage 4 professor evidence gate. | No verified department depth. | One or more duration, tuition, fee, health, summer, or net-cost terms remain unresolved. | Fee is high or the applicable Fall 2027 amount/waiver remains unverified.</x:v>
      </x:c>
      <x:c r="Y151" s="18" t="e">
        <x:f>HYPERLINK("https://www.cs.queensu.ca/graduate/msc/patterns/research.php","Open source")</x:f>
        <x:v>HYPERLINK is not implemented. linkLocation=https://www.cs.queensu.ca/graduate/msc/patterns/research.php, friendlyName=Open source</x:v>
      </x:c>
    </x:row>
    <x:row r="152" ht="46" customHeight="1">
      <x:c r="A152" s="17" t="str">
        <x:v>do_not_apply</x:v>
      </x:c>
      <x:c r="B152" s="17" t="str"/>
      <x:c r="C152" s="17" t="str">
        <x:v>University of Calgary</x:v>
      </x:c>
      <x:c r="D152" s="17" t="str">
        <x:v>Canada</x:v>
      </x:c>
      <x:c r="E152" s="17" t="str">
        <x:v>canada</x:v>
      </x:c>
      <x:c r="F152" s="17" t="str">
        <x:v>MSc in Computer Science (thesis)</x:v>
      </x:c>
      <x:c r="G152" s="17" t="str">
        <x:v>Thesis or research master's</x:v>
      </x:c>
      <x:c r="H152" s="17" t="n">
        <x:v>40</x:v>
      </x:c>
      <x:c r="I152" s="17" t="n">
        <x:v>0</x:v>
      </x:c>
      <x:c r="J152" s="17" t="n">
        <x:v>0</x:v>
      </x:c>
      <x:c r="K152" s="17" t="n">
        <x:v>20</x:v>
      </x:c>
      <x:c r="L152" s="17" t="n">
        <x:v>15</x:v>
      </x:c>
      <x:c r="M152" s="17" t="n">
        <x:v>5</x:v>
      </x:c>
      <x:c r="N152" s="17" t="n">
        <x:v>0</x:v>
      </x:c>
      <x:c r="O152" s="17" t="str">
        <x:v>No</x:v>
      </x:c>
      <x:c r="P152" s="17" t="str">
        <x:v>professor</x:v>
      </x:c>
      <x:c r="Q152" s="17" t="n">
        <x:v>0</x:v>
      </x:c>
      <x:c r="R152" s="17" t="str">
        <x:v>Guaranteed department minimum for two years</x:v>
      </x:c>
      <x:c r="S152" s="17" t="n">
        <x:v>145</x:v>
      </x:c>
      <x:c r="T152" s="17" t="str">
        <x:v>CAD</x:v>
      </x:c>
      <x:c r="U152" s="17" t="str">
        <x:v>Insufficient evidence</x:v>
      </x:c>
      <x:c r="V152" s="17" t="str">
        <x:v>partial</x:v>
      </x:c>
      <x:c r="W152" s="17" t="str">
        <x:v>low</x:v>
      </x:c>
      <x:c r="X152" s="17" t="str">
        <x:v>Confirm net annual amount after all tuition, mandatory fees and health insurance | No candidate clears every Stage 4 professor evidence gate. | No verified department depth. | One or more duration, tuition, fee, health, summer, or net-cost terms remain unresolved. | Fee is high or the applicable Fall 2027 amount/waiver remains unverified.</x:v>
      </x:c>
      <x:c r="Y152" s="18" t="e">
        <x:f>HYPERLINK("https://science.ucalgary.ca/computer-science/future-students/graduate/thesis-programs/masters-thesis-based","Open source")</x:f>
        <x:v>HYPERLINK is not implemented. linkLocation=https://science.ucalgary.ca/computer-science/future-students/graduate/thesis-programs/masters-thesis-based, friendlyName=Open source</x:v>
      </x:c>
    </x:row>
    <x:row r="153" ht="46" customHeight="1">
      <x:c r="A153" s="17" t="str">
        <x:v>do_not_apply</x:v>
      </x:c>
      <x:c r="B153" s="17" t="str"/>
      <x:c r="C153" s="17" t="str">
        <x:v>University of Waterloo</x:v>
      </x:c>
      <x:c r="D153" s="17" t="str">
        <x:v>Canada</x:v>
      </x:c>
      <x:c r="E153" s="17" t="str">
        <x:v>canada</x:v>
      </x:c>
      <x:c r="F153" s="17" t="str">
        <x:v>MMath in Computer Science (thesis)</x:v>
      </x:c>
      <x:c r="G153" s="17" t="str">
        <x:v>Thesis or research master's</x:v>
      </x:c>
      <x:c r="H153" s="17" t="n">
        <x:v>40</x:v>
      </x:c>
      <x:c r="I153" s="17" t="n">
        <x:v>0</x:v>
      </x:c>
      <x:c r="J153" s="17" t="n">
        <x:v>0</x:v>
      </x:c>
      <x:c r="K153" s="17" t="n">
        <x:v>20</x:v>
      </x:c>
      <x:c r="L153" s="17" t="n">
        <x:v>10</x:v>
      </x:c>
      <x:c r="M153" s="17" t="n">
        <x:v>10</x:v>
      </x:c>
      <x:c r="N153" s="17" t="n">
        <x:v>0</x:v>
      </x:c>
      <x:c r="O153" s="17" t="str">
        <x:v>No</x:v>
      </x:c>
      <x:c r="P153" s="17" t="str">
        <x:v>professor</x:v>
      </x:c>
      <x:c r="Q153" s="17" t="n">
        <x:v>0</x:v>
      </x:c>
      <x:c r="R153" s="17" t="str">
        <x:v>Guaranteed package for full-time MMath within program time limits</x:v>
      </x:c>
      <x:c r="S153" s="17" t="n">
        <x:v>150</x:v>
      </x:c>
      <x:c r="T153" s="17" t="str">
        <x:v>CAD</x:v>
      </x:c>
      <x:c r="U153" s="17" t="str">
        <x:v>Insufficient evidence</x:v>
      </x:c>
      <x:c r="V153" s="17" t="str">
        <x:v>partial</x:v>
      </x:c>
      <x:c r="W153" s="17" t="str">
        <x:v>low</x:v>
      </x:c>
      <x:c r="X153" s="17" t="str">
        <x:v>Ask graduate admissions how the applicant's US transcript is converted and confirm Fall 2027 net funding | No candidate clears every Stage 4 professor evidence gate. | No verified department depth. | One or more duration, tuition, fee, health, summer, or net-cost terms remain unresolved. | Fee is high or the applicable Fall 2027 amount/waiver remains unverified.</x:v>
      </x:c>
      <x:c r="Y153" s="18" t="e">
        <x:f>HYPERLINK("https://uwaterloo.ca/future-graduate-students/programs/by-faculty/math/computer-science-master-math-mmath","Open source")</x:f>
        <x:v>HYPERLINK is not implemented. linkLocation=https://uwaterloo.ca/future-graduate-students/programs/by-faculty/math/computer-science-master-math-mmath, friendlyName=Open source</x:v>
      </x:c>
    </x:row>
    <x:row r="154" ht="46" customHeight="1">
      <x:c r="A154" s="17" t="str">
        <x:v>do_not_apply</x:v>
      </x:c>
      <x:c r="B154" s="17" t="str"/>
      <x:c r="C154" s="17" t="str">
        <x:v>University of British Columbia</x:v>
      </x:c>
      <x:c r="D154" s="17" t="str">
        <x:v>Canada</x:v>
      </x:c>
      <x:c r="E154" s="17" t="str">
        <x:v>canada</x:v>
      </x:c>
      <x:c r="F154" s="17" t="str">
        <x:v>PhD Track via MSc</x:v>
      </x:c>
      <x:c r="G154" s="17" t="str">
        <x:v>Integrated or structured doctorate</x:v>
      </x:c>
      <x:c r="H154" s="17" t="n">
        <x:v>38</x:v>
      </x:c>
      <x:c r="I154" s="17" t="n">
        <x:v>0</x:v>
      </x:c>
      <x:c r="J154" s="17" t="n">
        <x:v>0</x:v>
      </x:c>
      <x:c r="K154" s="17" t="n">
        <x:v>20</x:v>
      </x:c>
      <x:c r="L154" s="17" t="n">
        <x:v>10</x:v>
      </x:c>
      <x:c r="M154" s="17" t="n">
        <x:v>5</x:v>
      </x:c>
      <x:c r="N154" s="17" t="n">
        <x:v>3</x:v>
      </x:c>
      <x:c r="O154" s="17" t="str">
        <x:v>No</x:v>
      </x:c>
      <x:c r="P154" s="17" t="str">
        <x:v>professor</x:v>
      </x:c>
      <x:c r="Q154" s="17" t="n">
        <x:v>0</x:v>
      </x:c>
      <x:c r="R154" s="17" t="str">
        <x:v>Guaranteed at applicable MSc/PhD standard minimums</x:v>
      </x:c>
      <x:c r="S154" s="17" t="n">
        <x:v>168.25</x:v>
      </x:c>
      <x:c r="T154" s="17" t="str">
        <x:v>CAD</x:v>
      </x:c>
      <x:c r="U154" s="17" t="str">
        <x:v>Insufficient evidence</x:v>
      </x:c>
      <x:c r="V154" s="17" t="str">
        <x:v>partial</x:v>
      </x:c>
      <x:c r="W154" s="17" t="str">
        <x:v>low</x:v>
      </x:c>
      <x:c r="X154" s="17" t="str">
        <x:v>Whether the applicant should signal PhD Track interest and how selection occurs for Fall 2027 | No candidate clears every Stage 4 professor evidence gate. | No verified department depth. | One or more duration, tuition, fee, health, summer, or net-cost terms remain unresolved. | Applicable waiver or final Fall 2027 cost is not guaranteed.</x:v>
      </x:c>
      <x:c r="Y154" s="18" t="e">
        <x:f>HYPERLINK("https://www.cs.ubc.ca/students/grad/admissions/eligibility","Open source")</x:f>
        <x:v>HYPERLINK is not implemented. linkLocation=https://www.cs.ubc.ca/students/grad/admissions/eligibility, friendlyName=Open source</x:v>
      </x:c>
    </x:row>
    <x:row r="155" ht="46" customHeight="1">
      <x:c r="A155" s="17" t="str">
        <x:v>do_not_apply</x:v>
      </x:c>
      <x:c r="B155" s="17" t="str"/>
      <x:c r="C155" s="17" t="str">
        <x:v>ETH Zurich</x:v>
      </x:c>
      <x:c r="D155" s="17" t="str">
        <x:v>Switzerland</x:v>
      </x:c>
      <x:c r="E155" s="17" t="str">
        <x:v>europe</x:v>
      </x:c>
      <x:c r="F155" s="17" t="str">
        <x:v>Direct Doctorate in Computer Science</x:v>
      </x:c>
      <x:c r="G155" s="17" t="str">
        <x:v>Direct-entry PhD</x:v>
      </x:c>
      <x:c r="H155" s="17" t="n">
        <x:v>35</x:v>
      </x:c>
      <x:c r="I155" s="17" t="n">
        <x:v>0</x:v>
      </x:c>
      <x:c r="J155" s="17" t="n">
        <x:v>0</x:v>
      </x:c>
      <x:c r="K155" s="17" t="n">
        <x:v>10</x:v>
      </x:c>
      <x:c r="L155" s="17" t="n">
        <x:v>15</x:v>
      </x:c>
      <x:c r="M155" s="17" t="n">
        <x:v>10</x:v>
      </x:c>
      <x:c r="N155" s="17" t="n">
        <x:v>0</x:v>
      </x:c>
      <x:c r="O155" s="17" t="str">
        <x:v>No</x:v>
      </x:c>
      <x:c r="P155" s="17" t="str">
        <x:v>funding|professor</x:v>
      </x:c>
      <x:c r="Q155" s="17" t="n">
        <x:v>0</x:v>
      </x:c>
      <x:c r="R155" s="17" t="str">
        <x:v>Program-level support is stated for admitted Direct Doctorate students; no individual Fall 2027 offer or supervisor capacity is confirmed.</x:v>
      </x:c>
      <x:c r="S155" s="17" t="str">
        <x:v>Not verified for Fall 2027 unless stated in tuition field</x:v>
      </x:c>
      <x:c r="T155" s="17" t="str">
        <x:v>Not verified in frozen evidence</x:v>
      </x:c>
      <x:c r="U155" s="17" t="str">
        <x:v>Insufficient evidence</x:v>
      </x:c>
      <x:c r="V155" s="17" t="str">
        <x:v>partial</x:v>
      </x:c>
      <x:c r="W155" s="17" t="str">
        <x:v>low</x:v>
      </x:c>
      <x:c r="X155" s="17" t="str">
        <x:v>Will a Fall 2027 admission include the stated two-year support/waiver and subsequent salaried doctoral appointment? | No candidate clears every Stage 4 professor evidence gate. | No verified department depth. | Official funding evidence exists but does not prove a credible program-wide package or full scholarship. | Fee is high or the applicable Fall 2027 amount/waiver remains unverified.</x:v>
      </x:c>
      <x:c r="Y155" s="18" t="e">
        <x:f>HYPERLINK("https://inf.ethz.ch/doctorate/direct-doctorate-computer-science.html","Open source")</x:f>
        <x:v>HYPERLINK is not implemented. linkLocation=https://inf.ethz.ch/doctorate/direct-doctorate-computer-science.html, friendlyName=Open source</x:v>
      </x:c>
    </x:row>
    <x:row r="156" ht="46" customHeight="1">
      <x:c r="A156" s="17" t="str">
        <x:v>do_not_apply</x:v>
      </x:c>
      <x:c r="B156" s="17" t="str"/>
      <x:c r="C156" s="17" t="str">
        <x:v>University of Virginia-Main Campus</x:v>
      </x:c>
      <x:c r="D156" s="17" t="str">
        <x:v>United States</x:v>
      </x:c>
      <x:c r="E156" s="17" t="str">
        <x:v>us</x:v>
      </x:c>
      <x:c r="F156" s="17" t="str">
        <x:v>Ph.D. in Computer Science</x:v>
      </x:c>
      <x:c r="G156" s="17" t="str">
        <x:v>PhD</x:v>
      </x:c>
      <x:c r="H156" s="17" t="n">
        <x:v>35</x:v>
      </x:c>
      <x:c r="I156" s="17" t="n">
        <x:v>0</x:v>
      </x:c>
      <x:c r="J156" s="17" t="n">
        <x:v>0</x:v>
      </x:c>
      <x:c r="K156" s="17" t="n">
        <x:v>10</x:v>
      </x:c>
      <x:c r="L156" s="17" t="n">
        <x:v>10</x:v>
      </x:c>
      <x:c r="M156" s="17" t="n">
        <x:v>10</x:v>
      </x:c>
      <x:c r="N156" s="17" t="n">
        <x:v>5</x:v>
      </x:c>
      <x:c r="O156" s="17" t="str">
        <x:v>No</x:v>
      </x:c>
      <x:c r="P156" s="17" t="str">
        <x:v>funding|professor</x:v>
      </x:c>
      <x:c r="Q156" s="17" t="n">
        <x:v>0</x:v>
      </x:c>
      <x:c r="R156" s="17" t="str">
        <x:v>PhD students are usually admitted with a first-year package and are expected to join a research group for later RA support</x:v>
      </x:c>
      <x:c r="S156" s="17" t="n">
        <x:v>0</x:v>
      </x:c>
      <x:c r="T156" s="17" t="str">
        <x:v>USD</x:v>
      </x:c>
      <x:c r="U156" s="17" t="str">
        <x:v>Insufficient evidence</x:v>
      </x:c>
      <x:c r="V156" s="17" t="str">
        <x:v>partial</x:v>
      </x:c>
      <x:c r="W156" s="17" t="str">
        <x:v>low</x:v>
      </x:c>
      <x:c r="X156" s="17" t="str">
        <x:v>Will the individual offer guarantee support beyond the first year and specify summer coverage? | No candidate clears every Stage 4 professor evidence gate. | No verified department depth. | Official funding evidence exists but does not prove a credible program-wide package or full scholarship.</x:v>
      </x:c>
      <x:c r="Y156" s="18" t="e">
        <x:f>HYPERLINK("https://engineering.virginia.edu/department/computer-science/academics/graduate-programs/phd-computer-science","Open source")</x:f>
        <x:v>HYPERLINK is not implemented. linkLocation=https://engineering.virginia.edu/department/computer-science/academics/graduate-programs/phd-computer-science, friendlyName=Open source</x:v>
      </x:c>
    </x:row>
    <x:row r="157" ht="46" customHeight="1">
      <x:c r="A157" s="17" t="str">
        <x:v>do_not_apply</x:v>
      </x:c>
      <x:c r="B157" s="17" t="str"/>
      <x:c r="C157" s="17" t="str">
        <x:v>University of Waterloo</x:v>
      </x:c>
      <x:c r="D157" s="17" t="str">
        <x:v>Canada</x:v>
      </x:c>
      <x:c r="E157" s="17" t="str">
        <x:v>canada</x:v>
      </x:c>
      <x:c r="F157" s="17" t="str">
        <x:v>PhD in Computer Science (direct from bachelor's exception)</x:v>
      </x:c>
      <x:c r="G157" s="17" t="str">
        <x:v>Direct-entry PhD</x:v>
      </x:c>
      <x:c r="H157" s="17" t="n">
        <x:v>35</x:v>
      </x:c>
      <x:c r="I157" s="17" t="n">
        <x:v>0</x:v>
      </x:c>
      <x:c r="J157" s="17" t="n">
        <x:v>0</x:v>
      </x:c>
      <x:c r="K157" s="17" t="n">
        <x:v>20</x:v>
      </x:c>
      <x:c r="L157" s="17" t="n">
        <x:v>10</x:v>
      </x:c>
      <x:c r="M157" s="17" t="n">
        <x:v>5</x:v>
      </x:c>
      <x:c r="N157" s="17" t="n">
        <x:v>0</x:v>
      </x:c>
      <x:c r="O157" s="17" t="str">
        <x:v>No</x:v>
      </x:c>
      <x:c r="P157" s="17" t="str">
        <x:v>professor</x:v>
      </x:c>
      <x:c r="Q157" s="17" t="n">
        <x:v>0</x:v>
      </x:c>
      <x:c r="R157" s="17" t="str">
        <x:v>Guaranteed full-time PhD package within time limits</x:v>
      </x:c>
      <x:c r="S157" s="17" t="n">
        <x:v>150</x:v>
      </x:c>
      <x:c r="T157" s="17" t="str">
        <x:v>CAD</x:v>
      </x:c>
      <x:c r="U157" s="17" t="str">
        <x:v>Insufficient evidence</x:v>
      </x:c>
      <x:c r="V157" s="17" t="str">
        <x:v>partial</x:v>
      </x:c>
      <x:c r="W157" s="17" t="str">
        <x:v>low</x:v>
      </x:c>
      <x:c r="X157" s="17" t="str">
        <x:v>Would the department encourage PhD direct entry or the MMath route for this profile? | No candidate clears every Stage 4 professor evidence gate. | No verified department depth. | One or more duration, tuition, fee, health, summer, or net-cost terms remain unresolved. | Fee is high or the applicable Fall 2027 amount/waiver remains unverified.</x:v>
      </x:c>
      <x:c r="Y157" s="18" t="e">
        <x:f>HYPERLINK("https://uwaterloo.ca/computer-science/future-graduate-students/programs","Open source")</x:f>
        <x:v>HYPERLINK is not implemented. linkLocation=https://uwaterloo.ca/computer-science/future-graduate-students/programs, friendlyName=Open source</x:v>
      </x:c>
    </x:row>
    <x:row r="158" ht="46" customHeight="1">
      <x:c r="A158" s="17" t="str">
        <x:v>do_not_apply</x:v>
      </x:c>
      <x:c r="B158" s="17" t="str"/>
      <x:c r="C158" s="17" t="str">
        <x:v>Concordia University</x:v>
      </x:c>
      <x:c r="D158" s="17" t="str">
        <x:v>Canada</x:v>
      </x:c>
      <x:c r="E158" s="17" t="str">
        <x:v>canada</x:v>
      </x:c>
      <x:c r="F158" s="17" t="str">
        <x:v>Master of Computer Science (thesis)</x:v>
      </x:c>
      <x:c r="G158" s="17" t="str">
        <x:v>Thesis or research master's</x:v>
      </x:c>
      <x:c r="H158" s="17" t="n">
        <x:v>33</x:v>
      </x:c>
      <x:c r="I158" s="17" t="n">
        <x:v>0</x:v>
      </x:c>
      <x:c r="J158" s="17" t="n">
        <x:v>0</x:v>
      </x:c>
      <x:c r="K158" s="17" t="n">
        <x:v>10</x:v>
      </x:c>
      <x:c r="L158" s="17" t="n">
        <x:v>10</x:v>
      </x:c>
      <x:c r="M158" s="17" t="n">
        <x:v>10</x:v>
      </x:c>
      <x:c r="N158" s="17" t="n">
        <x:v>3</x:v>
      </x:c>
      <x:c r="O158" s="17" t="str">
        <x:v>No</x:v>
      </x:c>
      <x:c r="P158" s="17" t="str">
        <x:v>funding|professor</x:v>
      </x:c>
      <x:c r="Q158" s="17" t="n">
        <x:v>0</x:v>
      </x:c>
      <x:c r="R158" s="17" t="str">
        <x:v>Generally available to most thesis students; no guaranteed numeric minimum published</x:v>
      </x:c>
      <x:c r="S158" s="17" t="n">
        <x:v>100</x:v>
      </x:c>
      <x:c r="T158" s="17" t="str">
        <x:v>CAD</x:v>
      </x:c>
      <x:c r="U158" s="17" t="str">
        <x:v>Insufficient evidence</x:v>
      </x:c>
      <x:c r="V158" s="17" t="str">
        <x:v>partial</x:v>
      </x:c>
      <x:c r="W158" s="17" t="str">
        <x:v>low</x:v>
      </x:c>
      <x:c r="X158" s="17" t="str">
        <x:v>Can a potential supervisor/department confirm a two-year net funding floor for an international MCompSc? | No candidate clears every Stage 4 professor evidence gate. | No verified department depth. | Official funding evidence exists but does not prove a credible program-wide package or full scholarship. | Applicable waiver or final Fall 2027 cost is not guaranteed.</x:v>
      </x:c>
      <x:c r="Y158" s="18" t="e">
        <x:f>HYPERLINK("https://www.concordia.ca/academics/graduate/computer-science-mcompsc.html","Open source")</x:f>
        <x:v>HYPERLINK is not implemented. linkLocation=https://www.concordia.ca/academics/graduate/computer-science-mcompsc.html, friendlyName=Open source</x:v>
      </x:c>
    </x:row>
    <x:row r="159" ht="46" customHeight="1">
      <x:c r="A159" s="17" t="str">
        <x:v>do_not_apply</x:v>
      </x:c>
      <x:c r="B159" s="17" t="str"/>
      <x:c r="C159" s="17" t="str">
        <x:v>McGill University</x:v>
      </x:c>
      <x:c r="D159" s="17" t="str">
        <x:v>Canada</x:v>
      </x:c>
      <x:c r="E159" s="17" t="str">
        <x:v>canada</x:v>
      </x:c>
      <x:c r="F159" s="17" t="str">
        <x:v>MSc in Computer Science (thesis)</x:v>
      </x:c>
      <x:c r="G159" s="17" t="str">
        <x:v>Thesis or research master's</x:v>
      </x:c>
      <x:c r="H159" s="17" t="n">
        <x:v>30</x:v>
      </x:c>
      <x:c r="I159" s="17" t="n">
        <x:v>0</x:v>
      </x:c>
      <x:c r="J159" s="17" t="n">
        <x:v>0</x:v>
      </x:c>
      <x:c r="K159" s="17" t="n">
        <x:v>10</x:v>
      </x:c>
      <x:c r="L159" s="17" t="n">
        <x:v>10</x:v>
      </x:c>
      <x:c r="M159" s="17" t="n">
        <x:v>10</x:v>
      </x:c>
      <x:c r="N159" s="17" t="n">
        <x:v>0</x:v>
      </x:c>
      <x:c r="O159" s="17" t="str">
        <x:v>No</x:v>
      </x:c>
      <x:c r="P159" s="17" t="str">
        <x:v>funding|professor</x:v>
      </x:c>
      <x:c r="Q159" s="17" t="n">
        <x:v>0</x:v>
      </x:c>
      <x:c r="R159" s="17" t="str">
        <x:v>All PhD and most MSc described as funded, but no current numeric MSc minimum/guarantee located</x:v>
      </x:c>
      <x:c r="S159" s="17" t="n">
        <x:v>143.82</x:v>
      </x:c>
      <x:c r="T159" s="17" t="str">
        <x:v>CAD</x:v>
      </x:c>
      <x:c r="U159" s="17" t="str">
        <x:v>Insufficient evidence</x:v>
      </x:c>
      <x:c r="V159" s="17" t="str">
        <x:v>partial</x:v>
      </x:c>
      <x:c r="W159" s="17" t="str">
        <x:v>low</x:v>
      </x:c>
      <x:c r="X159" s="17" t="str">
        <x:v>Will an international thesis MSc offer guarantee a net amount after tuition for the full expected duration? | No candidate clears every Stage 4 professor evidence gate. | No verified department depth. | Official funding evidence exists but does not prove a credible program-wide package or full scholarship. | Fee is high or the applicable Fall 2027 amount/waiver remains unverified.</x:v>
      </x:c>
      <x:c r="Y159" s="18" t="e">
        <x:f>HYPERLINK("https://www.mcgill.ca/gradapplicants/program/computer-science-msc","Open source")</x:f>
        <x:v>HYPERLINK is not implemented. linkLocation=https://www.mcgill.ca/gradapplicants/program/computer-science-msc, friendlyName=Open source</x:v>
      </x:c>
    </x:row>
    <x:row r="160" ht="46" customHeight="1">
      <x:c r="A160" s="17" t="str">
        <x:v>do_not_apply</x:v>
      </x:c>
      <x:c r="B160" s="17" t="str"/>
      <x:c r="C160" s="17" t="str">
        <x:v>University of Calgary</x:v>
      </x:c>
      <x:c r="D160" s="17" t="str">
        <x:v>Canada</x:v>
      </x:c>
      <x:c r="E160" s="17" t="str">
        <x:v>canada</x:v>
      </x:c>
      <x:c r="F160" s="17" t="str">
        <x:v>PhD in Computer Science (without completed MSc)</x:v>
      </x:c>
      <x:c r="G160" s="17" t="str">
        <x:v>Direct-entry PhD</x:v>
      </x:c>
      <x:c r="H160" s="17" t="n">
        <x:v>30</x:v>
      </x:c>
      <x:c r="I160" s="17" t="n">
        <x:v>0</x:v>
      </x:c>
      <x:c r="J160" s="17" t="n">
        <x:v>0</x:v>
      </x:c>
      <x:c r="K160" s="17" t="n">
        <x:v>20</x:v>
      </x:c>
      <x:c r="L160" s="17" t="n">
        <x:v>5</x:v>
      </x:c>
      <x:c r="M160" s="17" t="n">
        <x:v>5</x:v>
      </x:c>
      <x:c r="N160" s="17" t="n">
        <x:v>0</x:v>
      </x:c>
      <x:c r="O160" s="17" t="str">
        <x:v>No</x:v>
      </x:c>
      <x:c r="P160" s="17" t="str">
        <x:v>professor|eligibility</x:v>
      </x:c>
      <x:c r="Q160" s="17" t="n">
        <x:v>0</x:v>
      </x:c>
      <x:c r="R160" s="17" t="str">
        <x:v>Guaranteed department minimum for four years; direct-from-bachelor expected time is five years, leaving a duration gap</x:v>
      </x:c>
      <x:c r="S160" s="17" t="n">
        <x:v>145</x:v>
      </x:c>
      <x:c r="T160" s="17" t="str">
        <x:v>CAD</x:v>
      </x:c>
      <x:c r="U160" s="17" t="str">
        <x:v>Eligibility concern</x:v>
      </x:c>
      <x:c r="V160" s="17" t="str">
        <x:v>partial</x:v>
      </x:c>
      <x:c r="W160" s="17" t="str">
        <x:v>low</x:v>
      </x:c>
      <x:c r="X160" s="17" t="str">
        <x:v>Will Calgary admit an external bachelor's holder directly, cover year five, and state the net amount after tuition and fees? | No candidate clears every Stage 4 professor evidence gate. | No verified department depth. | One or more duration, tuition, fee, health, summer, or net-cost terms remain unresolved. | Fee is high or the applicable Fall 2027 amount/waiver remains unverified.</x:v>
      </x:c>
      <x:c r="Y160" s="18" t="e">
        <x:f>HYPERLINK("https://science.ucalgary.ca/computer-science/future-students/graduate/thesis-programs/doctoral-thesis-based","Open source")</x:f>
        <x:v>HYPERLINK is not implemented. linkLocation=https://science.ucalgary.ca/computer-science/future-students/graduate/thesis-programs/doctoral-thesis-based, friendlyName=Open source</x:v>
      </x:c>
    </x:row>
    <x:row r="161" ht="46" customHeight="1">
      <x:c r="A161" s="17" t="str">
        <x:v>do_not_apply</x:v>
      </x:c>
      <x:c r="B161" s="17" t="str"/>
      <x:c r="C161" s="17" t="str">
        <x:v>University of Edinburgh</x:v>
      </x:c>
      <x:c r="D161" s="17" t="str">
        <x:v>United Kingdom</x:v>
      </x:c>
      <x:c r="E161" s="17" t="str">
        <x:v>europe</x:v>
      </x:c>
      <x:c r="F161" s="17" t="str">
        <x:v>PhD Informatics</x:v>
      </x:c>
      <x:c r="G161" s="17" t="str">
        <x:v>PhD</x:v>
      </x:c>
      <x:c r="H161" s="17" t="n">
        <x:v>30</x:v>
      </x:c>
      <x:c r="I161" s="17" t="n">
        <x:v>0</x:v>
      </x:c>
      <x:c r="J161" s="17" t="n">
        <x:v>0</x:v>
      </x:c>
      <x:c r="K161" s="17" t="n">
        <x:v>10</x:v>
      </x:c>
      <x:c r="L161" s="17" t="n">
        <x:v>10</x:v>
      </x:c>
      <x:c r="M161" s="17" t="n">
        <x:v>10</x:v>
      </x:c>
      <x:c r="N161" s="17" t="n">
        <x:v>0</x:v>
      </x:c>
      <x:c r="O161" s="17" t="str">
        <x:v>No</x:v>
      </x:c>
      <x:c r="P161" s="17" t="str">
        <x:v>funding|professor</x:v>
      </x:c>
      <x:c r="Q161" s="17" t="n">
        <x:v>0</x:v>
      </x:c>
      <x:c r="R161" s="17" t="str">
        <x:v>No Fall 2027 award confirmed</x:v>
      </x:c>
      <x:c r="S161" s="17" t="str">
        <x:v>Not verified for Fall 2027 unless stated in tuition field</x:v>
      </x:c>
      <x:c r="T161" s="17" t="str">
        <x:v>Not verified in frozen evidence</x:v>
      </x:c>
      <x:c r="U161" s="17" t="str">
        <x:v>Insufficient evidence</x:v>
      </x:c>
      <x:c r="V161" s="17" t="str">
        <x:v>partial</x:v>
      </x:c>
      <x:c r="W161" s="17" t="str">
        <x:v>low</x:v>
      </x:c>
      <x:c r="X161" s="17" t="str">
        <x:v>Will a 2027 award cover GBP 34,800+ overseas fees and full stipend? | No candidate clears every Stage 4 professor evidence gate. | No verified department depth. | Official funding evidence exists but does not prove a credible program-wide package or full scholarship. | Fee is high or the applicable Fall 2027 amount/waiver remains unverified.</x:v>
      </x:c>
      <x:c r="Y161" s="18" t="e">
        <x:f>HYPERLINK("https://informatics.ed.ac.uk/study-with-us/our-degrees/postgraduate-research-and-cdts/research-degrees","Open source")</x:f>
        <x:v>HYPERLINK is not implemented. linkLocation=https://informatics.ed.ac.uk/study-with-us/our-degrees/postgraduate-research-and-cdts/research-degrees, friendlyName=Open source</x:v>
      </x:c>
    </x:row>
    <x:row r="162" ht="46" customHeight="1">
      <x:c r="A162" s="17" t="str">
        <x:v>do_not_apply</x:v>
      </x:c>
      <x:c r="B162" s="17" t="str"/>
      <x:c r="C162" s="17" t="str">
        <x:v>University of Saskatchewan</x:v>
      </x:c>
      <x:c r="D162" s="17" t="str">
        <x:v>Canada</x:v>
      </x:c>
      <x:c r="E162" s="17" t="str">
        <x:v>canada</x:v>
      </x:c>
      <x:c r="F162" s="17" t="str">
        <x:v>MSc in Computer Science (thesis)</x:v>
      </x:c>
      <x:c r="G162" s="17" t="str">
        <x:v>Thesis or research master's</x:v>
      </x:c>
      <x:c r="H162" s="17" t="n">
        <x:v>30</x:v>
      </x:c>
      <x:c r="I162" s="17" t="n">
        <x:v>0</x:v>
      </x:c>
      <x:c r="J162" s="17" t="n">
        <x:v>0</x:v>
      </x:c>
      <x:c r="K162" s="17" t="n">
        <x:v>10</x:v>
      </x:c>
      <x:c r="L162" s="17" t="n">
        <x:v>10</x:v>
      </x:c>
      <x:c r="M162" s="17" t="n">
        <x:v>10</x:v>
      </x:c>
      <x:c r="N162" s="17" t="n">
        <x:v>0</x:v>
      </x:c>
      <x:c r="O162" s="17" t="str">
        <x:v>No</x:v>
      </x:c>
      <x:c r="P162" s="17" t="str">
        <x:v>funding|professor</x:v>
      </x:c>
      <x:c r="Q162" s="17" t="n">
        <x:v>0</x:v>
      </x:c>
      <x:c r="R162" s="17" t="str">
        <x:v>Normally funded for full expected 20 months; automatic consideration</x:v>
      </x:c>
      <x:c r="S162" s="17" t="n">
        <x:v>145</x:v>
      </x:c>
      <x:c r="T162" s="17" t="str">
        <x:v>CAD</x:v>
      </x:c>
      <x:c r="U162" s="17" t="str">
        <x:v>Insufficient evidence</x:v>
      </x:c>
      <x:c r="V162" s="17" t="str">
        <x:v>partial</x:v>
      </x:c>
      <x:c r="W162" s="17" t="str">
        <x:v>low</x:v>
      </x:c>
      <x:c r="X162" s="17" t="str">
        <x:v>Confirm which funding-source GPA condition would apply to this offer and the 2027-28 fee amount | No candidate clears every Stage 4 professor evidence gate. | No verified department depth. | Official funding evidence exists but does not prove a credible program-wide package or full scholarship. | Fee is high or the applicable Fall 2027 amount/waiver remains unverified.</x:v>
      </x:c>
      <x:c r="Y162" s="18" t="e">
        <x:f>HYPERLINK("https://grad.usask.ca/programs/computer-science.php","Open source")</x:f>
        <x:v>HYPERLINK is not implemented. linkLocation=https://grad.usask.ca/programs/computer-science.php, friendlyName=Open source</x:v>
      </x:c>
    </x:row>
    <x:row r="163" ht="46" customHeight="1">
      <x:c r="A163" s="17" t="str">
        <x:v>do_not_apply</x:v>
      </x:c>
      <x:c r="B163" s="17" t="str"/>
      <x:c r="C163" s="17" t="str">
        <x:v>University of Victoria</x:v>
      </x:c>
      <x:c r="D163" s="17" t="str">
        <x:v>Canada</x:v>
      </x:c>
      <x:c r="E163" s="17" t="str">
        <x:v>canada</x:v>
      </x:c>
      <x:c r="F163" s="17" t="str">
        <x:v>MSc in Computer Science (thesis)</x:v>
      </x:c>
      <x:c r="G163" s="17" t="str">
        <x:v>Thesis or research master's</x:v>
      </x:c>
      <x:c r="H163" s="17" t="n">
        <x:v>30</x:v>
      </x:c>
      <x:c r="I163" s="17" t="n">
        <x:v>0</x:v>
      </x:c>
      <x:c r="J163" s="17" t="n">
        <x:v>0</x:v>
      </x:c>
      <x:c r="K163" s="17" t="n">
        <x:v>10</x:v>
      </x:c>
      <x:c r="L163" s="17" t="n">
        <x:v>10</x:v>
      </x:c>
      <x:c r="M163" s="17" t="n">
        <x:v>10</x:v>
      </x:c>
      <x:c r="N163" s="17" t="n">
        <x:v>0</x:v>
      </x:c>
      <x:c r="O163" s="17" t="str">
        <x:v>No</x:v>
      </x:c>
      <x:c r="P163" s="17" t="str">
        <x:v>funding|professor</x:v>
      </x:c>
      <x:c r="Q163" s="17" t="n">
        <x:v>0</x:v>
      </x:c>
      <x:c r="R163" s="17" t="str">
        <x:v>Automatic consideration and offer normally includes funding; no universal numeric minimum/guarantee found</x:v>
      </x:c>
      <x:c r="S163" s="17" t="n">
        <x:v>183</x:v>
      </x:c>
      <x:c r="T163" s="17" t="str">
        <x:v>CAD</x:v>
      </x:c>
      <x:c r="U163" s="17" t="str">
        <x:v>Insufficient evidence</x:v>
      </x:c>
      <x:c r="V163" s="17" t="str">
        <x:v>partial</x:v>
      </x:c>
      <x:c r="W163" s="17" t="str">
        <x:v>low</x:v>
      </x:c>
      <x:c r="X163" s="17" t="str">
        <x:v>Can the department or prospective supervisor confirm a two-year net minimum for an international thesis MSc? | No candidate clears every Stage 4 professor evidence gate. | No verified department depth. | Official funding evidence exists but does not prove a credible program-wide package or full scholarship. | Fee is high or the applicable Fall 2027 amount/waiver remains unverified.</x:v>
      </x:c>
      <x:c r="Y163" s="18" t="e">
        <x:f>HYPERLINK("https://www.uvic.ca/ecs/computerscience/programs/msc/index.php","Open source")</x:f>
        <x:v>HYPERLINK is not implemented. linkLocation=https://www.uvic.ca/ecs/computerscience/programs/msc/index.php, friendlyName=Open source</x:v>
      </x:c>
    </x:row>
    <x:row r="164" ht="46" customHeight="1">
      <x:c r="A164" s="17" t="str">
        <x:v>do_not_apply</x:v>
      </x:c>
      <x:c r="B164" s="17" t="str"/>
      <x:c r="C164" s="17" t="str">
        <x:v>Åbo Akademi University</x:v>
      </x:c>
      <x:c r="D164" s="17" t="str">
        <x:v>Finland</x:v>
      </x:c>
      <x:c r="E164" s="17" t="str">
        <x:v>europe</x:v>
      </x:c>
      <x:c r="F164" s="17" t="str">
        <x:v>Erasmus Mundus Joint Master in Engineering of Data-intensive Intelligent Software Systems (EDISS)</x:v>
      </x:c>
      <x:c r="G164" s="17" t="str">
        <x:v>Thesis or research master's</x:v>
      </x:c>
      <x:c r="H164" s="17" t="n">
        <x:v>30</x:v>
      </x:c>
      <x:c r="I164" s="17" t="n">
        <x:v>0</x:v>
      </x:c>
      <x:c r="J164" s="17" t="n">
        <x:v>0</x:v>
      </x:c>
      <x:c r="K164" s="17" t="n">
        <x:v>10</x:v>
      </x:c>
      <x:c r="L164" s="17" t="n">
        <x:v>10</x:v>
      </x:c>
      <x:c r="M164" s="17" t="n">
        <x:v>10</x:v>
      </x:c>
      <x:c r="N164" s="17" t="n">
        <x:v>0</x:v>
      </x:c>
      <x:c r="O164" s="17" t="str">
        <x:v>No</x:v>
      </x:c>
      <x:c r="P164" s="17" t="str">
        <x:v>funding|professor</x:v>
      </x:c>
      <x:c r="Q164" s="17" t="n">
        <x:v>0</x:v>
      </x:c>
      <x:c r="R164" s="17" t="str">
        <x:v>Renewed EU funding supports future intakes; latest full scholarship waives participation cost, pays 1,400 monthly for 24 months, and includes health insurance</x:v>
      </x:c>
      <x:c r="S164" s="17" t="str">
        <x:v>No application fee published</x:v>
      </x:c>
      <x:c r="T164" s="17" t="str">
        <x:v>EUR</x:v>
      </x:c>
      <x:c r="U164" s="17" t="str">
        <x:v>Insufficient evidence</x:v>
      </x:c>
      <x:c r="V164" s="17" t="str">
        <x:v>partial</x:v>
      </x:c>
      <x:c r="W164" s="17" t="str">
        <x:v>low</x:v>
      </x:c>
      <x:c r="X164" s="17" t="str">
        <x:v>What exact Fall 2027 application window, number of awards, and local fee obligations will EDISS publish? | No candidate clears every Stage 4 professor evidence gate. | No verified department depth. | Official funding evidence exists but does not prove a credible program-wide package or full scholarship. | Fee is high or the applicable Fall 2027 amount/waiver remains unverified.</x:v>
      </x:c>
      <x:c r="Y164" s="18" t="e">
        <x:f>HYPERLINK("https://www.master-ediss.eu/","Open source")</x:f>
        <x:v>HYPERLINK is not implemented. linkLocation=https://www.master-ediss.eu/, friendlyName=Open source</x:v>
      </x:c>
    </x:row>
    <x:row r="165" ht="46" customHeight="1">
      <x:c r="A165" s="17" t="str">
        <x:v>do_not_apply</x:v>
      </x:c>
      <x:c r="B165" s="17" t="str"/>
      <x:c r="C165" s="17" t="str">
        <x:v>Trinity College Dublin</x:v>
      </x:c>
      <x:c r="D165" s="17" t="str">
        <x:v>Ireland</x:v>
      </x:c>
      <x:c r="E165" s="17" t="str">
        <x:v>europe</x:v>
      </x:c>
      <x:c r="F165" s="17" t="str">
        <x:v>PhD in Computer Science and Statistics</x:v>
      </x:c>
      <x:c r="G165" s="17" t="str">
        <x:v>PhD</x:v>
      </x:c>
      <x:c r="H165" s="17" t="n">
        <x:v>25</x:v>
      </x:c>
      <x:c r="I165" s="17" t="n">
        <x:v>0</x:v>
      </x:c>
      <x:c r="J165" s="17" t="n">
        <x:v>0</x:v>
      </x:c>
      <x:c r="K165" s="17" t="n">
        <x:v>0</x:v>
      </x:c>
      <x:c r="L165" s="17" t="n">
        <x:v>15</x:v>
      </x:c>
      <x:c r="M165" s="17" t="n">
        <x:v>10</x:v>
      </x:c>
      <x:c r="N165" s="17" t="n">
        <x:v>0</x:v>
      </x:c>
      <x:c r="O165" s="17" t="str">
        <x:v>No</x:v>
      </x:c>
      <x:c r="P165" s="17" t="str">
        <x:v>funding|professor</x:v>
      </x:c>
      <x:c r="Q165" s="17" t="n">
        <x:v>0</x:v>
      </x:c>
      <x:c r="R165" s="17" t="str">
        <x:v>No independently sourced material funding claim retained</x:v>
      </x:c>
      <x:c r="S165" s="17" t="str">
        <x:v>Not verified for Fall 2027 unless stated in tuition field</x:v>
      </x:c>
      <x:c r="T165" s="17" t="str">
        <x:v>Not verified in frozen evidence</x:v>
      </x:c>
      <x:c r="U165" s="17" t="str">
        <x:v>Insufficient evidence</x:v>
      </x:c>
      <x:c r="V165" s="17" t="str">
        <x:v>partial</x:v>
      </x:c>
      <x:c r="W165" s="17" t="str">
        <x:v>low</x:v>
      </x:c>
      <x:c r="X165" s="17" t="str">
        <x:v>Will the school confirm a full non-EU stipend/fee award before application? | No candidate clears every Stage 4 professor evidence gate. | No verified department depth. | No verified official material funding source is recorded. | Fee is high or the applicable Fall 2027 amount/waiver remains unverified.</x:v>
      </x:c>
      <x:c r="Y165" s="18" t="e">
        <x:f>HYPERLINK("https://www.tcd.ie/courses/postgraduate/postgraduate-research/engineering-mathematics-and-science/school-of-computer-science-and-statistics/","Open source")</x:f>
        <x:v>HYPERLINK is not implemented. linkLocation=https://www.tcd.ie/courses/postgraduate/postgraduate-research/engineering-mathematics-and-science/school-of-computer-science-and-statistics/, friendlyName=Open source</x:v>
      </x:c>
    </x:row>
    <x:row r="166" ht="46" customHeight="1">
      <x:c r="A166" s="17" t="str">
        <x:v>do_not_apply</x:v>
      </x:c>
      <x:c r="B166" s="17" t="str"/>
      <x:c r="C166" s="17" t="str">
        <x:v>Saarland University</x:v>
      </x:c>
      <x:c r="D166" s="17" t="str">
        <x:v>Germany</x:v>
      </x:c>
      <x:c r="E166" s="17" t="str">
        <x:v>europe</x:v>
      </x:c>
      <x:c r="F166" s="17" t="str">
        <x:v>Saarbrücken Graduate School of Computer Science</x:v>
      </x:c>
      <x:c r="G166" s="17" t="str">
        <x:v>Integrated or structured doctorate</x:v>
      </x:c>
      <x:c r="H166" s="17" t="n">
        <x:v>20</x:v>
      </x:c>
      <x:c r="I166" s="17" t="n">
        <x:v>0</x:v>
      </x:c>
      <x:c r="J166" s="17" t="n">
        <x:v>0</x:v>
      </x:c>
      <x:c r="K166" s="17" t="n">
        <x:v>0</x:v>
      </x:c>
      <x:c r="L166" s="17" t="n">
        <x:v>10</x:v>
      </x:c>
      <x:c r="M166" s="17" t="n">
        <x:v>10</x:v>
      </x:c>
      <x:c r="N166" s="17" t="n">
        <x:v>0</x:v>
      </x:c>
      <x:c r="O166" s="17" t="str">
        <x:v>No</x:v>
      </x:c>
      <x:c r="P166" s="17" t="str">
        <x:v>funding|professor</x:v>
      </x:c>
      <x:c r="Q166" s="17" t="n">
        <x:v>0</x:v>
      </x:c>
      <x:c r="R166" s="17" t="str">
        <x:v>No independently sourced material funding claim retained</x:v>
      </x:c>
      <x:c r="S166" s="17" t="str">
        <x:v>Not verified for Fall 2027 unless stated in tuition field</x:v>
      </x:c>
      <x:c r="T166" s="17" t="str">
        <x:v>Not verified in frozen evidence</x:v>
      </x:c>
      <x:c r="U166" s="17" t="str">
        <x:v>Insufficient evidence</x:v>
      </x:c>
      <x:c r="V166" s="17" t="str">
        <x:v>partial</x:v>
      </x:c>
      <x:c r="W166" s="17" t="str">
        <x:v>low</x:v>
      </x:c>
      <x:c r="X166" s="17" t="str">
        <x:v>What additional stipend, insurance, and fee coverage is guaranteed for 2027? | No candidate clears every Stage 4 professor evidence gate. | No verified department depth. | No verified official material funding source is recorded. | Fee is high or the applicable Fall 2027 amount/waiver remains unverified.</x:v>
      </x:c>
      <x:c r="Y166" s="18" t="e">
        <x:f>HYPERLINK("https://www.uni-saarland.de/en/future/computerscience.html","Open source")</x:f>
        <x:v>HYPERLINK is not implemented. linkLocation=https://www.uni-saarland.de/en/future/computerscience.html, friendlyName=Open source</x:v>
      </x:c>
    </x:row>
    <x:row r="167" ht="46" customHeight="1">
      <x:c r="A167" s="17" t="str">
        <x:v>do_not_apply</x:v>
      </x:c>
      <x:c r="B167" s="17" t="str"/>
      <x:c r="C167" s="17" t="str">
        <x:v>University College London</x:v>
      </x:c>
      <x:c r="D167" s="17" t="str">
        <x:v>United Kingdom</x:v>
      </x:c>
      <x:c r="E167" s="17" t="str">
        <x:v>europe</x:v>
      </x:c>
      <x:c r="F167" s="17" t="str">
        <x:v>Computer Science MPhil/PhD</x:v>
      </x:c>
      <x:c r="G167" s="17" t="str">
        <x:v>Integrated or structured doctorate</x:v>
      </x:c>
      <x:c r="H167" s="17" t="n">
        <x:v>20</x:v>
      </x:c>
      <x:c r="I167" s="17" t="n">
        <x:v>0</x:v>
      </x:c>
      <x:c r="J167" s="17" t="n">
        <x:v>0</x:v>
      </x:c>
      <x:c r="K167" s="17" t="n">
        <x:v>0</x:v>
      </x:c>
      <x:c r="L167" s="17" t="n">
        <x:v>10</x:v>
      </x:c>
      <x:c r="M167" s="17" t="n">
        <x:v>10</x:v>
      </x:c>
      <x:c r="N167" s="17" t="n">
        <x:v>0</x:v>
      </x:c>
      <x:c r="O167" s="17" t="str">
        <x:v>No</x:v>
      </x:c>
      <x:c r="P167" s="17" t="str">
        <x:v>funding|professor</x:v>
      </x:c>
      <x:c r="Q167" s="17" t="n">
        <x:v>0</x:v>
      </x:c>
      <x:c r="R167" s="17" t="str">
        <x:v>No independently sourced material funding claim retained</x:v>
      </x:c>
      <x:c r="S167" s="17" t="str">
        <x:v>Not verified for Fall 2027 unless stated in tuition field</x:v>
      </x:c>
      <x:c r="T167" s="17" t="str">
        <x:v>Not verified in frozen evidence</x:v>
      </x:c>
      <x:c r="U167" s="17" t="str">
        <x:v>Insufficient evidence</x:v>
      </x:c>
      <x:c r="V167" s="17" t="str">
        <x:v>partial</x:v>
      </x:c>
      <x:c r="W167" s="17" t="str">
        <x:v>low</x:v>
      </x:c>
      <x:c r="X167" s="17" t="str">
        <x:v>Is there an overseas-fee-covering studentship tied to software engineering/LLM reliability? | No candidate clears every Stage 4 professor evidence gate. | No verified department depth. | No verified official material funding source is recorded. | Fee is high or the applicable Fall 2027 amount/waiver remains unverified.</x:v>
      </x:c>
      <x:c r="Y167" s="18" t="e">
        <x:f>HYPERLINK("https://www.ucl.ac.uk/study/prospective-students/graduate/courses/computer-science-mphilphd","Open source")</x:f>
        <x:v>HYPERLINK is not implemented. linkLocation=https://www.ucl.ac.uk/study/prospective-students/graduate/courses/computer-science-mphilphd, friendlyName=Open source</x:v>
      </x:c>
    </x:row>
    <x:row r="168" ht="46" customHeight="1">
      <x:c r="A168" s="17" t="str">
        <x:v>do_not_apply</x:v>
      </x:c>
      <x:c r="B168" s="17" t="str"/>
      <x:c r="C168" s="17" t="str">
        <x:v>University of Alberta</x:v>
      </x:c>
      <x:c r="D168" s="17" t="str">
        <x:v>Canada</x:v>
      </x:c>
      <x:c r="E168" s="17" t="str">
        <x:v>canada</x:v>
      </x:c>
      <x:c r="F168" s="17" t="str">
        <x:v>MSc in Computing Science (thesis)</x:v>
      </x:c>
      <x:c r="G168" s="17" t="str">
        <x:v>Thesis or research master's</x:v>
      </x:c>
      <x:c r="H168" s="17" t="n">
        <x:v>20</x:v>
      </x:c>
      <x:c r="I168" s="17" t="n">
        <x:v>0</x:v>
      </x:c>
      <x:c r="J168" s="17" t="n">
        <x:v>0</x:v>
      </x:c>
      <x:c r="K168" s="17" t="n">
        <x:v>0</x:v>
      </x:c>
      <x:c r="L168" s="17" t="n">
        <x:v>10</x:v>
      </x:c>
      <x:c r="M168" s="17" t="n">
        <x:v>10</x:v>
      </x:c>
      <x:c r="N168" s="17" t="n">
        <x:v>0</x:v>
      </x:c>
      <x:c r="O168" s="17" t="str">
        <x:v>No</x:v>
      </x:c>
      <x:c r="P168" s="17" t="str">
        <x:v>funding|professor</x:v>
      </x:c>
      <x:c r="Q168" s="17" t="n">
        <x:v>0</x:v>
      </x:c>
      <x:c r="R168" s="17" t="str">
        <x:v>No independently sourced material funding claim retained</x:v>
      </x:c>
      <x:c r="S168" s="17" t="n">
        <x:v>135</x:v>
      </x:c>
      <x:c r="T168" s="17" t="str">
        <x:v>CAD</x:v>
      </x:c>
      <x:c r="U168" s="17" t="str">
        <x:v>Insufficient evidence</x:v>
      </x:c>
      <x:c r="V168" s="17" t="str">
        <x:v>partial</x:v>
      </x:c>
      <x:c r="W168" s="17" t="str">
        <x:v>low</x:v>
      </x:c>
      <x:c r="X168" s="17" t="str">
        <x:v>Ask csapplygrad@ualberta.ca for Fall 2027 deadline and guaranteed MSc funding after tuition/fees | No candidate clears every Stage 4 professor evidence gate. | No verified department depth. | No verified official material funding source is recorded. | Fee is high or the applicable Fall 2027 amount/waiver remains unverified.</x:v>
      </x:c>
      <x:c r="Y168" s="18" t="e">
        <x:f>HYPERLINK("https://www.ualberta.ca/en/admissions/media-library/ua_viewbook_graduate-studies_2026-27_web.pdf","Open source")</x:f>
        <x:v>HYPERLINK is not implemented. linkLocation=https://www.ualberta.ca/en/admissions/media-library/ua_viewbook_graduate-studies_2026-27_web.pdf, friendlyName=Open source</x:v>
      </x:c>
    </x:row>
    <x:row r="169" ht="46" customHeight="1">
      <x:c r="A169" s="17" t="str">
        <x:v>do_not_apply</x:v>
      </x:c>
      <x:c r="B169" s="17" t="str"/>
      <x:c r="C169" s="17" t="str">
        <x:v>University of Cambridge</x:v>
      </x:c>
      <x:c r="D169" s="17" t="str">
        <x:v>United Kingdom</x:v>
      </x:c>
      <x:c r="E169" s="17" t="str">
        <x:v>europe</x:v>
      </x:c>
      <x:c r="F169" s="17" t="str">
        <x:v>PhD in Computer Science</x:v>
      </x:c>
      <x:c r="G169" s="17" t="str">
        <x:v>PhD</x:v>
      </x:c>
      <x:c r="H169" s="17" t="n">
        <x:v>20</x:v>
      </x:c>
      <x:c r="I169" s="17" t="n">
        <x:v>0</x:v>
      </x:c>
      <x:c r="J169" s="17" t="n">
        <x:v>0</x:v>
      </x:c>
      <x:c r="K169" s="17" t="n">
        <x:v>0</x:v>
      </x:c>
      <x:c r="L169" s="17" t="n">
        <x:v>10</x:v>
      </x:c>
      <x:c r="M169" s="17" t="n">
        <x:v>10</x:v>
      </x:c>
      <x:c r="N169" s="17" t="n">
        <x:v>0</x:v>
      </x:c>
      <x:c r="O169" s="17" t="str">
        <x:v>No</x:v>
      </x:c>
      <x:c r="P169" s="17" t="str">
        <x:v>funding|professor</x:v>
      </x:c>
      <x:c r="Q169" s="17" t="n">
        <x:v>0</x:v>
      </x:c>
      <x:c r="R169" s="17" t="str">
        <x:v>No independently sourced material funding claim retained</x:v>
      </x:c>
      <x:c r="S169" s="17" t="str">
        <x:v>Not verified for Fall 2027 unless stated in tuition field</x:v>
      </x:c>
      <x:c r="T169" s="17" t="str">
        <x:v>Not verified in frozen evidence</x:v>
      </x:c>
      <x:c r="U169" s="17" t="str">
        <x:v>Insufficient evidence</x:v>
      </x:c>
      <x:c r="V169" s="17" t="str">
        <x:v>partial</x:v>
      </x:c>
      <x:c r="W169" s="17" t="str">
        <x:v>low</x:v>
      </x:c>
      <x:c r="X169" s="17" t="str">
        <x:v>Which 2027 studentship covers full overseas fees plus stipend? | No candidate clears every Stage 4 professor evidence gate. | No verified department depth. | No verified official material funding source is recorded. | Fee is high or the applicable Fall 2027 amount/waiver remains unverified.</x:v>
      </x:c>
      <x:c r="Y169" s="18" t="e">
        <x:f>HYPERLINK("https://www.cst.cam.ac.uk/admissions/phd","Open source")</x:f>
        <x:v>HYPERLINK is not implemented. linkLocation=https://www.cst.cam.ac.uk/admissions/phd, friendlyName=Open source</x:v>
      </x:c>
    </x:row>
    <x:row r="170" ht="46" customHeight="1">
      <x:c r="A170" s="17" t="str">
        <x:v>do_not_apply</x:v>
      </x:c>
      <x:c r="B170" s="17" t="str"/>
      <x:c r="C170" s="17" t="str">
        <x:v>University of Oxford</x:v>
      </x:c>
      <x:c r="D170" s="17" t="str">
        <x:v>United Kingdom</x:v>
      </x:c>
      <x:c r="E170" s="17" t="str">
        <x:v>europe</x:v>
      </x:c>
      <x:c r="F170" s="17" t="str">
        <x:v>DPhil in Computer Science</x:v>
      </x:c>
      <x:c r="G170" s="17" t="str">
        <x:v>PhD</x:v>
      </x:c>
      <x:c r="H170" s="17" t="n">
        <x:v>20</x:v>
      </x:c>
      <x:c r="I170" s="17" t="n">
        <x:v>0</x:v>
      </x:c>
      <x:c r="J170" s="17" t="n">
        <x:v>0</x:v>
      </x:c>
      <x:c r="K170" s="17" t="n">
        <x:v>0</x:v>
      </x:c>
      <x:c r="L170" s="17" t="n">
        <x:v>10</x:v>
      </x:c>
      <x:c r="M170" s="17" t="n">
        <x:v>10</x:v>
      </x:c>
      <x:c r="N170" s="17" t="n">
        <x:v>0</x:v>
      </x:c>
      <x:c r="O170" s="17" t="str">
        <x:v>No</x:v>
      </x:c>
      <x:c r="P170" s="17" t="str">
        <x:v>funding|professor</x:v>
      </x:c>
      <x:c r="Q170" s="17" t="n">
        <x:v>0</x:v>
      </x:c>
      <x:c r="R170" s="17" t="str">
        <x:v>No independently sourced material funding claim retained</x:v>
      </x:c>
      <x:c r="S170" s="17" t="str">
        <x:v>Not verified for Fall 2027 unless stated in tuition field</x:v>
      </x:c>
      <x:c r="T170" s="17" t="str">
        <x:v>Not verified in frozen evidence</x:v>
      </x:c>
      <x:c r="U170" s="17" t="str">
        <x:v>Insufficient evidence</x:v>
      </x:c>
      <x:c r="V170" s="17" t="str">
        <x:v>partial</x:v>
      </x:c>
      <x:c r="W170" s="17" t="str">
        <x:v>low</x:v>
      </x:c>
      <x:c r="X170" s="17" t="str">
        <x:v>Which official 2027 deadline guarantees consideration for overseas-fee-plus-stipend funding? | No candidate clears every Stage 4 professor evidence gate. | No verified department depth. | No verified official material funding source is recorded. | Fee is high or the applicable Fall 2027 amount/waiver remains unverified.</x:v>
      </x:c>
      <x:c r="Y170" s="18" t="e">
        <x:f>HYPERLINK("https://www.ox.ac.uk/admissions/graduate/courses/dphil-computer-science","Open source")</x:f>
        <x:v>HYPERLINK is not implemented. linkLocation=https://www.ox.ac.uk/admissions/graduate/courses/dphil-computer-science, friendlyName=Open source</x:v>
      </x:c>
    </x:row>
  </x:sheetData>
  <x:mergeCells>
    <x:mergeCell ref="A1:Y1"/>
    <x:mergeCell ref="A2:Y2"/>
    <x:mergeCell ref="A3:Y3"/>
  </x:mergeCells>
  <x:conditionalFormatting sqref="H5:H170">
    <x:cfRule type="colorScale" priority="1">
      <x:colorScale>
        <x:cfvo type="min"/>
        <x:cfvo type="percentile" val="50"/>
        <x:cfvo type="max"/>
        <x:color rgb="FFF8696B"/>
        <x:color rgb="FFFFEB84"/>
        <x:color rgb="FF63BE7B"/>
      </x:colorScale>
    </x:cfRule>
  </x:conditionalFormatting>
  <x:conditionalFormatting sqref="I5:I170">
    <x:cfRule type="colorScale" priority="2">
      <x:colorScale>
        <x:cfvo type="min"/>
        <x:cfvo type="percentile" val="50"/>
        <x:cfvo type="max"/>
        <x:color rgb="FFF8696B"/>
        <x:color rgb="FFFFEB84"/>
        <x:color rgb="FF63BE7B"/>
      </x:colorScale>
    </x:cfRule>
  </x:conditionalFormatting>
  <x:conditionalFormatting sqref="J5:J170">
    <x:cfRule type="colorScale" priority="3">
      <x:colorScale>
        <x:cfvo type="min"/>
        <x:cfvo type="percentile" val="50"/>
        <x:cfvo type="max"/>
        <x:color rgb="FFF8696B"/>
        <x:color rgb="FFFFEB84"/>
        <x:color rgb="FF63BE7B"/>
      </x:colorScale>
    </x:cfRule>
  </x:conditionalFormatting>
  <x:conditionalFormatting sqref="K5:K170">
    <x:cfRule type="colorScale" priority="4">
      <x:colorScale>
        <x:cfvo type="min"/>
        <x:cfvo type="percentile" val="50"/>
        <x:cfvo type="max"/>
        <x:color rgb="FFF8696B"/>
        <x:color rgb="FFFFEB84"/>
        <x:color rgb="FF63BE7B"/>
      </x:colorScale>
    </x:cfRule>
  </x:conditionalFormatting>
  <x:conditionalFormatting sqref="L5:L170">
    <x:cfRule type="colorScale" priority="5">
      <x:colorScale>
        <x:cfvo type="min"/>
        <x:cfvo type="percentile" val="50"/>
        <x:cfvo type="max"/>
        <x:color rgb="FFF8696B"/>
        <x:color rgb="FFFFEB84"/>
        <x:color rgb="FF63BE7B"/>
      </x:colorScale>
    </x:cfRule>
  </x:conditionalFormatting>
  <x:dataValidations count="1">
    <x:dataValidation type="list" sqref="A5:A170">
      <x:formula1>"core,reserve,do_not_apply"</x:formula1>
    </x:dataValidation>
  </x:dataValidations>
  <x:pageMargins left="0.7" right="0.7" top="0.75" bottom="0.75" header="0.3" footer="0.3"/>
  <x:tableParts count="1">
    <x:tablePart xmlns:r="http://schemas.openxmlformats.org/officeDocument/2006/relationships" r:id="R39a6f6295b674f03"/>
  </x:tableParts>
</x:worksheet>
</file>

<file path=xl/worksheets/sheet4.xml><?xml version="1.0" encoding="utf-8"?>
<x:worksheet xmlns:x="http://schemas.openxmlformats.org/spreadsheetml/2006/main">
  <x:sheetPr>
    <x:tabColor rgb="FF4F81BD"/>
  </x:sheetPr>
  <x:sheetViews>
    <x:sheetView showGridLines="0" workbookViewId="0">
      <x:pane xSplit="2" ySplit="4" topLeftCell="C5" activePane="bottomRight" state="frozen"/>
    </x:sheetView>
  </x:sheetViews>
  <x:sheetFormatPr defaultRowHeight="15"/>
  <x:cols>
    <x:col min="1" max="1" width="12" hidden="0" customWidth="1"/>
    <x:col min="2" max="2" width="24" hidden="0" customWidth="1"/>
    <x:col min="3" max="3" width="12" hidden="0" customWidth="1"/>
    <x:col min="4" max="4" width="38" hidden="0" customWidth="1"/>
    <x:col min="5" max="5" width="38" hidden="0" customWidth="1"/>
    <x:col min="6" max="6" width="18" hidden="0" customWidth="1"/>
    <x:col min="7" max="7" width="18" hidden="0" customWidth="1"/>
    <x:col min="8" max="8" width="12" hidden="0" customWidth="1"/>
    <x:col min="9" max="9" width="12" hidden="0" customWidth="1"/>
    <x:col min="10" max="10" width="11" hidden="0" customWidth="1"/>
    <x:col min="11" max="11" width="19" hidden="0" customWidth="1"/>
    <x:col min="12" max="12" width="34" hidden="0" customWidth="1"/>
    <x:col min="13" max="13" width="38" hidden="0" customWidth="1"/>
    <x:col min="14" max="14" width="38" hidden="0" customWidth="1"/>
    <x:col min="15" max="15" width="38" hidden="0" customWidth="1"/>
    <x:col min="16" max="16" width="12" hidden="0" customWidth="1"/>
    <x:col min="17" max="17" width="18" hidden="0" customWidth="1"/>
  </x:cols>
  <x:sheetData>
    <x:row r="1" ht="28" customHeight="1">
      <x:c r="A1" s="3" t="str">
        <x:v>Professor Outreach</x:v>
      </x:c>
    </x:row>
    <x:row r="2" ht="34" customHeight="1">
      <x:c r="A2" s="7" t="str">
        <x:v>Distinct professor IDs only. Recruiting is confirmed only when an explicit source says so; current research alone is not recruiting evidence.</x:v>
      </x:c>
    </x:row>
    <x:row r="3" ht="20" customHeight="1">
      <x:c r="A3" s="9" t="str">
        <x:v>Evidence snapshot: 2026-09-11 · 22 records · Use the row-4 filters; uncertainty is intentional.</x:v>
      </x:c>
    </x:row>
    <x:row r="4" ht="34" customHeight="1">
      <x:c r="A4" s="13" t="str">
        <x:v>Priority Rank</x:v>
      </x:c>
      <x:c r="B4" s="13" t="str">
        <x:v>Wave</x:v>
      </x:c>
      <x:c r="C4" s="13" t="str">
        <x:v>Portfolio Status</x:v>
      </x:c>
      <x:c r="D4" s="13" t="str">
        <x:v>Institution</x:v>
      </x:c>
      <x:c r="E4" s="13" t="str">
        <x:v>Program</x:v>
      </x:c>
      <x:c r="F4" s="13" t="str">
        <x:v>Professor</x:v>
      </x:c>
      <x:c r="G4" s="13" t="str">
        <x:v>Official Email</x:v>
      </x:c>
      <x:c r="H4" s="13" t="str">
        <x:v>Research Match Score</x:v>
      </x:c>
      <x:c r="I4" s="13" t="str">
        <x:v>Outreach Score</x:v>
      </x:c>
      <x:c r="J4" s="13" t="str">
        <x:v>Fit Strength</x:v>
      </x:c>
      <x:c r="K4" s="13" t="str">
        <x:v>Recruiting Status</x:v>
      </x:c>
      <x:c r="L4" s="13" t="str">
        <x:v>Recruiting Evidence</x:v>
      </x:c>
      <x:c r="M4" s="13" t="str">
        <x:v>Information Gap</x:v>
      </x:c>
      <x:c r="N4" s="13" t="str">
        <x:v>Reply Could Change</x:v>
      </x:c>
      <x:c r="O4" s="13" t="str">
        <x:v>Recommended Angle</x:v>
      </x:c>
      <x:c r="P4" s="13" t="str">
        <x:v>Contact History</x:v>
      </x:c>
      <x:c r="Q4" s="13" t="str">
        <x:v>Faculty or Lab URL</x:v>
      </x:c>
    </x:row>
    <x:row r="5" ht="46" customHeight="1">
      <x:c r="A5" s="17" t="n">
        <x:v>1</x:v>
      </x:c>
      <x:c r="B5" s="17" t="str">
        <x:v>first_wave</x:v>
      </x:c>
      <x:c r="C5" s="17" t="str">
        <x:v>reserve</x:v>
      </x:c>
      <x:c r="D5" s="17" t="str">
        <x:v>Trent University</x:v>
      </x:c>
      <x:c r="E5" s="17" t="str">
        <x:v>MSc in Applied Modelling and Quantitative Methods — Thesis Stream</x:v>
      </x:c>
      <x:c r="F5" s="17" t="str">
        <x:v>Omar Alam</x:v>
      </x:c>
      <x:c r="G5" s="17" t="str">
        <x:v>omaralam@trentu.ca</x:v>
      </x:c>
      <x:c r="H5" s="17" t="n">
        <x:v>15</x:v>
      </x:c>
      <x:c r="I5" s="17" t="n">
        <x:v>100</x:v>
      </x:c>
      <x:c r="J5" s="17" t="str">
        <x:v>Strong</x:v>
      </x:c>
      <x:c r="K5" s="17" t="str">
        <x:v>Recruiting status unknown</x:v>
      </x:c>
      <x:c r="L5" s="17" t="str">
        <x:v>Trent instructs thesis applicants to identify and approach potential supervisors, but no current statement that Alam has Fall 2027 capacity was located.</x:v>
      </x:c>
      <x:c r="M5" s="17" t="str">
        <x:v>Recruiting status remains unknown unless the cited evidence explicitly states otherwise.</x:v>
      </x:c>
      <x:c r="N5" s="17" t="str">
        <x:v>Retain or deprioritize MSc in Applied Modelling and Quantitative Methods — Thesis Stream by confirming whether Omar Alam expects to supervise a funded Fall 2027 student in the verified overlap area.</x:v>
      </x:c>
      <x:c r="O5" s="17" t="str">
        <x:v>Strong Evidex overlap through model validation, model exchange, differencing, conflict detection, and repository evidence; TerraProbe overlaps through cyber-physical and transit-system modelling.</x:v>
      </x:c>
      <x:c r="P5" s="17" t="str">
        <x:v>no</x:v>
      </x:c>
      <x:c r="Q5" s="18" t="e">
        <x:f>HYPERLINK("https://www.trentu.ca/cois/faculty-research","Open source")</x:f>
        <x:v>HYPERLINK is not implemented. linkLocation=https://www.trentu.ca/cois/faculty-research, friendlyName=Open source</x:v>
      </x:c>
    </x:row>
    <x:row r="6" ht="46" customHeight="1">
      <x:c r="A6" s="17" t="n">
        <x:v>2</x:v>
      </x:c>
      <x:c r="B6" s="17" t="str">
        <x:v>first_wave</x:v>
      </x:c>
      <x:c r="C6" s="17" t="str">
        <x:v>core</x:v>
      </x:c>
      <x:c r="D6" s="17" t="str">
        <x:v>University of Minnesota-Twin Cities</x:v>
      </x:c>
      <x:c r="E6" s="17" t="str">
        <x:v>PhD in Computer Science</x:v>
      </x:c>
      <x:c r="F6" s="17" t="str">
        <x:v>Kangjie Lu</x:v>
      </x:c>
      <x:c r="G6" s="17" t="str">
        <x:v>kjlu@umn.edu</x:v>
      </x:c>
      <x:c r="H6" s="17" t="n">
        <x:v>15</x:v>
      </x:c>
      <x:c r="I6" s="17" t="n">
        <x:v>100</x:v>
      </x:c>
      <x:c r="J6" s="17" t="str">
        <x:v>Strong</x:v>
      </x:c>
      <x:c r="K6" s="17" t="str">
        <x:v>Confirmed recruiting</x:v>
      </x:c>
      <x:c r="L6" s="17" t="str">
        <x:v>Current official university-hosted profile explicitly says he is looking for PhD students</x:v>
      </x:c>
      <x:c r="M6" s="17" t="str">
        <x:v>Confirm that the current general recruiting statement still applies to Fall 2027 and that funded supervision capacity is available.</x:v>
      </x:c>
      <x:c r="N6" s="17" t="str">
        <x:v>Retain or deprioritize PhD in Computer Science by confirming whether Kangjie Lu expects to supervise a funded Fall 2027 student in the verified overlap area.</x:v>
      </x:c>
      <x:c r="O6" s="17" t="str">
        <x:v>Strong overlap with TerraProbe's infrastructure-as-code setting and Evidex's trustworthy evidence workflow through cloud security, open-source patch analysis, and LLM-assisted code-quality research.</x:v>
      </x:c>
      <x:c r="P6" s="17" t="str">
        <x:v>no</x:v>
      </x:c>
      <x:c r="Q6" s="18" t="e">
        <x:f>HYPERLINK("https://www-users.cse.umn.edu/~kjlu/","Open source")</x:f>
        <x:v>HYPERLINK is not implemented. linkLocation=https://www-users.cse.umn.edu/~kjlu/, friendlyName=Open source</x:v>
      </x:c>
    </x:row>
    <x:row r="7" ht="46" customHeight="1">
      <x:c r="A7" s="17" t="n">
        <x:v>3</x:v>
      </x:c>
      <x:c r="B7" s="17" t="str">
        <x:v>first_wave</x:v>
      </x:c>
      <x:c r="C7" s="17" t="str">
        <x:v>reserve</x:v>
      </x:c>
      <x:c r="D7" s="17" t="str">
        <x:v>University of Toronto</x:v>
      </x:c>
      <x:c r="E7" s="17" t="str">
        <x:v>Master of Applied Science in Electrical and Computer Engineering</x:v>
      </x:c>
      <x:c r="F7" s="17" t="str">
        <x:v>David Lie</x:v>
      </x:c>
      <x:c r="G7" s="17" t="str">
        <x:v>lie@eecg.toronto.edu</x:v>
      </x:c>
      <x:c r="H7" s="17" t="n">
        <x:v>15</x:v>
      </x:c>
      <x:c r="I7" s="17" t="n">
        <x:v>100</x:v>
      </x:c>
      <x:c r="J7" s="17" t="str">
        <x:v>Strong</x:v>
      </x:c>
      <x:c r="K7" s="17" t="str">
        <x:v>Recruiting status unknown</x:v>
      </x:c>
      <x:c r="L7" s="17" t="str">
        <x:v>Toronto welcomes contact with potential professors but warns responses are not guaranteed; no Lie-specific Fall 2027 opening was located.</x:v>
      </x:c>
      <x:c r="M7" s="17" t="str">
        <x:v>Recruiting status remains unknown unless the cited evidence explicitly states otherwise.</x:v>
      </x:c>
      <x:c r="N7" s="17" t="str">
        <x:v>Retain or deprioritize Master of Applied Science in Electrical and Computer Engineering by confirming whether David Lie expects to supervise a funded Fall 2027 student in the verified overlap area.</x:v>
      </x:c>
      <x:c r="O7" s="17" t="str">
        <x:v>Strong TerraProbe overlap through symbolic software analysis, automated bug discovery, and 2026 work extracting and verifying formal models with continuous LLM feedback.</x:v>
      </x:c>
      <x:c r="P7" s="17" t="str">
        <x:v>no</x:v>
      </x:c>
      <x:c r="Q7" s="18" t="e">
        <x:f>HYPERLINK("https://www.ece.utoronto.ca/people/lie-d/","Open source")</x:f>
        <x:v>HYPERLINK is not implemented. linkLocation=https://www.ece.utoronto.ca/people/lie-d/, friendlyName=Open source</x:v>
      </x:c>
    </x:row>
    <x:row r="8" ht="46" customHeight="1">
      <x:c r="A8" s="17" t="n">
        <x:v>4</x:v>
      </x:c>
      <x:c r="B8" s="17" t="str">
        <x:v>first_wave</x:v>
      </x:c>
      <x:c r="C8" s="17" t="str">
        <x:v>core</x:v>
      </x:c>
      <x:c r="D8" s="17" t="str">
        <x:v>University of Utah</x:v>
      </x:c>
      <x:c r="E8" s="17" t="str">
        <x:v>Computing PhD</x:v>
      </x:c>
      <x:c r="F8" s="17" t="str">
        <x:v>John Regehr</x:v>
      </x:c>
      <x:c r="G8" s="17" t="str">
        <x:v>regehr@cs.utah.edu</x:v>
      </x:c>
      <x:c r="H8" s="17" t="n">
        <x:v>15</x:v>
      </x:c>
      <x:c r="I8" s="17" t="n">
        <x:v>100</x:v>
      </x:c>
      <x:c r="J8" s="17" t="str">
        <x:v>Strong</x:v>
      </x:c>
      <x:c r="K8" s="17" t="str">
        <x:v>Recruiting status unknown</x:v>
      </x:c>
      <x:c r="L8" s="17" t="str">
        <x:v>No current direct Fall 2027 recruiting statement located</x:v>
      </x:c>
      <x:c r="M8" s="17" t="str">
        <x:v>Recruiting status remains unknown unless the cited evidence explicitly states otherwise.</x:v>
      </x:c>
      <x:c r="N8" s="17" t="str">
        <x:v>Retain or deprioritize Computing PhD by confirming whether John Regehr expects to supervise a funded Fall 2027 student in the verified overlap area.</x:v>
      </x:c>
      <x:c r="O8" s="17" t="str">
        <x:v>Strong overlap with TerraProbe's repair validation and minimized failure evidence through compiler testing, synthesis-based optimization, verification, and reduction tools.</x:v>
      </x:c>
      <x:c r="P8" s="17" t="str">
        <x:v>no</x:v>
      </x:c>
      <x:c r="Q8" s="18" t="e">
        <x:f>HYPERLINK("https://users.cs.utah.edu/~regehr/","Open source")</x:f>
        <x:v>HYPERLINK is not implemented. linkLocation=https://users.cs.utah.edu/~regehr/, friendlyName=Open source</x:v>
      </x:c>
    </x:row>
    <x:row r="9" ht="46" customHeight="1">
      <x:c r="A9" s="17" t="n">
        <x:v>5</x:v>
      </x:c>
      <x:c r="B9" s="17" t="str">
        <x:v>first_wave</x:v>
      </x:c>
      <x:c r="C9" s="17" t="str">
        <x:v>reserve</x:v>
      </x:c>
      <x:c r="D9" s="17" t="str">
        <x:v>University of Waterloo</x:v>
      </x:c>
      <x:c r="E9" s="17" t="str">
        <x:v>Master of Applied Science in Electrical and Computer Engineering</x:v>
      </x:c>
      <x:c r="F9" s="17" t="str">
        <x:v>Patrick Lam</x:v>
      </x:c>
      <x:c r="G9" s="17" t="str">
        <x:v>p23lam@uwaterloo.ca</x:v>
      </x:c>
      <x:c r="H9" s="17" t="n">
        <x:v>15</x:v>
      </x:c>
      <x:c r="I9" s="17" t="n">
        <x:v>100</x:v>
      </x:c>
      <x:c r="J9" s="17" t="str">
        <x:v>Strong</x:v>
      </x:c>
      <x:c r="K9" s="17" t="str">
        <x:v>Confirmed recruiting</x:v>
      </x:c>
      <x:c r="L9" s="17" t="str">
        <x:v>Lam's current official ECE profile says he is seeking to accept graduate students and instructs applicants to name him in the formal application</x:v>
      </x:c>
      <x:c r="M9" s="17" t="str">
        <x:v>Confirm that the current general recruiting statement still applies to Fall 2027 and that funded supervision capacity is available.</x:v>
      </x:c>
      <x:c r="N9" s="17" t="str">
        <x:v>Retain or deprioritize Master of Applied Science in Electrical and Computer Engineering by confirming whether Patrick Lam expects to supervise a funded Fall 2027 student in the verified overlap area.</x:v>
      </x:c>
      <x:c r="O9" s="17" t="str">
        <x:v>Strong TerraProbe and Evidex overlap through static analysis, program verification, verifiable specifications, infrastructure integrity, and reproducible assessment of software correctness.</x:v>
      </x:c>
      <x:c r="P9" s="17" t="str">
        <x:v>no</x:v>
      </x:c>
      <x:c r="Q9" s="18" t="e">
        <x:f>HYPERLINK("https://uwaterloo.ca/electrical-computer-engineering/profile/p23lam","Open source")</x:f>
        <x:v>HYPERLINK is not implemented. linkLocation=https://uwaterloo.ca/electrical-computer-engineering/profile/p23lam, friendlyName=Open source</x:v>
      </x:c>
    </x:row>
    <x:row r="10" ht="46" customHeight="1">
      <x:c r="A10" s="17" t="n">
        <x:v>6</x:v>
      </x:c>
      <x:c r="B10" s="17" t="str">
        <x:v>first_wave</x:v>
      </x:c>
      <x:c r="C10" s="17" t="str">
        <x:v>reserve</x:v>
      </x:c>
      <x:c r="D10" s="17" t="str">
        <x:v>York University</x:v>
      </x:c>
      <x:c r="E10" s="17" t="str">
        <x:v>Master of Science in Computer Science — Thesis Option</x:v>
      </x:c>
      <x:c r="F10" s="17" t="str">
        <x:v>Zhen Ming (Jack) Jiang</x:v>
      </x:c>
      <x:c r="G10" s="17" t="str">
        <x:v>zmjiang@yorku.ca</x:v>
      </x:c>
      <x:c r="H10" s="17" t="n">
        <x:v>15</x:v>
      </x:c>
      <x:c r="I10" s="17" t="n">
        <x:v>100</x:v>
      </x:c>
      <x:c r="J10" s="17" t="str">
        <x:v>Strong</x:v>
      </x:c>
      <x:c r="K10" s="17" t="str">
        <x:v>Confirmed recruiting</x:v>
      </x:c>
      <x:c r="L10" s="17" t="str">
        <x:v>The current faculty research page explicitly says he is recruiting graduate students; York's graduate-opportunities page instructs applicants to contact faculty to determine whether they are accepting students</x:v>
      </x:c>
      <x:c r="M10" s="17" t="str">
        <x:v>Confirm that the current general recruiting statement still applies to Fall 2027 and that funded supervision capacity is available.</x:v>
      </x:c>
      <x:c r="N10" s="17" t="str">
        <x:v>Retain or deprioritize Master of Science in Computer Science — Thesis Option by confirming whether Zhen Ming (Jack) Jiang expects to supervise a funded Fall 2027 student in the verified overlap area.</x:v>
      </x:c>
      <x:c r="O10" s="17" t="str">
        <x:v>Strong overlap with TerraProbe and Evidex through AI-assisted software engineering, automated program analysis and debugging, software performance, and empirical validation of generated code.</x:v>
      </x:c>
      <x:c r="P10" s="17" t="str">
        <x:v>no</x:v>
      </x:c>
      <x:c r="Q10" s="18" t="e">
        <x:f>HYPERLINK("https://www.eecs.yorku.ca/~zmjiang/","Open source")</x:f>
        <x:v>HYPERLINK is not implemented. linkLocation=https://www.eecs.yorku.ca/~zmjiang/, friendlyName=Open source</x:v>
      </x:c>
    </x:row>
    <x:row r="11" ht="46" customHeight="1">
      <x:c r="A11" s="17" t="n">
        <x:v>7</x:v>
      </x:c>
      <x:c r="B11" s="17" t="str">
        <x:v>first_wave</x:v>
      </x:c>
      <x:c r="C11" s="17" t="str">
        <x:v>reserve</x:v>
      </x:c>
      <x:c r="D11" s="17" t="str">
        <x:v>Brown University</x:v>
      </x:c>
      <x:c r="E11" s="17" t="str">
        <x:v>Computer Science PhD</x:v>
      </x:c>
      <x:c r="F11" s="17" t="str">
        <x:v>Malte Schwarzkopf</x:v>
      </x:c>
      <x:c r="G11" s="17" t="str">
        <x:v>malte@cs.brown.edu</x:v>
      </x:c>
      <x:c r="H11" s="17" t="n">
        <x:v>15</x:v>
      </x:c>
      <x:c r="I11" s="17" t="n">
        <x:v>93</x:v>
      </x:c>
      <x:c r="J11" s="17" t="str">
        <x:v>Strong</x:v>
      </x:c>
      <x:c r="K11" s="17" t="str">
        <x:v>Recruiting status unknown</x:v>
      </x:c>
      <x:c r="L11" s="17" t="str">
        <x:v>No current direct Fall 2027 recruiting statement located</x:v>
      </x:c>
      <x:c r="M11" s="17" t="str">
        <x:v>Recruiting status remains unknown unless the cited evidence explicitly states otherwise.</x:v>
      </x:c>
      <x:c r="N11" s="17" t="str">
        <x:v>Retain or deprioritize Computer Science PhD by confirming whether Malte Schwarzkopf expects to supervise a funded Fall 2027 student in the verified overlap area.</x:v>
      </x:c>
      <x:c r="O11" s="17" t="str">
        <x:v>Strong overlap with Evidex's evidence and policy checks and TerraProbe's trustworthy repair workflow through practical static analysis, privacy-by-construction, and secure tools for AI agents.</x:v>
      </x:c>
      <x:c r="P11" s="17" t="str">
        <x:v>no</x:v>
      </x:c>
      <x:c r="Q11" s="18" t="e">
        <x:f>HYPERLINK("https://cs.brown.edu/people/malte/","Open source")</x:f>
        <x:v>HYPERLINK is not implemented. linkLocation=https://cs.brown.edu/people/malte/, friendlyName=Open source</x:v>
      </x:c>
    </x:row>
    <x:row r="12" ht="46" customHeight="1">
      <x:c r="A12" s="17" t="n">
        <x:v>8</x:v>
      </x:c>
      <x:c r="B12" s="17" t="str">
        <x:v>first_wave</x:v>
      </x:c>
      <x:c r="C12" s="17" t="str">
        <x:v>core</x:v>
      </x:c>
      <x:c r="D12" s="17" t="str">
        <x:v>University of Colorado Boulder</x:v>
      </x:c>
      <x:c r="E12" s="17" t="str">
        <x:v>Doctor of Philosophy in Computer Science</x:v>
      </x:c>
      <x:c r="F12" s="17" t="str">
        <x:v>Sriram Sankaranarayanan</x:v>
      </x:c>
      <x:c r="G12" s="17" t="str">
        <x:v>srirams@colorado.edu</x:v>
      </x:c>
      <x:c r="H12" s="17" t="n">
        <x:v>15</x:v>
      </x:c>
      <x:c r="I12" s="17" t="n">
        <x:v>93</x:v>
      </x:c>
      <x:c r="J12" s="17" t="str">
        <x:v>Strong</x:v>
      </x:c>
      <x:c r="K12" s="17" t="str">
        <x:v>Confirmed recruiting</x:v>
      </x:c>
      <x:c r="L12" s="17" t="str">
        <x:v>The official Fall 2027 active-faculty recruitment page explicitly lists his verification and synthesis interests and says he is looking for PhD students</x:v>
      </x:c>
      <x:c r="M12" s="17" t="str">
        <x:v>Confirm that the current general recruiting statement still applies to Fall 2027 and that funded supervision capacity is available.</x:v>
      </x:c>
      <x:c r="N12" s="17" t="str">
        <x:v>Retain or deprioritize Doctor of Philosophy in Computer Science by confirming whether Sriram Sankaranarayanan expects to supervise a funded Fall 2027 student in the verified overlap area.</x:v>
      </x:c>
      <x:c r="O12" s="17" t="str">
        <x:v>Strong overlap with verifying repair behavior and producing evidence about correctness, with a distinct formal-methods angle applicable to TerraProbe and Evidex.</x:v>
      </x:c>
      <x:c r="P12" s="17" t="str">
        <x:v>no</x:v>
      </x:c>
      <x:c r="Q12" s="18" t="e">
        <x:f>HYPERLINK("https://www.colorado.edu/cs/sriram-sankaranarayanan","Open source")</x:f>
        <x:v>HYPERLINK is not implemented. linkLocation=https://www.colorado.edu/cs/sriram-sankaranarayanan, friendlyName=Open source</x:v>
      </x:c>
    </x:row>
    <x:row r="13" ht="46" customHeight="1">
      <x:c r="A13" s="17" t="n">
        <x:v>9</x:v>
      </x:c>
      <x:c r="B13" s="17" t="str">
        <x:v>first_wave</x:v>
      </x:c>
      <x:c r="C13" s="17" t="str">
        <x:v>core</x:v>
      </x:c>
      <x:c r="D13" s="17" t="str">
        <x:v>Duke University</x:v>
      </x:c>
      <x:c r="E13" s="17" t="str">
        <x:v>Computer Science PhD</x:v>
      </x:c>
      <x:c r="F13" s="17" t="str">
        <x:v>Danfeng Zhang</x:v>
      </x:c>
      <x:c r="G13" s="17" t="str">
        <x:v>dz132@duke.edu</x:v>
      </x:c>
      <x:c r="H13" s="17" t="n">
        <x:v>15</x:v>
      </x:c>
      <x:c r="I13" s="17" t="n">
        <x:v>86</x:v>
      </x:c>
      <x:c r="J13" s="17" t="str">
        <x:v>Strong</x:v>
      </x:c>
      <x:c r="K13" s="17" t="str">
        <x:v>Recruiting status unknown</x:v>
      </x:c>
      <x:c r="L13" s="17" t="str">
        <x:v>No current direct Fall 2027 recruiting statement located</x:v>
      </x:c>
      <x:c r="M13" s="17" t="str">
        <x:v>Recruiting status remains unknown unless the cited evidence explicitly states otherwise.</x:v>
      </x:c>
      <x:c r="N13" s="17" t="str">
        <x:v>Retain or deprioritize Computer Science PhD by confirming whether Danfeng Zhang expects to supervise a funded Fall 2027 student in the verified overlap area.</x:v>
      </x:c>
      <x:c r="O13" s="17" t="str">
        <x:v>Strong direct overlap with TerraProbe's repair problem and Evidex's assurance focus because the research statement explicitly targets proving software-error absence and generating fixes when errors occur.</x:v>
      </x:c>
      <x:c r="P13" s="17" t="str">
        <x:v>no</x:v>
      </x:c>
      <x:c r="Q13" s="18" t="e">
        <x:f>HYPERLINK("https://users.cs.duke.edu/~dz132/","Open source")</x:f>
        <x:v>HYPERLINK is not implemented. linkLocation=https://users.cs.duke.edu/~dz132/, friendlyName=Open source</x:v>
      </x:c>
    </x:row>
    <x:row r="14" ht="46" customHeight="1">
      <x:c r="A14" s="17" t="n">
        <x:v>10</x:v>
      </x:c>
      <x:c r="B14" s="17" t="str">
        <x:v>first_wave</x:v>
      </x:c>
      <x:c r="C14" s="17" t="str">
        <x:v>core</x:v>
      </x:c>
      <x:c r="D14" s="17" t="str">
        <x:v>Johns Hopkins University</x:v>
      </x:c>
      <x:c r="E14" s="17" t="str">
        <x:v>Doctor of Philosophy in Computer Science</x:v>
      </x:c>
      <x:c r="F14" s="17" t="str">
        <x:v>Yinzhi Cao</x:v>
      </x:c>
      <x:c r="G14" s="17" t="str">
        <x:v>yinzhi.cao@jhu.edu</x:v>
      </x:c>
      <x:c r="H14" s="17" t="n">
        <x:v>15</x:v>
      </x:c>
      <x:c r="I14" s="17" t="n">
        <x:v>86</x:v>
      </x:c>
      <x:c r="J14" s="17" t="str">
        <x:v>Strong</x:v>
      </x:c>
      <x:c r="K14" s="17" t="str">
        <x:v>Recruiting status unknown</x:v>
      </x:c>
      <x:c r="L14" s="17" t="str">
        <x:v>No current direct statement that Cao is accepting a new PhD student was located; funded projects, current students, and publications are not treated as recruiting evidence.</x:v>
      </x:c>
      <x:c r="M14" s="17" t="str">
        <x:v>Recruiting status remains unknown unless the cited evidence explicitly states otherwise.</x:v>
      </x:c>
      <x:c r="N14" s="17" t="str">
        <x:v>Retain or deprioritize Doctor of Philosophy in Computer Science by confirming whether Yinzhi Cao expects to supervise a funded Fall 2027 student in the verified overlap area.</x:v>
      </x:c>
      <x:c r="O14" s="17" t="str">
        <x:v>Strong TerraProbe and Evidex overlap through automated vulnerability discovery, large-scale web measurement, concolic execution, reproducible security evaluation, and adversarial testing of AI-assisted systems.</x:v>
      </x:c>
      <x:c r="P14" s="17" t="str">
        <x:v>no</x:v>
      </x:c>
      <x:c r="Q14" s="18" t="e">
        <x:f>HYPERLINK("https://www.cs.jhu.edu/faculty/yinzhi-cao/","Open source")</x:f>
        <x:v>HYPERLINK is not implemented. linkLocation=https://www.cs.jhu.edu/faculty/yinzhi-cao/, friendlyName=Open source</x:v>
      </x:c>
    </x:row>
    <x:row r="15" ht="46" customHeight="1">
      <x:c r="A15" s="17" t="n">
        <x:v>11</x:v>
      </x:c>
      <x:c r="B15" s="17" t="str">
        <x:v>first_wave</x:v>
      </x:c>
      <x:c r="C15" s="17" t="str">
        <x:v>core</x:v>
      </x:c>
      <x:c r="D15" s="17" t="str">
        <x:v>Lehigh University</x:v>
      </x:c>
      <x:c r="E15" s="17" t="str">
        <x:v>PhD in Computer Science</x:v>
      </x:c>
      <x:c r="F15" s="17" t="str">
        <x:v>Lichao Sun</x:v>
      </x:c>
      <x:c r="G15" s="17" t="str">
        <x:v>lis221@lehigh.edu</x:v>
      </x:c>
      <x:c r="H15" s="17" t="n">
        <x:v>15</x:v>
      </x:c>
      <x:c r="I15" s="17" t="n">
        <x:v>86</x:v>
      </x:c>
      <x:c r="J15" s="17" t="str">
        <x:v>Strong</x:v>
      </x:c>
      <x:c r="K15" s="17" t="str">
        <x:v>Recruiting status unknown</x:v>
      </x:c>
      <x:c r="L15" s="17" t="str">
        <x:v>Lehigh advises prospective PhD students to contact potential advisors about changing recruitment needs, but no Sun-specific Fall 2027 opening is stated.</x:v>
      </x:c>
      <x:c r="M15" s="17" t="str">
        <x:v>Recruiting status remains unknown unless the cited evidence explicitly states otherwise.</x:v>
      </x:c>
      <x:c r="N15" s="17" t="str">
        <x:v>Retain or deprioritize PhD in Computer Science by confirming whether Lichao Sun expects to supervise a funded Fall 2027 student in the verified overlap area.</x:v>
      </x:c>
      <x:c r="O15" s="17" t="str">
        <x:v>Strong Evidex overlap through explicit evaluation of safety, privacy, and security in generative AI and LLM systems; the work also supports security-oriented evaluation of AI-assisted infrastructure tooling.</x:v>
      </x:c>
      <x:c r="P15" s="17" t="str">
        <x:v>no</x:v>
      </x:c>
      <x:c r="Q15" s="18" t="e">
        <x:f>HYPERLINK("https://engineering.lehigh.edu/faculty/lichao-sun","Open source")</x:f>
        <x:v>HYPERLINK is not implemented. linkLocation=https://engineering.lehigh.edu/faculty/lichao-sun, friendlyName=Open source</x:v>
      </x:c>
    </x:row>
    <x:row r="16" ht="46" customHeight="1">
      <x:c r="A16" s="17" t="n">
        <x:v>12</x:v>
      </x:c>
      <x:c r="B16" s="17" t="str">
        <x:v>first_wave</x:v>
      </x:c>
      <x:c r="C16" s="17" t="str">
        <x:v>core</x:v>
      </x:c>
      <x:c r="D16" s="17" t="str">
        <x:v>New Jersey Institute of Technology</x:v>
      </x:c>
      <x:c r="E16" s="17" t="str">
        <x:v>Ph.D. Computer Science</x:v>
      </x:c>
      <x:c r="F16" s="17" t="str">
        <x:v>Martin Kellogg</x:v>
      </x:c>
      <x:c r="G16" s="17" t="str">
        <x:v>martin.kellogg@njit.edu</x:v>
      </x:c>
      <x:c r="H16" s="17" t="n">
        <x:v>15</x:v>
      </x:c>
      <x:c r="I16" s="17" t="n">
        <x:v>86</x:v>
      </x:c>
      <x:c r="J16" s="17" t="str">
        <x:v>Strong</x:v>
      </x:c>
      <x:c r="K16" s="17" t="str">
        <x:v>Recruiting status unknown</x:v>
      </x:c>
      <x:c r="L16" s="17" t="str">
        <x:v>No current Kellogg-specific Fall 2027 opening, student invitation, or funding commitment was located; current grants and publications are not recruiting evidence.</x:v>
      </x:c>
      <x:c r="M16" s="17" t="str">
        <x:v>Recruiting status remains unknown unless the cited evidence explicitly states otherwise.</x:v>
      </x:c>
      <x:c r="N16" s="17" t="str">
        <x:v>Retain or deprioritize Ph.D. Computer Science by confirming whether Martin Kellogg expects to supervise a funded Fall 2027 student in the verified overlap area.</x:v>
      </x:c>
      <x:c r="O16" s="17" t="str">
        <x:v>Exceptionally strong TerraProbe overlap through practical program verification, static analysis, specification inference, testing, and repair of software-resource bugs; Evidex overlaps through checkable evidence for correctness and security claims.</x:v>
      </x:c>
      <x:c r="P16" s="17" t="str">
        <x:v>no</x:v>
      </x:c>
      <x:c r="Q16" s="18" t="e">
        <x:f>HYPERLINK("https://people.njit.edu/profile/mjk76","Open source")</x:f>
        <x:v>HYPERLINK is not implemented. linkLocation=https://people.njit.edu/profile/mjk76, friendlyName=Open source</x:v>
      </x:c>
    </x:row>
    <x:row r="17" ht="46" customHeight="1">
      <x:c r="A17" s="17" t="n">
        <x:v>13</x:v>
      </x:c>
      <x:c r="B17" s="17" t="str">
        <x:v>second_wave</x:v>
      </x:c>
      <x:c r="C17" s="17" t="str">
        <x:v>core</x:v>
      </x:c>
      <x:c r="D17" s="17" t="str">
        <x:v>Northeastern University</x:v>
      </x:c>
      <x:c r="E17" s="17" t="str">
        <x:v>Computer Science PhD</x:v>
      </x:c>
      <x:c r="F17" s="17" t="str">
        <x:v>Jonathan Bell</x:v>
      </x:c>
      <x:c r="G17" s="17" t="str">
        <x:v>j.bell@northeastern.edu</x:v>
      </x:c>
      <x:c r="H17" s="17" t="n">
        <x:v>15</x:v>
      </x:c>
      <x:c r="I17" s="17" t="n">
        <x:v>86</x:v>
      </x:c>
      <x:c r="J17" s="17" t="str">
        <x:v>Strong</x:v>
      </x:c>
      <x:c r="K17" s="17" t="str">
        <x:v>Recruiting status unknown</x:v>
      </x:c>
      <x:c r="L17" s="17" t="str">
        <x:v>No current direct Fall 2027 recruiting statement located</x:v>
      </x:c>
      <x:c r="M17" s="17" t="str">
        <x:v>Recruiting status remains unknown unless the cited evidence explicitly states otherwise.</x:v>
      </x:c>
      <x:c r="N17" s="17" t="str">
        <x:v>Retain or deprioritize Computer Science PhD by confirming whether Jonathan Bell expects to supervise a funded Fall 2027 student in the verified overlap area.</x:v>
      </x:c>
      <x:c r="O17" s="17" t="str">
        <x:v>Strong fit for build/configuration reliability and automated test/analysis infrastructure.</x:v>
      </x:c>
      <x:c r="P17" s="17" t="str">
        <x:v>no</x:v>
      </x:c>
      <x:c r="Q17" s="18" t="e">
        <x:f>HYPERLINK("https://www.khoury.northeastern.edu/people/jonathan-bell/","Open source")</x:f>
        <x:v>HYPERLINK is not implemented. linkLocation=https://www.khoury.northeastern.edu/people/jonathan-bell/, friendlyName=Open source</x:v>
      </x:c>
    </x:row>
    <x:row r="18" ht="46" customHeight="1">
      <x:c r="A18" s="17" t="n">
        <x:v>14</x:v>
      </x:c>
      <x:c r="B18" s="17" t="str">
        <x:v>second_wave</x:v>
      </x:c>
      <x:c r="C18" s="17" t="str">
        <x:v>core</x:v>
      </x:c>
      <x:c r="D18" s="17" t="str">
        <x:v>Northwestern University</x:v>
      </x:c>
      <x:c r="E18" s="17" t="str">
        <x:v>Doctor of Philosophy in Computer Science</x:v>
      </x:c>
      <x:c r="F18" s="17" t="str">
        <x:v>Robby Findler</x:v>
      </x:c>
      <x:c r="G18" s="17" t="str">
        <x:v>robby@northwestern.edu</x:v>
      </x:c>
      <x:c r="H18" s="17" t="n">
        <x:v>15</x:v>
      </x:c>
      <x:c r="I18" s="17" t="n">
        <x:v>86</x:v>
      </x:c>
      <x:c r="J18" s="17" t="str">
        <x:v>Strong</x:v>
      </x:c>
      <x:c r="K18" s="17" t="str">
        <x:v>Recruiting status unknown</x:v>
      </x:c>
      <x:c r="L18" s="17" t="str">
        <x:v>No current direct statement that Findler is accepting a new PhD student was located; publications and current advisees are not treated as recruiting evidence.</x:v>
      </x:c>
      <x:c r="M18" s="17" t="str">
        <x:v>Recruiting status remains unknown unless the cited evidence explicitly states otherwise.</x:v>
      </x:c>
      <x:c r="N18" s="17" t="str">
        <x:v>Retain or deprioritize Doctor of Philosophy in Computer Science by confirming whether Robby Findler expects to supervise a funded Fall 2027 student in the verified overlap area.</x:v>
      </x:c>
      <x:c r="O18" s="17" t="str">
        <x:v>Strong TerraProbe and Evidex overlap through executable software contracts, semantic validation, mechanized correctness arguments, type-mismatch detection, and performance evaluation of language runtimes.</x:v>
      </x:c>
      <x:c r="P18" s="17" t="str">
        <x:v>no</x:v>
      </x:c>
      <x:c r="Q18" s="18" t="e">
        <x:f>HYPERLINK("https://www.mccormick.northwestern.edu/research-faculty/directory/profiles/findler-robert.html","Open source")</x:f>
        <x:v>HYPERLINK is not implemented. linkLocation=https://www.mccormick.northwestern.edu/research-faculty/directory/profiles/findler-robert.html, friendlyName=Open source</x:v>
      </x:c>
    </x:row>
    <x:row r="19" ht="46" customHeight="1">
      <x:c r="A19" s="17" t="n">
        <x:v>15</x:v>
      </x:c>
      <x:c r="B19" s="17" t="str">
        <x:v>second_wave</x:v>
      </x:c>
      <x:c r="C19" s="17" t="str">
        <x:v>reserve</x:v>
      </x:c>
      <x:c r="D19" s="17" t="str">
        <x:v>Old Dominion University</x:v>
      </x:c>
      <x:c r="E19" s="17" t="str">
        <x:v>Computer Science (Ph.D.)</x:v>
      </x:c>
      <x:c r="F19" s="17" t="str">
        <x:v>Shuai Hao</x:v>
      </x:c>
      <x:c r="G19" s="17" t="str">
        <x:v>shao@odu.edu</x:v>
      </x:c>
      <x:c r="H19" s="17" t="n">
        <x:v>15</x:v>
      </x:c>
      <x:c r="I19" s="17" t="n">
        <x:v>86</x:v>
      </x:c>
      <x:c r="J19" s="17" t="str">
        <x:v>Strong</x:v>
      </x:c>
      <x:c r="K19" s="17" t="str">
        <x:v>Recruiting status unknown</x:v>
      </x:c>
      <x:c r="L19" s="17" t="str">
        <x:v>No current Hao-specific statement or Fall 2027 opening was located; ODU's funded doctoral structure and current research are not candidate-specific recruiting evidence.</x:v>
      </x:c>
      <x:c r="M19" s="17" t="str">
        <x:v>Recruiting status remains unknown unless the cited evidence explicitly states otherwise.</x:v>
      </x:c>
      <x:c r="N19" s="17" t="str">
        <x:v>Retain or deprioritize Computer Science (Ph.D.) by confirming whether Shuai Hao expects to supervise a funded Fall 2027 student in the verified overlap area.</x:v>
      </x:c>
      <x:c r="O19" s="17" t="str">
        <x:v>Strong TerraProbe overlap through LLM-powered UI exploration, hybrid analysis of application transition graphs, and Internet-scale security measurement; Evidex overlaps through empirical detection evidence, security evaluation, and privacy testing of LLMs.</x:v>
      </x:c>
      <x:c r="P19" s="17" t="str">
        <x:v>no</x:v>
      </x:c>
      <x:c r="Q19" s="18" t="e">
        <x:f>HYPERLINK("https://www.odu.edu/directory/shuai-hao","Open source")</x:f>
        <x:v>HYPERLINK is not implemented. linkLocation=https://www.odu.edu/directory/shuai-hao, friendlyName=Open source</x:v>
      </x:c>
    </x:row>
    <x:row r="20" ht="46" customHeight="1">
      <x:c r="A20" s="17" t="n">
        <x:v>16</x:v>
      </x:c>
      <x:c r="B20" s="17" t="str">
        <x:v>second_wave</x:v>
      </x:c>
      <x:c r="C20" s="17" t="str">
        <x:v>core</x:v>
      </x:c>
      <x:c r="D20" s="17" t="str">
        <x:v>University of Illinois Chicago</x:v>
      </x:c>
      <x:c r="E20" s="17" t="str">
        <x:v>PhD in Computer Science</x:v>
      </x:c>
      <x:c r="F20" s="17" t="str">
        <x:v>Mark Grechanik</x:v>
      </x:c>
      <x:c r="G20" s="17" t="str">
        <x:v>drmark@uic.edu</x:v>
      </x:c>
      <x:c r="H20" s="17" t="n">
        <x:v>15</x:v>
      </x:c>
      <x:c r="I20" s="17" t="n">
        <x:v>86</x:v>
      </x:c>
      <x:c r="J20" s="17" t="str">
        <x:v>Strong</x:v>
      </x:c>
      <x:c r="K20" s="17" t="str">
        <x:v>Recruiting status unknown</x:v>
      </x:c>
      <x:c r="L20" s="17" t="str">
        <x:v>No current direct Fall 2027 recruiting statement located</x:v>
      </x:c>
      <x:c r="M20" s="17" t="str">
        <x:v>Recruiting status remains unknown unless the cited evidence explicitly states otherwise.</x:v>
      </x:c>
      <x:c r="N20" s="17" t="str">
        <x:v>Retain or deprioritize PhD in Computer Science by confirming whether Mark Grechanik expects to supervise a funded Fall 2027 student in the verified overlap area.</x:v>
      </x:c>
      <x:c r="O20" s="17" t="str">
        <x:v>Strong overlap with TerraProbe and Evidex through proof-driven reliable software, program generation and analysis, software quality assurance, reproducibility, and evidence-centered system validation.</x:v>
      </x:c>
      <x:c r="P20" s="17" t="str">
        <x:v>no</x:v>
      </x:c>
      <x:c r="Q20" s="18" t="e">
        <x:f>HYPERLINK("https://cs.uic.edu/profiles/mark-grechanik/","Open source")</x:f>
        <x:v>HYPERLINK is not implemented. linkLocation=https://cs.uic.edu/profiles/mark-grechanik/, friendlyName=Open source</x:v>
      </x:c>
    </x:row>
    <x:row r="21" ht="46" customHeight="1">
      <x:c r="A21" s="17" t="n">
        <x:v>17</x:v>
      </x:c>
      <x:c r="B21" s="17" t="str">
        <x:v>second_wave</x:v>
      </x:c>
      <x:c r="C21" s="17" t="str">
        <x:v>core</x:v>
      </x:c>
      <x:c r="D21" s="17" t="str">
        <x:v>University of Massachusetts-Amherst</x:v>
      </x:c>
      <x:c r="E21" s="17" t="str">
        <x:v>Computer Science PhD</x:v>
      </x:c>
      <x:c r="F21" s="17" t="str">
        <x:v>Yuriy Brun</x:v>
      </x:c>
      <x:c r="G21" s="17" t="str">
        <x:v>brun@cs.umass.edu</x:v>
      </x:c>
      <x:c r="H21" s="17" t="n">
        <x:v>15</x:v>
      </x:c>
      <x:c r="I21" s="17" t="n">
        <x:v>86</x:v>
      </x:c>
      <x:c r="J21" s="17" t="str">
        <x:v>Strong</x:v>
      </x:c>
      <x:c r="K21" s="17" t="str">
        <x:v>Recruiting status unknown</x:v>
      </x:c>
      <x:c r="L21" s="17" t="str">
        <x:v>No current direct Fall 2027 recruiting statement located</x:v>
      </x:c>
      <x:c r="M21" s="17" t="str">
        <x:v>Recruiting status remains unknown unless the cited evidence explicitly states otherwise.</x:v>
      </x:c>
      <x:c r="N21" s="17" t="str">
        <x:v>Retain or deprioritize Computer Science PhD by confirming whether Yuriy Brun expects to supervise a funded Fall 2027 student in the verified overlap area.</x:v>
      </x:c>
      <x:c r="O21" s="17" t="str">
        <x:v>Exceptional match to Terraform repair and evidence-centered evaluation.</x:v>
      </x:c>
      <x:c r="P21" s="17" t="str">
        <x:v>no</x:v>
      </x:c>
      <x:c r="Q21" s="18" t="e">
        <x:f>HYPERLINK("https://www.cics.umass.edu/about/directory/yuriy-brun","Open source")</x:f>
        <x:v>HYPERLINK is not implemented. linkLocation=https://www.cics.umass.edu/about/directory/yuriy-brun, friendlyName=Open source</x:v>
      </x:c>
    </x:row>
    <x:row r="22" ht="46" customHeight="1">
      <x:c r="A22" s="17" t="n">
        <x:v>18</x:v>
      </x:c>
      <x:c r="B22" s="17" t="str">
        <x:v>second_wave</x:v>
      </x:c>
      <x:c r="C22" s="17" t="str">
        <x:v>core</x:v>
      </x:c>
      <x:c r="D22" s="17" t="str">
        <x:v>Virginia Polytechnic Institute and State University</x:v>
      </x:c>
      <x:c r="E22" s="17" t="str">
        <x:v>Computer Science PhD</x:v>
      </x:c>
      <x:c r="F22" s="17" t="str">
        <x:v>Na Meng</x:v>
      </x:c>
      <x:c r="G22" s="17" t="str">
        <x:v>nm8247@cs.vt.edu</x:v>
      </x:c>
      <x:c r="H22" s="17" t="n">
        <x:v>15</x:v>
      </x:c>
      <x:c r="I22" s="17" t="n">
        <x:v>86</x:v>
      </x:c>
      <x:c r="J22" s="17" t="str">
        <x:v>Strong</x:v>
      </x:c>
      <x:c r="K22" s="17" t="str">
        <x:v>Recruiting status unknown</x:v>
      </x:c>
      <x:c r="L22" s="17" t="str">
        <x:v>No current direct Fall 2027 recruiting statement located</x:v>
      </x:c>
      <x:c r="M22" s="17" t="str">
        <x:v>Recruiting status remains unknown unless the cited evidence explicitly states otherwise.</x:v>
      </x:c>
      <x:c r="N22" s="17" t="str">
        <x:v>Retain or deprioritize Computer Science PhD by confirming whether Na Meng expects to supervise a funded Fall 2027 student in the verified overlap area.</x:v>
      </x:c>
      <x:c r="O22" s="17" t="str">
        <x:v>Near-direct fit to build/configuration repair, LLM-assisted maintenance, and rigorous evaluation.</x:v>
      </x:c>
      <x:c r="P22" s="17" t="str">
        <x:v>no</x:v>
      </x:c>
      <x:c r="Q22" s="18" t="e">
        <x:f>HYPERLINK("https://website.cs.vt.edu/people/faculty/na-ming.html","Open source")</x:f>
        <x:v>HYPERLINK is not implemented. linkLocation=https://website.cs.vt.edu/people/faculty/na-ming.html, friendlyName=Open source</x:v>
      </x:c>
    </x:row>
    <x:row r="23" ht="46" customHeight="1">
      <x:c r="A23" s="17" t="n">
        <x:v>19</x:v>
      </x:c>
      <x:c r="B23" s="17" t="str">
        <x:v>second_wave</x:v>
      </x:c>
      <x:c r="C23" s="17" t="str">
        <x:v>core</x:v>
      </x:c>
      <x:c r="D23" s="17" t="str">
        <x:v>Washington University in St Louis</x:v>
      </x:c>
      <x:c r="E23" s="17" t="str">
        <x:v>Computer Science PhD</x:v>
      </x:c>
      <x:c r="F23" s="17" t="str">
        <x:v>Umar Iqbal</x:v>
      </x:c>
      <x:c r="G23" s="17" t="str">
        <x:v>umar.iqbal@wustl.edu</x:v>
      </x:c>
      <x:c r="H23" s="17" t="n">
        <x:v>15</x:v>
      </x:c>
      <x:c r="I23" s="17" t="n">
        <x:v>86</x:v>
      </x:c>
      <x:c r="J23" s="17" t="str">
        <x:v>Strong</x:v>
      </x:c>
      <x:c r="K23" s="17" t="str">
        <x:v>Recruiting status unknown</x:v>
      </x:c>
      <x:c r="L23" s="17" t="str">
        <x:v>No current direct Fall 2027 recruiting statement located</x:v>
      </x:c>
      <x:c r="M23" s="17" t="str">
        <x:v>Recruiting status remains unknown unless the cited evidence explicitly states otherwise.</x:v>
      </x:c>
      <x:c r="N23" s="17" t="str">
        <x:v>Retain or deprioritize Computer Science PhD by confirming whether Umar Iqbal expects to supervise a funded Fall 2027 student in the verified overlap area.</x:v>
      </x:c>
      <x:c r="O23" s="17" t="str">
        <x:v>Exceptional overlap with agent security, evidence-grounded claims, and trustworthy evaluation.</x:v>
      </x:c>
      <x:c r="P23" s="17" t="str">
        <x:v>no</x:v>
      </x:c>
      <x:c r="Q23" s="18" t="e">
        <x:f>HYPERLINK("https://engineering.washu.edu/faculty/Umar-Iqbal.html","Open source")</x:f>
        <x:v>HYPERLINK is not implemented. linkLocation=https://engineering.washu.edu/faculty/Umar-Iqbal.html, friendlyName=Open source</x:v>
      </x:c>
    </x:row>
    <x:row r="24" ht="46" customHeight="1">
      <x:c r="A24" s="17" t="n">
        <x:v>24</x:v>
      </x:c>
      <x:c r="B24" s="17" t="str">
        <x:v>blocked_missing_official_contact</x:v>
      </x:c>
      <x:c r="C24" s="17" t="str">
        <x:v>core</x:v>
      </x:c>
      <x:c r="D24" s="17" t="str">
        <x:v>University of Arizona</x:v>
      </x:c>
      <x:c r="E24" s="17" t="str">
        <x:v>Computer Science PhD</x:v>
      </x:c>
      <x:c r="F24" s="17" t="str">
        <x:v>Roberto Giacobazzi</x:v>
      </x:c>
      <x:c r="G24" s="17" t="str"/>
      <x:c r="H24" s="17" t="n">
        <x:v>15</x:v>
      </x:c>
      <x:c r="I24" s="17" t="n">
        <x:v>100</x:v>
      </x:c>
      <x:c r="J24" s="17" t="str">
        <x:v>Strong</x:v>
      </x:c>
      <x:c r="K24" s="17" t="str">
        <x:v>Recruiting status unknown</x:v>
      </x:c>
      <x:c r="L24" s="17" t="str">
        <x:v>No current direct Fall 2027 recruiting statement located</x:v>
      </x:c>
      <x:c r="M24" s="17" t="str">
        <x:v>Recruiting status remains unknown unless the cited evidence explicitly states otherwise.</x:v>
      </x:c>
      <x:c r="N24" s="17" t="str">
        <x:v>Retain or deprioritize Computer Science PhD by confirming whether Roberto Giacobazzi expects to supervise a funded Fall 2027 student in the verified overlap area.</x:v>
      </x:c>
      <x:c r="O24" s="17" t="str">
        <x:v>Strong overlap with Evidex's evidence discipline and TerraProbe's repair validation through abstract interpretation, program analysis, verification, and reasoning about transformation correctness.</x:v>
      </x:c>
      <x:c r="P24" s="17" t="str">
        <x:v>unknown</x:v>
      </x:c>
      <x:c r="Q24" s="18" t="e">
        <x:f>HYPERLINK("https://www2.cs.arizona.edu/people/giacobazzi/","Open source")</x:f>
        <x:v>HYPERLINK is not implemented. linkLocation=https://www2.cs.arizona.edu/people/giacobazzi/, friendlyName=Open source</x:v>
      </x:c>
    </x:row>
    <x:row r="25" ht="46" customHeight="1">
      <x:c r="A25" s="17" t="n">
        <x:v>25</x:v>
      </x:c>
      <x:c r="B25" s="17" t="str">
        <x:v>blocked_missing_official_contact</x:v>
      </x:c>
      <x:c r="C25" s="17" t="str">
        <x:v>core</x:v>
      </x:c>
      <x:c r="D25" s="17" t="str">
        <x:v>Carnegie Mellon University</x:v>
      </x:c>
      <x:c r="E25" s="17" t="str">
        <x:v>Software Engineering PhD</x:v>
      </x:c>
      <x:c r="F25" s="17" t="str">
        <x:v>Claire Le Goues</x:v>
      </x:c>
      <x:c r="G25" s="17" t="str"/>
      <x:c r="H25" s="17" t="n">
        <x:v>15</x:v>
      </x:c>
      <x:c r="I25" s="17" t="n">
        <x:v>86</x:v>
      </x:c>
      <x:c r="J25" s="17" t="str">
        <x:v>Strong</x:v>
      </x:c>
      <x:c r="K25" s="17" t="str">
        <x:v>Recruiting status unknown</x:v>
      </x:c>
      <x:c r="L25" s="17" t="str">
        <x:v>No current direct Fall 2027 recruiting statement located</x:v>
      </x:c>
      <x:c r="M25" s="17" t="str">
        <x:v>Recruiting status remains unknown unless the cited evidence explicitly states otherwise.</x:v>
      </x:c>
      <x:c r="N25" s="17" t="str">
        <x:v>Retain or deprioritize Software Engineering PhD by confirming whether Claire Le Goues expects to supervise a funded Fall 2027 student in the verified overlap area.</x:v>
      </x:c>
      <x:c r="O25" s="17" t="str">
        <x:v>Direct fit with TerraProbe's repair/evaluation work and reliable AI-assisted software development.</x:v>
      </x:c>
      <x:c r="P25" s="17" t="str">
        <x:v>unknown</x:v>
      </x:c>
      <x:c r="Q25" s="18" t="e">
        <x:f>HYPERLINK("https://s3d.cmu.edu/people/core-faculty/legoues-claire.html","Open source")</x:f>
        <x:v>HYPERLINK is not implemented. linkLocation=https://s3d.cmu.edu/people/core-faculty/legoues-claire.html, friendlyName=Open source</x:v>
      </x:c>
    </x:row>
    <x:row r="26" ht="46" customHeight="1">
      <x:c r="A26" s="17" t="n">
        <x:v>26</x:v>
      </x:c>
      <x:c r="B26" s="17" t="str">
        <x:v>blocked_missing_official_contact</x:v>
      </x:c>
      <x:c r="C26" s="17" t="str">
        <x:v>core</x:v>
      </x:c>
      <x:c r="D26" s="17" t="str">
        <x:v>University of Michigan-Ann Arbor</x:v>
      </x:c>
      <x:c r="E26" s="17" t="str">
        <x:v>Computer Science and Engineering PhD</x:v>
      </x:c>
      <x:c r="F26" s="17" t="str">
        <x:v>Westley Weimer</x:v>
      </x:c>
      <x:c r="G26" s="17" t="str"/>
      <x:c r="H26" s="17" t="n">
        <x:v>15</x:v>
      </x:c>
      <x:c r="I26" s="17" t="n">
        <x:v>86</x:v>
      </x:c>
      <x:c r="J26" s="17" t="str">
        <x:v>Strong</x:v>
      </x:c>
      <x:c r="K26" s="17" t="str">
        <x:v>Recruiting status unknown</x:v>
      </x:c>
      <x:c r="L26" s="17" t="str">
        <x:v>No current direct Fall 2027 recruiting statement located</x:v>
      </x:c>
      <x:c r="M26" s="17" t="str">
        <x:v>Recruiting status remains unknown unless the cited evidence explicitly states otherwise.</x:v>
      </x:c>
      <x:c r="N26" s="17" t="str">
        <x:v>Retain or deprioritize Computer Science and Engineering PhD by confirming whether Westley Weimer expects to supervise a funded Fall 2027 student in the verified overlap area.</x:v>
      </x:c>
      <x:c r="O26" s="17" t="str">
        <x:v>Canonical fit for the applicant's automated Terraform repair background.</x:v>
      </x:c>
      <x:c r="P26" s="17" t="str">
        <x:v>unknown</x:v>
      </x:c>
      <x:c r="Q26" s="18" t="e">
        <x:f>HYPERLINK("https://eecs.engin.umich.edu/people/weimer-westley/","Open source")</x:f>
        <x:v>HYPERLINK is not implemented. linkLocation=https://eecs.engin.umich.edu/people/weimer-westley/, friendlyName=Open source</x:v>
      </x:c>
    </x:row>
  </x:sheetData>
  <x:mergeCells>
    <x:mergeCell ref="A1:Q1"/>
    <x:mergeCell ref="A2:Q2"/>
    <x:mergeCell ref="A3:Q3"/>
  </x:mergeCells>
  <x:conditionalFormatting sqref="H5:H26">
    <x:cfRule type="colorScale" priority="1">
      <x:colorScale>
        <x:cfvo type="min"/>
        <x:cfvo type="percentile" val="50"/>
        <x:cfvo type="max"/>
        <x:color rgb="FFF8696B"/>
        <x:color rgb="FFFFEB84"/>
        <x:color rgb="FF63BE7B"/>
      </x:colorScale>
    </x:cfRule>
  </x:conditionalFormatting>
  <x:conditionalFormatting sqref="I5:I26">
    <x:cfRule type="colorScale" priority="2">
      <x:colorScale>
        <x:cfvo type="min"/>
        <x:cfvo type="percentile" val="50"/>
        <x:cfvo type="max"/>
        <x:color rgb="FFF8696B"/>
        <x:color rgb="FFFFEB84"/>
        <x:color rgb="FF63BE7B"/>
      </x:colorScale>
    </x:cfRule>
  </x:conditionalFormatting>
  <x:dataValidations count="1">
    <x:dataValidation type="list" sqref="B5:B26">
      <x:formula1>"first_wave,second_wave,blocked_missing_official_contact"</x:formula1>
    </x:dataValidation>
  </x:dataValidations>
  <x:pageMargins left="0.7" right="0.7" top="0.75" bottom="0.75" header="0.3" footer="0.3"/>
  <x:tableParts count="1">
    <x:tablePart xmlns:r="http://schemas.openxmlformats.org/officeDocument/2006/relationships" r:id="R4458c7e0da5e4cdb"/>
  </x:tableParts>
</x:worksheet>
</file>

<file path=xl/worksheets/sheet5.xml><?xml version="1.0" encoding="utf-8"?>
<x:worksheet xmlns:x="http://schemas.openxmlformats.org/spreadsheetml/2006/main">
  <x:sheetPr>
    <x:tabColor rgb="FF4F81BD"/>
  </x:sheetPr>
  <x:sheetViews>
    <x:sheetView showGridLines="0" workbookViewId="0">
      <x:pane xSplit="2" ySplit="4" topLeftCell="C5" activePane="bottomRight" state="frozen"/>
    </x:sheetView>
  </x:sheetViews>
  <x:sheetFormatPr defaultRowHeight="15"/>
  <x:cols>
    <x:col min="1" max="1" width="12" hidden="0" customWidth="1"/>
    <x:col min="2" max="2" width="24" hidden="0" customWidth="1"/>
    <x:col min="3" max="3" width="12" hidden="0" customWidth="1"/>
    <x:col min="4" max="4" width="38" hidden="0" customWidth="1"/>
    <x:col min="5" max="5" width="27" hidden="0" customWidth="1"/>
    <x:col min="6" max="6" width="18" hidden="0" customWidth="1"/>
    <x:col min="7" max="7" width="21" hidden="0" customWidth="1"/>
    <x:col min="8" max="8" width="12" hidden="0" customWidth="1"/>
    <x:col min="9" max="9" width="38" hidden="0" customWidth="1"/>
    <x:col min="10" max="10" width="38" hidden="0" customWidth="1"/>
    <x:col min="11" max="11" width="38" hidden="0" customWidth="1"/>
    <x:col min="12" max="12" width="12" hidden="0" customWidth="1"/>
    <x:col min="13" max="13" width="18" hidden="0" customWidth="1"/>
  </x:cols>
  <x:sheetData>
    <x:row r="1" ht="28" customHeight="1">
      <x:c r="A1" s="3" t="str">
        <x:v>Department / Admin Outreach</x:v>
      </x:c>
    </x:row>
    <x:row r="2" ht="34" customHeight="1">
      <x:c r="A2" s="7" t="str">
        <x:v>Administrative questions are separated from professor research and supervision questions.</x:v>
      </x:c>
    </x:row>
    <x:row r="3" ht="20" customHeight="1">
      <x:c r="A3" s="9" t="str">
        <x:v>Evidence snapshot: 2026-09-11 · 6 records · Use the row-4 filters; uncertainty is intentional.</x:v>
      </x:c>
    </x:row>
    <x:row r="4" ht="34" customHeight="1">
      <x:c r="A4" s="13" t="str">
        <x:v>Priority Rank</x:v>
      </x:c>
      <x:c r="B4" s="13" t="str">
        <x:v>Wave</x:v>
      </x:c>
      <x:c r="C4" s="13" t="str">
        <x:v>Portfolio Status</x:v>
      </x:c>
      <x:c r="D4" s="13" t="str">
        <x:v>Institution</x:v>
      </x:c>
      <x:c r="E4" s="13" t="str">
        <x:v>Program</x:v>
      </x:c>
      <x:c r="F4" s="13" t="str">
        <x:v>Office</x:v>
      </x:c>
      <x:c r="G4" s="13" t="str">
        <x:v>Official Contact</x:v>
      </x:c>
      <x:c r="H4" s="13" t="str">
        <x:v>Outreach Score</x:v>
      </x:c>
      <x:c r="I4" s="13" t="str">
        <x:v>Information Gap</x:v>
      </x:c>
      <x:c r="J4" s="13" t="str">
        <x:v>Reply Could Change</x:v>
      </x:c>
      <x:c r="K4" s="13" t="str">
        <x:v>Recommended Angle</x:v>
      </x:c>
      <x:c r="L4" s="13" t="str">
        <x:v>Contact History</x:v>
      </x:c>
      <x:c r="M4" s="13" t="str">
        <x:v>Contact Source URL</x:v>
      </x:c>
    </x:row>
    <x:row r="5" ht="46" customHeight="1">
      <x:c r="A5" s="17" t="n">
        <x:v>20</x:v>
      </x:c>
      <x:c r="B5" s="17" t="str">
        <x:v>second_wave</x:v>
      </x:c>
      <x:c r="C5" s="17" t="str">
        <x:v>core</x:v>
      </x:c>
      <x:c r="D5" s="17" t="str">
        <x:v>Northeastern University</x:v>
      </x:c>
      <x:c r="E5" s="17" t="str">
        <x:v>Computer Science PhD</x:v>
      </x:c>
      <x:c r="F5" s="17" t="str">
        <x:v>Khoury PhD Admissions</x:v>
      </x:c>
      <x:c r="G5" s="17" t="str">
        <x:v>khoury-phd@northeastern.edu</x:v>
      </x:c>
      <x:c r="H5" s="17" t="n">
        <x:v>82</x:v>
      </x:c>
      <x:c r="I5" s="17" t="str">
        <x:v>Confirm Fall 2027 deadline, fee, and summer-support mechanics when the cycle page updates</x:v>
      </x:c>
      <x:c r="J5" s="17" t="str">
        <x:v>Retain, defer, or remove Computer Science PhD by resolving: Confirm Fall 2027 deadline, fee, and summer-support mechanics when the cycle page updates</x:v>
      </x:c>
      <x:c r="K5" s="17" t="str">
        <x:v>Ask only the unresolved administrative question; omit the research biography.</x:v>
      </x:c>
      <x:c r="L5" s="17" t="str">
        <x:v>no</x:v>
      </x:c>
      <x:c r="M5" s="18" t="e">
        <x:f>HYPERLINK("https://www.khoury.northeastern.edu/apply/phd-apply/","Open source")</x:f>
        <x:v>HYPERLINK is not implemented. linkLocation=https://www.khoury.northeastern.edu/apply/phd-apply/, friendlyName=Open source</x:v>
      </x:c>
    </x:row>
    <x:row r="6" ht="46" customHeight="1">
      <x:c r="A6" s="17" t="n">
        <x:v>21</x:v>
      </x:c>
      <x:c r="B6" s="17" t="str">
        <x:v>second_wave</x:v>
      </x:c>
      <x:c r="C6" s="17" t="str">
        <x:v>core</x:v>
      </x:c>
      <x:c r="D6" s="17" t="str">
        <x:v>University of Massachusetts-Amherst</x:v>
      </x:c>
      <x:c r="E6" s="17" t="str">
        <x:v>Computer Science PhD</x:v>
      </x:c>
      <x:c r="F6" s="17" t="str">
        <x:v>CICS Graduate Admissions</x:v>
      </x:c>
      <x:c r="G6" s="17" t="str">
        <x:v>grad-info@cs.umass.edu</x:v>
      </x:c>
      <x:c r="H6" s="17" t="n">
        <x:v>75</x:v>
      </x:c>
      <x:c r="I6" s="17" t="str">
        <x:v>Confirm the Fall 2027 offer's summer and insurance/fee details</x:v>
      </x:c>
      <x:c r="J6" s="17" t="str">
        <x:v>Retain, defer, or remove Computer Science PhD by resolving: Confirm the Fall 2027 offer's summer and insurance/fee details</x:v>
      </x:c>
      <x:c r="K6" s="17" t="str">
        <x:v>Ask only the unresolved administrative question; omit the research biography.</x:v>
      </x:c>
      <x:c r="L6" s="17" t="str">
        <x:v>no</x:v>
      </x:c>
      <x:c r="M6" s="18" t="e">
        <x:f>HYPERLINK("https://www.cics.umass.edu/academics/phd-computer-science/how-apply-phd-program","Open source")</x:f>
        <x:v>HYPERLINK is not implemented. linkLocation=https://www.cics.umass.edu/academics/phd-computer-science/how-apply-phd-program, friendlyName=Open source</x:v>
      </x:c>
    </x:row>
    <x:row r="7" ht="46" customHeight="1">
      <x:c r="A7" s="17" t="n">
        <x:v>22</x:v>
      </x:c>
      <x:c r="B7" s="17" t="str">
        <x:v>second_wave</x:v>
      </x:c>
      <x:c r="C7" s="17" t="str">
        <x:v>core</x:v>
      </x:c>
      <x:c r="D7" s="17" t="str">
        <x:v>Virginia Polytechnic Institute and State University</x:v>
      </x:c>
      <x:c r="E7" s="17" t="str">
        <x:v>Computer Science PhD</x:v>
      </x:c>
      <x:c r="F7" s="17" t="str">
        <x:v>CS Graduate Program</x:v>
      </x:c>
      <x:c r="G7" s="17" t="str">
        <x:v>gradinfo@cs.vt.edu</x:v>
      </x:c>
      <x:c r="H7" s="17" t="n">
        <x:v>75</x:v>
      </x:c>
      <x:c r="I7" s="17" t="str">
        <x:v>What summer-support expectation applies after year one?</x:v>
      </x:c>
      <x:c r="J7" s="17" t="str">
        <x:v>Retain, defer, or remove Computer Science PhD by resolving: What summer-support expectation applies after year one?</x:v>
      </x:c>
      <x:c r="K7" s="17" t="str">
        <x:v>Ask only the unresolved administrative question; omit the research biography.</x:v>
      </x:c>
      <x:c r="L7" s="17" t="str">
        <x:v>no</x:v>
      </x:c>
      <x:c r="M7" s="18" t="e">
        <x:f>HYPERLINK("https://website.cs.vt.edu/academic/graduate/future-grads.html","Open source")</x:f>
        <x:v>HYPERLINK is not implemented. linkLocation=https://website.cs.vt.edu/academic/graduate/future-grads.html, friendlyName=Open source</x:v>
      </x:c>
    </x:row>
    <x:row r="8" ht="46" customHeight="1">
      <x:c r="A8" s="17" t="n">
        <x:v>23</x:v>
      </x:c>
      <x:c r="B8" s="17" t="str">
        <x:v>second_wave</x:v>
      </x:c>
      <x:c r="C8" s="17" t="str">
        <x:v>core</x:v>
      </x:c>
      <x:c r="D8" s="17" t="str">
        <x:v>University of Michigan-Ann Arbor</x:v>
      </x:c>
      <x:c r="E8" s="17" t="str">
        <x:v>Computer Science and Engineering PhD</x:v>
      </x:c>
      <x:c r="F8" s="17" t="str">
        <x:v>CSE Graduate Admissions</x:v>
      </x:c>
      <x:c r="G8" s="17" t="str">
        <x:v>csegradstaff@umich.edu</x:v>
      </x:c>
      <x:c r="H8" s="17" t="n">
        <x:v>70</x:v>
      </x:c>
      <x:c r="I8" s="17" t="str">
        <x:v>How will the committee weigh the &gt;3.5 recent-two-year record against the 3.35 cumulative GPA?</x:v>
      </x:c>
      <x:c r="J8" s="17" t="str">
        <x:v>Retain, defer, or remove Computer Science and Engineering PhD by resolving: How will the committee weigh the &gt;3.5 recent-two-year record against the 3.35 cumulative GPA?</x:v>
      </x:c>
      <x:c r="K8" s="17" t="str">
        <x:v>Ask only the unresolved administrative question; omit the research biography.</x:v>
      </x:c>
      <x:c r="L8" s="17" t="str">
        <x:v>no</x:v>
      </x:c>
      <x:c r="M8" s="18" t="e">
        <x:f>HYPERLINK("https://cse.engin.umich.edu/academics/graduate/admissions/","Open source")</x:f>
        <x:v>HYPERLINK is not implemented. linkLocation=https://cse.engin.umich.edu/academics/graduate/admissions/, friendlyName=Open source</x:v>
      </x:c>
    </x:row>
    <x:row r="9" ht="46" customHeight="1">
      <x:c r="A9" s="17" t="n">
        <x:v>27</x:v>
      </x:c>
      <x:c r="B9" s="17" t="str">
        <x:v>blocked_missing_official_contact</x:v>
      </x:c>
      <x:c r="C9" s="17" t="str">
        <x:v>core</x:v>
      </x:c>
      <x:c r="D9" s="17" t="str">
        <x:v>Washington University in St Louis</x:v>
      </x:c>
      <x:c r="E9" s="17" t="str">
        <x:v>Computer Science PhD</x:v>
      </x:c>
      <x:c r="F9" s="17" t="str">
        <x:v>CSE Graduate Office</x:v>
      </x:c>
      <x:c r="G9" s="17" t="str"/>
      <x:c r="H9" s="17" t="n">
        <x:v>80</x:v>
      </x:c>
      <x:c r="I9" s="17" t="str">
        <x:v>Confirm deadline/fee and multi-year/summer terms with CSE Graduate Admissions</x:v>
      </x:c>
      <x:c r="J9" s="17" t="str">
        <x:v>Retain, defer, or remove Computer Science PhD by resolving: Confirm deadline/fee and multi-year/summer terms with CSE Graduate Admissions</x:v>
      </x:c>
      <x:c r="K9" s="17" t="str">
        <x:v>Ask only the unresolved administrative question; omit the research biography.</x:v>
      </x:c>
      <x:c r="L9" s="17" t="str">
        <x:v>unknown</x:v>
      </x:c>
      <x:c r="M9" s="18" t="e">
        <x:f>HYPERLINK("https://admin.aprc.wustl.edu/academics/graduate-admissions/index.html","Open source")</x:f>
        <x:v>HYPERLINK is not implemented. linkLocation=https://admin.aprc.wustl.edu/academics/graduate-admissions/index.html, friendlyName=Open source</x:v>
      </x:c>
    </x:row>
    <x:row r="10" ht="46" customHeight="1">
      <x:c r="A10" s="17" t="n">
        <x:v>28</x:v>
      </x:c>
      <x:c r="B10" s="17" t="str">
        <x:v>blocked_missing_official_contact</x:v>
      </x:c>
      <x:c r="C10" s="17" t="str">
        <x:v>core</x:v>
      </x:c>
      <x:c r="D10" s="17" t="str">
        <x:v>Carnegie Mellon University</x:v>
      </x:c>
      <x:c r="E10" s="17" t="str">
        <x:v>Software Engineering PhD</x:v>
      </x:c>
      <x:c r="F10" s="17" t="str">
        <x:v>SCS Graduate Admissions</x:v>
      </x:c>
      <x:c r="G10" s="17" t="str"/>
      <x:c r="H10" s="17" t="n">
        <x:v>67</x:v>
      </x:c>
      <x:c r="I10" s="17" t="str">
        <x:v>Confirm exact 2027 stipend and health/fee components in an offer</x:v>
      </x:c>
      <x:c r="J10" s="17" t="str">
        <x:v>Retain, defer, or remove Software Engineering PhD by resolving: Confirm exact 2027 stipend and health/fee components in an offer</x:v>
      </x:c>
      <x:c r="K10" s="17" t="str">
        <x:v>Ask only the unresolved administrative question; omit the research biography.</x:v>
      </x:c>
      <x:c r="L10" s="17" t="str">
        <x:v>unknown</x:v>
      </x:c>
      <x:c r="M10" s="18" t="e">
        <x:f>HYPERLINK("https://www.cs.cmu.edu/education/graduate-admissions","Open source")</x:f>
        <x:v>HYPERLINK is not implemented. linkLocation=https://www.cs.cmu.edu/education/graduate-admissions, friendlyName=Open source</x:v>
      </x:c>
    </x:row>
  </x:sheetData>
  <x:mergeCells>
    <x:mergeCell ref="A1:M1"/>
    <x:mergeCell ref="A2:M2"/>
    <x:mergeCell ref="A3:M3"/>
  </x:mergeCells>
  <x:conditionalFormatting sqref="H5:H10">
    <x:cfRule type="colorScale" priority="1">
      <x:colorScale>
        <x:cfvo type="min"/>
        <x:cfvo type="percentile" val="50"/>
        <x:cfvo type="max"/>
        <x:color rgb="FFF8696B"/>
        <x:color rgb="FFFFEB84"/>
        <x:color rgb="FF63BE7B"/>
      </x:colorScale>
    </x:cfRule>
  </x:conditionalFormatting>
  <x:dataValidations count="1">
    <x:dataValidation type="list" sqref="B5:B10">
      <x:formula1>"first_wave,second_wave,blocked_missing_official_contact"</x:formula1>
    </x:dataValidation>
  </x:dataValidations>
  <x:pageMargins left="0.7" right="0.7" top="0.75" bottom="0.75" header="0.3" footer="0.3"/>
  <x:tableParts count="1">
    <x:tablePart xmlns:r="http://schemas.openxmlformats.org/officeDocument/2006/relationships" r:id="R775d1be6a1364ae1"/>
  </x:tableParts>
</x:worksheet>
</file>

<file path=xl/worksheets/sheet6.xml><?xml version="1.0" encoding="utf-8"?>
<x:worksheet xmlns:x="http://schemas.openxmlformats.org/spreadsheetml/2006/main">
  <x:sheetPr>
    <x:tabColor rgb="FF4F81BD"/>
  </x:sheetPr>
  <x:sheetViews>
    <x:sheetView showGridLines="0" workbookViewId="0">
      <x:pane xSplit="2" ySplit="4" topLeftCell="C5" activePane="bottomRight" state="frozen"/>
    </x:sheetView>
  </x:sheetViews>
  <x:sheetFormatPr defaultRowHeight="15"/>
  <x:cols>
    <x:col min="1" max="1" width="12" hidden="0" customWidth="1"/>
    <x:col min="2" max="2" width="27" hidden="0" customWidth="1"/>
    <x:col min="3" max="3" width="38" hidden="0" customWidth="1"/>
    <x:col min="4" max="4" width="18" hidden="0" customWidth="1"/>
    <x:col min="5" max="5" width="18" hidden="0" customWidth="1"/>
    <x:col min="6" max="6" width="12" hidden="0" customWidth="1"/>
    <x:col min="7" max="7" width="34" hidden="0" customWidth="1"/>
    <x:col min="8" max="8" width="38" hidden="0" customWidth="1"/>
    <x:col min="9" max="9" width="34" hidden="0" customWidth="1"/>
    <x:col min="10" max="10" width="11" hidden="0" customWidth="1"/>
    <x:col min="11" max="11" width="12" hidden="0" customWidth="1"/>
    <x:col min="12" max="12" width="18" hidden="0" customWidth="1"/>
  </x:cols>
  <x:sheetData>
    <x:row r="1" ht="28" customHeight="1">
      <x:c r="A1" s="3" t="str">
        <x:v>This Weekend Outreach Queue</x:v>
      </x:c>
    </x:row>
    <x:row r="2" ht="34" customHeight="1">
      <x:c r="A2" s="7" t="str">
        <x:v>Compact first-wave queue. All 12 ready drafts passed Stage 8 and remain unsent.</x:v>
      </x:c>
    </x:row>
    <x:row r="3" ht="20" customHeight="1">
      <x:c r="A3" s="9" t="str">
        <x:v>Evidence snapshot: 2026-09-11 · 12 records · Use the row-4 filters; uncertainty is intentional.</x:v>
      </x:c>
    </x:row>
    <x:row r="4" ht="34" customHeight="1">
      <x:c r="A4" s="13" t="str">
        <x:v>Priority Rank</x:v>
      </x:c>
      <x:c r="B4" s="13" t="str">
        <x:v>Institution</x:v>
      </x:c>
      <x:c r="C4" s="13" t="str">
        <x:v>Program</x:v>
      </x:c>
      <x:c r="D4" s="13" t="str">
        <x:v>Recipient</x:v>
      </x:c>
      <x:c r="E4" s="13" t="str">
        <x:v>Email</x:v>
      </x:c>
      <x:c r="F4" s="13" t="str">
        <x:v>Outreach Score</x:v>
      </x:c>
      <x:c r="G4" s="13" t="str">
        <x:v>Question</x:v>
      </x:c>
      <x:c r="H4" s="13" t="str">
        <x:v>Information Gap</x:v>
      </x:c>
      <x:c r="I4" s="13" t="str">
        <x:v>Draft Ready</x:v>
      </x:c>
      <x:c r="J4" s="13" t="str">
        <x:v>Send Status</x:v>
      </x:c>
      <x:c r="K4" s="13" t="str">
        <x:v>Contact History</x:v>
      </x:c>
      <x:c r="L4" s="13" t="str">
        <x:v>Source URL</x:v>
      </x:c>
    </x:row>
    <x:row r="5" ht="46" customHeight="1">
      <x:c r="A5" s="17" t="n">
        <x:v>1</x:v>
      </x:c>
      <x:c r="B5" s="17" t="str">
        <x:v>Trent University</x:v>
      </x:c>
      <x:c r="C5" s="17" t="str">
        <x:v>MSc in Applied Modelling and Quantitative Methods — Thesis Stream</x:v>
      </x:c>
      <x:c r="D5" s="17" t="str">
        <x:v>Omar Alam</x:v>
      </x:c>
      <x:c r="E5" s="17" t="str">
        <x:v>omaralam@trentu.ca</x:v>
      </x:c>
      <x:c r="F5" s="17" t="n">
        <x:v>100</x:v>
      </x:c>
      <x:c r="G5" s="17" t="str">
        <x:v>Would you be open to supervising a funded Fall 2027 master's student on the thesis track who studies evidence-grounded validation of software or cyber-physical models?</x:v>
      </x:c>
      <x:c r="H5" s="17" t="str">
        <x:v>Recruiting status remains unknown unless the cited evidence explicitly states otherwise.</x:v>
      </x:c>
      <x:c r="I5" s="17" t="str">
        <x:v>Yes</x:v>
      </x:c>
      <x:c r="J5" s="17" t="str">
        <x:v>not_sent</x:v>
      </x:c>
      <x:c r="K5" s="17" t="str">
        <x:v>no</x:v>
      </x:c>
      <x:c r="L5" s="18" t="e">
        <x:f>HYPERLINK("https://www.trentu.ca/cois/faculty-research","Open source")</x:f>
        <x:v>HYPERLINK is not implemented. linkLocation=https://www.trentu.ca/cois/faculty-research, friendlyName=Open source</x:v>
      </x:c>
    </x:row>
    <x:row r="6" ht="46" customHeight="1">
      <x:c r="A6" s="17" t="n">
        <x:v>2</x:v>
      </x:c>
      <x:c r="B6" s="17" t="str">
        <x:v>University of Minnesota-Twin Cities</x:v>
      </x:c>
      <x:c r="C6" s="17" t="str">
        <x:v>PhD in Computer Science</x:v>
      </x:c>
      <x:c r="D6" s="17" t="str">
        <x:v>Kangjie Lu</x:v>
      </x:c>
      <x:c r="E6" s="17" t="str">
        <x:v>kjlu@umn.edu</x:v>
      </x:c>
      <x:c r="F6" s="17" t="n">
        <x:v>100</x:v>
      </x:c>
      <x:c r="G6" s="17" t="str">
        <x:v>Do you expect to have funded capacity to advise new PhD students in Fall 2027 working on secure software, patch analysis, or reliable AI-assisted development?</x:v>
      </x:c>
      <x:c r="H6" s="17" t="str">
        <x:v>Confirm that the current general recruiting statement still applies to Fall 2027 and that funded supervision capacity is available.</x:v>
      </x:c>
      <x:c r="I6" s="17" t="str">
        <x:v>Yes</x:v>
      </x:c>
      <x:c r="J6" s="17" t="str">
        <x:v>not_sent</x:v>
      </x:c>
      <x:c r="K6" s="17" t="str">
        <x:v>no</x:v>
      </x:c>
      <x:c r="L6" s="18" t="e">
        <x:f>HYPERLINK("https://www-users.cse.umn.edu/~kjlu/","Open source")</x:f>
        <x:v>HYPERLINK is not implemented. linkLocation=https://www-users.cse.umn.edu/~kjlu/, friendlyName=Open source</x:v>
      </x:c>
    </x:row>
    <x:row r="7" ht="46" customHeight="1">
      <x:c r="A7" s="17" t="n">
        <x:v>3</x:v>
      </x:c>
      <x:c r="B7" s="17" t="str">
        <x:v>University of Toronto</x:v>
      </x:c>
      <x:c r="C7" s="17" t="str">
        <x:v>Master of Applied Science in Electrical and Computer Engineering</x:v>
      </x:c>
      <x:c r="D7" s="17" t="str">
        <x:v>David Lie</x:v>
      </x:c>
      <x:c r="E7" s="17" t="str">
        <x:v>lie@eecg.toronto.edu</x:v>
      </x:c>
      <x:c r="F7" s="17" t="n">
        <x:v>100</x:v>
      </x:c>
      <x:c r="G7" s="17" t="str">
        <x:v>Would you be open to supervising a funded Fall 2027 MASc student studying verification methods for AI-assisted software or infrastructure repair?</x:v>
      </x:c>
      <x:c r="H7" s="17" t="str">
        <x:v>Recruiting status remains unknown unless the cited evidence explicitly states otherwise.</x:v>
      </x:c>
      <x:c r="I7" s="17" t="str">
        <x:v>Yes</x:v>
      </x:c>
      <x:c r="J7" s="17" t="str">
        <x:v>not_sent</x:v>
      </x:c>
      <x:c r="K7" s="17" t="str">
        <x:v>no</x:v>
      </x:c>
      <x:c r="L7" s="18" t="e">
        <x:f>HYPERLINK("https://www.ece.utoronto.ca/people/lie-d/","Open source")</x:f>
        <x:v>HYPERLINK is not implemented. linkLocation=https://www.ece.utoronto.ca/people/lie-d/, friendlyName=Open source</x:v>
      </x:c>
    </x:row>
    <x:row r="8" ht="46" customHeight="1">
      <x:c r="A8" s="17" t="n">
        <x:v>4</x:v>
      </x:c>
      <x:c r="B8" s="17" t="str">
        <x:v>University of Utah</x:v>
      </x:c>
      <x:c r="C8" s="17" t="str">
        <x:v>Computing PhD</x:v>
      </x:c>
      <x:c r="D8" s="17" t="str">
        <x:v>John Regehr</x:v>
      </x:c>
      <x:c r="E8" s="17" t="str">
        <x:v>regehr@cs.utah.edu</x:v>
      </x:c>
      <x:c r="F8" s="17" t="n">
        <x:v>100</x:v>
      </x:c>
      <x:c r="G8" s="17" t="str">
        <x:v>Do you expect to have funded capacity to advise new PhD students in Fall 2027 working on verification or testing methods relevant to automated software repair?</x:v>
      </x:c>
      <x:c r="H8" s="17" t="str">
        <x:v>Recruiting status remains unknown unless the cited evidence explicitly states otherwise.</x:v>
      </x:c>
      <x:c r="I8" s="17" t="str">
        <x:v>Yes</x:v>
      </x:c>
      <x:c r="J8" s="17" t="str">
        <x:v>not_sent</x:v>
      </x:c>
      <x:c r="K8" s="17" t="str">
        <x:v>no</x:v>
      </x:c>
      <x:c r="L8" s="18" t="e">
        <x:f>HYPERLINK("https://users.cs.utah.edu/~regehr/","Open source")</x:f>
        <x:v>HYPERLINK is not implemented. linkLocation=https://users.cs.utah.edu/~regehr/, friendlyName=Open source</x:v>
      </x:c>
    </x:row>
    <x:row r="9" ht="46" customHeight="1">
      <x:c r="A9" s="17" t="n">
        <x:v>5</x:v>
      </x:c>
      <x:c r="B9" s="17" t="str">
        <x:v>University of Waterloo</x:v>
      </x:c>
      <x:c r="C9" s="17" t="str">
        <x:v>Master of Applied Science in Electrical and Computer Engineering</x:v>
      </x:c>
      <x:c r="D9" s="17" t="str">
        <x:v>Patrick Lam</x:v>
      </x:c>
      <x:c r="E9" s="17" t="str">
        <x:v>p23lam@uwaterloo.ca</x:v>
      </x:c>
      <x:c r="F9" s="17" t="n">
        <x:v>100</x:v>
      </x:c>
      <x:c r="G9" s="17" t="str">
        <x:v>Do you expect to have funded capacity for a Fall 2027 MASc student working on static analysis or verification for infrastructure and software repair?</x:v>
      </x:c>
      <x:c r="H9" s="17" t="str">
        <x:v>Confirm that the current general recruiting statement still applies to Fall 2027 and that funded supervision capacity is available.</x:v>
      </x:c>
      <x:c r="I9" s="17" t="str">
        <x:v>Yes</x:v>
      </x:c>
      <x:c r="J9" s="17" t="str">
        <x:v>not_sent</x:v>
      </x:c>
      <x:c r="K9" s="17" t="str">
        <x:v>no</x:v>
      </x:c>
      <x:c r="L9" s="18" t="e">
        <x:f>HYPERLINK("https://uwaterloo.ca/electrical-computer-engineering/profile/p23lam","Open source")</x:f>
        <x:v>HYPERLINK is not implemented. linkLocation=https://uwaterloo.ca/electrical-computer-engineering/profile/p23lam, friendlyName=Open source</x:v>
      </x:c>
    </x:row>
    <x:row r="10" ht="46" customHeight="1">
      <x:c r="A10" s="17" t="n">
        <x:v>6</x:v>
      </x:c>
      <x:c r="B10" s="17" t="str">
        <x:v>York University</x:v>
      </x:c>
      <x:c r="C10" s="17" t="str">
        <x:v>Master of Science in Computer Science — Thesis Option</x:v>
      </x:c>
      <x:c r="D10" s="17" t="str">
        <x:v>Zhen Ming (Jack) Jiang</x:v>
      </x:c>
      <x:c r="E10" s="17" t="str">
        <x:v>zmjiang@yorku.ca</x:v>
      </x:c>
      <x:c r="F10" s="17" t="n">
        <x:v>100</x:v>
      </x:c>
      <x:c r="G10" s="17" t="str">
        <x:v>Do you expect to have funded capacity for a Fall 2027 MSc thesis student studying reliable AI-assisted software engineering?</x:v>
      </x:c>
      <x:c r="H10" s="17" t="str">
        <x:v>Confirm that the current general recruiting statement still applies to Fall 2027 and that funded supervision capacity is available.</x:v>
      </x:c>
      <x:c r="I10" s="17" t="str">
        <x:v>Yes</x:v>
      </x:c>
      <x:c r="J10" s="17" t="str">
        <x:v>not_sent</x:v>
      </x:c>
      <x:c r="K10" s="17" t="str">
        <x:v>no</x:v>
      </x:c>
      <x:c r="L10" s="18" t="e">
        <x:f>HYPERLINK("https://www.eecs.yorku.ca/~zmjiang/","Open source")</x:f>
        <x:v>HYPERLINK is not implemented. linkLocation=https://www.eecs.yorku.ca/~zmjiang/, friendlyName=Open source</x:v>
      </x:c>
    </x:row>
    <x:row r="11" ht="46" customHeight="1">
      <x:c r="A11" s="17" t="n">
        <x:v>7</x:v>
      </x:c>
      <x:c r="B11" s="17" t="str">
        <x:v>Brown University</x:v>
      </x:c>
      <x:c r="C11" s="17" t="str">
        <x:v>Computer Science PhD</x:v>
      </x:c>
      <x:c r="D11" s="17" t="str">
        <x:v>Malte Schwarzkopf</x:v>
      </x:c>
      <x:c r="E11" s="17" t="str">
        <x:v>malte@cs.brown.edu</x:v>
      </x:c>
      <x:c r="F11" s="17" t="n">
        <x:v>93</x:v>
      </x:c>
      <x:c r="G11" s="17" t="str">
        <x:v>Do you expect to have capacity to advise new PhD students in Fall 2027 working on practical analysis for secure or privacy-preserving AI-assisted systems?</x:v>
      </x:c>
      <x:c r="H11" s="17" t="str">
        <x:v>Recruiting status remains unknown unless the cited evidence explicitly states otherwise.</x:v>
      </x:c>
      <x:c r="I11" s="17" t="str">
        <x:v>Yes</x:v>
      </x:c>
      <x:c r="J11" s="17" t="str">
        <x:v>not_sent</x:v>
      </x:c>
      <x:c r="K11" s="17" t="str">
        <x:v>no</x:v>
      </x:c>
      <x:c r="L11" s="18" t="e">
        <x:f>HYPERLINK("https://cs.brown.edu/people/malte/","Open source")</x:f>
        <x:v>HYPERLINK is not implemented. linkLocation=https://cs.brown.edu/people/malte/, friendlyName=Open source</x:v>
      </x:c>
    </x:row>
    <x:row r="12" ht="46" customHeight="1">
      <x:c r="A12" s="17" t="n">
        <x:v>8</x:v>
      </x:c>
      <x:c r="B12" s="17" t="str">
        <x:v>University of Colorado Boulder</x:v>
      </x:c>
      <x:c r="C12" s="17" t="str">
        <x:v>Doctor of Philosophy in Computer Science</x:v>
      </x:c>
      <x:c r="D12" s="17" t="str">
        <x:v>Sriram Sankaranarayanan</x:v>
      </x:c>
      <x:c r="E12" s="17" t="str">
        <x:v>srirams@colorado.edu</x:v>
      </x:c>
      <x:c r="F12" s="17" t="n">
        <x:v>93</x:v>
      </x:c>
      <x:c r="G12" s="17" t="str">
        <x:v>Do you expect to have funded capacity to advise new PhD students in Fall 2027 working on verification or synthesis for reliable software repair?</x:v>
      </x:c>
      <x:c r="H12" s="17" t="str">
        <x:v>Confirm that the current general recruiting statement still applies to Fall 2027 and that funded supervision capacity is available.</x:v>
      </x:c>
      <x:c r="I12" s="17" t="str">
        <x:v>Yes</x:v>
      </x:c>
      <x:c r="J12" s="17" t="str">
        <x:v>not_sent</x:v>
      </x:c>
      <x:c r="K12" s="17" t="str">
        <x:v>no</x:v>
      </x:c>
      <x:c r="L12" s="18" t="e">
        <x:f>HYPERLINK("https://www.colorado.edu/cs/sriram-sankaranarayanan","Open source")</x:f>
        <x:v>HYPERLINK is not implemented. linkLocation=https://www.colorado.edu/cs/sriram-sankaranarayanan, friendlyName=Open source</x:v>
      </x:c>
    </x:row>
    <x:row r="13" ht="46" customHeight="1">
      <x:c r="A13" s="17" t="n">
        <x:v>9</x:v>
      </x:c>
      <x:c r="B13" s="17" t="str">
        <x:v>Duke University</x:v>
      </x:c>
      <x:c r="C13" s="17" t="str">
        <x:v>Computer Science PhD</x:v>
      </x:c>
      <x:c r="D13" s="17" t="str">
        <x:v>Danfeng Zhang</x:v>
      </x:c>
      <x:c r="E13" s="17" t="str">
        <x:v>dz132@duke.edu</x:v>
      </x:c>
      <x:c r="F13" s="17" t="n">
        <x:v>86</x:v>
      </x:c>
      <x:c r="G13" s="17" t="str">
        <x:v>Do you expect to have funded capacity to advise new PhD students in Fall 2027 working on verification or automated repair for secure systems?</x:v>
      </x:c>
      <x:c r="H13" s="17" t="str">
        <x:v>Recruiting status remains unknown unless the cited evidence explicitly states otherwise.</x:v>
      </x:c>
      <x:c r="I13" s="17" t="str">
        <x:v>Yes</x:v>
      </x:c>
      <x:c r="J13" s="17" t="str">
        <x:v>not_sent</x:v>
      </x:c>
      <x:c r="K13" s="17" t="str">
        <x:v>no</x:v>
      </x:c>
      <x:c r="L13" s="18" t="e">
        <x:f>HYPERLINK("https://users.cs.duke.edu/~dz132/","Open source")</x:f>
        <x:v>HYPERLINK is not implemented. linkLocation=https://users.cs.duke.edu/~dz132/, friendlyName=Open source</x:v>
      </x:c>
    </x:row>
    <x:row r="14" ht="46" customHeight="1">
      <x:c r="A14" s="17" t="n">
        <x:v>10</x:v>
      </x:c>
      <x:c r="B14" s="17" t="str">
        <x:v>Johns Hopkins University</x:v>
      </x:c>
      <x:c r="C14" s="17" t="str">
        <x:v>Doctor of Philosophy in Computer Science</x:v>
      </x:c>
      <x:c r="D14" s="17" t="str">
        <x:v>Yinzhi Cao</x:v>
      </x:c>
      <x:c r="E14" s="17" t="str">
        <x:v>yinzhi.cao@jhu.edu</x:v>
      </x:c>
      <x:c r="F14" s="17" t="n">
        <x:v>86</x:v>
      </x:c>
      <x:c r="G14" s="17" t="str">
        <x:v>Do you expect to have funded capacity to advise new PhD students in Fall 2027 working on automated vulnerability discovery or security evaluation of AI-assisted systems?</x:v>
      </x:c>
      <x:c r="H14" s="17" t="str">
        <x:v>Recruiting status remains unknown unless the cited evidence explicitly states otherwise.</x:v>
      </x:c>
      <x:c r="I14" s="17" t="str">
        <x:v>Yes</x:v>
      </x:c>
      <x:c r="J14" s="17" t="str">
        <x:v>not_sent</x:v>
      </x:c>
      <x:c r="K14" s="17" t="str">
        <x:v>no</x:v>
      </x:c>
      <x:c r="L14" s="18" t="e">
        <x:f>HYPERLINK("https://www.cs.jhu.edu/faculty/yinzhi-cao/","Open source")</x:f>
        <x:v>HYPERLINK is not implemented. linkLocation=https://www.cs.jhu.edu/faculty/yinzhi-cao/, friendlyName=Open source</x:v>
      </x:c>
    </x:row>
    <x:row r="15" ht="46" customHeight="1">
      <x:c r="A15" s="17" t="n">
        <x:v>11</x:v>
      </x:c>
      <x:c r="B15" s="17" t="str">
        <x:v>Lehigh University</x:v>
      </x:c>
      <x:c r="C15" s="17" t="str">
        <x:v>PhD in Computer Science</x:v>
      </x:c>
      <x:c r="D15" s="17" t="str">
        <x:v>Lichao Sun</x:v>
      </x:c>
      <x:c r="E15" s="17" t="str">
        <x:v>lis221@lehigh.edu</x:v>
      </x:c>
      <x:c r="F15" s="17" t="n">
        <x:v>86</x:v>
      </x:c>
      <x:c r="G15" s="17" t="str">
        <x:v>Do you expect to have funded capacity to advise new PhD students in Fall 2027 working on trustworthy evaluation of generative AI or LLM-based systems?</x:v>
      </x:c>
      <x:c r="H15" s="17" t="str">
        <x:v>Recruiting status remains unknown unless the cited evidence explicitly states otherwise.</x:v>
      </x:c>
      <x:c r="I15" s="17" t="str">
        <x:v>Yes</x:v>
      </x:c>
      <x:c r="J15" s="17" t="str">
        <x:v>not_sent</x:v>
      </x:c>
      <x:c r="K15" s="17" t="str">
        <x:v>no</x:v>
      </x:c>
      <x:c r="L15" s="18" t="e">
        <x:f>HYPERLINK("https://engineering.lehigh.edu/faculty/lichao-sun","Open source")</x:f>
        <x:v>HYPERLINK is not implemented. linkLocation=https://engineering.lehigh.edu/faculty/lichao-sun, friendlyName=Open source</x:v>
      </x:c>
    </x:row>
    <x:row r="16" ht="46" customHeight="1">
      <x:c r="A16" s="17" t="n">
        <x:v>12</x:v>
      </x:c>
      <x:c r="B16" s="17" t="str">
        <x:v>New Jersey Institute of Technology</x:v>
      </x:c>
      <x:c r="C16" s="17" t="str">
        <x:v>Ph.D. Computer Science</x:v>
      </x:c>
      <x:c r="D16" s="17" t="str">
        <x:v>Martin Kellogg</x:v>
      </x:c>
      <x:c r="E16" s="17" t="str">
        <x:v>martin.kellogg@njit.edu</x:v>
      </x:c>
      <x:c r="F16" s="17" t="n">
        <x:v>86</x:v>
      </x:c>
      <x:c r="G16" s="17" t="str">
        <x:v>Do you expect to have funded capacity for a Fall 2027 PhD student working on static analysis, specification inference, or automated software repair?</x:v>
      </x:c>
      <x:c r="H16" s="17" t="str">
        <x:v>Recruiting status remains unknown unless the cited evidence explicitly states otherwise.</x:v>
      </x:c>
      <x:c r="I16" s="17" t="str">
        <x:v>Yes</x:v>
      </x:c>
      <x:c r="J16" s="17" t="str">
        <x:v>not_sent</x:v>
      </x:c>
      <x:c r="K16" s="17" t="str">
        <x:v>no</x:v>
      </x:c>
      <x:c r="L16" s="18" t="e">
        <x:f>HYPERLINK("https://people.njit.edu/profile/mjk76","Open source")</x:f>
        <x:v>HYPERLINK is not implemented. linkLocation=https://people.njit.edu/profile/mjk76, friendlyName=Open source</x:v>
      </x:c>
    </x:row>
  </x:sheetData>
  <x:mergeCells>
    <x:mergeCell ref="A1:L1"/>
    <x:mergeCell ref="A2:L2"/>
    <x:mergeCell ref="A3:L3"/>
  </x:mergeCells>
  <x:conditionalFormatting sqref="F5:F16">
    <x:cfRule type="colorScale" priority="1">
      <x:colorScale>
        <x:cfvo type="min"/>
        <x:cfvo type="percentile" val="50"/>
        <x:cfvo type="max"/>
        <x:color rgb="FFF8696B"/>
        <x:color rgb="FFFFEB84"/>
        <x:color rgb="FF63BE7B"/>
      </x:colorScale>
    </x:cfRule>
  </x:conditionalFormatting>
  <x:dataValidations count="2">
    <x:dataValidation type="list" sqref="I5:I16">
      <x:formula1>"Yes,No"</x:formula1>
    </x:dataValidation>
    <x:dataValidation type="list" sqref="J5:J16">
      <x:formula1>"not_sent,sent,replied,closed"</x:formula1>
    </x:dataValidation>
  </x:dataValidations>
  <x:pageMargins left="0.7" right="0.7" top="0.75" bottom="0.75" header="0.3" footer="0.3"/>
  <x:tableParts count="1">
    <x:tablePart xmlns:r="http://schemas.openxmlformats.org/officeDocument/2006/relationships" r:id="R7fd2ddd711064498"/>
  </x:tableParts>
</x:worksheet>
</file>

<file path=xl/worksheets/sheet7.xml><?xml version="1.0" encoding="utf-8"?>
<x:worksheet xmlns:x="http://schemas.openxmlformats.org/spreadsheetml/2006/main">
  <x:sheetPr>
    <x:tabColor rgb="FF4F81BD"/>
  </x:sheetPr>
  <x:sheetViews>
    <x:sheetView showGridLines="0" workbookViewId="0">
      <x:pane xSplit="2" ySplit="4" topLeftCell="C5" activePane="bottomRight" state="frozen"/>
    </x:sheetView>
  </x:sheetViews>
  <x:sheetFormatPr defaultRowHeight="15"/>
  <x:cols>
    <x:col min="1" max="1" width="12" hidden="0" customWidth="1"/>
    <x:col min="2" max="2" width="38" hidden="0" customWidth="1"/>
    <x:col min="3" max="3" width="30" hidden="0" customWidth="1"/>
    <x:col min="4" max="4" width="18" hidden="0" customWidth="1"/>
    <x:col min="5" max="5" width="18" hidden="0" customWidth="1"/>
    <x:col min="6" max="6" width="12" hidden="0" customWidth="1"/>
    <x:col min="7" max="7" width="34" hidden="0" customWidth="1"/>
    <x:col min="8" max="8" width="38" hidden="0" customWidth="1"/>
    <x:col min="9" max="9" width="34" hidden="0" customWidth="1"/>
    <x:col min="10" max="10" width="11" hidden="0" customWidth="1"/>
    <x:col min="11" max="11" width="12" hidden="0" customWidth="1"/>
    <x:col min="12" max="12" width="18" hidden="0" customWidth="1"/>
  </x:cols>
  <x:sheetData>
    <x:row r="1" ht="28" customHeight="1">
      <x:c r="A1" s="3" t="str">
        <x:v>Second-Wave Outreach</x:v>
      </x:c>
    </x:row>
    <x:row r="2" ht="34" customHeight="1">
      <x:c r="A2" s="7" t="str">
        <x:v>Hold until the first-wave result or a new evidence change justifies promotion. No Stage 8 draft exists for these contacts.</x:v>
      </x:c>
    </x:row>
    <x:row r="3" ht="20" customHeight="1">
      <x:c r="A3" s="9" t="str">
        <x:v>Evidence snapshot: 2026-09-11 · 11 records · Use the row-4 filters; uncertainty is intentional.</x:v>
      </x:c>
    </x:row>
    <x:row r="4" ht="34" customHeight="1">
      <x:c r="A4" s="13" t="str">
        <x:v>Priority Rank</x:v>
      </x:c>
      <x:c r="B4" s="13" t="str">
        <x:v>Institution</x:v>
      </x:c>
      <x:c r="C4" s="13" t="str">
        <x:v>Program</x:v>
      </x:c>
      <x:c r="D4" s="13" t="str">
        <x:v>Recipient</x:v>
      </x:c>
      <x:c r="E4" s="13" t="str">
        <x:v>Email</x:v>
      </x:c>
      <x:c r="F4" s="13" t="str">
        <x:v>Outreach Score</x:v>
      </x:c>
      <x:c r="G4" s="13" t="str">
        <x:v>Question</x:v>
      </x:c>
      <x:c r="H4" s="13" t="str">
        <x:v>Information Gap</x:v>
      </x:c>
      <x:c r="I4" s="13" t="str">
        <x:v>Draft Ready</x:v>
      </x:c>
      <x:c r="J4" s="13" t="str">
        <x:v>Send Status</x:v>
      </x:c>
      <x:c r="K4" s="13" t="str">
        <x:v>Contact History</x:v>
      </x:c>
      <x:c r="L4" s="13" t="str">
        <x:v>Source URL</x:v>
      </x:c>
    </x:row>
    <x:row r="5" ht="46" customHeight="1">
      <x:c r="A5" s="17" t="n">
        <x:v>13</x:v>
      </x:c>
      <x:c r="B5" s="17" t="str">
        <x:v>Northeastern University</x:v>
      </x:c>
      <x:c r="C5" s="17" t="str">
        <x:v>Computer Science PhD</x:v>
      </x:c>
      <x:c r="D5" s="17" t="str">
        <x:v>Jonathan Bell</x:v>
      </x:c>
      <x:c r="E5" s="17" t="str">
        <x:v>j.bell@northeastern.edu</x:v>
      </x:c>
      <x:c r="F5" s="17" t="n">
        <x:v>86</x:v>
      </x:c>
      <x:c r="G5" s="17" t="str">
        <x:v>Retain or deprioritize Computer Science PhD by confirming whether Jonathan Bell expects to supervise a funded Fall 2027 student in the verified overlap area.</x:v>
      </x:c>
      <x:c r="H5" s="17" t="str">
        <x:v>Recruiting status remains unknown unless the cited evidence explicitly states otherwise.</x:v>
      </x:c>
      <x:c r="I5" s="17" t="str">
        <x:v>No</x:v>
      </x:c>
      <x:c r="J5" s="17" t="str">
        <x:v>not_sent</x:v>
      </x:c>
      <x:c r="K5" s="17" t="str">
        <x:v>no</x:v>
      </x:c>
      <x:c r="L5" s="18" t="e">
        <x:f>HYPERLINK("https://www.khoury.northeastern.edu/people/jonathan-bell/","Open source")</x:f>
        <x:v>HYPERLINK is not implemented. linkLocation=https://www.khoury.northeastern.edu/people/jonathan-bell/, friendlyName=Open source</x:v>
      </x:c>
    </x:row>
    <x:row r="6" ht="46" customHeight="1">
      <x:c r="A6" s="17" t="n">
        <x:v>14</x:v>
      </x:c>
      <x:c r="B6" s="17" t="str">
        <x:v>Northwestern University</x:v>
      </x:c>
      <x:c r="C6" s="17" t="str">
        <x:v>Doctor of Philosophy in Computer Science</x:v>
      </x:c>
      <x:c r="D6" s="17" t="str">
        <x:v>Robby Findler</x:v>
      </x:c>
      <x:c r="E6" s="17" t="str">
        <x:v>robby@northwestern.edu</x:v>
      </x:c>
      <x:c r="F6" s="17" t="n">
        <x:v>86</x:v>
      </x:c>
      <x:c r="G6" s="17" t="str">
        <x:v>Retain or deprioritize Doctor of Philosophy in Computer Science by confirming whether Robby Findler expects to supervise a funded Fall 2027 student in the verified overlap area.</x:v>
      </x:c>
      <x:c r="H6" s="17" t="str">
        <x:v>Recruiting status remains unknown unless the cited evidence explicitly states otherwise.</x:v>
      </x:c>
      <x:c r="I6" s="17" t="str">
        <x:v>No</x:v>
      </x:c>
      <x:c r="J6" s="17" t="str">
        <x:v>not_sent</x:v>
      </x:c>
      <x:c r="K6" s="17" t="str">
        <x:v>no</x:v>
      </x:c>
      <x:c r="L6" s="18" t="e">
        <x:f>HYPERLINK("https://www.mccormick.northwestern.edu/research-faculty/directory/profiles/findler-robert.html","Open source")</x:f>
        <x:v>HYPERLINK is not implemented. linkLocation=https://www.mccormick.northwestern.edu/research-faculty/directory/profiles/findler-robert.html, friendlyName=Open source</x:v>
      </x:c>
    </x:row>
    <x:row r="7" ht="46" customHeight="1">
      <x:c r="A7" s="17" t="n">
        <x:v>15</x:v>
      </x:c>
      <x:c r="B7" s="17" t="str">
        <x:v>Old Dominion University</x:v>
      </x:c>
      <x:c r="C7" s="17" t="str">
        <x:v>Computer Science (Ph.D.)</x:v>
      </x:c>
      <x:c r="D7" s="17" t="str">
        <x:v>Shuai Hao</x:v>
      </x:c>
      <x:c r="E7" s="17" t="str">
        <x:v>shao@odu.edu</x:v>
      </x:c>
      <x:c r="F7" s="17" t="n">
        <x:v>86</x:v>
      </x:c>
      <x:c r="G7" s="17" t="str">
        <x:v>Retain or deprioritize Computer Science (Ph.D.) by confirming whether Shuai Hao expects to supervise a funded Fall 2027 student in the verified overlap area.</x:v>
      </x:c>
      <x:c r="H7" s="17" t="str">
        <x:v>Recruiting status remains unknown unless the cited evidence explicitly states otherwise.</x:v>
      </x:c>
      <x:c r="I7" s="17" t="str">
        <x:v>No</x:v>
      </x:c>
      <x:c r="J7" s="17" t="str">
        <x:v>not_sent</x:v>
      </x:c>
      <x:c r="K7" s="17" t="str">
        <x:v>no</x:v>
      </x:c>
      <x:c r="L7" s="18" t="e">
        <x:f>HYPERLINK("https://www.odu.edu/directory/shuai-hao","Open source")</x:f>
        <x:v>HYPERLINK is not implemented. linkLocation=https://www.odu.edu/directory/shuai-hao, friendlyName=Open source</x:v>
      </x:c>
    </x:row>
    <x:row r="8" ht="46" customHeight="1">
      <x:c r="A8" s="17" t="n">
        <x:v>16</x:v>
      </x:c>
      <x:c r="B8" s="17" t="str">
        <x:v>University of Illinois Chicago</x:v>
      </x:c>
      <x:c r="C8" s="17" t="str">
        <x:v>PhD in Computer Science</x:v>
      </x:c>
      <x:c r="D8" s="17" t="str">
        <x:v>Mark Grechanik</x:v>
      </x:c>
      <x:c r="E8" s="17" t="str">
        <x:v>drmark@uic.edu</x:v>
      </x:c>
      <x:c r="F8" s="17" t="n">
        <x:v>86</x:v>
      </x:c>
      <x:c r="G8" s="17" t="str">
        <x:v>Retain or deprioritize PhD in Computer Science by confirming whether Mark Grechanik expects to supervise a funded Fall 2027 student in the verified overlap area.</x:v>
      </x:c>
      <x:c r="H8" s="17" t="str">
        <x:v>Recruiting status remains unknown unless the cited evidence explicitly states otherwise.</x:v>
      </x:c>
      <x:c r="I8" s="17" t="str">
        <x:v>No</x:v>
      </x:c>
      <x:c r="J8" s="17" t="str">
        <x:v>not_sent</x:v>
      </x:c>
      <x:c r="K8" s="17" t="str">
        <x:v>no</x:v>
      </x:c>
      <x:c r="L8" s="18" t="e">
        <x:f>HYPERLINK("https://cs.uic.edu/profiles/mark-grechanik/","Open source")</x:f>
        <x:v>HYPERLINK is not implemented. linkLocation=https://cs.uic.edu/profiles/mark-grechanik/, friendlyName=Open source</x:v>
      </x:c>
    </x:row>
    <x:row r="9" ht="46" customHeight="1">
      <x:c r="A9" s="17" t="n">
        <x:v>17</x:v>
      </x:c>
      <x:c r="B9" s="17" t="str">
        <x:v>University of Massachusetts-Amherst</x:v>
      </x:c>
      <x:c r="C9" s="17" t="str">
        <x:v>Computer Science PhD</x:v>
      </x:c>
      <x:c r="D9" s="17" t="str">
        <x:v>Yuriy Brun</x:v>
      </x:c>
      <x:c r="E9" s="17" t="str">
        <x:v>brun@cs.umass.edu</x:v>
      </x:c>
      <x:c r="F9" s="17" t="n">
        <x:v>86</x:v>
      </x:c>
      <x:c r="G9" s="17" t="str">
        <x:v>Retain or deprioritize Computer Science PhD by confirming whether Yuriy Brun expects to supervise a funded Fall 2027 student in the verified overlap area.</x:v>
      </x:c>
      <x:c r="H9" s="17" t="str">
        <x:v>Recruiting status remains unknown unless the cited evidence explicitly states otherwise.</x:v>
      </x:c>
      <x:c r="I9" s="17" t="str">
        <x:v>No</x:v>
      </x:c>
      <x:c r="J9" s="17" t="str">
        <x:v>not_sent</x:v>
      </x:c>
      <x:c r="K9" s="17" t="str">
        <x:v>no</x:v>
      </x:c>
      <x:c r="L9" s="18" t="e">
        <x:f>HYPERLINK("https://www.cics.umass.edu/about/directory/yuriy-brun","Open source")</x:f>
        <x:v>HYPERLINK is not implemented. linkLocation=https://www.cics.umass.edu/about/directory/yuriy-brun, friendlyName=Open source</x:v>
      </x:c>
    </x:row>
    <x:row r="10" ht="46" customHeight="1">
      <x:c r="A10" s="17" t="n">
        <x:v>18</x:v>
      </x:c>
      <x:c r="B10" s="17" t="str">
        <x:v>Virginia Polytechnic Institute and State University</x:v>
      </x:c>
      <x:c r="C10" s="17" t="str">
        <x:v>Computer Science PhD</x:v>
      </x:c>
      <x:c r="D10" s="17" t="str">
        <x:v>Na Meng</x:v>
      </x:c>
      <x:c r="E10" s="17" t="str">
        <x:v>nm8247@cs.vt.edu</x:v>
      </x:c>
      <x:c r="F10" s="17" t="n">
        <x:v>86</x:v>
      </x:c>
      <x:c r="G10" s="17" t="str">
        <x:v>Retain or deprioritize Computer Science PhD by confirming whether Na Meng expects to supervise a funded Fall 2027 student in the verified overlap area.</x:v>
      </x:c>
      <x:c r="H10" s="17" t="str">
        <x:v>Recruiting status remains unknown unless the cited evidence explicitly states otherwise.</x:v>
      </x:c>
      <x:c r="I10" s="17" t="str">
        <x:v>No</x:v>
      </x:c>
      <x:c r="J10" s="17" t="str">
        <x:v>not_sent</x:v>
      </x:c>
      <x:c r="K10" s="17" t="str">
        <x:v>no</x:v>
      </x:c>
      <x:c r="L10" s="18" t="e">
        <x:f>HYPERLINK("https://website.cs.vt.edu/people/faculty/na-ming.html","Open source")</x:f>
        <x:v>HYPERLINK is not implemented. linkLocation=https://website.cs.vt.edu/people/faculty/na-ming.html, friendlyName=Open source</x:v>
      </x:c>
    </x:row>
    <x:row r="11" ht="46" customHeight="1">
      <x:c r="A11" s="17" t="n">
        <x:v>19</x:v>
      </x:c>
      <x:c r="B11" s="17" t="str">
        <x:v>Washington University in St Louis</x:v>
      </x:c>
      <x:c r="C11" s="17" t="str">
        <x:v>Computer Science PhD</x:v>
      </x:c>
      <x:c r="D11" s="17" t="str">
        <x:v>Umar Iqbal</x:v>
      </x:c>
      <x:c r="E11" s="17" t="str">
        <x:v>umar.iqbal@wustl.edu</x:v>
      </x:c>
      <x:c r="F11" s="17" t="n">
        <x:v>86</x:v>
      </x:c>
      <x:c r="G11" s="17" t="str">
        <x:v>Retain or deprioritize Computer Science PhD by confirming whether Umar Iqbal expects to supervise a funded Fall 2027 student in the verified overlap area.</x:v>
      </x:c>
      <x:c r="H11" s="17" t="str">
        <x:v>Recruiting status remains unknown unless the cited evidence explicitly states otherwise.</x:v>
      </x:c>
      <x:c r="I11" s="17" t="str">
        <x:v>No</x:v>
      </x:c>
      <x:c r="J11" s="17" t="str">
        <x:v>not_sent</x:v>
      </x:c>
      <x:c r="K11" s="17" t="str">
        <x:v>no</x:v>
      </x:c>
      <x:c r="L11" s="18" t="e">
        <x:f>HYPERLINK("https://engineering.washu.edu/faculty/Umar-Iqbal.html","Open source")</x:f>
        <x:v>HYPERLINK is not implemented. linkLocation=https://engineering.washu.edu/faculty/Umar-Iqbal.html, friendlyName=Open source</x:v>
      </x:c>
    </x:row>
    <x:row r="12" ht="46" customHeight="1">
      <x:c r="A12" s="17" t="n">
        <x:v>20</x:v>
      </x:c>
      <x:c r="B12" s="17" t="str">
        <x:v>Northeastern University</x:v>
      </x:c>
      <x:c r="C12" s="17" t="str">
        <x:v>Computer Science PhD</x:v>
      </x:c>
      <x:c r="D12" s="17" t="str">
        <x:v>Khoury PhD Admissions</x:v>
      </x:c>
      <x:c r="E12" s="17" t="str">
        <x:v>khoury-phd@northeastern.edu</x:v>
      </x:c>
      <x:c r="F12" s="17" t="n">
        <x:v>82</x:v>
      </x:c>
      <x:c r="G12" s="17" t="str">
        <x:v>Retain, defer, or remove Computer Science PhD by resolving: Confirm Fall 2027 deadline, fee, and summer-support mechanics when the cycle page updates</x:v>
      </x:c>
      <x:c r="H12" s="17" t="str">
        <x:v>Confirm Fall 2027 deadline, fee, and summer-support mechanics when the cycle page updates</x:v>
      </x:c>
      <x:c r="I12" s="17" t="str">
        <x:v>No</x:v>
      </x:c>
      <x:c r="J12" s="17" t="str">
        <x:v>not_sent</x:v>
      </x:c>
      <x:c r="K12" s="17" t="str">
        <x:v>no</x:v>
      </x:c>
      <x:c r="L12" s="18" t="e">
        <x:f>HYPERLINK("https://www.khoury.northeastern.edu/apply/phd-apply/","Open source")</x:f>
        <x:v>HYPERLINK is not implemented. linkLocation=https://www.khoury.northeastern.edu/apply/phd-apply/, friendlyName=Open source</x:v>
      </x:c>
    </x:row>
    <x:row r="13" ht="46" customHeight="1">
      <x:c r="A13" s="17" t="n">
        <x:v>21</x:v>
      </x:c>
      <x:c r="B13" s="17" t="str">
        <x:v>University of Massachusetts-Amherst</x:v>
      </x:c>
      <x:c r="C13" s="17" t="str">
        <x:v>Computer Science PhD</x:v>
      </x:c>
      <x:c r="D13" s="17" t="str">
        <x:v>CICS Graduate Admissions</x:v>
      </x:c>
      <x:c r="E13" s="17" t="str">
        <x:v>grad-info@cs.umass.edu</x:v>
      </x:c>
      <x:c r="F13" s="17" t="n">
        <x:v>75</x:v>
      </x:c>
      <x:c r="G13" s="17" t="str">
        <x:v>Retain, defer, or remove Computer Science PhD by resolving: Confirm the Fall 2027 offer's summer and insurance/fee details</x:v>
      </x:c>
      <x:c r="H13" s="17" t="str">
        <x:v>Confirm the Fall 2027 offer's summer and insurance/fee details</x:v>
      </x:c>
      <x:c r="I13" s="17" t="str">
        <x:v>No</x:v>
      </x:c>
      <x:c r="J13" s="17" t="str">
        <x:v>not_sent</x:v>
      </x:c>
      <x:c r="K13" s="17" t="str">
        <x:v>no</x:v>
      </x:c>
      <x:c r="L13" s="18" t="e">
        <x:f>HYPERLINK("https://www.cics.umass.edu/academics/phd-computer-science/how-apply-phd-program","Open source")</x:f>
        <x:v>HYPERLINK is not implemented. linkLocation=https://www.cics.umass.edu/academics/phd-computer-science/how-apply-phd-program, friendlyName=Open source</x:v>
      </x:c>
    </x:row>
    <x:row r="14" ht="46" customHeight="1">
      <x:c r="A14" s="17" t="n">
        <x:v>22</x:v>
      </x:c>
      <x:c r="B14" s="17" t="str">
        <x:v>Virginia Polytechnic Institute and State University</x:v>
      </x:c>
      <x:c r="C14" s="17" t="str">
        <x:v>Computer Science PhD</x:v>
      </x:c>
      <x:c r="D14" s="17" t="str">
        <x:v>CS Graduate Program</x:v>
      </x:c>
      <x:c r="E14" s="17" t="str">
        <x:v>gradinfo@cs.vt.edu</x:v>
      </x:c>
      <x:c r="F14" s="17" t="n">
        <x:v>75</x:v>
      </x:c>
      <x:c r="G14" s="17" t="str">
        <x:v>Retain, defer, or remove Computer Science PhD by resolving: What summer-support expectation applies after year one?</x:v>
      </x:c>
      <x:c r="H14" s="17" t="str">
        <x:v>What summer-support expectation applies after year one?</x:v>
      </x:c>
      <x:c r="I14" s="17" t="str">
        <x:v>No</x:v>
      </x:c>
      <x:c r="J14" s="17" t="str">
        <x:v>not_sent</x:v>
      </x:c>
      <x:c r="K14" s="17" t="str">
        <x:v>no</x:v>
      </x:c>
      <x:c r="L14" s="18" t="e">
        <x:f>HYPERLINK("https://website.cs.vt.edu/academic/graduate/future-grads.html","Open source")</x:f>
        <x:v>HYPERLINK is not implemented. linkLocation=https://website.cs.vt.edu/academic/graduate/future-grads.html, friendlyName=Open source</x:v>
      </x:c>
    </x:row>
    <x:row r="15" ht="46" customHeight="1">
      <x:c r="A15" s="17" t="n">
        <x:v>23</x:v>
      </x:c>
      <x:c r="B15" s="17" t="str">
        <x:v>University of Michigan-Ann Arbor</x:v>
      </x:c>
      <x:c r="C15" s="17" t="str">
        <x:v>Computer Science and Engineering PhD</x:v>
      </x:c>
      <x:c r="D15" s="17" t="str">
        <x:v>CSE Graduate Admissions</x:v>
      </x:c>
      <x:c r="E15" s="17" t="str">
        <x:v>csegradstaff@umich.edu</x:v>
      </x:c>
      <x:c r="F15" s="17" t="n">
        <x:v>70</x:v>
      </x:c>
      <x:c r="G15" s="17" t="str">
        <x:v>Retain, defer, or remove Computer Science and Engineering PhD by resolving: How will the committee weigh the &gt;3.5 recent-two-year record against the 3.35 cumulative GPA?</x:v>
      </x:c>
      <x:c r="H15" s="17" t="str">
        <x:v>How will the committee weigh the &gt;3.5 recent-two-year record against the 3.35 cumulative GPA?</x:v>
      </x:c>
      <x:c r="I15" s="17" t="str">
        <x:v>No</x:v>
      </x:c>
      <x:c r="J15" s="17" t="str">
        <x:v>not_sent</x:v>
      </x:c>
      <x:c r="K15" s="17" t="str">
        <x:v>no</x:v>
      </x:c>
      <x:c r="L15" s="18" t="e">
        <x:f>HYPERLINK("https://cse.engin.umich.edu/academics/graduate/admissions/","Open source")</x:f>
        <x:v>HYPERLINK is not implemented. linkLocation=https://cse.engin.umich.edu/academics/graduate/admissions/, friendlyName=Open source</x:v>
      </x:c>
    </x:row>
  </x:sheetData>
  <x:mergeCells>
    <x:mergeCell ref="A1:L1"/>
    <x:mergeCell ref="A2:L2"/>
    <x:mergeCell ref="A3:L3"/>
  </x:mergeCells>
  <x:conditionalFormatting sqref="F5:F15">
    <x:cfRule type="colorScale" priority="1">
      <x:colorScale>
        <x:cfvo type="min"/>
        <x:cfvo type="percentile" val="50"/>
        <x:cfvo type="max"/>
        <x:color rgb="FFF8696B"/>
        <x:color rgb="FFFFEB84"/>
        <x:color rgb="FF63BE7B"/>
      </x:colorScale>
    </x:cfRule>
  </x:conditionalFormatting>
  <x:dataValidations count="2">
    <x:dataValidation type="list" sqref="I5:I15">
      <x:formula1>"Yes,No"</x:formula1>
    </x:dataValidation>
    <x:dataValidation type="list" sqref="J5:J15">
      <x:formula1>"not_sent,promoted,sent,closed"</x:formula1>
    </x:dataValidation>
  </x:dataValidations>
  <x:pageMargins left="0.7" right="0.7" top="0.75" bottom="0.75" header="0.3" footer="0.3"/>
  <x:tableParts count="1">
    <x:tablePart xmlns:r="http://schemas.openxmlformats.org/officeDocument/2006/relationships" r:id="Rb0b5665ba9694521"/>
  </x:tableParts>
</x:worksheet>
</file>

<file path=xl/worksheets/sheet8.xml><?xml version="1.0" encoding="utf-8"?>
<x:worksheet xmlns:x="http://schemas.openxmlformats.org/spreadsheetml/2006/main">
  <x:sheetPr>
    <x:tabColor rgb="FF4F81BD"/>
  </x:sheetPr>
  <x:sheetViews>
    <x:sheetView showGridLines="0" workbookViewId="0">
      <x:pane xSplit="2" ySplit="4" topLeftCell="C5" activePane="bottomRight" state="frozen"/>
    </x:sheetView>
  </x:sheetViews>
  <x:sheetFormatPr defaultRowHeight="15"/>
  <x:cols>
    <x:col min="1" max="1" width="11" hidden="0" customWidth="1"/>
    <x:col min="2" max="2" width="38" hidden="0" customWidth="1"/>
    <x:col min="3" max="3" width="38" hidden="0" customWidth="1"/>
    <x:col min="4" max="4" width="11" hidden="0" customWidth="1"/>
    <x:col min="5" max="5" width="15" hidden="0" customWidth="1"/>
    <x:col min="6" max="6" width="34" hidden="0" customWidth="1"/>
    <x:col min="7" max="7" width="34" hidden="0" customWidth="1"/>
    <x:col min="8" max="8" width="18" hidden="0" customWidth="1"/>
    <x:col min="9" max="9" width="19" hidden="0" customWidth="1"/>
    <x:col min="10" max="10" width="11" hidden="0" customWidth="1"/>
  </x:cols>
  <x:sheetData>
    <x:row r="1" ht="28" customHeight="1">
      <x:c r="A1" s="3" t="str">
        <x:v>Screening &amp; Exclusions</x:v>
      </x:c>
    </x:row>
    <x:row r="2" ht="34" customHeight="1">
      <x:c r="A2" s="7" t="str">
        <x:v>All explicit exclusions. Independent sample outcomes remain visible, including unresolved and reopened records.</x:v>
      </x:c>
    </x:row>
    <x:row r="3" ht="20" customHeight="1">
      <x:c r="A3" s="9" t="str">
        <x:v>Evidence snapshot: 2026-09-11 · 1,628 records · Use the row-4 filters; uncertainty is intentional.</x:v>
      </x:c>
    </x:row>
    <x:row r="4" ht="34" customHeight="1">
      <x:c r="A4" s="13" t="str">
        <x:v>Region</x:v>
      </x:c>
      <x:c r="B4" s="13" t="str">
        <x:v>Institution</x:v>
      </x:c>
      <x:c r="C4" s="13" t="str">
        <x:v>Program</x:v>
      </x:c>
      <x:c r="D4" s="13" t="str">
        <x:v>Degree</x:v>
      </x:c>
      <x:c r="E4" s="13" t="str">
        <x:v>Exclusion Category</x:v>
      </x:c>
      <x:c r="F4" s="13" t="str">
        <x:v>Evidence-Backed Reason</x:v>
      </x:c>
      <x:c r="G4" s="13" t="str">
        <x:v>Largest Unresolved Question</x:v>
      </x:c>
      <x:c r="H4" s="13" t="str">
        <x:v>Source URLs</x:v>
      </x:c>
      <x:c r="I4" s="13" t="str">
        <x:v>Independent Sample Result</x:v>
      </x:c>
      <x:c r="J4" s="13" t="str">
        <x:v>Sample Risk</x:v>
      </x:c>
    </x:row>
    <x:row r="5" ht="46" customHeight="1">
      <x:c r="A5" s="17" t="str">
        <x:v>us</x:v>
      </x:c>
      <x:c r="B5" s="17" t="str">
        <x:v>Abraham Lincoln University</x:v>
      </x:c>
      <x:c r="C5" s="17" t="str">
        <x:v>IPEDS discovery signal: Cyber/Computer Forensics and Counterterrorism (CIP 43.0403)</x:v>
      </x:c>
      <x:c r="D5" s="17" t="str">
        <x:v>Unclear</x:v>
      </x:c>
      <x:c r="E5" s="17" t="str">
        <x:v>stage2_screened_out</x:v>
      </x:c>
      <x:c r="F5" s="17" t="str">
        <x:v>Only one bounded registry/program-code signal was present; no independent topical, Calendar, current-faculty, or first-audit signal was recovered.</x:v>
      </x:c>
      <x:c r="G5" s="17" t="str">
        <x:v>Does the current official catalog contain a research graduate program matching the applicant's topics?</x:v>
      </x:c>
      <x:c r="H5" s="17" t="str">
        <x:v>https://www.alu.edu</x:v>
      </x:c>
      <x:c r="I5" s="17" t="str">
        <x:v>not_sampled</x:v>
      </x:c>
      <x:c r="J5" s="17" t="str">
        <x:v>not_sampled</x:v>
      </x:c>
    </x:row>
    <x:row r="6" ht="46" customHeight="1">
      <x:c r="A6" s="17" t="str">
        <x:v>us</x:v>
      </x:c>
      <x:c r="B6" s="17" t="str">
        <x:v>Adelphi University</x:v>
      </x:c>
      <x:c r="C6" s="17" t="str">
        <x:v>IPEDS discovery signal: Computer and Information Sciences, Other (CIP 11.0199)</x:v>
      </x:c>
      <x:c r="D6" s="17" t="str">
        <x:v>Unclear</x:v>
      </x:c>
      <x:c r="E6" s="17" t="str">
        <x:v>stage2_screened_out</x:v>
      </x:c>
      <x:c r="F6" s="17" t="str">
        <x:v>Only one bounded registry/program-code signal was present; no independent topical, Calendar, current-faculty, or first-audit signal was recovered.</x:v>
      </x:c>
      <x:c r="G6" s="17" t="str">
        <x:v>Does the current official catalog contain a research graduate program matching the applicant's topics?</x:v>
      </x:c>
      <x:c r="H6" s="17" t="str">
        <x:v>https://www.adelphi.edu</x:v>
      </x:c>
      <x:c r="I6" s="17" t="str">
        <x:v>not_sampled</x:v>
      </x:c>
      <x:c r="J6" s="17" t="str">
        <x:v>not_sampled</x:v>
      </x:c>
    </x:row>
    <x:row r="7" ht="46" customHeight="1">
      <x:c r="A7" s="17" t="str">
        <x:v>us</x:v>
      </x:c>
      <x:c r="B7" s="17" t="str">
        <x:v>Air Force Institute of Technology-Graduate School of Engineering &amp; Management</x:v>
      </x:c>
      <x:c r="C7" s="17" t="str">
        <x:v>IPEDS discovery signal: Computer and Information Systems Security/Auditing/Information Assurance (CIP 11.1003)</x:v>
      </x:c>
      <x:c r="D7" s="17" t="str">
        <x:v>Unclear</x:v>
      </x:c>
      <x:c r="E7" s="17" t="str">
        <x:v>stage2_screened_out</x:v>
      </x:c>
      <x:c r="F7" s="17" t="str">
        <x:v>Only one bounded registry/program-code signal was present; no independent topical, Calendar, current-faculty, or first-audit signal was recovered.</x:v>
      </x:c>
      <x:c r="G7" s="17" t="str">
        <x:v>Does the current official catalog contain a research graduate program matching the applicant's topics?</x:v>
      </x:c>
      <x:c r="H7" s="17" t="str">
        <x:v>https://www.afit.edu</x:v>
      </x:c>
      <x:c r="I7" s="17" t="str">
        <x:v>not_sampled</x:v>
      </x:c>
      <x:c r="J7" s="17" t="str">
        <x:v>not_sampled</x:v>
      </x:c>
    </x:row>
    <x:row r="8" ht="46" customHeight="1">
      <x:c r="A8" s="17" t="str">
        <x:v>us</x:v>
      </x:c>
      <x:c r="B8" s="17" t="str">
        <x:v>Air Force Institute of Technology-Graduate School of Engineering &amp; Management</x:v>
      </x:c>
      <x:c r="C8" s="17" t="str">
        <x:v>IPEDS discovery signal: Computer Engineering, General (CIP 14.0901)</x:v>
      </x:c>
      <x:c r="D8" s="17" t="str">
        <x:v>Unclear</x:v>
      </x:c>
      <x:c r="E8" s="17" t="str">
        <x:v>stage2_screened_out</x:v>
      </x:c>
      <x:c r="F8" s="17" t="str">
        <x:v>Only one bounded registry/program-code signal was present; no independent topical, Calendar, current-faculty, or first-audit signal was recovered.</x:v>
      </x:c>
      <x:c r="G8" s="17" t="str">
        <x:v>Does the current official catalog contain a research graduate program matching the applicant's topics?</x:v>
      </x:c>
      <x:c r="H8" s="17" t="str">
        <x:v>https://www.afit.edu</x:v>
      </x:c>
      <x:c r="I8" s="17" t="str">
        <x:v>not_sampled</x:v>
      </x:c>
      <x:c r="J8" s="17" t="str">
        <x:v>not_sampled</x:v>
      </x:c>
    </x:row>
    <x:row r="9" ht="46" customHeight="1">
      <x:c r="A9" s="17" t="str">
        <x:v>us</x:v>
      </x:c>
      <x:c r="B9" s="17" t="str">
        <x:v>Air Force Institute of Technology-Graduate School of Engineering &amp; Management</x:v>
      </x:c>
      <x:c r="C9" s="17" t="str">
        <x:v>IPEDS discovery signal: Computer Science (CIP 11.0701)</x:v>
      </x:c>
      <x:c r="D9" s="17" t="str">
        <x:v>Unclear</x:v>
      </x:c>
      <x:c r="E9" s="17" t="str">
        <x:v>stage2_screened_out</x:v>
      </x:c>
      <x:c r="F9" s="17" t="str">
        <x:v>Only one bounded registry/program-code signal was present; no independent topical, Calendar, current-faculty, or first-audit signal was recovered.</x:v>
      </x:c>
      <x:c r="G9" s="17" t="str">
        <x:v>Does the current official catalog contain a research graduate program matching the applicant's topics?</x:v>
      </x:c>
      <x:c r="H9" s="17" t="str">
        <x:v>https://www.afit.edu</x:v>
      </x:c>
      <x:c r="I9" s="17" t="str">
        <x:v>not_sampled</x:v>
      </x:c>
      <x:c r="J9" s="17" t="str">
        <x:v>not_sampled</x:v>
      </x:c>
    </x:row>
    <x:row r="10" ht="46" customHeight="1">
      <x:c r="A10" s="17" t="str">
        <x:v>us</x:v>
      </x:c>
      <x:c r="B10" s="17" t="str">
        <x:v>Air Force Institute of Technology-Graduate School of Engineering &amp; Management</x:v>
      </x:c>
      <x:c r="C10" s="17" t="str">
        <x:v>IPEDS discovery signal: Data Analytics, General (CIP 30.7101)</x:v>
      </x:c>
      <x:c r="D10" s="17" t="str">
        <x:v>Unclear</x:v>
      </x:c>
      <x:c r="E10" s="17" t="str">
        <x:v>stage2_screened_out</x:v>
      </x:c>
      <x:c r="F10" s="17" t="str">
        <x:v>Only one bounded registry/program-code signal was present; no independent topical, Calendar, current-faculty, or first-audit signal was recovered.</x:v>
      </x:c>
      <x:c r="G10" s="17" t="str">
        <x:v>Does the current official catalog contain a research graduate program matching the applicant's topics?</x:v>
      </x:c>
      <x:c r="H10" s="17" t="str">
        <x:v>https://www.afit.edu</x:v>
      </x:c>
      <x:c r="I10" s="17" t="str">
        <x:v>not_sampled</x:v>
      </x:c>
      <x:c r="J10" s="17" t="str">
        <x:v>not_sampled</x:v>
      </x:c>
    </x:row>
    <x:row r="11" ht="46" customHeight="1">
      <x:c r="A11" s="17" t="str">
        <x:v>us</x:v>
      </x:c>
      <x:c r="B11" s="17" t="str">
        <x:v>Air Force Institute of Technology-Graduate School of Engineering &amp; Management</x:v>
      </x:c>
      <x:c r="C11" s="17" t="str">
        <x:v>IPEDS discovery signal: Data Science, General (CIP 30.7001)</x:v>
      </x:c>
      <x:c r="D11" s="17" t="str">
        <x:v>Unclear</x:v>
      </x:c>
      <x:c r="E11" s="17" t="str">
        <x:v>stage2_screened_out</x:v>
      </x:c>
      <x:c r="F11" s="17" t="str">
        <x:v>Only one bounded registry/program-code signal was present; no independent topical, Calendar, current-faculty, or first-audit signal was recovered.</x:v>
      </x:c>
      <x:c r="G11" s="17" t="str">
        <x:v>Does the current official catalog contain a research graduate program matching the applicant's topics?</x:v>
      </x:c>
      <x:c r="H11" s="17" t="str">
        <x:v>https://www.afit.edu</x:v>
      </x:c>
      <x:c r="I11" s="17" t="str">
        <x:v>not_sampled</x:v>
      </x:c>
      <x:c r="J11" s="17" t="str">
        <x:v>not_sampled</x:v>
      </x:c>
    </x:row>
    <x:row r="12" ht="46" customHeight="1">
      <x:c r="A12" s="17" t="str">
        <x:v>us</x:v>
      </x:c>
      <x:c r="B12" s="17" t="str">
        <x:v>Air Force Institute of Technology-Graduate School of Engineering &amp; Management</x:v>
      </x:c>
      <x:c r="C12" s="17" t="str">
        <x:v>IPEDS discovery signal: Electrical and Electronics Engineering (CIP 14.1001)</x:v>
      </x:c>
      <x:c r="D12" s="17" t="str">
        <x:v>Unclear</x:v>
      </x:c>
      <x:c r="E12" s="17" t="str">
        <x:v>stage2_screened_out</x:v>
      </x:c>
      <x:c r="F12" s="17" t="str">
        <x:v>Only one bounded registry/program-code signal was present; no independent topical, Calendar, current-faculty, or first-audit signal was recovered.</x:v>
      </x:c>
      <x:c r="G12" s="17" t="str">
        <x:v>Does the current official catalog contain a research graduate program matching the applicant's topics?</x:v>
      </x:c>
      <x:c r="H12" s="17" t="str">
        <x:v>https://www.afit.edu</x:v>
      </x:c>
      <x:c r="I12" s="17" t="str">
        <x:v>not_sampled</x:v>
      </x:c>
      <x:c r="J12" s="17" t="str">
        <x:v>not_sampled</x:v>
      </x:c>
    </x:row>
    <x:row r="13" ht="46" customHeight="1">
      <x:c r="A13" s="17" t="str">
        <x:v>us</x:v>
      </x:c>
      <x:c r="B13" s="17" t="str">
        <x:v>Alabama A &amp; M University</x:v>
      </x:c>
      <x:c r="C13" s="17" t="str">
        <x:v>IPEDS discovery signal: Computer and Information Sciences, General (CIP 11.0101)</x:v>
      </x:c>
      <x:c r="D13" s="17" t="str">
        <x:v>Unclear</x:v>
      </x:c>
      <x:c r="E13" s="17" t="str">
        <x:v>stage2_screened_out</x:v>
      </x:c>
      <x:c r="F13" s="17" t="str">
        <x:v>Only one bounded registry/program-code signal was present; no independent topical, Calendar, current-faculty, or first-audit signal was recovered.</x:v>
      </x:c>
      <x:c r="G13" s="17" t="str">
        <x:v>Does the current official catalog contain a research graduate program matching the applicant's topics?</x:v>
      </x:c>
      <x:c r="H13" s="17" t="str">
        <x:v>https://www.aamu.edu</x:v>
      </x:c>
      <x:c r="I13" s="17" t="str">
        <x:v>not_sampled</x:v>
      </x:c>
      <x:c r="J13" s="17" t="str">
        <x:v>not_sampled</x:v>
      </x:c>
    </x:row>
    <x:row r="14" ht="46" customHeight="1">
      <x:c r="A14" s="17" t="str">
        <x:v>us</x:v>
      </x:c>
      <x:c r="B14" s="17" t="str">
        <x:v>Alabama A &amp; M University</x:v>
      </x:c>
      <x:c r="C14" s="17" t="str">
        <x:v>IPEDS discovery signal: Electrical and Electronics Engineering (CIP 14.1001)</x:v>
      </x:c>
      <x:c r="D14" s="17" t="str">
        <x:v>Unclear</x:v>
      </x:c>
      <x:c r="E14" s="17" t="str">
        <x:v>stage2_screened_out</x:v>
      </x:c>
      <x:c r="F14" s="17" t="str">
        <x:v>Only one bounded registry/program-code signal was present; no independent topical, Calendar, current-faculty, or first-audit signal was recovered.</x:v>
      </x:c>
      <x:c r="G14" s="17" t="str">
        <x:v>Does the current official catalog contain a research graduate program matching the applicant's topics?</x:v>
      </x:c>
      <x:c r="H14" s="17" t="str">
        <x:v>https://www.aamu.edu</x:v>
      </x:c>
      <x:c r="I14" s="17" t="str">
        <x:v>not_sampled</x:v>
      </x:c>
      <x:c r="J14" s="17" t="str">
        <x:v>not_sampled</x:v>
      </x:c>
    </x:row>
    <x:row r="15" ht="46" customHeight="1">
      <x:c r="A15" s="17" t="str">
        <x:v>us</x:v>
      </x:c>
      <x:c r="B15" s="17" t="str">
        <x:v>Alcorn State University</x:v>
      </x:c>
      <x:c r="C15" s="17" t="str">
        <x:v>IPEDS discovery signal: Computer and Information Sciences, General (CIP 11.0101)</x:v>
      </x:c>
      <x:c r="D15" s="17" t="str">
        <x:v>Unclear</x:v>
      </x:c>
      <x:c r="E15" s="17" t="str">
        <x:v>stage2_screened_out</x:v>
      </x:c>
      <x:c r="F15" s="17" t="str">
        <x:v>Only one bounded registry/program-code signal was present; no independent topical, Calendar, current-faculty, or first-audit signal was recovered.</x:v>
      </x:c>
      <x:c r="G15" s="17" t="str">
        <x:v>Does the current official catalog contain a research graduate program matching the applicant's topics?</x:v>
      </x:c>
      <x:c r="H15" s="17" t="str">
        <x:v>https://www.alcorn.edu</x:v>
      </x:c>
      <x:c r="I15" s="17" t="str">
        <x:v>not_sampled</x:v>
      </x:c>
      <x:c r="J15" s="17" t="str">
        <x:v>not_sampled</x:v>
      </x:c>
    </x:row>
    <x:row r="16" ht="46" customHeight="1">
      <x:c r="A16" s="17" t="str">
        <x:v>us</x:v>
      </x:c>
      <x:c r="B16" s="17" t="str">
        <x:v>Alfred University</x:v>
      </x:c>
      <x:c r="C16" s="17" t="str">
        <x:v>IPEDS discovery signal: Electrical and Electronics Engineering (CIP 14.1001)</x:v>
      </x:c>
      <x:c r="D16" s="17" t="str">
        <x:v>Unclear</x:v>
      </x:c>
      <x:c r="E16" s="17" t="str">
        <x:v>stage2_screened_out</x:v>
      </x:c>
      <x:c r="F16" s="17" t="str">
        <x:v>Only one bounded registry/program-code signal was present; no independent topical, Calendar, current-faculty, or first-audit signal was recovered.</x:v>
      </x:c>
      <x:c r="G16" s="17" t="str">
        <x:v>Does the current official catalog contain a research graduate program matching the applicant's topics?</x:v>
      </x:c>
      <x:c r="H16" s="17" t="str">
        <x:v>https://www.alfred.edu</x:v>
      </x:c>
      <x:c r="I16" s="17" t="str">
        <x:v>not_sampled</x:v>
      </x:c>
      <x:c r="J16" s="17" t="str">
        <x:v>not_sampled</x:v>
      </x:c>
    </x:row>
    <x:row r="17" ht="46" customHeight="1">
      <x:c r="A17" s="17" t="str">
        <x:v>us</x:v>
      </x:c>
      <x:c r="B17" s="17" t="str">
        <x:v>Alliant International University-San Diego</x:v>
      </x:c>
      <x:c r="C17" s="17" t="str">
        <x:v>IPEDS discovery signal: Information Technology (CIP 11.0103)</x:v>
      </x:c>
      <x:c r="D17" s="17" t="str">
        <x:v>Unclear</x:v>
      </x:c>
      <x:c r="E17" s="17" t="str">
        <x:v>stage2_screened_out</x:v>
      </x:c>
      <x:c r="F17" s="17" t="str">
        <x:v>Only one bounded registry/program-code signal was present; no independent topical, Calendar, current-faculty, or first-audit signal was recovered.</x:v>
      </x:c>
      <x:c r="G17" s="17" t="str">
        <x:v>Does the current official catalog contain a research graduate program matching the applicant's topics?</x:v>
      </x:c>
      <x:c r="H17" s="17" t="str">
        <x:v>https://www.alliant.edu</x:v>
      </x:c>
      <x:c r="I17" s="17" t="str">
        <x:v>not_sampled</x:v>
      </x:c>
      <x:c r="J17" s="17" t="str">
        <x:v>not_sampled</x:v>
      </x:c>
    </x:row>
    <x:row r="18" ht="46" customHeight="1">
      <x:c r="A18" s="17" t="str">
        <x:v>us</x:v>
      </x:c>
      <x:c r="B18" s="17" t="str">
        <x:v>American InterContinental University-Atlanta</x:v>
      </x:c>
      <x:c r="C18" s="17" t="str">
        <x:v>IPEDS discovery signal: Information Technology (CIP 11.0103)</x:v>
      </x:c>
      <x:c r="D18" s="17" t="str">
        <x:v>Unclear</x:v>
      </x:c>
      <x:c r="E18" s="17" t="str">
        <x:v>stage2_screened_out</x:v>
      </x:c>
      <x:c r="F18" s="17" t="str">
        <x:v>Only one bounded registry/program-code signal was present; no independent topical, Calendar, current-faculty, or first-audit signal was recovered.</x:v>
      </x:c>
      <x:c r="G18" s="17" t="str">
        <x:v>Does the current official catalog contain a research graduate program matching the applicant's topics?</x:v>
      </x:c>
      <x:c r="H18" s="17" t="str">
        <x:v>https://www.aiuniv.edu/online-campus/campus-locations/atlanta</x:v>
      </x:c>
      <x:c r="I18" s="17" t="str">
        <x:v>not_sampled</x:v>
      </x:c>
      <x:c r="J18" s="17" t="str">
        <x:v>not_sampled</x:v>
      </x:c>
    </x:row>
    <x:row r="19" ht="46" customHeight="1">
      <x:c r="A19" s="17" t="str">
        <x:v>us</x:v>
      </x:c>
      <x:c r="B19" s="17" t="str">
        <x:v>American InterContinental University-Houston</x:v>
      </x:c>
      <x:c r="C19" s="17" t="str">
        <x:v>IPEDS discovery signal: Information Technology (CIP 11.0103)</x:v>
      </x:c>
      <x:c r="D19" s="17" t="str">
        <x:v>Unclear</x:v>
      </x:c>
      <x:c r="E19" s="17" t="str">
        <x:v>stage2_screened_out</x:v>
      </x:c>
      <x:c r="F19" s="17" t="str">
        <x:v>Only one bounded registry/program-code signal was present; no independent topical, Calendar, current-faculty, or first-audit signal was recovered.</x:v>
      </x:c>
      <x:c r="G19" s="17" t="str">
        <x:v>Does the current official catalog contain a research graduate program matching the applicant's topics?</x:v>
      </x:c>
      <x:c r="H19" s="17" t="str">
        <x:v>https://www.aiuniv.edu/online-campus/campus-locations/houston</x:v>
      </x:c>
      <x:c r="I19" s="17" t="str">
        <x:v>not_sampled</x:v>
      </x:c>
      <x:c r="J19" s="17" t="str">
        <x:v>not_sampled</x:v>
      </x:c>
    </x:row>
    <x:row r="20" ht="46" customHeight="1">
      <x:c r="A20" s="17" t="str">
        <x:v>us</x:v>
      </x:c>
      <x:c r="B20" s="17" t="str">
        <x:v>American InterContinental University System</x:v>
      </x:c>
      <x:c r="C20" s="17" t="str">
        <x:v>IPEDS discovery signal: Information Technology (CIP 11.0103)</x:v>
      </x:c>
      <x:c r="D20" s="17" t="str">
        <x:v>Unclear</x:v>
      </x:c>
      <x:c r="E20" s="17" t="str">
        <x:v>stage2_screened_out</x:v>
      </x:c>
      <x:c r="F20" s="17" t="str">
        <x:v>Only one bounded registry/program-code signal was present; no independent topical, Calendar, current-faculty, or first-audit signal was recovered.</x:v>
      </x:c>
      <x:c r="G20" s="17" t="str">
        <x:v>Does the current official catalog contain a research graduate program matching the applicant's topics?</x:v>
      </x:c>
      <x:c r="H20" s="17" t="str">
        <x:v>https://www.aius.education</x:v>
      </x:c>
      <x:c r="I20" s="17" t="str">
        <x:v>not_sampled</x:v>
      </x:c>
      <x:c r="J20" s="17" t="str">
        <x:v>not_sampled</x:v>
      </x:c>
    </x:row>
    <x:row r="21" ht="46" customHeight="1">
      <x:c r="A21" s="17" t="str">
        <x:v>us</x:v>
      </x:c>
      <x:c r="B21" s="17" t="str">
        <x:v>American National University</x:v>
      </x:c>
      <x:c r="C21" s="17" t="str">
        <x:v>IPEDS discovery signal: Computer and Information Sciences, General (CIP 11.0101)</x:v>
      </x:c>
      <x:c r="D21" s="17" t="str">
        <x:v>Unclear</x:v>
      </x:c>
      <x:c r="E21" s="17" t="str">
        <x:v>stage2_screened_out</x:v>
      </x:c>
      <x:c r="F21" s="17" t="str">
        <x:v>Only one bounded registry/program-code signal was present; no independent topical, Calendar, current-faculty, or first-audit signal was recovered.</x:v>
      </x:c>
      <x:c r="G21" s="17" t="str">
        <x:v>Does the current official catalog contain a research graduate program matching the applicant's topics?</x:v>
      </x:c>
      <x:c r="H21" s="17" t="str">
        <x:v>https://www.an.edu/locations</x:v>
      </x:c>
      <x:c r="I21" s="17" t="str">
        <x:v>not_sampled</x:v>
      </x:c>
      <x:c r="J21" s="17" t="str">
        <x:v>not_sampled</x:v>
      </x:c>
    </x:row>
    <x:row r="22" ht="46" customHeight="1">
      <x:c r="A22" s="17" t="str">
        <x:v>us</x:v>
      </x:c>
      <x:c r="B22" s="17" t="str">
        <x:v>American National University</x:v>
      </x:c>
      <x:c r="C22" s="17" t="str">
        <x:v>IPEDS discovery signal: Computer and Information Systems Security/Auditing/Information Assurance (CIP 11.1003)</x:v>
      </x:c>
      <x:c r="D22" s="17" t="str">
        <x:v>Unclear</x:v>
      </x:c>
      <x:c r="E22" s="17" t="str">
        <x:v>stage2_screened_out</x:v>
      </x:c>
      <x:c r="F22" s="17" t="str">
        <x:v>Only one bounded registry/program-code signal was present; no independent topical, Calendar, current-faculty, or first-audit signal was recovered.</x:v>
      </x:c>
      <x:c r="G22" s="17" t="str">
        <x:v>Does the current official catalog contain a research graduate program matching the applicant's topics?</x:v>
      </x:c>
      <x:c r="H22" s="17" t="str">
        <x:v>https://www.an.edu/locations</x:v>
      </x:c>
      <x:c r="I22" s="17" t="str">
        <x:v>not_sampled</x:v>
      </x:c>
      <x:c r="J22" s="17" t="str">
        <x:v>not_sampled</x:v>
      </x:c>
    </x:row>
    <x:row r="23" ht="46" customHeight="1">
      <x:c r="A23" s="17" t="str">
        <x:v>us</x:v>
      </x:c>
      <x:c r="B23" s="17" t="str">
        <x:v>American National University</x:v>
      </x:c>
      <x:c r="C23" s="17" t="str">
        <x:v>IPEDS discovery signal: Information Technology (CIP 11.0103)</x:v>
      </x:c>
      <x:c r="D23" s="17" t="str">
        <x:v>Unclear</x:v>
      </x:c>
      <x:c r="E23" s="17" t="str">
        <x:v>stage2_screened_out</x:v>
      </x:c>
      <x:c r="F23" s="17" t="str">
        <x:v>Only one bounded registry/program-code signal was present; no independent topical, Calendar, current-faculty, or first-audit signal was recovered.</x:v>
      </x:c>
      <x:c r="G23" s="17" t="str">
        <x:v>Does the current official catalog contain a research graduate program matching the applicant's topics?</x:v>
      </x:c>
      <x:c r="H23" s="17" t="str">
        <x:v>https://www.an.edu/locations</x:v>
      </x:c>
      <x:c r="I23" s="17" t="str">
        <x:v>not_sampled</x:v>
      </x:c>
      <x:c r="J23" s="17" t="str">
        <x:v>not_sampled</x:v>
      </x:c>
    </x:row>
    <x:row r="24" ht="46" customHeight="1">
      <x:c r="A24" s="17" t="str">
        <x:v>us</x:v>
      </x:c>
      <x:c r="B24" s="17" t="str">
        <x:v>American National University-Pikeville</x:v>
      </x:c>
      <x:c r="C24" s="17" t="str">
        <x:v>IPEDS discovery signal: Computer and Information Sciences, General (CIP 11.0101)</x:v>
      </x:c>
      <x:c r="D24" s="17" t="str">
        <x:v>Unclear</x:v>
      </x:c>
      <x:c r="E24" s="17" t="str">
        <x:v>stage2_screened_out</x:v>
      </x:c>
      <x:c r="F24" s="17" t="str">
        <x:v>Only one bounded registry/program-code signal was present; no independent topical, Calendar, current-faculty, or first-audit signal was recovered.</x:v>
      </x:c>
      <x:c r="G24" s="17" t="str">
        <x:v>Does the current official catalog contain a research graduate program matching the applicant's topics?</x:v>
      </x:c>
      <x:c r="H24" s="17" t="str">
        <x:v>https://www.an.edu/locations</x:v>
      </x:c>
      <x:c r="I24" s="17" t="str">
        <x:v>not_sampled</x:v>
      </x:c>
      <x:c r="J24" s="17" t="str">
        <x:v>not_sampled</x:v>
      </x:c>
    </x:row>
    <x:row r="25" ht="46" customHeight="1">
      <x:c r="A25" s="17" t="str">
        <x:v>us</x:v>
      </x:c>
      <x:c r="B25" s="17" t="str">
        <x:v>American National University-Pikeville</x:v>
      </x:c>
      <x:c r="C25" s="17" t="str">
        <x:v>IPEDS discovery signal: Computer and Information Systems Security/Auditing/Information Assurance (CIP 11.1003)</x:v>
      </x:c>
      <x:c r="D25" s="17" t="str">
        <x:v>Unclear</x:v>
      </x:c>
      <x:c r="E25" s="17" t="str">
        <x:v>stage2_screened_out</x:v>
      </x:c>
      <x:c r="F25" s="17" t="str">
        <x:v>Only one bounded registry/program-code signal was present; no independent topical, Calendar, current-faculty, or first-audit signal was recovered.</x:v>
      </x:c>
      <x:c r="G25" s="17" t="str">
        <x:v>Does the current official catalog contain a research graduate program matching the applicant's topics?</x:v>
      </x:c>
      <x:c r="H25" s="17" t="str">
        <x:v>https://www.an.edu/locations</x:v>
      </x:c>
      <x:c r="I25" s="17" t="str">
        <x:v>not_sampled</x:v>
      </x:c>
      <x:c r="J25" s="17" t="str">
        <x:v>not_sampled</x:v>
      </x:c>
    </x:row>
    <x:row r="26" ht="46" customHeight="1">
      <x:c r="A26" s="17" t="str">
        <x:v>us</x:v>
      </x:c>
      <x:c r="B26" s="17" t="str">
        <x:v>American National University-Pikeville</x:v>
      </x:c>
      <x:c r="C26" s="17" t="str">
        <x:v>IPEDS discovery signal: Computer Engineering, General (CIP 14.0901)</x:v>
      </x:c>
      <x:c r="D26" s="17" t="str">
        <x:v>Unclear</x:v>
      </x:c>
      <x:c r="E26" s="17" t="str">
        <x:v>stage2_screened_out</x:v>
      </x:c>
      <x:c r="F26" s="17" t="str">
        <x:v>Only one bounded registry/program-code signal was present; no independent topical, Calendar, current-faculty, or first-audit signal was recovered.</x:v>
      </x:c>
      <x:c r="G26" s="17" t="str">
        <x:v>Does the current official catalog contain a research graduate program matching the applicant's topics?</x:v>
      </x:c>
      <x:c r="H26" s="17" t="str">
        <x:v>https://www.an.edu/locations</x:v>
      </x:c>
      <x:c r="I26" s="17" t="str">
        <x:v>not_sampled</x:v>
      </x:c>
      <x:c r="J26" s="17" t="str">
        <x:v>not_sampled</x:v>
      </x:c>
    </x:row>
    <x:row r="27" ht="46" customHeight="1">
      <x:c r="A27" s="17" t="str">
        <x:v>us</x:v>
      </x:c>
      <x:c r="B27" s="17" t="str">
        <x:v>American National University-Pikeville</x:v>
      </x:c>
      <x:c r="C27" s="17" t="str">
        <x:v>IPEDS discovery signal: Computer Software Engineering (CIP 14.0903)</x:v>
      </x:c>
      <x:c r="D27" s="17" t="str">
        <x:v>Unclear</x:v>
      </x:c>
      <x:c r="E27" s="17" t="str">
        <x:v>stage2_screened_out</x:v>
      </x:c>
      <x:c r="F27" s="17" t="str">
        <x:v>Only one bounded registry/program-code signal was present; no independent topical, Calendar, current-faculty, or first-audit signal was recovered.</x:v>
      </x:c>
      <x:c r="G27" s="17" t="str">
        <x:v>Does the current official catalog contain a research graduate program matching the applicant's topics?</x:v>
      </x:c>
      <x:c r="H27" s="17" t="str">
        <x:v>https://www.an.edu/locations</x:v>
      </x:c>
      <x:c r="I27" s="17" t="str">
        <x:v>not_sampled</x:v>
      </x:c>
      <x:c r="J27" s="17" t="str">
        <x:v>not_sampled</x:v>
      </x:c>
    </x:row>
    <x:row r="28" ht="46" customHeight="1">
      <x:c r="A28" s="17" t="str">
        <x:v>us</x:v>
      </x:c>
      <x:c r="B28" s="17" t="str">
        <x:v>American National University-Pikeville</x:v>
      </x:c>
      <x:c r="C28" s="17" t="str">
        <x:v>IPEDS discovery signal: Information Technology (CIP 11.0103)</x:v>
      </x:c>
      <x:c r="D28" s="17" t="str">
        <x:v>Unclear</x:v>
      </x:c>
      <x:c r="E28" s="17" t="str">
        <x:v>stage2_screened_out</x:v>
      </x:c>
      <x:c r="F28" s="17" t="str">
        <x:v>Only one bounded registry/program-code signal was present; no independent topical, Calendar, current-faculty, or first-audit signal was recovered.</x:v>
      </x:c>
      <x:c r="G28" s="17" t="str">
        <x:v>Does the current official catalog contain a research graduate program matching the applicant's topics?</x:v>
      </x:c>
      <x:c r="H28" s="17" t="str">
        <x:v>https://www.an.edu/locations</x:v>
      </x:c>
      <x:c r="I28" s="17" t="str">
        <x:v>not_sampled</x:v>
      </x:c>
      <x:c r="J28" s="17" t="str">
        <x:v>not_sampled</x:v>
      </x:c>
    </x:row>
    <x:row r="29" ht="46" customHeight="1">
      <x:c r="A29" s="17" t="str">
        <x:v>us</x:v>
      </x:c>
      <x:c r="B29" s="17" t="str">
        <x:v>American Public University System</x:v>
      </x:c>
      <x:c r="C29" s="17" t="str">
        <x:v>IPEDS discovery signal: Computer and Information Systems Security/Auditing/Information Assurance (CIP 11.1003)</x:v>
      </x:c>
      <x:c r="D29" s="17" t="str">
        <x:v>Unclear</x:v>
      </x:c>
      <x:c r="E29" s="17" t="str">
        <x:v>stage2_screened_out</x:v>
      </x:c>
      <x:c r="F29" s="17" t="str">
        <x:v>Only one bounded registry/program-code signal was present; no independent topical, Calendar, current-faculty, or first-audit signal was recovered.</x:v>
      </x:c>
      <x:c r="G29" s="17" t="str">
        <x:v>Does the current official catalog contain a research graduate program matching the applicant's topics?</x:v>
      </x:c>
      <x:c r="H29" s="17" t="str">
        <x:v>https://www.apus.edu</x:v>
      </x:c>
      <x:c r="I29" s="17" t="str">
        <x:v>not_sampled</x:v>
      </x:c>
      <x:c r="J29" s="17" t="str">
        <x:v>not_sampled</x:v>
      </x:c>
    </x:row>
    <x:row r="30" ht="46" customHeight="1">
      <x:c r="A30" s="17" t="str">
        <x:v>us</x:v>
      </x:c>
      <x:c r="B30" s="17" t="str">
        <x:v>American University</x:v>
      </x:c>
      <x:c r="C30" s="17" t="str">
        <x:v>IPEDS discovery signal: Computer Science (CIP 11.0701)</x:v>
      </x:c>
      <x:c r="D30" s="17" t="str">
        <x:v>Unclear</x:v>
      </x:c>
      <x:c r="E30" s="17" t="str">
        <x:v>stage2_screened_out</x:v>
      </x:c>
      <x:c r="F30" s="17" t="str">
        <x:v>Only one bounded registry/program-code signal was present; no independent topical, Calendar, current-faculty, or first-audit signal was recovered.</x:v>
      </x:c>
      <x:c r="G30" s="17" t="str">
        <x:v>Does the current official catalog contain a research graduate program matching the applicant's topics?</x:v>
      </x:c>
      <x:c r="H30" s="17" t="str">
        <x:v>https://www.american.edu</x:v>
      </x:c>
      <x:c r="I30" s="17" t="str">
        <x:v>not_sampled</x:v>
      </x:c>
      <x:c r="J30" s="17" t="str">
        <x:v>not_sampled</x:v>
      </x:c>
    </x:row>
    <x:row r="31" ht="46" customHeight="1">
      <x:c r="A31" s="17" t="str">
        <x:v>us</x:v>
      </x:c>
      <x:c r="B31" s="17" t="str">
        <x:v>American University</x:v>
      </x:c>
      <x:c r="C31" s="17" t="str">
        <x:v>IPEDS discovery signal: Data Science, General (CIP 30.7001)</x:v>
      </x:c>
      <x:c r="D31" s="17" t="str">
        <x:v>Unclear</x:v>
      </x:c>
      <x:c r="E31" s="17" t="str">
        <x:v>stage2_screened_out</x:v>
      </x:c>
      <x:c r="F31" s="17" t="str">
        <x:v>Only one bounded registry/program-code signal was present; no independent topical, Calendar, current-faculty, or first-audit signal was recovered.</x:v>
      </x:c>
      <x:c r="G31" s="17" t="str">
        <x:v>Does the current official catalog contain a research graduate program matching the applicant's topics?</x:v>
      </x:c>
      <x:c r="H31" s="17" t="str">
        <x:v>https://www.american.edu</x:v>
      </x:c>
      <x:c r="I31" s="17" t="str">
        <x:v>not_sampled</x:v>
      </x:c>
      <x:c r="J31" s="17" t="str">
        <x:v>not_sampled</x:v>
      </x:c>
    </x:row>
    <x:row r="32" ht="46" customHeight="1">
      <x:c r="A32" s="17" t="str">
        <x:v>us</x:v>
      </x:c>
      <x:c r="B32" s="17" t="str">
        <x:v>American University</x:v>
      </x:c>
      <x:c r="C32" s="17" t="str">
        <x:v>IPEDS discovery signal: Information Science/Studies (CIP 11.0401)</x:v>
      </x:c>
      <x:c r="D32" s="17" t="str">
        <x:v>Unclear</x:v>
      </x:c>
      <x:c r="E32" s="17" t="str">
        <x:v>stage2_screened_out</x:v>
      </x:c>
      <x:c r="F32" s="17" t="str">
        <x:v>Only one bounded registry/program-code signal was present; no independent topical, Calendar, current-faculty, or first-audit signal was recovered.</x:v>
      </x:c>
      <x:c r="G32" s="17" t="str">
        <x:v>Does the current official catalog contain a research graduate program matching the applicant's topics?</x:v>
      </x:c>
      <x:c r="H32" s="17" t="str">
        <x:v>https://www.american.edu</x:v>
      </x:c>
      <x:c r="I32" s="17" t="str">
        <x:v>not_sampled</x:v>
      </x:c>
      <x:c r="J32" s="17" t="str">
        <x:v>not_sampled</x:v>
      </x:c>
    </x:row>
    <x:row r="33" ht="46" customHeight="1">
      <x:c r="A33" s="17" t="str">
        <x:v>us</x:v>
      </x:c>
      <x:c r="B33" s="17" t="str">
        <x:v>Angelo State University</x:v>
      </x:c>
      <x:c r="C33" s="17" t="str">
        <x:v>IPEDS discovery signal: Computer and Information Sciences, General (CIP 11.0101)</x:v>
      </x:c>
      <x:c r="D33" s="17" t="str">
        <x:v>Unclear</x:v>
      </x:c>
      <x:c r="E33" s="17" t="str">
        <x:v>stage2_screened_out</x:v>
      </x:c>
      <x:c r="F33" s="17" t="str">
        <x:v>Only one bounded registry/program-code signal was present; no independent topical, Calendar, current-faculty, or first-audit signal was recovered.</x:v>
      </x:c>
      <x:c r="G33" s="17" t="str">
        <x:v>Does the current official catalog contain a research graduate program matching the applicant's topics?</x:v>
      </x:c>
      <x:c r="H33" s="17" t="str">
        <x:v>https://www.angelo.edu</x:v>
      </x:c>
      <x:c r="I33" s="17" t="str">
        <x:v>not_sampled</x:v>
      </x:c>
      <x:c r="J33" s="17" t="str">
        <x:v>not_sampled</x:v>
      </x:c>
    </x:row>
    <x:row r="34" ht="46" customHeight="1">
      <x:c r="A34" s="17" t="str">
        <x:v>us</x:v>
      </x:c>
      <x:c r="B34" s="17" t="str">
        <x:v>Appalachian State University</x:v>
      </x:c>
      <x:c r="C34" s="17" t="str">
        <x:v>IPEDS discovery signal: Computer Science (CIP 11.0701)</x:v>
      </x:c>
      <x:c r="D34" s="17" t="str">
        <x:v>Unclear</x:v>
      </x:c>
      <x:c r="E34" s="17" t="str">
        <x:v>stage2_screened_out</x:v>
      </x:c>
      <x:c r="F34" s="17" t="str">
        <x:v>Only one bounded registry/program-code signal was present; no independent topical, Calendar, current-faculty, or first-audit signal was recovered.</x:v>
      </x:c>
      <x:c r="G34" s="17" t="str">
        <x:v>Does the current official catalog contain a research graduate program matching the applicant's topics?</x:v>
      </x:c>
      <x:c r="H34" s="17" t="str">
        <x:v>https://www.appstate.edu</x:v>
      </x:c>
      <x:c r="I34" s="17" t="str">
        <x:v>not_sampled</x:v>
      </x:c>
      <x:c r="J34" s="17" t="str">
        <x:v>not_sampled</x:v>
      </x:c>
    </x:row>
    <x:row r="35" ht="46" customHeight="1">
      <x:c r="A35" s="17" t="str">
        <x:v>us</x:v>
      </x:c>
      <x:c r="B35" s="17" t="str">
        <x:v>Arizona State University Campus Immersion</x:v>
      </x:c>
      <x:c r="C35" s="17" t="str">
        <x:v>IPEDS discovery signal: Computer Engineering, General (CIP 14.0901)</x:v>
      </x:c>
      <x:c r="D35" s="17" t="str">
        <x:v>Unclear</x:v>
      </x:c>
      <x:c r="E35" s="17" t="str">
        <x:v>stage2_screened_out</x:v>
      </x:c>
      <x:c r="F35" s="17" t="str">
        <x:v>Only one bounded registry/program-code signal was present; no independent topical, Calendar, current-faculty, or first-audit signal was recovered.</x:v>
      </x:c>
      <x:c r="G35" s="17" t="str">
        <x:v>Does the current official catalog contain a research graduate program matching the applicant's topics?</x:v>
      </x:c>
      <x:c r="H35" s="17" t="str">
        <x:v>https://www.asu.edu</x:v>
      </x:c>
      <x:c r="I35" s="17" t="str">
        <x:v>not_sampled</x:v>
      </x:c>
      <x:c r="J35" s="17" t="str">
        <x:v>not_sampled</x:v>
      </x:c>
    </x:row>
    <x:row r="36" ht="46" customHeight="1">
      <x:c r="A36" s="17" t="str">
        <x:v>us</x:v>
      </x:c>
      <x:c r="B36" s="17" t="str">
        <x:v>Arizona State University Campus Immersion</x:v>
      </x:c>
      <x:c r="C36" s="17" t="str">
        <x:v>IPEDS discovery signal: Computer Science (CIP 11.0701)</x:v>
      </x:c>
      <x:c r="D36" s="17" t="str">
        <x:v>Unclear</x:v>
      </x:c>
      <x:c r="E36" s="17" t="str">
        <x:v>stage2_screened_out</x:v>
      </x:c>
      <x:c r="F36" s="17" t="str">
        <x:v>Only one bounded registry/program-code signal was present; no independent topical, Calendar, current-faculty, or first-audit signal was recovered.</x:v>
      </x:c>
      <x:c r="G36" s="17" t="str">
        <x:v>Does the current official catalog contain a research graduate program matching the applicant's topics?</x:v>
      </x:c>
      <x:c r="H36" s="17" t="str">
        <x:v>https://www.asu.edu</x:v>
      </x:c>
      <x:c r="I36" s="17" t="str">
        <x:v>not_sampled</x:v>
      </x:c>
      <x:c r="J36" s="17" t="str">
        <x:v>not_sampled</x:v>
      </x:c>
    </x:row>
    <x:row r="37" ht="46" customHeight="1">
      <x:c r="A37" s="17" t="str">
        <x:v>us</x:v>
      </x:c>
      <x:c r="B37" s="17" t="str">
        <x:v>Arizona State University Campus Immersion</x:v>
      </x:c>
      <x:c r="C37" s="17" t="str">
        <x:v>IPEDS discovery signal: Computer Software Engineering (CIP 14.0903)</x:v>
      </x:c>
      <x:c r="D37" s="17" t="str">
        <x:v>Unclear</x:v>
      </x:c>
      <x:c r="E37" s="17" t="str">
        <x:v>stage2_screened_out</x:v>
      </x:c>
      <x:c r="F37" s="17" t="str">
        <x:v>Only one bounded registry/program-code signal was present; no independent topical, Calendar, current-faculty, or first-audit signal was recovered.</x:v>
      </x:c>
      <x:c r="G37" s="17" t="str">
        <x:v>Does the current official catalog contain a research graduate program matching the applicant's topics?</x:v>
      </x:c>
      <x:c r="H37" s="17" t="str">
        <x:v>https://www.asu.edu</x:v>
      </x:c>
      <x:c r="I37" s="17" t="str">
        <x:v>not_sampled</x:v>
      </x:c>
      <x:c r="J37" s="17" t="str">
        <x:v>not_sampled</x:v>
      </x:c>
    </x:row>
    <x:row r="38" ht="46" customHeight="1">
      <x:c r="A38" s="17" t="str">
        <x:v>us</x:v>
      </x:c>
      <x:c r="B38" s="17" t="str">
        <x:v>Arizona State University Campus Immersion</x:v>
      </x:c>
      <x:c r="C38" s="17" t="str">
        <x:v>IPEDS discovery signal: Data Analytics, General (CIP 30.7101)</x:v>
      </x:c>
      <x:c r="D38" s="17" t="str">
        <x:v>Unclear</x:v>
      </x:c>
      <x:c r="E38" s="17" t="str">
        <x:v>stage2_screened_out</x:v>
      </x:c>
      <x:c r="F38" s="17" t="str">
        <x:v>Only one bounded registry/program-code signal was present; no independent topical, Calendar, current-faculty, or first-audit signal was recovered.</x:v>
      </x:c>
      <x:c r="G38" s="17" t="str">
        <x:v>Does the current official catalog contain a research graduate program matching the applicant's topics?</x:v>
      </x:c>
      <x:c r="H38" s="17" t="str">
        <x:v>https://www.asu.edu</x:v>
      </x:c>
      <x:c r="I38" s="17" t="str">
        <x:v>not_sampled</x:v>
      </x:c>
      <x:c r="J38" s="17" t="str">
        <x:v>not_sampled</x:v>
      </x:c>
    </x:row>
    <x:row r="39" ht="46" customHeight="1">
      <x:c r="A39" s="17" t="str">
        <x:v>us</x:v>
      </x:c>
      <x:c r="B39" s="17" t="str">
        <x:v>Arizona State University Campus Immersion</x:v>
      </x:c>
      <x:c r="C39" s="17" t="str">
        <x:v>IPEDS discovery signal: Electrical and Electronics Engineering (CIP 14.1001)</x:v>
      </x:c>
      <x:c r="D39" s="17" t="str">
        <x:v>Unclear</x:v>
      </x:c>
      <x:c r="E39" s="17" t="str">
        <x:v>stage2_screened_out</x:v>
      </x:c>
      <x:c r="F39" s="17" t="str">
        <x:v>Only one bounded registry/program-code signal was present; no independent topical, Calendar, current-faculty, or first-audit signal was recovered.</x:v>
      </x:c>
      <x:c r="G39" s="17" t="str">
        <x:v>Does the current official catalog contain a research graduate program matching the applicant's topics?</x:v>
      </x:c>
      <x:c r="H39" s="17" t="str">
        <x:v>https://www.asu.edu</x:v>
      </x:c>
      <x:c r="I39" s="17" t="str">
        <x:v>not_sampled</x:v>
      </x:c>
      <x:c r="J39" s="17" t="str">
        <x:v>not_sampled</x:v>
      </x:c>
    </x:row>
    <x:row r="40" ht="46" customHeight="1">
      <x:c r="A40" s="17" t="str">
        <x:v>us</x:v>
      </x:c>
      <x:c r="B40" s="17" t="str">
        <x:v>Arizona State University Campus Immersion</x:v>
      </x:c>
      <x:c r="C40" s="17" t="str">
        <x:v>IPEDS discovery signal: Mechatronics, Robotics, and Automation Engineering (CIP 14.4201)</x:v>
      </x:c>
      <x:c r="D40" s="17" t="str">
        <x:v>Unclear</x:v>
      </x:c>
      <x:c r="E40" s="17" t="str">
        <x:v>stage2_screened_out</x:v>
      </x:c>
      <x:c r="F40" s="17" t="str">
        <x:v>Only one bounded registry/program-code signal was present; no independent topical, Calendar, current-faculty, or first-audit signal was recovered.</x:v>
      </x:c>
      <x:c r="G40" s="17" t="str">
        <x:v>Does the current official catalog contain a research graduate program matching the applicant's topics?</x:v>
      </x:c>
      <x:c r="H40" s="17" t="str">
        <x:v>https://www.asu.edu</x:v>
      </x:c>
      <x:c r="I40" s="17" t="str">
        <x:v>not_sampled</x:v>
      </x:c>
      <x:c r="J40" s="17" t="str">
        <x:v>not_sampled</x:v>
      </x:c>
    </x:row>
    <x:row r="41" ht="46" customHeight="1">
      <x:c r="A41" s="17" t="str">
        <x:v>us</x:v>
      </x:c>
      <x:c r="B41" s="17" t="str">
        <x:v>Arizona State University Digital Immersion</x:v>
      </x:c>
      <x:c r="C41" s="17" t="str">
        <x:v>IPEDS discovery signal: Computer Science (CIP 11.0701)</x:v>
      </x:c>
      <x:c r="D41" s="17" t="str">
        <x:v>Unclear</x:v>
      </x:c>
      <x:c r="E41" s="17" t="str">
        <x:v>stage2_screened_out</x:v>
      </x:c>
      <x:c r="F41" s="17" t="str">
        <x:v>Only one bounded registry/program-code signal was present; no independent topical, Calendar, current-faculty, or first-audit signal was recovered.</x:v>
      </x:c>
      <x:c r="G41" s="17" t="str">
        <x:v>Does the current official catalog contain a research graduate program matching the applicant's topics?</x:v>
      </x:c>
      <x:c r="H41" s="17" t="str">
        <x:v>https://www.asu.edu</x:v>
      </x:c>
      <x:c r="I41" s="17" t="str">
        <x:v>not_sampled</x:v>
      </x:c>
      <x:c r="J41" s="17" t="str">
        <x:v>not_sampled</x:v>
      </x:c>
    </x:row>
    <x:row r="42" ht="46" customHeight="1">
      <x:c r="A42" s="17" t="str">
        <x:v>us</x:v>
      </x:c>
      <x:c r="B42" s="17" t="str">
        <x:v>Arizona State University Digital Immersion</x:v>
      </x:c>
      <x:c r="C42" s="17" t="str">
        <x:v>IPEDS discovery signal: Electrical and Electronics Engineering (CIP 14.1001)</x:v>
      </x:c>
      <x:c r="D42" s="17" t="str">
        <x:v>Unclear</x:v>
      </x:c>
      <x:c r="E42" s="17" t="str">
        <x:v>stage2_screened_out</x:v>
      </x:c>
      <x:c r="F42" s="17" t="str">
        <x:v>Only one bounded registry/program-code signal was present; no independent topical, Calendar, current-faculty, or first-audit signal was recovered.</x:v>
      </x:c>
      <x:c r="G42" s="17" t="str">
        <x:v>Does the current official catalog contain a research graduate program matching the applicant's topics?</x:v>
      </x:c>
      <x:c r="H42" s="17" t="str">
        <x:v>https://www.asu.edu</x:v>
      </x:c>
      <x:c r="I42" s="17" t="str">
        <x:v>not_sampled</x:v>
      </x:c>
      <x:c r="J42" s="17" t="str">
        <x:v>not_sampled</x:v>
      </x:c>
    </x:row>
    <x:row r="43" ht="46" customHeight="1">
      <x:c r="A43" s="17" t="str">
        <x:v>us</x:v>
      </x:c>
      <x:c r="B43" s="17" t="str">
        <x:v>Arkansas State University</x:v>
      </x:c>
      <x:c r="C43" s="17" t="str">
        <x:v>IPEDS discovery signal: Computer and Information Sciences, General (CIP 11.0101)</x:v>
      </x:c>
      <x:c r="D43" s="17" t="str">
        <x:v>Unclear</x:v>
      </x:c>
      <x:c r="E43" s="17" t="str">
        <x:v>stage2_screened_out</x:v>
      </x:c>
      <x:c r="F43" s="17" t="str">
        <x:v>Only one bounded registry/program-code signal was present; no independent topical, Calendar, current-faculty, or first-audit signal was recovered.</x:v>
      </x:c>
      <x:c r="G43" s="17" t="str">
        <x:v>Does the current official catalog contain a research graduate program matching the applicant's topics?</x:v>
      </x:c>
      <x:c r="H43" s="17" t="str">
        <x:v>https://www.astate.edu</x:v>
      </x:c>
      <x:c r="I43" s="17" t="str">
        <x:v>not_sampled</x:v>
      </x:c>
      <x:c r="J43" s="17" t="str">
        <x:v>not_sampled</x:v>
      </x:c>
    </x:row>
    <x:row r="44" ht="46" customHeight="1">
      <x:c r="A44" s="17" t="str">
        <x:v>us</x:v>
      </x:c>
      <x:c r="B44" s="17" t="str">
        <x:v>Arkansas State University</x:v>
      </x:c>
      <x:c r="C44" s="17" t="str">
        <x:v>IPEDS discovery signal: Electrical and Electronics Engineering (CIP 14.1001)</x:v>
      </x:c>
      <x:c r="D44" s="17" t="str">
        <x:v>Unclear</x:v>
      </x:c>
      <x:c r="E44" s="17" t="str">
        <x:v>stage2_screened_out</x:v>
      </x:c>
      <x:c r="F44" s="17" t="str">
        <x:v>Only one bounded registry/program-code signal was present; no independent topical, Calendar, current-faculty, or first-audit signal was recovered.</x:v>
      </x:c>
      <x:c r="G44" s="17" t="str">
        <x:v>Does the current official catalog contain a research graduate program matching the applicant's topics?</x:v>
      </x:c>
      <x:c r="H44" s="17" t="str">
        <x:v>https://www.astate.edu</x:v>
      </x:c>
      <x:c r="I44" s="17" t="str">
        <x:v>not_sampled</x:v>
      </x:c>
      <x:c r="J44" s="17" t="str">
        <x:v>not_sampled</x:v>
      </x:c>
    </x:row>
    <x:row r="45" ht="46" customHeight="1">
      <x:c r="A45" s="17" t="str">
        <x:v>us</x:v>
      </x:c>
      <x:c r="B45" s="17" t="str">
        <x:v>Arkansas Tech University</x:v>
      </x:c>
      <x:c r="C45" s="17" t="str">
        <x:v>IPEDS discovery signal: Electrical and Electronics Engineering (CIP 14.1001)</x:v>
      </x:c>
      <x:c r="D45" s="17" t="str">
        <x:v>Unclear</x:v>
      </x:c>
      <x:c r="E45" s="17" t="str">
        <x:v>stage2_screened_out</x:v>
      </x:c>
      <x:c r="F45" s="17" t="str">
        <x:v>Only one bounded registry/program-code signal was present; no independent topical, Calendar, current-faculty, or first-audit signal was recovered.</x:v>
      </x:c>
      <x:c r="G45" s="17" t="str">
        <x:v>Does the current official catalog contain a research graduate program matching the applicant's topics?</x:v>
      </x:c>
      <x:c r="H45" s="17" t="str">
        <x:v>https://www.atu.edu</x:v>
      </x:c>
      <x:c r="I45" s="17" t="str">
        <x:v>not_sampled</x:v>
      </x:c>
      <x:c r="J45" s="17" t="str">
        <x:v>not_sampled</x:v>
      </x:c>
    </x:row>
    <x:row r="46" ht="46" customHeight="1">
      <x:c r="A46" s="17" t="str">
        <x:v>us</x:v>
      </x:c>
      <x:c r="B46" s="17" t="str">
        <x:v>Arkansas Tech University</x:v>
      </x:c>
      <x:c r="C46" s="17" t="str">
        <x:v>IPEDS discovery signal: Information Technology (CIP 11.0103)</x:v>
      </x:c>
      <x:c r="D46" s="17" t="str">
        <x:v>Unclear</x:v>
      </x:c>
      <x:c r="E46" s="17" t="str">
        <x:v>stage2_screened_out</x:v>
      </x:c>
      <x:c r="F46" s="17" t="str">
        <x:v>Only one bounded registry/program-code signal was present; no independent topical, Calendar, current-faculty, or first-audit signal was recovered.</x:v>
      </x:c>
      <x:c r="G46" s="17" t="str">
        <x:v>Does the current official catalog contain a research graduate program matching the applicant's topics?</x:v>
      </x:c>
      <x:c r="H46" s="17" t="str">
        <x:v>https://www.atu.edu</x:v>
      </x:c>
      <x:c r="I46" s="17" t="str">
        <x:v>not_sampled</x:v>
      </x:c>
      <x:c r="J46" s="17" t="str">
        <x:v>not_sampled</x:v>
      </x:c>
    </x:row>
    <x:row r="47" ht="46" customHeight="1">
      <x:c r="A47" s="17" t="str">
        <x:v>us</x:v>
      </x:c>
      <x:c r="B47" s="17" t="str">
        <x:v>Aspen University</x:v>
      </x:c>
      <x:c r="C47" s="17" t="str">
        <x:v>IPEDS discovery signal: Computer Science (CIP 11.0701)</x:v>
      </x:c>
      <x:c r="D47" s="17" t="str">
        <x:v>Unclear</x:v>
      </x:c>
      <x:c r="E47" s="17" t="str">
        <x:v>stage2_screened_out</x:v>
      </x:c>
      <x:c r="F47" s="17" t="str">
        <x:v>Only one bounded registry/program-code signal was present; no independent topical, Calendar, current-faculty, or first-audit signal was recovered.</x:v>
      </x:c>
      <x:c r="G47" s="17" t="str">
        <x:v>Does the current official catalog contain a research graduate program matching the applicant's topics?</x:v>
      </x:c>
      <x:c r="H47" s="17" t="str">
        <x:v>https://aspen.edu</x:v>
      </x:c>
      <x:c r="I47" s="17" t="str">
        <x:v>not_sampled</x:v>
      </x:c>
      <x:c r="J47" s="17" t="str">
        <x:v>not_sampled</x:v>
      </x:c>
    </x:row>
    <x:row r="48" ht="46" customHeight="1">
      <x:c r="A48" s="17" t="str">
        <x:v>us</x:v>
      </x:c>
      <x:c r="B48" s="17" t="str">
        <x:v>Aspen University</x:v>
      </x:c>
      <x:c r="C48" s="17" t="str">
        <x:v>IPEDS discovery signal: Information Technology (CIP 11.0103)</x:v>
      </x:c>
      <x:c r="D48" s="17" t="str">
        <x:v>Unclear</x:v>
      </x:c>
      <x:c r="E48" s="17" t="str">
        <x:v>stage2_screened_out</x:v>
      </x:c>
      <x:c r="F48" s="17" t="str">
        <x:v>Only one bounded registry/program-code signal was present; no independent topical, Calendar, current-faculty, or first-audit signal was recovered.</x:v>
      </x:c>
      <x:c r="G48" s="17" t="str">
        <x:v>Does the current official catalog contain a research graduate program matching the applicant's topics?</x:v>
      </x:c>
      <x:c r="H48" s="17" t="str">
        <x:v>https://aspen.edu</x:v>
      </x:c>
      <x:c r="I48" s="17" t="str">
        <x:v>not_sampled</x:v>
      </x:c>
      <x:c r="J48" s="17" t="str">
        <x:v>not_sampled</x:v>
      </x:c>
    </x:row>
    <x:row r="49" ht="46" customHeight="1">
      <x:c r="A49" s="17" t="str">
        <x:v>us</x:v>
      </x:c>
      <x:c r="B49" s="17" t="str">
        <x:v>Athens State University</x:v>
      </x:c>
      <x:c r="C49" s="17" t="str">
        <x:v>IPEDS discovery signal: Computer and Information Systems Security/Auditing/Information Assurance (CIP 11.1003)</x:v>
      </x:c>
      <x:c r="D49" s="17" t="str">
        <x:v>Unclear</x:v>
      </x:c>
      <x:c r="E49" s="17" t="str">
        <x:v>stage2_screened_out</x:v>
      </x:c>
      <x:c r="F49" s="17" t="str">
        <x:v>Only one bounded registry/program-code signal was present; no independent topical, Calendar, current-faculty, or first-audit signal was recovered.</x:v>
      </x:c>
      <x:c r="G49" s="17" t="str">
        <x:v>Does the current official catalog contain a research graduate program matching the applicant's topics?</x:v>
      </x:c>
      <x:c r="H49" s="17" t="str">
        <x:v>https://www.athens.edu</x:v>
      </x:c>
      <x:c r="I49" s="17" t="str">
        <x:v>not_sampled</x:v>
      </x:c>
      <x:c r="J49" s="17" t="str">
        <x:v>not_sampled</x:v>
      </x:c>
    </x:row>
    <x:row r="50" ht="46" customHeight="1">
      <x:c r="A50" s="17" t="str">
        <x:v>us</x:v>
      </x:c>
      <x:c r="B50" s="17" t="str">
        <x:v>Atlantis University</x:v>
      </x:c>
      <x:c r="C50" s="17" t="str">
        <x:v>IPEDS discovery signal: Computer and Information Systems Security/Auditing/Information Assurance (CIP 11.1003)</x:v>
      </x:c>
      <x:c r="D50" s="17" t="str">
        <x:v>Unclear</x:v>
      </x:c>
      <x:c r="E50" s="17" t="str">
        <x:v>stage2_screened_out</x:v>
      </x:c>
      <x:c r="F50" s="17" t="str">
        <x:v>Only one bounded registry/program-code signal was present; no independent topical, Calendar, current-faculty, or first-audit signal was recovered.</x:v>
      </x:c>
      <x:c r="G50" s="17" t="str">
        <x:v>Does the current official catalog contain a research graduate program matching the applicant's topics?</x:v>
      </x:c>
      <x:c r="H50" s="17" t="str">
        <x:v>https://atlantisuniversity.edu</x:v>
      </x:c>
      <x:c r="I50" s="17" t="str">
        <x:v>not_sampled</x:v>
      </x:c>
      <x:c r="J50" s="17" t="str">
        <x:v>not_sampled</x:v>
      </x:c>
    </x:row>
    <x:row r="51" ht="46" customHeight="1">
      <x:c r="A51" s="17" t="str">
        <x:v>us</x:v>
      </x:c>
      <x:c r="B51" s="17" t="str">
        <x:v>Atlantis University</x:v>
      </x:c>
      <x:c r="C51" s="17" t="str">
        <x:v>IPEDS discovery signal: Computer Engineering, General (CIP 14.0901)</x:v>
      </x:c>
      <x:c r="D51" s="17" t="str">
        <x:v>Unclear</x:v>
      </x:c>
      <x:c r="E51" s="17" t="str">
        <x:v>stage2_screened_out</x:v>
      </x:c>
      <x:c r="F51" s="17" t="str">
        <x:v>Only one bounded registry/program-code signal was present; no independent topical, Calendar, current-faculty, or first-audit signal was recovered.</x:v>
      </x:c>
      <x:c r="G51" s="17" t="str">
        <x:v>Does the current official catalog contain a research graduate program matching the applicant's topics?</x:v>
      </x:c>
      <x:c r="H51" s="17" t="str">
        <x:v>https://atlantisuniversity.edu</x:v>
      </x:c>
      <x:c r="I51" s="17" t="str">
        <x:v>not_sampled</x:v>
      </x:c>
      <x:c r="J51" s="17" t="str">
        <x:v>not_sampled</x:v>
      </x:c>
    </x:row>
    <x:row r="52" ht="46" customHeight="1">
      <x:c r="A52" s="17" t="str">
        <x:v>us</x:v>
      </x:c>
      <x:c r="B52" s="17" t="str">
        <x:v>Atlantis University</x:v>
      </x:c>
      <x:c r="C52" s="17" t="str">
        <x:v>IPEDS discovery signal: Information Technology (CIP 11.0103)</x:v>
      </x:c>
      <x:c r="D52" s="17" t="str">
        <x:v>Unclear</x:v>
      </x:c>
      <x:c r="E52" s="17" t="str">
        <x:v>stage2_screened_out</x:v>
      </x:c>
      <x:c r="F52" s="17" t="str">
        <x:v>Only one bounded registry/program-code signal was present; no independent topical, Calendar, current-faculty, or first-audit signal was recovered.</x:v>
      </x:c>
      <x:c r="G52" s="17" t="str">
        <x:v>Does the current official catalog contain a research graduate program matching the applicant's topics?</x:v>
      </x:c>
      <x:c r="H52" s="17" t="str">
        <x:v>https://atlantisuniversity.edu</x:v>
      </x:c>
      <x:c r="I52" s="17" t="str">
        <x:v>not_sampled</x:v>
      </x:c>
      <x:c r="J52" s="17" t="str">
        <x:v>not_sampled</x:v>
      </x:c>
    </x:row>
    <x:row r="53" ht="46" customHeight="1">
      <x:c r="A53" s="17" t="str">
        <x:v>us</x:v>
      </x:c>
      <x:c r="B53" s="17" t="str">
        <x:v>Auburn University</x:v>
      </x:c>
      <x:c r="C53" s="17" t="str">
        <x:v>IPEDS discovery signal: Computer Engineering, General (CIP 14.0901)</x:v>
      </x:c>
      <x:c r="D53" s="17" t="str">
        <x:v>Unclear</x:v>
      </x:c>
      <x:c r="E53" s="17" t="str">
        <x:v>stage2_screened_out</x:v>
      </x:c>
      <x:c r="F53" s="17" t="str">
        <x:v>Duplicate mechanical discovery signal consolidated into one institution-level catalog review candidate.</x:v>
      </x:c>
      <x:c r="G53" s="17" t="str">
        <x:v>Does the current official catalog contain a research graduate program matching the applicant's topics?</x:v>
      </x:c>
      <x:c r="H53" s="17" t="str">
        <x:v>https://www.auburn.edu</x:v>
      </x:c>
      <x:c r="I53" s="17" t="str">
        <x:v>not_sampled</x:v>
      </x:c>
      <x:c r="J53" s="17" t="str">
        <x:v>not_sampled</x:v>
      </x:c>
    </x:row>
    <x:row r="54" ht="46" customHeight="1">
      <x:c r="A54" s="17" t="str">
        <x:v>us</x:v>
      </x:c>
      <x:c r="B54" s="17" t="str">
        <x:v>Auburn University</x:v>
      </x:c>
      <x:c r="C54" s="17" t="str">
        <x:v>IPEDS discovery signal: Electrical and Electronics Engineering (CIP 14.1001)</x:v>
      </x:c>
      <x:c r="D54" s="17" t="str">
        <x:v>Unclear</x:v>
      </x:c>
      <x:c r="E54" s="17" t="str">
        <x:v>stage2_screened_out</x:v>
      </x:c>
      <x:c r="F54" s="17" t="str">
        <x:v>Duplicate mechanical discovery signal consolidated into one institution-level catalog review candidate.</x:v>
      </x:c>
      <x:c r="G54" s="17" t="str">
        <x:v>Does the current official catalog contain a research graduate program matching the applicant's topics?</x:v>
      </x:c>
      <x:c r="H54" s="17" t="str">
        <x:v>https://www.auburn.edu</x:v>
      </x:c>
      <x:c r="I54" s="17" t="str">
        <x:v>not_sampled</x:v>
      </x:c>
      <x:c r="J54" s="17" t="str">
        <x:v>not_sampled</x:v>
      </x:c>
    </x:row>
    <x:row r="55" ht="46" customHeight="1">
      <x:c r="A55" s="17" t="str">
        <x:v>us</x:v>
      </x:c>
      <x:c r="B55" s="17" t="str">
        <x:v>Auburn University</x:v>
      </x:c>
      <x:c r="C55" s="17" t="str">
        <x:v>IPEDS discovery signal: Human-Centered Technology Design (CIP 11.0105)</x:v>
      </x:c>
      <x:c r="D55" s="17" t="str">
        <x:v>Unclear</x:v>
      </x:c>
      <x:c r="E55" s="17" t="str">
        <x:v>stage2_screened_out</x:v>
      </x:c>
      <x:c r="F55" s="17" t="str">
        <x:v>Duplicate mechanical discovery signal consolidated into one institution-level catalog review candidate.</x:v>
      </x:c>
      <x:c r="G55" s="17" t="str">
        <x:v>Does the current official catalog contain a research graduate program matching the applicant's topics?</x:v>
      </x:c>
      <x:c r="H55" s="17" t="str">
        <x:v>https://www.auburn.edu</x:v>
      </x:c>
      <x:c r="I55" s="17" t="str">
        <x:v>not_sampled</x:v>
      </x:c>
      <x:c r="J55" s="17" t="str">
        <x:v>not_sampled</x:v>
      </x:c>
    </x:row>
    <x:row r="56" ht="46" customHeight="1">
      <x:c r="A56" s="17" t="str">
        <x:v>us</x:v>
      </x:c>
      <x:c r="B56" s="17" t="str">
        <x:v>Auburn University at Montgomery</x:v>
      </x:c>
      <x:c r="C56" s="17" t="str">
        <x:v>IPEDS discovery signal: Computer Science (CIP 11.0701)</x:v>
      </x:c>
      <x:c r="D56" s="17" t="str">
        <x:v>Unclear</x:v>
      </x:c>
      <x:c r="E56" s="17" t="str">
        <x:v>stage2_screened_out</x:v>
      </x:c>
      <x:c r="F56" s="17" t="str">
        <x:v>Duplicate mechanical discovery signal consolidated into one institution-level catalog review candidate.</x:v>
      </x:c>
      <x:c r="G56" s="17" t="str">
        <x:v>Does the current official catalog contain a research graduate program matching the applicant's topics?</x:v>
      </x:c>
      <x:c r="H56" s="17" t="str">
        <x:v>https://www.aum.edu</x:v>
      </x:c>
      <x:c r="I56" s="17" t="str">
        <x:v>not_sampled</x:v>
      </x:c>
      <x:c r="J56" s="17" t="str">
        <x:v>not_sampled</x:v>
      </x:c>
    </x:row>
    <x:row r="57" ht="46" customHeight="1">
      <x:c r="A57" s="17" t="str">
        <x:v>us</x:v>
      </x:c>
      <x:c r="B57" s="17" t="str">
        <x:v>Auburn University at Montgomery</x:v>
      </x:c>
      <x:c r="C57" s="17" t="str">
        <x:v>IPEDS discovery signal: Information Technology (CIP 11.0103)</x:v>
      </x:c>
      <x:c r="D57" s="17" t="str">
        <x:v>Unclear</x:v>
      </x:c>
      <x:c r="E57" s="17" t="str">
        <x:v>stage2_screened_out</x:v>
      </x:c>
      <x:c r="F57" s="17" t="str">
        <x:v>Duplicate mechanical discovery signal consolidated into one institution-level catalog review candidate.</x:v>
      </x:c>
      <x:c r="G57" s="17" t="str">
        <x:v>Does the current official catalog contain a research graduate program matching the applicant's topics?</x:v>
      </x:c>
      <x:c r="H57" s="17" t="str">
        <x:v>https://www.aum.edu</x:v>
      </x:c>
      <x:c r="I57" s="17" t="str">
        <x:v>not_sampled</x:v>
      </x:c>
      <x:c r="J57" s="17" t="str">
        <x:v>not_sampled</x:v>
      </x:c>
    </x:row>
    <x:row r="58" ht="46" customHeight="1">
      <x:c r="A58" s="17" t="str">
        <x:v>us</x:v>
      </x:c>
      <x:c r="B58" s="17" t="str">
        <x:v>Augusta University</x:v>
      </x:c>
      <x:c r="C58" s="17" t="str">
        <x:v>IPEDS discovery signal: Computer and Information Sciences, General (CIP 11.0101)</x:v>
      </x:c>
      <x:c r="D58" s="17" t="str">
        <x:v>Unclear</x:v>
      </x:c>
      <x:c r="E58" s="17" t="str">
        <x:v>stage2_screened_out</x:v>
      </x:c>
      <x:c r="F58" s="17" t="str">
        <x:v>Duplicate mechanical discovery signal consolidated into one institution-level catalog review candidate.</x:v>
      </x:c>
      <x:c r="G58" s="17" t="str">
        <x:v>Does the current official catalog contain a research graduate program matching the applicant's topics?</x:v>
      </x:c>
      <x:c r="H58" s="17" t="str">
        <x:v>https://www.augusta.edu</x:v>
      </x:c>
      <x:c r="I58" s="17" t="str">
        <x:v>not_sampled</x:v>
      </x:c>
      <x:c r="J58" s="17" t="str">
        <x:v>not_sampled</x:v>
      </x:c>
    </x:row>
    <x:row r="59" ht="46" customHeight="1">
      <x:c r="A59" s="17" t="str">
        <x:v>us</x:v>
      </x:c>
      <x:c r="B59" s="17" t="str">
        <x:v>Augusta University</x:v>
      </x:c>
      <x:c r="C59" s="17" t="str">
        <x:v>IPEDS discovery signal: Data Science, General (CIP 30.7001)</x:v>
      </x:c>
      <x:c r="D59" s="17" t="str">
        <x:v>Unclear</x:v>
      </x:c>
      <x:c r="E59" s="17" t="str">
        <x:v>stage2_screened_out</x:v>
      </x:c>
      <x:c r="F59" s="17" t="str">
        <x:v>Duplicate mechanical discovery signal consolidated into one institution-level catalog review candidate.</x:v>
      </x:c>
      <x:c r="G59" s="17" t="str">
        <x:v>Does the current official catalog contain a research graduate program matching the applicant's topics?</x:v>
      </x:c>
      <x:c r="H59" s="17" t="str">
        <x:v>https://www.augusta.edu</x:v>
      </x:c>
      <x:c r="I59" s="17" t="str">
        <x:v>not_sampled</x:v>
      </x:c>
      <x:c r="J59" s="17" t="str">
        <x:v>not_sampled</x:v>
      </x:c>
    </x:row>
    <x:row r="60" ht="46" customHeight="1">
      <x:c r="A60" s="17" t="str">
        <x:v>us</x:v>
      </x:c>
      <x:c r="B60" s="17" t="str">
        <x:v>Baker College</x:v>
      </x:c>
      <x:c r="C60" s="17" t="str">
        <x:v>IPEDS discovery signal: Computer and Information Systems Security/Auditing/Information Assurance (CIP 11.1003)</x:v>
      </x:c>
      <x:c r="D60" s="17" t="str">
        <x:v>Unclear</x:v>
      </x:c>
      <x:c r="E60" s="17" t="str">
        <x:v>stage2_screened_out</x:v>
      </x:c>
      <x:c r="F60" s="17" t="str">
        <x:v>Only one bounded registry/program-code signal was present; no independent topical, Calendar, current-faculty, or first-audit signal was recovered.</x:v>
      </x:c>
      <x:c r="G60" s="17" t="str">
        <x:v>Does the current official catalog contain a research graduate program matching the applicant's topics?</x:v>
      </x:c>
      <x:c r="H60" s="17" t="str">
        <x:v>https://www.baker.edu</x:v>
      </x:c>
      <x:c r="I60" s="17" t="str">
        <x:v>not_sampled</x:v>
      </x:c>
      <x:c r="J60" s="17" t="str">
        <x:v>not_sampled</x:v>
      </x:c>
    </x:row>
    <x:row r="61" ht="46" customHeight="1">
      <x:c r="A61" s="17" t="str">
        <x:v>us</x:v>
      </x:c>
      <x:c r="B61" s="17" t="str">
        <x:v>Ball State University</x:v>
      </x:c>
      <x:c r="C61" s="17" t="str">
        <x:v>IPEDS discovery signal: Information Science/Studies (CIP 11.0401)</x:v>
      </x:c>
      <x:c r="D61" s="17" t="str">
        <x:v>Unclear</x:v>
      </x:c>
      <x:c r="E61" s="17" t="str">
        <x:v>stage2_screened_out</x:v>
      </x:c>
      <x:c r="F61" s="17" t="str">
        <x:v>Only one bounded registry/program-code signal was present; no independent topical, Calendar, current-faculty, or first-audit signal was recovered.</x:v>
      </x:c>
      <x:c r="G61" s="17" t="str">
        <x:v>Does the current official catalog contain a research graduate program matching the applicant's topics?</x:v>
      </x:c>
      <x:c r="H61" s="17" t="str">
        <x:v>https://www.bsu.edu</x:v>
      </x:c>
      <x:c r="I61" s="17" t="str">
        <x:v>not_sampled</x:v>
      </x:c>
      <x:c r="J61" s="17" t="str">
        <x:v>not_sampled</x:v>
      </x:c>
    </x:row>
    <x:row r="62" ht="46" customHeight="1">
      <x:c r="A62" s="17" t="str">
        <x:v>us</x:v>
      </x:c>
      <x:c r="B62" s="17" t="str">
        <x:v>Baylor University</x:v>
      </x:c>
      <x:c r="C62" s="17" t="str">
        <x:v>IPEDS discovery signal: Information Science/Studies (CIP 11.0401)</x:v>
      </x:c>
      <x:c r="D62" s="17" t="str">
        <x:v>Unclear</x:v>
      </x:c>
      <x:c r="E62" s="17" t="str">
        <x:v>stage2_screened_out</x:v>
      </x:c>
      <x:c r="F62" s="17" t="str">
        <x:v>Duplicate mechanical discovery signal consolidated into one institution-level catalog review candidate.</x:v>
      </x:c>
      <x:c r="G62" s="17" t="str">
        <x:v>Does the current official catalog contain a research graduate program matching the applicant's topics?</x:v>
      </x:c>
      <x:c r="H62" s="17" t="str">
        <x:v>https://www.baylor.edu</x:v>
      </x:c>
      <x:c r="I62" s="17" t="str">
        <x:v>false_negative_corrected</x:v>
      </x:c>
      <x:c r="J62" s="17" t="str">
        <x:v>confirmed</x:v>
      </x:c>
    </x:row>
    <x:row r="63" ht="46" customHeight="1">
      <x:c r="A63" s="17" t="str">
        <x:v>us</x:v>
      </x:c>
      <x:c r="B63" s="17" t="str">
        <x:v>Belhaven University</x:v>
      </x:c>
      <x:c r="C63" s="17" t="str">
        <x:v>IPEDS discovery signal: Information Technology (CIP 11.0103)</x:v>
      </x:c>
      <x:c r="D63" s="17" t="str">
        <x:v>Unclear</x:v>
      </x:c>
      <x:c r="E63" s="17" t="str">
        <x:v>stage2_screened_out</x:v>
      </x:c>
      <x:c r="F63" s="17" t="str">
        <x:v>Only one bounded registry/program-code signal was present; no independent topical, Calendar, current-faculty, or first-audit signal was recovered.</x:v>
      </x:c>
      <x:c r="G63" s="17" t="str">
        <x:v>Does the current official catalog contain a research graduate program matching the applicant's topics?</x:v>
      </x:c>
      <x:c r="H63" s="17" t="str">
        <x:v>https://www.belhaven.edu</x:v>
      </x:c>
      <x:c r="I63" s="17" t="str">
        <x:v>not_sampled</x:v>
      </x:c>
      <x:c r="J63" s="17" t="str">
        <x:v>not_sampled</x:v>
      </x:c>
    </x:row>
    <x:row r="64" ht="46" customHeight="1">
      <x:c r="A64" s="17" t="str">
        <x:v>us</x:v>
      </x:c>
      <x:c r="B64" s="17" t="str">
        <x:v>Bellevue University</x:v>
      </x:c>
      <x:c r="C64" s="17" t="str">
        <x:v>IPEDS discovery signal: Computer and Information Sciences, General (CIP 11.0101)</x:v>
      </x:c>
      <x:c r="D64" s="17" t="str">
        <x:v>Unclear</x:v>
      </x:c>
      <x:c r="E64" s="17" t="str">
        <x:v>stage2_screened_out</x:v>
      </x:c>
      <x:c r="F64" s="17" t="str">
        <x:v>Only one bounded registry/program-code signal was present; no independent topical, Calendar, current-faculty, or first-audit signal was recovered.</x:v>
      </x:c>
      <x:c r="G64" s="17" t="str">
        <x:v>Does the current official catalog contain a research graduate program matching the applicant's topics?</x:v>
      </x:c>
      <x:c r="H64" s="17" t="str">
        <x:v>https://www.bellevue.edu</x:v>
      </x:c>
      <x:c r="I64" s="17" t="str">
        <x:v>not_sampled</x:v>
      </x:c>
      <x:c r="J64" s="17" t="str">
        <x:v>not_sampled</x:v>
      </x:c>
    </x:row>
    <x:row r="65" ht="46" customHeight="1">
      <x:c r="A65" s="17" t="str">
        <x:v>us</x:v>
      </x:c>
      <x:c r="B65" s="17" t="str">
        <x:v>Bellevue University</x:v>
      </x:c>
      <x:c r="C65" s="17" t="str">
        <x:v>IPEDS discovery signal: Computer and Information Systems Security/Auditing/Information Assurance (CIP 11.1003)</x:v>
      </x:c>
      <x:c r="D65" s="17" t="str">
        <x:v>Unclear</x:v>
      </x:c>
      <x:c r="E65" s="17" t="str">
        <x:v>stage2_screened_out</x:v>
      </x:c>
      <x:c r="F65" s="17" t="str">
        <x:v>Only one bounded registry/program-code signal was present; no independent topical, Calendar, current-faculty, or first-audit signal was recovered.</x:v>
      </x:c>
      <x:c r="G65" s="17" t="str">
        <x:v>Does the current official catalog contain a research graduate program matching the applicant's topics?</x:v>
      </x:c>
      <x:c r="H65" s="17" t="str">
        <x:v>https://www.bellevue.edu</x:v>
      </x:c>
      <x:c r="I65" s="17" t="str">
        <x:v>not_sampled</x:v>
      </x:c>
      <x:c r="J65" s="17" t="str">
        <x:v>not_sampled</x:v>
      </x:c>
    </x:row>
    <x:row r="66" ht="46" customHeight="1">
      <x:c r="A66" s="17" t="str">
        <x:v>us</x:v>
      </x:c>
      <x:c r="B66" s="17" t="str">
        <x:v>Bellevue University</x:v>
      </x:c>
      <x:c r="C66" s="17" t="str">
        <x:v>IPEDS discovery signal: Data Science, General (CIP 30.7001)</x:v>
      </x:c>
      <x:c r="D66" s="17" t="str">
        <x:v>Unclear</x:v>
      </x:c>
      <x:c r="E66" s="17" t="str">
        <x:v>stage2_screened_out</x:v>
      </x:c>
      <x:c r="F66" s="17" t="str">
        <x:v>Only one bounded registry/program-code signal was present; no independent topical, Calendar, current-faculty, or first-audit signal was recovered.</x:v>
      </x:c>
      <x:c r="G66" s="17" t="str">
        <x:v>Does the current official catalog contain a research graduate program matching the applicant's topics?</x:v>
      </x:c>
      <x:c r="H66" s="17" t="str">
        <x:v>https://www.bellevue.edu</x:v>
      </x:c>
      <x:c r="I66" s="17" t="str">
        <x:v>not_sampled</x:v>
      </x:c>
      <x:c r="J66" s="17" t="str">
        <x:v>not_sampled</x:v>
      </x:c>
    </x:row>
    <x:row r="67" ht="46" customHeight="1">
      <x:c r="A67" s="17" t="str">
        <x:v>us</x:v>
      </x:c>
      <x:c r="B67" s="17" t="str">
        <x:v>Bellevue University</x:v>
      </x:c>
      <x:c r="C67" s="17" t="str">
        <x:v>IPEDS discovery signal: Information Science/Studies (CIP 11.0401)</x:v>
      </x:c>
      <x:c r="D67" s="17" t="str">
        <x:v>Unclear</x:v>
      </x:c>
      <x:c r="E67" s="17" t="str">
        <x:v>stage2_screened_out</x:v>
      </x:c>
      <x:c r="F67" s="17" t="str">
        <x:v>Only one bounded registry/program-code signal was present; no independent topical, Calendar, current-faculty, or first-audit signal was recovered.</x:v>
      </x:c>
      <x:c r="G67" s="17" t="str">
        <x:v>Does the current official catalog contain a research graduate program matching the applicant's topics?</x:v>
      </x:c>
      <x:c r="H67" s="17" t="str">
        <x:v>https://www.bellevue.edu</x:v>
      </x:c>
      <x:c r="I67" s="17" t="str">
        <x:v>not_sampled</x:v>
      </x:c>
      <x:c r="J67" s="17" t="str">
        <x:v>not_sampled</x:v>
      </x:c>
    </x:row>
    <x:row r="68" ht="46" customHeight="1">
      <x:c r="A68" s="17" t="str">
        <x:v>us</x:v>
      </x:c>
      <x:c r="B68" s="17" t="str">
        <x:v>Bellevue University</x:v>
      </x:c>
      <x:c r="C68" s="17" t="str">
        <x:v>IPEDS discovery signal: Information Technology (CIP 11.0103)</x:v>
      </x:c>
      <x:c r="D68" s="17" t="str">
        <x:v>Unclear</x:v>
      </x:c>
      <x:c r="E68" s="17" t="str">
        <x:v>stage2_screened_out</x:v>
      </x:c>
      <x:c r="F68" s="17" t="str">
        <x:v>Only one bounded registry/program-code signal was present; no independent topical, Calendar, current-faculty, or first-audit signal was recovered.</x:v>
      </x:c>
      <x:c r="G68" s="17" t="str">
        <x:v>Does the current official catalog contain a research graduate program matching the applicant's topics?</x:v>
      </x:c>
      <x:c r="H68" s="17" t="str">
        <x:v>https://www.bellevue.edu</x:v>
      </x:c>
      <x:c r="I68" s="17" t="str">
        <x:v>not_sampled</x:v>
      </x:c>
      <x:c r="J68" s="17" t="str">
        <x:v>not_sampled</x:v>
      </x:c>
    </x:row>
    <x:row r="69" ht="46" customHeight="1">
      <x:c r="A69" s="17" t="str">
        <x:v>us</x:v>
      </x:c>
      <x:c r="B69" s="17" t="str">
        <x:v>Bentley University</x:v>
      </x:c>
      <x:c r="C69" s="17" t="str">
        <x:v>IPEDS discovery signal: Information Technology (CIP 11.0103)</x:v>
      </x:c>
      <x:c r="D69" s="17" t="str">
        <x:v>Unclear</x:v>
      </x:c>
      <x:c r="E69" s="17" t="str">
        <x:v>stage2_screened_out</x:v>
      </x:c>
      <x:c r="F69" s="17" t="str">
        <x:v>Only one bounded registry/program-code signal was present; no independent topical, Calendar, current-faculty, or first-audit signal was recovered.</x:v>
      </x:c>
      <x:c r="G69" s="17" t="str">
        <x:v>Does the current official catalog contain a research graduate program matching the applicant's topics?</x:v>
      </x:c>
      <x:c r="H69" s="17" t="str">
        <x:v>https://www.bentley.edu</x:v>
      </x:c>
      <x:c r="I69" s="17" t="str">
        <x:v>not_sampled</x:v>
      </x:c>
      <x:c r="J69" s="17" t="str">
        <x:v>not_sampled</x:v>
      </x:c>
    </x:row>
    <x:row r="70" ht="46" customHeight="1">
      <x:c r="A70" s="17" t="str">
        <x:v>us</x:v>
      </x:c>
      <x:c r="B70" s="17" t="str">
        <x:v>Binghamton University</x:v>
      </x:c>
      <x:c r="C70" s="17" t="str">
        <x:v>IPEDS discovery signal: Information Science/Studies (CIP 11.0401)</x:v>
      </x:c>
      <x:c r="D70" s="17" t="str">
        <x:v>Unclear</x:v>
      </x:c>
      <x:c r="E70" s="17" t="str">
        <x:v>stage2_screened_out</x:v>
      </x:c>
      <x:c r="F70" s="17" t="str">
        <x:v>Duplicate mechanical discovery signal consolidated into one institution-level catalog review candidate.</x:v>
      </x:c>
      <x:c r="G70" s="17" t="str">
        <x:v>Does the current official catalog contain a research graduate program matching the applicant's topics?</x:v>
      </x:c>
      <x:c r="H70" s="17" t="str">
        <x:v>https://www.binghamton.edu</x:v>
      </x:c>
      <x:c r="I70" s="17" t="str">
        <x:v>not_sampled</x:v>
      </x:c>
      <x:c r="J70" s="17" t="str">
        <x:v>not_sampled</x:v>
      </x:c>
    </x:row>
    <x:row r="71" ht="46" customHeight="1">
      <x:c r="A71" s="17" t="str">
        <x:v>us</x:v>
      </x:c>
      <x:c r="B71" s="17" t="str">
        <x:v>Binghamton University</x:v>
      </x:c>
      <x:c r="C71" s="17" t="str">
        <x:v>IPEDS discovery signal: Information Technology (CIP 11.0103)</x:v>
      </x:c>
      <x:c r="D71" s="17" t="str">
        <x:v>Unclear</x:v>
      </x:c>
      <x:c r="E71" s="17" t="str">
        <x:v>stage2_screened_out</x:v>
      </x:c>
      <x:c r="F71" s="17" t="str">
        <x:v>Duplicate mechanical discovery signal consolidated into one institution-level catalog review candidate.</x:v>
      </x:c>
      <x:c r="G71" s="17" t="str">
        <x:v>Does the current official catalog contain a research graduate program matching the applicant's topics?</x:v>
      </x:c>
      <x:c r="H71" s="17" t="str">
        <x:v>https://www.binghamton.edu</x:v>
      </x:c>
      <x:c r="I71" s="17" t="str">
        <x:v>not_sampled</x:v>
      </x:c>
      <x:c r="J71" s="17" t="str">
        <x:v>not_sampled</x:v>
      </x:c>
    </x:row>
    <x:row r="72" ht="46" customHeight="1">
      <x:c r="A72" s="17" t="str">
        <x:v>us</x:v>
      </x:c>
      <x:c r="B72" s="17" t="str">
        <x:v>Boise State University</x:v>
      </x:c>
      <x:c r="C72" s="17" t="str">
        <x:v>IPEDS discovery signal: Computer Science (CIP 11.0701)</x:v>
      </x:c>
      <x:c r="D72" s="17" t="str">
        <x:v>Unclear</x:v>
      </x:c>
      <x:c r="E72" s="17" t="str">
        <x:v>stage2_screened_out</x:v>
      </x:c>
      <x:c r="F72" s="17" t="str">
        <x:v>Duplicate mechanical discovery signal consolidated into one institution-level catalog review candidate.</x:v>
      </x:c>
      <x:c r="G72" s="17" t="str">
        <x:v>Does the current official catalog contain a research graduate program matching the applicant's topics?</x:v>
      </x:c>
      <x:c r="H72" s="17" t="str">
        <x:v>https://www.boisestate.edu</x:v>
      </x:c>
      <x:c r="I72" s="17" t="str">
        <x:v>not_sampled</x:v>
      </x:c>
      <x:c r="J72" s="17" t="str">
        <x:v>not_sampled</x:v>
      </x:c>
    </x:row>
    <x:row r="73" ht="46" customHeight="1">
      <x:c r="A73" s="17" t="str">
        <x:v>us</x:v>
      </x:c>
      <x:c r="B73" s="17" t="str">
        <x:v>Boston College</x:v>
      </x:c>
      <x:c r="C73" s="17" t="str">
        <x:v>IPEDS discovery signal: Data Analytics, General (CIP 30.7101)</x:v>
      </x:c>
      <x:c r="D73" s="17" t="str">
        <x:v>Unclear</x:v>
      </x:c>
      <x:c r="E73" s="17" t="str">
        <x:v>stage2_screened_out</x:v>
      </x:c>
      <x:c r="F73" s="17" t="str">
        <x:v>Duplicate mechanical discovery signal consolidated into one institution-level catalog review candidate.</x:v>
      </x:c>
      <x:c r="G73" s="17" t="str">
        <x:v>Does the current official catalog contain a research graduate program matching the applicant's topics?</x:v>
      </x:c>
      <x:c r="H73" s="17" t="str">
        <x:v>https://www.bc.edu</x:v>
      </x:c>
      <x:c r="I73" s="17" t="str">
        <x:v>not_sampled</x:v>
      </x:c>
      <x:c r="J73" s="17" t="str">
        <x:v>not_sampled</x:v>
      </x:c>
    </x:row>
    <x:row r="74" ht="46" customHeight="1">
      <x:c r="A74" s="17" t="str">
        <x:v>us</x:v>
      </x:c>
      <x:c r="B74" s="17" t="str">
        <x:v>Boston University</x:v>
      </x:c>
      <x:c r="C74" s="17" t="str">
        <x:v>IPEDS discovery signal: Artificial Intelligence (CIP 11.0102)</x:v>
      </x:c>
      <x:c r="D74" s="17" t="str">
        <x:v>Unclear</x:v>
      </x:c>
      <x:c r="E74" s="17" t="str">
        <x:v>stage2_screened_out</x:v>
      </x:c>
      <x:c r="F74" s="17" t="str">
        <x:v>Duplicate mechanical discovery signal consolidated into one institution-level catalog review candidate.</x:v>
      </x:c>
      <x:c r="G74" s="17" t="str">
        <x:v>Does the current official catalog contain a research graduate program matching the applicant's topics?</x:v>
      </x:c>
      <x:c r="H74" s="17" t="str">
        <x:v>https://www.bu.edu</x:v>
      </x:c>
      <x:c r="I74" s="17" t="str">
        <x:v>not_sampled</x:v>
      </x:c>
      <x:c r="J74" s="17" t="str">
        <x:v>not_sampled</x:v>
      </x:c>
    </x:row>
    <x:row r="75" ht="46" customHeight="1">
      <x:c r="A75" s="17" t="str">
        <x:v>us</x:v>
      </x:c>
      <x:c r="B75" s="17" t="str">
        <x:v>Boston University</x:v>
      </x:c>
      <x:c r="C75" s="17" t="str">
        <x:v>IPEDS discovery signal: Computer Engineering, General (CIP 14.0901)</x:v>
      </x:c>
      <x:c r="D75" s="17" t="str">
        <x:v>Unclear</x:v>
      </x:c>
      <x:c r="E75" s="17" t="str">
        <x:v>stage2_screened_out</x:v>
      </x:c>
      <x:c r="F75" s="17" t="str">
        <x:v>Duplicate mechanical discovery signal consolidated into one institution-level catalog review candidate.</x:v>
      </x:c>
      <x:c r="G75" s="17" t="str">
        <x:v>Does the current official catalog contain a research graduate program matching the applicant's topics?</x:v>
      </x:c>
      <x:c r="H75" s="17" t="str">
        <x:v>https://www.bu.edu</x:v>
      </x:c>
      <x:c r="I75" s="17" t="str">
        <x:v>not_sampled</x:v>
      </x:c>
      <x:c r="J75" s="17" t="str">
        <x:v>not_sampled</x:v>
      </x:c>
    </x:row>
    <x:row r="76" ht="46" customHeight="1">
      <x:c r="A76" s="17" t="str">
        <x:v>us</x:v>
      </x:c>
      <x:c r="B76" s="17" t="str">
        <x:v>Boston University</x:v>
      </x:c>
      <x:c r="C76" s="17" t="str">
        <x:v>IPEDS discovery signal: Computer Science (CIP 11.0701)</x:v>
      </x:c>
      <x:c r="D76" s="17" t="str">
        <x:v>Unclear</x:v>
      </x:c>
      <x:c r="E76" s="17" t="str">
        <x:v>stage2_screened_out</x:v>
      </x:c>
      <x:c r="F76" s="17" t="str">
        <x:v>Duplicate mechanical discovery signal consolidated into one institution-level catalog review candidate.</x:v>
      </x:c>
      <x:c r="G76" s="17" t="str">
        <x:v>Does the current official catalog contain a research graduate program matching the applicant's topics?</x:v>
      </x:c>
      <x:c r="H76" s="17" t="str">
        <x:v>https://www.bu.edu</x:v>
      </x:c>
      <x:c r="I76" s="17" t="str">
        <x:v>not_sampled</x:v>
      </x:c>
      <x:c r="J76" s="17" t="str">
        <x:v>not_sampled</x:v>
      </x:c>
    </x:row>
    <x:row r="77" ht="46" customHeight="1">
      <x:c r="A77" s="17" t="str">
        <x:v>us</x:v>
      </x:c>
      <x:c r="B77" s="17" t="str">
        <x:v>Boston University</x:v>
      </x:c>
      <x:c r="C77" s="17" t="str">
        <x:v>IPEDS discovery signal: Data Science, General (CIP 30.7001)</x:v>
      </x:c>
      <x:c r="D77" s="17" t="str">
        <x:v>Unclear</x:v>
      </x:c>
      <x:c r="E77" s="17" t="str">
        <x:v>stage2_screened_out</x:v>
      </x:c>
      <x:c r="F77" s="17" t="str">
        <x:v>Duplicate mechanical discovery signal consolidated into one institution-level catalog review candidate.</x:v>
      </x:c>
      <x:c r="G77" s="17" t="str">
        <x:v>Does the current official catalog contain a research graduate program matching the applicant's topics?</x:v>
      </x:c>
      <x:c r="H77" s="17" t="str">
        <x:v>https://www.bu.edu</x:v>
      </x:c>
      <x:c r="I77" s="17" t="str">
        <x:v>not_sampled</x:v>
      </x:c>
      <x:c r="J77" s="17" t="str">
        <x:v>not_sampled</x:v>
      </x:c>
    </x:row>
    <x:row r="78" ht="46" customHeight="1">
      <x:c r="A78" s="17" t="str">
        <x:v>us</x:v>
      </x:c>
      <x:c r="B78" s="17" t="str">
        <x:v>Boston University</x:v>
      </x:c>
      <x:c r="C78" s="17" t="str">
        <x:v>IPEDS discovery signal: Electrical and Electronics Engineering (CIP 14.1001)</x:v>
      </x:c>
      <x:c r="D78" s="17" t="str">
        <x:v>Unclear</x:v>
      </x:c>
      <x:c r="E78" s="17" t="str">
        <x:v>stage2_screened_out</x:v>
      </x:c>
      <x:c r="F78" s="17" t="str">
        <x:v>Duplicate mechanical discovery signal consolidated into one institution-level catalog review candidate.</x:v>
      </x:c>
      <x:c r="G78" s="17" t="str">
        <x:v>Does the current official catalog contain a research graduate program matching the applicant's topics?</x:v>
      </x:c>
      <x:c r="H78" s="17" t="str">
        <x:v>https://www.bu.edu</x:v>
      </x:c>
      <x:c r="I78" s="17" t="str">
        <x:v>not_sampled</x:v>
      </x:c>
      <x:c r="J78" s="17" t="str">
        <x:v>not_sampled</x:v>
      </x:c>
    </x:row>
    <x:row r="79" ht="46" customHeight="1">
      <x:c r="A79" s="17" t="str">
        <x:v>us</x:v>
      </x:c>
      <x:c r="B79" s="17" t="str">
        <x:v>Boston University</x:v>
      </x:c>
      <x:c r="C79" s="17" t="str">
        <x:v>IPEDS discovery signal: Information Science/Studies (CIP 11.0401)</x:v>
      </x:c>
      <x:c r="D79" s="17" t="str">
        <x:v>Unclear</x:v>
      </x:c>
      <x:c r="E79" s="17" t="str">
        <x:v>stage2_screened_out</x:v>
      </x:c>
      <x:c r="F79" s="17" t="str">
        <x:v>Duplicate mechanical discovery signal consolidated into one institution-level catalog review candidate.</x:v>
      </x:c>
      <x:c r="G79" s="17" t="str">
        <x:v>Does the current official catalog contain a research graduate program matching the applicant's topics?</x:v>
      </x:c>
      <x:c r="H79" s="17" t="str">
        <x:v>https://www.bu.edu</x:v>
      </x:c>
      <x:c r="I79" s="17" t="str">
        <x:v>not_sampled</x:v>
      </x:c>
      <x:c r="J79" s="17" t="str">
        <x:v>not_sampled</x:v>
      </x:c>
    </x:row>
    <x:row r="80" ht="46" customHeight="1">
      <x:c r="A80" s="17" t="str">
        <x:v>us</x:v>
      </x:c>
      <x:c r="B80" s="17" t="str">
        <x:v>Boston University</x:v>
      </x:c>
      <x:c r="C80" s="17" t="str">
        <x:v>IPEDS discovery signal: Mechatronics, Robotics, and Automation Engineering (CIP 14.4201)</x:v>
      </x:c>
      <x:c r="D80" s="17" t="str">
        <x:v>Unclear</x:v>
      </x:c>
      <x:c r="E80" s="17" t="str">
        <x:v>stage2_screened_out</x:v>
      </x:c>
      <x:c r="F80" s="17" t="str">
        <x:v>Duplicate mechanical discovery signal consolidated into one institution-level catalog review candidate.</x:v>
      </x:c>
      <x:c r="G80" s="17" t="str">
        <x:v>Does the current official catalog contain a research graduate program matching the applicant's topics?</x:v>
      </x:c>
      <x:c r="H80" s="17" t="str">
        <x:v>https://www.bu.edu</x:v>
      </x:c>
      <x:c r="I80" s="17" t="str">
        <x:v>not_sampled</x:v>
      </x:c>
      <x:c r="J80" s="17" t="str">
        <x:v>not_sampled</x:v>
      </x:c>
    </x:row>
    <x:row r="81" ht="46" customHeight="1">
      <x:c r="A81" s="17" t="str">
        <x:v>us</x:v>
      </x:c>
      <x:c r="B81" s="17" t="str">
        <x:v>Bowie State University</x:v>
      </x:c>
      <x:c r="C81" s="17" t="str">
        <x:v>IPEDS discovery signal: Computer and Information Sciences, General (CIP 11.0101)</x:v>
      </x:c>
      <x:c r="D81" s="17" t="str">
        <x:v>Unclear</x:v>
      </x:c>
      <x:c r="E81" s="17" t="str">
        <x:v>stage2_screened_out</x:v>
      </x:c>
      <x:c r="F81" s="17" t="str">
        <x:v>Only one bounded registry/program-code signal was present; no independent topical, Calendar, current-faculty, or first-audit signal was recovered.</x:v>
      </x:c>
      <x:c r="G81" s="17" t="str">
        <x:v>Does the current official catalog contain a research graduate program matching the applicant's topics?</x:v>
      </x:c>
      <x:c r="H81" s="17" t="str">
        <x:v>https://www.bowiestate.edu</x:v>
      </x:c>
      <x:c r="I81" s="17" t="str">
        <x:v>not_sampled</x:v>
      </x:c>
      <x:c r="J81" s="17" t="str">
        <x:v>not_sampled</x:v>
      </x:c>
    </x:row>
    <x:row r="82" ht="46" customHeight="1">
      <x:c r="A82" s="17" t="str">
        <x:v>us</x:v>
      </x:c>
      <x:c r="B82" s="17" t="str">
        <x:v>Bowie State University</x:v>
      </x:c>
      <x:c r="C82" s="17" t="str">
        <x:v>IPEDS discovery signal: Computer Systems Networking and Telecommunications (CIP 11.0901)</x:v>
      </x:c>
      <x:c r="D82" s="17" t="str">
        <x:v>Unclear</x:v>
      </x:c>
      <x:c r="E82" s="17" t="str">
        <x:v>stage2_screened_out</x:v>
      </x:c>
      <x:c r="F82" s="17" t="str">
        <x:v>Only one bounded registry/program-code signal was present; no independent topical, Calendar, current-faculty, or first-audit signal was recovered.</x:v>
      </x:c>
      <x:c r="G82" s="17" t="str">
        <x:v>Does the current official catalog contain a research graduate program matching the applicant's topics?</x:v>
      </x:c>
      <x:c r="H82" s="17" t="str">
        <x:v>https://www.bowiestate.edu</x:v>
      </x:c>
      <x:c r="I82" s="17" t="str">
        <x:v>not_sampled</x:v>
      </x:c>
      <x:c r="J82" s="17" t="str">
        <x:v>not_sampled</x:v>
      </x:c>
    </x:row>
    <x:row r="83" ht="46" customHeight="1">
      <x:c r="A83" s="17" t="str">
        <x:v>us</x:v>
      </x:c>
      <x:c r="B83" s="17" t="str">
        <x:v>Bowie State University</x:v>
      </x:c>
      <x:c r="C83" s="17" t="str">
        <x:v>IPEDS discovery signal: Information Science/Studies (CIP 11.0401)</x:v>
      </x:c>
      <x:c r="D83" s="17" t="str">
        <x:v>Unclear</x:v>
      </x:c>
      <x:c r="E83" s="17" t="str">
        <x:v>stage2_screened_out</x:v>
      </x:c>
      <x:c r="F83" s="17" t="str">
        <x:v>Only one bounded registry/program-code signal was present; no independent topical, Calendar, current-faculty, or first-audit signal was recovered.</x:v>
      </x:c>
      <x:c r="G83" s="17" t="str">
        <x:v>Does the current official catalog contain a research graduate program matching the applicant's topics?</x:v>
      </x:c>
      <x:c r="H83" s="17" t="str">
        <x:v>https://www.bowiestate.edu</x:v>
      </x:c>
      <x:c r="I83" s="17" t="str">
        <x:v>not_sampled</x:v>
      </x:c>
      <x:c r="J83" s="17" t="str">
        <x:v>not_sampled</x:v>
      </x:c>
    </x:row>
    <x:row r="84" ht="46" customHeight="1">
      <x:c r="A84" s="17" t="str">
        <x:v>us</x:v>
      </x:c>
      <x:c r="B84" s="17" t="str">
        <x:v>Bowling Green State University-Main Campus</x:v>
      </x:c>
      <x:c r="C84" s="17" t="str">
        <x:v>IPEDS discovery signal: Computer Software Engineering (CIP 14.0903)</x:v>
      </x:c>
      <x:c r="D84" s="17" t="str">
        <x:v>Unclear</x:v>
      </x:c>
      <x:c r="E84" s="17" t="str">
        <x:v>stage2_screened_out</x:v>
      </x:c>
      <x:c r="F84" s="17" t="str">
        <x:v>Only one bounded registry/program-code signal was present; no independent topical, Calendar, current-faculty, or first-audit signal was recovered.</x:v>
      </x:c>
      <x:c r="G84" s="17" t="str">
        <x:v>Does the current official catalog contain a research graduate program matching the applicant's topics?</x:v>
      </x:c>
      <x:c r="H84" s="17" t="str">
        <x:v>https://www.bgsu.edu</x:v>
      </x:c>
      <x:c r="I84" s="17" t="str">
        <x:v>not_sampled</x:v>
      </x:c>
      <x:c r="J84" s="17" t="str">
        <x:v>not_sampled</x:v>
      </x:c>
    </x:row>
    <x:row r="85" ht="46" customHeight="1">
      <x:c r="A85" s="17" t="str">
        <x:v>us</x:v>
      </x:c>
      <x:c r="B85" s="17" t="str">
        <x:v>Bowling Green State University-Main Campus</x:v>
      </x:c>
      <x:c r="C85" s="17" t="str">
        <x:v>IPEDS discovery signal: Data Analytics, General (CIP 30.7101)</x:v>
      </x:c>
      <x:c r="D85" s="17" t="str">
        <x:v>Unclear</x:v>
      </x:c>
      <x:c r="E85" s="17" t="str">
        <x:v>stage2_screened_out</x:v>
      </x:c>
      <x:c r="F85" s="17" t="str">
        <x:v>Only one bounded registry/program-code signal was present; no independent topical, Calendar, current-faculty, or first-audit signal was recovered.</x:v>
      </x:c>
      <x:c r="G85" s="17" t="str">
        <x:v>Does the current official catalog contain a research graduate program matching the applicant's topics?</x:v>
      </x:c>
      <x:c r="H85" s="17" t="str">
        <x:v>https://www.bgsu.edu</x:v>
      </x:c>
      <x:c r="I85" s="17" t="str">
        <x:v>not_sampled</x:v>
      </x:c>
      <x:c r="J85" s="17" t="str">
        <x:v>not_sampled</x:v>
      </x:c>
    </x:row>
    <x:row r="86" ht="46" customHeight="1">
      <x:c r="A86" s="17" t="str">
        <x:v>us</x:v>
      </x:c>
      <x:c r="B86" s="17" t="str">
        <x:v>Bowling Green State University-Main Campus</x:v>
      </x:c>
      <x:c r="C86" s="17" t="str">
        <x:v>IPEDS discovery signal: Data Science, General (CIP 30.7001)</x:v>
      </x:c>
      <x:c r="D86" s="17" t="str">
        <x:v>Unclear</x:v>
      </x:c>
      <x:c r="E86" s="17" t="str">
        <x:v>stage2_screened_out</x:v>
      </x:c>
      <x:c r="F86" s="17" t="str">
        <x:v>Only one bounded registry/program-code signal was present; no independent topical, Calendar, current-faculty, or first-audit signal was recovered.</x:v>
      </x:c>
      <x:c r="G86" s="17" t="str">
        <x:v>Does the current official catalog contain a research graduate program matching the applicant's topics?</x:v>
      </x:c>
      <x:c r="H86" s="17" t="str">
        <x:v>https://www.bgsu.edu</x:v>
      </x:c>
      <x:c r="I86" s="17" t="str">
        <x:v>not_sampled</x:v>
      </x:c>
      <x:c r="J86" s="17" t="str">
        <x:v>not_sampled</x:v>
      </x:c>
    </x:row>
    <x:row r="87" ht="46" customHeight="1">
      <x:c r="A87" s="17" t="str">
        <x:v>us</x:v>
      </x:c>
      <x:c r="B87" s="17" t="str">
        <x:v>Bradley University</x:v>
      </x:c>
      <x:c r="C87" s="17" t="str">
        <x:v>IPEDS discovery signal: Computer Science (CIP 11.0701)</x:v>
      </x:c>
      <x:c r="D87" s="17" t="str">
        <x:v>Unclear</x:v>
      </x:c>
      <x:c r="E87" s="17" t="str">
        <x:v>stage2_screened_out</x:v>
      </x:c>
      <x:c r="F87" s="17" t="str">
        <x:v>Only one bounded registry/program-code signal was present; no independent topical, Calendar, current-faculty, or first-audit signal was recovered.</x:v>
      </x:c>
      <x:c r="G87" s="17" t="str">
        <x:v>Does the current official catalog contain a research graduate program matching the applicant's topics?</x:v>
      </x:c>
      <x:c r="H87" s="17" t="str">
        <x:v>https://www.bradley.edu</x:v>
      </x:c>
      <x:c r="I87" s="17" t="str">
        <x:v>not_sampled</x:v>
      </x:c>
      <x:c r="J87" s="17" t="str">
        <x:v>not_sampled</x:v>
      </x:c>
    </x:row>
    <x:row r="88" ht="46" customHeight="1">
      <x:c r="A88" s="17" t="str">
        <x:v>us</x:v>
      </x:c>
      <x:c r="B88" s="17" t="str">
        <x:v>Bradley University</x:v>
      </x:c>
      <x:c r="C88" s="17" t="str">
        <x:v>IPEDS discovery signal: Data Science, General (CIP 30.7001)</x:v>
      </x:c>
      <x:c r="D88" s="17" t="str">
        <x:v>Unclear</x:v>
      </x:c>
      <x:c r="E88" s="17" t="str">
        <x:v>stage2_screened_out</x:v>
      </x:c>
      <x:c r="F88" s="17" t="str">
        <x:v>Only one bounded registry/program-code signal was present; no independent topical, Calendar, current-faculty, or first-audit signal was recovered.</x:v>
      </x:c>
      <x:c r="G88" s="17" t="str">
        <x:v>Does the current official catalog contain a research graduate program matching the applicant's topics?</x:v>
      </x:c>
      <x:c r="H88" s="17" t="str">
        <x:v>https://www.bradley.edu</x:v>
      </x:c>
      <x:c r="I88" s="17" t="str">
        <x:v>not_sampled</x:v>
      </x:c>
      <x:c r="J88" s="17" t="str">
        <x:v>not_sampled</x:v>
      </x:c>
    </x:row>
    <x:row r="89" ht="46" customHeight="1">
      <x:c r="A89" s="17" t="str">
        <x:v>us</x:v>
      </x:c>
      <x:c r="B89" s="17" t="str">
        <x:v>Bradley University</x:v>
      </x:c>
      <x:c r="C89" s="17" t="str">
        <x:v>IPEDS discovery signal: Electrical and Electronics Engineering (CIP 14.1001)</x:v>
      </x:c>
      <x:c r="D89" s="17" t="str">
        <x:v>Unclear</x:v>
      </x:c>
      <x:c r="E89" s="17" t="str">
        <x:v>stage2_screened_out</x:v>
      </x:c>
      <x:c r="F89" s="17" t="str">
        <x:v>Only one bounded registry/program-code signal was present; no independent topical, Calendar, current-faculty, or first-audit signal was recovered.</x:v>
      </x:c>
      <x:c r="G89" s="17" t="str">
        <x:v>Does the current official catalog contain a research graduate program matching the applicant's topics?</x:v>
      </x:c>
      <x:c r="H89" s="17" t="str">
        <x:v>https://www.bradley.edu</x:v>
      </x:c>
      <x:c r="I89" s="17" t="str">
        <x:v>not_sampled</x:v>
      </x:c>
      <x:c r="J89" s="17" t="str">
        <x:v>not_sampled</x:v>
      </x:c>
    </x:row>
    <x:row r="90" ht="46" customHeight="1">
      <x:c r="A90" s="17" t="str">
        <x:v>us</x:v>
      </x:c>
      <x:c r="B90" s="17" t="str">
        <x:v>Bradley University</x:v>
      </x:c>
      <x:c r="C90" s="17" t="str">
        <x:v>IPEDS discovery signal: Information Science/Studies (CIP 11.0401)</x:v>
      </x:c>
      <x:c r="D90" s="17" t="str">
        <x:v>Unclear</x:v>
      </x:c>
      <x:c r="E90" s="17" t="str">
        <x:v>stage2_screened_out</x:v>
      </x:c>
      <x:c r="F90" s="17" t="str">
        <x:v>Only one bounded registry/program-code signal was present; no independent topical, Calendar, current-faculty, or first-audit signal was recovered.</x:v>
      </x:c>
      <x:c r="G90" s="17" t="str">
        <x:v>Does the current official catalog contain a research graduate program matching the applicant's topics?</x:v>
      </x:c>
      <x:c r="H90" s="17" t="str">
        <x:v>https://www.bradley.edu</x:v>
      </x:c>
      <x:c r="I90" s="17" t="str">
        <x:v>not_sampled</x:v>
      </x:c>
      <x:c r="J90" s="17" t="str">
        <x:v>not_sampled</x:v>
      </x:c>
    </x:row>
    <x:row r="91" ht="46" customHeight="1">
      <x:c r="A91" s="17" t="str">
        <x:v>us</x:v>
      </x:c>
      <x:c r="B91" s="17" t="str">
        <x:v>Brandeis University</x:v>
      </x:c>
      <x:c r="C91" s="17" t="str">
        <x:v>IPEDS discovery signal: Artificial Intelligence (CIP 11.0102)</x:v>
      </x:c>
      <x:c r="D91" s="17" t="str">
        <x:v>Unclear</x:v>
      </x:c>
      <x:c r="E91" s="17" t="str">
        <x:v>stage2_screened_out</x:v>
      </x:c>
      <x:c r="F91" s="17" t="str">
        <x:v>Only one bounded registry/program-code signal was present; no independent topical, Calendar, current-faculty, or first-audit signal was recovered.</x:v>
      </x:c>
      <x:c r="G91" s="17" t="str">
        <x:v>Does the current official catalog contain a research graduate program matching the applicant's topics?</x:v>
      </x:c>
      <x:c r="H91" s="17" t="str">
        <x:v>https://www.brandeis.edu</x:v>
      </x:c>
      <x:c r="I91" s="17" t="str">
        <x:v>not_sampled</x:v>
      </x:c>
      <x:c r="J91" s="17" t="str">
        <x:v>not_sampled</x:v>
      </x:c>
    </x:row>
    <x:row r="92" ht="46" customHeight="1">
      <x:c r="A92" s="17" t="str">
        <x:v>us</x:v>
      </x:c>
      <x:c r="B92" s="17" t="str">
        <x:v>Brandeis University</x:v>
      </x:c>
      <x:c r="C92" s="17" t="str">
        <x:v>IPEDS discovery signal: Computer and Information Systems Security/Auditing/Information Assurance (CIP 11.1003)</x:v>
      </x:c>
      <x:c r="D92" s="17" t="str">
        <x:v>Unclear</x:v>
      </x:c>
      <x:c r="E92" s="17" t="str">
        <x:v>stage2_screened_out</x:v>
      </x:c>
      <x:c r="F92" s="17" t="str">
        <x:v>Only one bounded registry/program-code signal was present; no independent topical, Calendar, current-faculty, or first-audit signal was recovered.</x:v>
      </x:c>
      <x:c r="G92" s="17" t="str">
        <x:v>Does the current official catalog contain a research graduate program matching the applicant's topics?</x:v>
      </x:c>
      <x:c r="H92" s="17" t="str">
        <x:v>https://www.brandeis.edu</x:v>
      </x:c>
      <x:c r="I92" s="17" t="str">
        <x:v>not_sampled</x:v>
      </x:c>
      <x:c r="J92" s="17" t="str">
        <x:v>not_sampled</x:v>
      </x:c>
    </x:row>
    <x:row r="93" ht="46" customHeight="1">
      <x:c r="A93" s="17" t="str">
        <x:v>us</x:v>
      </x:c>
      <x:c r="B93" s="17" t="str">
        <x:v>Brandeis University</x:v>
      </x:c>
      <x:c r="C93" s="17" t="str">
        <x:v>IPEDS discovery signal: Computer Science (CIP 11.0701)</x:v>
      </x:c>
      <x:c r="D93" s="17" t="str">
        <x:v>Unclear</x:v>
      </x:c>
      <x:c r="E93" s="17" t="str">
        <x:v>stage2_screened_out</x:v>
      </x:c>
      <x:c r="F93" s="17" t="str">
        <x:v>Only one bounded registry/program-code signal was present; no independent topical, Calendar, current-faculty, or first-audit signal was recovered.</x:v>
      </x:c>
      <x:c r="G93" s="17" t="str">
        <x:v>Does the current official catalog contain a research graduate program matching the applicant's topics?</x:v>
      </x:c>
      <x:c r="H93" s="17" t="str">
        <x:v>https://www.brandeis.edu</x:v>
      </x:c>
      <x:c r="I93" s="17" t="str">
        <x:v>not_sampled</x:v>
      </x:c>
      <x:c r="J93" s="17" t="str">
        <x:v>not_sampled</x:v>
      </x:c>
    </x:row>
    <x:row r="94" ht="46" customHeight="1">
      <x:c r="A94" s="17" t="str">
        <x:v>us</x:v>
      </x:c>
      <x:c r="B94" s="17" t="str">
        <x:v>Bridgewater State University</x:v>
      </x:c>
      <x:c r="C94" s="17" t="str">
        <x:v>IPEDS discovery signal: Computer Science (CIP 11.0701)</x:v>
      </x:c>
      <x:c r="D94" s="17" t="str">
        <x:v>Unclear</x:v>
      </x:c>
      <x:c r="E94" s="17" t="str">
        <x:v>stage2_screened_out</x:v>
      </x:c>
      <x:c r="F94" s="17" t="str">
        <x:v>Only one bounded registry/program-code signal was present; no independent topical, Calendar, current-faculty, or first-audit signal was recovered.</x:v>
      </x:c>
      <x:c r="G94" s="17" t="str">
        <x:v>Does the current official catalog contain a research graduate program matching the applicant's topics?</x:v>
      </x:c>
      <x:c r="H94" s="17" t="str">
        <x:v>https://www.bridgew.edu</x:v>
      </x:c>
      <x:c r="I94" s="17" t="str">
        <x:v>not_sampled</x:v>
      </x:c>
      <x:c r="J94" s="17" t="str">
        <x:v>not_sampled</x:v>
      </x:c>
    </x:row>
    <x:row r="95" ht="46" customHeight="1">
      <x:c r="A95" s="17" t="str">
        <x:v>us</x:v>
      </x:c>
      <x:c r="B95" s="17" t="str">
        <x:v>Brigham Young University</x:v>
      </x:c>
      <x:c r="C95" s="17" t="str">
        <x:v>IPEDS discovery signal: Information Technology (CIP 11.0103)</x:v>
      </x:c>
      <x:c r="D95" s="17" t="str">
        <x:v>Unclear</x:v>
      </x:c>
      <x:c r="E95" s="17" t="str">
        <x:v>stage2_screened_out</x:v>
      </x:c>
      <x:c r="F95" s="17" t="str">
        <x:v>Duplicate mechanical discovery signal consolidated into one institution-level catalog review candidate.</x:v>
      </x:c>
      <x:c r="G95" s="17" t="str">
        <x:v>Does the current official catalog contain a research graduate program matching the applicant's topics?</x:v>
      </x:c>
      <x:c r="H95" s="17" t="str">
        <x:v>https://byu.edu</x:v>
      </x:c>
      <x:c r="I95" s="17" t="str">
        <x:v>not_sampled</x:v>
      </x:c>
      <x:c r="J95" s="17" t="str">
        <x:v>not_sampled</x:v>
      </x:c>
    </x:row>
    <x:row r="96" ht="46" customHeight="1">
      <x:c r="A96" s="17" t="str">
        <x:v>us</x:v>
      </x:c>
      <x:c r="B96" s="17" t="str">
        <x:v>Brown University</x:v>
      </x:c>
      <x:c r="C96" s="17" t="str">
        <x:v>IPEDS discovery signal: Computer Science (CIP 11.0701)</x:v>
      </x:c>
      <x:c r="D96" s="17" t="str">
        <x:v>Unclear</x:v>
      </x:c>
      <x:c r="E96" s="17" t="str">
        <x:v>stage2_screened_out</x:v>
      </x:c>
      <x:c r="F96" s="17" t="str">
        <x:v>Duplicate mechanical discovery signal consolidated into one institution-level catalog review candidate.</x:v>
      </x:c>
      <x:c r="G96" s="17" t="str">
        <x:v>Does the current official catalog contain a research graduate program matching the applicant's topics?</x:v>
      </x:c>
      <x:c r="H96" s="17" t="str">
        <x:v>https://www.brown.edu</x:v>
      </x:c>
      <x:c r="I96" s="17" t="str">
        <x:v>not_sampled</x:v>
      </x:c>
      <x:c r="J96" s="17" t="str">
        <x:v>not_sampled</x:v>
      </x:c>
    </x:row>
    <x:row r="97" ht="46" customHeight="1">
      <x:c r="A97" s="17" t="str">
        <x:v>us</x:v>
      </x:c>
      <x:c r="B97" s="17" t="str">
        <x:v>Brown University</x:v>
      </x:c>
      <x:c r="C97" s="17" t="str">
        <x:v>IPEDS discovery signal: Data Science, General (CIP 30.7001)</x:v>
      </x:c>
      <x:c r="D97" s="17" t="str">
        <x:v>Unclear</x:v>
      </x:c>
      <x:c r="E97" s="17" t="str">
        <x:v>stage2_screened_out</x:v>
      </x:c>
      <x:c r="F97" s="17" t="str">
        <x:v>Duplicate mechanical discovery signal consolidated into one institution-level catalog review candidate.</x:v>
      </x:c>
      <x:c r="G97" s="17" t="str">
        <x:v>Does the current official catalog contain a research graduate program matching the applicant's topics?</x:v>
      </x:c>
      <x:c r="H97" s="17" t="str">
        <x:v>https://www.brown.edu</x:v>
      </x:c>
      <x:c r="I97" s="17" t="str">
        <x:v>not_sampled</x:v>
      </x:c>
      <x:c r="J97" s="17" t="str">
        <x:v>not_sampled</x:v>
      </x:c>
    </x:row>
    <x:row r="98" ht="46" customHeight="1">
      <x:c r="A98" s="17" t="str">
        <x:v>us</x:v>
      </x:c>
      <x:c r="B98" s="17" t="str">
        <x:v>Bucknell University</x:v>
      </x:c>
      <x:c r="C98" s="17" t="str">
        <x:v>IPEDS discovery signal: Electrical and Electronics Engineering (CIP 14.1001)</x:v>
      </x:c>
      <x:c r="D98" s="17" t="str">
        <x:v>Unclear</x:v>
      </x:c>
      <x:c r="E98" s="17" t="str">
        <x:v>stage2_screened_out</x:v>
      </x:c>
      <x:c r="F98" s="17" t="str">
        <x:v>Only one bounded registry/program-code signal was present; no independent topical, Calendar, current-faculty, or first-audit signal was recovered.</x:v>
      </x:c>
      <x:c r="G98" s="17" t="str">
        <x:v>Does the current official catalog contain a research graduate program matching the applicant's topics?</x:v>
      </x:c>
      <x:c r="H98" s="17" t="str">
        <x:v>https://www.bucknell.edu</x:v>
      </x:c>
      <x:c r="I98" s="17" t="str">
        <x:v>not_sampled</x:v>
      </x:c>
      <x:c r="J98" s="17" t="str">
        <x:v>not_sampled</x:v>
      </x:c>
    </x:row>
    <x:row r="99" ht="46" customHeight="1">
      <x:c r="A99" s="17" t="str">
        <x:v>us</x:v>
      </x:c>
      <x:c r="B99" s="17" t="str">
        <x:v>Butler University</x:v>
      </x:c>
      <x:c r="C99" s="17" t="str">
        <x:v>IPEDS discovery signal: Data Analytics, General (CIP 30.7101)</x:v>
      </x:c>
      <x:c r="D99" s="17" t="str">
        <x:v>Unclear</x:v>
      </x:c>
      <x:c r="E99" s="17" t="str">
        <x:v>stage2_screened_out</x:v>
      </x:c>
      <x:c r="F99" s="17" t="str">
        <x:v>Only one bounded registry/program-code signal was present; no independent topical, Calendar, current-faculty, or first-audit signal was recovered.</x:v>
      </x:c>
      <x:c r="G99" s="17" t="str">
        <x:v>Does the current official catalog contain a research graduate program matching the applicant's topics?</x:v>
      </x:c>
      <x:c r="H99" s="17" t="str">
        <x:v>https://www.butler.edu</x:v>
      </x:c>
      <x:c r="I99" s="17" t="str">
        <x:v>not_sampled</x:v>
      </x:c>
      <x:c r="J99" s="17" t="str">
        <x:v>not_sampled</x:v>
      </x:c>
    </x:row>
    <x:row r="100" ht="46" customHeight="1">
      <x:c r="A100" s="17" t="str">
        <x:v>us</x:v>
      </x:c>
      <x:c r="B100" s="17" t="str">
        <x:v>California Baptist University</x:v>
      </x:c>
      <x:c r="C100" s="17" t="str">
        <x:v>IPEDS discovery signal: Computer Software Engineering (CIP 14.0903)</x:v>
      </x:c>
      <x:c r="D100" s="17" t="str">
        <x:v>Unclear</x:v>
      </x:c>
      <x:c r="E100" s="17" t="str">
        <x:v>stage2_screened_out</x:v>
      </x:c>
      <x:c r="F100" s="17" t="str">
        <x:v>Only one bounded registry/program-code signal was present; no independent topical, Calendar, current-faculty, or first-audit signal was recovered.</x:v>
      </x:c>
      <x:c r="G100" s="17" t="str">
        <x:v>Does the current official catalog contain a research graduate program matching the applicant's topics?</x:v>
      </x:c>
      <x:c r="H100" s="17" t="str">
        <x:v>https://www.calbaptist.edu</x:v>
      </x:c>
      <x:c r="I100" s="17" t="str">
        <x:v>not_sampled</x:v>
      </x:c>
      <x:c r="J100" s="17" t="str">
        <x:v>not_sampled</x:v>
      </x:c>
    </x:row>
    <x:row r="101" ht="46" customHeight="1">
      <x:c r="A101" s="17" t="str">
        <x:v>us</x:v>
      </x:c>
      <x:c r="B101" s="17" t="str">
        <x:v>California Institute of Technology</x:v>
      </x:c>
      <x:c r="C101" s="17" t="str">
        <x:v>IPEDS discovery signal: Electrical and Electronics Engineering (CIP 14.1001)</x:v>
      </x:c>
      <x:c r="D101" s="17" t="str">
        <x:v>Unclear</x:v>
      </x:c>
      <x:c r="E101" s="17" t="str">
        <x:v>stage2_screened_out</x:v>
      </x:c>
      <x:c r="F101" s="17" t="str">
        <x:v>Duplicate mechanical discovery signal consolidated into one institution-level catalog review candidate.</x:v>
      </x:c>
      <x:c r="G101" s="17" t="str">
        <x:v>Does the current official catalog contain a research graduate program matching the applicant's topics?</x:v>
      </x:c>
      <x:c r="H101" s="17" t="str">
        <x:v>https://www.caltech.edu</x:v>
      </x:c>
      <x:c r="I101" s="17" t="str">
        <x:v>not_sampled</x:v>
      </x:c>
      <x:c r="J101" s="17" t="str">
        <x:v>not_sampled</x:v>
      </x:c>
    </x:row>
    <x:row r="102" ht="46" customHeight="1">
      <x:c r="A102" s="17" t="str">
        <x:v>us</x:v>
      </x:c>
      <x:c r="B102" s="17" t="str">
        <x:v>California Lutheran University</x:v>
      </x:c>
      <x:c r="C102" s="17" t="str">
        <x:v>IPEDS discovery signal: Information Technology (CIP 11.0103)</x:v>
      </x:c>
      <x:c r="D102" s="17" t="str">
        <x:v>Unclear</x:v>
      </x:c>
      <x:c r="E102" s="17" t="str">
        <x:v>stage2_screened_out</x:v>
      </x:c>
      <x:c r="F102" s="17" t="str">
        <x:v>Only one bounded registry/program-code signal was present; no independent topical, Calendar, current-faculty, or first-audit signal was recovered.</x:v>
      </x:c>
      <x:c r="G102" s="17" t="str">
        <x:v>Does the current official catalog contain a research graduate program matching the applicant's topics?</x:v>
      </x:c>
      <x:c r="H102" s="17" t="str">
        <x:v>https://www.callutheran.edu</x:v>
      </x:c>
      <x:c r="I102" s="17" t="str">
        <x:v>not_sampled</x:v>
      </x:c>
      <x:c r="J102" s="17" t="str">
        <x:v>not_sampled</x:v>
      </x:c>
    </x:row>
    <x:row r="103" ht="46" customHeight="1">
      <x:c r="A103" s="17" t="str">
        <x:v>us</x:v>
      </x:c>
      <x:c r="B103" s="17" t="str">
        <x:v>California Polytechnic State University-San Luis Obispo</x:v>
      </x:c>
      <x:c r="C103" s="17" t="str">
        <x:v>IPEDS discovery signal: Computer Science (CIP 11.0701)</x:v>
      </x:c>
      <x:c r="D103" s="17" t="str">
        <x:v>Unclear</x:v>
      </x:c>
      <x:c r="E103" s="17" t="str">
        <x:v>stage2_screened_out</x:v>
      </x:c>
      <x:c r="F103" s="17" t="str">
        <x:v>Only one bounded registry/program-code signal was present; no independent topical, Calendar, current-faculty, or first-audit signal was recovered.</x:v>
      </x:c>
      <x:c r="G103" s="17" t="str">
        <x:v>Does the current official catalog contain a research graduate program matching the applicant's topics?</x:v>
      </x:c>
      <x:c r="H103" s="17" t="str">
        <x:v>https://calpoly.edu</x:v>
      </x:c>
      <x:c r="I103" s="17" t="str">
        <x:v>not_sampled</x:v>
      </x:c>
      <x:c r="J103" s="17" t="str">
        <x:v>not_sampled</x:v>
      </x:c>
    </x:row>
    <x:row r="104" ht="46" customHeight="1">
      <x:c r="A104" s="17" t="str">
        <x:v>us</x:v>
      </x:c>
      <x:c r="B104" s="17" t="str">
        <x:v>California Polytechnic State University-San Luis Obispo</x:v>
      </x:c>
      <x:c r="C104" s="17" t="str">
        <x:v>IPEDS discovery signal: Electrical and Electronics Engineering (CIP 14.1001)</x:v>
      </x:c>
      <x:c r="D104" s="17" t="str">
        <x:v>Unclear</x:v>
      </x:c>
      <x:c r="E104" s="17" t="str">
        <x:v>stage2_screened_out</x:v>
      </x:c>
      <x:c r="F104" s="17" t="str">
        <x:v>Only one bounded registry/program-code signal was present; no independent topical, Calendar, current-faculty, or first-audit signal was recovered.</x:v>
      </x:c>
      <x:c r="G104" s="17" t="str">
        <x:v>Does the current official catalog contain a research graduate program matching the applicant's topics?</x:v>
      </x:c>
      <x:c r="H104" s="17" t="str">
        <x:v>https://calpoly.edu</x:v>
      </x:c>
      <x:c r="I104" s="17" t="str">
        <x:v>not_sampled</x:v>
      </x:c>
      <x:c r="J104" s="17" t="str">
        <x:v>not_sampled</x:v>
      </x:c>
    </x:row>
    <x:row r="105" ht="46" customHeight="1">
      <x:c r="A105" s="17" t="str">
        <x:v>us</x:v>
      </x:c>
      <x:c r="B105" s="17" t="str">
        <x:v>California State Polytechnic University-Pomona</x:v>
      </x:c>
      <x:c r="C105" s="17" t="str">
        <x:v>IPEDS discovery signal: Computer Science (CIP 11.0701)</x:v>
      </x:c>
      <x:c r="D105" s="17" t="str">
        <x:v>Unclear</x:v>
      </x:c>
      <x:c r="E105" s="17" t="str">
        <x:v>stage2_screened_out</x:v>
      </x:c>
      <x:c r="F105" s="17" t="str">
        <x:v>Only one bounded registry/program-code signal was present; no independent topical, Calendar, current-faculty, or first-audit signal was recovered.</x:v>
      </x:c>
      <x:c r="G105" s="17" t="str">
        <x:v>Does the current official catalog contain a research graduate program matching the applicant's topics?</x:v>
      </x:c>
      <x:c r="H105" s="17" t="str">
        <x:v>https://www.cpp.edu</x:v>
      </x:c>
      <x:c r="I105" s="17" t="str">
        <x:v>not_sampled</x:v>
      </x:c>
      <x:c r="J105" s="17" t="str">
        <x:v>not_sampled</x:v>
      </x:c>
    </x:row>
    <x:row r="106" ht="46" customHeight="1">
      <x:c r="A106" s="17" t="str">
        <x:v>us</x:v>
      </x:c>
      <x:c r="B106" s="17" t="str">
        <x:v>California State Polytechnic University-Pomona</x:v>
      </x:c>
      <x:c r="C106" s="17" t="str">
        <x:v>IPEDS discovery signal: Electrical and Electronics Engineering (CIP 14.1001)</x:v>
      </x:c>
      <x:c r="D106" s="17" t="str">
        <x:v>Unclear</x:v>
      </x:c>
      <x:c r="E106" s="17" t="str">
        <x:v>stage2_screened_out</x:v>
      </x:c>
      <x:c r="F106" s="17" t="str">
        <x:v>Only one bounded registry/program-code signal was present; no independent topical, Calendar, current-faculty, or first-audit signal was recovered.</x:v>
      </x:c>
      <x:c r="G106" s="17" t="str">
        <x:v>Does the current official catalog contain a research graduate program matching the applicant's topics?</x:v>
      </x:c>
      <x:c r="H106" s="17" t="str">
        <x:v>https://www.cpp.edu</x:v>
      </x:c>
      <x:c r="I106" s="17" t="str">
        <x:v>not_sampled</x:v>
      </x:c>
      <x:c r="J106" s="17" t="str">
        <x:v>not_sampled</x:v>
      </x:c>
    </x:row>
    <x:row r="107" ht="46" customHeight="1">
      <x:c r="A107" s="17" t="str">
        <x:v>us</x:v>
      </x:c>
      <x:c r="B107" s="17" t="str">
        <x:v>California State Polytechnic University-Pomona</x:v>
      </x:c>
      <x:c r="C107" s="17" t="str">
        <x:v>IPEDS discovery signal: Information Technology (CIP 11.0103)</x:v>
      </x:c>
      <x:c r="D107" s="17" t="str">
        <x:v>Unclear</x:v>
      </x:c>
      <x:c r="E107" s="17" t="str">
        <x:v>stage2_screened_out</x:v>
      </x:c>
      <x:c r="F107" s="17" t="str">
        <x:v>Only one bounded registry/program-code signal was present; no independent topical, Calendar, current-faculty, or first-audit signal was recovered.</x:v>
      </x:c>
      <x:c r="G107" s="17" t="str">
        <x:v>Does the current official catalog contain a research graduate program matching the applicant's topics?</x:v>
      </x:c>
      <x:c r="H107" s="17" t="str">
        <x:v>https://www.cpp.edu</x:v>
      </x:c>
      <x:c r="I107" s="17" t="str">
        <x:v>not_sampled</x:v>
      </x:c>
      <x:c r="J107" s="17" t="str">
        <x:v>not_sampled</x:v>
      </x:c>
    </x:row>
    <x:row r="108" ht="46" customHeight="1">
      <x:c r="A108" s="17" t="str">
        <x:v>us</x:v>
      </x:c>
      <x:c r="B108" s="17" t="str">
        <x:v>California State University-Channel Islands</x:v>
      </x:c>
      <x:c r="C108" s="17" t="str">
        <x:v>IPEDS discovery signal: Computer Science (CIP 11.0701)</x:v>
      </x:c>
      <x:c r="D108" s="17" t="str">
        <x:v>Unclear</x:v>
      </x:c>
      <x:c r="E108" s="17" t="str">
        <x:v>stage2_screened_out</x:v>
      </x:c>
      <x:c r="F108" s="17" t="str">
        <x:v>Only one bounded registry/program-code signal was present; no independent topical, Calendar, current-faculty, or first-audit signal was recovered.</x:v>
      </x:c>
      <x:c r="G108" s="17" t="str">
        <x:v>Does the current official catalog contain a research graduate program matching the applicant's topics?</x:v>
      </x:c>
      <x:c r="H108" s="17" t="str">
        <x:v>https://www.csuci.edu</x:v>
      </x:c>
      <x:c r="I108" s="17" t="str">
        <x:v>not_sampled</x:v>
      </x:c>
      <x:c r="J108" s="17" t="str">
        <x:v>not_sampled</x:v>
      </x:c>
    </x:row>
    <x:row r="109" ht="46" customHeight="1">
      <x:c r="A109" s="17" t="str">
        <x:v>us</x:v>
      </x:c>
      <x:c r="B109" s="17" t="str">
        <x:v>California State University-Chico</x:v>
      </x:c>
      <x:c r="C109" s="17" t="str">
        <x:v>IPEDS discovery signal: Computer Engineering, General (CIP 14.0901)</x:v>
      </x:c>
      <x:c r="D109" s="17" t="str">
        <x:v>Unclear</x:v>
      </x:c>
      <x:c r="E109" s="17" t="str">
        <x:v>stage2_screened_out</x:v>
      </x:c>
      <x:c r="F109" s="17" t="str">
        <x:v>Only one bounded registry/program-code signal was present; no independent topical, Calendar, current-faculty, or first-audit signal was recovered.</x:v>
      </x:c>
      <x:c r="G109" s="17" t="str">
        <x:v>Does the current official catalog contain a research graduate program matching the applicant's topics?</x:v>
      </x:c>
      <x:c r="H109" s="17" t="str">
        <x:v>https://www.csuchico.edu</x:v>
      </x:c>
      <x:c r="I109" s="17" t="str">
        <x:v>not_sampled</x:v>
      </x:c>
      <x:c r="J109" s="17" t="str">
        <x:v>not_sampled</x:v>
      </x:c>
    </x:row>
    <x:row r="110" ht="46" customHeight="1">
      <x:c r="A110" s="17" t="str">
        <x:v>us</x:v>
      </x:c>
      <x:c r="B110" s="17" t="str">
        <x:v>California State University-Chico</x:v>
      </x:c>
      <x:c r="C110" s="17" t="str">
        <x:v>IPEDS discovery signal: Computer Science (CIP 11.0701)</x:v>
      </x:c>
      <x:c r="D110" s="17" t="str">
        <x:v>Unclear</x:v>
      </x:c>
      <x:c r="E110" s="17" t="str">
        <x:v>stage2_screened_out</x:v>
      </x:c>
      <x:c r="F110" s="17" t="str">
        <x:v>Only one bounded registry/program-code signal was present; no independent topical, Calendar, current-faculty, or first-audit signal was recovered.</x:v>
      </x:c>
      <x:c r="G110" s="17" t="str">
        <x:v>Does the current official catalog contain a research graduate program matching the applicant's topics?</x:v>
      </x:c>
      <x:c r="H110" s="17" t="str">
        <x:v>https://www.csuchico.edu</x:v>
      </x:c>
      <x:c r="I110" s="17" t="str">
        <x:v>not_sampled</x:v>
      </x:c>
      <x:c r="J110" s="17" t="str">
        <x:v>not_sampled</x:v>
      </x:c>
    </x:row>
    <x:row r="111" ht="46" customHeight="1">
      <x:c r="A111" s="17" t="str">
        <x:v>us</x:v>
      </x:c>
      <x:c r="B111" s="17" t="str">
        <x:v>California State University-Dominguez Hills</x:v>
      </x:c>
      <x:c r="C111" s="17" t="str">
        <x:v>IPEDS discovery signal: Computer and Information Systems Security/Auditing/Information Assurance (CIP 11.1003)</x:v>
      </x:c>
      <x:c r="D111" s="17" t="str">
        <x:v>Unclear</x:v>
      </x:c>
      <x:c r="E111" s="17" t="str">
        <x:v>stage2_screened_out</x:v>
      </x:c>
      <x:c r="F111" s="17" t="str">
        <x:v>Only one bounded registry/program-code signal was present; no independent topical, Calendar, current-faculty, or first-audit signal was recovered.</x:v>
      </x:c>
      <x:c r="G111" s="17" t="str">
        <x:v>Does the current official catalog contain a research graduate program matching the applicant's topics?</x:v>
      </x:c>
      <x:c r="H111" s="17" t="str">
        <x:v>https://www.csudh.edu</x:v>
      </x:c>
      <x:c r="I111" s="17" t="str">
        <x:v>not_sampled</x:v>
      </x:c>
      <x:c r="J111" s="17" t="str">
        <x:v>not_sampled</x:v>
      </x:c>
    </x:row>
    <x:row r="112" ht="46" customHeight="1">
      <x:c r="A112" s="17" t="str">
        <x:v>us</x:v>
      </x:c>
      <x:c r="B112" s="17" t="str">
        <x:v>California State University-Dominguez Hills</x:v>
      </x:c>
      <x:c r="C112" s="17" t="str">
        <x:v>IPEDS discovery signal: Computer Science (CIP 11.0701)</x:v>
      </x:c>
      <x:c r="D112" s="17" t="str">
        <x:v>Unclear</x:v>
      </x:c>
      <x:c r="E112" s="17" t="str">
        <x:v>stage2_screened_out</x:v>
      </x:c>
      <x:c r="F112" s="17" t="str">
        <x:v>Only one bounded registry/program-code signal was present; no independent topical, Calendar, current-faculty, or first-audit signal was recovered.</x:v>
      </x:c>
      <x:c r="G112" s="17" t="str">
        <x:v>Does the current official catalog contain a research graduate program matching the applicant's topics?</x:v>
      </x:c>
      <x:c r="H112" s="17" t="str">
        <x:v>https://www.csudh.edu</x:v>
      </x:c>
      <x:c r="I112" s="17" t="str">
        <x:v>not_sampled</x:v>
      </x:c>
      <x:c r="J112" s="17" t="str">
        <x:v>not_sampled</x:v>
      </x:c>
    </x:row>
    <x:row r="113" ht="46" customHeight="1">
      <x:c r="A113" s="17" t="str">
        <x:v>us</x:v>
      </x:c>
      <x:c r="B113" s="17" t="str">
        <x:v>California State University-Fresno</x:v>
      </x:c>
      <x:c r="C113" s="17" t="str">
        <x:v>IPEDS discovery signal: Computer Engineering, General (CIP 14.0901)</x:v>
      </x:c>
      <x:c r="D113" s="17" t="str">
        <x:v>Unclear</x:v>
      </x:c>
      <x:c r="E113" s="17" t="str">
        <x:v>stage2_screened_out</x:v>
      </x:c>
      <x:c r="F113" s="17" t="str">
        <x:v>Only one bounded registry/program-code signal was present; no independent topical, Calendar, current-faculty, or first-audit signal was recovered.</x:v>
      </x:c>
      <x:c r="G113" s="17" t="str">
        <x:v>Does the current official catalog contain a research graduate program matching the applicant's topics?</x:v>
      </x:c>
      <x:c r="H113" s="17" t="str">
        <x:v>https://www.fresnostate.edu</x:v>
      </x:c>
      <x:c r="I113" s="17" t="str">
        <x:v>not_sampled</x:v>
      </x:c>
      <x:c r="J113" s="17" t="str">
        <x:v>not_sampled</x:v>
      </x:c>
    </x:row>
    <x:row r="114" ht="46" customHeight="1">
      <x:c r="A114" s="17" t="str">
        <x:v>us</x:v>
      </x:c>
      <x:c r="B114" s="17" t="str">
        <x:v>California State University-Fresno</x:v>
      </x:c>
      <x:c r="C114" s="17" t="str">
        <x:v>IPEDS discovery signal: Computer Science (CIP 11.0701)</x:v>
      </x:c>
      <x:c r="D114" s="17" t="str">
        <x:v>Unclear</x:v>
      </x:c>
      <x:c r="E114" s="17" t="str">
        <x:v>stage2_screened_out</x:v>
      </x:c>
      <x:c r="F114" s="17" t="str">
        <x:v>Only one bounded registry/program-code signal was present; no independent topical, Calendar, current-faculty, or first-audit signal was recovered.</x:v>
      </x:c>
      <x:c r="G114" s="17" t="str">
        <x:v>Does the current official catalog contain a research graduate program matching the applicant's topics?</x:v>
      </x:c>
      <x:c r="H114" s="17" t="str">
        <x:v>https://www.fresnostate.edu</x:v>
      </x:c>
      <x:c r="I114" s="17" t="str">
        <x:v>not_sampled</x:v>
      </x:c>
      <x:c r="J114" s="17" t="str">
        <x:v>not_sampled</x:v>
      </x:c>
    </x:row>
    <x:row r="115" ht="46" customHeight="1">
      <x:c r="A115" s="17" t="str">
        <x:v>us</x:v>
      </x:c>
      <x:c r="B115" s="17" t="str">
        <x:v>California State University-Fullerton</x:v>
      </x:c>
      <x:c r="C115" s="17" t="str">
        <x:v>IPEDS discovery signal: Computer Engineering, General (CIP 14.0901)</x:v>
      </x:c>
      <x:c r="D115" s="17" t="str">
        <x:v>Unclear</x:v>
      </x:c>
      <x:c r="E115" s="17" t="str">
        <x:v>stage2_screened_out</x:v>
      </x:c>
      <x:c r="F115" s="17" t="str">
        <x:v>Only one bounded registry/program-code signal was present; no independent topical, Calendar, current-faculty, or first-audit signal was recovered.</x:v>
      </x:c>
      <x:c r="G115" s="17" t="str">
        <x:v>Does the current official catalog contain a research graduate program matching the applicant's topics?</x:v>
      </x:c>
      <x:c r="H115" s="17" t="str">
        <x:v>https://www.fullerton.edu</x:v>
      </x:c>
      <x:c r="I115" s="17" t="str">
        <x:v>not_sampled</x:v>
      </x:c>
      <x:c r="J115" s="17" t="str">
        <x:v>not_sampled</x:v>
      </x:c>
    </x:row>
    <x:row r="116" ht="46" customHeight="1">
      <x:c r="A116" s="17" t="str">
        <x:v>us</x:v>
      </x:c>
      <x:c r="B116" s="17" t="str">
        <x:v>California State University-Fullerton</x:v>
      </x:c>
      <x:c r="C116" s="17" t="str">
        <x:v>IPEDS discovery signal: Computer Science (CIP 11.0701)</x:v>
      </x:c>
      <x:c r="D116" s="17" t="str">
        <x:v>Unclear</x:v>
      </x:c>
      <x:c r="E116" s="17" t="str">
        <x:v>stage2_screened_out</x:v>
      </x:c>
      <x:c r="F116" s="17" t="str">
        <x:v>Only one bounded registry/program-code signal was present; no independent topical, Calendar, current-faculty, or first-audit signal was recovered.</x:v>
      </x:c>
      <x:c r="G116" s="17" t="str">
        <x:v>Does the current official catalog contain a research graduate program matching the applicant's topics?</x:v>
      </x:c>
      <x:c r="H116" s="17" t="str">
        <x:v>https://www.fullerton.edu</x:v>
      </x:c>
      <x:c r="I116" s="17" t="str">
        <x:v>not_sampled</x:v>
      </x:c>
      <x:c r="J116" s="17" t="str">
        <x:v>not_sampled</x:v>
      </x:c>
    </x:row>
    <x:row r="117" ht="46" customHeight="1">
      <x:c r="A117" s="17" t="str">
        <x:v>us</x:v>
      </x:c>
      <x:c r="B117" s="17" t="str">
        <x:v>California State University-Fullerton</x:v>
      </x:c>
      <x:c r="C117" s="17" t="str">
        <x:v>IPEDS discovery signal: Computer Software Engineering (CIP 14.0903)</x:v>
      </x:c>
      <x:c r="D117" s="17" t="str">
        <x:v>Unclear</x:v>
      </x:c>
      <x:c r="E117" s="17" t="str">
        <x:v>stage2_screened_out</x:v>
      </x:c>
      <x:c r="F117" s="17" t="str">
        <x:v>Only one bounded registry/program-code signal was present; no independent topical, Calendar, current-faculty, or first-audit signal was recovered.</x:v>
      </x:c>
      <x:c r="G117" s="17" t="str">
        <x:v>Does the current official catalog contain a research graduate program matching the applicant's topics?</x:v>
      </x:c>
      <x:c r="H117" s="17" t="str">
        <x:v>https://www.fullerton.edu</x:v>
      </x:c>
      <x:c r="I117" s="17" t="str">
        <x:v>not_sampled</x:v>
      </x:c>
      <x:c r="J117" s="17" t="str">
        <x:v>not_sampled</x:v>
      </x:c>
    </x:row>
    <x:row r="118" ht="46" customHeight="1">
      <x:c r="A118" s="17" t="str">
        <x:v>us</x:v>
      </x:c>
      <x:c r="B118" s="17" t="str">
        <x:v>California State University-Fullerton</x:v>
      </x:c>
      <x:c r="C118" s="17" t="str">
        <x:v>IPEDS discovery signal: Electrical and Electronics Engineering (CIP 14.1001)</x:v>
      </x:c>
      <x:c r="D118" s="17" t="str">
        <x:v>Unclear</x:v>
      </x:c>
      <x:c r="E118" s="17" t="str">
        <x:v>stage2_screened_out</x:v>
      </x:c>
      <x:c r="F118" s="17" t="str">
        <x:v>Only one bounded registry/program-code signal was present; no independent topical, Calendar, current-faculty, or first-audit signal was recovered.</x:v>
      </x:c>
      <x:c r="G118" s="17" t="str">
        <x:v>Does the current official catalog contain a research graduate program matching the applicant's topics?</x:v>
      </x:c>
      <x:c r="H118" s="17" t="str">
        <x:v>https://www.fullerton.edu</x:v>
      </x:c>
      <x:c r="I118" s="17" t="str">
        <x:v>not_sampled</x:v>
      </x:c>
      <x:c r="J118" s="17" t="str">
        <x:v>not_sampled</x:v>
      </x:c>
    </x:row>
    <x:row r="119" ht="46" customHeight="1">
      <x:c r="A119" s="17" t="str">
        <x:v>us</x:v>
      </x:c>
      <x:c r="B119" s="17" t="str">
        <x:v>California State University-Fullerton</x:v>
      </x:c>
      <x:c r="C119" s="17" t="str">
        <x:v>IPEDS discovery signal: Information Technology (CIP 11.0103)</x:v>
      </x:c>
      <x:c r="D119" s="17" t="str">
        <x:v>Unclear</x:v>
      </x:c>
      <x:c r="E119" s="17" t="str">
        <x:v>stage2_screened_out</x:v>
      </x:c>
      <x:c r="F119" s="17" t="str">
        <x:v>Only one bounded registry/program-code signal was present; no independent topical, Calendar, current-faculty, or first-audit signal was recovered.</x:v>
      </x:c>
      <x:c r="G119" s="17" t="str">
        <x:v>Does the current official catalog contain a research graduate program matching the applicant's topics?</x:v>
      </x:c>
      <x:c r="H119" s="17" t="str">
        <x:v>https://www.fullerton.edu</x:v>
      </x:c>
      <x:c r="I119" s="17" t="str">
        <x:v>not_sampled</x:v>
      </x:c>
      <x:c r="J119" s="17" t="str">
        <x:v>not_sampled</x:v>
      </x:c>
    </x:row>
    <x:row r="120" ht="46" customHeight="1">
      <x:c r="A120" s="17" t="str">
        <x:v>us</x:v>
      </x:c>
      <x:c r="B120" s="17" t="str">
        <x:v>California State University-Long Beach</x:v>
      </x:c>
      <x:c r="C120" s="17" t="str">
        <x:v>IPEDS discovery signal: Electrical and Electronics Engineering (CIP 14.1001)</x:v>
      </x:c>
      <x:c r="D120" s="17" t="str">
        <x:v>Unclear</x:v>
      </x:c>
      <x:c r="E120" s="17" t="str">
        <x:v>stage2_screened_out</x:v>
      </x:c>
      <x:c r="F120" s="17" t="str">
        <x:v>Duplicate mechanical discovery signal consolidated into one institution-level catalog review candidate.</x:v>
      </x:c>
      <x:c r="G120" s="17" t="str">
        <x:v>Does the current official catalog contain a research graduate program matching the applicant's topics?</x:v>
      </x:c>
      <x:c r="H120" s="17" t="str">
        <x:v>https://www.csulb.edu</x:v>
      </x:c>
      <x:c r="I120" s="17" t="str">
        <x:v>not_sampled</x:v>
      </x:c>
      <x:c r="J120" s="17" t="str">
        <x:v>not_sampled</x:v>
      </x:c>
    </x:row>
    <x:row r="121" ht="46" customHeight="1">
      <x:c r="A121" s="17" t="str">
        <x:v>us</x:v>
      </x:c>
      <x:c r="B121" s="17" t="str">
        <x:v>California State University-Long Beach</x:v>
      </x:c>
      <x:c r="C121" s="17" t="str">
        <x:v>IPEDS discovery signal: Human-Centered Technology Design (CIP 11.0105)</x:v>
      </x:c>
      <x:c r="D121" s="17" t="str">
        <x:v>Unclear</x:v>
      </x:c>
      <x:c r="E121" s="17" t="str">
        <x:v>stage2_screened_out</x:v>
      </x:c>
      <x:c r="F121" s="17" t="str">
        <x:v>Duplicate mechanical discovery signal consolidated into one institution-level catalog review candidate.</x:v>
      </x:c>
      <x:c r="G121" s="17" t="str">
        <x:v>Does the current official catalog contain a research graduate program matching the applicant's topics?</x:v>
      </x:c>
      <x:c r="H121" s="17" t="str">
        <x:v>https://www.csulb.edu</x:v>
      </x:c>
      <x:c r="I121" s="17" t="str">
        <x:v>not_sampled</x:v>
      </x:c>
      <x:c r="J121" s="17" t="str">
        <x:v>not_sampled</x:v>
      </x:c>
    </x:row>
    <x:row r="122" ht="46" customHeight="1">
      <x:c r="A122" s="17" t="str">
        <x:v>us</x:v>
      </x:c>
      <x:c r="B122" s="17" t="str">
        <x:v>California State University-Los Angeles</x:v>
      </x:c>
      <x:c r="C122" s="17" t="str">
        <x:v>IPEDS discovery signal: Computer Science (CIP 11.0701)</x:v>
      </x:c>
      <x:c r="D122" s="17" t="str">
        <x:v>Unclear</x:v>
      </x:c>
      <x:c r="E122" s="17" t="str">
        <x:v>stage2_screened_out</x:v>
      </x:c>
      <x:c r="F122" s="17" t="str">
        <x:v>Only one bounded registry/program-code signal was present; no independent topical, Calendar, current-faculty, or first-audit signal was recovered.</x:v>
      </x:c>
      <x:c r="G122" s="17" t="str">
        <x:v>Does the current official catalog contain a research graduate program matching the applicant's topics?</x:v>
      </x:c>
      <x:c r="H122" s="17" t="str">
        <x:v>https://www.calstatela.edu</x:v>
      </x:c>
      <x:c r="I122" s="17" t="str">
        <x:v>not_sampled</x:v>
      </x:c>
      <x:c r="J122" s="17" t="str">
        <x:v>not_sampled</x:v>
      </x:c>
    </x:row>
    <x:row r="123" ht="46" customHeight="1">
      <x:c r="A123" s="17" t="str">
        <x:v>us</x:v>
      </x:c>
      <x:c r="B123" s="17" t="str">
        <x:v>California State University-Los Angeles</x:v>
      </x:c>
      <x:c r="C123" s="17" t="str">
        <x:v>IPEDS discovery signal: Electrical and Electronics Engineering (CIP 14.1001)</x:v>
      </x:c>
      <x:c r="D123" s="17" t="str">
        <x:v>Unclear</x:v>
      </x:c>
      <x:c r="E123" s="17" t="str">
        <x:v>stage2_screened_out</x:v>
      </x:c>
      <x:c r="F123" s="17" t="str">
        <x:v>Only one bounded registry/program-code signal was present; no independent topical, Calendar, current-faculty, or first-audit signal was recovered.</x:v>
      </x:c>
      <x:c r="G123" s="17" t="str">
        <x:v>Does the current official catalog contain a research graduate program matching the applicant's topics?</x:v>
      </x:c>
      <x:c r="H123" s="17" t="str">
        <x:v>https://www.calstatela.edu</x:v>
      </x:c>
      <x:c r="I123" s="17" t="str">
        <x:v>not_sampled</x:v>
      </x:c>
      <x:c r="J123" s="17" t="str">
        <x:v>not_sampled</x:v>
      </x:c>
    </x:row>
    <x:row r="124" ht="46" customHeight="1">
      <x:c r="A124" s="17" t="str">
        <x:v>us</x:v>
      </x:c>
      <x:c r="B124" s="17" t="str">
        <x:v>California State University-Los Angeles</x:v>
      </x:c>
      <x:c r="C124" s="17" t="str">
        <x:v>IPEDS discovery signal: Information Technology (CIP 11.0103)</x:v>
      </x:c>
      <x:c r="D124" s="17" t="str">
        <x:v>Unclear</x:v>
      </x:c>
      <x:c r="E124" s="17" t="str">
        <x:v>stage2_screened_out</x:v>
      </x:c>
      <x:c r="F124" s="17" t="str">
        <x:v>Only one bounded registry/program-code signal was present; no independent topical, Calendar, current-faculty, or first-audit signal was recovered.</x:v>
      </x:c>
      <x:c r="G124" s="17" t="str">
        <x:v>Does the current official catalog contain a research graduate program matching the applicant's topics?</x:v>
      </x:c>
      <x:c r="H124" s="17" t="str">
        <x:v>https://www.calstatela.edu</x:v>
      </x:c>
      <x:c r="I124" s="17" t="str">
        <x:v>not_sampled</x:v>
      </x:c>
      <x:c r="J124" s="17" t="str">
        <x:v>not_sampled</x:v>
      </x:c>
    </x:row>
    <x:row r="125" ht="46" customHeight="1">
      <x:c r="A125" s="17" t="str">
        <x:v>us</x:v>
      </x:c>
      <x:c r="B125" s="17" t="str">
        <x:v>California State University-Northridge</x:v>
      </x:c>
      <x:c r="C125" s="17" t="str">
        <x:v>IPEDS discovery signal: Computer Engineering, General (CIP 14.0901)</x:v>
      </x:c>
      <x:c r="D125" s="17" t="str">
        <x:v>Unclear</x:v>
      </x:c>
      <x:c r="E125" s="17" t="str">
        <x:v>stage2_screened_out</x:v>
      </x:c>
      <x:c r="F125" s="17" t="str">
        <x:v>Duplicate mechanical discovery signal consolidated into one institution-level catalog review candidate.</x:v>
      </x:c>
      <x:c r="G125" s="17" t="str">
        <x:v>Does the current official catalog contain a research graduate program matching the applicant's topics?</x:v>
      </x:c>
      <x:c r="H125" s="17" t="str">
        <x:v>https://www.csun.edu</x:v>
      </x:c>
      <x:c r="I125" s="17" t="str">
        <x:v>not_sampled</x:v>
      </x:c>
      <x:c r="J125" s="17" t="str">
        <x:v>not_sampled</x:v>
      </x:c>
    </x:row>
    <x:row r="126" ht="46" customHeight="1">
      <x:c r="A126" s="17" t="str">
        <x:v>us</x:v>
      </x:c>
      <x:c r="B126" s="17" t="str">
        <x:v>California State University-Northridge</x:v>
      </x:c>
      <x:c r="C126" s="17" t="str">
        <x:v>IPEDS discovery signal: Computer Science (CIP 11.0701)</x:v>
      </x:c>
      <x:c r="D126" s="17" t="str">
        <x:v>Unclear</x:v>
      </x:c>
      <x:c r="E126" s="17" t="str">
        <x:v>stage2_screened_out</x:v>
      </x:c>
      <x:c r="F126" s="17" t="str">
        <x:v>Duplicate mechanical discovery signal consolidated into one institution-level catalog review candidate.</x:v>
      </x:c>
      <x:c r="G126" s="17" t="str">
        <x:v>Does the current official catalog contain a research graduate program matching the applicant's topics?</x:v>
      </x:c>
      <x:c r="H126" s="17" t="str">
        <x:v>https://www.csun.edu</x:v>
      </x:c>
      <x:c r="I126" s="17" t="str">
        <x:v>not_sampled</x:v>
      </x:c>
      <x:c r="J126" s="17" t="str">
        <x:v>not_sampled</x:v>
      </x:c>
    </x:row>
    <x:row r="127" ht="46" customHeight="1">
      <x:c r="A127" s="17" t="str">
        <x:v>us</x:v>
      </x:c>
      <x:c r="B127" s="17" t="str">
        <x:v>California State University-Northridge</x:v>
      </x:c>
      <x:c r="C127" s="17" t="str">
        <x:v>IPEDS discovery signal: Electrical and Electronics Engineering (CIP 14.1001)</x:v>
      </x:c>
      <x:c r="D127" s="17" t="str">
        <x:v>Unclear</x:v>
      </x:c>
      <x:c r="E127" s="17" t="str">
        <x:v>stage2_screened_out</x:v>
      </x:c>
      <x:c r="F127" s="17" t="str">
        <x:v>Duplicate mechanical discovery signal consolidated into one institution-level catalog review candidate.</x:v>
      </x:c>
      <x:c r="G127" s="17" t="str">
        <x:v>Does the current official catalog contain a research graduate program matching the applicant's topics?</x:v>
      </x:c>
      <x:c r="H127" s="17" t="str">
        <x:v>https://www.csun.edu</x:v>
      </x:c>
      <x:c r="I127" s="17" t="str">
        <x:v>not_sampled</x:v>
      </x:c>
      <x:c r="J127" s="17" t="str">
        <x:v>not_sampled</x:v>
      </x:c>
    </x:row>
    <x:row r="128" ht="46" customHeight="1">
      <x:c r="A128" s="17" t="str">
        <x:v>us</x:v>
      </x:c>
      <x:c r="B128" s="17" t="str">
        <x:v>California State University-Sacramento</x:v>
      </x:c>
      <x:c r="C128" s="17" t="str">
        <x:v>IPEDS discovery signal: Computer Engineering, General (CIP 14.0901)</x:v>
      </x:c>
      <x:c r="D128" s="17" t="str">
        <x:v>Unclear</x:v>
      </x:c>
      <x:c r="E128" s="17" t="str">
        <x:v>stage2_screened_out</x:v>
      </x:c>
      <x:c r="F128" s="17" t="str">
        <x:v>Only one bounded registry/program-code signal was present; no independent topical, Calendar, current-faculty, or first-audit signal was recovered.</x:v>
      </x:c>
      <x:c r="G128" s="17" t="str">
        <x:v>Does the current official catalog contain a research graduate program matching the applicant's topics?</x:v>
      </x:c>
      <x:c r="H128" s="17" t="str">
        <x:v>https://www.csus.edu</x:v>
      </x:c>
      <x:c r="I128" s="17" t="str">
        <x:v>not_sampled</x:v>
      </x:c>
      <x:c r="J128" s="17" t="str">
        <x:v>not_sampled</x:v>
      </x:c>
    </x:row>
    <x:row r="129" ht="46" customHeight="1">
      <x:c r="A129" s="17" t="str">
        <x:v>us</x:v>
      </x:c>
      <x:c r="B129" s="17" t="str">
        <x:v>California State University-Sacramento</x:v>
      </x:c>
      <x:c r="C129" s="17" t="str">
        <x:v>IPEDS discovery signal: Computer Science (CIP 11.0701)</x:v>
      </x:c>
      <x:c r="D129" s="17" t="str">
        <x:v>Unclear</x:v>
      </x:c>
      <x:c r="E129" s="17" t="str">
        <x:v>stage2_screened_out</x:v>
      </x:c>
      <x:c r="F129" s="17" t="str">
        <x:v>Only one bounded registry/program-code signal was present; no independent topical, Calendar, current-faculty, or first-audit signal was recovered.</x:v>
      </x:c>
      <x:c r="G129" s="17" t="str">
        <x:v>Does the current official catalog contain a research graduate program matching the applicant's topics?</x:v>
      </x:c>
      <x:c r="H129" s="17" t="str">
        <x:v>https://www.csus.edu</x:v>
      </x:c>
      <x:c r="I129" s="17" t="str">
        <x:v>not_sampled</x:v>
      </x:c>
      <x:c r="J129" s="17" t="str">
        <x:v>not_sampled</x:v>
      </x:c>
    </x:row>
    <x:row r="130" ht="46" customHeight="1">
      <x:c r="A130" s="17" t="str">
        <x:v>us</x:v>
      </x:c>
      <x:c r="B130" s="17" t="str">
        <x:v>California State University-Sacramento</x:v>
      </x:c>
      <x:c r="C130" s="17" t="str">
        <x:v>IPEDS discovery signal: Computer Software Engineering (CIP 14.0903)</x:v>
      </x:c>
      <x:c r="D130" s="17" t="str">
        <x:v>Unclear</x:v>
      </x:c>
      <x:c r="E130" s="17" t="str">
        <x:v>stage2_screened_out</x:v>
      </x:c>
      <x:c r="F130" s="17" t="str">
        <x:v>Only one bounded registry/program-code signal was present; no independent topical, Calendar, current-faculty, or first-audit signal was recovered.</x:v>
      </x:c>
      <x:c r="G130" s="17" t="str">
        <x:v>Does the current official catalog contain a research graduate program matching the applicant's topics?</x:v>
      </x:c>
      <x:c r="H130" s="17" t="str">
        <x:v>https://www.csus.edu</x:v>
      </x:c>
      <x:c r="I130" s="17" t="str">
        <x:v>not_sampled</x:v>
      </x:c>
      <x:c r="J130" s="17" t="str">
        <x:v>not_sampled</x:v>
      </x:c>
    </x:row>
    <x:row r="131" ht="46" customHeight="1">
      <x:c r="A131" s="17" t="str">
        <x:v>us</x:v>
      </x:c>
      <x:c r="B131" s="17" t="str">
        <x:v>California State University-Sacramento</x:v>
      </x:c>
      <x:c r="C131" s="17" t="str">
        <x:v>IPEDS discovery signal: Electrical and Electronics Engineering (CIP 14.1001)</x:v>
      </x:c>
      <x:c r="D131" s="17" t="str">
        <x:v>Unclear</x:v>
      </x:c>
      <x:c r="E131" s="17" t="str">
        <x:v>stage2_screened_out</x:v>
      </x:c>
      <x:c r="F131" s="17" t="str">
        <x:v>Only one bounded registry/program-code signal was present; no independent topical, Calendar, current-faculty, or first-audit signal was recovered.</x:v>
      </x:c>
      <x:c r="G131" s="17" t="str">
        <x:v>Does the current official catalog contain a research graduate program matching the applicant's topics?</x:v>
      </x:c>
      <x:c r="H131" s="17" t="str">
        <x:v>https://www.csus.edu</x:v>
      </x:c>
      <x:c r="I131" s="17" t="str">
        <x:v>not_sampled</x:v>
      </x:c>
      <x:c r="J131" s="17" t="str">
        <x:v>not_sampled</x:v>
      </x:c>
    </x:row>
    <x:row r="132" ht="46" customHeight="1">
      <x:c r="A132" s="17" t="str">
        <x:v>us</x:v>
      </x:c>
      <x:c r="B132" s="17" t="str">
        <x:v>California State University-San Bernardino</x:v>
      </x:c>
      <x:c r="C132" s="17" t="str">
        <x:v>IPEDS discovery signal: Computer Science (CIP 11.0701)</x:v>
      </x:c>
      <x:c r="D132" s="17" t="str">
        <x:v>Unclear</x:v>
      </x:c>
      <x:c r="E132" s="17" t="str">
        <x:v>stage2_screened_out</x:v>
      </x:c>
      <x:c r="F132" s="17" t="str">
        <x:v>Duplicate mechanical discovery signal consolidated into one institution-level catalog review candidate.</x:v>
      </x:c>
      <x:c r="G132" s="17" t="str">
        <x:v>Does the current official catalog contain a research graduate program matching the applicant's topics?</x:v>
      </x:c>
      <x:c r="H132" s="17" t="str">
        <x:v>https://www.csusb.edu</x:v>
      </x:c>
      <x:c r="I132" s="17" t="str">
        <x:v>not_sampled</x:v>
      </x:c>
      <x:c r="J132" s="17" t="str">
        <x:v>not_sampled</x:v>
      </x:c>
    </x:row>
    <x:row r="133" ht="46" customHeight="1">
      <x:c r="A133" s="17" t="str">
        <x:v>us</x:v>
      </x:c>
      <x:c r="B133" s="17" t="str">
        <x:v>California State University-San Bernardino</x:v>
      </x:c>
      <x:c r="C133" s="17" t="str">
        <x:v>IPEDS discovery signal: Information Technology (CIP 11.0103)</x:v>
      </x:c>
      <x:c r="D133" s="17" t="str">
        <x:v>Unclear</x:v>
      </x:c>
      <x:c r="E133" s="17" t="str">
        <x:v>stage2_screened_out</x:v>
      </x:c>
      <x:c r="F133" s="17" t="str">
        <x:v>Duplicate mechanical discovery signal consolidated into one institution-level catalog review candidate.</x:v>
      </x:c>
      <x:c r="G133" s="17" t="str">
        <x:v>Does the current official catalog contain a research graduate program matching the applicant's topics?</x:v>
      </x:c>
      <x:c r="H133" s="17" t="str">
        <x:v>https://www.csusb.edu</x:v>
      </x:c>
      <x:c r="I133" s="17" t="str">
        <x:v>not_sampled</x:v>
      </x:c>
      <x:c r="J133" s="17" t="str">
        <x:v>not_sampled</x:v>
      </x:c>
    </x:row>
    <x:row r="134" ht="46" customHeight="1">
      <x:c r="A134" s="17" t="str">
        <x:v>us</x:v>
      </x:c>
      <x:c r="B134" s="17" t="str">
        <x:v>California State University-San Marcos</x:v>
      </x:c>
      <x:c r="C134" s="17" t="str">
        <x:v>IPEDS discovery signal: Computer and Information Systems Security/Auditing/Information Assurance (CIP 11.1003)</x:v>
      </x:c>
      <x:c r="D134" s="17" t="str">
        <x:v>Unclear</x:v>
      </x:c>
      <x:c r="E134" s="17" t="str">
        <x:v>stage2_screened_out</x:v>
      </x:c>
      <x:c r="F134" s="17" t="str">
        <x:v>Only one bounded registry/program-code signal was present; no independent topical, Calendar, current-faculty, or first-audit signal was recovered.</x:v>
      </x:c>
      <x:c r="G134" s="17" t="str">
        <x:v>Does the current official catalog contain a research graduate program matching the applicant's topics?</x:v>
      </x:c>
      <x:c r="H134" s="17" t="str">
        <x:v>https://www.csusm.edu</x:v>
      </x:c>
      <x:c r="I134" s="17" t="str">
        <x:v>not_sampled</x:v>
      </x:c>
      <x:c r="J134" s="17" t="str">
        <x:v>not_sampled</x:v>
      </x:c>
    </x:row>
    <x:row r="135" ht="46" customHeight="1">
      <x:c r="A135" s="17" t="str">
        <x:v>us</x:v>
      </x:c>
      <x:c r="B135" s="17" t="str">
        <x:v>California State University-San Marcos</x:v>
      </x:c>
      <x:c r="C135" s="17" t="str">
        <x:v>IPEDS discovery signal: Computer Science (CIP 11.0701)</x:v>
      </x:c>
      <x:c r="D135" s="17" t="str">
        <x:v>Unclear</x:v>
      </x:c>
      <x:c r="E135" s="17" t="str">
        <x:v>stage2_screened_out</x:v>
      </x:c>
      <x:c r="F135" s="17" t="str">
        <x:v>Only one bounded registry/program-code signal was present; no independent topical, Calendar, current-faculty, or first-audit signal was recovered.</x:v>
      </x:c>
      <x:c r="G135" s="17" t="str">
        <x:v>Does the current official catalog contain a research graduate program matching the applicant's topics?</x:v>
      </x:c>
      <x:c r="H135" s="17" t="str">
        <x:v>https://www.csusm.edu</x:v>
      </x:c>
      <x:c r="I135" s="17" t="str">
        <x:v>not_sampled</x:v>
      </x:c>
      <x:c r="J135" s="17" t="str">
        <x:v>not_sampled</x:v>
      </x:c>
    </x:row>
    <x:row r="136" ht="46" customHeight="1">
      <x:c r="A136" s="17" t="str">
        <x:v>us</x:v>
      </x:c>
      <x:c r="B136" s="17" t="str">
        <x:v>Campbellsville University</x:v>
      </x:c>
      <x:c r="C136" s="17" t="str">
        <x:v>IPEDS discovery signal: Computer Science (CIP 11.0701)</x:v>
      </x:c>
      <x:c r="D136" s="17" t="str">
        <x:v>Unclear</x:v>
      </x:c>
      <x:c r="E136" s="17" t="str">
        <x:v>stage2_screened_out</x:v>
      </x:c>
      <x:c r="F136" s="17" t="str">
        <x:v>Only one bounded registry/program-code signal was present; no independent topical, Calendar, current-faculty, or first-audit signal was recovered.</x:v>
      </x:c>
      <x:c r="G136" s="17" t="str">
        <x:v>Does the current official catalog contain a research graduate program matching the applicant's topics?</x:v>
      </x:c>
      <x:c r="H136" s="17" t="str">
        <x:v>https://www.campbellsville.edu</x:v>
      </x:c>
      <x:c r="I136" s="17" t="str">
        <x:v>not_sampled</x:v>
      </x:c>
      <x:c r="J136" s="17" t="str">
        <x:v>not_sampled</x:v>
      </x:c>
    </x:row>
    <x:row r="137" ht="46" customHeight="1">
      <x:c r="A137" s="17" t="str">
        <x:v>us</x:v>
      </x:c>
      <x:c r="B137" s="17" t="str">
        <x:v>Capella University</x:v>
      </x:c>
      <x:c r="C137" s="17" t="str">
        <x:v>IPEDS discovery signal: Computer and Information Sciences, Other (CIP 11.0199)</x:v>
      </x:c>
      <x:c r="D137" s="17" t="str">
        <x:v>Unclear</x:v>
      </x:c>
      <x:c r="E137" s="17" t="str">
        <x:v>stage2_screened_out</x:v>
      </x:c>
      <x:c r="F137" s="17" t="str">
        <x:v>Duplicate mechanical discovery signal consolidated into one institution-level catalog review candidate.</x:v>
      </x:c>
      <x:c r="G137" s="17" t="str">
        <x:v>Does the current official catalog contain a research graduate program matching the applicant's topics?</x:v>
      </x:c>
      <x:c r="H137" s="17" t="str">
        <x:v>https://www.capella.edu</x:v>
      </x:c>
      <x:c r="I137" s="17" t="str">
        <x:v>not_sampled</x:v>
      </x:c>
      <x:c r="J137" s="17" t="str">
        <x:v>not_sampled</x:v>
      </x:c>
    </x:row>
    <x:row r="138" ht="46" customHeight="1">
      <x:c r="A138" s="17" t="str">
        <x:v>us</x:v>
      </x:c>
      <x:c r="B138" s="17" t="str">
        <x:v>Capella University</x:v>
      </x:c>
      <x:c r="C138" s="17" t="str">
        <x:v>IPEDS discovery signal: Computer Systems Networking and Telecommunications (CIP 11.0901)</x:v>
      </x:c>
      <x:c r="D138" s="17" t="str">
        <x:v>Unclear</x:v>
      </x:c>
      <x:c r="E138" s="17" t="str">
        <x:v>stage2_screened_out</x:v>
      </x:c>
      <x:c r="F138" s="17" t="str">
        <x:v>Duplicate mechanical discovery signal consolidated into one institution-level catalog review candidate.</x:v>
      </x:c>
      <x:c r="G138" s="17" t="str">
        <x:v>Does the current official catalog contain a research graduate program matching the applicant's topics?</x:v>
      </x:c>
      <x:c r="H138" s="17" t="str">
        <x:v>https://www.capella.edu</x:v>
      </x:c>
      <x:c r="I138" s="17" t="str">
        <x:v>not_sampled</x:v>
      </x:c>
      <x:c r="J138" s="17" t="str">
        <x:v>not_sampled</x:v>
      </x:c>
    </x:row>
    <x:row r="139" ht="46" customHeight="1">
      <x:c r="A139" s="17" t="str">
        <x:v>us</x:v>
      </x:c>
      <x:c r="B139" s="17" t="str">
        <x:v>Capella University</x:v>
      </x:c>
      <x:c r="C139" s="17" t="str">
        <x:v>IPEDS discovery signal: Cyber/Computer Forensics and Counterterrorism (CIP 43.0403)</x:v>
      </x:c>
      <x:c r="D139" s="17" t="str">
        <x:v>Unclear</x:v>
      </x:c>
      <x:c r="E139" s="17" t="str">
        <x:v>stage2_screened_out</x:v>
      </x:c>
      <x:c r="F139" s="17" t="str">
        <x:v>Duplicate mechanical discovery signal consolidated into one institution-level catalog review candidate.</x:v>
      </x:c>
      <x:c r="G139" s="17" t="str">
        <x:v>Does the current official catalog contain a research graduate program matching the applicant's topics?</x:v>
      </x:c>
      <x:c r="H139" s="17" t="str">
        <x:v>https://www.capella.edu</x:v>
      </x:c>
      <x:c r="I139" s="17" t="str">
        <x:v>not_sampled</x:v>
      </x:c>
      <x:c r="J139" s="17" t="str">
        <x:v>not_sampled</x:v>
      </x:c>
    </x:row>
    <x:row r="140" ht="46" customHeight="1">
      <x:c r="A140" s="17" t="str">
        <x:v>us</x:v>
      </x:c>
      <x:c r="B140" s="17" t="str">
        <x:v>Capella University</x:v>
      </x:c>
      <x:c r="C140" s="17" t="str">
        <x:v>IPEDS discovery signal: Information Technology (CIP 11.0103)</x:v>
      </x:c>
      <x:c r="D140" s="17" t="str">
        <x:v>Unclear</x:v>
      </x:c>
      <x:c r="E140" s="17" t="str">
        <x:v>stage2_screened_out</x:v>
      </x:c>
      <x:c r="F140" s="17" t="str">
        <x:v>Duplicate mechanical discovery signal consolidated into one institution-level catalog review candidate.</x:v>
      </x:c>
      <x:c r="G140" s="17" t="str">
        <x:v>Does the current official catalog contain a research graduate program matching the applicant's topics?</x:v>
      </x:c>
      <x:c r="H140" s="17" t="str">
        <x:v>https://www.capella.edu</x:v>
      </x:c>
      <x:c r="I140" s="17" t="str">
        <x:v>not_sampled</x:v>
      </x:c>
      <x:c r="J140" s="17" t="str">
        <x:v>not_sampled</x:v>
      </x:c>
    </x:row>
    <x:row r="141" ht="46" customHeight="1">
      <x:c r="A141" s="17" t="str">
        <x:v>us</x:v>
      </x:c>
      <x:c r="B141" s="17" t="str">
        <x:v>Capitol Technology University</x:v>
      </x:c>
      <x:c r="C141" s="17" t="str">
        <x:v>IPEDS discovery signal: Computer and Information Sciences, General (CIP 11.0101)</x:v>
      </x:c>
      <x:c r="D141" s="17" t="str">
        <x:v>Unclear</x:v>
      </x:c>
      <x:c r="E141" s="17" t="str">
        <x:v>stage2_screened_out</x:v>
      </x:c>
      <x:c r="F141" s="17" t="str">
        <x:v>Duplicate mechanical discovery signal consolidated into one institution-level catalog review candidate.</x:v>
      </x:c>
      <x:c r="G141" s="17" t="str">
        <x:v>Does the current official catalog contain a research graduate program matching the applicant's topics?</x:v>
      </x:c>
      <x:c r="H141" s="17" t="str">
        <x:v>https://www.captechu.edu</x:v>
      </x:c>
      <x:c r="I141" s="17" t="str">
        <x:v>not_sampled</x:v>
      </x:c>
      <x:c r="J141" s="17" t="str">
        <x:v>not_sampled</x:v>
      </x:c>
    </x:row>
    <x:row r="142" ht="46" customHeight="1">
      <x:c r="A142" s="17" t="str">
        <x:v>us</x:v>
      </x:c>
      <x:c r="B142" s="17" t="str">
        <x:v>Capitol Technology University</x:v>
      </x:c>
      <x:c r="C142" s="17" t="str">
        <x:v>IPEDS discovery signal: Computer and Information Systems Security/Auditing/Information Assurance (CIP 11.1003)</x:v>
      </x:c>
      <x:c r="D142" s="17" t="str">
        <x:v>Unclear</x:v>
      </x:c>
      <x:c r="E142" s="17" t="str">
        <x:v>stage2_screened_out</x:v>
      </x:c>
      <x:c r="F142" s="17" t="str">
        <x:v>Duplicate mechanical discovery signal consolidated into one institution-level catalog review candidate.</x:v>
      </x:c>
      <x:c r="G142" s="17" t="str">
        <x:v>Does the current official catalog contain a research graduate program matching the applicant's topics?</x:v>
      </x:c>
      <x:c r="H142" s="17" t="str">
        <x:v>https://www.captechu.edu</x:v>
      </x:c>
      <x:c r="I142" s="17" t="str">
        <x:v>not_sampled</x:v>
      </x:c>
      <x:c r="J142" s="17" t="str">
        <x:v>not_sampled</x:v>
      </x:c>
    </x:row>
    <x:row r="143" ht="46" customHeight="1">
      <x:c r="A143" s="17" t="str">
        <x:v>us</x:v>
      </x:c>
      <x:c r="B143" s="17" t="str">
        <x:v>Capitol Technology University</x:v>
      </x:c>
      <x:c r="C143" s="17" t="str">
        <x:v>IPEDS discovery signal: Computer Science (CIP 11.0701)</x:v>
      </x:c>
      <x:c r="D143" s="17" t="str">
        <x:v>Unclear</x:v>
      </x:c>
      <x:c r="E143" s="17" t="str">
        <x:v>stage2_screened_out</x:v>
      </x:c>
      <x:c r="F143" s="17" t="str">
        <x:v>Duplicate mechanical discovery signal consolidated into one institution-level catalog review candidate.</x:v>
      </x:c>
      <x:c r="G143" s="17" t="str">
        <x:v>Does the current official catalog contain a research graduate program matching the applicant's topics?</x:v>
      </x:c>
      <x:c r="H143" s="17" t="str">
        <x:v>https://www.captechu.edu</x:v>
      </x:c>
      <x:c r="I143" s="17" t="str">
        <x:v>not_sampled</x:v>
      </x:c>
      <x:c r="J143" s="17" t="str">
        <x:v>not_sampled</x:v>
      </x:c>
    </x:row>
    <x:row r="144" ht="46" customHeight="1">
      <x:c r="A144" s="17" t="str">
        <x:v>us</x:v>
      </x:c>
      <x:c r="B144" s="17" t="str">
        <x:v>Capitol Technology University</x:v>
      </x:c>
      <x:c r="C144" s="17" t="str">
        <x:v>IPEDS discovery signal: Electrical and Electronics Engineering (CIP 14.1001)</x:v>
      </x:c>
      <x:c r="D144" s="17" t="str">
        <x:v>Unclear</x:v>
      </x:c>
      <x:c r="E144" s="17" t="str">
        <x:v>stage2_screened_out</x:v>
      </x:c>
      <x:c r="F144" s="17" t="str">
        <x:v>Duplicate mechanical discovery signal consolidated into one institution-level catalog review candidate.</x:v>
      </x:c>
      <x:c r="G144" s="17" t="str">
        <x:v>Does the current official catalog contain a research graduate program matching the applicant's topics?</x:v>
      </x:c>
      <x:c r="H144" s="17" t="str">
        <x:v>https://www.captechu.edu</x:v>
      </x:c>
      <x:c r="I144" s="17" t="str">
        <x:v>not_sampled</x:v>
      </x:c>
      <x:c r="J144" s="17" t="str">
        <x:v>not_sampled</x:v>
      </x:c>
    </x:row>
    <x:row r="145" ht="46" customHeight="1">
      <x:c r="A145" s="17" t="str">
        <x:v>us</x:v>
      </x:c>
      <x:c r="B145" s="17" t="str">
        <x:v>Capitol Technology University</x:v>
      </x:c>
      <x:c r="C145" s="17" t="str">
        <x:v>IPEDS discovery signal: Human-Centered Technology Design (CIP 11.0105)</x:v>
      </x:c>
      <x:c r="D145" s="17" t="str">
        <x:v>Unclear</x:v>
      </x:c>
      <x:c r="E145" s="17" t="str">
        <x:v>stage2_screened_out</x:v>
      </x:c>
      <x:c r="F145" s="17" t="str">
        <x:v>Duplicate mechanical discovery signal consolidated into one institution-level catalog review candidate.</x:v>
      </x:c>
      <x:c r="G145" s="17" t="str">
        <x:v>Does the current official catalog contain a research graduate program matching the applicant's topics?</x:v>
      </x:c>
      <x:c r="H145" s="17" t="str">
        <x:v>https://www.captechu.edu</x:v>
      </x:c>
      <x:c r="I145" s="17" t="str">
        <x:v>not_sampled</x:v>
      </x:c>
      <x:c r="J145" s="17" t="str">
        <x:v>not_sampled</x:v>
      </x:c>
    </x:row>
    <x:row r="146" ht="46" customHeight="1">
      <x:c r="A146" s="17" t="str">
        <x:v>us</x:v>
      </x:c>
      <x:c r="B146" s="17" t="str">
        <x:v>Capitol Technology University</x:v>
      </x:c>
      <x:c r="C146" s="17" t="str">
        <x:v>IPEDS discovery signal: Information Technology (CIP 11.0103)</x:v>
      </x:c>
      <x:c r="D146" s="17" t="str">
        <x:v>Unclear</x:v>
      </x:c>
      <x:c r="E146" s="17" t="str">
        <x:v>stage2_screened_out</x:v>
      </x:c>
      <x:c r="F146" s="17" t="str">
        <x:v>Duplicate mechanical discovery signal consolidated into one institution-level catalog review candidate.</x:v>
      </x:c>
      <x:c r="G146" s="17" t="str">
        <x:v>Does the current official catalog contain a research graduate program matching the applicant's topics?</x:v>
      </x:c>
      <x:c r="H146" s="17" t="str">
        <x:v>https://www.captechu.edu</x:v>
      </x:c>
      <x:c r="I146" s="17" t="str">
        <x:v>not_sampled</x:v>
      </x:c>
      <x:c r="J146" s="17" t="str">
        <x:v>not_sampled</x:v>
      </x:c>
    </x:row>
    <x:row r="147" ht="46" customHeight="1">
      <x:c r="A147" s="17" t="str">
        <x:v>us</x:v>
      </x:c>
      <x:c r="B147" s="17" t="str">
        <x:v>Capitol Technology University</x:v>
      </x:c>
      <x:c r="C147" s="17" t="str">
        <x:v>IPEDS discovery signal: Mechatronics, Robotics, and Automation Engineering (CIP 14.4201)</x:v>
      </x:c>
      <x:c r="D147" s="17" t="str">
        <x:v>Unclear</x:v>
      </x:c>
      <x:c r="E147" s="17" t="str">
        <x:v>stage2_screened_out</x:v>
      </x:c>
      <x:c r="F147" s="17" t="str">
        <x:v>Duplicate mechanical discovery signal consolidated into one institution-level catalog review candidate.</x:v>
      </x:c>
      <x:c r="G147" s="17" t="str">
        <x:v>Does the current official catalog contain a research graduate program matching the applicant's topics?</x:v>
      </x:c>
      <x:c r="H147" s="17" t="str">
        <x:v>https://www.captechu.edu</x:v>
      </x:c>
      <x:c r="I147" s="17" t="str">
        <x:v>not_sampled</x:v>
      </x:c>
      <x:c r="J147" s="17" t="str">
        <x:v>not_sampled</x:v>
      </x:c>
    </x:row>
    <x:row r="148" ht="46" customHeight="1">
      <x:c r="A148" s="17" t="str">
        <x:v>us</x:v>
      </x:c>
      <x:c r="B148" s="17" t="str">
        <x:v>Carnegie Mellon University</x:v>
      </x:c>
      <x:c r="C148" s="17" t="str">
        <x:v>IPEDS discovery signal: Artificial Intelligence (CIP 11.0102)</x:v>
      </x:c>
      <x:c r="D148" s="17" t="str">
        <x:v>Unclear</x:v>
      </x:c>
      <x:c r="E148" s="17" t="str">
        <x:v>stage2_screened_out</x:v>
      </x:c>
      <x:c r="F148" s="17" t="str">
        <x:v>Mechanical discovery placeholder is superseded by an exact official program record at the same institution.</x:v>
      </x:c>
      <x:c r="G148" s="17" t="str">
        <x:v>Does the current official catalog contain a research graduate program matching the applicant's topics?</x:v>
      </x:c>
      <x:c r="H148" s="17" t="str">
        <x:v>https://www.cmu.edu</x:v>
      </x:c>
      <x:c r="I148" s="17" t="str">
        <x:v>not_sampled</x:v>
      </x:c>
      <x:c r="J148" s="17" t="str">
        <x:v>not_sampled</x:v>
      </x:c>
    </x:row>
    <x:row r="149" ht="46" customHeight="1">
      <x:c r="A149" s="17" t="str">
        <x:v>us</x:v>
      </x:c>
      <x:c r="B149" s="17" t="str">
        <x:v>Carnegie Mellon University</x:v>
      </x:c>
      <x:c r="C149" s="17" t="str">
        <x:v>IPEDS discovery signal: Computer and Information Sciences, Other (CIP 11.0199)</x:v>
      </x:c>
      <x:c r="D149" s="17" t="str">
        <x:v>Unclear</x:v>
      </x:c>
      <x:c r="E149" s="17" t="str">
        <x:v>stage2_screened_out</x:v>
      </x:c>
      <x:c r="F149" s="17" t="str">
        <x:v>Mechanical discovery placeholder is superseded by an exact official program record at the same institution.</x:v>
      </x:c>
      <x:c r="G149" s="17" t="str">
        <x:v>Does the current official catalog contain a research graduate program matching the applicant's topics?</x:v>
      </x:c>
      <x:c r="H149" s="17" t="str">
        <x:v>https://www.cmu.edu</x:v>
      </x:c>
      <x:c r="I149" s="17" t="str">
        <x:v>not_sampled</x:v>
      </x:c>
      <x:c r="J149" s="17" t="str">
        <x:v>not_sampled</x:v>
      </x:c>
    </x:row>
    <x:row r="150" ht="46" customHeight="1">
      <x:c r="A150" s="17" t="str">
        <x:v>us</x:v>
      </x:c>
      <x:c r="B150" s="17" t="str">
        <x:v>Carnegie Mellon University</x:v>
      </x:c>
      <x:c r="C150" s="17" t="str">
        <x:v>IPEDS discovery signal: Computer and Information Systems Security/Auditing/Information Assurance (CIP 11.1003)</x:v>
      </x:c>
      <x:c r="D150" s="17" t="str">
        <x:v>Unclear</x:v>
      </x:c>
      <x:c r="E150" s="17" t="str">
        <x:v>stage2_screened_out</x:v>
      </x:c>
      <x:c r="F150" s="17" t="str">
        <x:v>Mechanical discovery placeholder is superseded by an exact official program record at the same institution.</x:v>
      </x:c>
      <x:c r="G150" s="17" t="str">
        <x:v>Does the current official catalog contain a research graduate program matching the applicant's topics?</x:v>
      </x:c>
      <x:c r="H150" s="17" t="str">
        <x:v>https://www.cmu.edu</x:v>
      </x:c>
      <x:c r="I150" s="17" t="str">
        <x:v>not_sampled</x:v>
      </x:c>
      <x:c r="J150" s="17" t="str">
        <x:v>not_sampled</x:v>
      </x:c>
    </x:row>
    <x:row r="151" ht="46" customHeight="1">
      <x:c r="A151" s="17" t="str">
        <x:v>us</x:v>
      </x:c>
      <x:c r="B151" s="17" t="str">
        <x:v>Carnegie Mellon University</x:v>
      </x:c>
      <x:c r="C151" s="17" t="str">
        <x:v>IPEDS discovery signal: Computer Engineering, Other (CIP 14.0999)</x:v>
      </x:c>
      <x:c r="D151" s="17" t="str">
        <x:v>Unclear</x:v>
      </x:c>
      <x:c r="E151" s="17" t="str">
        <x:v>stage2_screened_out</x:v>
      </x:c>
      <x:c r="F151" s="17" t="str">
        <x:v>Mechanical discovery placeholder is superseded by an exact official program record at the same institution.</x:v>
      </x:c>
      <x:c r="G151" s="17" t="str">
        <x:v>Does the current official catalog contain a research graduate program matching the applicant's topics?</x:v>
      </x:c>
      <x:c r="H151" s="17" t="str">
        <x:v>https://www.cmu.edu</x:v>
      </x:c>
      <x:c r="I151" s="17" t="str">
        <x:v>not_sampled</x:v>
      </x:c>
      <x:c r="J151" s="17" t="str">
        <x:v>not_sampled</x:v>
      </x:c>
    </x:row>
    <x:row r="152" ht="46" customHeight="1">
      <x:c r="A152" s="17" t="str">
        <x:v>us</x:v>
      </x:c>
      <x:c r="B152" s="17" t="str">
        <x:v>Carnegie Mellon University</x:v>
      </x:c>
      <x:c r="C152" s="17" t="str">
        <x:v>IPEDS discovery signal: Computer Science (CIP 11.0701)</x:v>
      </x:c>
      <x:c r="D152" s="17" t="str">
        <x:v>Unclear</x:v>
      </x:c>
      <x:c r="E152" s="17" t="str">
        <x:v>stage2_screened_out</x:v>
      </x:c>
      <x:c r="F152" s="17" t="str">
        <x:v>Mechanical discovery placeholder is superseded by an exact official program record at the same institution.</x:v>
      </x:c>
      <x:c r="G152" s="17" t="str">
        <x:v>Does the current official catalog contain a research graduate program matching the applicant's topics?</x:v>
      </x:c>
      <x:c r="H152" s="17" t="str">
        <x:v>https://www.cmu.edu</x:v>
      </x:c>
      <x:c r="I152" s="17" t="str">
        <x:v>not_sampled</x:v>
      </x:c>
      <x:c r="J152" s="17" t="str">
        <x:v>not_sampled</x:v>
      </x:c>
    </x:row>
    <x:row r="153" ht="46" customHeight="1">
      <x:c r="A153" s="17" t="str">
        <x:v>us</x:v>
      </x:c>
      <x:c r="B153" s="17" t="str">
        <x:v>Carnegie Mellon University</x:v>
      </x:c>
      <x:c r="C153" s="17" t="str">
        <x:v>IPEDS discovery signal: Computer Software Engineering (CIP 14.0903)</x:v>
      </x:c>
      <x:c r="D153" s="17" t="str">
        <x:v>Unclear</x:v>
      </x:c>
      <x:c r="E153" s="17" t="str">
        <x:v>stage2_screened_out</x:v>
      </x:c>
      <x:c r="F153" s="17" t="str">
        <x:v>Mechanical discovery placeholder is superseded by an exact official program record at the same institution.</x:v>
      </x:c>
      <x:c r="G153" s="17" t="str">
        <x:v>Does the current official catalog contain a research graduate program matching the applicant's topics?</x:v>
      </x:c>
      <x:c r="H153" s="17" t="str">
        <x:v>https://www.cmu.edu</x:v>
      </x:c>
      <x:c r="I153" s="17" t="str">
        <x:v>not_sampled</x:v>
      </x:c>
      <x:c r="J153" s="17" t="str">
        <x:v>not_sampled</x:v>
      </x:c>
    </x:row>
    <x:row r="154" ht="46" customHeight="1">
      <x:c r="A154" s="17" t="str">
        <x:v>us</x:v>
      </x:c>
      <x:c r="B154" s="17" t="str">
        <x:v>Carnegie Mellon University</x:v>
      </x:c>
      <x:c r="C154" s="17" t="str">
        <x:v>IPEDS discovery signal: Computer Systems Networking and Telecommunications (CIP 11.0901)</x:v>
      </x:c>
      <x:c r="D154" s="17" t="str">
        <x:v>Unclear</x:v>
      </x:c>
      <x:c r="E154" s="17" t="str">
        <x:v>stage2_screened_out</x:v>
      </x:c>
      <x:c r="F154" s="17" t="str">
        <x:v>Mechanical discovery placeholder is superseded by an exact official program record at the same institution.</x:v>
      </x:c>
      <x:c r="G154" s="17" t="str">
        <x:v>Does the current official catalog contain a research graduate program matching the applicant's topics?</x:v>
      </x:c>
      <x:c r="H154" s="17" t="str">
        <x:v>https://www.cmu.edu</x:v>
      </x:c>
      <x:c r="I154" s="17" t="str">
        <x:v>not_sampled</x:v>
      </x:c>
      <x:c r="J154" s="17" t="str">
        <x:v>not_sampled</x:v>
      </x:c>
    </x:row>
    <x:row r="155" ht="46" customHeight="1">
      <x:c r="A155" s="17" t="str">
        <x:v>us</x:v>
      </x:c>
      <x:c r="B155" s="17" t="str">
        <x:v>Carnegie Mellon University</x:v>
      </x:c>
      <x:c r="C155" s="17" t="str">
        <x:v>IPEDS discovery signal: Data Analytics, General (CIP 30.7101)</x:v>
      </x:c>
      <x:c r="D155" s="17" t="str">
        <x:v>Unclear</x:v>
      </x:c>
      <x:c r="E155" s="17" t="str">
        <x:v>stage2_screened_out</x:v>
      </x:c>
      <x:c r="F155" s="17" t="str">
        <x:v>Mechanical discovery placeholder is superseded by an exact official program record at the same institution.</x:v>
      </x:c>
      <x:c r="G155" s="17" t="str">
        <x:v>Does the current official catalog contain a research graduate program matching the applicant's topics?</x:v>
      </x:c>
      <x:c r="H155" s="17" t="str">
        <x:v>https://www.cmu.edu</x:v>
      </x:c>
      <x:c r="I155" s="17" t="str">
        <x:v>not_sampled</x:v>
      </x:c>
      <x:c r="J155" s="17" t="str">
        <x:v>not_sampled</x:v>
      </x:c>
    </x:row>
    <x:row r="156" ht="46" customHeight="1">
      <x:c r="A156" s="17" t="str">
        <x:v>us</x:v>
      </x:c>
      <x:c r="B156" s="17" t="str">
        <x:v>Carnegie Mellon University</x:v>
      </x:c>
      <x:c r="C156" s="17" t="str">
        <x:v>IPEDS discovery signal: Data Science, General (CIP 30.7001)</x:v>
      </x:c>
      <x:c r="D156" s="17" t="str">
        <x:v>Unclear</x:v>
      </x:c>
      <x:c r="E156" s="17" t="str">
        <x:v>stage2_screened_out</x:v>
      </x:c>
      <x:c r="F156" s="17" t="str">
        <x:v>Mechanical discovery placeholder is superseded by an exact official program record at the same institution.</x:v>
      </x:c>
      <x:c r="G156" s="17" t="str">
        <x:v>Does the current official catalog contain a research graduate program matching the applicant's topics?</x:v>
      </x:c>
      <x:c r="H156" s="17" t="str">
        <x:v>https://www.cmu.edu</x:v>
      </x:c>
      <x:c r="I156" s="17" t="str">
        <x:v>not_sampled</x:v>
      </x:c>
      <x:c r="J156" s="17" t="str">
        <x:v>not_sampled</x:v>
      </x:c>
    </x:row>
    <x:row r="157" ht="46" customHeight="1">
      <x:c r="A157" s="17" t="str">
        <x:v>us</x:v>
      </x:c>
      <x:c r="B157" s="17" t="str">
        <x:v>Carnegie Mellon University</x:v>
      </x:c>
      <x:c r="C157" s="17" t="str">
        <x:v>IPEDS discovery signal: Electrical and Electronics Engineering (CIP 14.1001)</x:v>
      </x:c>
      <x:c r="D157" s="17" t="str">
        <x:v>Unclear</x:v>
      </x:c>
      <x:c r="E157" s="17" t="str">
        <x:v>stage2_screened_out</x:v>
      </x:c>
      <x:c r="F157" s="17" t="str">
        <x:v>Mechanical discovery placeholder is superseded by an exact official program record at the same institution.</x:v>
      </x:c>
      <x:c r="G157" s="17" t="str">
        <x:v>Does the current official catalog contain a research graduate program matching the applicant's topics?</x:v>
      </x:c>
      <x:c r="H157" s="17" t="str">
        <x:v>https://www.cmu.edu</x:v>
      </x:c>
      <x:c r="I157" s="17" t="str">
        <x:v>not_sampled</x:v>
      </x:c>
      <x:c r="J157" s="17" t="str">
        <x:v>not_sampled</x:v>
      </x:c>
    </x:row>
    <x:row r="158" ht="46" customHeight="1">
      <x:c r="A158" s="17" t="str">
        <x:v>us</x:v>
      </x:c>
      <x:c r="B158" s="17" t="str">
        <x:v>Carnegie Mellon University</x:v>
      </x:c>
      <x:c r="C158" s="17" t="str">
        <x:v>IPEDS discovery signal: Human-Centered Technology Design (CIP 11.0105)</x:v>
      </x:c>
      <x:c r="D158" s="17" t="str">
        <x:v>Unclear</x:v>
      </x:c>
      <x:c r="E158" s="17" t="str">
        <x:v>stage2_screened_out</x:v>
      </x:c>
      <x:c r="F158" s="17" t="str">
        <x:v>Mechanical discovery placeholder is superseded by an exact official program record at the same institution.</x:v>
      </x:c>
      <x:c r="G158" s="17" t="str">
        <x:v>Does the current official catalog contain a research graduate program matching the applicant's topics?</x:v>
      </x:c>
      <x:c r="H158" s="17" t="str">
        <x:v>https://www.cmu.edu</x:v>
      </x:c>
      <x:c r="I158" s="17" t="str">
        <x:v>not_sampled</x:v>
      </x:c>
      <x:c r="J158" s="17" t="str">
        <x:v>not_sampled</x:v>
      </x:c>
    </x:row>
    <x:row r="159" ht="46" customHeight="1">
      <x:c r="A159" s="17" t="str">
        <x:v>us</x:v>
      </x:c>
      <x:c r="B159" s="17" t="str">
        <x:v>Carnegie Mellon University</x:v>
      </x:c>
      <x:c r="C159" s="17" t="str">
        <x:v>IPEDS discovery signal: Information Technology (CIP 11.0103)</x:v>
      </x:c>
      <x:c r="D159" s="17" t="str">
        <x:v>Unclear</x:v>
      </x:c>
      <x:c r="E159" s="17" t="str">
        <x:v>stage2_screened_out</x:v>
      </x:c>
      <x:c r="F159" s="17" t="str">
        <x:v>Mechanical discovery placeholder is superseded by an exact official program record at the same institution.</x:v>
      </x:c>
      <x:c r="G159" s="17" t="str">
        <x:v>Does the current official catalog contain a research graduate program matching the applicant's topics?</x:v>
      </x:c>
      <x:c r="H159" s="17" t="str">
        <x:v>https://www.cmu.edu</x:v>
      </x:c>
      <x:c r="I159" s="17" t="str">
        <x:v>not_sampled</x:v>
      </x:c>
      <x:c r="J159" s="17" t="str">
        <x:v>not_sampled</x:v>
      </x:c>
    </x:row>
    <x:row r="160" ht="46" customHeight="1">
      <x:c r="A160" s="17" t="str">
        <x:v>us</x:v>
      </x:c>
      <x:c r="B160" s="17" t="str">
        <x:v>Carnegie Mellon University</x:v>
      </x:c>
      <x:c r="C160" s="17" t="str">
        <x:v>IPEDS discovery signal: Mechatronics, Robotics, and Automation Engineering (CIP 14.4201)</x:v>
      </x:c>
      <x:c r="D160" s="17" t="str">
        <x:v>Unclear</x:v>
      </x:c>
      <x:c r="E160" s="17" t="str">
        <x:v>stage2_screened_out</x:v>
      </x:c>
      <x:c r="F160" s="17" t="str">
        <x:v>Mechanical discovery placeholder is superseded by an exact official program record at the same institution.</x:v>
      </x:c>
      <x:c r="G160" s="17" t="str">
        <x:v>Does the current official catalog contain a research graduate program matching the applicant's topics?</x:v>
      </x:c>
      <x:c r="H160" s="17" t="str">
        <x:v>https://www.cmu.edu</x:v>
      </x:c>
      <x:c r="I160" s="17" t="str">
        <x:v>not_sampled</x:v>
      </x:c>
      <x:c r="J160" s="17" t="str">
        <x:v>not_sampled</x:v>
      </x:c>
    </x:row>
    <x:row r="161" ht="46" customHeight="1">
      <x:c r="A161" s="17" t="str">
        <x:v>us</x:v>
      </x:c>
      <x:c r="B161" s="17" t="str">
        <x:v>Carnegie Mellon University</x:v>
      </x:c>
      <x:c r="C161" s="17" t="str">
        <x:v>Software Engineering Ph.D.</x:v>
      </x:c>
      <x:c r="D161" s="17" t="str">
        <x:v>PhD</x:v>
      </x:c>
      <x:c r="E161" s="17" t="str">
        <x:v>stage2_screened_out</x:v>
      </x:c>
      <x:c r="F161" s="17" t="str">
        <x:v>Duplicate exact program record shares the same canonical official URL; the first-audit or canonical row is retained.</x:v>
      </x:c>
      <x:c r="G161" s="17" t="str">
        <x:v>Which current supervisors match the applicant and are eligible/available to advise Fall 2027 entrants?</x:v>
      </x:c>
      <x:c r="H161" s="17" t="str">
        <x:v>https://se-phd.isri.cmu.edu/</x:v>
      </x:c>
      <x:c r="I161" s="17" t="str">
        <x:v>not_sampled</x:v>
      </x:c>
      <x:c r="J161" s="17" t="str">
        <x:v>not_sampled</x:v>
      </x:c>
    </x:row>
    <x:row r="162" ht="46" customHeight="1">
      <x:c r="A162" s="17" t="str">
        <x:v>us</x:v>
      </x:c>
      <x:c r="B162" s="17" t="str">
        <x:v>Carolina University</x:v>
      </x:c>
      <x:c r="C162" s="17" t="str">
        <x:v>IPEDS discovery signal: Data Science, General (CIP 30.7001)</x:v>
      </x:c>
      <x:c r="D162" s="17" t="str">
        <x:v>Unclear</x:v>
      </x:c>
      <x:c r="E162" s="17" t="str">
        <x:v>stage2_screened_out</x:v>
      </x:c>
      <x:c r="F162" s="17" t="str">
        <x:v>Only one bounded registry/program-code signal was present; no independent topical, Calendar, current-faculty, or first-audit signal was recovered.</x:v>
      </x:c>
      <x:c r="G162" s="17" t="str">
        <x:v>Does the current official catalog contain a research graduate program matching the applicant's topics?</x:v>
      </x:c>
      <x:c r="H162" s="17" t="str">
        <x:v>https://www.carolinau.edu</x:v>
      </x:c>
      <x:c r="I162" s="17" t="str">
        <x:v>not_sampled</x:v>
      </x:c>
      <x:c r="J162" s="17" t="str">
        <x:v>not_sampled</x:v>
      </x:c>
    </x:row>
    <x:row r="163" ht="46" customHeight="1">
      <x:c r="A163" s="17" t="str">
        <x:v>us</x:v>
      </x:c>
      <x:c r="B163" s="17" t="str">
        <x:v>Carroll University</x:v>
      </x:c>
      <x:c r="C163" s="17" t="str">
        <x:v>IPEDS discovery signal: Computer Software Engineering (CIP 14.0903)</x:v>
      </x:c>
      <x:c r="D163" s="17" t="str">
        <x:v>Unclear</x:v>
      </x:c>
      <x:c r="E163" s="17" t="str">
        <x:v>stage2_screened_out</x:v>
      </x:c>
      <x:c r="F163" s="17" t="str">
        <x:v>Only one bounded registry/program-code signal was present; no independent topical, Calendar, current-faculty, or first-audit signal was recovered.</x:v>
      </x:c>
      <x:c r="G163" s="17" t="str">
        <x:v>Does the current official catalog contain a research graduate program matching the applicant's topics?</x:v>
      </x:c>
      <x:c r="H163" s="17" t="str">
        <x:v>https://www.carrollu.edu</x:v>
      </x:c>
      <x:c r="I163" s="17" t="str">
        <x:v>not_sampled</x:v>
      </x:c>
      <x:c r="J163" s="17" t="str">
        <x:v>not_sampled</x:v>
      </x:c>
    </x:row>
    <x:row r="164" ht="46" customHeight="1">
      <x:c r="A164" s="17" t="str">
        <x:v>us</x:v>
      </x:c>
      <x:c r="B164" s="17" t="str">
        <x:v>Case Western Reserve University</x:v>
      </x:c>
      <x:c r="C164" s="17" t="str">
        <x:v>IPEDS discovery signal: Computer Engineering, General (CIP 14.0901)</x:v>
      </x:c>
      <x:c r="D164" s="17" t="str">
        <x:v>Unclear</x:v>
      </x:c>
      <x:c r="E164" s="17" t="str">
        <x:v>stage2_screened_out</x:v>
      </x:c>
      <x:c r="F164" s="17" t="str">
        <x:v>Mechanical discovery placeholder is superseded by an exact official program record at the same institution.</x:v>
      </x:c>
      <x:c r="G164" s="17" t="str">
        <x:v>Does the current official catalog contain a research graduate program matching the applicant's topics?</x:v>
      </x:c>
      <x:c r="H164" s="17" t="str">
        <x:v>https://www.case.edu</x:v>
      </x:c>
      <x:c r="I164" s="17" t="str">
        <x:v>not_sampled</x:v>
      </x:c>
      <x:c r="J164" s="17" t="str">
        <x:v>not_sampled</x:v>
      </x:c>
    </x:row>
    <x:row r="165" ht="46" customHeight="1">
      <x:c r="A165" s="17" t="str">
        <x:v>us</x:v>
      </x:c>
      <x:c r="B165" s="17" t="str">
        <x:v>Case Western Reserve University</x:v>
      </x:c>
      <x:c r="C165" s="17" t="str">
        <x:v>IPEDS discovery signal: Computer Science (CIP 11.0701)</x:v>
      </x:c>
      <x:c r="D165" s="17" t="str">
        <x:v>Unclear</x:v>
      </x:c>
      <x:c r="E165" s="17" t="str">
        <x:v>stage2_screened_out</x:v>
      </x:c>
      <x:c r="F165" s="17" t="str">
        <x:v>Mechanical discovery placeholder is superseded by an exact official program record at the same institution.</x:v>
      </x:c>
      <x:c r="G165" s="17" t="str">
        <x:v>Does the current official catalog contain a research graduate program matching the applicant's topics?</x:v>
      </x:c>
      <x:c r="H165" s="17" t="str">
        <x:v>https://www.case.edu</x:v>
      </x:c>
      <x:c r="I165" s="17" t="str">
        <x:v>not_sampled</x:v>
      </x:c>
      <x:c r="J165" s="17" t="str">
        <x:v>not_sampled</x:v>
      </x:c>
    </x:row>
    <x:row r="166" ht="46" customHeight="1">
      <x:c r="A166" s="17" t="str">
        <x:v>us</x:v>
      </x:c>
      <x:c r="B166" s="17" t="str">
        <x:v>Case Western Reserve University</x:v>
      </x:c>
      <x:c r="C166" s="17" t="str">
        <x:v>IPEDS discovery signal: Electrical and Electronics Engineering (CIP 14.1001)</x:v>
      </x:c>
      <x:c r="D166" s="17" t="str">
        <x:v>Unclear</x:v>
      </x:c>
      <x:c r="E166" s="17" t="str">
        <x:v>stage2_screened_out</x:v>
      </x:c>
      <x:c r="F166" s="17" t="str">
        <x:v>Mechanical discovery placeholder is superseded by an exact official program record at the same institution.</x:v>
      </x:c>
      <x:c r="G166" s="17" t="str">
        <x:v>Does the current official catalog contain a research graduate program matching the applicant's topics?</x:v>
      </x:c>
      <x:c r="H166" s="17" t="str">
        <x:v>https://www.case.edu</x:v>
      </x:c>
      <x:c r="I166" s="17" t="str">
        <x:v>not_sampled</x:v>
      </x:c>
      <x:c r="J166" s="17" t="str">
        <x:v>not_sampled</x:v>
      </x:c>
    </x:row>
    <x:row r="167" ht="46" customHeight="1">
      <x:c r="A167" s="17" t="str">
        <x:v>us</x:v>
      </x:c>
      <x:c r="B167" s="17" t="str">
        <x:v>Central Connecticut State University</x:v>
      </x:c>
      <x:c r="C167" s="17" t="str">
        <x:v>IPEDS discovery signal: Computer Software Engineering (CIP 14.0903)</x:v>
      </x:c>
      <x:c r="D167" s="17" t="str">
        <x:v>Unclear</x:v>
      </x:c>
      <x:c r="E167" s="17" t="str">
        <x:v>stage2_screened_out</x:v>
      </x:c>
      <x:c r="F167" s="17" t="str">
        <x:v>Only one bounded registry/program-code signal was present; no independent topical, Calendar, current-faculty, or first-audit signal was recovered.</x:v>
      </x:c>
      <x:c r="G167" s="17" t="str">
        <x:v>Does the current official catalog contain a research graduate program matching the applicant's topics?</x:v>
      </x:c>
      <x:c r="H167" s="17" t="str">
        <x:v>https://www.ccsu.edu</x:v>
      </x:c>
      <x:c r="I167" s="17" t="str">
        <x:v>not_sampled</x:v>
      </x:c>
      <x:c r="J167" s="17" t="str">
        <x:v>not_sampled</x:v>
      </x:c>
    </x:row>
    <x:row r="168" ht="46" customHeight="1">
      <x:c r="A168" s="17" t="str">
        <x:v>us</x:v>
      </x:c>
      <x:c r="B168" s="17" t="str">
        <x:v>Central Connecticut State University</x:v>
      </x:c>
      <x:c r="C168" s="17" t="str">
        <x:v>IPEDS discovery signal: Information Technology (CIP 11.0103)</x:v>
      </x:c>
      <x:c r="D168" s="17" t="str">
        <x:v>Unclear</x:v>
      </x:c>
      <x:c r="E168" s="17" t="str">
        <x:v>stage2_screened_out</x:v>
      </x:c>
      <x:c r="F168" s="17" t="str">
        <x:v>Only one bounded registry/program-code signal was present; no independent topical, Calendar, current-faculty, or first-audit signal was recovered.</x:v>
      </x:c>
      <x:c r="G168" s="17" t="str">
        <x:v>Does the current official catalog contain a research graduate program matching the applicant's topics?</x:v>
      </x:c>
      <x:c r="H168" s="17" t="str">
        <x:v>https://www.ccsu.edu</x:v>
      </x:c>
      <x:c r="I168" s="17" t="str">
        <x:v>not_sampled</x:v>
      </x:c>
      <x:c r="J168" s="17" t="str">
        <x:v>not_sampled</x:v>
      </x:c>
    </x:row>
    <x:row r="169" ht="46" customHeight="1">
      <x:c r="A169" s="17" t="str">
        <x:v>us</x:v>
      </x:c>
      <x:c r="B169" s="17" t="str">
        <x:v>Central Michigan University</x:v>
      </x:c>
      <x:c r="C169" s="17" t="str">
        <x:v>IPEDS discovery signal: Computer and Information Sciences, General (CIP 11.0101)</x:v>
      </x:c>
      <x:c r="D169" s="17" t="str">
        <x:v>Unclear</x:v>
      </x:c>
      <x:c r="E169" s="17" t="str">
        <x:v>stage2_screened_out</x:v>
      </x:c>
      <x:c r="F169" s="17" t="str">
        <x:v>Only one bounded registry/program-code signal was present; no independent topical, Calendar, current-faculty, or first-audit signal was recovered.</x:v>
      </x:c>
      <x:c r="G169" s="17" t="str">
        <x:v>Does the current official catalog contain a research graduate program matching the applicant's topics?</x:v>
      </x:c>
      <x:c r="H169" s="17" t="str">
        <x:v>https://www.cmich.edu</x:v>
      </x:c>
      <x:c r="I169" s="17" t="str">
        <x:v>not_sampled</x:v>
      </x:c>
      <x:c r="J169" s="17" t="str">
        <x:v>not_sampled</x:v>
      </x:c>
    </x:row>
    <x:row r="170" ht="46" customHeight="1">
      <x:c r="A170" s="17" t="str">
        <x:v>us</x:v>
      </x:c>
      <x:c r="B170" s="17" t="str">
        <x:v>Central Michigan University</x:v>
      </x:c>
      <x:c r="C170" s="17" t="str">
        <x:v>IPEDS discovery signal: Computer Science (CIP 11.0701)</x:v>
      </x:c>
      <x:c r="D170" s="17" t="str">
        <x:v>Unclear</x:v>
      </x:c>
      <x:c r="E170" s="17" t="str">
        <x:v>stage2_screened_out</x:v>
      </x:c>
      <x:c r="F170" s="17" t="str">
        <x:v>Only one bounded registry/program-code signal was present; no independent topical, Calendar, current-faculty, or first-audit signal was recovered.</x:v>
      </x:c>
      <x:c r="G170" s="17" t="str">
        <x:v>Does the current official catalog contain a research graduate program matching the applicant's topics?</x:v>
      </x:c>
      <x:c r="H170" s="17" t="str">
        <x:v>https://www.cmich.edu</x:v>
      </x:c>
      <x:c r="I170" s="17" t="str">
        <x:v>not_sampled</x:v>
      </x:c>
      <x:c r="J170" s="17" t="str">
        <x:v>not_sampled</x:v>
      </x:c>
    </x:row>
    <x:row r="171" ht="46" customHeight="1">
      <x:c r="A171" s="17" t="str">
        <x:v>us</x:v>
      </x:c>
      <x:c r="B171" s="17" t="str">
        <x:v>Central Michigan University</x:v>
      </x:c>
      <x:c r="C171" s="17" t="str">
        <x:v>IPEDS discovery signal: Information Technology (CIP 11.0103)</x:v>
      </x:c>
      <x:c r="D171" s="17" t="str">
        <x:v>Unclear</x:v>
      </x:c>
      <x:c r="E171" s="17" t="str">
        <x:v>stage2_screened_out</x:v>
      </x:c>
      <x:c r="F171" s="17" t="str">
        <x:v>Only one bounded registry/program-code signal was present; no independent topical, Calendar, current-faculty, or first-audit signal was recovered.</x:v>
      </x:c>
      <x:c r="G171" s="17" t="str">
        <x:v>Does the current official catalog contain a research graduate program matching the applicant's topics?</x:v>
      </x:c>
      <x:c r="H171" s="17" t="str">
        <x:v>https://www.cmich.edu</x:v>
      </x:c>
      <x:c r="I171" s="17" t="str">
        <x:v>not_sampled</x:v>
      </x:c>
      <x:c r="J171" s="17" t="str">
        <x:v>not_sampled</x:v>
      </x:c>
    </x:row>
    <x:row r="172" ht="46" customHeight="1">
      <x:c r="A172" s="17" t="str">
        <x:v>us</x:v>
      </x:c>
      <x:c r="B172" s="17" t="str">
        <x:v>Central Washington University</x:v>
      </x:c>
      <x:c r="C172" s="17" t="str">
        <x:v>IPEDS discovery signal: Computer and Information Systems Security/Auditing/Information Assurance (CIP 11.1003)</x:v>
      </x:c>
      <x:c r="D172" s="17" t="str">
        <x:v>Unclear</x:v>
      </x:c>
      <x:c r="E172" s="17" t="str">
        <x:v>stage2_screened_out</x:v>
      </x:c>
      <x:c r="F172" s="17" t="str">
        <x:v>Only one bounded registry/program-code signal was present; no independent topical, Calendar, current-faculty, or first-audit signal was recovered.</x:v>
      </x:c>
      <x:c r="G172" s="17" t="str">
        <x:v>Does the current official catalog contain a research graduate program matching the applicant's topics?</x:v>
      </x:c>
      <x:c r="H172" s="17" t="str">
        <x:v>https://www.cwu.edu</x:v>
      </x:c>
      <x:c r="I172" s="17" t="str">
        <x:v>not_sampled</x:v>
      </x:c>
      <x:c r="J172" s="17" t="str">
        <x:v>not_sampled</x:v>
      </x:c>
    </x:row>
    <x:row r="173" ht="46" customHeight="1">
      <x:c r="A173" s="17" t="str">
        <x:v>us</x:v>
      </x:c>
      <x:c r="B173" s="17" t="str">
        <x:v>Central Washington University</x:v>
      </x:c>
      <x:c r="C173" s="17" t="str">
        <x:v>IPEDS discovery signal: Computer Science (CIP 11.0701)</x:v>
      </x:c>
      <x:c r="D173" s="17" t="str">
        <x:v>Unclear</x:v>
      </x:c>
      <x:c r="E173" s="17" t="str">
        <x:v>stage2_screened_out</x:v>
      </x:c>
      <x:c r="F173" s="17" t="str">
        <x:v>Only one bounded registry/program-code signal was present; no independent topical, Calendar, current-faculty, or first-audit signal was recovered.</x:v>
      </x:c>
      <x:c r="G173" s="17" t="str">
        <x:v>Does the current official catalog contain a research graduate program matching the applicant's topics?</x:v>
      </x:c>
      <x:c r="H173" s="17" t="str">
        <x:v>https://www.cwu.edu</x:v>
      </x:c>
      <x:c r="I173" s="17" t="str">
        <x:v>not_sampled</x:v>
      </x:c>
      <x:c r="J173" s="17" t="str">
        <x:v>not_sampled</x:v>
      </x:c>
    </x:row>
    <x:row r="174" ht="46" customHeight="1">
      <x:c r="A174" s="17" t="str">
        <x:v>us</x:v>
      </x:c>
      <x:c r="B174" s="17" t="str">
        <x:v>Central Washington University</x:v>
      </x:c>
      <x:c r="C174" s="17" t="str">
        <x:v>IPEDS discovery signal: Information Technology (CIP 11.0103)</x:v>
      </x:c>
      <x:c r="D174" s="17" t="str">
        <x:v>Unclear</x:v>
      </x:c>
      <x:c r="E174" s="17" t="str">
        <x:v>stage2_screened_out</x:v>
      </x:c>
      <x:c r="F174" s="17" t="str">
        <x:v>Only one bounded registry/program-code signal was present; no independent topical, Calendar, current-faculty, or first-audit signal was recovered.</x:v>
      </x:c>
      <x:c r="G174" s="17" t="str">
        <x:v>Does the current official catalog contain a research graduate program matching the applicant's topics?</x:v>
      </x:c>
      <x:c r="H174" s="17" t="str">
        <x:v>https://www.cwu.edu</x:v>
      </x:c>
      <x:c r="I174" s="17" t="str">
        <x:v>not_sampled</x:v>
      </x:c>
      <x:c r="J174" s="17" t="str">
        <x:v>not_sampled</x:v>
      </x:c>
    </x:row>
    <x:row r="175" ht="46" customHeight="1">
      <x:c r="A175" s="17" t="str">
        <x:v>us</x:v>
      </x:c>
      <x:c r="B175" s="17" t="str">
        <x:v>Champlain College</x:v>
      </x:c>
      <x:c r="C175" s="17" t="str">
        <x:v>IPEDS discovery signal: Computer and Information Systems Security/Auditing/Information Assurance (CIP 11.1003)</x:v>
      </x:c>
      <x:c r="D175" s="17" t="str">
        <x:v>Unclear</x:v>
      </x:c>
      <x:c r="E175" s="17" t="str">
        <x:v>stage2_screened_out</x:v>
      </x:c>
      <x:c r="F175" s="17" t="str">
        <x:v>Only one bounded registry/program-code signal was present; no independent topical, Calendar, current-faculty, or first-audit signal was recovered.</x:v>
      </x:c>
      <x:c r="G175" s="17" t="str">
        <x:v>Does the current official catalog contain a research graduate program matching the applicant's topics?</x:v>
      </x:c>
      <x:c r="H175" s="17" t="str">
        <x:v>https://www.champlain.edu</x:v>
      </x:c>
      <x:c r="I175" s="17" t="str">
        <x:v>not_sampled</x:v>
      </x:c>
      <x:c r="J175" s="17" t="str">
        <x:v>not_sampled</x:v>
      </x:c>
    </x:row>
    <x:row r="176" ht="46" customHeight="1">
      <x:c r="A176" s="17" t="str">
        <x:v>us</x:v>
      </x:c>
      <x:c r="B176" s="17" t="str">
        <x:v>Champlain College</x:v>
      </x:c>
      <x:c r="C176" s="17" t="str">
        <x:v>IPEDS discovery signal: Cyber/Computer Forensics and Counterterrorism (CIP 43.0403)</x:v>
      </x:c>
      <x:c r="D176" s="17" t="str">
        <x:v>Unclear</x:v>
      </x:c>
      <x:c r="E176" s="17" t="str">
        <x:v>stage2_screened_out</x:v>
      </x:c>
      <x:c r="F176" s="17" t="str">
        <x:v>Only one bounded registry/program-code signal was present; no independent topical, Calendar, current-faculty, or first-audit signal was recovered.</x:v>
      </x:c>
      <x:c r="G176" s="17" t="str">
        <x:v>Does the current official catalog contain a research graduate program matching the applicant's topics?</x:v>
      </x:c>
      <x:c r="H176" s="17" t="str">
        <x:v>https://www.champlain.edu</x:v>
      </x:c>
      <x:c r="I176" s="17" t="str">
        <x:v>not_sampled</x:v>
      </x:c>
      <x:c r="J176" s="17" t="str">
        <x:v>not_sampled</x:v>
      </x:c>
    </x:row>
    <x:row r="177" ht="46" customHeight="1">
      <x:c r="A177" s="17" t="str">
        <x:v>us</x:v>
      </x:c>
      <x:c r="B177" s="17" t="str">
        <x:v>Champlain College</x:v>
      </x:c>
      <x:c r="C177" s="17" t="str">
        <x:v>IPEDS discovery signal: Information Technology (CIP 11.0103)</x:v>
      </x:c>
      <x:c r="D177" s="17" t="str">
        <x:v>Unclear</x:v>
      </x:c>
      <x:c r="E177" s="17" t="str">
        <x:v>stage2_screened_out</x:v>
      </x:c>
      <x:c r="F177" s="17" t="str">
        <x:v>Only one bounded registry/program-code signal was present; no independent topical, Calendar, current-faculty, or first-audit signal was recovered.</x:v>
      </x:c>
      <x:c r="G177" s="17" t="str">
        <x:v>Does the current official catalog contain a research graduate program matching the applicant's topics?</x:v>
      </x:c>
      <x:c r="H177" s="17" t="str">
        <x:v>https://www.champlain.edu</x:v>
      </x:c>
      <x:c r="I177" s="17" t="str">
        <x:v>not_sampled</x:v>
      </x:c>
      <x:c r="J177" s="17" t="str">
        <x:v>not_sampled</x:v>
      </x:c>
    </x:row>
    <x:row r="178" ht="46" customHeight="1">
      <x:c r="A178" s="17" t="str">
        <x:v>us</x:v>
      </x:c>
      <x:c r="B178" s="17" t="str">
        <x:v>Charleston Southern University</x:v>
      </x:c>
      <x:c r="C178" s="17" t="str">
        <x:v>IPEDS discovery signal: Computer and Information Sciences, General (CIP 11.0101)</x:v>
      </x:c>
      <x:c r="D178" s="17" t="str">
        <x:v>Unclear</x:v>
      </x:c>
      <x:c r="E178" s="17" t="str">
        <x:v>stage2_screened_out</x:v>
      </x:c>
      <x:c r="F178" s="17" t="str">
        <x:v>Only one bounded registry/program-code signal was present; no independent topical, Calendar, current-faculty, or first-audit signal was recovered.</x:v>
      </x:c>
      <x:c r="G178" s="17" t="str">
        <x:v>Does the current official catalog contain a research graduate program matching the applicant's topics?</x:v>
      </x:c>
      <x:c r="H178" s="17" t="str">
        <x:v>https://www.charlestonsouthern.edu</x:v>
      </x:c>
      <x:c r="I178" s="17" t="str">
        <x:v>not_sampled</x:v>
      </x:c>
      <x:c r="J178" s="17" t="str">
        <x:v>not_sampled</x:v>
      </x:c>
    </x:row>
    <x:row r="179" ht="46" customHeight="1">
      <x:c r="A179" s="17" t="str">
        <x:v>us</x:v>
      </x:c>
      <x:c r="B179" s="17" t="str">
        <x:v>Chatham University</x:v>
      </x:c>
      <x:c r="C179" s="17" t="str">
        <x:v>IPEDS discovery signal: Informatics (CIP 11.0104)</x:v>
      </x:c>
      <x:c r="D179" s="17" t="str">
        <x:v>Unclear</x:v>
      </x:c>
      <x:c r="E179" s="17" t="str">
        <x:v>stage2_screened_out</x:v>
      </x:c>
      <x:c r="F179" s="17" t="str">
        <x:v>Only one bounded registry/program-code signal was present; no independent topical, Calendar, current-faculty, or first-audit signal was recovered.</x:v>
      </x:c>
      <x:c r="G179" s="17" t="str">
        <x:v>Does the current official catalog contain a research graduate program matching the applicant's topics?</x:v>
      </x:c>
      <x:c r="H179" s="17" t="str">
        <x:v>https://www.chatham.edu</x:v>
      </x:c>
      <x:c r="I179" s="17" t="str">
        <x:v>not_sampled</x:v>
      </x:c>
      <x:c r="J179" s="17" t="str">
        <x:v>not_sampled</x:v>
      </x:c>
    </x:row>
    <x:row r="180" ht="46" customHeight="1">
      <x:c r="A180" s="17" t="str">
        <x:v>us</x:v>
      </x:c>
      <x:c r="B180" s="17" t="str">
        <x:v>Chestnut Hill College</x:v>
      </x:c>
      <x:c r="C180" s="17" t="str">
        <x:v>IPEDS discovery signal: Cyber/Computer Forensics and Counterterrorism (CIP 43.0403)</x:v>
      </x:c>
      <x:c r="D180" s="17" t="str">
        <x:v>Unclear</x:v>
      </x:c>
      <x:c r="E180" s="17" t="str">
        <x:v>stage2_screened_out</x:v>
      </x:c>
      <x:c r="F180" s="17" t="str">
        <x:v>Only one bounded registry/program-code signal was present; no independent topical, Calendar, current-faculty, or first-audit signal was recovered.</x:v>
      </x:c>
      <x:c r="G180" s="17" t="str">
        <x:v>Does the current official catalog contain a research graduate program matching the applicant's topics?</x:v>
      </x:c>
      <x:c r="H180" s="17" t="str">
        <x:v>https://www.chc.edu</x:v>
      </x:c>
      <x:c r="I180" s="17" t="str">
        <x:v>not_sampled</x:v>
      </x:c>
      <x:c r="J180" s="17" t="str">
        <x:v>not_sampled</x:v>
      </x:c>
    </x:row>
    <x:row r="181" ht="46" customHeight="1">
      <x:c r="A181" s="17" t="str">
        <x:v>us</x:v>
      </x:c>
      <x:c r="B181" s="17" t="str">
        <x:v>Christian Brothers University</x:v>
      </x:c>
      <x:c r="C181" s="17" t="str">
        <x:v>IPEDS discovery signal: Data Science, General (CIP 30.7001)</x:v>
      </x:c>
      <x:c r="D181" s="17" t="str">
        <x:v>Unclear</x:v>
      </x:c>
      <x:c r="E181" s="17" t="str">
        <x:v>stage2_screened_out</x:v>
      </x:c>
      <x:c r="F181" s="17" t="str">
        <x:v>Only one bounded registry/program-code signal was present; no independent topical, Calendar, current-faculty, or first-audit signal was recovered.</x:v>
      </x:c>
      <x:c r="G181" s="17" t="str">
        <x:v>Does the current official catalog contain a research graduate program matching the applicant's topics?</x:v>
      </x:c>
      <x:c r="H181" s="17" t="str">
        <x:v>https://www.cbu.edu</x:v>
      </x:c>
      <x:c r="I181" s="17" t="str">
        <x:v>not_sampled</x:v>
      </x:c>
      <x:c r="J181" s="17" t="str">
        <x:v>not_sampled</x:v>
      </x:c>
    </x:row>
    <x:row r="182" ht="46" customHeight="1">
      <x:c r="A182" s="17" t="str">
        <x:v>us</x:v>
      </x:c>
      <x:c r="B182" s="17" t="str">
        <x:v>Citadel Military College of South Carolina</x:v>
      </x:c>
      <x:c r="C182" s="17" t="str">
        <x:v>IPEDS discovery signal: Computer Science (CIP 11.0701)</x:v>
      </x:c>
      <x:c r="D182" s="17" t="str">
        <x:v>Unclear</x:v>
      </x:c>
      <x:c r="E182" s="17" t="str">
        <x:v>stage2_screened_out</x:v>
      </x:c>
      <x:c r="F182" s="17" t="str">
        <x:v>Only one bounded registry/program-code signal was present; no independent topical, Calendar, current-faculty, or first-audit signal was recovered.</x:v>
      </x:c>
      <x:c r="G182" s="17" t="str">
        <x:v>Does the current official catalog contain a research graduate program matching the applicant's topics?</x:v>
      </x:c>
      <x:c r="H182" s="17" t="str">
        <x:v>https://citadel.edu</x:v>
      </x:c>
      <x:c r="I182" s="17" t="str">
        <x:v>not_sampled</x:v>
      </x:c>
      <x:c r="J182" s="17" t="str">
        <x:v>not_sampled</x:v>
      </x:c>
    </x:row>
    <x:row r="183" ht="46" customHeight="1">
      <x:c r="A183" s="17" t="str">
        <x:v>us</x:v>
      </x:c>
      <x:c r="B183" s="17" t="str">
        <x:v>Citadel Military College of South Carolina</x:v>
      </x:c>
      <x:c r="C183" s="17" t="str">
        <x:v>IPEDS discovery signal: Electrical and Electronics Engineering (CIP 14.1001)</x:v>
      </x:c>
      <x:c r="D183" s="17" t="str">
        <x:v>Unclear</x:v>
      </x:c>
      <x:c r="E183" s="17" t="str">
        <x:v>stage2_screened_out</x:v>
      </x:c>
      <x:c r="F183" s="17" t="str">
        <x:v>Only one bounded registry/program-code signal was present; no independent topical, Calendar, current-faculty, or first-audit signal was recovered.</x:v>
      </x:c>
      <x:c r="G183" s="17" t="str">
        <x:v>Does the current official catalog contain a research graduate program matching the applicant's topics?</x:v>
      </x:c>
      <x:c r="H183" s="17" t="str">
        <x:v>https://citadel.edu</x:v>
      </x:c>
      <x:c r="I183" s="17" t="str">
        <x:v>not_sampled</x:v>
      </x:c>
      <x:c r="J183" s="17" t="str">
        <x:v>not_sampled</x:v>
      </x:c>
    </x:row>
    <x:row r="184" ht="46" customHeight="1">
      <x:c r="A184" s="17" t="str">
        <x:v>us</x:v>
      </x:c>
      <x:c r="B184" s="17" t="str">
        <x:v>City University of Seattle</x:v>
      </x:c>
      <x:c r="C184" s="17" t="str">
        <x:v>IPEDS discovery signal: Artificial Intelligence (CIP 11.0102)</x:v>
      </x:c>
      <x:c r="D184" s="17" t="str">
        <x:v>Unclear</x:v>
      </x:c>
      <x:c r="E184" s="17" t="str">
        <x:v>stage2_screened_out</x:v>
      </x:c>
      <x:c r="F184" s="17" t="str">
        <x:v>Only one bounded registry/program-code signal was present; no independent topical, Calendar, current-faculty, or first-audit signal was recovered.</x:v>
      </x:c>
      <x:c r="G184" s="17" t="str">
        <x:v>Does the current official catalog contain a research graduate program matching the applicant's topics?</x:v>
      </x:c>
      <x:c r="H184" s="17" t="str">
        <x:v>https://www.cityu.edu</x:v>
      </x:c>
      <x:c r="I184" s="17" t="str">
        <x:v>not_sampled</x:v>
      </x:c>
      <x:c r="J184" s="17" t="str">
        <x:v>not_sampled</x:v>
      </x:c>
    </x:row>
    <x:row r="185" ht="46" customHeight="1">
      <x:c r="A185" s="17" t="str">
        <x:v>us</x:v>
      </x:c>
      <x:c r="B185" s="17" t="str">
        <x:v>City University of Seattle</x:v>
      </x:c>
      <x:c r="C185" s="17" t="str">
        <x:v>IPEDS discovery signal: Computer and Information Systems Security/Auditing/Information Assurance (CIP 11.1003)</x:v>
      </x:c>
      <x:c r="D185" s="17" t="str">
        <x:v>Unclear</x:v>
      </x:c>
      <x:c r="E185" s="17" t="str">
        <x:v>stage2_screened_out</x:v>
      </x:c>
      <x:c r="F185" s="17" t="str">
        <x:v>Only one bounded registry/program-code signal was present; no independent topical, Calendar, current-faculty, or first-audit signal was recovered.</x:v>
      </x:c>
      <x:c r="G185" s="17" t="str">
        <x:v>Does the current official catalog contain a research graduate program matching the applicant's topics?</x:v>
      </x:c>
      <x:c r="H185" s="17" t="str">
        <x:v>https://www.cityu.edu</x:v>
      </x:c>
      <x:c r="I185" s="17" t="str">
        <x:v>not_sampled</x:v>
      </x:c>
      <x:c r="J185" s="17" t="str">
        <x:v>not_sampled</x:v>
      </x:c>
    </x:row>
    <x:row r="186" ht="46" customHeight="1">
      <x:c r="A186" s="17" t="str">
        <x:v>us</x:v>
      </x:c>
      <x:c r="B186" s="17" t="str">
        <x:v>City University of Seattle</x:v>
      </x:c>
      <x:c r="C186" s="17" t="str">
        <x:v>IPEDS discovery signal: Computer Science (CIP 11.0701)</x:v>
      </x:c>
      <x:c r="D186" s="17" t="str">
        <x:v>Unclear</x:v>
      </x:c>
      <x:c r="E186" s="17" t="str">
        <x:v>stage2_screened_out</x:v>
      </x:c>
      <x:c r="F186" s="17" t="str">
        <x:v>Only one bounded registry/program-code signal was present; no independent topical, Calendar, current-faculty, or first-audit signal was recovered.</x:v>
      </x:c>
      <x:c r="G186" s="17" t="str">
        <x:v>Does the current official catalog contain a research graduate program matching the applicant's topics?</x:v>
      </x:c>
      <x:c r="H186" s="17" t="str">
        <x:v>https://www.cityu.edu</x:v>
      </x:c>
      <x:c r="I186" s="17" t="str">
        <x:v>not_sampled</x:v>
      </x:c>
      <x:c r="J186" s="17" t="str">
        <x:v>not_sampled</x:v>
      </x:c>
    </x:row>
    <x:row r="187" ht="46" customHeight="1">
      <x:c r="A187" s="17" t="str">
        <x:v>us</x:v>
      </x:c>
      <x:c r="B187" s="17" t="str">
        <x:v>City University of Seattle</x:v>
      </x:c>
      <x:c r="C187" s="17" t="str">
        <x:v>IPEDS discovery signal: Data Science, General (CIP 30.7001)</x:v>
      </x:c>
      <x:c r="D187" s="17" t="str">
        <x:v>Unclear</x:v>
      </x:c>
      <x:c r="E187" s="17" t="str">
        <x:v>stage2_screened_out</x:v>
      </x:c>
      <x:c r="F187" s="17" t="str">
        <x:v>Only one bounded registry/program-code signal was present; no independent topical, Calendar, current-faculty, or first-audit signal was recovered.</x:v>
      </x:c>
      <x:c r="G187" s="17" t="str">
        <x:v>Does the current official catalog contain a research graduate program matching the applicant's topics?</x:v>
      </x:c>
      <x:c r="H187" s="17" t="str">
        <x:v>https://www.cityu.edu</x:v>
      </x:c>
      <x:c r="I187" s="17" t="str">
        <x:v>not_sampled</x:v>
      </x:c>
      <x:c r="J187" s="17" t="str">
        <x:v>not_sampled</x:v>
      </x:c>
    </x:row>
    <x:row r="188" ht="46" customHeight="1">
      <x:c r="A188" s="17" t="str">
        <x:v>us</x:v>
      </x:c>
      <x:c r="B188" s="17" t="str">
        <x:v>Claremont Graduate University</x:v>
      </x:c>
      <x:c r="C188" s="17" t="str">
        <x:v>IPEDS discovery signal: Information Science/Studies (CIP 11.0401)</x:v>
      </x:c>
      <x:c r="D188" s="17" t="str">
        <x:v>Unclear</x:v>
      </x:c>
      <x:c r="E188" s="17" t="str">
        <x:v>stage2_screened_out</x:v>
      </x:c>
      <x:c r="F188" s="17" t="str">
        <x:v>Only one bounded registry/program-code signal was present; no independent topical, Calendar, current-faculty, or first-audit signal was recovered.</x:v>
      </x:c>
      <x:c r="G188" s="17" t="str">
        <x:v>Does the current official catalog contain a research graduate program matching the applicant's topics?</x:v>
      </x:c>
      <x:c r="H188" s="17" t="str">
        <x:v>https://www.cgu.edu</x:v>
      </x:c>
      <x:c r="I188" s="17" t="str">
        <x:v>not_sampled</x:v>
      </x:c>
      <x:c r="J188" s="17" t="str">
        <x:v>not_sampled</x:v>
      </x:c>
    </x:row>
    <x:row r="189" ht="46" customHeight="1">
      <x:c r="A189" s="17" t="str">
        <x:v>us</x:v>
      </x:c>
      <x:c r="B189" s="17" t="str">
        <x:v>Clark Atlanta University</x:v>
      </x:c>
      <x:c r="C189" s="17" t="str">
        <x:v>IPEDS discovery signal: Computer Science (CIP 11.0701)</x:v>
      </x:c>
      <x:c r="D189" s="17" t="str">
        <x:v>Unclear</x:v>
      </x:c>
      <x:c r="E189" s="17" t="str">
        <x:v>stage2_screened_out</x:v>
      </x:c>
      <x:c r="F189" s="17" t="str">
        <x:v>Only one bounded registry/program-code signal was present; no independent topical, Calendar, current-faculty, or first-audit signal was recovered.</x:v>
      </x:c>
      <x:c r="G189" s="17" t="str">
        <x:v>Does the current official catalog contain a research graduate program matching the applicant's topics?</x:v>
      </x:c>
      <x:c r="H189" s="17" t="str">
        <x:v>https://www.cau.edu</x:v>
      </x:c>
      <x:c r="I189" s="17" t="str">
        <x:v>not_sampled</x:v>
      </x:c>
      <x:c r="J189" s="17" t="str">
        <x:v>not_sampled</x:v>
      </x:c>
    </x:row>
    <x:row r="190" ht="46" customHeight="1">
      <x:c r="A190" s="17" t="str">
        <x:v>us</x:v>
      </x:c>
      <x:c r="B190" s="17" t="str">
        <x:v>Clark University</x:v>
      </x:c>
      <x:c r="C190" s="17" t="str">
        <x:v>IPEDS discovery signal: Computer Science (CIP 11.0701)</x:v>
      </x:c>
      <x:c r="D190" s="17" t="str">
        <x:v>Unclear</x:v>
      </x:c>
      <x:c r="E190" s="17" t="str">
        <x:v>stage2_screened_out</x:v>
      </x:c>
      <x:c r="F190" s="17" t="str">
        <x:v>Only one bounded registry/program-code signal was present; no independent topical, Calendar, current-faculty, or first-audit signal was recovered.</x:v>
      </x:c>
      <x:c r="G190" s="17" t="str">
        <x:v>Does the current official catalog contain a research graduate program matching the applicant's topics?</x:v>
      </x:c>
      <x:c r="H190" s="17" t="str">
        <x:v>https://www.clarku.edu</x:v>
      </x:c>
      <x:c r="I190" s="17" t="str">
        <x:v>not_sampled</x:v>
      </x:c>
      <x:c r="J190" s="17" t="str">
        <x:v>not_sampled</x:v>
      </x:c>
    </x:row>
    <x:row r="191" ht="46" customHeight="1">
      <x:c r="A191" s="17" t="str">
        <x:v>us</x:v>
      </x:c>
      <x:c r="B191" s="17" t="str">
        <x:v>Clark University</x:v>
      </x:c>
      <x:c r="C191" s="17" t="str">
        <x:v>IPEDS discovery signal: Informatics (CIP 11.0104)</x:v>
      </x:c>
      <x:c r="D191" s="17" t="str">
        <x:v>Unclear</x:v>
      </x:c>
      <x:c r="E191" s="17" t="str">
        <x:v>stage2_screened_out</x:v>
      </x:c>
      <x:c r="F191" s="17" t="str">
        <x:v>Only one bounded registry/program-code signal was present; no independent topical, Calendar, current-faculty, or first-audit signal was recovered.</x:v>
      </x:c>
      <x:c r="G191" s="17" t="str">
        <x:v>Does the current official catalog contain a research graduate program matching the applicant's topics?</x:v>
      </x:c>
      <x:c r="H191" s="17" t="str">
        <x:v>https://www.clarku.edu</x:v>
      </x:c>
      <x:c r="I191" s="17" t="str">
        <x:v>not_sampled</x:v>
      </x:c>
      <x:c r="J191" s="17" t="str">
        <x:v>not_sampled</x:v>
      </x:c>
    </x:row>
    <x:row r="192" ht="46" customHeight="1">
      <x:c r="A192" s="17" t="str">
        <x:v>us</x:v>
      </x:c>
      <x:c r="B192" s="17" t="str">
        <x:v>Clark University</x:v>
      </x:c>
      <x:c r="C192" s="17" t="str">
        <x:v>IPEDS discovery signal: Information Technology (CIP 11.0103)</x:v>
      </x:c>
      <x:c r="D192" s="17" t="str">
        <x:v>Unclear</x:v>
      </x:c>
      <x:c r="E192" s="17" t="str">
        <x:v>stage2_screened_out</x:v>
      </x:c>
      <x:c r="F192" s="17" t="str">
        <x:v>Only one bounded registry/program-code signal was present; no independent topical, Calendar, current-faculty, or first-audit signal was recovered.</x:v>
      </x:c>
      <x:c r="G192" s="17" t="str">
        <x:v>Does the current official catalog contain a research graduate program matching the applicant's topics?</x:v>
      </x:c>
      <x:c r="H192" s="17" t="str">
        <x:v>https://www.clarku.edu</x:v>
      </x:c>
      <x:c r="I192" s="17" t="str">
        <x:v>not_sampled</x:v>
      </x:c>
      <x:c r="J192" s="17" t="str">
        <x:v>not_sampled</x:v>
      </x:c>
    </x:row>
    <x:row r="193" ht="46" customHeight="1">
      <x:c r="A193" s="17" t="str">
        <x:v>us</x:v>
      </x:c>
      <x:c r="B193" s="17" t="str">
        <x:v>Clarkson University</x:v>
      </x:c>
      <x:c r="C193" s="17" t="str">
        <x:v>IPEDS discovery signal: Computer Science (CIP 11.0701)</x:v>
      </x:c>
      <x:c r="D193" s="17" t="str">
        <x:v>Unclear</x:v>
      </x:c>
      <x:c r="E193" s="17" t="str">
        <x:v>stage2_screened_out</x:v>
      </x:c>
      <x:c r="F193" s="17" t="str">
        <x:v>Only one bounded registry/program-code signal was present; no independent topical, Calendar, current-faculty, or first-audit signal was recovered.</x:v>
      </x:c>
      <x:c r="G193" s="17" t="str">
        <x:v>Does the current official catalog contain a research graduate program matching the applicant's topics?</x:v>
      </x:c>
      <x:c r="H193" s="17" t="str">
        <x:v>https://www.clarkson.edu</x:v>
      </x:c>
      <x:c r="I193" s="17" t="str">
        <x:v>not_sampled</x:v>
      </x:c>
      <x:c r="J193" s="17" t="str">
        <x:v>not_sampled</x:v>
      </x:c>
    </x:row>
    <x:row r="194" ht="46" customHeight="1">
      <x:c r="A194" s="17" t="str">
        <x:v>us</x:v>
      </x:c>
      <x:c r="B194" s="17" t="str">
        <x:v>Clarkson University</x:v>
      </x:c>
      <x:c r="C194" s="17" t="str">
        <x:v>IPEDS discovery signal: Data Analytics, General (CIP 30.7101)</x:v>
      </x:c>
      <x:c r="D194" s="17" t="str">
        <x:v>Unclear</x:v>
      </x:c>
      <x:c r="E194" s="17" t="str">
        <x:v>stage2_screened_out</x:v>
      </x:c>
      <x:c r="F194" s="17" t="str">
        <x:v>Only one bounded registry/program-code signal was present; no independent topical, Calendar, current-faculty, or first-audit signal was recovered.</x:v>
      </x:c>
      <x:c r="G194" s="17" t="str">
        <x:v>Does the current official catalog contain a research graduate program matching the applicant's topics?</x:v>
      </x:c>
      <x:c r="H194" s="17" t="str">
        <x:v>https://www.clarkson.edu</x:v>
      </x:c>
      <x:c r="I194" s="17" t="str">
        <x:v>not_sampled</x:v>
      </x:c>
      <x:c r="J194" s="17" t="str">
        <x:v>not_sampled</x:v>
      </x:c>
    </x:row>
    <x:row r="195" ht="46" customHeight="1">
      <x:c r="A195" s="17" t="str">
        <x:v>us</x:v>
      </x:c>
      <x:c r="B195" s="17" t="str">
        <x:v>Clarkson University</x:v>
      </x:c>
      <x:c r="C195" s="17" t="str">
        <x:v>IPEDS discovery signal: Data Science, General (CIP 30.7001)</x:v>
      </x:c>
      <x:c r="D195" s="17" t="str">
        <x:v>Unclear</x:v>
      </x:c>
      <x:c r="E195" s="17" t="str">
        <x:v>stage2_screened_out</x:v>
      </x:c>
      <x:c r="F195" s="17" t="str">
        <x:v>Only one bounded registry/program-code signal was present; no independent topical, Calendar, current-faculty, or first-audit signal was recovered.</x:v>
      </x:c>
      <x:c r="G195" s="17" t="str">
        <x:v>Does the current official catalog contain a research graduate program matching the applicant's topics?</x:v>
      </x:c>
      <x:c r="H195" s="17" t="str">
        <x:v>https://www.clarkson.edu</x:v>
      </x:c>
      <x:c r="I195" s="17" t="str">
        <x:v>not_sampled</x:v>
      </x:c>
      <x:c r="J195" s="17" t="str">
        <x:v>not_sampled</x:v>
      </x:c>
    </x:row>
    <x:row r="196" ht="46" customHeight="1">
      <x:c r="A196" s="17" t="str">
        <x:v>us</x:v>
      </x:c>
      <x:c r="B196" s="17" t="str">
        <x:v>Clarkson University</x:v>
      </x:c>
      <x:c r="C196" s="17" t="str">
        <x:v>IPEDS discovery signal: Electrical and Electronics Engineering (CIP 14.1001)</x:v>
      </x:c>
      <x:c r="D196" s="17" t="str">
        <x:v>Unclear</x:v>
      </x:c>
      <x:c r="E196" s="17" t="str">
        <x:v>stage2_screened_out</x:v>
      </x:c>
      <x:c r="F196" s="17" t="str">
        <x:v>Only one bounded registry/program-code signal was present; no independent topical, Calendar, current-faculty, or first-audit signal was recovered.</x:v>
      </x:c>
      <x:c r="G196" s="17" t="str">
        <x:v>Does the current official catalog contain a research graduate program matching the applicant's topics?</x:v>
      </x:c>
      <x:c r="H196" s="17" t="str">
        <x:v>https://www.clarkson.edu</x:v>
      </x:c>
      <x:c r="I196" s="17" t="str">
        <x:v>not_sampled</x:v>
      </x:c>
      <x:c r="J196" s="17" t="str">
        <x:v>not_sampled</x:v>
      </x:c>
    </x:row>
    <x:row r="197" ht="46" customHeight="1">
      <x:c r="A197" s="17" t="str">
        <x:v>us</x:v>
      </x:c>
      <x:c r="B197" s="17" t="str">
        <x:v>Clayton  State University</x:v>
      </x:c>
      <x:c r="C197" s="17" t="str">
        <x:v>IPEDS discovery signal: Computer and Information Systems Security/Auditing/Information Assurance (CIP 11.1003)</x:v>
      </x:c>
      <x:c r="D197" s="17" t="str">
        <x:v>Unclear</x:v>
      </x:c>
      <x:c r="E197" s="17" t="str">
        <x:v>stage2_screened_out</x:v>
      </x:c>
      <x:c r="F197" s="17" t="str">
        <x:v>Only one bounded registry/program-code signal was present; no independent topical, Calendar, current-faculty, or first-audit signal was recovered.</x:v>
      </x:c>
      <x:c r="G197" s="17" t="str">
        <x:v>Does the current official catalog contain a research graduate program matching the applicant's topics?</x:v>
      </x:c>
      <x:c r="H197" s="17" t="str">
        <x:v>https://www.clayton.edu</x:v>
      </x:c>
      <x:c r="I197" s="17" t="str">
        <x:v>not_sampled</x:v>
      </x:c>
      <x:c r="J197" s="17" t="str">
        <x:v>not_sampled</x:v>
      </x:c>
    </x:row>
    <x:row r="198" ht="46" customHeight="1">
      <x:c r="A198" s="17" t="str">
        <x:v>us</x:v>
      </x:c>
      <x:c r="B198" s="17" t="str">
        <x:v>Clemson University</x:v>
      </x:c>
      <x:c r="C198" s="17" t="str">
        <x:v>IPEDS discovery signal: Computer Engineering, General (CIP 14.0901)</x:v>
      </x:c>
      <x:c r="D198" s="17" t="str">
        <x:v>Unclear</x:v>
      </x:c>
      <x:c r="E198" s="17" t="str">
        <x:v>stage2_screened_out</x:v>
      </x:c>
      <x:c r="F198" s="17" t="str">
        <x:v>Duplicate mechanical discovery signal consolidated into one institution-level catalog review candidate.</x:v>
      </x:c>
      <x:c r="G198" s="17" t="str">
        <x:v>Does the current official catalog contain a research graduate program matching the applicant's topics?</x:v>
      </x:c>
      <x:c r="H198" s="17" t="str">
        <x:v>https://www.clemson.edu</x:v>
      </x:c>
      <x:c r="I198" s="17" t="str">
        <x:v>not_sampled</x:v>
      </x:c>
      <x:c r="J198" s="17" t="str">
        <x:v>not_sampled</x:v>
      </x:c>
    </x:row>
    <x:row r="199" ht="46" customHeight="1">
      <x:c r="A199" s="17" t="str">
        <x:v>us</x:v>
      </x:c>
      <x:c r="B199" s="17" t="str">
        <x:v>Clemson University</x:v>
      </x:c>
      <x:c r="C199" s="17" t="str">
        <x:v>IPEDS discovery signal: Electrical and Electronics Engineering (CIP 14.1001)</x:v>
      </x:c>
      <x:c r="D199" s="17" t="str">
        <x:v>Unclear</x:v>
      </x:c>
      <x:c r="E199" s="17" t="str">
        <x:v>stage2_screened_out</x:v>
      </x:c>
      <x:c r="F199" s="17" t="str">
        <x:v>Duplicate mechanical discovery signal consolidated into one institution-level catalog review candidate.</x:v>
      </x:c>
      <x:c r="G199" s="17" t="str">
        <x:v>Does the current official catalog contain a research graduate program matching the applicant's topics?</x:v>
      </x:c>
      <x:c r="H199" s="17" t="str">
        <x:v>https://www.clemson.edu</x:v>
      </x:c>
      <x:c r="I199" s="17" t="str">
        <x:v>not_sampled</x:v>
      </x:c>
      <x:c r="J199" s="17" t="str">
        <x:v>not_sampled</x:v>
      </x:c>
    </x:row>
    <x:row r="200" ht="46" customHeight="1">
      <x:c r="A200" s="17" t="str">
        <x:v>us</x:v>
      </x:c>
      <x:c r="B200" s="17" t="str">
        <x:v>Clemson University</x:v>
      </x:c>
      <x:c r="C200" s="17" t="str">
        <x:v>IPEDS discovery signal: Informatics (CIP 11.0104)</x:v>
      </x:c>
      <x:c r="D200" s="17" t="str">
        <x:v>Unclear</x:v>
      </x:c>
      <x:c r="E200" s="17" t="str">
        <x:v>stage2_screened_out</x:v>
      </x:c>
      <x:c r="F200" s="17" t="str">
        <x:v>Duplicate mechanical discovery signal consolidated into one institution-level catalog review candidate.</x:v>
      </x:c>
      <x:c r="G200" s="17" t="str">
        <x:v>Does the current official catalog contain a research graduate program matching the applicant's topics?</x:v>
      </x:c>
      <x:c r="H200" s="17" t="str">
        <x:v>https://www.clemson.edu</x:v>
      </x:c>
      <x:c r="I200" s="17" t="str">
        <x:v>not_sampled</x:v>
      </x:c>
      <x:c r="J200" s="17" t="str">
        <x:v>not_sampled</x:v>
      </x:c>
    </x:row>
    <x:row r="201" ht="46" customHeight="1">
      <x:c r="A201" s="17" t="str">
        <x:v>us</x:v>
      </x:c>
      <x:c r="B201" s="17" t="str">
        <x:v>Cleveland State University</x:v>
      </x:c>
      <x:c r="C201" s="17" t="str">
        <x:v>IPEDS discovery signal: Computer Science (CIP 11.0701)</x:v>
      </x:c>
      <x:c r="D201" s="17" t="str">
        <x:v>Unclear</x:v>
      </x:c>
      <x:c r="E201" s="17" t="str">
        <x:v>stage2_screened_out</x:v>
      </x:c>
      <x:c r="F201" s="17" t="str">
        <x:v>Duplicate mechanical discovery signal consolidated into one institution-level catalog review candidate.</x:v>
      </x:c>
      <x:c r="G201" s="17" t="str">
        <x:v>Does the current official catalog contain a research graduate program matching the applicant's topics?</x:v>
      </x:c>
      <x:c r="H201" s="17" t="str">
        <x:v>https://www.csuohio.edu</x:v>
      </x:c>
      <x:c r="I201" s="17" t="str">
        <x:v>not_sampled</x:v>
      </x:c>
      <x:c r="J201" s="17" t="str">
        <x:v>not_sampled</x:v>
      </x:c>
    </x:row>
    <x:row r="202" ht="46" customHeight="1">
      <x:c r="A202" s="17" t="str">
        <x:v>us</x:v>
      </x:c>
      <x:c r="B202" s="17" t="str">
        <x:v>Cleveland State University</x:v>
      </x:c>
      <x:c r="C202" s="17" t="str">
        <x:v>IPEDS discovery signal: Computer Software Engineering (CIP 14.0903)</x:v>
      </x:c>
      <x:c r="D202" s="17" t="str">
        <x:v>Unclear</x:v>
      </x:c>
      <x:c r="E202" s="17" t="str">
        <x:v>stage2_screened_out</x:v>
      </x:c>
      <x:c r="F202" s="17" t="str">
        <x:v>Duplicate mechanical discovery signal consolidated into one institution-level catalog review candidate.</x:v>
      </x:c>
      <x:c r="G202" s="17" t="str">
        <x:v>Does the current official catalog contain a research graduate program matching the applicant's topics?</x:v>
      </x:c>
      <x:c r="H202" s="17" t="str">
        <x:v>https://www.csuohio.edu</x:v>
      </x:c>
      <x:c r="I202" s="17" t="str">
        <x:v>not_sampled</x:v>
      </x:c>
      <x:c r="J202" s="17" t="str">
        <x:v>not_sampled</x:v>
      </x:c>
    </x:row>
    <x:row r="203" ht="46" customHeight="1">
      <x:c r="A203" s="17" t="str">
        <x:v>us</x:v>
      </x:c>
      <x:c r="B203" s="17" t="str">
        <x:v>Cleveland State University</x:v>
      </x:c>
      <x:c r="C203" s="17" t="str">
        <x:v>IPEDS discovery signal: Electrical and Electronics Engineering (CIP 14.1001)</x:v>
      </x:c>
      <x:c r="D203" s="17" t="str">
        <x:v>Unclear</x:v>
      </x:c>
      <x:c r="E203" s="17" t="str">
        <x:v>stage2_screened_out</x:v>
      </x:c>
      <x:c r="F203" s="17" t="str">
        <x:v>Duplicate mechanical discovery signal consolidated into one institution-level catalog review candidate.</x:v>
      </x:c>
      <x:c r="G203" s="17" t="str">
        <x:v>Does the current official catalog contain a research graduate program matching the applicant's topics?</x:v>
      </x:c>
      <x:c r="H203" s="17" t="str">
        <x:v>https://www.csuohio.edu</x:v>
      </x:c>
      <x:c r="I203" s="17" t="str">
        <x:v>not_sampled</x:v>
      </x:c>
      <x:c r="J203" s="17" t="str">
        <x:v>not_sampled</x:v>
      </x:c>
    </x:row>
    <x:row r="204" ht="46" customHeight="1">
      <x:c r="A204" s="17" t="str">
        <x:v>us</x:v>
      </x:c>
      <x:c r="B204" s="17" t="str">
        <x:v>Cleveland State University</x:v>
      </x:c>
      <x:c r="C204" s="17" t="str">
        <x:v>IPEDS discovery signal: Information Science/Studies (CIP 11.0401)</x:v>
      </x:c>
      <x:c r="D204" s="17" t="str">
        <x:v>Unclear</x:v>
      </x:c>
      <x:c r="E204" s="17" t="str">
        <x:v>stage2_screened_out</x:v>
      </x:c>
      <x:c r="F204" s="17" t="str">
        <x:v>Duplicate mechanical discovery signal consolidated into one institution-level catalog review candidate.</x:v>
      </x:c>
      <x:c r="G204" s="17" t="str">
        <x:v>Does the current official catalog contain a research graduate program matching the applicant's topics?</x:v>
      </x:c>
      <x:c r="H204" s="17" t="str">
        <x:v>https://www.csuohio.edu</x:v>
      </x:c>
      <x:c r="I204" s="17" t="str">
        <x:v>not_sampled</x:v>
      </x:c>
      <x:c r="J204" s="17" t="str">
        <x:v>not_sampled</x:v>
      </x:c>
    </x:row>
    <x:row r="205" ht="46" customHeight="1">
      <x:c r="A205" s="17" t="str">
        <x:v>us</x:v>
      </x:c>
      <x:c r="B205" s="17" t="str">
        <x:v>Cleveland State University</x:v>
      </x:c>
      <x:c r="C205" s="17" t="str">
        <x:v>IPEDS discovery signal: Information Technology (CIP 11.0103)</x:v>
      </x:c>
      <x:c r="D205" s="17" t="str">
        <x:v>Unclear</x:v>
      </x:c>
      <x:c r="E205" s="17" t="str">
        <x:v>stage2_screened_out</x:v>
      </x:c>
      <x:c r="F205" s="17" t="str">
        <x:v>Duplicate mechanical discovery signal consolidated into one institution-level catalog review candidate.</x:v>
      </x:c>
      <x:c r="G205" s="17" t="str">
        <x:v>Does the current official catalog contain a research graduate program matching the applicant's topics?</x:v>
      </x:c>
      <x:c r="H205" s="17" t="str">
        <x:v>https://www.csuohio.edu</x:v>
      </x:c>
      <x:c r="I205" s="17" t="str">
        <x:v>not_sampled</x:v>
      </x:c>
      <x:c r="J205" s="17" t="str">
        <x:v>not_sampled</x:v>
      </x:c>
    </x:row>
    <x:row r="206" ht="46" customHeight="1">
      <x:c r="A206" s="17" t="str">
        <x:v>us</x:v>
      </x:c>
      <x:c r="B206" s="17" t="str">
        <x:v>Coastal Carolina University</x:v>
      </x:c>
      <x:c r="C206" s="17" t="str">
        <x:v>IPEDS discovery signal: Computer and Information Systems Security/Auditing/Information Assurance (CIP 11.1003)</x:v>
      </x:c>
      <x:c r="D206" s="17" t="str">
        <x:v>Unclear</x:v>
      </x:c>
      <x:c r="E206" s="17" t="str">
        <x:v>stage2_screened_out</x:v>
      </x:c>
      <x:c r="F206" s="17" t="str">
        <x:v>Only one bounded registry/program-code signal was present; no independent topical, Calendar, current-faculty, or first-audit signal was recovered.</x:v>
      </x:c>
      <x:c r="G206" s="17" t="str">
        <x:v>Does the current official catalog contain a research graduate program matching the applicant's topics?</x:v>
      </x:c>
      <x:c r="H206" s="17" t="str">
        <x:v>https://www.coastal.edu</x:v>
      </x:c>
      <x:c r="I206" s="17" t="str">
        <x:v>not_sampled</x:v>
      </x:c>
      <x:c r="J206" s="17" t="str">
        <x:v>not_sampled</x:v>
      </x:c>
    </x:row>
    <x:row r="207" ht="46" customHeight="1">
      <x:c r="A207" s="17" t="str">
        <x:v>us</x:v>
      </x:c>
      <x:c r="B207" s="17" t="str">
        <x:v>College of Charleston</x:v>
      </x:c>
      <x:c r="C207" s="17" t="str">
        <x:v>IPEDS discovery signal: Computer and Information Sciences, Other (CIP 11.0199)</x:v>
      </x:c>
      <x:c r="D207" s="17" t="str">
        <x:v>Unclear</x:v>
      </x:c>
      <x:c r="E207" s="17" t="str">
        <x:v>stage2_screened_out</x:v>
      </x:c>
      <x:c r="F207" s="17" t="str">
        <x:v>Duplicate mechanical discovery signal consolidated into one institution-level catalog review candidate.</x:v>
      </x:c>
      <x:c r="G207" s="17" t="str">
        <x:v>Does the current official catalog contain a research graduate program matching the applicant's topics?</x:v>
      </x:c>
      <x:c r="H207" s="17" t="str">
        <x:v>https://www.charleston.edu</x:v>
      </x:c>
      <x:c r="I207" s="17" t="str">
        <x:v>not_sampled</x:v>
      </x:c>
      <x:c r="J207" s="17" t="str">
        <x:v>not_sampled</x:v>
      </x:c>
    </x:row>
    <x:row r="208" ht="46" customHeight="1">
      <x:c r="A208" s="17" t="str">
        <x:v>us</x:v>
      </x:c>
      <x:c r="B208" s="17" t="str">
        <x:v>College of Charleston</x:v>
      </x:c>
      <x:c r="C208" s="17" t="str">
        <x:v>IPEDS discovery signal: Data Science, General (CIP 30.7001)</x:v>
      </x:c>
      <x:c r="D208" s="17" t="str">
        <x:v>Unclear</x:v>
      </x:c>
      <x:c r="E208" s="17" t="str">
        <x:v>stage2_screened_out</x:v>
      </x:c>
      <x:c r="F208" s="17" t="str">
        <x:v>Duplicate mechanical discovery signal consolidated into one institution-level catalog review candidate.</x:v>
      </x:c>
      <x:c r="G208" s="17" t="str">
        <x:v>Does the current official catalog contain a research graduate program matching the applicant's topics?</x:v>
      </x:c>
      <x:c r="H208" s="17" t="str">
        <x:v>https://www.charleston.edu</x:v>
      </x:c>
      <x:c r="I208" s="17" t="str">
        <x:v>not_sampled</x:v>
      </x:c>
      <x:c r="J208" s="17" t="str">
        <x:v>not_sampled</x:v>
      </x:c>
    </x:row>
    <x:row r="209" ht="46" customHeight="1">
      <x:c r="A209" s="17" t="str">
        <x:v>us</x:v>
      </x:c>
      <x:c r="B209" s="17" t="str">
        <x:v>College of Staten Island CUNY</x:v>
      </x:c>
      <x:c r="C209" s="17" t="str">
        <x:v>IPEDS discovery signal: Computer Science (CIP 11.0701)</x:v>
      </x:c>
      <x:c r="D209" s="17" t="str">
        <x:v>Unclear</x:v>
      </x:c>
      <x:c r="E209" s="17" t="str">
        <x:v>stage2_screened_out</x:v>
      </x:c>
      <x:c r="F209" s="17" t="str">
        <x:v>Only one bounded registry/program-code signal was present; no independent topical, Calendar, current-faculty, or first-audit signal was recovered.</x:v>
      </x:c>
      <x:c r="G209" s="17" t="str">
        <x:v>Does the current official catalog contain a research graduate program matching the applicant's topics?</x:v>
      </x:c>
      <x:c r="H209" s="17" t="str">
        <x:v>https://www.csi.cuny.edu</x:v>
      </x:c>
      <x:c r="I209" s="17" t="str">
        <x:v>not_sampled</x:v>
      </x:c>
      <x:c r="J209" s="17" t="str">
        <x:v>not_sampled</x:v>
      </x:c>
    </x:row>
    <x:row r="210" ht="46" customHeight="1">
      <x:c r="A210" s="17" t="str">
        <x:v>us</x:v>
      </x:c>
      <x:c r="B210" s="17" t="str">
        <x:v>College of Staten Island CUNY</x:v>
      </x:c>
      <x:c r="C210" s="17" t="str">
        <x:v>IPEDS discovery signal: Electrical and Electronics Engineering (CIP 14.1001)</x:v>
      </x:c>
      <x:c r="D210" s="17" t="str">
        <x:v>Unclear</x:v>
      </x:c>
      <x:c r="E210" s="17" t="str">
        <x:v>stage2_screened_out</x:v>
      </x:c>
      <x:c r="F210" s="17" t="str">
        <x:v>Only one bounded registry/program-code signal was present; no independent topical, Calendar, current-faculty, or first-audit signal was recovered.</x:v>
      </x:c>
      <x:c r="G210" s="17" t="str">
        <x:v>Does the current official catalog contain a research graduate program matching the applicant's topics?</x:v>
      </x:c>
      <x:c r="H210" s="17" t="str">
        <x:v>https://www.csi.cuny.edu</x:v>
      </x:c>
      <x:c r="I210" s="17" t="str">
        <x:v>not_sampled</x:v>
      </x:c>
      <x:c r="J210" s="17" t="str">
        <x:v>not_sampled</x:v>
      </x:c>
    </x:row>
    <x:row r="211" ht="46" customHeight="1">
      <x:c r="A211" s="17" t="str">
        <x:v>us</x:v>
      </x:c>
      <x:c r="B211" s="17" t="str">
        <x:v>Colorado Christian University</x:v>
      </x:c>
      <x:c r="C211" s="17" t="str">
        <x:v>IPEDS discovery signal: Computer and Information Systems Security/Auditing/Information Assurance (CIP 11.1003)</x:v>
      </x:c>
      <x:c r="D211" s="17" t="str">
        <x:v>Unclear</x:v>
      </x:c>
      <x:c r="E211" s="17" t="str">
        <x:v>stage2_screened_out</x:v>
      </x:c>
      <x:c r="F211" s="17" t="str">
        <x:v>Only one bounded registry/program-code signal was present; no independent topical, Calendar, current-faculty, or first-audit signal was recovered.</x:v>
      </x:c>
      <x:c r="G211" s="17" t="str">
        <x:v>Does the current official catalog contain a research graduate program matching the applicant's topics?</x:v>
      </x:c>
      <x:c r="H211" s="17" t="str">
        <x:v>https://www.ccu.edu</x:v>
      </x:c>
      <x:c r="I211" s="17" t="str">
        <x:v>not_sampled</x:v>
      </x:c>
      <x:c r="J211" s="17" t="str">
        <x:v>not_sampled</x:v>
      </x:c>
    </x:row>
    <x:row r="212" ht="46" customHeight="1">
      <x:c r="A212" s="17" t="str">
        <x:v>us</x:v>
      </x:c>
      <x:c r="B212" s="17" t="str">
        <x:v>Colorado School of Mines</x:v>
      </x:c>
      <x:c r="C212" s="17" t="str">
        <x:v>IPEDS discovery signal: Data Science, General (CIP 30.7001)</x:v>
      </x:c>
      <x:c r="D212" s="17" t="str">
        <x:v>Unclear</x:v>
      </x:c>
      <x:c r="E212" s="17" t="str">
        <x:v>stage2_screened_out</x:v>
      </x:c>
      <x:c r="F212" s="17" t="str">
        <x:v>Duplicate mechanical discovery signal consolidated into one institution-level catalog review candidate.</x:v>
      </x:c>
      <x:c r="G212" s="17" t="str">
        <x:v>Does the current official catalog contain a research graduate program matching the applicant's topics?</x:v>
      </x:c>
      <x:c r="H212" s="17" t="str">
        <x:v>https://www.mines.edu</x:v>
      </x:c>
      <x:c r="I212" s="17" t="str">
        <x:v>not_sampled</x:v>
      </x:c>
      <x:c r="J212" s="17" t="str">
        <x:v>not_sampled</x:v>
      </x:c>
    </x:row>
    <x:row r="213" ht="46" customHeight="1">
      <x:c r="A213" s="17" t="str">
        <x:v>us</x:v>
      </x:c>
      <x:c r="B213" s="17" t="str">
        <x:v>Colorado School of Mines</x:v>
      </x:c>
      <x:c r="C213" s="17" t="str">
        <x:v>IPEDS discovery signal: Electrical and Electronics Engineering (CIP 14.1001)</x:v>
      </x:c>
      <x:c r="D213" s="17" t="str">
        <x:v>Unclear</x:v>
      </x:c>
      <x:c r="E213" s="17" t="str">
        <x:v>stage2_screened_out</x:v>
      </x:c>
      <x:c r="F213" s="17" t="str">
        <x:v>Duplicate mechanical discovery signal consolidated into one institution-level catalog review candidate.</x:v>
      </x:c>
      <x:c r="G213" s="17" t="str">
        <x:v>Does the current official catalog contain a research graduate program matching the applicant's topics?</x:v>
      </x:c>
      <x:c r="H213" s="17" t="str">
        <x:v>https://www.mines.edu</x:v>
      </x:c>
      <x:c r="I213" s="17" t="str">
        <x:v>not_sampled</x:v>
      </x:c>
      <x:c r="J213" s="17" t="str">
        <x:v>not_sampled</x:v>
      </x:c>
    </x:row>
    <x:row r="214" ht="46" customHeight="1">
      <x:c r="A214" s="17" t="str">
        <x:v>us</x:v>
      </x:c>
      <x:c r="B214" s="17" t="str">
        <x:v>Colorado School of Mines</x:v>
      </x:c>
      <x:c r="C214" s="17" t="str">
        <x:v>IPEDS discovery signal: Mechatronics, Robotics, and Automation Engineering (CIP 14.4201)</x:v>
      </x:c>
      <x:c r="D214" s="17" t="str">
        <x:v>Unclear</x:v>
      </x:c>
      <x:c r="E214" s="17" t="str">
        <x:v>stage2_screened_out</x:v>
      </x:c>
      <x:c r="F214" s="17" t="str">
        <x:v>Duplicate mechanical discovery signal consolidated into one institution-level catalog review candidate.</x:v>
      </x:c>
      <x:c r="G214" s="17" t="str">
        <x:v>Does the current official catalog contain a research graduate program matching the applicant's topics?</x:v>
      </x:c>
      <x:c r="H214" s="17" t="str">
        <x:v>https://www.mines.edu</x:v>
      </x:c>
      <x:c r="I214" s="17" t="str">
        <x:v>not_sampled</x:v>
      </x:c>
      <x:c r="J214" s="17" t="str">
        <x:v>not_sampled</x:v>
      </x:c>
    </x:row>
    <x:row r="215" ht="46" customHeight="1">
      <x:c r="A215" s="17" t="str">
        <x:v>us</x:v>
      </x:c>
      <x:c r="B215" s="17" t="str">
        <x:v>Colorado State University-Fort Collins</x:v>
      </x:c>
      <x:c r="C215" s="17" t="str">
        <x:v>IPEDS discovery signal: Computer and Information Sciences, General (CIP 11.0101)</x:v>
      </x:c>
      <x:c r="D215" s="17" t="str">
        <x:v>Unclear</x:v>
      </x:c>
      <x:c r="E215" s="17" t="str">
        <x:v>stage2_screened_out</x:v>
      </x:c>
      <x:c r="F215" s="17" t="str">
        <x:v>Only one bounded registry/program-code signal was present; no independent topical, Calendar, current-faculty, or first-audit signal was recovered.</x:v>
      </x:c>
      <x:c r="G215" s="17" t="str">
        <x:v>Does the current official catalog contain a research graduate program matching the applicant's topics?</x:v>
      </x:c>
      <x:c r="H215" s="17" t="str">
        <x:v>https://colostate.edu</x:v>
      </x:c>
      <x:c r="I215" s="17" t="str">
        <x:v>not_sampled</x:v>
      </x:c>
      <x:c r="J215" s="17" t="str">
        <x:v>not_sampled</x:v>
      </x:c>
    </x:row>
    <x:row r="216" ht="46" customHeight="1">
      <x:c r="A216" s="17" t="str">
        <x:v>us</x:v>
      </x:c>
      <x:c r="B216" s="17" t="str">
        <x:v>Colorado State University-Fort Collins</x:v>
      </x:c>
      <x:c r="C216" s="17" t="str">
        <x:v>IPEDS discovery signal: Computer Engineering, General (CIP 14.0901)</x:v>
      </x:c>
      <x:c r="D216" s="17" t="str">
        <x:v>Unclear</x:v>
      </x:c>
      <x:c r="E216" s="17" t="str">
        <x:v>stage2_screened_out</x:v>
      </x:c>
      <x:c r="F216" s="17" t="str">
        <x:v>Only one bounded registry/program-code signal was present; no independent topical, Calendar, current-faculty, or first-audit signal was recovered.</x:v>
      </x:c>
      <x:c r="G216" s="17" t="str">
        <x:v>Does the current official catalog contain a research graduate program matching the applicant's topics?</x:v>
      </x:c>
      <x:c r="H216" s="17" t="str">
        <x:v>https://colostate.edu</x:v>
      </x:c>
      <x:c r="I216" s="17" t="str">
        <x:v>not_sampled</x:v>
      </x:c>
      <x:c r="J216" s="17" t="str">
        <x:v>not_sampled</x:v>
      </x:c>
    </x:row>
    <x:row r="217" ht="46" customHeight="1">
      <x:c r="A217" s="17" t="str">
        <x:v>us</x:v>
      </x:c>
      <x:c r="B217" s="17" t="str">
        <x:v>Colorado State University-Fort Collins</x:v>
      </x:c>
      <x:c r="C217" s="17" t="str">
        <x:v>IPEDS discovery signal: Electrical and Electronics Engineering (CIP 14.1001)</x:v>
      </x:c>
      <x:c r="D217" s="17" t="str">
        <x:v>Unclear</x:v>
      </x:c>
      <x:c r="E217" s="17" t="str">
        <x:v>stage2_screened_out</x:v>
      </x:c>
      <x:c r="F217" s="17" t="str">
        <x:v>Only one bounded registry/program-code signal was present; no independent topical, Calendar, current-faculty, or first-audit signal was recovered.</x:v>
      </x:c>
      <x:c r="G217" s="17" t="str">
        <x:v>Does the current official catalog contain a research graduate program matching the applicant's topics?</x:v>
      </x:c>
      <x:c r="H217" s="17" t="str">
        <x:v>https://colostate.edu</x:v>
      </x:c>
      <x:c r="I217" s="17" t="str">
        <x:v>not_sampled</x:v>
      </x:c>
      <x:c r="J217" s="17" t="str">
        <x:v>not_sampled</x:v>
      </x:c>
    </x:row>
    <x:row r="218" ht="46" customHeight="1">
      <x:c r="A218" s="17" t="str">
        <x:v>us</x:v>
      </x:c>
      <x:c r="B218" s="17" t="str">
        <x:v>Colorado State University-Fort Collins</x:v>
      </x:c>
      <x:c r="C218" s="17" t="str">
        <x:v>IPEDS discovery signal: Information Science/Studies (CIP 11.0401)</x:v>
      </x:c>
      <x:c r="D218" s="17" t="str">
        <x:v>Unclear</x:v>
      </x:c>
      <x:c r="E218" s="17" t="str">
        <x:v>stage2_screened_out</x:v>
      </x:c>
      <x:c r="F218" s="17" t="str">
        <x:v>Only one bounded registry/program-code signal was present; no independent topical, Calendar, current-faculty, or first-audit signal was recovered.</x:v>
      </x:c>
      <x:c r="G218" s="17" t="str">
        <x:v>Does the current official catalog contain a research graduate program matching the applicant's topics?</x:v>
      </x:c>
      <x:c r="H218" s="17" t="str">
        <x:v>https://colostate.edu</x:v>
      </x:c>
      <x:c r="I218" s="17" t="str">
        <x:v>not_sampled</x:v>
      </x:c>
      <x:c r="J218" s="17" t="str">
        <x:v>not_sampled</x:v>
      </x:c>
    </x:row>
    <x:row r="219" ht="46" customHeight="1">
      <x:c r="A219" s="17" t="str">
        <x:v>us</x:v>
      </x:c>
      <x:c r="B219" s="17" t="str">
        <x:v>Colorado State University Global</x:v>
      </x:c>
      <x:c r="C219" s="17" t="str">
        <x:v>IPEDS discovery signal: Information Technology (CIP 11.0103)</x:v>
      </x:c>
      <x:c r="D219" s="17" t="str">
        <x:v>Unclear</x:v>
      </x:c>
      <x:c r="E219" s="17" t="str">
        <x:v>stage2_screened_out</x:v>
      </x:c>
      <x:c r="F219" s="17" t="str">
        <x:v>Only one bounded registry/program-code signal was present; no independent topical, Calendar, current-faculty, or first-audit signal was recovered.</x:v>
      </x:c>
      <x:c r="G219" s="17" t="str">
        <x:v>Does the current official catalog contain a research graduate program matching the applicant's topics?</x:v>
      </x:c>
      <x:c r="H219" s="17" t="str">
        <x:v>https://csuglobal.edu</x:v>
      </x:c>
      <x:c r="I219" s="17" t="str">
        <x:v>not_sampled</x:v>
      </x:c>
      <x:c r="J219" s="17" t="str">
        <x:v>not_sampled</x:v>
      </x:c>
    </x:row>
    <x:row r="220" ht="46" customHeight="1">
      <x:c r="A220" s="17" t="str">
        <x:v>us</x:v>
      </x:c>
      <x:c r="B220" s="17" t="str">
        <x:v>Colorado State University Pueblo</x:v>
      </x:c>
      <x:c r="C220" s="17" t="str">
        <x:v>IPEDS discovery signal: Mechatronics, Robotics, and Automation Engineering (CIP 14.4201)</x:v>
      </x:c>
      <x:c r="D220" s="17" t="str">
        <x:v>Unclear</x:v>
      </x:c>
      <x:c r="E220" s="17" t="str">
        <x:v>stage2_screened_out</x:v>
      </x:c>
      <x:c r="F220" s="17" t="str">
        <x:v>Only one bounded registry/program-code signal was present; no independent topical, Calendar, current-faculty, or first-audit signal was recovered.</x:v>
      </x:c>
      <x:c r="G220" s="17" t="str">
        <x:v>Does the current official catalog contain a research graduate program matching the applicant's topics?</x:v>
      </x:c>
      <x:c r="H220" s="17" t="str">
        <x:v>https://www.csupueblo.edu</x:v>
      </x:c>
      <x:c r="I220" s="17" t="str">
        <x:v>not_sampled</x:v>
      </x:c>
      <x:c r="J220" s="17" t="str">
        <x:v>not_sampled</x:v>
      </x:c>
    </x:row>
    <x:row r="221" ht="46" customHeight="1">
      <x:c r="A221" s="17" t="str">
        <x:v>us</x:v>
      </x:c>
      <x:c r="B221" s="17" t="str">
        <x:v>Colorado Technical University-Colorado Springs</x:v>
      </x:c>
      <x:c r="C221" s="17" t="str">
        <x:v>IPEDS discovery signal: Computer and Information Systems Security/Auditing/Information Assurance (CIP 11.1003)</x:v>
      </x:c>
      <x:c r="D221" s="17" t="str">
        <x:v>Unclear</x:v>
      </x:c>
      <x:c r="E221" s="17" t="str">
        <x:v>stage2_screened_out</x:v>
      </x:c>
      <x:c r="F221" s="17" t="str">
        <x:v>Only one bounded registry/program-code signal was present; no independent topical, Calendar, current-faculty, or first-audit signal was recovered.</x:v>
      </x:c>
      <x:c r="G221" s="17" t="str">
        <x:v>Does the current official catalog contain a research graduate program matching the applicant's topics?</x:v>
      </x:c>
      <x:c r="H221" s="17" t="str">
        <x:v>https://www.coloradotech.edu/Colorado-Springs</x:v>
      </x:c>
      <x:c r="I221" s="17" t="str">
        <x:v>not_sampled</x:v>
      </x:c>
      <x:c r="J221" s="17" t="str">
        <x:v>not_sampled</x:v>
      </x:c>
    </x:row>
    <x:row r="222" ht="46" customHeight="1">
      <x:c r="A222" s="17" t="str">
        <x:v>us</x:v>
      </x:c>
      <x:c r="B222" s="17" t="str">
        <x:v>Colorado Technical University-Colorado Springs</x:v>
      </x:c>
      <x:c r="C222" s="17" t="str">
        <x:v>IPEDS discovery signal: Computer Engineering, General (CIP 14.0901)</x:v>
      </x:c>
      <x:c r="D222" s="17" t="str">
        <x:v>Unclear</x:v>
      </x:c>
      <x:c r="E222" s="17" t="str">
        <x:v>stage2_screened_out</x:v>
      </x:c>
      <x:c r="F222" s="17" t="str">
        <x:v>Only one bounded registry/program-code signal was present; no independent topical, Calendar, current-faculty, or first-audit signal was recovered.</x:v>
      </x:c>
      <x:c r="G222" s="17" t="str">
        <x:v>Does the current official catalog contain a research graduate program matching the applicant's topics?</x:v>
      </x:c>
      <x:c r="H222" s="17" t="str">
        <x:v>https://www.coloradotech.edu/Colorado-Springs</x:v>
      </x:c>
      <x:c r="I222" s="17" t="str">
        <x:v>not_sampled</x:v>
      </x:c>
      <x:c r="J222" s="17" t="str">
        <x:v>not_sampled</x:v>
      </x:c>
    </x:row>
    <x:row r="223" ht="46" customHeight="1">
      <x:c r="A223" s="17" t="str">
        <x:v>us</x:v>
      </x:c>
      <x:c r="B223" s="17" t="str">
        <x:v>Colorado Technical University-Colorado Springs</x:v>
      </x:c>
      <x:c r="C223" s="17" t="str">
        <x:v>IPEDS discovery signal: Computer Science (CIP 11.0701)</x:v>
      </x:c>
      <x:c r="D223" s="17" t="str">
        <x:v>Unclear</x:v>
      </x:c>
      <x:c r="E223" s="17" t="str">
        <x:v>stage2_screened_out</x:v>
      </x:c>
      <x:c r="F223" s="17" t="str">
        <x:v>Only one bounded registry/program-code signal was present; no independent topical, Calendar, current-faculty, or first-audit signal was recovered.</x:v>
      </x:c>
      <x:c r="G223" s="17" t="str">
        <x:v>Does the current official catalog contain a research graduate program matching the applicant's topics?</x:v>
      </x:c>
      <x:c r="H223" s="17" t="str">
        <x:v>https://www.coloradotech.edu/Colorado-Springs</x:v>
      </x:c>
      <x:c r="I223" s="17" t="str">
        <x:v>not_sampled</x:v>
      </x:c>
      <x:c r="J223" s="17" t="str">
        <x:v>not_sampled</x:v>
      </x:c>
    </x:row>
    <x:row r="224" ht="46" customHeight="1">
      <x:c r="A224" s="17" t="str">
        <x:v>us</x:v>
      </x:c>
      <x:c r="B224" s="17" t="str">
        <x:v>Colorado Technical University-Colorado Springs</x:v>
      </x:c>
      <x:c r="C224" s="17" t="str">
        <x:v>IPEDS discovery signal: Information Technology (CIP 11.0103)</x:v>
      </x:c>
      <x:c r="D224" s="17" t="str">
        <x:v>Unclear</x:v>
      </x:c>
      <x:c r="E224" s="17" t="str">
        <x:v>stage2_screened_out</x:v>
      </x:c>
      <x:c r="F224" s="17" t="str">
        <x:v>Only one bounded registry/program-code signal was present; no independent topical, Calendar, current-faculty, or first-audit signal was recovered.</x:v>
      </x:c>
      <x:c r="G224" s="17" t="str">
        <x:v>Does the current official catalog contain a research graduate program matching the applicant's topics?</x:v>
      </x:c>
      <x:c r="H224" s="17" t="str">
        <x:v>https://www.coloradotech.edu/Colorado-Springs</x:v>
      </x:c>
      <x:c r="I224" s="17" t="str">
        <x:v>not_sampled</x:v>
      </x:c>
      <x:c r="J224" s="17" t="str">
        <x:v>not_sampled</x:v>
      </x:c>
    </x:row>
    <x:row r="225" ht="46" customHeight="1">
      <x:c r="A225" s="17" t="str">
        <x:v>us</x:v>
      </x:c>
      <x:c r="B225" s="17" t="str">
        <x:v>Columbia Southern University</x:v>
      </x:c>
      <x:c r="C225" s="17" t="str">
        <x:v>IPEDS discovery signal: Information Technology (CIP 11.0103)</x:v>
      </x:c>
      <x:c r="D225" s="17" t="str">
        <x:v>Unclear</x:v>
      </x:c>
      <x:c r="E225" s="17" t="str">
        <x:v>stage2_screened_out</x:v>
      </x:c>
      <x:c r="F225" s="17" t="str">
        <x:v>Only one bounded registry/program-code signal was present; no independent topical, Calendar, current-faculty, or first-audit signal was recovered.</x:v>
      </x:c>
      <x:c r="G225" s="17" t="str">
        <x:v>Does the current official catalog contain a research graduate program matching the applicant's topics?</x:v>
      </x:c>
      <x:c r="H225" s="17" t="str">
        <x:v>https://www.columbiasouthern.edu</x:v>
      </x:c>
      <x:c r="I225" s="17" t="str">
        <x:v>not_sampled</x:v>
      </x:c>
      <x:c r="J225" s="17" t="str">
        <x:v>not_sampled</x:v>
      </x:c>
    </x:row>
    <x:row r="226" ht="46" customHeight="1">
      <x:c r="A226" s="17" t="str">
        <x:v>us</x:v>
      </x:c>
      <x:c r="B226" s="17" t="str">
        <x:v>Columbia University in the City of New York</x:v>
      </x:c>
      <x:c r="C226" s="17" t="str">
        <x:v>IPEDS discovery signal: Computer Engineering, General (CIP 14.0901)</x:v>
      </x:c>
      <x:c r="D226" s="17" t="str">
        <x:v>Unclear</x:v>
      </x:c>
      <x:c r="E226" s="17" t="str">
        <x:v>stage2_screened_out</x:v>
      </x:c>
      <x:c r="F226" s="17" t="str">
        <x:v>Duplicate mechanical discovery signal consolidated into one institution-level catalog review candidate.</x:v>
      </x:c>
      <x:c r="G226" s="17" t="str">
        <x:v>Does the current official catalog contain a research graduate program matching the applicant's topics?</x:v>
      </x:c>
      <x:c r="H226" s="17" t="str">
        <x:v>https://www.columbia.edu</x:v>
      </x:c>
      <x:c r="I226" s="17" t="str">
        <x:v>not_sampled</x:v>
      </x:c>
      <x:c r="J226" s="17" t="str">
        <x:v>not_sampled</x:v>
      </x:c>
    </x:row>
    <x:row r="227" ht="46" customHeight="1">
      <x:c r="A227" s="17" t="str">
        <x:v>us</x:v>
      </x:c>
      <x:c r="B227" s="17" t="str">
        <x:v>Columbia University in the City of New York</x:v>
      </x:c>
      <x:c r="C227" s="17" t="str">
        <x:v>IPEDS discovery signal: Computer Science (CIP 11.0701)</x:v>
      </x:c>
      <x:c r="D227" s="17" t="str">
        <x:v>Unclear</x:v>
      </x:c>
      <x:c r="E227" s="17" t="str">
        <x:v>stage2_screened_out</x:v>
      </x:c>
      <x:c r="F227" s="17" t="str">
        <x:v>Duplicate mechanical discovery signal consolidated into one institution-level catalog review candidate.</x:v>
      </x:c>
      <x:c r="G227" s="17" t="str">
        <x:v>Does the current official catalog contain a research graduate program matching the applicant's topics?</x:v>
      </x:c>
      <x:c r="H227" s="17" t="str">
        <x:v>https://www.columbia.edu</x:v>
      </x:c>
      <x:c r="I227" s="17" t="str">
        <x:v>not_sampled</x:v>
      </x:c>
      <x:c r="J227" s="17" t="str">
        <x:v>not_sampled</x:v>
      </x:c>
    </x:row>
    <x:row r="228" ht="46" customHeight="1">
      <x:c r="A228" s="17" t="str">
        <x:v>us</x:v>
      </x:c>
      <x:c r="B228" s="17" t="str">
        <x:v>Columbia University in the City of New York</x:v>
      </x:c>
      <x:c r="C228" s="17" t="str">
        <x:v>IPEDS discovery signal: Data Science, General (CIP 30.7001)</x:v>
      </x:c>
      <x:c r="D228" s="17" t="str">
        <x:v>Unclear</x:v>
      </x:c>
      <x:c r="E228" s="17" t="str">
        <x:v>stage2_screened_out</x:v>
      </x:c>
      <x:c r="F228" s="17" t="str">
        <x:v>Duplicate mechanical discovery signal consolidated into one institution-level catalog review candidate.</x:v>
      </x:c>
      <x:c r="G228" s="17" t="str">
        <x:v>Does the current official catalog contain a research graduate program matching the applicant's topics?</x:v>
      </x:c>
      <x:c r="H228" s="17" t="str">
        <x:v>https://www.columbia.edu</x:v>
      </x:c>
      <x:c r="I228" s="17" t="str">
        <x:v>not_sampled</x:v>
      </x:c>
      <x:c r="J228" s="17" t="str">
        <x:v>not_sampled</x:v>
      </x:c>
    </x:row>
    <x:row r="229" ht="46" customHeight="1">
      <x:c r="A229" s="17" t="str">
        <x:v>us</x:v>
      </x:c>
      <x:c r="B229" s="17" t="str">
        <x:v>Columbia University in the City of New York</x:v>
      </x:c>
      <x:c r="C229" s="17" t="str">
        <x:v>IPEDS discovery signal: Electrical and Electronics Engineering (CIP 14.1001)</x:v>
      </x:c>
      <x:c r="D229" s="17" t="str">
        <x:v>Unclear</x:v>
      </x:c>
      <x:c r="E229" s="17" t="str">
        <x:v>stage2_screened_out</x:v>
      </x:c>
      <x:c r="F229" s="17" t="str">
        <x:v>Duplicate mechanical discovery signal consolidated into one institution-level catalog review candidate.</x:v>
      </x:c>
      <x:c r="G229" s="17" t="str">
        <x:v>Does the current official catalog contain a research graduate program matching the applicant's topics?</x:v>
      </x:c>
      <x:c r="H229" s="17" t="str">
        <x:v>https://www.columbia.edu</x:v>
      </x:c>
      <x:c r="I229" s="17" t="str">
        <x:v>not_sampled</x:v>
      </x:c>
      <x:c r="J229" s="17" t="str">
        <x:v>not_sampled</x:v>
      </x:c>
    </x:row>
    <x:row r="230" ht="46" customHeight="1">
      <x:c r="A230" s="17" t="str">
        <x:v>us</x:v>
      </x:c>
      <x:c r="B230" s="17" t="str">
        <x:v>Columbia University in the City of New York</x:v>
      </x:c>
      <x:c r="C230" s="17" t="str">
        <x:v>IPEDS discovery signal: Information Technology (CIP 11.0103)</x:v>
      </x:c>
      <x:c r="D230" s="17" t="str">
        <x:v>Unclear</x:v>
      </x:c>
      <x:c r="E230" s="17" t="str">
        <x:v>stage2_screened_out</x:v>
      </x:c>
      <x:c r="F230" s="17" t="str">
        <x:v>Duplicate mechanical discovery signal consolidated into one institution-level catalog review candidate.</x:v>
      </x:c>
      <x:c r="G230" s="17" t="str">
        <x:v>Does the current official catalog contain a research graduate program matching the applicant's topics?</x:v>
      </x:c>
      <x:c r="H230" s="17" t="str">
        <x:v>https://www.columbia.edu</x:v>
      </x:c>
      <x:c r="I230" s="17" t="str">
        <x:v>not_sampled</x:v>
      </x:c>
      <x:c r="J230" s="17" t="str">
        <x:v>not_sampled</x:v>
      </x:c>
    </x:row>
    <x:row r="231" ht="46" customHeight="1">
      <x:c r="A231" s="17" t="str">
        <x:v>us</x:v>
      </x:c>
      <x:c r="B231" s="17" t="str">
        <x:v>Columbus State University</x:v>
      </x:c>
      <x:c r="C231" s="17" t="str">
        <x:v>IPEDS discovery signal: Mechatronics, Robotics, and Automation Engineering (CIP 14.4201)</x:v>
      </x:c>
      <x:c r="D231" s="17" t="str">
        <x:v>Unclear</x:v>
      </x:c>
      <x:c r="E231" s="17" t="str">
        <x:v>stage2_screened_out</x:v>
      </x:c>
      <x:c r="F231" s="17" t="str">
        <x:v>Duplicate mechanical discovery signal consolidated into one institution-level catalog review candidate.</x:v>
      </x:c>
      <x:c r="G231" s="17" t="str">
        <x:v>Does the current official catalog contain a research graduate program matching the applicant's topics?</x:v>
      </x:c>
      <x:c r="H231" s="17" t="str">
        <x:v>https://www.columbusstate.edu</x:v>
      </x:c>
      <x:c r="I231" s="17" t="str">
        <x:v>not_sampled</x:v>
      </x:c>
      <x:c r="J231" s="17" t="str">
        <x:v>not_sampled</x:v>
      </x:c>
    </x:row>
    <x:row r="232" ht="46" customHeight="1">
      <x:c r="A232" s="17" t="str">
        <x:v>us</x:v>
      </x:c>
      <x:c r="B232" s="17" t="str">
        <x:v>Commonwealth University of Pennsylvania</x:v>
      </x:c>
      <x:c r="C232" s="17" t="str">
        <x:v>IPEDS discovery signal: Information Technology (CIP 11.0103)</x:v>
      </x:c>
      <x:c r="D232" s="17" t="str">
        <x:v>Unclear</x:v>
      </x:c>
      <x:c r="E232" s="17" t="str">
        <x:v>stage2_screened_out</x:v>
      </x:c>
      <x:c r="F232" s="17" t="str">
        <x:v>Only one bounded registry/program-code signal was present; no independent topical, Calendar, current-faculty, or first-audit signal was recovered.</x:v>
      </x:c>
      <x:c r="G232" s="17" t="str">
        <x:v>Does the current official catalog contain a research graduate program matching the applicant's topics?</x:v>
      </x:c>
      <x:c r="H232" s="17" t="str">
        <x:v>https://www.commonwealthu.edu</x:v>
      </x:c>
      <x:c r="I232" s="17" t="str">
        <x:v>not_sampled</x:v>
      </x:c>
      <x:c r="J232" s="17" t="str">
        <x:v>not_sampled</x:v>
      </x:c>
    </x:row>
    <x:row r="233" ht="46" customHeight="1">
      <x:c r="A233" s="17" t="str">
        <x:v>us</x:v>
      </x:c>
      <x:c r="B233" s="17" t="str">
        <x:v>Concordia University Ann Arbor</x:v>
      </x:c>
      <x:c r="C233" s="17" t="str">
        <x:v>IPEDS discovery signal: Computer Software Engineering (CIP 14.0903)</x:v>
      </x:c>
      <x:c r="D233" s="17" t="str">
        <x:v>Unclear</x:v>
      </x:c>
      <x:c r="E233" s="17" t="str">
        <x:v>stage2_screened_out</x:v>
      </x:c>
      <x:c r="F233" s="17" t="str">
        <x:v>Only one bounded registry/program-code signal was present; no independent topical, Calendar, current-faculty, or first-audit signal was recovered.</x:v>
      </x:c>
      <x:c r="G233" s="17" t="str">
        <x:v>Does the current official catalog contain a research graduate program matching the applicant's topics?</x:v>
      </x:c>
      <x:c r="H233" s="17" t="str">
        <x:v>https://www.cuaa.edu</x:v>
      </x:c>
      <x:c r="I233" s="17" t="str">
        <x:v>not_sampled</x:v>
      </x:c>
      <x:c r="J233" s="17" t="str">
        <x:v>not_sampled</x:v>
      </x:c>
    </x:row>
    <x:row r="234" ht="46" customHeight="1">
      <x:c r="A234" s="17" t="str">
        <x:v>us</x:v>
      </x:c>
      <x:c r="B234" s="17" t="str">
        <x:v>Concordia University-Chicago</x:v>
      </x:c>
      <x:c r="C234" s="17" t="str">
        <x:v>IPEDS discovery signal: Computer and Information Sciences, General (CIP 11.0101)</x:v>
      </x:c>
      <x:c r="D234" s="17" t="str">
        <x:v>Unclear</x:v>
      </x:c>
      <x:c r="E234" s="17" t="str">
        <x:v>stage2_screened_out</x:v>
      </x:c>
      <x:c r="F234" s="17" t="str">
        <x:v>Only one bounded registry/program-code signal was present; no independent topical, Calendar, current-faculty, or first-audit signal was recovered.</x:v>
      </x:c>
      <x:c r="G234" s="17" t="str">
        <x:v>Does the current official catalog contain a research graduate program matching the applicant's topics?</x:v>
      </x:c>
      <x:c r="H234" s="17" t="str">
        <x:v>https://www.cuchicago.edu</x:v>
      </x:c>
      <x:c r="I234" s="17" t="str">
        <x:v>not_sampled</x:v>
      </x:c>
      <x:c r="J234" s="17" t="str">
        <x:v>not_sampled</x:v>
      </x:c>
    </x:row>
    <x:row r="235" ht="46" customHeight="1">
      <x:c r="A235" s="17" t="str">
        <x:v>us</x:v>
      </x:c>
      <x:c r="B235" s="17" t="str">
        <x:v>Concordia University-Saint Paul</x:v>
      </x:c>
      <x:c r="C235" s="17" t="str">
        <x:v>IPEDS discovery signal: Computer and Information Systems Security/Auditing/Information Assurance (CIP 11.1003)</x:v>
      </x:c>
      <x:c r="D235" s="17" t="str">
        <x:v>Unclear</x:v>
      </x:c>
      <x:c r="E235" s="17" t="str">
        <x:v>stage2_screened_out</x:v>
      </x:c>
      <x:c r="F235" s="17" t="str">
        <x:v>Only one bounded registry/program-code signal was present; no independent topical, Calendar, current-faculty, or first-audit signal was recovered.</x:v>
      </x:c>
      <x:c r="G235" s="17" t="str">
        <x:v>Does the current official catalog contain a research graduate program matching the applicant's topics?</x:v>
      </x:c>
      <x:c r="H235" s="17" t="str">
        <x:v>https://www.csp.edu</x:v>
      </x:c>
      <x:c r="I235" s="17" t="str">
        <x:v>not_sampled</x:v>
      </x:c>
      <x:c r="J235" s="17" t="str">
        <x:v>not_sampled</x:v>
      </x:c>
    </x:row>
    <x:row r="236" ht="46" customHeight="1">
      <x:c r="A236" s="17" t="str">
        <x:v>us</x:v>
      </x:c>
      <x:c r="B236" s="17" t="str">
        <x:v>Concordia University-Saint Paul</x:v>
      </x:c>
      <x:c r="C236" s="17" t="str">
        <x:v>IPEDS discovery signal: Data Analytics, General (CIP 30.7101)</x:v>
      </x:c>
      <x:c r="D236" s="17" t="str">
        <x:v>Unclear</x:v>
      </x:c>
      <x:c r="E236" s="17" t="str">
        <x:v>stage2_screened_out</x:v>
      </x:c>
      <x:c r="F236" s="17" t="str">
        <x:v>Only one bounded registry/program-code signal was present; no independent topical, Calendar, current-faculty, or first-audit signal was recovered.</x:v>
      </x:c>
      <x:c r="G236" s="17" t="str">
        <x:v>Does the current official catalog contain a research graduate program matching the applicant's topics?</x:v>
      </x:c>
      <x:c r="H236" s="17" t="str">
        <x:v>https://www.csp.edu</x:v>
      </x:c>
      <x:c r="I236" s="17" t="str">
        <x:v>not_sampled</x:v>
      </x:c>
      <x:c r="J236" s="17" t="str">
        <x:v>not_sampled</x:v>
      </x:c>
    </x:row>
    <x:row r="237" ht="46" customHeight="1">
      <x:c r="A237" s="17" t="str">
        <x:v>us</x:v>
      </x:c>
      <x:c r="B237" s="17" t="str">
        <x:v>Concordia University-Wisconsin</x:v>
      </x:c>
      <x:c r="C237" s="17" t="str">
        <x:v>IPEDS discovery signal: Computer Software Engineering (CIP 14.0903)</x:v>
      </x:c>
      <x:c r="D237" s="17" t="str">
        <x:v>Unclear</x:v>
      </x:c>
      <x:c r="E237" s="17" t="str">
        <x:v>stage2_screened_out</x:v>
      </x:c>
      <x:c r="F237" s="17" t="str">
        <x:v>Only one bounded registry/program-code signal was present; no independent topical, Calendar, current-faculty, or first-audit signal was recovered.</x:v>
      </x:c>
      <x:c r="G237" s="17" t="str">
        <x:v>Does the current official catalog contain a research graduate program matching the applicant's topics?</x:v>
      </x:c>
      <x:c r="H237" s="17" t="str">
        <x:v>https://www.cuw.edu</x:v>
      </x:c>
      <x:c r="I237" s="17" t="str">
        <x:v>not_sampled</x:v>
      </x:c>
      <x:c r="J237" s="17" t="str">
        <x:v>not_sampled</x:v>
      </x:c>
    </x:row>
    <x:row r="238" ht="46" customHeight="1">
      <x:c r="A238" s="17" t="str">
        <x:v>us</x:v>
      </x:c>
      <x:c r="B238" s="17" t="str">
        <x:v>Concordia University-Wisconsin</x:v>
      </x:c>
      <x:c r="C238" s="17" t="str">
        <x:v>IPEDS discovery signal: Information Technology (CIP 11.0103)</x:v>
      </x:c>
      <x:c r="D238" s="17" t="str">
        <x:v>Unclear</x:v>
      </x:c>
      <x:c r="E238" s="17" t="str">
        <x:v>stage2_screened_out</x:v>
      </x:c>
      <x:c r="F238" s="17" t="str">
        <x:v>Only one bounded registry/program-code signal was present; no independent topical, Calendar, current-faculty, or first-audit signal was recovered.</x:v>
      </x:c>
      <x:c r="G238" s="17" t="str">
        <x:v>Does the current official catalog contain a research graduate program matching the applicant's topics?</x:v>
      </x:c>
      <x:c r="H238" s="17" t="str">
        <x:v>https://www.cuw.edu</x:v>
      </x:c>
      <x:c r="I238" s="17" t="str">
        <x:v>not_sampled</x:v>
      </x:c>
      <x:c r="J238" s="17" t="str">
        <x:v>not_sampled</x:v>
      </x:c>
    </x:row>
    <x:row r="239" ht="46" customHeight="1">
      <x:c r="A239" s="17" t="str">
        <x:v>us</x:v>
      </x:c>
      <x:c r="B239" s="17" t="str">
        <x:v>Cornell University</x:v>
      </x:c>
      <x:c r="C239" s="17" t="str">
        <x:v>IPEDS discovery signal: Electrical and Electronics Engineering (CIP 14.1001)</x:v>
      </x:c>
      <x:c r="D239" s="17" t="str">
        <x:v>Unclear</x:v>
      </x:c>
      <x:c r="E239" s="17" t="str">
        <x:v>stage2_screened_out</x:v>
      </x:c>
      <x:c r="F239" s="17" t="str">
        <x:v>Duplicate mechanical discovery signal consolidated into one institution-level catalog review candidate.</x:v>
      </x:c>
      <x:c r="G239" s="17" t="str">
        <x:v>Does the current official catalog contain a research graduate program matching the applicant's topics?</x:v>
      </x:c>
      <x:c r="H239" s="17" t="str">
        <x:v>https://www.cornell.edu</x:v>
      </x:c>
      <x:c r="I239" s="17" t="str">
        <x:v>not_sampled</x:v>
      </x:c>
      <x:c r="J239" s="17" t="str">
        <x:v>not_sampled</x:v>
      </x:c>
    </x:row>
    <x:row r="240" ht="46" customHeight="1">
      <x:c r="A240" s="17" t="str">
        <x:v>us</x:v>
      </x:c>
      <x:c r="B240" s="17" t="str">
        <x:v>Cornell University</x:v>
      </x:c>
      <x:c r="C240" s="17" t="str">
        <x:v>IPEDS discovery signal: Information Technology (CIP 11.0103)</x:v>
      </x:c>
      <x:c r="D240" s="17" t="str">
        <x:v>Unclear</x:v>
      </x:c>
      <x:c r="E240" s="17" t="str">
        <x:v>stage2_screened_out</x:v>
      </x:c>
      <x:c r="F240" s="17" t="str">
        <x:v>Duplicate mechanical discovery signal consolidated into one institution-level catalog review candidate.</x:v>
      </x:c>
      <x:c r="G240" s="17" t="str">
        <x:v>Does the current official catalog contain a research graduate program matching the applicant's topics?</x:v>
      </x:c>
      <x:c r="H240" s="17" t="str">
        <x:v>https://www.cornell.edu</x:v>
      </x:c>
      <x:c r="I240" s="17" t="str">
        <x:v>not_sampled</x:v>
      </x:c>
      <x:c r="J240" s="17" t="str">
        <x:v>not_sampled</x:v>
      </x:c>
    </x:row>
    <x:row r="241" ht="46" customHeight="1">
      <x:c r="A241" s="17" t="str">
        <x:v>us</x:v>
      </x:c>
      <x:c r="B241" s="17" t="str">
        <x:v>CUNY Brooklyn College</x:v>
      </x:c>
      <x:c r="C241" s="17" t="str">
        <x:v>IPEDS discovery signal: Information Science/Studies (CIP 11.0401)</x:v>
      </x:c>
      <x:c r="D241" s="17" t="str">
        <x:v>Unclear</x:v>
      </x:c>
      <x:c r="E241" s="17" t="str">
        <x:v>stage2_screened_out</x:v>
      </x:c>
      <x:c r="F241" s="17" t="str">
        <x:v>Duplicate mechanical discovery signal consolidated into one institution-level catalog review candidate.</x:v>
      </x:c>
      <x:c r="G241" s="17" t="str">
        <x:v>Does the current official catalog contain a research graduate program matching the applicant's topics?</x:v>
      </x:c>
      <x:c r="H241" s="17" t="str">
        <x:v>https://www.brooklyn.edu</x:v>
      </x:c>
      <x:c r="I241" s="17" t="str">
        <x:v>not_sampled</x:v>
      </x:c>
      <x:c r="J241" s="17" t="str">
        <x:v>not_sampled</x:v>
      </x:c>
    </x:row>
    <x:row r="242" ht="46" customHeight="1">
      <x:c r="A242" s="17" t="str">
        <x:v>us</x:v>
      </x:c>
      <x:c r="B242" s="17" t="str">
        <x:v>CUNY City College</x:v>
      </x:c>
      <x:c r="C242" s="17" t="str">
        <x:v>IPEDS discovery signal: Computer and Information Systems Security/Auditing/Information Assurance (CIP 11.1003)</x:v>
      </x:c>
      <x:c r="D242" s="17" t="str">
        <x:v>Unclear</x:v>
      </x:c>
      <x:c r="E242" s="17" t="str">
        <x:v>stage2_screened_out</x:v>
      </x:c>
      <x:c r="F242" s="17" t="str">
        <x:v>Only one bounded registry/program-code signal was present; no independent topical, Calendar, current-faculty, or first-audit signal was recovered.</x:v>
      </x:c>
      <x:c r="G242" s="17" t="str">
        <x:v>Does the current official catalog contain a research graduate program matching the applicant's topics?</x:v>
      </x:c>
      <x:c r="H242" s="17" t="str">
        <x:v>https://www.ccny.cuny.edu</x:v>
      </x:c>
      <x:c r="I242" s="17" t="str">
        <x:v>not_sampled</x:v>
      </x:c>
      <x:c r="J242" s="17" t="str">
        <x:v>not_sampled</x:v>
      </x:c>
    </x:row>
    <x:row r="243" ht="46" customHeight="1">
      <x:c r="A243" s="17" t="str">
        <x:v>us</x:v>
      </x:c>
      <x:c r="B243" s="17" t="str">
        <x:v>CUNY City College</x:v>
      </x:c>
      <x:c r="C243" s="17" t="str">
        <x:v>IPEDS discovery signal: Computer Engineering, General (CIP 14.0901)</x:v>
      </x:c>
      <x:c r="D243" s="17" t="str">
        <x:v>Unclear</x:v>
      </x:c>
      <x:c r="E243" s="17" t="str">
        <x:v>stage2_screened_out</x:v>
      </x:c>
      <x:c r="F243" s="17" t="str">
        <x:v>Only one bounded registry/program-code signal was present; no independent topical, Calendar, current-faculty, or first-audit signal was recovered.</x:v>
      </x:c>
      <x:c r="G243" s="17" t="str">
        <x:v>Does the current official catalog contain a research graduate program matching the applicant's topics?</x:v>
      </x:c>
      <x:c r="H243" s="17" t="str">
        <x:v>https://www.ccny.cuny.edu</x:v>
      </x:c>
      <x:c r="I243" s="17" t="str">
        <x:v>not_sampled</x:v>
      </x:c>
      <x:c r="J243" s="17" t="str">
        <x:v>not_sampled</x:v>
      </x:c>
    </x:row>
    <x:row r="244" ht="46" customHeight="1">
      <x:c r="A244" s="17" t="str">
        <x:v>us</x:v>
      </x:c>
      <x:c r="B244" s="17" t="str">
        <x:v>CUNY City College</x:v>
      </x:c>
      <x:c r="C244" s="17" t="str">
        <x:v>IPEDS discovery signal: Computer Science (CIP 11.0701)</x:v>
      </x:c>
      <x:c r="D244" s="17" t="str">
        <x:v>Unclear</x:v>
      </x:c>
      <x:c r="E244" s="17" t="str">
        <x:v>stage2_screened_out</x:v>
      </x:c>
      <x:c r="F244" s="17" t="str">
        <x:v>Only one bounded registry/program-code signal was present; no independent topical, Calendar, current-faculty, or first-audit signal was recovered.</x:v>
      </x:c>
      <x:c r="G244" s="17" t="str">
        <x:v>Does the current official catalog contain a research graduate program matching the applicant's topics?</x:v>
      </x:c>
      <x:c r="H244" s="17" t="str">
        <x:v>https://www.ccny.cuny.edu</x:v>
      </x:c>
      <x:c r="I244" s="17" t="str">
        <x:v>not_sampled</x:v>
      </x:c>
      <x:c r="J244" s="17" t="str">
        <x:v>not_sampled</x:v>
      </x:c>
    </x:row>
    <x:row r="245" ht="46" customHeight="1">
      <x:c r="A245" s="17" t="str">
        <x:v>us</x:v>
      </x:c>
      <x:c r="B245" s="17" t="str">
        <x:v>CUNY City College</x:v>
      </x:c>
      <x:c r="C245" s="17" t="str">
        <x:v>IPEDS discovery signal: Electrical and Electronics Engineering (CIP 14.1001)</x:v>
      </x:c>
      <x:c r="D245" s="17" t="str">
        <x:v>Unclear</x:v>
      </x:c>
      <x:c r="E245" s="17" t="str">
        <x:v>stage2_screened_out</x:v>
      </x:c>
      <x:c r="F245" s="17" t="str">
        <x:v>Only one bounded registry/program-code signal was present; no independent topical, Calendar, current-faculty, or first-audit signal was recovered.</x:v>
      </x:c>
      <x:c r="G245" s="17" t="str">
        <x:v>Does the current official catalog contain a research graduate program matching the applicant's topics?</x:v>
      </x:c>
      <x:c r="H245" s="17" t="str">
        <x:v>https://www.ccny.cuny.edu</x:v>
      </x:c>
      <x:c r="I245" s="17" t="str">
        <x:v>not_sampled</x:v>
      </x:c>
      <x:c r="J245" s="17" t="str">
        <x:v>not_sampled</x:v>
      </x:c>
    </x:row>
    <x:row r="246" ht="46" customHeight="1">
      <x:c r="A246" s="17" t="str">
        <x:v>us</x:v>
      </x:c>
      <x:c r="B246" s="17" t="str">
        <x:v>CUNY City College</x:v>
      </x:c>
      <x:c r="C246" s="17" t="str">
        <x:v>IPEDS discovery signal: Information Science/Studies (CIP 11.0401)</x:v>
      </x:c>
      <x:c r="D246" s="17" t="str">
        <x:v>Unclear</x:v>
      </x:c>
      <x:c r="E246" s="17" t="str">
        <x:v>stage2_screened_out</x:v>
      </x:c>
      <x:c r="F246" s="17" t="str">
        <x:v>Only one bounded registry/program-code signal was present; no independent topical, Calendar, current-faculty, or first-audit signal was recovered.</x:v>
      </x:c>
      <x:c r="G246" s="17" t="str">
        <x:v>Does the current official catalog contain a research graduate program matching the applicant's topics?</x:v>
      </x:c>
      <x:c r="H246" s="17" t="str">
        <x:v>https://www.ccny.cuny.edu</x:v>
      </x:c>
      <x:c r="I246" s="17" t="str">
        <x:v>not_sampled</x:v>
      </x:c>
      <x:c r="J246" s="17" t="str">
        <x:v>not_sampled</x:v>
      </x:c>
    </x:row>
    <x:row r="247" ht="46" customHeight="1">
      <x:c r="A247" s="17" t="str">
        <x:v>us</x:v>
      </x:c>
      <x:c r="B247" s="17" t="str">
        <x:v>CUNY Graduate School and University Center</x:v>
      </x:c>
      <x:c r="C247" s="17" t="str">
        <x:v>IPEDS discovery signal: Computer and Information Sciences, General (CIP 11.0101)</x:v>
      </x:c>
      <x:c r="D247" s="17" t="str">
        <x:v>Unclear</x:v>
      </x:c>
      <x:c r="E247" s="17" t="str">
        <x:v>stage2_screened_out</x:v>
      </x:c>
      <x:c r="F247" s="17" t="str">
        <x:v>Only one bounded registry/program-code signal was present; no independent topical, Calendar, current-faculty, or first-audit signal was recovered.</x:v>
      </x:c>
      <x:c r="G247" s="17" t="str">
        <x:v>Does the current official catalog contain a research graduate program matching the applicant's topics?</x:v>
      </x:c>
      <x:c r="H247" s="17" t="str">
        <x:v>https://www.gc.cuny.edu</x:v>
      </x:c>
      <x:c r="I247" s="17" t="str">
        <x:v>not_sampled</x:v>
      </x:c>
      <x:c r="J247" s="17" t="str">
        <x:v>not_sampled</x:v>
      </x:c>
    </x:row>
    <x:row r="248" ht="46" customHeight="1">
      <x:c r="A248" s="17" t="str">
        <x:v>us</x:v>
      </x:c>
      <x:c r="B248" s="17" t="str">
        <x:v>CUNY Graduate School and University Center</x:v>
      </x:c>
      <x:c r="C248" s="17" t="str">
        <x:v>IPEDS discovery signal: Computer Science (CIP 11.0701)</x:v>
      </x:c>
      <x:c r="D248" s="17" t="str">
        <x:v>Unclear</x:v>
      </x:c>
      <x:c r="E248" s="17" t="str">
        <x:v>stage2_screened_out</x:v>
      </x:c>
      <x:c r="F248" s="17" t="str">
        <x:v>Only one bounded registry/program-code signal was present; no independent topical, Calendar, current-faculty, or first-audit signal was recovered.</x:v>
      </x:c>
      <x:c r="G248" s="17" t="str">
        <x:v>Does the current official catalog contain a research graduate program matching the applicant's topics?</x:v>
      </x:c>
      <x:c r="H248" s="17" t="str">
        <x:v>https://www.gc.cuny.edu</x:v>
      </x:c>
      <x:c r="I248" s="17" t="str">
        <x:v>not_sampled</x:v>
      </x:c>
      <x:c r="J248" s="17" t="str">
        <x:v>not_sampled</x:v>
      </x:c>
    </x:row>
    <x:row r="249" ht="46" customHeight="1">
      <x:c r="A249" s="17" t="str">
        <x:v>us</x:v>
      </x:c>
      <x:c r="B249" s="17" t="str">
        <x:v>CUNY Hunter College</x:v>
      </x:c>
      <x:c r="C249" s="17" t="str">
        <x:v>IPEDS discovery signal: Computer Science (CIP 11.0701)</x:v>
      </x:c>
      <x:c r="D249" s="17" t="str">
        <x:v>Unclear</x:v>
      </x:c>
      <x:c r="E249" s="17" t="str">
        <x:v>stage2_screened_out</x:v>
      </x:c>
      <x:c r="F249" s="17" t="str">
        <x:v>Only one bounded registry/program-code signal was present; no independent topical, Calendar, current-faculty, or first-audit signal was recovered.</x:v>
      </x:c>
      <x:c r="G249" s="17" t="str">
        <x:v>Does the current official catalog contain a research graduate program matching the applicant's topics?</x:v>
      </x:c>
      <x:c r="H249" s="17" t="str">
        <x:v>https://www.hunter.cuny.edu</x:v>
      </x:c>
      <x:c r="I249" s="17" t="str">
        <x:v>not_sampled</x:v>
      </x:c>
      <x:c r="J249" s="17" t="str">
        <x:v>not_sampled</x:v>
      </x:c>
    </x:row>
    <x:row r="250" ht="46" customHeight="1">
      <x:c r="A250" s="17" t="str">
        <x:v>us</x:v>
      </x:c>
      <x:c r="B250" s="17" t="str">
        <x:v>CUNY John Jay College of Criminal Justice</x:v>
      </x:c>
      <x:c r="C250" s="17" t="str">
        <x:v>IPEDS discovery signal: Cyber/Computer Forensics and Counterterrorism (CIP 43.0403)</x:v>
      </x:c>
      <x:c r="D250" s="17" t="str">
        <x:v>Unclear</x:v>
      </x:c>
      <x:c r="E250" s="17" t="str">
        <x:v>stage2_screened_out</x:v>
      </x:c>
      <x:c r="F250" s="17" t="str">
        <x:v>Only one bounded registry/program-code signal was present; no independent topical, Calendar, current-faculty, or first-audit signal was recovered.</x:v>
      </x:c>
      <x:c r="G250" s="17" t="str">
        <x:v>Does the current official catalog contain a research graduate program matching the applicant's topics?</x:v>
      </x:c>
      <x:c r="H250" s="17" t="str">
        <x:v>https://www.jjay.cuny.edu</x:v>
      </x:c>
      <x:c r="I250" s="17" t="str">
        <x:v>not_sampled</x:v>
      </x:c>
      <x:c r="J250" s="17" t="str">
        <x:v>not_sampled</x:v>
      </x:c>
    </x:row>
    <x:row r="251" ht="46" customHeight="1">
      <x:c r="A251" s="17" t="str">
        <x:v>us</x:v>
      </x:c>
      <x:c r="B251" s="17" t="str">
        <x:v>CUNY Lehman College</x:v>
      </x:c>
      <x:c r="C251" s="17" t="str">
        <x:v>IPEDS discovery signal: Computer Science (CIP 11.0701)</x:v>
      </x:c>
      <x:c r="D251" s="17" t="str">
        <x:v>Unclear</x:v>
      </x:c>
      <x:c r="E251" s="17" t="str">
        <x:v>stage2_screened_out</x:v>
      </x:c>
      <x:c r="F251" s="17" t="str">
        <x:v>Only one bounded registry/program-code signal was present; no independent topical, Calendar, current-faculty, or first-audit signal was recovered.</x:v>
      </x:c>
      <x:c r="G251" s="17" t="str">
        <x:v>Does the current official catalog contain a research graduate program matching the applicant's topics?</x:v>
      </x:c>
      <x:c r="H251" s="17" t="str">
        <x:v>https://www.lehman.edu</x:v>
      </x:c>
      <x:c r="I251" s="17" t="str">
        <x:v>not_sampled</x:v>
      </x:c>
      <x:c r="J251" s="17" t="str">
        <x:v>not_sampled</x:v>
      </x:c>
    </x:row>
    <x:row r="252" ht="46" customHeight="1">
      <x:c r="A252" s="17" t="str">
        <x:v>us</x:v>
      </x:c>
      <x:c r="B252" s="17" t="str">
        <x:v>CUNY Queens College</x:v>
      </x:c>
      <x:c r="C252" s="17" t="str">
        <x:v>IPEDS discovery signal: Computer Science (CIP 11.0701)</x:v>
      </x:c>
      <x:c r="D252" s="17" t="str">
        <x:v>Unclear</x:v>
      </x:c>
      <x:c r="E252" s="17" t="str">
        <x:v>stage2_screened_out</x:v>
      </x:c>
      <x:c r="F252" s="17" t="str">
        <x:v>Only one bounded registry/program-code signal was present; no independent topical, Calendar, current-faculty, or first-audit signal was recovered.</x:v>
      </x:c>
      <x:c r="G252" s="17" t="str">
        <x:v>Does the current official catalog contain a research graduate program matching the applicant's topics?</x:v>
      </x:c>
      <x:c r="H252" s="17" t="str">
        <x:v>https://www.qc.cuny.edu</x:v>
      </x:c>
      <x:c r="I252" s="17" t="str">
        <x:v>not_sampled</x:v>
      </x:c>
      <x:c r="J252" s="17" t="str">
        <x:v>not_sampled</x:v>
      </x:c>
    </x:row>
    <x:row r="253" ht="46" customHeight="1">
      <x:c r="A253" s="17" t="str">
        <x:v>us</x:v>
      </x:c>
      <x:c r="B253" s="17" t="str">
        <x:v>Dakota State University</x:v>
      </x:c>
      <x:c r="C253" s="17" t="str">
        <x:v>IPEDS discovery signal: Computer and Information Sciences, General (CIP 11.0101)</x:v>
      </x:c>
      <x:c r="D253" s="17" t="str">
        <x:v>Unclear</x:v>
      </x:c>
      <x:c r="E253" s="17" t="str">
        <x:v>stage2_screened_out</x:v>
      </x:c>
      <x:c r="F253" s="17" t="str">
        <x:v>Duplicate mechanical discovery signal consolidated into one institution-level catalog review candidate.</x:v>
      </x:c>
      <x:c r="G253" s="17" t="str">
        <x:v>Does the current official catalog contain a research graduate program matching the applicant's topics?</x:v>
      </x:c>
      <x:c r="H253" s="17" t="str">
        <x:v>https://dsu.edu</x:v>
      </x:c>
      <x:c r="I253" s="17" t="str">
        <x:v>not_sampled</x:v>
      </x:c>
      <x:c r="J253" s="17" t="str">
        <x:v>not_sampled</x:v>
      </x:c>
    </x:row>
    <x:row r="254" ht="46" customHeight="1">
      <x:c r="A254" s="17" t="str">
        <x:v>us</x:v>
      </x:c>
      <x:c r="B254" s="17" t="str">
        <x:v>Dakota State University</x:v>
      </x:c>
      <x:c r="C254" s="17" t="str">
        <x:v>IPEDS discovery signal: Information Science/Studies (CIP 11.0401)</x:v>
      </x:c>
      <x:c r="D254" s="17" t="str">
        <x:v>Unclear</x:v>
      </x:c>
      <x:c r="E254" s="17" t="str">
        <x:v>stage2_screened_out</x:v>
      </x:c>
      <x:c r="F254" s="17" t="str">
        <x:v>Duplicate mechanical discovery signal consolidated into one institution-level catalog review candidate.</x:v>
      </x:c>
      <x:c r="G254" s="17" t="str">
        <x:v>Does the current official catalog contain a research graduate program matching the applicant's topics?</x:v>
      </x:c>
      <x:c r="H254" s="17" t="str">
        <x:v>https://dsu.edu</x:v>
      </x:c>
      <x:c r="I254" s="17" t="str">
        <x:v>not_sampled</x:v>
      </x:c>
      <x:c r="J254" s="17" t="str">
        <x:v>not_sampled</x:v>
      </x:c>
    </x:row>
    <x:row r="255" ht="46" customHeight="1">
      <x:c r="A255" s="17" t="str">
        <x:v>us</x:v>
      </x:c>
      <x:c r="B255" s="17" t="str">
        <x:v>Dallas Baptist University</x:v>
      </x:c>
      <x:c r="C255" s="17" t="str">
        <x:v>IPEDS discovery signal: Computer and Information Systems Security/Auditing/Information Assurance (CIP 11.1003)</x:v>
      </x:c>
      <x:c r="D255" s="17" t="str">
        <x:v>Unclear</x:v>
      </x:c>
      <x:c r="E255" s="17" t="str">
        <x:v>stage2_screened_out</x:v>
      </x:c>
      <x:c r="F255" s="17" t="str">
        <x:v>Only one bounded registry/program-code signal was present; no independent topical, Calendar, current-faculty, or first-audit signal was recovered.</x:v>
      </x:c>
      <x:c r="G255" s="17" t="str">
        <x:v>Does the current official catalog contain a research graduate program matching the applicant's topics?</x:v>
      </x:c>
      <x:c r="H255" s="17" t="str">
        <x:v>https://www.dbu.edu</x:v>
      </x:c>
      <x:c r="I255" s="17" t="str">
        <x:v>not_sampled</x:v>
      </x:c>
      <x:c r="J255" s="17" t="str">
        <x:v>not_sampled</x:v>
      </x:c>
    </x:row>
    <x:row r="256" ht="46" customHeight="1">
      <x:c r="A256" s="17" t="str">
        <x:v>us</x:v>
      </x:c>
      <x:c r="B256" s="17" t="str">
        <x:v>Dallas Baptist University</x:v>
      </x:c>
      <x:c r="C256" s="17" t="str">
        <x:v>IPEDS discovery signal: Information Science/Studies (CIP 11.0401)</x:v>
      </x:c>
      <x:c r="D256" s="17" t="str">
        <x:v>Unclear</x:v>
      </x:c>
      <x:c r="E256" s="17" t="str">
        <x:v>stage2_screened_out</x:v>
      </x:c>
      <x:c r="F256" s="17" t="str">
        <x:v>Only one bounded registry/program-code signal was present; no independent topical, Calendar, current-faculty, or first-audit signal was recovered.</x:v>
      </x:c>
      <x:c r="G256" s="17" t="str">
        <x:v>Does the current official catalog contain a research graduate program matching the applicant's topics?</x:v>
      </x:c>
      <x:c r="H256" s="17" t="str">
        <x:v>https://www.dbu.edu</x:v>
      </x:c>
      <x:c r="I256" s="17" t="str">
        <x:v>not_sampled</x:v>
      </x:c>
      <x:c r="J256" s="17" t="str">
        <x:v>not_sampled</x:v>
      </x:c>
    </x:row>
    <x:row r="257" ht="46" customHeight="1">
      <x:c r="A257" s="17" t="str">
        <x:v>us</x:v>
      </x:c>
      <x:c r="B257" s="17" t="str">
        <x:v>Davenport University</x:v>
      </x:c>
      <x:c r="C257" s="17" t="str">
        <x:v>IPEDS discovery signal: Computer and Information Systems Security/Auditing/Information Assurance (CIP 11.1003)</x:v>
      </x:c>
      <x:c r="D257" s="17" t="str">
        <x:v>Unclear</x:v>
      </x:c>
      <x:c r="E257" s="17" t="str">
        <x:v>stage2_screened_out</x:v>
      </x:c>
      <x:c r="F257" s="17" t="str">
        <x:v>Only one bounded registry/program-code signal was present; no independent topical, Calendar, current-faculty, or first-audit signal was recovered.</x:v>
      </x:c>
      <x:c r="G257" s="17" t="str">
        <x:v>Does the current official catalog contain a research graduate program matching the applicant's topics?</x:v>
      </x:c>
      <x:c r="H257" s="17" t="str">
        <x:v>https://www.davenport.edu</x:v>
      </x:c>
      <x:c r="I257" s="17" t="str">
        <x:v>not_sampled</x:v>
      </x:c>
      <x:c r="J257" s="17" t="str">
        <x:v>not_sampled</x:v>
      </x:c>
    </x:row>
    <x:row r="258" ht="46" customHeight="1">
      <x:c r="A258" s="17" t="str">
        <x:v>us</x:v>
      </x:c>
      <x:c r="B258" s="17" t="str">
        <x:v>Davenport University</x:v>
      </x:c>
      <x:c r="C258" s="17" t="str">
        <x:v>IPEDS discovery signal: Computer Science (CIP 11.0701)</x:v>
      </x:c>
      <x:c r="D258" s="17" t="str">
        <x:v>Unclear</x:v>
      </x:c>
      <x:c r="E258" s="17" t="str">
        <x:v>stage2_screened_out</x:v>
      </x:c>
      <x:c r="F258" s="17" t="str">
        <x:v>Only one bounded registry/program-code signal was present; no independent topical, Calendar, current-faculty, or first-audit signal was recovered.</x:v>
      </x:c>
      <x:c r="G258" s="17" t="str">
        <x:v>Does the current official catalog contain a research graduate program matching the applicant's topics?</x:v>
      </x:c>
      <x:c r="H258" s="17" t="str">
        <x:v>https://www.davenport.edu</x:v>
      </x:c>
      <x:c r="I258" s="17" t="str">
        <x:v>not_sampled</x:v>
      </x:c>
      <x:c r="J258" s="17" t="str">
        <x:v>not_sampled</x:v>
      </x:c>
    </x:row>
    <x:row r="259" ht="46" customHeight="1">
      <x:c r="A259" s="17" t="str">
        <x:v>us</x:v>
      </x:c>
      <x:c r="B259" s="17" t="str">
        <x:v>Delaware State University</x:v>
      </x:c>
      <x:c r="C259" s="17" t="str">
        <x:v>IPEDS discovery signal: Computer Science (CIP 11.0701)</x:v>
      </x:c>
      <x:c r="D259" s="17" t="str">
        <x:v>Unclear</x:v>
      </x:c>
      <x:c r="E259" s="17" t="str">
        <x:v>stage2_screened_out</x:v>
      </x:c>
      <x:c r="F259" s="17" t="str">
        <x:v>Only one bounded registry/program-code signal was present; no independent topical, Calendar, current-faculty, or first-audit signal was recovered.</x:v>
      </x:c>
      <x:c r="G259" s="17" t="str">
        <x:v>Does the current official catalog contain a research graduate program matching the applicant's topics?</x:v>
      </x:c>
      <x:c r="H259" s="17" t="str">
        <x:v>https://www.desu.edu</x:v>
      </x:c>
      <x:c r="I259" s="17" t="str">
        <x:v>not_sampled</x:v>
      </x:c>
      <x:c r="J259" s="17" t="str">
        <x:v>not_sampled</x:v>
      </x:c>
    </x:row>
    <x:row r="260" ht="46" customHeight="1">
      <x:c r="A260" s="17" t="str">
        <x:v>us</x:v>
      </x:c>
      <x:c r="B260" s="17" t="str">
        <x:v>DePaul University</x:v>
      </x:c>
      <x:c r="C260" s="17" t="str">
        <x:v>IPEDS discovery signal: Artificial Intelligence (CIP 11.0102)</x:v>
      </x:c>
      <x:c r="D260" s="17" t="str">
        <x:v>Unclear</x:v>
      </x:c>
      <x:c r="E260" s="17" t="str">
        <x:v>stage2_screened_out</x:v>
      </x:c>
      <x:c r="F260" s="17" t="str">
        <x:v>Only one bounded registry/program-code signal was present; no independent topical, Calendar, current-faculty, or first-audit signal was recovered.</x:v>
      </x:c>
      <x:c r="G260" s="17" t="str">
        <x:v>Does the current official catalog contain a research graduate program matching the applicant's topics?</x:v>
      </x:c>
      <x:c r="H260" s="17" t="str">
        <x:v>https://www.depaul.edu</x:v>
      </x:c>
      <x:c r="I260" s="17" t="str">
        <x:v>not_sampled</x:v>
      </x:c>
      <x:c r="J260" s="17" t="str">
        <x:v>not_sampled</x:v>
      </x:c>
    </x:row>
    <x:row r="261" ht="46" customHeight="1">
      <x:c r="A261" s="17" t="str">
        <x:v>us</x:v>
      </x:c>
      <x:c r="B261" s="17" t="str">
        <x:v>DePaul University</x:v>
      </x:c>
      <x:c r="C261" s="17" t="str">
        <x:v>IPEDS discovery signal: Computer and Information Sciences, General (CIP 11.0101)</x:v>
      </x:c>
      <x:c r="D261" s="17" t="str">
        <x:v>Unclear</x:v>
      </x:c>
      <x:c r="E261" s="17" t="str">
        <x:v>stage2_screened_out</x:v>
      </x:c>
      <x:c r="F261" s="17" t="str">
        <x:v>Only one bounded registry/program-code signal was present; no independent topical, Calendar, current-faculty, or first-audit signal was recovered.</x:v>
      </x:c>
      <x:c r="G261" s="17" t="str">
        <x:v>Does the current official catalog contain a research graduate program matching the applicant's topics?</x:v>
      </x:c>
      <x:c r="H261" s="17" t="str">
        <x:v>https://www.depaul.edu</x:v>
      </x:c>
      <x:c r="I261" s="17" t="str">
        <x:v>not_sampled</x:v>
      </x:c>
      <x:c r="J261" s="17" t="str">
        <x:v>not_sampled</x:v>
      </x:c>
    </x:row>
    <x:row r="262" ht="46" customHeight="1">
      <x:c r="A262" s="17" t="str">
        <x:v>us</x:v>
      </x:c>
      <x:c r="B262" s="17" t="str">
        <x:v>DePaul University</x:v>
      </x:c>
      <x:c r="C262" s="17" t="str">
        <x:v>IPEDS discovery signal: Computer and Information Systems Security/Auditing/Information Assurance (CIP 11.1003)</x:v>
      </x:c>
      <x:c r="D262" s="17" t="str">
        <x:v>Unclear</x:v>
      </x:c>
      <x:c r="E262" s="17" t="str">
        <x:v>stage2_screened_out</x:v>
      </x:c>
      <x:c r="F262" s="17" t="str">
        <x:v>Only one bounded registry/program-code signal was present; no independent topical, Calendar, current-faculty, or first-audit signal was recovered.</x:v>
      </x:c>
      <x:c r="G262" s="17" t="str">
        <x:v>Does the current official catalog contain a research graduate program matching the applicant's topics?</x:v>
      </x:c>
      <x:c r="H262" s="17" t="str">
        <x:v>https://www.depaul.edu</x:v>
      </x:c>
      <x:c r="I262" s="17" t="str">
        <x:v>not_sampled</x:v>
      </x:c>
      <x:c r="J262" s="17" t="str">
        <x:v>not_sampled</x:v>
      </x:c>
    </x:row>
    <x:row r="263" ht="46" customHeight="1">
      <x:c r="A263" s="17" t="str">
        <x:v>us</x:v>
      </x:c>
      <x:c r="B263" s="17" t="str">
        <x:v>DePaul University</x:v>
      </x:c>
      <x:c r="C263" s="17" t="str">
        <x:v>IPEDS discovery signal: Computer Science (CIP 11.0701)</x:v>
      </x:c>
      <x:c r="D263" s="17" t="str">
        <x:v>Unclear</x:v>
      </x:c>
      <x:c r="E263" s="17" t="str">
        <x:v>stage2_screened_out</x:v>
      </x:c>
      <x:c r="F263" s="17" t="str">
        <x:v>Only one bounded registry/program-code signal was present; no independent topical, Calendar, current-faculty, or first-audit signal was recovered.</x:v>
      </x:c>
      <x:c r="G263" s="17" t="str">
        <x:v>Does the current official catalog contain a research graduate program matching the applicant's topics?</x:v>
      </x:c>
      <x:c r="H263" s="17" t="str">
        <x:v>https://www.depaul.edu</x:v>
      </x:c>
      <x:c r="I263" s="17" t="str">
        <x:v>not_sampled</x:v>
      </x:c>
      <x:c r="J263" s="17" t="str">
        <x:v>not_sampled</x:v>
      </x:c>
    </x:row>
    <x:row r="264" ht="46" customHeight="1">
      <x:c r="A264" s="17" t="str">
        <x:v>us</x:v>
      </x:c>
      <x:c r="B264" s="17" t="str">
        <x:v>DePaul University</x:v>
      </x:c>
      <x:c r="C264" s="17" t="str">
        <x:v>IPEDS discovery signal: Computer Software Engineering (CIP 14.0903)</x:v>
      </x:c>
      <x:c r="D264" s="17" t="str">
        <x:v>Unclear</x:v>
      </x:c>
      <x:c r="E264" s="17" t="str">
        <x:v>stage2_screened_out</x:v>
      </x:c>
      <x:c r="F264" s="17" t="str">
        <x:v>Only one bounded registry/program-code signal was present; no independent topical, Calendar, current-faculty, or first-audit signal was recovered.</x:v>
      </x:c>
      <x:c r="G264" s="17" t="str">
        <x:v>Does the current official catalog contain a research graduate program matching the applicant's topics?</x:v>
      </x:c>
      <x:c r="H264" s="17" t="str">
        <x:v>https://www.depaul.edu</x:v>
      </x:c>
      <x:c r="I264" s="17" t="str">
        <x:v>not_sampled</x:v>
      </x:c>
      <x:c r="J264" s="17" t="str">
        <x:v>not_sampled</x:v>
      </x:c>
    </x:row>
    <x:row r="265" ht="46" customHeight="1">
      <x:c r="A265" s="17" t="str">
        <x:v>us</x:v>
      </x:c>
      <x:c r="B265" s="17" t="str">
        <x:v>DePaul University</x:v>
      </x:c>
      <x:c r="C265" s="17" t="str">
        <x:v>IPEDS discovery signal: Computer Systems Networking and Telecommunications (CIP 11.0901)</x:v>
      </x:c>
      <x:c r="D265" s="17" t="str">
        <x:v>Unclear</x:v>
      </x:c>
      <x:c r="E265" s="17" t="str">
        <x:v>stage2_screened_out</x:v>
      </x:c>
      <x:c r="F265" s="17" t="str">
        <x:v>Only one bounded registry/program-code signal was present; no independent topical, Calendar, current-faculty, or first-audit signal was recovered.</x:v>
      </x:c>
      <x:c r="G265" s="17" t="str">
        <x:v>Does the current official catalog contain a research graduate program matching the applicant's topics?</x:v>
      </x:c>
      <x:c r="H265" s="17" t="str">
        <x:v>https://www.depaul.edu</x:v>
      </x:c>
      <x:c r="I265" s="17" t="str">
        <x:v>not_sampled</x:v>
      </x:c>
      <x:c r="J265" s="17" t="str">
        <x:v>not_sampled</x:v>
      </x:c>
    </x:row>
    <x:row r="266" ht="46" customHeight="1">
      <x:c r="A266" s="17" t="str">
        <x:v>us</x:v>
      </x:c>
      <x:c r="B266" s="17" t="str">
        <x:v>DePaul University</x:v>
      </x:c>
      <x:c r="C266" s="17" t="str">
        <x:v>IPEDS discovery signal: Informatics (CIP 11.0104)</x:v>
      </x:c>
      <x:c r="D266" s="17" t="str">
        <x:v>Unclear</x:v>
      </x:c>
      <x:c r="E266" s="17" t="str">
        <x:v>stage2_screened_out</x:v>
      </x:c>
      <x:c r="F266" s="17" t="str">
        <x:v>Only one bounded registry/program-code signal was present; no independent topical, Calendar, current-faculty, or first-audit signal was recovered.</x:v>
      </x:c>
      <x:c r="G266" s="17" t="str">
        <x:v>Does the current official catalog contain a research graduate program matching the applicant's topics?</x:v>
      </x:c>
      <x:c r="H266" s="17" t="str">
        <x:v>https://www.depaul.edu</x:v>
      </x:c>
      <x:c r="I266" s="17" t="str">
        <x:v>not_sampled</x:v>
      </x:c>
      <x:c r="J266" s="17" t="str">
        <x:v>not_sampled</x:v>
      </x:c>
    </x:row>
    <x:row r="267" ht="46" customHeight="1">
      <x:c r="A267" s="17" t="str">
        <x:v>us</x:v>
      </x:c>
      <x:c r="B267" s="17" t="str">
        <x:v>DePaul University</x:v>
      </x:c>
      <x:c r="C267" s="17" t="str">
        <x:v>IPEDS discovery signal: Information Science/Studies (CIP 11.0401)</x:v>
      </x:c>
      <x:c r="D267" s="17" t="str">
        <x:v>Unclear</x:v>
      </x:c>
      <x:c r="E267" s="17" t="str">
        <x:v>stage2_screened_out</x:v>
      </x:c>
      <x:c r="F267" s="17" t="str">
        <x:v>Only one bounded registry/program-code signal was present; no independent topical, Calendar, current-faculty, or first-audit signal was recovered.</x:v>
      </x:c>
      <x:c r="G267" s="17" t="str">
        <x:v>Does the current official catalog contain a research graduate program matching the applicant's topics?</x:v>
      </x:c>
      <x:c r="H267" s="17" t="str">
        <x:v>https://www.depaul.edu</x:v>
      </x:c>
      <x:c r="I267" s="17" t="str">
        <x:v>not_sampled</x:v>
      </x:c>
      <x:c r="J267" s="17" t="str">
        <x:v>not_sampled</x:v>
      </x:c>
    </x:row>
    <x:row r="268" ht="46" customHeight="1">
      <x:c r="A268" s="17" t="str">
        <x:v>us</x:v>
      </x:c>
      <x:c r="B268" s="17" t="str">
        <x:v>DeSales University</x:v>
      </x:c>
      <x:c r="C268" s="17" t="str">
        <x:v>IPEDS discovery signal: Information Science/Studies (CIP 11.0401)</x:v>
      </x:c>
      <x:c r="D268" s="17" t="str">
        <x:v>Unclear</x:v>
      </x:c>
      <x:c r="E268" s="17" t="str">
        <x:v>stage2_screened_out</x:v>
      </x:c>
      <x:c r="F268" s="17" t="str">
        <x:v>Only one bounded registry/program-code signal was present; no independent topical, Calendar, current-faculty, or first-audit signal was recovered.</x:v>
      </x:c>
      <x:c r="G268" s="17" t="str">
        <x:v>Does the current official catalog contain a research graduate program matching the applicant's topics?</x:v>
      </x:c>
      <x:c r="H268" s="17" t="str">
        <x:v>https://www.desales.edu</x:v>
      </x:c>
      <x:c r="I268" s="17" t="str">
        <x:v>not_sampled</x:v>
      </x:c>
      <x:c r="J268" s="17" t="str">
        <x:v>not_sampled</x:v>
      </x:c>
    </x:row>
    <x:row r="269" ht="46" customHeight="1">
      <x:c r="A269" s="17" t="str">
        <x:v>us</x:v>
      </x:c>
      <x:c r="B269" s="17" t="str">
        <x:v>DeVry University-Georgia</x:v>
      </x:c>
      <x:c r="C269" s="17" t="str">
        <x:v>IPEDS discovery signal: Computer Systems Networking and Telecommunications (CIP 11.0901)</x:v>
      </x:c>
      <x:c r="D269" s="17" t="str">
        <x:v>Unclear</x:v>
      </x:c>
      <x:c r="E269" s="17" t="str">
        <x:v>stage2_screened_out</x:v>
      </x:c>
      <x:c r="F269" s="17" t="str">
        <x:v>Only one bounded registry/program-code signal was present; no independent topical, Calendar, current-faculty, or first-audit signal was recovered.</x:v>
      </x:c>
      <x:c r="G269" s="17" t="str">
        <x:v>Does the current official catalog contain a research graduate program matching the applicant's topics?</x:v>
      </x:c>
      <x:c r="H269" s="17" t="str">
        <x:v>https://www.devry.edu</x:v>
      </x:c>
      <x:c r="I269" s="17" t="str">
        <x:v>not_sampled</x:v>
      </x:c>
      <x:c r="J269" s="17" t="str">
        <x:v>not_sampled</x:v>
      </x:c>
    </x:row>
    <x:row r="270" ht="46" customHeight="1">
      <x:c r="A270" s="17" t="str">
        <x:v>us</x:v>
      </x:c>
      <x:c r="B270" s="17" t="str">
        <x:v>DeVry University-Illinois</x:v>
      </x:c>
      <x:c r="C270" s="17" t="str">
        <x:v>IPEDS discovery signal: Computer Systems Networking and Telecommunications (CIP 11.0901)</x:v>
      </x:c>
      <x:c r="D270" s="17" t="str">
        <x:v>Unclear</x:v>
      </x:c>
      <x:c r="E270" s="17" t="str">
        <x:v>stage2_screened_out</x:v>
      </x:c>
      <x:c r="F270" s="17" t="str">
        <x:v>Only one bounded registry/program-code signal was present; no independent topical, Calendar, current-faculty, or first-audit signal was recovered.</x:v>
      </x:c>
      <x:c r="G270" s="17" t="str">
        <x:v>Does the current official catalog contain a research graduate program matching the applicant's topics?</x:v>
      </x:c>
      <x:c r="H270" s="17" t="str">
        <x:v>https://www.devry.edu</x:v>
      </x:c>
      <x:c r="I270" s="17" t="str">
        <x:v>not_sampled</x:v>
      </x:c>
      <x:c r="J270" s="17" t="str">
        <x:v>not_sampled</x:v>
      </x:c>
    </x:row>
    <x:row r="271" ht="46" customHeight="1">
      <x:c r="A271" s="17" t="str">
        <x:v>us</x:v>
      </x:c>
      <x:c r="B271" s="17" t="str">
        <x:v>Drake University</x:v>
      </x:c>
      <x:c r="C271" s="17" t="str">
        <x:v>IPEDS discovery signal: Data Analytics, General (CIP 30.7101)</x:v>
      </x:c>
      <x:c r="D271" s="17" t="str">
        <x:v>Unclear</x:v>
      </x:c>
      <x:c r="E271" s="17" t="str">
        <x:v>stage2_screened_out</x:v>
      </x:c>
      <x:c r="F271" s="17" t="str">
        <x:v>Only one bounded registry/program-code signal was present; no independent topical, Calendar, current-faculty, or first-audit signal was recovered.</x:v>
      </x:c>
      <x:c r="G271" s="17" t="str">
        <x:v>Does the current official catalog contain a research graduate program matching the applicant's topics?</x:v>
      </x:c>
      <x:c r="H271" s="17" t="str">
        <x:v>https://www.drake.edu</x:v>
      </x:c>
      <x:c r="I271" s="17" t="str">
        <x:v>not_sampled</x:v>
      </x:c>
      <x:c r="J271" s="17" t="str">
        <x:v>not_sampled</x:v>
      </x:c>
    </x:row>
    <x:row r="272" ht="46" customHeight="1">
      <x:c r="A272" s="17" t="str">
        <x:v>us</x:v>
      </x:c>
      <x:c r="B272" s="17" t="str">
        <x:v>Drexel University</x:v>
      </x:c>
      <x:c r="C272" s="17" t="str">
        <x:v>IPEDS discovery signal: Computer Engineering, General (CIP 14.0901)</x:v>
      </x:c>
      <x:c r="D272" s="17" t="str">
        <x:v>Unclear</x:v>
      </x:c>
      <x:c r="E272" s="17" t="str">
        <x:v>stage2_screened_out</x:v>
      </x:c>
      <x:c r="F272" s="17" t="str">
        <x:v>Duplicate mechanical discovery signal consolidated into one institution-level catalog review candidate.</x:v>
      </x:c>
      <x:c r="G272" s="17" t="str">
        <x:v>Does the current official catalog contain a research graduate program matching the applicant's topics?</x:v>
      </x:c>
      <x:c r="H272" s="17" t="str">
        <x:v>https://drexel.edu</x:v>
      </x:c>
      <x:c r="I272" s="17" t="str">
        <x:v>not_sampled</x:v>
      </x:c>
      <x:c r="J272" s="17" t="str">
        <x:v>not_sampled</x:v>
      </x:c>
    </x:row>
    <x:row r="273" ht="46" customHeight="1">
      <x:c r="A273" s="17" t="str">
        <x:v>us</x:v>
      </x:c>
      <x:c r="B273" s="17" t="str">
        <x:v>Drexel University</x:v>
      </x:c>
      <x:c r="C273" s="17" t="str">
        <x:v>IPEDS discovery signal: Computer Science (CIP 11.0701)</x:v>
      </x:c>
      <x:c r="D273" s="17" t="str">
        <x:v>Unclear</x:v>
      </x:c>
      <x:c r="E273" s="17" t="str">
        <x:v>stage2_screened_out</x:v>
      </x:c>
      <x:c r="F273" s="17" t="str">
        <x:v>Duplicate mechanical discovery signal consolidated into one institution-level catalog review candidate.</x:v>
      </x:c>
      <x:c r="G273" s="17" t="str">
        <x:v>Does the current official catalog contain a research graduate program matching the applicant's topics?</x:v>
      </x:c>
      <x:c r="H273" s="17" t="str">
        <x:v>https://drexel.edu</x:v>
      </x:c>
      <x:c r="I273" s="17" t="str">
        <x:v>not_sampled</x:v>
      </x:c>
      <x:c r="J273" s="17" t="str">
        <x:v>not_sampled</x:v>
      </x:c>
    </x:row>
    <x:row r="274" ht="46" customHeight="1">
      <x:c r="A274" s="17" t="str">
        <x:v>us</x:v>
      </x:c>
      <x:c r="B274" s="17" t="str">
        <x:v>Drexel University</x:v>
      </x:c>
      <x:c r="C274" s="17" t="str">
        <x:v>IPEDS discovery signal: Computer Software Engineering (CIP 14.0903)</x:v>
      </x:c>
      <x:c r="D274" s="17" t="str">
        <x:v>Unclear</x:v>
      </x:c>
      <x:c r="E274" s="17" t="str">
        <x:v>stage2_screened_out</x:v>
      </x:c>
      <x:c r="F274" s="17" t="str">
        <x:v>Duplicate mechanical discovery signal consolidated into one institution-level catalog review candidate.</x:v>
      </x:c>
      <x:c r="G274" s="17" t="str">
        <x:v>Does the current official catalog contain a research graduate program matching the applicant's topics?</x:v>
      </x:c>
      <x:c r="H274" s="17" t="str">
        <x:v>https://drexel.edu</x:v>
      </x:c>
      <x:c r="I274" s="17" t="str">
        <x:v>not_sampled</x:v>
      </x:c>
      <x:c r="J274" s="17" t="str">
        <x:v>not_sampled</x:v>
      </x:c>
    </x:row>
    <x:row r="275" ht="46" customHeight="1">
      <x:c r="A275" s="17" t="str">
        <x:v>us</x:v>
      </x:c>
      <x:c r="B275" s="17" t="str">
        <x:v>Drexel University</x:v>
      </x:c>
      <x:c r="C275" s="17" t="str">
        <x:v>IPEDS discovery signal: Data Science, General (CIP 30.7001)</x:v>
      </x:c>
      <x:c r="D275" s="17" t="str">
        <x:v>Unclear</x:v>
      </x:c>
      <x:c r="E275" s="17" t="str">
        <x:v>stage2_screened_out</x:v>
      </x:c>
      <x:c r="F275" s="17" t="str">
        <x:v>Duplicate mechanical discovery signal consolidated into one institution-level catalog review candidate.</x:v>
      </x:c>
      <x:c r="G275" s="17" t="str">
        <x:v>Does the current official catalog contain a research graduate program matching the applicant's topics?</x:v>
      </x:c>
      <x:c r="H275" s="17" t="str">
        <x:v>https://drexel.edu</x:v>
      </x:c>
      <x:c r="I275" s="17" t="str">
        <x:v>not_sampled</x:v>
      </x:c>
      <x:c r="J275" s="17" t="str">
        <x:v>not_sampled</x:v>
      </x:c>
    </x:row>
    <x:row r="276" ht="46" customHeight="1">
      <x:c r="A276" s="17" t="str">
        <x:v>us</x:v>
      </x:c>
      <x:c r="B276" s="17" t="str">
        <x:v>Drexel University</x:v>
      </x:c>
      <x:c r="C276" s="17" t="str">
        <x:v>IPEDS discovery signal: Electrical and Electronics Engineering (CIP 14.1001)</x:v>
      </x:c>
      <x:c r="D276" s="17" t="str">
        <x:v>Unclear</x:v>
      </x:c>
      <x:c r="E276" s="17" t="str">
        <x:v>stage2_screened_out</x:v>
      </x:c>
      <x:c r="F276" s="17" t="str">
        <x:v>Duplicate mechanical discovery signal consolidated into one institution-level catalog review candidate.</x:v>
      </x:c>
      <x:c r="G276" s="17" t="str">
        <x:v>Does the current official catalog contain a research graduate program matching the applicant's topics?</x:v>
      </x:c>
      <x:c r="H276" s="17" t="str">
        <x:v>https://drexel.edu</x:v>
      </x:c>
      <x:c r="I276" s="17" t="str">
        <x:v>not_sampled</x:v>
      </x:c>
      <x:c r="J276" s="17" t="str">
        <x:v>not_sampled</x:v>
      </x:c>
    </x:row>
    <x:row r="277" ht="46" customHeight="1">
      <x:c r="A277" s="17" t="str">
        <x:v>us</x:v>
      </x:c>
      <x:c r="B277" s="17" t="str">
        <x:v>Drexel University</x:v>
      </x:c>
      <x:c r="C277" s="17" t="str">
        <x:v>IPEDS discovery signal: Information Science/Studies (CIP 11.0401)</x:v>
      </x:c>
      <x:c r="D277" s="17" t="str">
        <x:v>Unclear</x:v>
      </x:c>
      <x:c r="E277" s="17" t="str">
        <x:v>stage2_screened_out</x:v>
      </x:c>
      <x:c r="F277" s="17" t="str">
        <x:v>Duplicate mechanical discovery signal consolidated into one institution-level catalog review candidate.</x:v>
      </x:c>
      <x:c r="G277" s="17" t="str">
        <x:v>Does the current official catalog contain a research graduate program matching the applicant's topics?</x:v>
      </x:c>
      <x:c r="H277" s="17" t="str">
        <x:v>https://drexel.edu</x:v>
      </x:c>
      <x:c r="I277" s="17" t="str">
        <x:v>not_sampled</x:v>
      </x:c>
      <x:c r="J277" s="17" t="str">
        <x:v>not_sampled</x:v>
      </x:c>
    </x:row>
    <x:row r="278" ht="46" customHeight="1">
      <x:c r="A278" s="17" t="str">
        <x:v>us</x:v>
      </x:c>
      <x:c r="B278" s="17" t="str">
        <x:v>Drexel University</x:v>
      </x:c>
      <x:c r="C278" s="17" t="str">
        <x:v>IPEDS discovery signal: Information Technology (CIP 11.0103)</x:v>
      </x:c>
      <x:c r="D278" s="17" t="str">
        <x:v>Unclear</x:v>
      </x:c>
      <x:c r="E278" s="17" t="str">
        <x:v>stage2_screened_out</x:v>
      </x:c>
      <x:c r="F278" s="17" t="str">
        <x:v>Duplicate mechanical discovery signal consolidated into one institution-level catalog review candidate.</x:v>
      </x:c>
      <x:c r="G278" s="17" t="str">
        <x:v>Does the current official catalog contain a research graduate program matching the applicant's topics?</x:v>
      </x:c>
      <x:c r="H278" s="17" t="str">
        <x:v>https://drexel.edu</x:v>
      </x:c>
      <x:c r="I278" s="17" t="str">
        <x:v>not_sampled</x:v>
      </x:c>
      <x:c r="J278" s="17" t="str">
        <x:v>not_sampled</x:v>
      </x:c>
    </x:row>
    <x:row r="279" ht="46" customHeight="1">
      <x:c r="A279" s="17" t="str">
        <x:v>us</x:v>
      </x:c>
      <x:c r="B279" s="17" t="str">
        <x:v>Drexel University</x:v>
      </x:c>
      <x:c r="C279" s="17" t="str">
        <x:v>IPEDS discovery signal: Mechatronics, Robotics, and Automation Engineering (CIP 14.4201)</x:v>
      </x:c>
      <x:c r="D279" s="17" t="str">
        <x:v>Unclear</x:v>
      </x:c>
      <x:c r="E279" s="17" t="str">
        <x:v>stage2_screened_out</x:v>
      </x:c>
      <x:c r="F279" s="17" t="str">
        <x:v>Duplicate mechanical discovery signal consolidated into one institution-level catalog review candidate.</x:v>
      </x:c>
      <x:c r="G279" s="17" t="str">
        <x:v>Does the current official catalog contain a research graduate program matching the applicant's topics?</x:v>
      </x:c>
      <x:c r="H279" s="17" t="str">
        <x:v>https://drexel.edu</x:v>
      </x:c>
      <x:c r="I279" s="17" t="str">
        <x:v>not_sampled</x:v>
      </x:c>
      <x:c r="J279" s="17" t="str">
        <x:v>not_sampled</x:v>
      </x:c>
    </x:row>
    <x:row r="280" ht="46" customHeight="1">
      <x:c r="A280" s="17" t="str">
        <x:v>us</x:v>
      </x:c>
      <x:c r="B280" s="17" t="str">
        <x:v>Duke University</x:v>
      </x:c>
      <x:c r="C280" s="17" t="str">
        <x:v>IPEDS discovery signal: Computer Engineering, General (CIP 14.0901)</x:v>
      </x:c>
      <x:c r="D280" s="17" t="str">
        <x:v>Unclear</x:v>
      </x:c>
      <x:c r="E280" s="17" t="str">
        <x:v>stage2_screened_out</x:v>
      </x:c>
      <x:c r="F280" s="17" t="str">
        <x:v>Duplicate mechanical discovery signal consolidated into one institution-level catalog review candidate.</x:v>
      </x:c>
      <x:c r="G280" s="17" t="str">
        <x:v>Does the current official catalog contain a research graduate program matching the applicant's topics?</x:v>
      </x:c>
      <x:c r="H280" s="17" t="str">
        <x:v>https://www.duke.edu</x:v>
      </x:c>
      <x:c r="I280" s="17" t="str">
        <x:v>not_sampled</x:v>
      </x:c>
      <x:c r="J280" s="17" t="str">
        <x:v>not_sampled</x:v>
      </x:c>
    </x:row>
    <x:row r="281" ht="46" customHeight="1">
      <x:c r="A281" s="17" t="str">
        <x:v>us</x:v>
      </x:c>
      <x:c r="B281" s="17" t="str">
        <x:v>Duke University</x:v>
      </x:c>
      <x:c r="C281" s="17" t="str">
        <x:v>IPEDS discovery signal: Computer Science (CIP 11.0701)</x:v>
      </x:c>
      <x:c r="D281" s="17" t="str">
        <x:v>Unclear</x:v>
      </x:c>
      <x:c r="E281" s="17" t="str">
        <x:v>stage2_screened_out</x:v>
      </x:c>
      <x:c r="F281" s="17" t="str">
        <x:v>Duplicate mechanical discovery signal consolidated into one institution-level catalog review candidate.</x:v>
      </x:c>
      <x:c r="G281" s="17" t="str">
        <x:v>Does the current official catalog contain a research graduate program matching the applicant's topics?</x:v>
      </x:c>
      <x:c r="H281" s="17" t="str">
        <x:v>https://www.duke.edu</x:v>
      </x:c>
      <x:c r="I281" s="17" t="str">
        <x:v>not_sampled</x:v>
      </x:c>
      <x:c r="J281" s="17" t="str">
        <x:v>not_sampled</x:v>
      </x:c>
    </x:row>
    <x:row r="282" ht="46" customHeight="1">
      <x:c r="A282" s="17" t="str">
        <x:v>us</x:v>
      </x:c>
      <x:c r="B282" s="17" t="str">
        <x:v>Duke University</x:v>
      </x:c>
      <x:c r="C282" s="17" t="str">
        <x:v>IPEDS discovery signal: Data Science, General (CIP 30.7001)</x:v>
      </x:c>
      <x:c r="D282" s="17" t="str">
        <x:v>Unclear</x:v>
      </x:c>
      <x:c r="E282" s="17" t="str">
        <x:v>stage2_screened_out</x:v>
      </x:c>
      <x:c r="F282" s="17" t="str">
        <x:v>Duplicate mechanical discovery signal consolidated into one institution-level catalog review candidate.</x:v>
      </x:c>
      <x:c r="G282" s="17" t="str">
        <x:v>Does the current official catalog contain a research graduate program matching the applicant's topics?</x:v>
      </x:c>
      <x:c r="H282" s="17" t="str">
        <x:v>https://www.duke.edu</x:v>
      </x:c>
      <x:c r="I282" s="17" t="str">
        <x:v>not_sampled</x:v>
      </x:c>
      <x:c r="J282" s="17" t="str">
        <x:v>not_sampled</x:v>
      </x:c>
    </x:row>
    <x:row r="283" ht="46" customHeight="1">
      <x:c r="A283" s="17" t="str">
        <x:v>us</x:v>
      </x:c>
      <x:c r="B283" s="17" t="str">
        <x:v>Duke University</x:v>
      </x:c>
      <x:c r="C283" s="17" t="str">
        <x:v>IPEDS discovery signal: Electrical and Electronics Engineering (CIP 14.1001)</x:v>
      </x:c>
      <x:c r="D283" s="17" t="str">
        <x:v>Unclear</x:v>
      </x:c>
      <x:c r="E283" s="17" t="str">
        <x:v>stage2_screened_out</x:v>
      </x:c>
      <x:c r="F283" s="17" t="str">
        <x:v>Duplicate mechanical discovery signal consolidated into one institution-level catalog review candidate.</x:v>
      </x:c>
      <x:c r="G283" s="17" t="str">
        <x:v>Does the current official catalog contain a research graduate program matching the applicant's topics?</x:v>
      </x:c>
      <x:c r="H283" s="17" t="str">
        <x:v>https://www.duke.edu</x:v>
      </x:c>
      <x:c r="I283" s="17" t="str">
        <x:v>not_sampled</x:v>
      </x:c>
      <x:c r="J283" s="17" t="str">
        <x:v>not_sampled</x:v>
      </x:c>
    </x:row>
    <x:row r="284" ht="46" customHeight="1">
      <x:c r="A284" s="17" t="str">
        <x:v>us</x:v>
      </x:c>
      <x:c r="B284" s="17" t="str">
        <x:v>Duquesne University</x:v>
      </x:c>
      <x:c r="C284" s="17" t="str">
        <x:v>IPEDS discovery signal: Computer Science (CIP 11.0701)</x:v>
      </x:c>
      <x:c r="D284" s="17" t="str">
        <x:v>Unclear</x:v>
      </x:c>
      <x:c r="E284" s="17" t="str">
        <x:v>stage2_screened_out</x:v>
      </x:c>
      <x:c r="F284" s="17" t="str">
        <x:v>Only one bounded registry/program-code signal was present; no independent topical, Calendar, current-faculty, or first-audit signal was recovered.</x:v>
      </x:c>
      <x:c r="G284" s="17" t="str">
        <x:v>Does the current official catalog contain a research graduate program matching the applicant's topics?</x:v>
      </x:c>
      <x:c r="H284" s="17" t="str">
        <x:v>https://www.duq.edu</x:v>
      </x:c>
      <x:c r="I284" s="17" t="str">
        <x:v>not_sampled</x:v>
      </x:c>
      <x:c r="J284" s="17" t="str">
        <x:v>not_sampled</x:v>
      </x:c>
    </x:row>
    <x:row r="285" ht="46" customHeight="1">
      <x:c r="A285" s="17" t="str">
        <x:v>us</x:v>
      </x:c>
      <x:c r="B285" s="17" t="str">
        <x:v>East Carolina University</x:v>
      </x:c>
      <x:c r="C285" s="17" t="str">
        <x:v>IPEDS discovery signal: Computer Software Engineering (CIP 14.0903)</x:v>
      </x:c>
      <x:c r="D285" s="17" t="str">
        <x:v>Unclear</x:v>
      </x:c>
      <x:c r="E285" s="17" t="str">
        <x:v>stage2_screened_out</x:v>
      </x:c>
      <x:c r="F285" s="17" t="str">
        <x:v>Duplicate mechanical discovery signal consolidated into one institution-level catalog review candidate.</x:v>
      </x:c>
      <x:c r="G285" s="17" t="str">
        <x:v>Does the current official catalog contain a research graduate program matching the applicant's topics?</x:v>
      </x:c>
      <x:c r="H285" s="17" t="str">
        <x:v>https://www.ecu.edu</x:v>
      </x:c>
      <x:c r="I285" s="17" t="str">
        <x:v>not_sampled</x:v>
      </x:c>
      <x:c r="J285" s="17" t="str">
        <x:v>not_sampled</x:v>
      </x:c>
    </x:row>
    <x:row r="286" ht="46" customHeight="1">
      <x:c r="A286" s="17" t="str">
        <x:v>us</x:v>
      </x:c>
      <x:c r="B286" s="17" t="str">
        <x:v>East Carolina University</x:v>
      </x:c>
      <x:c r="C286" s="17" t="str">
        <x:v>IPEDS discovery signal: Computer Systems Networking and Telecommunications (CIP 11.0901)</x:v>
      </x:c>
      <x:c r="D286" s="17" t="str">
        <x:v>Unclear</x:v>
      </x:c>
      <x:c r="E286" s="17" t="str">
        <x:v>stage2_screened_out</x:v>
      </x:c>
      <x:c r="F286" s="17" t="str">
        <x:v>Duplicate mechanical discovery signal consolidated into one institution-level catalog review candidate.</x:v>
      </x:c>
      <x:c r="G286" s="17" t="str">
        <x:v>Does the current official catalog contain a research graduate program matching the applicant's topics?</x:v>
      </x:c>
      <x:c r="H286" s="17" t="str">
        <x:v>https://www.ecu.edu</x:v>
      </x:c>
      <x:c r="I286" s="17" t="str">
        <x:v>not_sampled</x:v>
      </x:c>
      <x:c r="J286" s="17" t="str">
        <x:v>not_sampled</x:v>
      </x:c>
    </x:row>
    <x:row r="287" ht="46" customHeight="1">
      <x:c r="A287" s="17" t="str">
        <x:v>us</x:v>
      </x:c>
      <x:c r="B287" s="17" t="str">
        <x:v>East Carolina University</x:v>
      </x:c>
      <x:c r="C287" s="17" t="str">
        <x:v>IPEDS discovery signal: Data Science, General (CIP 30.7001)</x:v>
      </x:c>
      <x:c r="D287" s="17" t="str">
        <x:v>Unclear</x:v>
      </x:c>
      <x:c r="E287" s="17" t="str">
        <x:v>stage2_screened_out</x:v>
      </x:c>
      <x:c r="F287" s="17" t="str">
        <x:v>Duplicate mechanical discovery signal consolidated into one institution-level catalog review candidate.</x:v>
      </x:c>
      <x:c r="G287" s="17" t="str">
        <x:v>Does the current official catalog contain a research graduate program matching the applicant's topics?</x:v>
      </x:c>
      <x:c r="H287" s="17" t="str">
        <x:v>https://www.ecu.edu</x:v>
      </x:c>
      <x:c r="I287" s="17" t="str">
        <x:v>not_sampled</x:v>
      </x:c>
      <x:c r="J287" s="17" t="str">
        <x:v>not_sampled</x:v>
      </x:c>
    </x:row>
    <x:row r="288" ht="46" customHeight="1">
      <x:c r="A288" s="17" t="str">
        <x:v>us</x:v>
      </x:c>
      <x:c r="B288" s="17" t="str">
        <x:v>East Stroudsburg University of Pennsylvania</x:v>
      </x:c>
      <x:c r="C288" s="17" t="str">
        <x:v>IPEDS discovery signal: Computer and Information Sciences, General (CIP 11.0101)</x:v>
      </x:c>
      <x:c r="D288" s="17" t="str">
        <x:v>Unclear</x:v>
      </x:c>
      <x:c r="E288" s="17" t="str">
        <x:v>stage2_screened_out</x:v>
      </x:c>
      <x:c r="F288" s="17" t="str">
        <x:v>Only one bounded registry/program-code signal was present; no independent topical, Calendar, current-faculty, or first-audit signal was recovered.</x:v>
      </x:c>
      <x:c r="G288" s="17" t="str">
        <x:v>Does the current official catalog contain a research graduate program matching the applicant's topics?</x:v>
      </x:c>
      <x:c r="H288" s="17" t="str">
        <x:v>https://www.esu.edu</x:v>
      </x:c>
      <x:c r="I288" s="17" t="str">
        <x:v>not_sampled</x:v>
      </x:c>
      <x:c r="J288" s="17" t="str">
        <x:v>not_sampled</x:v>
      </x:c>
    </x:row>
    <x:row r="289" ht="46" customHeight="1">
      <x:c r="A289" s="17" t="str">
        <x:v>us</x:v>
      </x:c>
      <x:c r="B289" s="17" t="str">
        <x:v>East Tennessee State University</x:v>
      </x:c>
      <x:c r="C289" s="17" t="str">
        <x:v>IPEDS discovery signal: Computer and Information Sciences, General (CIP 11.0101)</x:v>
      </x:c>
      <x:c r="D289" s="17" t="str">
        <x:v>Unclear</x:v>
      </x:c>
      <x:c r="E289" s="17" t="str">
        <x:v>stage2_screened_out</x:v>
      </x:c>
      <x:c r="F289" s="17" t="str">
        <x:v>Only one bounded registry/program-code signal was present; no independent topical, Calendar, current-faculty, or first-audit signal was recovered.</x:v>
      </x:c>
      <x:c r="G289" s="17" t="str">
        <x:v>Does the current official catalog contain a research graduate program matching the applicant's topics?</x:v>
      </x:c>
      <x:c r="H289" s="17" t="str">
        <x:v>https://www.etsu.edu</x:v>
      </x:c>
      <x:c r="I289" s="17" t="str">
        <x:v>not_sampled</x:v>
      </x:c>
      <x:c r="J289" s="17" t="str">
        <x:v>not_sampled</x:v>
      </x:c>
    </x:row>
    <x:row r="290" ht="46" customHeight="1">
      <x:c r="A290" s="17" t="str">
        <x:v>us</x:v>
      </x:c>
      <x:c r="B290" s="17" t="str">
        <x:v>East Tennessee State University</x:v>
      </x:c>
      <x:c r="C290" s="17" t="str">
        <x:v>IPEDS discovery signal: Data Science, General (CIP 30.7001)</x:v>
      </x:c>
      <x:c r="D290" s="17" t="str">
        <x:v>Unclear</x:v>
      </x:c>
      <x:c r="E290" s="17" t="str">
        <x:v>stage2_screened_out</x:v>
      </x:c>
      <x:c r="F290" s="17" t="str">
        <x:v>Only one bounded registry/program-code signal was present; no independent topical, Calendar, current-faculty, or first-audit signal was recovered.</x:v>
      </x:c>
      <x:c r="G290" s="17" t="str">
        <x:v>Does the current official catalog contain a research graduate program matching the applicant's topics?</x:v>
      </x:c>
      <x:c r="H290" s="17" t="str">
        <x:v>https://www.etsu.edu</x:v>
      </x:c>
      <x:c r="I290" s="17" t="str">
        <x:v>not_sampled</x:v>
      </x:c>
      <x:c r="J290" s="17" t="str">
        <x:v>not_sampled</x:v>
      </x:c>
    </x:row>
    <x:row r="291" ht="46" customHeight="1">
      <x:c r="A291" s="17" t="str">
        <x:v>us</x:v>
      </x:c>
      <x:c r="B291" s="17" t="str">
        <x:v>East Tennessee State University</x:v>
      </x:c>
      <x:c r="C291" s="17" t="str">
        <x:v>IPEDS discovery signal: Information Technology (CIP 11.0103)</x:v>
      </x:c>
      <x:c r="D291" s="17" t="str">
        <x:v>Unclear</x:v>
      </x:c>
      <x:c r="E291" s="17" t="str">
        <x:v>stage2_screened_out</x:v>
      </x:c>
      <x:c r="F291" s="17" t="str">
        <x:v>Only one bounded registry/program-code signal was present; no independent topical, Calendar, current-faculty, or first-audit signal was recovered.</x:v>
      </x:c>
      <x:c r="G291" s="17" t="str">
        <x:v>Does the current official catalog contain a research graduate program matching the applicant's topics?</x:v>
      </x:c>
      <x:c r="H291" s="17" t="str">
        <x:v>https://www.etsu.edu</x:v>
      </x:c>
      <x:c r="I291" s="17" t="str">
        <x:v>not_sampled</x:v>
      </x:c>
      <x:c r="J291" s="17" t="str">
        <x:v>not_sampled</x:v>
      </x:c>
    </x:row>
    <x:row r="292" ht="46" customHeight="1">
      <x:c r="A292" s="17" t="str">
        <x:v>us</x:v>
      </x:c>
      <x:c r="B292" s="17" t="str">
        <x:v>Eastern Kentucky University</x:v>
      </x:c>
      <x:c r="C292" s="17" t="str">
        <x:v>IPEDS discovery signal: Computer and Information Sciences, General (CIP 11.0101)</x:v>
      </x:c>
      <x:c r="D292" s="17" t="str">
        <x:v>Unclear</x:v>
      </x:c>
      <x:c r="E292" s="17" t="str">
        <x:v>stage2_screened_out</x:v>
      </x:c>
      <x:c r="F292" s="17" t="str">
        <x:v>Only one bounded registry/program-code signal was present; no independent topical, Calendar, current-faculty, or first-audit signal was recovered.</x:v>
      </x:c>
      <x:c r="G292" s="17" t="str">
        <x:v>Does the current official catalog contain a research graduate program matching the applicant's topics?</x:v>
      </x:c>
      <x:c r="H292" s="17" t="str">
        <x:v>https://www.eku.edu</x:v>
      </x:c>
      <x:c r="I292" s="17" t="str">
        <x:v>not_sampled</x:v>
      </x:c>
      <x:c r="J292" s="17" t="str">
        <x:v>not_sampled</x:v>
      </x:c>
    </x:row>
    <x:row r="293" ht="46" customHeight="1">
      <x:c r="A293" s="17" t="str">
        <x:v>us</x:v>
      </x:c>
      <x:c r="B293" s="17" t="str">
        <x:v>Eastern Michigan University</x:v>
      </x:c>
      <x:c r="C293" s="17" t="str">
        <x:v>IPEDS discovery signal: Computer Science (CIP 11.0701)</x:v>
      </x:c>
      <x:c r="D293" s="17" t="str">
        <x:v>Unclear</x:v>
      </x:c>
      <x:c r="E293" s="17" t="str">
        <x:v>stage2_screened_out</x:v>
      </x:c>
      <x:c r="F293" s="17" t="str">
        <x:v>Duplicate mechanical discovery signal consolidated into one institution-level catalog review candidate.</x:v>
      </x:c>
      <x:c r="G293" s="17" t="str">
        <x:v>Does the current official catalog contain a research graduate program matching the applicant's topics?</x:v>
      </x:c>
      <x:c r="H293" s="17" t="str">
        <x:v>https://www.emich.edu</x:v>
      </x:c>
      <x:c r="I293" s="17" t="str">
        <x:v>not_sampled</x:v>
      </x:c>
      <x:c r="J293" s="17" t="str">
        <x:v>not_sampled</x:v>
      </x:c>
    </x:row>
    <x:row r="294" ht="46" customHeight="1">
      <x:c r="A294" s="17" t="str">
        <x:v>us</x:v>
      </x:c>
      <x:c r="B294" s="17" t="str">
        <x:v>Eastern Michigan University</x:v>
      </x:c>
      <x:c r="C294" s="17" t="str">
        <x:v>IPEDS discovery signal: Information Science/Studies (CIP 11.0401)</x:v>
      </x:c>
      <x:c r="D294" s="17" t="str">
        <x:v>Unclear</x:v>
      </x:c>
      <x:c r="E294" s="17" t="str">
        <x:v>stage2_screened_out</x:v>
      </x:c>
      <x:c r="F294" s="17" t="str">
        <x:v>Duplicate mechanical discovery signal consolidated into one institution-level catalog review candidate.</x:v>
      </x:c>
      <x:c r="G294" s="17" t="str">
        <x:v>Does the current official catalog contain a research graduate program matching the applicant's topics?</x:v>
      </x:c>
      <x:c r="H294" s="17" t="str">
        <x:v>https://www.emich.edu</x:v>
      </x:c>
      <x:c r="I294" s="17" t="str">
        <x:v>not_sampled</x:v>
      </x:c>
      <x:c r="J294" s="17" t="str">
        <x:v>not_sampled</x:v>
      </x:c>
    </x:row>
    <x:row r="295" ht="46" customHeight="1">
      <x:c r="A295" s="17" t="str">
        <x:v>us</x:v>
      </x:c>
      <x:c r="B295" s="17" t="str">
        <x:v>Eastern University</x:v>
      </x:c>
      <x:c r="C295" s="17" t="str">
        <x:v>IPEDS discovery signal: Data Analytics, General (CIP 30.7101)</x:v>
      </x:c>
      <x:c r="D295" s="17" t="str">
        <x:v>Unclear</x:v>
      </x:c>
      <x:c r="E295" s="17" t="str">
        <x:v>stage2_screened_out</x:v>
      </x:c>
      <x:c r="F295" s="17" t="str">
        <x:v>Only one bounded registry/program-code signal was present; no independent topical, Calendar, current-faculty, or first-audit signal was recovered.</x:v>
      </x:c>
      <x:c r="G295" s="17" t="str">
        <x:v>Does the current official catalog contain a research graduate program matching the applicant's topics?</x:v>
      </x:c>
      <x:c r="H295" s="17" t="str">
        <x:v>https://www.eastern.edu/about/student-consumer-information</x:v>
      </x:c>
      <x:c r="I295" s="17" t="str">
        <x:v>not_sampled</x:v>
      </x:c>
      <x:c r="J295" s="17" t="str">
        <x:v>not_sampled</x:v>
      </x:c>
    </x:row>
    <x:row r="296" ht="46" customHeight="1">
      <x:c r="A296" s="17" t="str">
        <x:v>us</x:v>
      </x:c>
      <x:c r="B296" s="17" t="str">
        <x:v>Eastern University</x:v>
      </x:c>
      <x:c r="C296" s="17" t="str">
        <x:v>IPEDS discovery signal: Data Science, General (CIP 30.7001)</x:v>
      </x:c>
      <x:c r="D296" s="17" t="str">
        <x:v>Unclear</x:v>
      </x:c>
      <x:c r="E296" s="17" t="str">
        <x:v>stage2_screened_out</x:v>
      </x:c>
      <x:c r="F296" s="17" t="str">
        <x:v>Only one bounded registry/program-code signal was present; no independent topical, Calendar, current-faculty, or first-audit signal was recovered.</x:v>
      </x:c>
      <x:c r="G296" s="17" t="str">
        <x:v>Does the current official catalog contain a research graduate program matching the applicant's topics?</x:v>
      </x:c>
      <x:c r="H296" s="17" t="str">
        <x:v>https://www.eastern.edu/about/student-consumer-information</x:v>
      </x:c>
      <x:c r="I296" s="17" t="str">
        <x:v>not_sampled</x:v>
      </x:c>
      <x:c r="J296" s="17" t="str">
        <x:v>not_sampled</x:v>
      </x:c>
    </x:row>
    <x:row r="297" ht="46" customHeight="1">
      <x:c r="A297" s="17" t="str">
        <x:v>us</x:v>
      </x:c>
      <x:c r="B297" s="17" t="str">
        <x:v>Eastern Washington University</x:v>
      </x:c>
      <x:c r="C297" s="17" t="str">
        <x:v>IPEDS discovery signal: Computer and Information Sciences, General (CIP 11.0101)</x:v>
      </x:c>
      <x:c r="D297" s="17" t="str">
        <x:v>Unclear</x:v>
      </x:c>
      <x:c r="E297" s="17" t="str">
        <x:v>stage2_screened_out</x:v>
      </x:c>
      <x:c r="F297" s="17" t="str">
        <x:v>Only one bounded registry/program-code signal was present; no independent topical, Calendar, current-faculty, or first-audit signal was recovered.</x:v>
      </x:c>
      <x:c r="G297" s="17" t="str">
        <x:v>Does the current official catalog contain a research graduate program matching the applicant's topics?</x:v>
      </x:c>
      <x:c r="H297" s="17" t="str">
        <x:v>https://www.ewu.edu</x:v>
      </x:c>
      <x:c r="I297" s="17" t="str">
        <x:v>not_sampled</x:v>
      </x:c>
      <x:c r="J297" s="17" t="str">
        <x:v>not_sampled</x:v>
      </x:c>
    </x:row>
    <x:row r="298" ht="46" customHeight="1">
      <x:c r="A298" s="17" t="str">
        <x:v>us</x:v>
      </x:c>
      <x:c r="B298" s="17" t="str">
        <x:v>ECPI University</x:v>
      </x:c>
      <x:c r="C298" s="17" t="str">
        <x:v>IPEDS discovery signal: Computer and Information Systems Security/Auditing/Information Assurance (CIP 11.1003)</x:v>
      </x:c>
      <x:c r="D298" s="17" t="str">
        <x:v>Unclear</x:v>
      </x:c>
      <x:c r="E298" s="17" t="str">
        <x:v>stage2_screened_out</x:v>
      </x:c>
      <x:c r="F298" s="17" t="str">
        <x:v>Only one bounded registry/program-code signal was present; no independent topical, Calendar, current-faculty, or first-audit signal was recovered.</x:v>
      </x:c>
      <x:c r="G298" s="17" t="str">
        <x:v>Does the current official catalog contain a research graduate program matching the applicant's topics?</x:v>
      </x:c>
      <x:c r="H298" s="17" t="str">
        <x:v>https://www.ecpi.edu</x:v>
      </x:c>
      <x:c r="I298" s="17" t="str">
        <x:v>not_sampled</x:v>
      </x:c>
      <x:c r="J298" s="17" t="str">
        <x:v>not_sampled</x:v>
      </x:c>
    </x:row>
    <x:row r="299" ht="46" customHeight="1">
      <x:c r="A299" s="17" t="str">
        <x:v>us</x:v>
      </x:c>
      <x:c r="B299" s="17" t="str">
        <x:v>EDP University of Puerto Rico Inc-San Juan</x:v>
      </x:c>
      <x:c r="C299" s="17" t="str">
        <x:v>IPEDS discovery signal: Computer and Information Sciences, General (CIP 11.0101)</x:v>
      </x:c>
      <x:c r="D299" s="17" t="str">
        <x:v>Unclear</x:v>
      </x:c>
      <x:c r="E299" s="17" t="str">
        <x:v>stage2_screened_out</x:v>
      </x:c>
      <x:c r="F299" s="17" t="str">
        <x:v>Only one bounded registry/program-code signal was present; no independent topical, Calendar, current-faculty, or first-audit signal was recovered.</x:v>
      </x:c>
      <x:c r="G299" s="17" t="str">
        <x:v>Does the current official catalog contain a research graduate program matching the applicant's topics?</x:v>
      </x:c>
      <x:c r="H299" s="17" t="str">
        <x:v>https://edpuniversity.edu</x:v>
      </x:c>
      <x:c r="I299" s="17" t="str">
        <x:v>not_sampled</x:v>
      </x:c>
      <x:c r="J299" s="17" t="str">
        <x:v>not_sampled</x:v>
      </x:c>
    </x:row>
    <x:row r="300" ht="46" customHeight="1">
      <x:c r="A300" s="17" t="str">
        <x:v>us</x:v>
      </x:c>
      <x:c r="B300" s="17" t="str">
        <x:v>EDP University of Puerto Rico Inc-San Juan</x:v>
      </x:c>
      <x:c r="C300" s="17" t="str">
        <x:v>IPEDS discovery signal: Computer and Information Systems Security/Auditing/Information Assurance (CIP 11.1003)</x:v>
      </x:c>
      <x:c r="D300" s="17" t="str">
        <x:v>Unclear</x:v>
      </x:c>
      <x:c r="E300" s="17" t="str">
        <x:v>stage2_screened_out</x:v>
      </x:c>
      <x:c r="F300" s="17" t="str">
        <x:v>Only one bounded registry/program-code signal was present; no independent topical, Calendar, current-faculty, or first-audit signal was recovered.</x:v>
      </x:c>
      <x:c r="G300" s="17" t="str">
        <x:v>Does the current official catalog contain a research graduate program matching the applicant's topics?</x:v>
      </x:c>
      <x:c r="H300" s="17" t="str">
        <x:v>https://edpuniversity.edu</x:v>
      </x:c>
      <x:c r="I300" s="17" t="str">
        <x:v>not_sampled</x:v>
      </x:c>
      <x:c r="J300" s="17" t="str">
        <x:v>not_sampled</x:v>
      </x:c>
    </x:row>
    <x:row r="301" ht="46" customHeight="1">
      <x:c r="A301" s="17" t="str">
        <x:v>us</x:v>
      </x:c>
      <x:c r="B301" s="17" t="str">
        <x:v>Elmhurst University</x:v>
      </x:c>
      <x:c r="C301" s="17" t="str">
        <x:v>IPEDS discovery signal: Computer Systems Networking and Telecommunications (CIP 11.0901)</x:v>
      </x:c>
      <x:c r="D301" s="17" t="str">
        <x:v>Unclear</x:v>
      </x:c>
      <x:c r="E301" s="17" t="str">
        <x:v>stage2_screened_out</x:v>
      </x:c>
      <x:c r="F301" s="17" t="str">
        <x:v>Only one bounded registry/program-code signal was present; no independent topical, Calendar, current-faculty, or first-audit signal was recovered.</x:v>
      </x:c>
      <x:c r="G301" s="17" t="str">
        <x:v>Does the current official catalog contain a research graduate program matching the applicant's topics?</x:v>
      </x:c>
      <x:c r="H301" s="17" t="str">
        <x:v>https://www.elmhurst.edu</x:v>
      </x:c>
      <x:c r="I301" s="17" t="str">
        <x:v>not_sampled</x:v>
      </x:c>
      <x:c r="J301" s="17" t="str">
        <x:v>not_sampled</x:v>
      </x:c>
    </x:row>
    <x:row r="302" ht="46" customHeight="1">
      <x:c r="A302" s="17" t="str">
        <x:v>us</x:v>
      </x:c>
      <x:c r="B302" s="17" t="str">
        <x:v>Embry-Riddle Aeronautical University-Daytona Beach</x:v>
      </x:c>
      <x:c r="C302" s="17" t="str">
        <x:v>IPEDS discovery signal: Computer Science (CIP 11.0701)</x:v>
      </x:c>
      <x:c r="D302" s="17" t="str">
        <x:v>Unclear</x:v>
      </x:c>
      <x:c r="E302" s="17" t="str">
        <x:v>stage2_screened_out</x:v>
      </x:c>
      <x:c r="F302" s="17" t="str">
        <x:v>Only one bounded registry/program-code signal was present; no independent topical, Calendar, current-faculty, or first-audit signal was recovered.</x:v>
      </x:c>
      <x:c r="G302" s="17" t="str">
        <x:v>Does the current official catalog contain a research graduate program matching the applicant's topics?</x:v>
      </x:c>
      <x:c r="H302" s="17" t="str">
        <x:v>https://daytonabeach.erau.edu</x:v>
      </x:c>
      <x:c r="I302" s="17" t="str">
        <x:v>not_sampled</x:v>
      </x:c>
      <x:c r="J302" s="17" t="str">
        <x:v>not_sampled</x:v>
      </x:c>
    </x:row>
    <x:row r="303" ht="46" customHeight="1">
      <x:c r="A303" s="17" t="str">
        <x:v>us</x:v>
      </x:c>
      <x:c r="B303" s="17" t="str">
        <x:v>Embry-Riddle Aeronautical University-Daytona Beach</x:v>
      </x:c>
      <x:c r="C303" s="17" t="str">
        <x:v>IPEDS discovery signal: Computer Software Engineering (CIP 14.0903)</x:v>
      </x:c>
      <x:c r="D303" s="17" t="str">
        <x:v>Unclear</x:v>
      </x:c>
      <x:c r="E303" s="17" t="str">
        <x:v>stage2_screened_out</x:v>
      </x:c>
      <x:c r="F303" s="17" t="str">
        <x:v>Only one bounded registry/program-code signal was present; no independent topical, Calendar, current-faculty, or first-audit signal was recovered.</x:v>
      </x:c>
      <x:c r="G303" s="17" t="str">
        <x:v>Does the current official catalog contain a research graduate program matching the applicant's topics?</x:v>
      </x:c>
      <x:c r="H303" s="17" t="str">
        <x:v>https://daytonabeach.erau.edu</x:v>
      </x:c>
      <x:c r="I303" s="17" t="str">
        <x:v>not_sampled</x:v>
      </x:c>
      <x:c r="J303" s="17" t="str">
        <x:v>not_sampled</x:v>
      </x:c>
    </x:row>
    <x:row r="304" ht="46" customHeight="1">
      <x:c r="A304" s="17" t="str">
        <x:v>us</x:v>
      </x:c>
      <x:c r="B304" s="17" t="str">
        <x:v>Embry-Riddle Aeronautical University-Daytona Beach</x:v>
      </x:c>
      <x:c r="C304" s="17" t="str">
        <x:v>IPEDS discovery signal: Cyber/Computer Forensics and Counterterrorism (CIP 43.0403)</x:v>
      </x:c>
      <x:c r="D304" s="17" t="str">
        <x:v>Unclear</x:v>
      </x:c>
      <x:c r="E304" s="17" t="str">
        <x:v>stage2_screened_out</x:v>
      </x:c>
      <x:c r="F304" s="17" t="str">
        <x:v>Only one bounded registry/program-code signal was present; no independent topical, Calendar, current-faculty, or first-audit signal was recovered.</x:v>
      </x:c>
      <x:c r="G304" s="17" t="str">
        <x:v>Does the current official catalog contain a research graduate program matching the applicant's topics?</x:v>
      </x:c>
      <x:c r="H304" s="17" t="str">
        <x:v>https://daytonabeach.erau.edu</x:v>
      </x:c>
      <x:c r="I304" s="17" t="str">
        <x:v>not_sampled</x:v>
      </x:c>
      <x:c r="J304" s="17" t="str">
        <x:v>not_sampled</x:v>
      </x:c>
    </x:row>
    <x:row r="305" ht="46" customHeight="1">
      <x:c r="A305" s="17" t="str">
        <x:v>us</x:v>
      </x:c>
      <x:c r="B305" s="17" t="str">
        <x:v>Embry-Riddle Aeronautical University-Daytona Beach</x:v>
      </x:c>
      <x:c r="C305" s="17" t="str">
        <x:v>IPEDS discovery signal: Data Science, General (CIP 30.7001)</x:v>
      </x:c>
      <x:c r="D305" s="17" t="str">
        <x:v>Unclear</x:v>
      </x:c>
      <x:c r="E305" s="17" t="str">
        <x:v>stage2_screened_out</x:v>
      </x:c>
      <x:c r="F305" s="17" t="str">
        <x:v>Only one bounded registry/program-code signal was present; no independent topical, Calendar, current-faculty, or first-audit signal was recovered.</x:v>
      </x:c>
      <x:c r="G305" s="17" t="str">
        <x:v>Does the current official catalog contain a research graduate program matching the applicant's topics?</x:v>
      </x:c>
      <x:c r="H305" s="17" t="str">
        <x:v>https://daytonabeach.erau.edu</x:v>
      </x:c>
      <x:c r="I305" s="17" t="str">
        <x:v>not_sampled</x:v>
      </x:c>
      <x:c r="J305" s="17" t="str">
        <x:v>not_sampled</x:v>
      </x:c>
    </x:row>
    <x:row r="306" ht="46" customHeight="1">
      <x:c r="A306" s="17" t="str">
        <x:v>us</x:v>
      </x:c>
      <x:c r="B306" s="17" t="str">
        <x:v>Embry-Riddle Aeronautical University-Daytona Beach</x:v>
      </x:c>
      <x:c r="C306" s="17" t="str">
        <x:v>IPEDS discovery signal: Electrical and Electronics Engineering (CIP 14.1001)</x:v>
      </x:c>
      <x:c r="D306" s="17" t="str">
        <x:v>Unclear</x:v>
      </x:c>
      <x:c r="E306" s="17" t="str">
        <x:v>stage2_screened_out</x:v>
      </x:c>
      <x:c r="F306" s="17" t="str">
        <x:v>Only one bounded registry/program-code signal was present; no independent topical, Calendar, current-faculty, or first-audit signal was recovered.</x:v>
      </x:c>
      <x:c r="G306" s="17" t="str">
        <x:v>Does the current official catalog contain a research graduate program matching the applicant's topics?</x:v>
      </x:c>
      <x:c r="H306" s="17" t="str">
        <x:v>https://daytonabeach.erau.edu</x:v>
      </x:c>
      <x:c r="I306" s="17" t="str">
        <x:v>not_sampled</x:v>
      </x:c>
      <x:c r="J306" s="17" t="str">
        <x:v>not_sampled</x:v>
      </x:c>
    </x:row>
    <x:row r="307" ht="46" customHeight="1">
      <x:c r="A307" s="17" t="str">
        <x:v>us</x:v>
      </x:c>
      <x:c r="B307" s="17" t="str">
        <x:v>Embry-Riddle Aeronautical University-Prescott</x:v>
      </x:c>
      <x:c r="C307" s="17" t="str">
        <x:v>IPEDS discovery signal: Cyber/Computer Forensics and Counterterrorism (CIP 43.0403)</x:v>
      </x:c>
      <x:c r="D307" s="17" t="str">
        <x:v>Unclear</x:v>
      </x:c>
      <x:c r="E307" s="17" t="str">
        <x:v>stage2_screened_out</x:v>
      </x:c>
      <x:c r="F307" s="17" t="str">
        <x:v>Only one bounded registry/program-code signal was present; no independent topical, Calendar, current-faculty, or first-audit signal was recovered.</x:v>
      </x:c>
      <x:c r="G307" s="17" t="str">
        <x:v>Does the current official catalog contain a research graduate program matching the applicant's topics?</x:v>
      </x:c>
      <x:c r="H307" s="17" t="str">
        <x:v>https://prescott.erau.edu</x:v>
      </x:c>
      <x:c r="I307" s="17" t="str">
        <x:v>not_sampled</x:v>
      </x:c>
      <x:c r="J307" s="17" t="str">
        <x:v>not_sampled</x:v>
      </x:c>
    </x:row>
    <x:row r="308" ht="46" customHeight="1">
      <x:c r="A308" s="17" t="str">
        <x:v>us</x:v>
      </x:c>
      <x:c r="B308" s="17" t="str">
        <x:v>Embry-Riddle Aeronautical University-Worldwide</x:v>
      </x:c>
      <x:c r="C308" s="17" t="str">
        <x:v>IPEDS discovery signal: Cyber/Computer Forensics and Counterterrorism (CIP 43.0403)</x:v>
      </x:c>
      <x:c r="D308" s="17" t="str">
        <x:v>Unclear</x:v>
      </x:c>
      <x:c r="E308" s="17" t="str">
        <x:v>stage2_screened_out</x:v>
      </x:c>
      <x:c r="F308" s="17" t="str">
        <x:v>Only one bounded registry/program-code signal was present; no independent topical, Calendar, current-faculty, or first-audit signal was recovered.</x:v>
      </x:c>
      <x:c r="G308" s="17" t="str">
        <x:v>Does the current official catalog contain a research graduate program matching the applicant's topics?</x:v>
      </x:c>
      <x:c r="H308" s="17" t="str">
        <x:v>https://worldwide.erau.edu</x:v>
      </x:c>
      <x:c r="I308" s="17" t="str">
        <x:v>not_sampled</x:v>
      </x:c>
      <x:c r="J308" s="17" t="str">
        <x:v>not_sampled</x:v>
      </x:c>
    </x:row>
    <x:row r="309" ht="46" customHeight="1">
      <x:c r="A309" s="17" t="str">
        <x:v>us</x:v>
      </x:c>
      <x:c r="B309" s="17" t="str">
        <x:v>Emory University</x:v>
      </x:c>
      <x:c r="C309" s="17" t="str">
        <x:v>IPEDS discovery signal: Informatics (CIP 11.0104)</x:v>
      </x:c>
      <x:c r="D309" s="17" t="str">
        <x:v>Unclear</x:v>
      </x:c>
      <x:c r="E309" s="17" t="str">
        <x:v>stage2_screened_out</x:v>
      </x:c>
      <x:c r="F309" s="17" t="str">
        <x:v>Duplicate mechanical discovery signal consolidated into one institution-level catalog review candidate.</x:v>
      </x:c>
      <x:c r="G309" s="17" t="str">
        <x:v>Does the current official catalog contain a research graduate program matching the applicant's topics?</x:v>
      </x:c>
      <x:c r="H309" s="17" t="str">
        <x:v>https://www.emory.edu</x:v>
      </x:c>
      <x:c r="I309" s="17" t="str">
        <x:v>not_sampled</x:v>
      </x:c>
      <x:c r="J309" s="17" t="str">
        <x:v>not_sampled</x:v>
      </x:c>
    </x:row>
    <x:row r="310" ht="46" customHeight="1">
      <x:c r="A310" s="17" t="str">
        <x:v>us</x:v>
      </x:c>
      <x:c r="B310" s="17" t="str">
        <x:v>Empire State University</x:v>
      </x:c>
      <x:c r="C310" s="17" t="str">
        <x:v>IPEDS discovery signal: Information Science/Studies (CIP 11.0401)</x:v>
      </x:c>
      <x:c r="D310" s="17" t="str">
        <x:v>Unclear</x:v>
      </x:c>
      <x:c r="E310" s="17" t="str">
        <x:v>stage2_screened_out</x:v>
      </x:c>
      <x:c r="F310" s="17" t="str">
        <x:v>Only one bounded registry/program-code signal was present; no independent topical, Calendar, current-faculty, or first-audit signal was recovered.</x:v>
      </x:c>
      <x:c r="G310" s="17" t="str">
        <x:v>Does the current official catalog contain a research graduate program matching the applicant's topics?</x:v>
      </x:c>
      <x:c r="H310" s="17" t="str">
        <x:v>https://www.sunyempire.edu</x:v>
      </x:c>
      <x:c r="I310" s="17" t="str">
        <x:v>not_sampled</x:v>
      </x:c>
      <x:c r="J310" s="17" t="str">
        <x:v>not_sampled</x:v>
      </x:c>
    </x:row>
    <x:row r="311" ht="46" customHeight="1">
      <x:c r="A311" s="17" t="str">
        <x:v>us</x:v>
      </x:c>
      <x:c r="B311" s="17" t="str">
        <x:v>Empire State University</x:v>
      </x:c>
      <x:c r="C311" s="17" t="str">
        <x:v>IPEDS discovery signal: Information Technology (CIP 11.0103)</x:v>
      </x:c>
      <x:c r="D311" s="17" t="str">
        <x:v>Unclear</x:v>
      </x:c>
      <x:c r="E311" s="17" t="str">
        <x:v>stage2_screened_out</x:v>
      </x:c>
      <x:c r="F311" s="17" t="str">
        <x:v>Only one bounded registry/program-code signal was present; no independent topical, Calendar, current-faculty, or first-audit signal was recovered.</x:v>
      </x:c>
      <x:c r="G311" s="17" t="str">
        <x:v>Does the current official catalog contain a research graduate program matching the applicant's topics?</x:v>
      </x:c>
      <x:c r="H311" s="17" t="str">
        <x:v>https://www.sunyempire.edu</x:v>
      </x:c>
      <x:c r="I311" s="17" t="str">
        <x:v>not_sampled</x:v>
      </x:c>
      <x:c r="J311" s="17" t="str">
        <x:v>not_sampled</x:v>
      </x:c>
    </x:row>
    <x:row r="312" ht="46" customHeight="1">
      <x:c r="A312" s="17" t="str">
        <x:v>us</x:v>
      </x:c>
      <x:c r="B312" s="17" t="str">
        <x:v>Emporia State University</x:v>
      </x:c>
      <x:c r="C312" s="17" t="str">
        <x:v>IPEDS discovery signal: Information Technology (CIP 11.0103)</x:v>
      </x:c>
      <x:c r="D312" s="17" t="str">
        <x:v>Unclear</x:v>
      </x:c>
      <x:c r="E312" s="17" t="str">
        <x:v>stage2_screened_out</x:v>
      </x:c>
      <x:c r="F312" s="17" t="str">
        <x:v>Duplicate mechanical discovery signal consolidated into one institution-level catalog review candidate.</x:v>
      </x:c>
      <x:c r="G312" s="17" t="str">
        <x:v>Does the current official catalog contain a research graduate program matching the applicant's topics?</x:v>
      </x:c>
      <x:c r="H312" s="17" t="str">
        <x:v>https://www.emporia.edu</x:v>
      </x:c>
      <x:c r="I312" s="17" t="str">
        <x:v>not_sampled</x:v>
      </x:c>
      <x:c r="J312" s="17" t="str">
        <x:v>not_sampled</x:v>
      </x:c>
    </x:row>
    <x:row r="313" ht="46" customHeight="1">
      <x:c r="A313" s="17" t="str">
        <x:v>us</x:v>
      </x:c>
      <x:c r="B313" s="17" t="str">
        <x:v>Endicott College</x:v>
      </x:c>
      <x:c r="C313" s="17" t="str">
        <x:v>IPEDS discovery signal: Information Technology (CIP 11.0103)</x:v>
      </x:c>
      <x:c r="D313" s="17" t="str">
        <x:v>Unclear</x:v>
      </x:c>
      <x:c r="E313" s="17" t="str">
        <x:v>stage2_screened_out</x:v>
      </x:c>
      <x:c r="F313" s="17" t="str">
        <x:v>Only one bounded registry/program-code signal was present; no independent topical, Calendar, current-faculty, or first-audit signal was recovered.</x:v>
      </x:c>
      <x:c r="G313" s="17" t="str">
        <x:v>Does the current official catalog contain a research graduate program matching the applicant's topics?</x:v>
      </x:c>
      <x:c r="H313" s="17" t="str">
        <x:v>https://www.endicott.edu</x:v>
      </x:c>
      <x:c r="I313" s="17" t="str">
        <x:v>not_sampled</x:v>
      </x:c>
      <x:c r="J313" s="17" t="str">
        <x:v>not_sampled</x:v>
      </x:c>
    </x:row>
    <x:row r="314" ht="46" customHeight="1">
      <x:c r="A314" s="17" t="str">
        <x:v>us</x:v>
      </x:c>
      <x:c r="B314" s="17" t="str">
        <x:v>Excelsior University</x:v>
      </x:c>
      <x:c r="C314" s="17" t="str">
        <x:v>IPEDS discovery signal: Cyber/Computer Forensics and Counterterrorism (CIP 43.0403)</x:v>
      </x:c>
      <x:c r="D314" s="17" t="str">
        <x:v>Unclear</x:v>
      </x:c>
      <x:c r="E314" s="17" t="str">
        <x:v>stage2_screened_out</x:v>
      </x:c>
      <x:c r="F314" s="17" t="str">
        <x:v>Only one bounded registry/program-code signal was present; no independent topical, Calendar, current-faculty, or first-audit signal was recovered.</x:v>
      </x:c>
      <x:c r="G314" s="17" t="str">
        <x:v>Does the current official catalog contain a research graduate program matching the applicant's topics?</x:v>
      </x:c>
      <x:c r="H314" s="17" t="str">
        <x:v>https://www.excelsior.edu</x:v>
      </x:c>
      <x:c r="I314" s="17" t="str">
        <x:v>not_sampled</x:v>
      </x:c>
      <x:c r="J314" s="17" t="str">
        <x:v>not_sampled</x:v>
      </x:c>
    </x:row>
    <x:row r="315" ht="46" customHeight="1">
      <x:c r="A315" s="17" t="str">
        <x:v>us</x:v>
      </x:c>
      <x:c r="B315" s="17" t="str">
        <x:v>Fairfield University</x:v>
      </x:c>
      <x:c r="C315" s="17" t="str">
        <x:v>IPEDS discovery signal: Computer and Information Systems Security/Auditing/Information Assurance (CIP 11.1003)</x:v>
      </x:c>
      <x:c r="D315" s="17" t="str">
        <x:v>Unclear</x:v>
      </x:c>
      <x:c r="E315" s="17" t="str">
        <x:v>stage2_screened_out</x:v>
      </x:c>
      <x:c r="F315" s="17" t="str">
        <x:v>Only one bounded registry/program-code signal was present; no independent topical, Calendar, current-faculty, or first-audit signal was recovered.</x:v>
      </x:c>
      <x:c r="G315" s="17" t="str">
        <x:v>Does the current official catalog contain a research graduate program matching the applicant's topics?</x:v>
      </x:c>
      <x:c r="H315" s="17" t="str">
        <x:v>https://fairfield.edu</x:v>
      </x:c>
      <x:c r="I315" s="17" t="str">
        <x:v>not_sampled</x:v>
      </x:c>
      <x:c r="J315" s="17" t="str">
        <x:v>not_sampled</x:v>
      </x:c>
    </x:row>
    <x:row r="316" ht="46" customHeight="1">
      <x:c r="A316" s="17" t="str">
        <x:v>us</x:v>
      </x:c>
      <x:c r="B316" s="17" t="str">
        <x:v>Fairfield University</x:v>
      </x:c>
      <x:c r="C316" s="17" t="str">
        <x:v>IPEDS discovery signal: Computer Software Engineering (CIP 14.0903)</x:v>
      </x:c>
      <x:c r="D316" s="17" t="str">
        <x:v>Unclear</x:v>
      </x:c>
      <x:c r="E316" s="17" t="str">
        <x:v>stage2_screened_out</x:v>
      </x:c>
      <x:c r="F316" s="17" t="str">
        <x:v>Only one bounded registry/program-code signal was present; no independent topical, Calendar, current-faculty, or first-audit signal was recovered.</x:v>
      </x:c>
      <x:c r="G316" s="17" t="str">
        <x:v>Does the current official catalog contain a research graduate program matching the applicant's topics?</x:v>
      </x:c>
      <x:c r="H316" s="17" t="str">
        <x:v>https://fairfield.edu</x:v>
      </x:c>
      <x:c r="I316" s="17" t="str">
        <x:v>not_sampled</x:v>
      </x:c>
      <x:c r="J316" s="17" t="str">
        <x:v>not_sampled</x:v>
      </x:c>
    </x:row>
    <x:row r="317" ht="46" customHeight="1">
      <x:c r="A317" s="17" t="str">
        <x:v>us</x:v>
      </x:c>
      <x:c r="B317" s="17" t="str">
        <x:v>Fairfield University</x:v>
      </x:c>
      <x:c r="C317" s="17" t="str">
        <x:v>IPEDS discovery signal: Data Science, General (CIP 30.7001)</x:v>
      </x:c>
      <x:c r="D317" s="17" t="str">
        <x:v>Unclear</x:v>
      </x:c>
      <x:c r="E317" s="17" t="str">
        <x:v>stage2_screened_out</x:v>
      </x:c>
      <x:c r="F317" s="17" t="str">
        <x:v>Only one bounded registry/program-code signal was present; no independent topical, Calendar, current-faculty, or first-audit signal was recovered.</x:v>
      </x:c>
      <x:c r="G317" s="17" t="str">
        <x:v>Does the current official catalog contain a research graduate program matching the applicant's topics?</x:v>
      </x:c>
      <x:c r="H317" s="17" t="str">
        <x:v>https://fairfield.edu</x:v>
      </x:c>
      <x:c r="I317" s="17" t="str">
        <x:v>not_sampled</x:v>
      </x:c>
      <x:c r="J317" s="17" t="str">
        <x:v>not_sampled</x:v>
      </x:c>
    </x:row>
    <x:row r="318" ht="46" customHeight="1">
      <x:c r="A318" s="17" t="str">
        <x:v>us</x:v>
      </x:c>
      <x:c r="B318" s="17" t="str">
        <x:v>Fairfield University</x:v>
      </x:c>
      <x:c r="C318" s="17" t="str">
        <x:v>IPEDS discovery signal: Electrical and Electronics Engineering (CIP 14.1001)</x:v>
      </x:c>
      <x:c r="D318" s="17" t="str">
        <x:v>Unclear</x:v>
      </x:c>
      <x:c r="E318" s="17" t="str">
        <x:v>stage2_screened_out</x:v>
      </x:c>
      <x:c r="F318" s="17" t="str">
        <x:v>Only one bounded registry/program-code signal was present; no independent topical, Calendar, current-faculty, or first-audit signal was recovered.</x:v>
      </x:c>
      <x:c r="G318" s="17" t="str">
        <x:v>Does the current official catalog contain a research graduate program matching the applicant's topics?</x:v>
      </x:c>
      <x:c r="H318" s="17" t="str">
        <x:v>https://fairfield.edu</x:v>
      </x:c>
      <x:c r="I318" s="17" t="str">
        <x:v>not_sampled</x:v>
      </x:c>
      <x:c r="J318" s="17" t="str">
        <x:v>not_sampled</x:v>
      </x:c>
    </x:row>
    <x:row r="319" ht="46" customHeight="1">
      <x:c r="A319" s="17" t="str">
        <x:v>us</x:v>
      </x:c>
      <x:c r="B319" s="17" t="str">
        <x:v>Fairleigh Dickinson University-Florham Campus</x:v>
      </x:c>
      <x:c r="C319" s="17" t="str">
        <x:v>IPEDS discovery signal: Computer Science (CIP 11.0701)</x:v>
      </x:c>
      <x:c r="D319" s="17" t="str">
        <x:v>Unclear</x:v>
      </x:c>
      <x:c r="E319" s="17" t="str">
        <x:v>stage2_screened_out</x:v>
      </x:c>
      <x:c r="F319" s="17" t="str">
        <x:v>Only one bounded registry/program-code signal was present; no independent topical, Calendar, current-faculty, or first-audit signal was recovered.</x:v>
      </x:c>
      <x:c r="G319" s="17" t="str">
        <x:v>Does the current official catalog contain a research graduate program matching the applicant's topics?</x:v>
      </x:c>
      <x:c r="H319" s="17" t="str">
        <x:v>https://www.fdu.edu</x:v>
      </x:c>
      <x:c r="I319" s="17" t="str">
        <x:v>not_sampled</x:v>
      </x:c>
      <x:c r="J319" s="17" t="str">
        <x:v>not_sampled</x:v>
      </x:c>
    </x:row>
    <x:row r="320" ht="46" customHeight="1">
      <x:c r="A320" s="17" t="str">
        <x:v>us</x:v>
      </x:c>
      <x:c r="B320" s="17" t="str">
        <x:v>Fairleigh Dickinson University-Metropolitan Campus</x:v>
      </x:c>
      <x:c r="C320" s="17" t="str">
        <x:v>IPEDS discovery signal: Computer and Information Systems Security/Auditing/Information Assurance (CIP 11.1003)</x:v>
      </x:c>
      <x:c r="D320" s="17" t="str">
        <x:v>Unclear</x:v>
      </x:c>
      <x:c r="E320" s="17" t="str">
        <x:v>stage2_screened_out</x:v>
      </x:c>
      <x:c r="F320" s="17" t="str">
        <x:v>Only one bounded registry/program-code signal was present; no independent topical, Calendar, current-faculty, or first-audit signal was recovered.</x:v>
      </x:c>
      <x:c r="G320" s="17" t="str">
        <x:v>Does the current official catalog contain a research graduate program matching the applicant's topics?</x:v>
      </x:c>
      <x:c r="H320" s="17" t="str">
        <x:v>https://www.fdu.edu</x:v>
      </x:c>
      <x:c r="I320" s="17" t="str">
        <x:v>not_sampled</x:v>
      </x:c>
      <x:c r="J320" s="17" t="str">
        <x:v>not_sampled</x:v>
      </x:c>
    </x:row>
    <x:row r="321" ht="46" customHeight="1">
      <x:c r="A321" s="17" t="str">
        <x:v>us</x:v>
      </x:c>
      <x:c r="B321" s="17" t="str">
        <x:v>Fairleigh Dickinson University-Metropolitan Campus</x:v>
      </x:c>
      <x:c r="C321" s="17" t="str">
        <x:v>IPEDS discovery signal: Computer Engineering, General (CIP 14.0901)</x:v>
      </x:c>
      <x:c r="D321" s="17" t="str">
        <x:v>Unclear</x:v>
      </x:c>
      <x:c r="E321" s="17" t="str">
        <x:v>stage2_screened_out</x:v>
      </x:c>
      <x:c r="F321" s="17" t="str">
        <x:v>Only one bounded registry/program-code signal was present; no independent topical, Calendar, current-faculty, or first-audit signal was recovered.</x:v>
      </x:c>
      <x:c r="G321" s="17" t="str">
        <x:v>Does the current official catalog contain a research graduate program matching the applicant's topics?</x:v>
      </x:c>
      <x:c r="H321" s="17" t="str">
        <x:v>https://www.fdu.edu</x:v>
      </x:c>
      <x:c r="I321" s="17" t="str">
        <x:v>not_sampled</x:v>
      </x:c>
      <x:c r="J321" s="17" t="str">
        <x:v>not_sampled</x:v>
      </x:c>
    </x:row>
    <x:row r="322" ht="46" customHeight="1">
      <x:c r="A322" s="17" t="str">
        <x:v>us</x:v>
      </x:c>
      <x:c r="B322" s="17" t="str">
        <x:v>Fairleigh Dickinson University-Metropolitan Campus</x:v>
      </x:c>
      <x:c r="C322" s="17" t="str">
        <x:v>IPEDS discovery signal: Computer Science (CIP 11.0701)</x:v>
      </x:c>
      <x:c r="D322" s="17" t="str">
        <x:v>Unclear</x:v>
      </x:c>
      <x:c r="E322" s="17" t="str">
        <x:v>stage2_screened_out</x:v>
      </x:c>
      <x:c r="F322" s="17" t="str">
        <x:v>Only one bounded registry/program-code signal was present; no independent topical, Calendar, current-faculty, or first-audit signal was recovered.</x:v>
      </x:c>
      <x:c r="G322" s="17" t="str">
        <x:v>Does the current official catalog contain a research graduate program matching the applicant's topics?</x:v>
      </x:c>
      <x:c r="H322" s="17" t="str">
        <x:v>https://www.fdu.edu</x:v>
      </x:c>
      <x:c r="I322" s="17" t="str">
        <x:v>not_sampled</x:v>
      </x:c>
      <x:c r="J322" s="17" t="str">
        <x:v>not_sampled</x:v>
      </x:c>
    </x:row>
    <x:row r="323" ht="46" customHeight="1">
      <x:c r="A323" s="17" t="str">
        <x:v>us</x:v>
      </x:c>
      <x:c r="B323" s="17" t="str">
        <x:v>Fairleigh Dickinson University-Metropolitan Campus</x:v>
      </x:c>
      <x:c r="C323" s="17" t="str">
        <x:v>IPEDS discovery signal: Electrical and Electronics Engineering (CIP 14.1001)</x:v>
      </x:c>
      <x:c r="D323" s="17" t="str">
        <x:v>Unclear</x:v>
      </x:c>
      <x:c r="E323" s="17" t="str">
        <x:v>stage2_screened_out</x:v>
      </x:c>
      <x:c r="F323" s="17" t="str">
        <x:v>Only one bounded registry/program-code signal was present; no independent topical, Calendar, current-faculty, or first-audit signal was recovered.</x:v>
      </x:c>
      <x:c r="G323" s="17" t="str">
        <x:v>Does the current official catalog contain a research graduate program matching the applicant's topics?</x:v>
      </x:c>
      <x:c r="H323" s="17" t="str">
        <x:v>https://www.fdu.edu</x:v>
      </x:c>
      <x:c r="I323" s="17" t="str">
        <x:v>not_sampled</x:v>
      </x:c>
      <x:c r="J323" s="17" t="str">
        <x:v>not_sampled</x:v>
      </x:c>
    </x:row>
    <x:row r="324" ht="46" customHeight="1">
      <x:c r="A324" s="17" t="str">
        <x:v>us</x:v>
      </x:c>
      <x:c r="B324" s="17" t="str">
        <x:v>Fairleigh Dickinson University-Metropolitan Campus</x:v>
      </x:c>
      <x:c r="C324" s="17" t="str">
        <x:v>IPEDS discovery signal: Information Science/Studies (CIP 11.0401)</x:v>
      </x:c>
      <x:c r="D324" s="17" t="str">
        <x:v>Unclear</x:v>
      </x:c>
      <x:c r="E324" s="17" t="str">
        <x:v>stage2_screened_out</x:v>
      </x:c>
      <x:c r="F324" s="17" t="str">
        <x:v>Only one bounded registry/program-code signal was present; no independent topical, Calendar, current-faculty, or first-audit signal was recovered.</x:v>
      </x:c>
      <x:c r="G324" s="17" t="str">
        <x:v>Does the current official catalog contain a research graduate program matching the applicant's topics?</x:v>
      </x:c>
      <x:c r="H324" s="17" t="str">
        <x:v>https://www.fdu.edu</x:v>
      </x:c>
      <x:c r="I324" s="17" t="str">
        <x:v>not_sampled</x:v>
      </x:c>
      <x:c r="J324" s="17" t="str">
        <x:v>not_sampled</x:v>
      </x:c>
    </x:row>
    <x:row r="325" ht="46" customHeight="1">
      <x:c r="A325" s="17" t="str">
        <x:v>us</x:v>
      </x:c>
      <x:c r="B325" s="17" t="str">
        <x:v>Felician University</x:v>
      </x:c>
      <x:c r="C325" s="17" t="str">
        <x:v>IPEDS discovery signal: Computer Science (CIP 11.0701)</x:v>
      </x:c>
      <x:c r="D325" s="17" t="str">
        <x:v>Unclear</x:v>
      </x:c>
      <x:c r="E325" s="17" t="str">
        <x:v>stage2_screened_out</x:v>
      </x:c>
      <x:c r="F325" s="17" t="str">
        <x:v>Only one bounded registry/program-code signal was present; no independent topical, Calendar, current-faculty, or first-audit signal was recovered.</x:v>
      </x:c>
      <x:c r="G325" s="17" t="str">
        <x:v>Does the current official catalog contain a research graduate program matching the applicant's topics?</x:v>
      </x:c>
      <x:c r="H325" s="17" t="str">
        <x:v>https://www.felician.edu</x:v>
      </x:c>
      <x:c r="I325" s="17" t="str">
        <x:v>not_sampled</x:v>
      </x:c>
      <x:c r="J325" s="17" t="str">
        <x:v>not_sampled</x:v>
      </x:c>
    </x:row>
    <x:row r="326" ht="46" customHeight="1">
      <x:c r="A326" s="17" t="str">
        <x:v>us</x:v>
      </x:c>
      <x:c r="B326" s="17" t="str">
        <x:v>Ferris State University</x:v>
      </x:c>
      <x:c r="C326" s="17" t="str">
        <x:v>IPEDS discovery signal: Computer and Information Systems Security/Auditing/Information Assurance (CIP 11.1003)</x:v>
      </x:c>
      <x:c r="D326" s="17" t="str">
        <x:v>Unclear</x:v>
      </x:c>
      <x:c r="E326" s="17" t="str">
        <x:v>stage2_screened_out</x:v>
      </x:c>
      <x:c r="F326" s="17" t="str">
        <x:v>Only one bounded registry/program-code signal was present; no independent topical, Calendar, current-faculty, or first-audit signal was recovered.</x:v>
      </x:c>
      <x:c r="G326" s="17" t="str">
        <x:v>Does the current official catalog contain a research graduate program matching the applicant's topics?</x:v>
      </x:c>
      <x:c r="H326" s="17" t="str">
        <x:v>https://www.ferris.edu</x:v>
      </x:c>
      <x:c r="I326" s="17" t="str">
        <x:v>not_sampled</x:v>
      </x:c>
      <x:c r="J326" s="17" t="str">
        <x:v>not_sampled</x:v>
      </x:c>
    </x:row>
    <x:row r="327" ht="46" customHeight="1">
      <x:c r="A327" s="17" t="str">
        <x:v>us</x:v>
      </x:c>
      <x:c r="B327" s="17" t="str">
        <x:v>Ferris State University</x:v>
      </x:c>
      <x:c r="C327" s="17" t="str">
        <x:v>IPEDS discovery signal: Data Analytics, General (CIP 30.7101)</x:v>
      </x:c>
      <x:c r="D327" s="17" t="str">
        <x:v>Unclear</x:v>
      </x:c>
      <x:c r="E327" s="17" t="str">
        <x:v>stage2_screened_out</x:v>
      </x:c>
      <x:c r="F327" s="17" t="str">
        <x:v>Only one bounded registry/program-code signal was present; no independent topical, Calendar, current-faculty, or first-audit signal was recovered.</x:v>
      </x:c>
      <x:c r="G327" s="17" t="str">
        <x:v>Does the current official catalog contain a research graduate program matching the applicant's topics?</x:v>
      </x:c>
      <x:c r="H327" s="17" t="str">
        <x:v>https://www.ferris.edu</x:v>
      </x:c>
      <x:c r="I327" s="17" t="str">
        <x:v>not_sampled</x:v>
      </x:c>
      <x:c r="J327" s="17" t="str">
        <x:v>not_sampled</x:v>
      </x:c>
    </x:row>
    <x:row r="328" ht="46" customHeight="1">
      <x:c r="A328" s="17" t="str">
        <x:v>us</x:v>
      </x:c>
      <x:c r="B328" s="17" t="str">
        <x:v>Florida Agricultural and Mechanical University</x:v>
      </x:c>
      <x:c r="C328" s="17" t="str">
        <x:v>IPEDS discovery signal: Computer and Information Sciences, General (CIP 11.0101)</x:v>
      </x:c>
      <x:c r="D328" s="17" t="str">
        <x:v>Unclear</x:v>
      </x:c>
      <x:c r="E328" s="17" t="str">
        <x:v>stage2_screened_out</x:v>
      </x:c>
      <x:c r="F328" s="17" t="str">
        <x:v>Only one bounded registry/program-code signal was present; no independent topical, Calendar, current-faculty, or first-audit signal was recovered.</x:v>
      </x:c>
      <x:c r="G328" s="17" t="str">
        <x:v>Does the current official catalog contain a research graduate program matching the applicant's topics?</x:v>
      </x:c>
      <x:c r="H328" s="17" t="str">
        <x:v>https://www.famu.edu</x:v>
      </x:c>
      <x:c r="I328" s="17" t="str">
        <x:v>not_sampled</x:v>
      </x:c>
      <x:c r="J328" s="17" t="str">
        <x:v>not_sampled</x:v>
      </x:c>
    </x:row>
    <x:row r="329" ht="46" customHeight="1">
      <x:c r="A329" s="17" t="str">
        <x:v>us</x:v>
      </x:c>
      <x:c r="B329" s="17" t="str">
        <x:v>Florida Agricultural and Mechanical University</x:v>
      </x:c>
      <x:c r="C329" s="17" t="str">
        <x:v>IPEDS discovery signal: Electrical and Electronics Engineering (CIP 14.1001)</x:v>
      </x:c>
      <x:c r="D329" s="17" t="str">
        <x:v>Unclear</x:v>
      </x:c>
      <x:c r="E329" s="17" t="str">
        <x:v>stage2_screened_out</x:v>
      </x:c>
      <x:c r="F329" s="17" t="str">
        <x:v>Only one bounded registry/program-code signal was present; no independent topical, Calendar, current-faculty, or first-audit signal was recovered.</x:v>
      </x:c>
      <x:c r="G329" s="17" t="str">
        <x:v>Does the current official catalog contain a research graduate program matching the applicant's topics?</x:v>
      </x:c>
      <x:c r="H329" s="17" t="str">
        <x:v>https://www.famu.edu</x:v>
      </x:c>
      <x:c r="I329" s="17" t="str">
        <x:v>not_sampled</x:v>
      </x:c>
      <x:c r="J329" s="17" t="str">
        <x:v>not_sampled</x:v>
      </x:c>
    </x:row>
    <x:row r="330" ht="46" customHeight="1">
      <x:c r="A330" s="17" t="str">
        <x:v>us</x:v>
      </x:c>
      <x:c r="B330" s="17" t="str">
        <x:v>Florida Atlantic University</x:v>
      </x:c>
      <x:c r="C330" s="17" t="str">
        <x:v>IPEDS discovery signal: Computer and Information Sciences, General (CIP 11.0101)</x:v>
      </x:c>
      <x:c r="D330" s="17" t="str">
        <x:v>Unclear</x:v>
      </x:c>
      <x:c r="E330" s="17" t="str">
        <x:v>stage2_screened_out</x:v>
      </x:c>
      <x:c r="F330" s="17" t="str">
        <x:v>Duplicate mechanical discovery signal consolidated into one institution-level catalog review candidate.</x:v>
      </x:c>
      <x:c r="G330" s="17" t="str">
        <x:v>Does the current official catalog contain a research graduate program matching the applicant's topics?</x:v>
      </x:c>
      <x:c r="H330" s="17" t="str">
        <x:v>https://www.fau.edu</x:v>
      </x:c>
      <x:c r="I330" s="17" t="str">
        <x:v>not_sampled</x:v>
      </x:c>
      <x:c r="J330" s="17" t="str">
        <x:v>not_sampled</x:v>
      </x:c>
    </x:row>
    <x:row r="331" ht="46" customHeight="1">
      <x:c r="A331" s="17" t="str">
        <x:v>us</x:v>
      </x:c>
      <x:c r="B331" s="17" t="str">
        <x:v>Florida Atlantic University</x:v>
      </x:c>
      <x:c r="C331" s="17" t="str">
        <x:v>IPEDS discovery signal: Computer Engineering, General (CIP 14.0901)</x:v>
      </x:c>
      <x:c r="D331" s="17" t="str">
        <x:v>Unclear</x:v>
      </x:c>
      <x:c r="E331" s="17" t="str">
        <x:v>stage2_screened_out</x:v>
      </x:c>
      <x:c r="F331" s="17" t="str">
        <x:v>Duplicate mechanical discovery signal consolidated into one institution-level catalog review candidate.</x:v>
      </x:c>
      <x:c r="G331" s="17" t="str">
        <x:v>Does the current official catalog contain a research graduate program matching the applicant's topics?</x:v>
      </x:c>
      <x:c r="H331" s="17" t="str">
        <x:v>https://www.fau.edu</x:v>
      </x:c>
      <x:c r="I331" s="17" t="str">
        <x:v>not_sampled</x:v>
      </x:c>
      <x:c r="J331" s="17" t="str">
        <x:v>not_sampled</x:v>
      </x:c>
    </x:row>
    <x:row r="332" ht="46" customHeight="1">
      <x:c r="A332" s="17" t="str">
        <x:v>us</x:v>
      </x:c>
      <x:c r="B332" s="17" t="str">
        <x:v>Florida Atlantic University</x:v>
      </x:c>
      <x:c r="C332" s="17" t="str">
        <x:v>IPEDS discovery signal: Data Science, General (CIP 30.7001)</x:v>
      </x:c>
      <x:c r="D332" s="17" t="str">
        <x:v>Unclear</x:v>
      </x:c>
      <x:c r="E332" s="17" t="str">
        <x:v>stage2_screened_out</x:v>
      </x:c>
      <x:c r="F332" s="17" t="str">
        <x:v>Duplicate mechanical discovery signal consolidated into one institution-level catalog review candidate.</x:v>
      </x:c>
      <x:c r="G332" s="17" t="str">
        <x:v>Does the current official catalog contain a research graduate program matching the applicant's topics?</x:v>
      </x:c>
      <x:c r="H332" s="17" t="str">
        <x:v>https://www.fau.edu</x:v>
      </x:c>
      <x:c r="I332" s="17" t="str">
        <x:v>not_sampled</x:v>
      </x:c>
      <x:c r="J332" s="17" t="str">
        <x:v>not_sampled</x:v>
      </x:c>
    </x:row>
    <x:row r="333" ht="46" customHeight="1">
      <x:c r="A333" s="17" t="str">
        <x:v>us</x:v>
      </x:c>
      <x:c r="B333" s="17" t="str">
        <x:v>Florida Atlantic University</x:v>
      </x:c>
      <x:c r="C333" s="17" t="str">
        <x:v>IPEDS discovery signal: Electrical and Electronics Engineering (CIP 14.1001)</x:v>
      </x:c>
      <x:c r="D333" s="17" t="str">
        <x:v>Unclear</x:v>
      </x:c>
      <x:c r="E333" s="17" t="str">
        <x:v>stage2_screened_out</x:v>
      </x:c>
      <x:c r="F333" s="17" t="str">
        <x:v>Duplicate mechanical discovery signal consolidated into one institution-level catalog review candidate.</x:v>
      </x:c>
      <x:c r="G333" s="17" t="str">
        <x:v>Does the current official catalog contain a research graduate program matching the applicant's topics?</x:v>
      </x:c>
      <x:c r="H333" s="17" t="str">
        <x:v>https://www.fau.edu</x:v>
      </x:c>
      <x:c r="I333" s="17" t="str">
        <x:v>not_sampled</x:v>
      </x:c>
      <x:c r="J333" s="17" t="str">
        <x:v>not_sampled</x:v>
      </x:c>
    </x:row>
    <x:row r="334" ht="46" customHeight="1">
      <x:c r="A334" s="17" t="str">
        <x:v>us</x:v>
      </x:c>
      <x:c r="B334" s="17" t="str">
        <x:v>Florida Atlantic University</x:v>
      </x:c>
      <x:c r="C334" s="17" t="str">
        <x:v>IPEDS discovery signal: Information Technology (CIP 11.0103)</x:v>
      </x:c>
      <x:c r="D334" s="17" t="str">
        <x:v>Unclear</x:v>
      </x:c>
      <x:c r="E334" s="17" t="str">
        <x:v>stage2_screened_out</x:v>
      </x:c>
      <x:c r="F334" s="17" t="str">
        <x:v>Duplicate mechanical discovery signal consolidated into one institution-level catalog review candidate.</x:v>
      </x:c>
      <x:c r="G334" s="17" t="str">
        <x:v>Does the current official catalog contain a research graduate program matching the applicant's topics?</x:v>
      </x:c>
      <x:c r="H334" s="17" t="str">
        <x:v>https://www.fau.edu</x:v>
      </x:c>
      <x:c r="I334" s="17" t="str">
        <x:v>not_sampled</x:v>
      </x:c>
      <x:c r="J334" s="17" t="str">
        <x:v>not_sampled</x:v>
      </x:c>
    </x:row>
    <x:row r="335" ht="46" customHeight="1">
      <x:c r="A335" s="17" t="str">
        <x:v>us</x:v>
      </x:c>
      <x:c r="B335" s="17" t="str">
        <x:v>Florida Institute of Technology</x:v>
      </x:c>
      <x:c r="C335" s="17" t="str">
        <x:v>IPEDS discovery signal: Computer and Information Systems Security/Auditing/Information Assurance (CIP 11.1003)</x:v>
      </x:c>
      <x:c r="D335" s="17" t="str">
        <x:v>Unclear</x:v>
      </x:c>
      <x:c r="E335" s="17" t="str">
        <x:v>stage2_screened_out</x:v>
      </x:c>
      <x:c r="F335" s="17" t="str">
        <x:v>Only one bounded registry/program-code signal was present; no independent topical, Calendar, current-faculty, or first-audit signal was recovered.</x:v>
      </x:c>
      <x:c r="G335" s="17" t="str">
        <x:v>Does the current official catalog contain a research graduate program matching the applicant's topics?</x:v>
      </x:c>
      <x:c r="H335" s="17" t="str">
        <x:v>https://www.fit.edu</x:v>
      </x:c>
      <x:c r="I335" s="17" t="str">
        <x:v>not_sampled</x:v>
      </x:c>
      <x:c r="J335" s="17" t="str">
        <x:v>not_sampled</x:v>
      </x:c>
    </x:row>
    <x:row r="336" ht="46" customHeight="1">
      <x:c r="A336" s="17" t="str">
        <x:v>us</x:v>
      </x:c>
      <x:c r="B336" s="17" t="str">
        <x:v>Florida Institute of Technology</x:v>
      </x:c>
      <x:c r="C336" s="17" t="str">
        <x:v>IPEDS discovery signal: Computer Engineering, General (CIP 14.0901)</x:v>
      </x:c>
      <x:c r="D336" s="17" t="str">
        <x:v>Unclear</x:v>
      </x:c>
      <x:c r="E336" s="17" t="str">
        <x:v>stage2_screened_out</x:v>
      </x:c>
      <x:c r="F336" s="17" t="str">
        <x:v>Only one bounded registry/program-code signal was present; no independent topical, Calendar, current-faculty, or first-audit signal was recovered.</x:v>
      </x:c>
      <x:c r="G336" s="17" t="str">
        <x:v>Does the current official catalog contain a research graduate program matching the applicant's topics?</x:v>
      </x:c>
      <x:c r="H336" s="17" t="str">
        <x:v>https://www.fit.edu</x:v>
      </x:c>
      <x:c r="I336" s="17" t="str">
        <x:v>not_sampled</x:v>
      </x:c>
      <x:c r="J336" s="17" t="str">
        <x:v>not_sampled</x:v>
      </x:c>
    </x:row>
    <x:row r="337" ht="46" customHeight="1">
      <x:c r="A337" s="17" t="str">
        <x:v>us</x:v>
      </x:c>
      <x:c r="B337" s="17" t="str">
        <x:v>Florida Institute of Technology</x:v>
      </x:c>
      <x:c r="C337" s="17" t="str">
        <x:v>IPEDS discovery signal: Computer Science (CIP 11.0701)</x:v>
      </x:c>
      <x:c r="D337" s="17" t="str">
        <x:v>Unclear</x:v>
      </x:c>
      <x:c r="E337" s="17" t="str">
        <x:v>stage2_screened_out</x:v>
      </x:c>
      <x:c r="F337" s="17" t="str">
        <x:v>Only one bounded registry/program-code signal was present; no independent topical, Calendar, current-faculty, or first-audit signal was recovered.</x:v>
      </x:c>
      <x:c r="G337" s="17" t="str">
        <x:v>Does the current official catalog contain a research graduate program matching the applicant's topics?</x:v>
      </x:c>
      <x:c r="H337" s="17" t="str">
        <x:v>https://www.fit.edu</x:v>
      </x:c>
      <x:c r="I337" s="17" t="str">
        <x:v>not_sampled</x:v>
      </x:c>
      <x:c r="J337" s="17" t="str">
        <x:v>not_sampled</x:v>
      </x:c>
    </x:row>
    <x:row r="338" ht="46" customHeight="1">
      <x:c r="A338" s="17" t="str">
        <x:v>us</x:v>
      </x:c>
      <x:c r="B338" s="17" t="str">
        <x:v>Florida Institute of Technology</x:v>
      </x:c>
      <x:c r="C338" s="17" t="str">
        <x:v>IPEDS discovery signal: Computer Software Engineering (CIP 14.0903)</x:v>
      </x:c>
      <x:c r="D338" s="17" t="str">
        <x:v>Unclear</x:v>
      </x:c>
      <x:c r="E338" s="17" t="str">
        <x:v>stage2_screened_out</x:v>
      </x:c>
      <x:c r="F338" s="17" t="str">
        <x:v>Only one bounded registry/program-code signal was present; no independent topical, Calendar, current-faculty, or first-audit signal was recovered.</x:v>
      </x:c>
      <x:c r="G338" s="17" t="str">
        <x:v>Does the current official catalog contain a research graduate program matching the applicant's topics?</x:v>
      </x:c>
      <x:c r="H338" s="17" t="str">
        <x:v>https://www.fit.edu</x:v>
      </x:c>
      <x:c r="I338" s="17" t="str">
        <x:v>not_sampled</x:v>
      </x:c>
      <x:c r="J338" s="17" t="str">
        <x:v>not_sampled</x:v>
      </x:c>
    </x:row>
    <x:row r="339" ht="46" customHeight="1">
      <x:c r="A339" s="17" t="str">
        <x:v>us</x:v>
      </x:c>
      <x:c r="B339" s="17" t="str">
        <x:v>Florida Institute of Technology</x:v>
      </x:c>
      <x:c r="C339" s="17" t="str">
        <x:v>IPEDS discovery signal: Electrical and Electronics Engineering (CIP 14.1001)</x:v>
      </x:c>
      <x:c r="D339" s="17" t="str">
        <x:v>Unclear</x:v>
      </x:c>
      <x:c r="E339" s="17" t="str">
        <x:v>stage2_screened_out</x:v>
      </x:c>
      <x:c r="F339" s="17" t="str">
        <x:v>Only one bounded registry/program-code signal was present; no independent topical, Calendar, current-faculty, or first-audit signal was recovered.</x:v>
      </x:c>
      <x:c r="G339" s="17" t="str">
        <x:v>Does the current official catalog contain a research graduate program matching the applicant's topics?</x:v>
      </x:c>
      <x:c r="H339" s="17" t="str">
        <x:v>https://www.fit.edu</x:v>
      </x:c>
      <x:c r="I339" s="17" t="str">
        <x:v>not_sampled</x:v>
      </x:c>
      <x:c r="J339" s="17" t="str">
        <x:v>not_sampled</x:v>
      </x:c>
    </x:row>
    <x:row r="340" ht="46" customHeight="1">
      <x:c r="A340" s="17" t="str">
        <x:v>us</x:v>
      </x:c>
      <x:c r="B340" s="17" t="str">
        <x:v>Florida Institute of Technology</x:v>
      </x:c>
      <x:c r="C340" s="17" t="str">
        <x:v>IPEDS discovery signal: Information Science/Studies (CIP 11.0401)</x:v>
      </x:c>
      <x:c r="D340" s="17" t="str">
        <x:v>Unclear</x:v>
      </x:c>
      <x:c r="E340" s="17" t="str">
        <x:v>stage2_screened_out</x:v>
      </x:c>
      <x:c r="F340" s="17" t="str">
        <x:v>Only one bounded registry/program-code signal was present; no independent topical, Calendar, current-faculty, or first-audit signal was recovered.</x:v>
      </x:c>
      <x:c r="G340" s="17" t="str">
        <x:v>Does the current official catalog contain a research graduate program matching the applicant's topics?</x:v>
      </x:c>
      <x:c r="H340" s="17" t="str">
        <x:v>https://www.fit.edu</x:v>
      </x:c>
      <x:c r="I340" s="17" t="str">
        <x:v>not_sampled</x:v>
      </x:c>
      <x:c r="J340" s="17" t="str">
        <x:v>not_sampled</x:v>
      </x:c>
    </x:row>
    <x:row r="341" ht="46" customHeight="1">
      <x:c r="A341" s="17" t="str">
        <x:v>us</x:v>
      </x:c>
      <x:c r="B341" s="17" t="str">
        <x:v>Florida Institute of Technology-Online</x:v>
      </x:c>
      <x:c r="C341" s="17" t="str">
        <x:v>IPEDS discovery signal: Computer and Information Systems Security/Auditing/Information Assurance (CIP 11.1003)</x:v>
      </x:c>
      <x:c r="D341" s="17" t="str">
        <x:v>Unclear</x:v>
      </x:c>
      <x:c r="E341" s="17" t="str">
        <x:v>stage2_screened_out</x:v>
      </x:c>
      <x:c r="F341" s="17" t="str">
        <x:v>Only one bounded registry/program-code signal was present; no independent topical, Calendar, current-faculty, or first-audit signal was recovered.</x:v>
      </x:c>
      <x:c r="G341" s="17" t="str">
        <x:v>Does the current official catalog contain a research graduate program matching the applicant's topics?</x:v>
      </x:c>
      <x:c r="H341" s="17" t="str">
        <x:v>https://www.fit.edu</x:v>
      </x:c>
      <x:c r="I341" s="17" t="str">
        <x:v>not_sampled</x:v>
      </x:c>
      <x:c r="J341" s="17" t="str">
        <x:v>not_sampled</x:v>
      </x:c>
    </x:row>
    <x:row r="342" ht="46" customHeight="1">
      <x:c r="A342" s="17" t="str">
        <x:v>us</x:v>
      </x:c>
      <x:c r="B342" s="17" t="str">
        <x:v>Florida International University</x:v>
      </x:c>
      <x:c r="C342" s="17" t="str">
        <x:v>IPEDS discovery signal: Computer and Information Systems Security/Auditing/Information Assurance (CIP 11.1003)</x:v>
      </x:c>
      <x:c r="D342" s="17" t="str">
        <x:v>Unclear</x:v>
      </x:c>
      <x:c r="E342" s="17" t="str">
        <x:v>stage2_screened_out</x:v>
      </x:c>
      <x:c r="F342" s="17" t="str">
        <x:v>Duplicate mechanical discovery signal consolidated into one institution-level catalog review candidate.</x:v>
      </x:c>
      <x:c r="G342" s="17" t="str">
        <x:v>Does the current official catalog contain a research graduate program matching the applicant's topics?</x:v>
      </x:c>
      <x:c r="H342" s="17" t="str">
        <x:v>https://www.fiu.edu</x:v>
      </x:c>
      <x:c r="I342" s="17" t="str">
        <x:v>not_sampled</x:v>
      </x:c>
      <x:c r="J342" s="17" t="str">
        <x:v>not_sampled</x:v>
      </x:c>
    </x:row>
    <x:row r="343" ht="46" customHeight="1">
      <x:c r="A343" s="17" t="str">
        <x:v>us</x:v>
      </x:c>
      <x:c r="B343" s="17" t="str">
        <x:v>Florida International University</x:v>
      </x:c>
      <x:c r="C343" s="17" t="str">
        <x:v>IPEDS discovery signal: Computer Engineering, General (CIP 14.0901)</x:v>
      </x:c>
      <x:c r="D343" s="17" t="str">
        <x:v>Unclear</x:v>
      </x:c>
      <x:c r="E343" s="17" t="str">
        <x:v>stage2_screened_out</x:v>
      </x:c>
      <x:c r="F343" s="17" t="str">
        <x:v>Duplicate mechanical discovery signal consolidated into one institution-level catalog review candidate.</x:v>
      </x:c>
      <x:c r="G343" s="17" t="str">
        <x:v>Does the current official catalog contain a research graduate program matching the applicant's topics?</x:v>
      </x:c>
      <x:c r="H343" s="17" t="str">
        <x:v>https://www.fiu.edu</x:v>
      </x:c>
      <x:c r="I343" s="17" t="str">
        <x:v>not_sampled</x:v>
      </x:c>
      <x:c r="J343" s="17" t="str">
        <x:v>not_sampled</x:v>
      </x:c>
    </x:row>
    <x:row r="344" ht="46" customHeight="1">
      <x:c r="A344" s="17" t="str">
        <x:v>us</x:v>
      </x:c>
      <x:c r="B344" s="17" t="str">
        <x:v>Florida International University</x:v>
      </x:c>
      <x:c r="C344" s="17" t="str">
        <x:v>IPEDS discovery signal: Electrical and Electronics Engineering (CIP 14.1001)</x:v>
      </x:c>
      <x:c r="D344" s="17" t="str">
        <x:v>Unclear</x:v>
      </x:c>
      <x:c r="E344" s="17" t="str">
        <x:v>stage2_screened_out</x:v>
      </x:c>
      <x:c r="F344" s="17" t="str">
        <x:v>Duplicate mechanical discovery signal consolidated into one institution-level catalog review candidate.</x:v>
      </x:c>
      <x:c r="G344" s="17" t="str">
        <x:v>Does the current official catalog contain a research graduate program matching the applicant's topics?</x:v>
      </x:c>
      <x:c r="H344" s="17" t="str">
        <x:v>https://www.fiu.edu</x:v>
      </x:c>
      <x:c r="I344" s="17" t="str">
        <x:v>not_sampled</x:v>
      </x:c>
      <x:c r="J344" s="17" t="str">
        <x:v>not_sampled</x:v>
      </x:c>
    </x:row>
    <x:row r="345" ht="46" customHeight="1">
      <x:c r="A345" s="17" t="str">
        <x:v>us</x:v>
      </x:c>
      <x:c r="B345" s="17" t="str">
        <x:v>Florida International University</x:v>
      </x:c>
      <x:c r="C345" s="17" t="str">
        <x:v>IPEDS discovery signal: Information Technology (CIP 11.0103)</x:v>
      </x:c>
      <x:c r="D345" s="17" t="str">
        <x:v>Unclear</x:v>
      </x:c>
      <x:c r="E345" s="17" t="str">
        <x:v>stage2_screened_out</x:v>
      </x:c>
      <x:c r="F345" s="17" t="str">
        <x:v>Duplicate mechanical discovery signal consolidated into one institution-level catalog review candidate.</x:v>
      </x:c>
      <x:c r="G345" s="17" t="str">
        <x:v>Does the current official catalog contain a research graduate program matching the applicant's topics?</x:v>
      </x:c>
      <x:c r="H345" s="17" t="str">
        <x:v>https://www.fiu.edu</x:v>
      </x:c>
      <x:c r="I345" s="17" t="str">
        <x:v>not_sampled</x:v>
      </x:c>
      <x:c r="J345" s="17" t="str">
        <x:v>not_sampled</x:v>
      </x:c>
    </x:row>
    <x:row r="346" ht="46" customHeight="1">
      <x:c r="A346" s="17" t="str">
        <x:v>us</x:v>
      </x:c>
      <x:c r="B346" s="17" t="str">
        <x:v>Florida Polytechnic University</x:v>
      </x:c>
      <x:c r="C346" s="17" t="str">
        <x:v>IPEDS discovery signal: Data Science, General (CIP 30.7001)</x:v>
      </x:c>
      <x:c r="D346" s="17" t="str">
        <x:v>Unclear</x:v>
      </x:c>
      <x:c r="E346" s="17" t="str">
        <x:v>stage2_screened_out</x:v>
      </x:c>
      <x:c r="F346" s="17" t="str">
        <x:v>Duplicate mechanical discovery signal consolidated into one institution-level catalog review candidate.</x:v>
      </x:c>
      <x:c r="G346" s="17" t="str">
        <x:v>Does the current official catalog contain a research graduate program matching the applicant's topics?</x:v>
      </x:c>
      <x:c r="H346" s="17" t="str">
        <x:v>https://floridapoly.edu</x:v>
      </x:c>
      <x:c r="I346" s="17" t="str">
        <x:v>not_sampled</x:v>
      </x:c>
      <x:c r="J346" s="17" t="str">
        <x:v>not_sampled</x:v>
      </x:c>
    </x:row>
    <x:row r="347" ht="46" customHeight="1">
      <x:c r="A347" s="17" t="str">
        <x:v>us</x:v>
      </x:c>
      <x:c r="B347" s="17" t="str">
        <x:v>Florida State University</x:v>
      </x:c>
      <x:c r="C347" s="17" t="str">
        <x:v>IPEDS discovery signal: Computer and Information Sciences, General (CIP 11.0101)</x:v>
      </x:c>
      <x:c r="D347" s="17" t="str">
        <x:v>Unclear</x:v>
      </x:c>
      <x:c r="E347" s="17" t="str">
        <x:v>stage2_screened_out</x:v>
      </x:c>
      <x:c r="F347" s="17" t="str">
        <x:v>Only one bounded registry/program-code signal was present; no independent topical, Calendar, current-faculty, or first-audit signal was recovered.</x:v>
      </x:c>
      <x:c r="G347" s="17" t="str">
        <x:v>Does the current official catalog contain a research graduate program matching the applicant's topics?</x:v>
      </x:c>
      <x:c r="H347" s="17" t="str">
        <x:v>https://www.fsu.edu</x:v>
      </x:c>
      <x:c r="I347" s="17" t="str">
        <x:v>not_sampled</x:v>
      </x:c>
      <x:c r="J347" s="17" t="str">
        <x:v>not_sampled</x:v>
      </x:c>
    </x:row>
    <x:row r="348" ht="46" customHeight="1">
      <x:c r="A348" s="17" t="str">
        <x:v>us</x:v>
      </x:c>
      <x:c r="B348" s="17" t="str">
        <x:v>Florida State University</x:v>
      </x:c>
      <x:c r="C348" s="17" t="str">
        <x:v>IPEDS discovery signal: Data Science, General (CIP 30.7001)</x:v>
      </x:c>
      <x:c r="D348" s="17" t="str">
        <x:v>Unclear</x:v>
      </x:c>
      <x:c r="E348" s="17" t="str">
        <x:v>stage2_screened_out</x:v>
      </x:c>
      <x:c r="F348" s="17" t="str">
        <x:v>Only one bounded registry/program-code signal was present; no independent topical, Calendar, current-faculty, or first-audit signal was recovered.</x:v>
      </x:c>
      <x:c r="G348" s="17" t="str">
        <x:v>Does the current official catalog contain a research graduate program matching the applicant's topics?</x:v>
      </x:c>
      <x:c r="H348" s="17" t="str">
        <x:v>https://www.fsu.edu</x:v>
      </x:c>
      <x:c r="I348" s="17" t="str">
        <x:v>not_sampled</x:v>
      </x:c>
      <x:c r="J348" s="17" t="str">
        <x:v>not_sampled</x:v>
      </x:c>
    </x:row>
    <x:row r="349" ht="46" customHeight="1">
      <x:c r="A349" s="17" t="str">
        <x:v>us</x:v>
      </x:c>
      <x:c r="B349" s="17" t="str">
        <x:v>Florida State University</x:v>
      </x:c>
      <x:c r="C349" s="17" t="str">
        <x:v>IPEDS discovery signal: Electrical and Electronics Engineering (CIP 14.1001)</x:v>
      </x:c>
      <x:c r="D349" s="17" t="str">
        <x:v>Unclear</x:v>
      </x:c>
      <x:c r="E349" s="17" t="str">
        <x:v>stage2_screened_out</x:v>
      </x:c>
      <x:c r="F349" s="17" t="str">
        <x:v>Only one bounded registry/program-code signal was present; no independent topical, Calendar, current-faculty, or first-audit signal was recovered.</x:v>
      </x:c>
      <x:c r="G349" s="17" t="str">
        <x:v>Does the current official catalog contain a research graduate program matching the applicant's topics?</x:v>
      </x:c>
      <x:c r="H349" s="17" t="str">
        <x:v>https://www.fsu.edu</x:v>
      </x:c>
      <x:c r="I349" s="17" t="str">
        <x:v>not_sampled</x:v>
      </x:c>
      <x:c r="J349" s="17" t="str">
        <x:v>not_sampled</x:v>
      </x:c>
    </x:row>
    <x:row r="350" ht="46" customHeight="1">
      <x:c r="A350" s="17" t="str">
        <x:v>us</x:v>
      </x:c>
      <x:c r="B350" s="17" t="str">
        <x:v>Florida State University</x:v>
      </x:c>
      <x:c r="C350" s="17" t="str">
        <x:v>IPEDS discovery signal: Information Science/Studies (CIP 11.0401)</x:v>
      </x:c>
      <x:c r="D350" s="17" t="str">
        <x:v>Unclear</x:v>
      </x:c>
      <x:c r="E350" s="17" t="str">
        <x:v>stage2_screened_out</x:v>
      </x:c>
      <x:c r="F350" s="17" t="str">
        <x:v>Only one bounded registry/program-code signal was present; no independent topical, Calendar, current-faculty, or first-audit signal was recovered.</x:v>
      </x:c>
      <x:c r="G350" s="17" t="str">
        <x:v>Does the current official catalog contain a research graduate program matching the applicant's topics?</x:v>
      </x:c>
      <x:c r="H350" s="17" t="str">
        <x:v>https://www.fsu.edu</x:v>
      </x:c>
      <x:c r="I350" s="17" t="str">
        <x:v>not_sampled</x:v>
      </x:c>
      <x:c r="J350" s="17" t="str">
        <x:v>not_sampled</x:v>
      </x:c>
    </x:row>
    <x:row r="351" ht="46" customHeight="1">
      <x:c r="A351" s="17" t="str">
        <x:v>us</x:v>
      </x:c>
      <x:c r="B351" s="17" t="str">
        <x:v>Florida State University</x:v>
      </x:c>
      <x:c r="C351" s="17" t="str">
        <x:v>IPEDS discovery signal: Information Technology (CIP 11.0103)</x:v>
      </x:c>
      <x:c r="D351" s="17" t="str">
        <x:v>Unclear</x:v>
      </x:c>
      <x:c r="E351" s="17" t="str">
        <x:v>stage2_screened_out</x:v>
      </x:c>
      <x:c r="F351" s="17" t="str">
        <x:v>Only one bounded registry/program-code signal was present; no independent topical, Calendar, current-faculty, or first-audit signal was recovered.</x:v>
      </x:c>
      <x:c r="G351" s="17" t="str">
        <x:v>Does the current official catalog contain a research graduate program matching the applicant's topics?</x:v>
      </x:c>
      <x:c r="H351" s="17" t="str">
        <x:v>https://www.fsu.edu</x:v>
      </x:c>
      <x:c r="I351" s="17" t="str">
        <x:v>not_sampled</x:v>
      </x:c>
      <x:c r="J351" s="17" t="str">
        <x:v>not_sampled</x:v>
      </x:c>
    </x:row>
    <x:row r="352" ht="46" customHeight="1">
      <x:c r="A352" s="17" t="str">
        <x:v>us</x:v>
      </x:c>
      <x:c r="B352" s="17" t="str">
        <x:v>Fontbonne University</x:v>
      </x:c>
      <x:c r="C352" s="17" t="str">
        <x:v>IPEDS discovery signal: Computer and Information Sciences, General (CIP 11.0101)</x:v>
      </x:c>
      <x:c r="D352" s="17" t="str">
        <x:v>Unclear</x:v>
      </x:c>
      <x:c r="E352" s="17" t="str">
        <x:v>stage2_screened_out</x:v>
      </x:c>
      <x:c r="F352" s="17" t="str">
        <x:v>Only one bounded registry/program-code signal was present; no independent topical, Calendar, current-faculty, or first-audit signal was recovered.</x:v>
      </x:c>
      <x:c r="G352" s="17" t="str">
        <x:v>Does the current official catalog contain a research graduate program matching the applicant's topics?</x:v>
      </x:c>
      <x:c r="H352" s="17" t="str">
        <x:v>https://www.fontbonne.edu</x:v>
      </x:c>
      <x:c r="I352" s="17" t="str">
        <x:v>not_sampled</x:v>
      </x:c>
      <x:c r="J352" s="17" t="str">
        <x:v>not_sampled</x:v>
      </x:c>
    </x:row>
    <x:row r="353" ht="46" customHeight="1">
      <x:c r="A353" s="17" t="str">
        <x:v>us</x:v>
      </x:c>
      <x:c r="B353" s="17" t="str">
        <x:v>Fontbonne University</x:v>
      </x:c>
      <x:c r="C353" s="17" t="str">
        <x:v>IPEDS discovery signal: Computer and Information Systems Security/Auditing/Information Assurance (CIP 11.1003)</x:v>
      </x:c>
      <x:c r="D353" s="17" t="str">
        <x:v>Unclear</x:v>
      </x:c>
      <x:c r="E353" s="17" t="str">
        <x:v>stage2_screened_out</x:v>
      </x:c>
      <x:c r="F353" s="17" t="str">
        <x:v>Only one bounded registry/program-code signal was present; no independent topical, Calendar, current-faculty, or first-audit signal was recovered.</x:v>
      </x:c>
      <x:c r="G353" s="17" t="str">
        <x:v>Does the current official catalog contain a research graduate program matching the applicant's topics?</x:v>
      </x:c>
      <x:c r="H353" s="17" t="str">
        <x:v>https://www.fontbonne.edu</x:v>
      </x:c>
      <x:c r="I353" s="17" t="str">
        <x:v>not_sampled</x:v>
      </x:c>
      <x:c r="J353" s="17" t="str">
        <x:v>not_sampled</x:v>
      </x:c>
    </x:row>
    <x:row r="354" ht="46" customHeight="1">
      <x:c r="A354" s="17" t="str">
        <x:v>us</x:v>
      </x:c>
      <x:c r="B354" s="17" t="str">
        <x:v>Fordham University</x:v>
      </x:c>
      <x:c r="C354" s="17" t="str">
        <x:v>IPEDS discovery signal: Computer and Information Systems Security/Auditing/Information Assurance (CIP 11.1003)</x:v>
      </x:c>
      <x:c r="D354" s="17" t="str">
        <x:v>Unclear</x:v>
      </x:c>
      <x:c r="E354" s="17" t="str">
        <x:v>stage2_screened_out</x:v>
      </x:c>
      <x:c r="F354" s="17" t="str">
        <x:v>Duplicate mechanical discovery signal consolidated into one institution-level catalog review candidate.</x:v>
      </x:c>
      <x:c r="G354" s="17" t="str">
        <x:v>Does the current official catalog contain a research graduate program matching the applicant's topics?</x:v>
      </x:c>
      <x:c r="H354" s="17" t="str">
        <x:v>https://www.fordham.edu</x:v>
      </x:c>
      <x:c r="I354" s="17" t="str">
        <x:v>not_sampled</x:v>
      </x:c>
      <x:c r="J354" s="17" t="str">
        <x:v>not_sampled</x:v>
      </x:c>
    </x:row>
    <x:row r="355" ht="46" customHeight="1">
      <x:c r="A355" s="17" t="str">
        <x:v>us</x:v>
      </x:c>
      <x:c r="B355" s="17" t="str">
        <x:v>Fordham University</x:v>
      </x:c>
      <x:c r="C355" s="17" t="str">
        <x:v>IPEDS discovery signal: Data Science, General (CIP 30.7001)</x:v>
      </x:c>
      <x:c r="D355" s="17" t="str">
        <x:v>Unclear</x:v>
      </x:c>
      <x:c r="E355" s="17" t="str">
        <x:v>stage2_screened_out</x:v>
      </x:c>
      <x:c r="F355" s="17" t="str">
        <x:v>Duplicate mechanical discovery signal consolidated into one institution-level catalog review candidate.</x:v>
      </x:c>
      <x:c r="G355" s="17" t="str">
        <x:v>Does the current official catalog contain a research graduate program matching the applicant's topics?</x:v>
      </x:c>
      <x:c r="H355" s="17" t="str">
        <x:v>https://www.fordham.edu</x:v>
      </x:c>
      <x:c r="I355" s="17" t="str">
        <x:v>not_sampled</x:v>
      </x:c>
      <x:c r="J355" s="17" t="str">
        <x:v>not_sampled</x:v>
      </x:c>
    </x:row>
    <x:row r="356" ht="46" customHeight="1">
      <x:c r="A356" s="17" t="str">
        <x:v>us</x:v>
      </x:c>
      <x:c r="B356" s="17" t="str">
        <x:v>Fordham University</x:v>
      </x:c>
      <x:c r="C356" s="17" t="str">
        <x:v>IPEDS discovery signal: Information Technology (CIP 11.0103)</x:v>
      </x:c>
      <x:c r="D356" s="17" t="str">
        <x:v>Unclear</x:v>
      </x:c>
      <x:c r="E356" s="17" t="str">
        <x:v>stage2_screened_out</x:v>
      </x:c>
      <x:c r="F356" s="17" t="str">
        <x:v>Duplicate mechanical discovery signal consolidated into one institution-level catalog review candidate.</x:v>
      </x:c>
      <x:c r="G356" s="17" t="str">
        <x:v>Does the current official catalog contain a research graduate program matching the applicant's topics?</x:v>
      </x:c>
      <x:c r="H356" s="17" t="str">
        <x:v>https://www.fordham.edu</x:v>
      </x:c>
      <x:c r="I356" s="17" t="str">
        <x:v>not_sampled</x:v>
      </x:c>
      <x:c r="J356" s="17" t="str">
        <x:v>not_sampled</x:v>
      </x:c>
    </x:row>
    <x:row r="357" ht="46" customHeight="1">
      <x:c r="A357" s="17" t="str">
        <x:v>us</x:v>
      </x:c>
      <x:c r="B357" s="17" t="str">
        <x:v>Franklin University</x:v>
      </x:c>
      <x:c r="C357" s="17" t="str">
        <x:v>IPEDS discovery signal: Computer and Information Systems Security/Auditing/Information Assurance (CIP 11.1003)</x:v>
      </x:c>
      <x:c r="D357" s="17" t="str">
        <x:v>Unclear</x:v>
      </x:c>
      <x:c r="E357" s="17" t="str">
        <x:v>stage2_screened_out</x:v>
      </x:c>
      <x:c r="F357" s="17" t="str">
        <x:v>Only one bounded registry/program-code signal was present; no independent topical, Calendar, current-faculty, or first-audit signal was recovered.</x:v>
      </x:c>
      <x:c r="G357" s="17" t="str">
        <x:v>Does the current official catalog contain a research graduate program matching the applicant's topics?</x:v>
      </x:c>
      <x:c r="H357" s="17" t="str">
        <x:v>https://www.franklin.edu</x:v>
      </x:c>
      <x:c r="I357" s="17" t="str">
        <x:v>not_sampled</x:v>
      </x:c>
      <x:c r="J357" s="17" t="str">
        <x:v>not_sampled</x:v>
      </x:c>
    </x:row>
    <x:row r="358" ht="46" customHeight="1">
      <x:c r="A358" s="17" t="str">
        <x:v>us</x:v>
      </x:c>
      <x:c r="B358" s="17" t="str">
        <x:v>Franklin University</x:v>
      </x:c>
      <x:c r="C358" s="17" t="str">
        <x:v>IPEDS discovery signal: Computer Science (CIP 11.0701)</x:v>
      </x:c>
      <x:c r="D358" s="17" t="str">
        <x:v>Unclear</x:v>
      </x:c>
      <x:c r="E358" s="17" t="str">
        <x:v>stage2_screened_out</x:v>
      </x:c>
      <x:c r="F358" s="17" t="str">
        <x:v>Only one bounded registry/program-code signal was present; no independent topical, Calendar, current-faculty, or first-audit signal was recovered.</x:v>
      </x:c>
      <x:c r="G358" s="17" t="str">
        <x:v>Does the current official catalog contain a research graduate program matching the applicant's topics?</x:v>
      </x:c>
      <x:c r="H358" s="17" t="str">
        <x:v>https://www.franklin.edu</x:v>
      </x:c>
      <x:c r="I358" s="17" t="str">
        <x:v>not_sampled</x:v>
      </x:c>
      <x:c r="J358" s="17" t="str">
        <x:v>not_sampled</x:v>
      </x:c>
    </x:row>
    <x:row r="359" ht="46" customHeight="1">
      <x:c r="A359" s="17" t="str">
        <x:v>us</x:v>
      </x:c>
      <x:c r="B359" s="17" t="str">
        <x:v>Franklin University</x:v>
      </x:c>
      <x:c r="C359" s="17" t="str">
        <x:v>IPEDS discovery signal: Data Analytics, General (CIP 30.7101)</x:v>
      </x:c>
      <x:c r="D359" s="17" t="str">
        <x:v>Unclear</x:v>
      </x:c>
      <x:c r="E359" s="17" t="str">
        <x:v>stage2_screened_out</x:v>
      </x:c>
      <x:c r="F359" s="17" t="str">
        <x:v>Only one bounded registry/program-code signal was present; no independent topical, Calendar, current-faculty, or first-audit signal was recovered.</x:v>
      </x:c>
      <x:c r="G359" s="17" t="str">
        <x:v>Does the current official catalog contain a research graduate program matching the applicant's topics?</x:v>
      </x:c>
      <x:c r="H359" s="17" t="str">
        <x:v>https://www.franklin.edu</x:v>
      </x:c>
      <x:c r="I359" s="17" t="str">
        <x:v>not_sampled</x:v>
      </x:c>
      <x:c r="J359" s="17" t="str">
        <x:v>not_sampled</x:v>
      </x:c>
    </x:row>
    <x:row r="360" ht="46" customHeight="1">
      <x:c r="A360" s="17" t="str">
        <x:v>us</x:v>
      </x:c>
      <x:c r="B360" s="17" t="str">
        <x:v>Franklin University</x:v>
      </x:c>
      <x:c r="C360" s="17" t="str">
        <x:v>IPEDS discovery signal: Information Technology (CIP 11.0103)</x:v>
      </x:c>
      <x:c r="D360" s="17" t="str">
        <x:v>Unclear</x:v>
      </x:c>
      <x:c r="E360" s="17" t="str">
        <x:v>stage2_screened_out</x:v>
      </x:c>
      <x:c r="F360" s="17" t="str">
        <x:v>Only one bounded registry/program-code signal was present; no independent topical, Calendar, current-faculty, or first-audit signal was recovered.</x:v>
      </x:c>
      <x:c r="G360" s="17" t="str">
        <x:v>Does the current official catalog contain a research graduate program matching the applicant's topics?</x:v>
      </x:c>
      <x:c r="H360" s="17" t="str">
        <x:v>https://www.franklin.edu</x:v>
      </x:c>
      <x:c r="I360" s="17" t="str">
        <x:v>not_sampled</x:v>
      </x:c>
      <x:c r="J360" s="17" t="str">
        <x:v>not_sampled</x:v>
      </x:c>
    </x:row>
    <x:row r="361" ht="46" customHeight="1">
      <x:c r="A361" s="17" t="str">
        <x:v>us</x:v>
      </x:c>
      <x:c r="B361" s="17" t="str">
        <x:v>Frostburg State University</x:v>
      </x:c>
      <x:c r="C361" s="17" t="str">
        <x:v>IPEDS discovery signal: Computer Science (CIP 11.0701)</x:v>
      </x:c>
      <x:c r="D361" s="17" t="str">
        <x:v>Unclear</x:v>
      </x:c>
      <x:c r="E361" s="17" t="str">
        <x:v>stage2_screened_out</x:v>
      </x:c>
      <x:c r="F361" s="17" t="str">
        <x:v>Only one bounded registry/program-code signal was present; no independent topical, Calendar, current-faculty, or first-audit signal was recovered.</x:v>
      </x:c>
      <x:c r="G361" s="17" t="str">
        <x:v>Does the current official catalog contain a research graduate program matching the applicant's topics?</x:v>
      </x:c>
      <x:c r="H361" s="17" t="str">
        <x:v>https://www.frostburg.edu</x:v>
      </x:c>
      <x:c r="I361" s="17" t="str">
        <x:v>not_sampled</x:v>
      </x:c>
      <x:c r="J361" s="17" t="str">
        <x:v>not_sampled</x:v>
      </x:c>
    </x:row>
    <x:row r="362" ht="46" customHeight="1">
      <x:c r="A362" s="17" t="str">
        <x:v>us</x:v>
      </x:c>
      <x:c r="B362" s="17" t="str">
        <x:v>Full Sail University</x:v>
      </x:c>
      <x:c r="C362" s="17" t="str">
        <x:v>IPEDS discovery signal: Computer Software Engineering (CIP 14.0903)</x:v>
      </x:c>
      <x:c r="D362" s="17" t="str">
        <x:v>Unclear</x:v>
      </x:c>
      <x:c r="E362" s="17" t="str">
        <x:v>stage2_screened_out</x:v>
      </x:c>
      <x:c r="F362" s="17" t="str">
        <x:v>Only one bounded registry/program-code signal was present; no independent topical, Calendar, current-faculty, or first-audit signal was recovered.</x:v>
      </x:c>
      <x:c r="G362" s="17" t="str">
        <x:v>Does the current official catalog contain a research graduate program matching the applicant's topics?</x:v>
      </x:c>
      <x:c r="H362" s="17" t="str">
        <x:v>https://www.fullsail.edu</x:v>
      </x:c>
      <x:c r="I362" s="17" t="str">
        <x:v>not_sampled</x:v>
      </x:c>
      <x:c r="J362" s="17" t="str">
        <x:v>not_sampled</x:v>
      </x:c>
    </x:row>
    <x:row r="363" ht="46" customHeight="1">
      <x:c r="A363" s="17" t="str">
        <x:v>us</x:v>
      </x:c>
      <x:c r="B363" s="17" t="str">
        <x:v>Gallaudet University</x:v>
      </x:c>
      <x:c r="C363" s="17" t="str">
        <x:v>IPEDS discovery signal: Human-Centered Technology Design (CIP 11.0105)</x:v>
      </x:c>
      <x:c r="D363" s="17" t="str">
        <x:v>Unclear</x:v>
      </x:c>
      <x:c r="E363" s="17" t="str">
        <x:v>stage2_screened_out</x:v>
      </x:c>
      <x:c r="F363" s="17" t="str">
        <x:v>Only one bounded registry/program-code signal was present; no independent topical, Calendar, current-faculty, or first-audit signal was recovered.</x:v>
      </x:c>
      <x:c r="G363" s="17" t="str">
        <x:v>Does the current official catalog contain a research graduate program matching the applicant's topics?</x:v>
      </x:c>
      <x:c r="H363" s="17" t="str">
        <x:v>https://gallaudet.edu</x:v>
      </x:c>
      <x:c r="I363" s="17" t="str">
        <x:v>not_sampled</x:v>
      </x:c>
      <x:c r="J363" s="17" t="str">
        <x:v>not_sampled</x:v>
      </x:c>
    </x:row>
    <x:row r="364" ht="46" customHeight="1">
      <x:c r="A364" s="17" t="str">
        <x:v>us</x:v>
      </x:c>
      <x:c r="B364" s="17" t="str">
        <x:v>Gannon University</x:v>
      </x:c>
      <x:c r="C364" s="17" t="str">
        <x:v>IPEDS discovery signal: Artificial Intelligence (CIP 11.0102)</x:v>
      </x:c>
      <x:c r="D364" s="17" t="str">
        <x:v>Unclear</x:v>
      </x:c>
      <x:c r="E364" s="17" t="str">
        <x:v>stage2_screened_out</x:v>
      </x:c>
      <x:c r="F364" s="17" t="str">
        <x:v>Only one bounded registry/program-code signal was present; no independent topical, Calendar, current-faculty, or first-audit signal was recovered.</x:v>
      </x:c>
      <x:c r="G364" s="17" t="str">
        <x:v>Does the current official catalog contain a research graduate program matching the applicant's topics?</x:v>
      </x:c>
      <x:c r="H364" s="17" t="str">
        <x:v>https://www.gannon.edu</x:v>
      </x:c>
      <x:c r="I364" s="17" t="str">
        <x:v>not_sampled</x:v>
      </x:c>
      <x:c r="J364" s="17" t="str">
        <x:v>not_sampled</x:v>
      </x:c>
    </x:row>
    <x:row r="365" ht="46" customHeight="1">
      <x:c r="A365" s="17" t="str">
        <x:v>us</x:v>
      </x:c>
      <x:c r="B365" s="17" t="str">
        <x:v>Gannon University</x:v>
      </x:c>
      <x:c r="C365" s="17" t="str">
        <x:v>IPEDS discovery signal: Computer and Information Sciences, General (CIP 11.0101)</x:v>
      </x:c>
      <x:c r="D365" s="17" t="str">
        <x:v>Unclear</x:v>
      </x:c>
      <x:c r="E365" s="17" t="str">
        <x:v>stage2_screened_out</x:v>
      </x:c>
      <x:c r="F365" s="17" t="str">
        <x:v>Only one bounded registry/program-code signal was present; no independent topical, Calendar, current-faculty, or first-audit signal was recovered.</x:v>
      </x:c>
      <x:c r="G365" s="17" t="str">
        <x:v>Does the current official catalog contain a research graduate program matching the applicant's topics?</x:v>
      </x:c>
      <x:c r="H365" s="17" t="str">
        <x:v>https://www.gannon.edu</x:v>
      </x:c>
      <x:c r="I365" s="17" t="str">
        <x:v>not_sampled</x:v>
      </x:c>
      <x:c r="J365" s="17" t="str">
        <x:v>not_sampled</x:v>
      </x:c>
    </x:row>
    <x:row r="366" ht="46" customHeight="1">
      <x:c r="A366" s="17" t="str">
        <x:v>us</x:v>
      </x:c>
      <x:c r="B366" s="17" t="str">
        <x:v>Gannon University</x:v>
      </x:c>
      <x:c r="C366" s="17" t="str">
        <x:v>IPEDS discovery signal: Computer and Information Systems Security/Auditing/Information Assurance (CIP 11.1003)</x:v>
      </x:c>
      <x:c r="D366" s="17" t="str">
        <x:v>Unclear</x:v>
      </x:c>
      <x:c r="E366" s="17" t="str">
        <x:v>stage2_screened_out</x:v>
      </x:c>
      <x:c r="F366" s="17" t="str">
        <x:v>Only one bounded registry/program-code signal was present; no independent topical, Calendar, current-faculty, or first-audit signal was recovered.</x:v>
      </x:c>
      <x:c r="G366" s="17" t="str">
        <x:v>Does the current official catalog contain a research graduate program matching the applicant's topics?</x:v>
      </x:c>
      <x:c r="H366" s="17" t="str">
        <x:v>https://www.gannon.edu</x:v>
      </x:c>
      <x:c r="I366" s="17" t="str">
        <x:v>not_sampled</x:v>
      </x:c>
      <x:c r="J366" s="17" t="str">
        <x:v>not_sampled</x:v>
      </x:c>
    </x:row>
    <x:row r="367" ht="46" customHeight="1">
      <x:c r="A367" s="17" t="str">
        <x:v>us</x:v>
      </x:c>
      <x:c r="B367" s="17" t="str">
        <x:v>Gannon University</x:v>
      </x:c>
      <x:c r="C367" s="17" t="str">
        <x:v>IPEDS discovery signal: Computer Engineering, General (CIP 14.0901)</x:v>
      </x:c>
      <x:c r="D367" s="17" t="str">
        <x:v>Unclear</x:v>
      </x:c>
      <x:c r="E367" s="17" t="str">
        <x:v>stage2_screened_out</x:v>
      </x:c>
      <x:c r="F367" s="17" t="str">
        <x:v>Only one bounded registry/program-code signal was present; no independent topical, Calendar, current-faculty, or first-audit signal was recovered.</x:v>
      </x:c>
      <x:c r="G367" s="17" t="str">
        <x:v>Does the current official catalog contain a research graduate program matching the applicant's topics?</x:v>
      </x:c>
      <x:c r="H367" s="17" t="str">
        <x:v>https://www.gannon.edu</x:v>
      </x:c>
      <x:c r="I367" s="17" t="str">
        <x:v>not_sampled</x:v>
      </x:c>
      <x:c r="J367" s="17" t="str">
        <x:v>not_sampled</x:v>
      </x:c>
    </x:row>
    <x:row r="368" ht="46" customHeight="1">
      <x:c r="A368" s="17" t="str">
        <x:v>us</x:v>
      </x:c>
      <x:c r="B368" s="17" t="str">
        <x:v>Gannon University</x:v>
      </x:c>
      <x:c r="C368" s="17" t="str">
        <x:v>IPEDS discovery signal: Computer Software Engineering (CIP 14.0903)</x:v>
      </x:c>
      <x:c r="D368" s="17" t="str">
        <x:v>Unclear</x:v>
      </x:c>
      <x:c r="E368" s="17" t="str">
        <x:v>stage2_screened_out</x:v>
      </x:c>
      <x:c r="F368" s="17" t="str">
        <x:v>Only one bounded registry/program-code signal was present; no independent topical, Calendar, current-faculty, or first-audit signal was recovered.</x:v>
      </x:c>
      <x:c r="G368" s="17" t="str">
        <x:v>Does the current official catalog contain a research graduate program matching the applicant's topics?</x:v>
      </x:c>
      <x:c r="H368" s="17" t="str">
        <x:v>https://www.gannon.edu</x:v>
      </x:c>
      <x:c r="I368" s="17" t="str">
        <x:v>not_sampled</x:v>
      </x:c>
      <x:c r="J368" s="17" t="str">
        <x:v>not_sampled</x:v>
      </x:c>
    </x:row>
    <x:row r="369" ht="46" customHeight="1">
      <x:c r="A369" s="17" t="str">
        <x:v>us</x:v>
      </x:c>
      <x:c r="B369" s="17" t="str">
        <x:v>Gannon University</x:v>
      </x:c>
      <x:c r="C369" s="17" t="str">
        <x:v>IPEDS discovery signal: Electrical and Electronics Engineering (CIP 14.1001)</x:v>
      </x:c>
      <x:c r="D369" s="17" t="str">
        <x:v>Unclear</x:v>
      </x:c>
      <x:c r="E369" s="17" t="str">
        <x:v>stage2_screened_out</x:v>
      </x:c>
      <x:c r="F369" s="17" t="str">
        <x:v>Only one bounded registry/program-code signal was present; no independent topical, Calendar, current-faculty, or first-audit signal was recovered.</x:v>
      </x:c>
      <x:c r="G369" s="17" t="str">
        <x:v>Does the current official catalog contain a research graduate program matching the applicant's topics?</x:v>
      </x:c>
      <x:c r="H369" s="17" t="str">
        <x:v>https://www.gannon.edu</x:v>
      </x:c>
      <x:c r="I369" s="17" t="str">
        <x:v>not_sampled</x:v>
      </x:c>
      <x:c r="J369" s="17" t="str">
        <x:v>not_sampled</x:v>
      </x:c>
    </x:row>
    <x:row r="370" ht="46" customHeight="1">
      <x:c r="A370" s="17" t="str">
        <x:v>us</x:v>
      </x:c>
      <x:c r="B370" s="17" t="str">
        <x:v>Gannon University</x:v>
      </x:c>
      <x:c r="C370" s="17" t="str">
        <x:v>IPEDS discovery signal: Information Technology (CIP 11.0103)</x:v>
      </x:c>
      <x:c r="D370" s="17" t="str">
        <x:v>Unclear</x:v>
      </x:c>
      <x:c r="E370" s="17" t="str">
        <x:v>stage2_screened_out</x:v>
      </x:c>
      <x:c r="F370" s="17" t="str">
        <x:v>Only one bounded registry/program-code signal was present; no independent topical, Calendar, current-faculty, or first-audit signal was recovered.</x:v>
      </x:c>
      <x:c r="G370" s="17" t="str">
        <x:v>Does the current official catalog contain a research graduate program matching the applicant's topics?</x:v>
      </x:c>
      <x:c r="H370" s="17" t="str">
        <x:v>https://www.gannon.edu</x:v>
      </x:c>
      <x:c r="I370" s="17" t="str">
        <x:v>not_sampled</x:v>
      </x:c>
      <x:c r="J370" s="17" t="str">
        <x:v>not_sampled</x:v>
      </x:c>
    </x:row>
    <x:row r="371" ht="46" customHeight="1">
      <x:c r="A371" s="17" t="str">
        <x:v>us</x:v>
      </x:c>
      <x:c r="B371" s="17" t="str">
        <x:v>Geneva College</x:v>
      </x:c>
      <x:c r="C371" s="17" t="str">
        <x:v>IPEDS discovery signal: Computer and Information Systems Security/Auditing/Information Assurance (CIP 11.1003)</x:v>
      </x:c>
      <x:c r="D371" s="17" t="str">
        <x:v>Unclear</x:v>
      </x:c>
      <x:c r="E371" s="17" t="str">
        <x:v>stage2_screened_out</x:v>
      </x:c>
      <x:c r="F371" s="17" t="str">
        <x:v>Only one bounded registry/program-code signal was present; no independent topical, Calendar, current-faculty, or first-audit signal was recovered.</x:v>
      </x:c>
      <x:c r="G371" s="17" t="str">
        <x:v>Does the current official catalog contain a research graduate program matching the applicant's topics?</x:v>
      </x:c>
      <x:c r="H371" s="17" t="str">
        <x:v>https://www.geneva.edu</x:v>
      </x:c>
      <x:c r="I371" s="17" t="str">
        <x:v>not_sampled</x:v>
      </x:c>
      <x:c r="J371" s="17" t="str">
        <x:v>not_sampled</x:v>
      </x:c>
    </x:row>
    <x:row r="372" ht="46" customHeight="1">
      <x:c r="A372" s="17" t="str">
        <x:v>us</x:v>
      </x:c>
      <x:c r="B372" s="17" t="str">
        <x:v>George Mason University</x:v>
      </x:c>
      <x:c r="C372" s="17" t="str">
        <x:v>IPEDS discovery signal: Computer and Information Sciences, General (CIP 11.0101)</x:v>
      </x:c>
      <x:c r="D372" s="17" t="str">
        <x:v>Unclear</x:v>
      </x:c>
      <x:c r="E372" s="17" t="str">
        <x:v>stage2_screened_out</x:v>
      </x:c>
      <x:c r="F372" s="17" t="str">
        <x:v>Mechanical discovery placeholder is superseded by an exact official program record at the same institution.</x:v>
      </x:c>
      <x:c r="G372" s="17" t="str">
        <x:v>Does the current official catalog contain a research graduate program matching the applicant's topics?</x:v>
      </x:c>
      <x:c r="H372" s="17" t="str">
        <x:v>https://www.gmu.edu</x:v>
      </x:c>
      <x:c r="I372" s="17" t="str">
        <x:v>not_sampled</x:v>
      </x:c>
      <x:c r="J372" s="17" t="str">
        <x:v>not_sampled</x:v>
      </x:c>
    </x:row>
    <x:row r="373" ht="46" customHeight="1">
      <x:c r="A373" s="17" t="str">
        <x:v>us</x:v>
      </x:c>
      <x:c r="B373" s="17" t="str">
        <x:v>George Mason University</x:v>
      </x:c>
      <x:c r="C373" s="17" t="str">
        <x:v>IPEDS discovery signal: Computer and Information Systems Security/Auditing/Information Assurance (CIP 11.1003)</x:v>
      </x:c>
      <x:c r="D373" s="17" t="str">
        <x:v>Unclear</x:v>
      </x:c>
      <x:c r="E373" s="17" t="str">
        <x:v>stage2_screened_out</x:v>
      </x:c>
      <x:c r="F373" s="17" t="str">
        <x:v>Mechanical discovery placeholder is superseded by an exact official program record at the same institution.</x:v>
      </x:c>
      <x:c r="G373" s="17" t="str">
        <x:v>Does the current official catalog contain a research graduate program matching the applicant's topics?</x:v>
      </x:c>
      <x:c r="H373" s="17" t="str">
        <x:v>https://www.gmu.edu</x:v>
      </x:c>
      <x:c r="I373" s="17" t="str">
        <x:v>not_sampled</x:v>
      </x:c>
      <x:c r="J373" s="17" t="str">
        <x:v>not_sampled</x:v>
      </x:c>
    </x:row>
    <x:row r="374" ht="46" customHeight="1">
      <x:c r="A374" s="17" t="str">
        <x:v>us</x:v>
      </x:c>
      <x:c r="B374" s="17" t="str">
        <x:v>George Mason University</x:v>
      </x:c>
      <x:c r="C374" s="17" t="str">
        <x:v>IPEDS discovery signal: Computer Engineering, General (CIP 14.0901)</x:v>
      </x:c>
      <x:c r="D374" s="17" t="str">
        <x:v>Unclear</x:v>
      </x:c>
      <x:c r="E374" s="17" t="str">
        <x:v>stage2_screened_out</x:v>
      </x:c>
      <x:c r="F374" s="17" t="str">
        <x:v>Mechanical discovery placeholder is superseded by an exact official program record at the same institution.</x:v>
      </x:c>
      <x:c r="G374" s="17" t="str">
        <x:v>Does the current official catalog contain a research graduate program matching the applicant's topics?</x:v>
      </x:c>
      <x:c r="H374" s="17" t="str">
        <x:v>https://www.gmu.edu</x:v>
      </x:c>
      <x:c r="I374" s="17" t="str">
        <x:v>not_sampled</x:v>
      </x:c>
      <x:c r="J374" s="17" t="str">
        <x:v>not_sampled</x:v>
      </x:c>
    </x:row>
    <x:row r="375" ht="46" customHeight="1">
      <x:c r="A375" s="17" t="str">
        <x:v>us</x:v>
      </x:c>
      <x:c r="B375" s="17" t="str">
        <x:v>George Mason University</x:v>
      </x:c>
      <x:c r="C375" s="17" t="str">
        <x:v>IPEDS discovery signal: Computer Software Engineering (CIP 14.0903)</x:v>
      </x:c>
      <x:c r="D375" s="17" t="str">
        <x:v>Unclear</x:v>
      </x:c>
      <x:c r="E375" s="17" t="str">
        <x:v>stage2_screened_out</x:v>
      </x:c>
      <x:c r="F375" s="17" t="str">
        <x:v>Mechanical discovery placeholder is superseded by an exact official program record at the same institution.</x:v>
      </x:c>
      <x:c r="G375" s="17" t="str">
        <x:v>Does the current official catalog contain a research graduate program matching the applicant's topics?</x:v>
      </x:c>
      <x:c r="H375" s="17" t="str">
        <x:v>https://www.gmu.edu</x:v>
      </x:c>
      <x:c r="I375" s="17" t="str">
        <x:v>not_sampled</x:v>
      </x:c>
      <x:c r="J375" s="17" t="str">
        <x:v>not_sampled</x:v>
      </x:c>
    </x:row>
    <x:row r="376" ht="46" customHeight="1">
      <x:c r="A376" s="17" t="str">
        <x:v>us</x:v>
      </x:c>
      <x:c r="B376" s="17" t="str">
        <x:v>George Mason University</x:v>
      </x:c>
      <x:c r="C376" s="17" t="str">
        <x:v>IPEDS discovery signal: Computer Systems Networking and Telecommunications (CIP 11.0901)</x:v>
      </x:c>
      <x:c r="D376" s="17" t="str">
        <x:v>Unclear</x:v>
      </x:c>
      <x:c r="E376" s="17" t="str">
        <x:v>stage2_screened_out</x:v>
      </x:c>
      <x:c r="F376" s="17" t="str">
        <x:v>Mechanical discovery placeholder is superseded by an exact official program record at the same institution.</x:v>
      </x:c>
      <x:c r="G376" s="17" t="str">
        <x:v>Does the current official catalog contain a research graduate program matching the applicant's topics?</x:v>
      </x:c>
      <x:c r="H376" s="17" t="str">
        <x:v>https://www.gmu.edu</x:v>
      </x:c>
      <x:c r="I376" s="17" t="str">
        <x:v>not_sampled</x:v>
      </x:c>
      <x:c r="J376" s="17" t="str">
        <x:v>not_sampled</x:v>
      </x:c>
    </x:row>
    <x:row r="377" ht="46" customHeight="1">
      <x:c r="A377" s="17" t="str">
        <x:v>us</x:v>
      </x:c>
      <x:c r="B377" s="17" t="str">
        <x:v>George Mason University</x:v>
      </x:c>
      <x:c r="C377" s="17" t="str">
        <x:v>IPEDS discovery signal: Cyber/Computer Forensics and Counterterrorism (CIP 43.0403)</x:v>
      </x:c>
      <x:c r="D377" s="17" t="str">
        <x:v>Unclear</x:v>
      </x:c>
      <x:c r="E377" s="17" t="str">
        <x:v>stage2_screened_out</x:v>
      </x:c>
      <x:c r="F377" s="17" t="str">
        <x:v>Mechanical discovery placeholder is superseded by an exact official program record at the same institution.</x:v>
      </x:c>
      <x:c r="G377" s="17" t="str">
        <x:v>Does the current official catalog contain a research graduate program matching the applicant's topics?</x:v>
      </x:c>
      <x:c r="H377" s="17" t="str">
        <x:v>https://www.gmu.edu</x:v>
      </x:c>
      <x:c r="I377" s="17" t="str">
        <x:v>not_sampled</x:v>
      </x:c>
      <x:c r="J377" s="17" t="str">
        <x:v>not_sampled</x:v>
      </x:c>
    </x:row>
    <x:row r="378" ht="46" customHeight="1">
      <x:c r="A378" s="17" t="str">
        <x:v>us</x:v>
      </x:c>
      <x:c r="B378" s="17" t="str">
        <x:v>George Mason University</x:v>
      </x:c>
      <x:c r="C378" s="17" t="str">
        <x:v>IPEDS discovery signal: Data Analytics, General (CIP 30.7101)</x:v>
      </x:c>
      <x:c r="D378" s="17" t="str">
        <x:v>Unclear</x:v>
      </x:c>
      <x:c r="E378" s="17" t="str">
        <x:v>stage2_screened_out</x:v>
      </x:c>
      <x:c r="F378" s="17" t="str">
        <x:v>Mechanical discovery placeholder is superseded by an exact official program record at the same institution.</x:v>
      </x:c>
      <x:c r="G378" s="17" t="str">
        <x:v>Does the current official catalog contain a research graduate program matching the applicant's topics?</x:v>
      </x:c>
      <x:c r="H378" s="17" t="str">
        <x:v>https://www.gmu.edu</x:v>
      </x:c>
      <x:c r="I378" s="17" t="str">
        <x:v>not_sampled</x:v>
      </x:c>
      <x:c r="J378" s="17" t="str">
        <x:v>not_sampled</x:v>
      </x:c>
    </x:row>
    <x:row r="379" ht="46" customHeight="1">
      <x:c r="A379" s="17" t="str">
        <x:v>us</x:v>
      </x:c>
      <x:c r="B379" s="17" t="str">
        <x:v>George Mason University</x:v>
      </x:c>
      <x:c r="C379" s="17" t="str">
        <x:v>IPEDS discovery signal: Electrical and Electronics Engineering (CIP 14.1001)</x:v>
      </x:c>
      <x:c r="D379" s="17" t="str">
        <x:v>Unclear</x:v>
      </x:c>
      <x:c r="E379" s="17" t="str">
        <x:v>stage2_screened_out</x:v>
      </x:c>
      <x:c r="F379" s="17" t="str">
        <x:v>Mechanical discovery placeholder is superseded by an exact official program record at the same institution.</x:v>
      </x:c>
      <x:c r="G379" s="17" t="str">
        <x:v>Does the current official catalog contain a research graduate program matching the applicant's topics?</x:v>
      </x:c>
      <x:c r="H379" s="17" t="str">
        <x:v>https://www.gmu.edu</x:v>
      </x:c>
      <x:c r="I379" s="17" t="str">
        <x:v>not_sampled</x:v>
      </x:c>
      <x:c r="J379" s="17" t="str">
        <x:v>not_sampled</x:v>
      </x:c>
    </x:row>
    <x:row r="380" ht="46" customHeight="1">
      <x:c r="A380" s="17" t="str">
        <x:v>us</x:v>
      </x:c>
      <x:c r="B380" s="17" t="str">
        <x:v>George Mason University</x:v>
      </x:c>
      <x:c r="C380" s="17" t="str">
        <x:v>IPEDS discovery signal: Information Science/Studies (CIP 11.0401)</x:v>
      </x:c>
      <x:c r="D380" s="17" t="str">
        <x:v>Unclear</x:v>
      </x:c>
      <x:c r="E380" s="17" t="str">
        <x:v>stage2_screened_out</x:v>
      </x:c>
      <x:c r="F380" s="17" t="str">
        <x:v>Mechanical discovery placeholder is superseded by an exact official program record at the same institution.</x:v>
      </x:c>
      <x:c r="G380" s="17" t="str">
        <x:v>Does the current official catalog contain a research graduate program matching the applicant's topics?</x:v>
      </x:c>
      <x:c r="H380" s="17" t="str">
        <x:v>https://www.gmu.edu</x:v>
      </x:c>
      <x:c r="I380" s="17" t="str">
        <x:v>not_sampled</x:v>
      </x:c>
      <x:c r="J380" s="17" t="str">
        <x:v>not_sampled</x:v>
      </x:c>
    </x:row>
    <x:row r="381" ht="46" customHeight="1">
      <x:c r="A381" s="17" t="str">
        <x:v>us</x:v>
      </x:c>
      <x:c r="B381" s="17" t="str">
        <x:v>George Mason University</x:v>
      </x:c>
      <x:c r="C381" s="17" t="str">
        <x:v>IPEDS discovery signal: Information Technology (CIP 11.0103)</x:v>
      </x:c>
      <x:c r="D381" s="17" t="str">
        <x:v>Unclear</x:v>
      </x:c>
      <x:c r="E381" s="17" t="str">
        <x:v>stage2_screened_out</x:v>
      </x:c>
      <x:c r="F381" s="17" t="str">
        <x:v>Mechanical discovery placeholder is superseded by an exact official program record at the same institution.</x:v>
      </x:c>
      <x:c r="G381" s="17" t="str">
        <x:v>Does the current official catalog contain a research graduate program matching the applicant's topics?</x:v>
      </x:c>
      <x:c r="H381" s="17" t="str">
        <x:v>https://www.gmu.edu</x:v>
      </x:c>
      <x:c r="I381" s="17" t="str">
        <x:v>not_sampled</x:v>
      </x:c>
      <x:c r="J381" s="17" t="str">
        <x:v>not_sampled</x:v>
      </x:c>
    </x:row>
    <x:row r="382" ht="46" customHeight="1">
      <x:c r="A382" s="17" t="str">
        <x:v>us</x:v>
      </x:c>
      <x:c r="B382" s="17" t="str">
        <x:v>George Mason University</x:v>
      </x:c>
      <x:c r="C382" s="17" t="str">
        <x:v>Ph.D. in Computer Science</x:v>
      </x:c>
      <x:c r="D382" s="17" t="str">
        <x:v>PhD</x:v>
      </x:c>
      <x:c r="E382" s="17" t="str">
        <x:v>stage2_screened_out</x:v>
      </x:c>
      <x:c r="F382" s="17" t="str">
        <x:v>Duplicate exact program record shares the same canonical official URL; the first-audit or canonical row is retained.</x:v>
      </x:c>
      <x:c r="G382" s="17" t="str">
        <x:v>Which current supervisors match the applicant and are eligible/available to advise Fall 2027 entrants?</x:v>
      </x:c>
      <x:c r="H382" s="17" t="str">
        <x:v>https://cs.gmu.edu/academics/graduate-programs</x:v>
      </x:c>
      <x:c r="I382" s="17" t="str">
        <x:v>not_sampled</x:v>
      </x:c>
      <x:c r="J382" s="17" t="str">
        <x:v>not_sampled</x:v>
      </x:c>
    </x:row>
    <x:row r="383" ht="46" customHeight="1">
      <x:c r="A383" s="17" t="str">
        <x:v>us</x:v>
      </x:c>
      <x:c r="B383" s="17" t="str">
        <x:v>George Washington University</x:v>
      </x:c>
      <x:c r="C383" s="17" t="str">
        <x:v>IPEDS discovery signal: Computer and Information Systems Security/Auditing/Information Assurance (CIP 11.1003)</x:v>
      </x:c>
      <x:c r="D383" s="17" t="str">
        <x:v>Unclear</x:v>
      </x:c>
      <x:c r="E383" s="17" t="str">
        <x:v>stage2_screened_out</x:v>
      </x:c>
      <x:c r="F383" s="17" t="str">
        <x:v>Duplicate mechanical discovery signal consolidated into one institution-level catalog review candidate.</x:v>
      </x:c>
      <x:c r="G383" s="17" t="str">
        <x:v>Does the current official catalog contain a research graduate program matching the applicant's topics?</x:v>
      </x:c>
      <x:c r="H383" s="17" t="str">
        <x:v>https://www.gwu.edu</x:v>
      </x:c>
      <x:c r="I383" s="17" t="str">
        <x:v>not_sampled</x:v>
      </x:c>
      <x:c r="J383" s="17" t="str">
        <x:v>not_sampled</x:v>
      </x:c>
    </x:row>
    <x:row r="384" ht="46" customHeight="1">
      <x:c r="A384" s="17" t="str">
        <x:v>us</x:v>
      </x:c>
      <x:c r="B384" s="17" t="str">
        <x:v>George Washington University</x:v>
      </x:c>
      <x:c r="C384" s="17" t="str">
        <x:v>IPEDS discovery signal: Computer Engineering, General (CIP 14.0901)</x:v>
      </x:c>
      <x:c r="D384" s="17" t="str">
        <x:v>Unclear</x:v>
      </x:c>
      <x:c r="E384" s="17" t="str">
        <x:v>stage2_screened_out</x:v>
      </x:c>
      <x:c r="F384" s="17" t="str">
        <x:v>Duplicate mechanical discovery signal consolidated into one institution-level catalog review candidate.</x:v>
      </x:c>
      <x:c r="G384" s="17" t="str">
        <x:v>Does the current official catalog contain a research graduate program matching the applicant's topics?</x:v>
      </x:c>
      <x:c r="H384" s="17" t="str">
        <x:v>https://www.gwu.edu</x:v>
      </x:c>
      <x:c r="I384" s="17" t="str">
        <x:v>not_sampled</x:v>
      </x:c>
      <x:c r="J384" s="17" t="str">
        <x:v>not_sampled</x:v>
      </x:c>
    </x:row>
    <x:row r="385" ht="46" customHeight="1">
      <x:c r="A385" s="17" t="str">
        <x:v>us</x:v>
      </x:c>
      <x:c r="B385" s="17" t="str">
        <x:v>George Washington University</x:v>
      </x:c>
      <x:c r="C385" s="17" t="str">
        <x:v>IPEDS discovery signal: Computer Science (CIP 11.0701)</x:v>
      </x:c>
      <x:c r="D385" s="17" t="str">
        <x:v>Unclear</x:v>
      </x:c>
      <x:c r="E385" s="17" t="str">
        <x:v>stage2_screened_out</x:v>
      </x:c>
      <x:c r="F385" s="17" t="str">
        <x:v>Duplicate mechanical discovery signal consolidated into one institution-level catalog review candidate.</x:v>
      </x:c>
      <x:c r="G385" s="17" t="str">
        <x:v>Does the current official catalog contain a research graduate program matching the applicant's topics?</x:v>
      </x:c>
      <x:c r="H385" s="17" t="str">
        <x:v>https://www.gwu.edu</x:v>
      </x:c>
      <x:c r="I385" s="17" t="str">
        <x:v>not_sampled</x:v>
      </x:c>
      <x:c r="J385" s="17" t="str">
        <x:v>not_sampled</x:v>
      </x:c>
    </x:row>
    <x:row r="386" ht="46" customHeight="1">
      <x:c r="A386" s="17" t="str">
        <x:v>us</x:v>
      </x:c>
      <x:c r="B386" s="17" t="str">
        <x:v>George Washington University</x:v>
      </x:c>
      <x:c r="C386" s="17" t="str">
        <x:v>IPEDS discovery signal: Electrical and Electronics Engineering (CIP 14.1001)</x:v>
      </x:c>
      <x:c r="D386" s="17" t="str">
        <x:v>Unclear</x:v>
      </x:c>
      <x:c r="E386" s="17" t="str">
        <x:v>stage2_screened_out</x:v>
      </x:c>
      <x:c r="F386" s="17" t="str">
        <x:v>Duplicate mechanical discovery signal consolidated into one institution-level catalog review candidate.</x:v>
      </x:c>
      <x:c r="G386" s="17" t="str">
        <x:v>Does the current official catalog contain a research graduate program matching the applicant's topics?</x:v>
      </x:c>
      <x:c r="H386" s="17" t="str">
        <x:v>https://www.gwu.edu</x:v>
      </x:c>
      <x:c r="I386" s="17" t="str">
        <x:v>not_sampled</x:v>
      </x:c>
      <x:c r="J386" s="17" t="str">
        <x:v>not_sampled</x:v>
      </x:c>
    </x:row>
    <x:row r="387" ht="46" customHeight="1">
      <x:c r="A387" s="17" t="str">
        <x:v>us</x:v>
      </x:c>
      <x:c r="B387" s="17" t="str">
        <x:v>George Washington University</x:v>
      </x:c>
      <x:c r="C387" s="17" t="str">
        <x:v>IPEDS discovery signal: Information Science/Studies (CIP 11.0401)</x:v>
      </x:c>
      <x:c r="D387" s="17" t="str">
        <x:v>Unclear</x:v>
      </x:c>
      <x:c r="E387" s="17" t="str">
        <x:v>stage2_screened_out</x:v>
      </x:c>
      <x:c r="F387" s="17" t="str">
        <x:v>Duplicate mechanical discovery signal consolidated into one institution-level catalog review candidate.</x:v>
      </x:c>
      <x:c r="G387" s="17" t="str">
        <x:v>Does the current official catalog contain a research graduate program matching the applicant's topics?</x:v>
      </x:c>
      <x:c r="H387" s="17" t="str">
        <x:v>https://www.gwu.edu</x:v>
      </x:c>
      <x:c r="I387" s="17" t="str">
        <x:v>not_sampled</x:v>
      </x:c>
      <x:c r="J387" s="17" t="str">
        <x:v>not_sampled</x:v>
      </x:c>
    </x:row>
    <x:row r="388" ht="46" customHeight="1">
      <x:c r="A388" s="17" t="str">
        <x:v>us</x:v>
      </x:c>
      <x:c r="B388" s="17" t="str">
        <x:v>Georgetown University</x:v>
      </x:c>
      <x:c r="C388" s="17" t="str">
        <x:v>IPEDS discovery signal: Computer and Information Systems Security/Auditing/Information Assurance (CIP 11.1003)</x:v>
      </x:c>
      <x:c r="D388" s="17" t="str">
        <x:v>Unclear</x:v>
      </x:c>
      <x:c r="E388" s="17" t="str">
        <x:v>stage2_screened_out</x:v>
      </x:c>
      <x:c r="F388" s="17" t="str">
        <x:v>Only one bounded registry/program-code signal was present; no independent topical, Calendar, current-faculty, or first-audit signal was recovered.</x:v>
      </x:c>
      <x:c r="G388" s="17" t="str">
        <x:v>Does the current official catalog contain a research graduate program matching the applicant's topics?</x:v>
      </x:c>
      <x:c r="H388" s="17" t="str">
        <x:v>https://www.georgetown.edu</x:v>
      </x:c>
      <x:c r="I388" s="17" t="str">
        <x:v>not_sampled</x:v>
      </x:c>
      <x:c r="J388" s="17" t="str">
        <x:v>not_sampled</x:v>
      </x:c>
    </x:row>
    <x:row r="389" ht="46" customHeight="1">
      <x:c r="A389" s="17" t="str">
        <x:v>us</x:v>
      </x:c>
      <x:c r="B389" s="17" t="str">
        <x:v>Georgetown University</x:v>
      </x:c>
      <x:c r="C389" s="17" t="str">
        <x:v>IPEDS discovery signal: Computer Science (CIP 11.0701)</x:v>
      </x:c>
      <x:c r="D389" s="17" t="str">
        <x:v>Unclear</x:v>
      </x:c>
      <x:c r="E389" s="17" t="str">
        <x:v>stage2_screened_out</x:v>
      </x:c>
      <x:c r="F389" s="17" t="str">
        <x:v>Only one bounded registry/program-code signal was present; no independent topical, Calendar, current-faculty, or first-audit signal was recovered.</x:v>
      </x:c>
      <x:c r="G389" s="17" t="str">
        <x:v>Does the current official catalog contain a research graduate program matching the applicant's topics?</x:v>
      </x:c>
      <x:c r="H389" s="17" t="str">
        <x:v>https://www.georgetown.edu</x:v>
      </x:c>
      <x:c r="I389" s="17" t="str">
        <x:v>not_sampled</x:v>
      </x:c>
      <x:c r="J389" s="17" t="str">
        <x:v>not_sampled</x:v>
      </x:c>
    </x:row>
    <x:row r="390" ht="46" customHeight="1">
      <x:c r="A390" s="17" t="str">
        <x:v>us</x:v>
      </x:c>
      <x:c r="B390" s="17" t="str">
        <x:v>Georgia Institute of Technology-Main Campus</x:v>
      </x:c>
      <x:c r="C390" s="17" t="str">
        <x:v>IPEDS discovery signal: Computer and Information Sciences, General (CIP 11.0101)</x:v>
      </x:c>
      <x:c r="D390" s="17" t="str">
        <x:v>Unclear</x:v>
      </x:c>
      <x:c r="E390" s="17" t="str">
        <x:v>stage2_screened_out</x:v>
      </x:c>
      <x:c r="F390" s="17" t="str">
        <x:v>Mechanical discovery placeholder is superseded by an exact official program record at the same institution.</x:v>
      </x:c>
      <x:c r="G390" s="17" t="str">
        <x:v>Does the current official catalog contain a research graduate program matching the applicant's topics?</x:v>
      </x:c>
      <x:c r="H390" s="17" t="str">
        <x:v>https://www.gatech.edu</x:v>
      </x:c>
      <x:c r="I390" s="17" t="str">
        <x:v>not_sampled</x:v>
      </x:c>
      <x:c r="J390" s="17" t="str">
        <x:v>not_sampled</x:v>
      </x:c>
    </x:row>
    <x:row r="391" ht="46" customHeight="1">
      <x:c r="A391" s="17" t="str">
        <x:v>us</x:v>
      </x:c>
      <x:c r="B391" s="17" t="str">
        <x:v>Georgia Institute of Technology-Main Campus</x:v>
      </x:c>
      <x:c r="C391" s="17" t="str">
        <x:v>IPEDS discovery signal: Computer and Information Systems Security/Auditing/Information Assurance (CIP 11.1003)</x:v>
      </x:c>
      <x:c r="D391" s="17" t="str">
        <x:v>Unclear</x:v>
      </x:c>
      <x:c r="E391" s="17" t="str">
        <x:v>stage2_screened_out</x:v>
      </x:c>
      <x:c r="F391" s="17" t="str">
        <x:v>Mechanical discovery placeholder is superseded by an exact official program record at the same institution.</x:v>
      </x:c>
      <x:c r="G391" s="17" t="str">
        <x:v>Does the current official catalog contain a research graduate program matching the applicant's topics?</x:v>
      </x:c>
      <x:c r="H391" s="17" t="str">
        <x:v>https://www.gatech.edu</x:v>
      </x:c>
      <x:c r="I391" s="17" t="str">
        <x:v>not_sampled</x:v>
      </x:c>
      <x:c r="J391" s="17" t="str">
        <x:v>not_sampled</x:v>
      </x:c>
    </x:row>
    <x:row r="392" ht="46" customHeight="1">
      <x:c r="A392" s="17" t="str">
        <x:v>us</x:v>
      </x:c>
      <x:c r="B392" s="17" t="str">
        <x:v>Georgia Institute of Technology-Main Campus</x:v>
      </x:c>
      <x:c r="C392" s="17" t="str">
        <x:v>IPEDS discovery signal: Computer Science (CIP 11.0701)</x:v>
      </x:c>
      <x:c r="D392" s="17" t="str">
        <x:v>Unclear</x:v>
      </x:c>
      <x:c r="E392" s="17" t="str">
        <x:v>stage2_screened_out</x:v>
      </x:c>
      <x:c r="F392" s="17" t="str">
        <x:v>Mechanical discovery placeholder is superseded by an exact official program record at the same institution.</x:v>
      </x:c>
      <x:c r="G392" s="17" t="str">
        <x:v>Does the current official catalog contain a research graduate program matching the applicant's topics?</x:v>
      </x:c>
      <x:c r="H392" s="17" t="str">
        <x:v>https://www.gatech.edu</x:v>
      </x:c>
      <x:c r="I392" s="17" t="str">
        <x:v>not_sampled</x:v>
      </x:c>
      <x:c r="J392" s="17" t="str">
        <x:v>not_sampled</x:v>
      </x:c>
    </x:row>
    <x:row r="393" ht="46" customHeight="1">
      <x:c r="A393" s="17" t="str">
        <x:v>us</x:v>
      </x:c>
      <x:c r="B393" s="17" t="str">
        <x:v>Georgia Institute of Technology-Main Campus</x:v>
      </x:c>
      <x:c r="C393" s="17" t="str">
        <x:v>IPEDS discovery signal: Electrical and Electronics Engineering (CIP 14.1001)</x:v>
      </x:c>
      <x:c r="D393" s="17" t="str">
        <x:v>Unclear</x:v>
      </x:c>
      <x:c r="E393" s="17" t="str">
        <x:v>stage2_screened_out</x:v>
      </x:c>
      <x:c r="F393" s="17" t="str">
        <x:v>Mechanical discovery placeholder is superseded by an exact official program record at the same institution.</x:v>
      </x:c>
      <x:c r="G393" s="17" t="str">
        <x:v>Does the current official catalog contain a research graduate program matching the applicant's topics?</x:v>
      </x:c>
      <x:c r="H393" s="17" t="str">
        <x:v>https://www.gatech.edu</x:v>
      </x:c>
      <x:c r="I393" s="17" t="str">
        <x:v>not_sampled</x:v>
      </x:c>
      <x:c r="J393" s="17" t="str">
        <x:v>not_sampled</x:v>
      </x:c>
    </x:row>
    <x:row r="394" ht="46" customHeight="1">
      <x:c r="A394" s="17" t="str">
        <x:v>us</x:v>
      </x:c>
      <x:c r="B394" s="17" t="str">
        <x:v>Georgia Institute of Technology-Main Campus</x:v>
      </x:c>
      <x:c r="C394" s="17" t="str">
        <x:v>IPEDS discovery signal: Human-Centered Technology Design (CIP 11.0105)</x:v>
      </x:c>
      <x:c r="D394" s="17" t="str">
        <x:v>Unclear</x:v>
      </x:c>
      <x:c r="E394" s="17" t="str">
        <x:v>stage2_screened_out</x:v>
      </x:c>
      <x:c r="F394" s="17" t="str">
        <x:v>Mechanical discovery placeholder is superseded by an exact official program record at the same institution.</x:v>
      </x:c>
      <x:c r="G394" s="17" t="str">
        <x:v>Does the current official catalog contain a research graduate program matching the applicant's topics?</x:v>
      </x:c>
      <x:c r="H394" s="17" t="str">
        <x:v>https://www.gatech.edu</x:v>
      </x:c>
      <x:c r="I394" s="17" t="str">
        <x:v>not_sampled</x:v>
      </x:c>
      <x:c r="J394" s="17" t="str">
        <x:v>not_sampled</x:v>
      </x:c>
    </x:row>
    <x:row r="395" ht="46" customHeight="1">
      <x:c r="A395" s="17" t="str">
        <x:v>us</x:v>
      </x:c>
      <x:c r="B395" s="17" t="str">
        <x:v>Georgia Institute of Technology-Main Campus</x:v>
      </x:c>
      <x:c r="C395" s="17" t="str">
        <x:v>IPEDS discovery signal: Information Science/Studies (CIP 11.0401)</x:v>
      </x:c>
      <x:c r="D395" s="17" t="str">
        <x:v>Unclear</x:v>
      </x:c>
      <x:c r="E395" s="17" t="str">
        <x:v>stage2_screened_out</x:v>
      </x:c>
      <x:c r="F395" s="17" t="str">
        <x:v>Mechanical discovery placeholder is superseded by an exact official program record at the same institution.</x:v>
      </x:c>
      <x:c r="G395" s="17" t="str">
        <x:v>Does the current official catalog contain a research graduate program matching the applicant's topics?</x:v>
      </x:c>
      <x:c r="H395" s="17" t="str">
        <x:v>https://www.gatech.edu</x:v>
      </x:c>
      <x:c r="I395" s="17" t="str">
        <x:v>not_sampled</x:v>
      </x:c>
      <x:c r="J395" s="17" t="str">
        <x:v>not_sampled</x:v>
      </x:c>
    </x:row>
    <x:row r="396" ht="46" customHeight="1">
      <x:c r="A396" s="17" t="str">
        <x:v>us</x:v>
      </x:c>
      <x:c r="B396" s="17" t="str">
        <x:v>Georgia Institute of Technology-Main Campus</x:v>
      </x:c>
      <x:c r="C396" s="17" t="str">
        <x:v>IPEDS discovery signal: Mechatronics, Robotics, and Automation Engineering (CIP 14.4201)</x:v>
      </x:c>
      <x:c r="D396" s="17" t="str">
        <x:v>Unclear</x:v>
      </x:c>
      <x:c r="E396" s="17" t="str">
        <x:v>stage2_screened_out</x:v>
      </x:c>
      <x:c r="F396" s="17" t="str">
        <x:v>Mechanical discovery placeholder is superseded by an exact official program record at the same institution.</x:v>
      </x:c>
      <x:c r="G396" s="17" t="str">
        <x:v>Does the current official catalog contain a research graduate program matching the applicant's topics?</x:v>
      </x:c>
      <x:c r="H396" s="17" t="str">
        <x:v>https://www.gatech.edu</x:v>
      </x:c>
      <x:c r="I396" s="17" t="str">
        <x:v>not_sampled</x:v>
      </x:c>
      <x:c r="J396" s="17" t="str">
        <x:v>not_sampled</x:v>
      </x:c>
    </x:row>
    <x:row r="397" ht="46" customHeight="1">
      <x:c r="A397" s="17" t="str">
        <x:v>us</x:v>
      </x:c>
      <x:c r="B397" s="17" t="str">
        <x:v>Georgia Institute of Technology-Main Campus</x:v>
      </x:c>
      <x:c r="C397" s="17" t="str">
        <x:v>Ph.D. in Computer Science</x:v>
      </x:c>
      <x:c r="D397" s="17" t="str">
        <x:v>PhD</x:v>
      </x:c>
      <x:c r="E397" s="17" t="str">
        <x:v>stage2_screened_out</x:v>
      </x:c>
      <x:c r="F397" s="17" t="str">
        <x:v>Duplicate exact program record shares the same canonical official URL; the first-audit or canonical row is retained.</x:v>
      </x:c>
      <x:c r="G397" s="17" t="str">
        <x:v>Which current supervisors match the applicant and are eligible/available to advise Fall 2027 entrants?</x:v>
      </x:c>
      <x:c r="H397" s="17" t="str">
        <x:v>https://www.cc.gatech.edu/degree-programs/phd-computer-science</x:v>
      </x:c>
      <x:c r="I397" s="17" t="str">
        <x:v>not_sampled</x:v>
      </x:c>
      <x:c r="J397" s="17" t="str">
        <x:v>not_sampled</x:v>
      </x:c>
    </x:row>
    <x:row r="398" ht="46" customHeight="1">
      <x:c r="A398" s="17" t="str">
        <x:v>us</x:v>
      </x:c>
      <x:c r="B398" s="17" t="str">
        <x:v>Georgia Southern University</x:v>
      </x:c>
      <x:c r="C398" s="17" t="str">
        <x:v>IPEDS discovery signal: Computer Science (CIP 11.0701)</x:v>
      </x:c>
      <x:c r="D398" s="17" t="str">
        <x:v>Unclear</x:v>
      </x:c>
      <x:c r="E398" s="17" t="str">
        <x:v>stage2_screened_out</x:v>
      </x:c>
      <x:c r="F398" s="17" t="str">
        <x:v>Only one bounded registry/program-code signal was present; no independent topical, Calendar, current-faculty, or first-audit signal was recovered.</x:v>
      </x:c>
      <x:c r="G398" s="17" t="str">
        <x:v>Does the current official catalog contain a research graduate program matching the applicant's topics?</x:v>
      </x:c>
      <x:c r="H398" s="17" t="str">
        <x:v>https://www.georgiasouthern.edu</x:v>
      </x:c>
      <x:c r="I398" s="17" t="str">
        <x:v>not_sampled</x:v>
      </x:c>
      <x:c r="J398" s="17" t="str">
        <x:v>not_sampled</x:v>
      </x:c>
    </x:row>
    <x:row r="399" ht="46" customHeight="1">
      <x:c r="A399" s="17" t="str">
        <x:v>us</x:v>
      </x:c>
      <x:c r="B399" s="17" t="str">
        <x:v>Georgia Southern University</x:v>
      </x:c>
      <x:c r="C399" s="17" t="str">
        <x:v>IPEDS discovery signal: Electrical and Electronics Engineering (CIP 14.1001)</x:v>
      </x:c>
      <x:c r="D399" s="17" t="str">
        <x:v>Unclear</x:v>
      </x:c>
      <x:c r="E399" s="17" t="str">
        <x:v>stage2_screened_out</x:v>
      </x:c>
      <x:c r="F399" s="17" t="str">
        <x:v>Only one bounded registry/program-code signal was present; no independent topical, Calendar, current-faculty, or first-audit signal was recovered.</x:v>
      </x:c>
      <x:c r="G399" s="17" t="str">
        <x:v>Does the current official catalog contain a research graduate program matching the applicant's topics?</x:v>
      </x:c>
      <x:c r="H399" s="17" t="str">
        <x:v>https://www.georgiasouthern.edu</x:v>
      </x:c>
      <x:c r="I399" s="17" t="str">
        <x:v>not_sampled</x:v>
      </x:c>
      <x:c r="J399" s="17" t="str">
        <x:v>not_sampled</x:v>
      </x:c>
    </x:row>
    <x:row r="400" ht="46" customHeight="1">
      <x:c r="A400" s="17" t="str">
        <x:v>us</x:v>
      </x:c>
      <x:c r="B400" s="17" t="str">
        <x:v>Georgia Southern University</x:v>
      </x:c>
      <x:c r="C400" s="17" t="str">
        <x:v>IPEDS discovery signal: Information Technology (CIP 11.0103)</x:v>
      </x:c>
      <x:c r="D400" s="17" t="str">
        <x:v>Unclear</x:v>
      </x:c>
      <x:c r="E400" s="17" t="str">
        <x:v>stage2_screened_out</x:v>
      </x:c>
      <x:c r="F400" s="17" t="str">
        <x:v>Only one bounded registry/program-code signal was present; no independent topical, Calendar, current-faculty, or first-audit signal was recovered.</x:v>
      </x:c>
      <x:c r="G400" s="17" t="str">
        <x:v>Does the current official catalog contain a research graduate program matching the applicant's topics?</x:v>
      </x:c>
      <x:c r="H400" s="17" t="str">
        <x:v>https://www.georgiasouthern.edu</x:v>
      </x:c>
      <x:c r="I400" s="17" t="str">
        <x:v>not_sampled</x:v>
      </x:c>
      <x:c r="J400" s="17" t="str">
        <x:v>not_sampled</x:v>
      </x:c>
    </x:row>
    <x:row r="401" ht="46" customHeight="1">
      <x:c r="A401" s="17" t="str">
        <x:v>us</x:v>
      </x:c>
      <x:c r="B401" s="17" t="str">
        <x:v>Georgia Southwestern State University</x:v>
      </x:c>
      <x:c r="C401" s="17" t="str">
        <x:v>IPEDS discovery signal: Computer Science (CIP 11.0701)</x:v>
      </x:c>
      <x:c r="D401" s="17" t="str">
        <x:v>Unclear</x:v>
      </x:c>
      <x:c r="E401" s="17" t="str">
        <x:v>stage2_screened_out</x:v>
      </x:c>
      <x:c r="F401" s="17" t="str">
        <x:v>Only one bounded registry/program-code signal was present; no independent topical, Calendar, current-faculty, or first-audit signal was recovered.</x:v>
      </x:c>
      <x:c r="G401" s="17" t="str">
        <x:v>Does the current official catalog contain a research graduate program matching the applicant's topics?</x:v>
      </x:c>
      <x:c r="H401" s="17" t="str">
        <x:v>https://gsw.edu</x:v>
      </x:c>
      <x:c r="I401" s="17" t="str">
        <x:v>not_sampled</x:v>
      </x:c>
      <x:c r="J401" s="17" t="str">
        <x:v>not_sampled</x:v>
      </x:c>
    </x:row>
    <x:row r="402" ht="46" customHeight="1">
      <x:c r="A402" s="17" t="str">
        <x:v>us</x:v>
      </x:c>
      <x:c r="B402" s="17" t="str">
        <x:v>Georgia State University</x:v>
      </x:c>
      <x:c r="C402" s="17" t="str">
        <x:v>IPEDS discovery signal: Computer and Information Systems Security/Auditing/Information Assurance (CIP 11.1003)</x:v>
      </x:c>
      <x:c r="D402" s="17" t="str">
        <x:v>Unclear</x:v>
      </x:c>
      <x:c r="E402" s="17" t="str">
        <x:v>stage2_screened_out</x:v>
      </x:c>
      <x:c r="F402" s="17" t="str">
        <x:v>Duplicate mechanical discovery signal consolidated into one institution-level catalog review candidate.</x:v>
      </x:c>
      <x:c r="G402" s="17" t="str">
        <x:v>Does the current official catalog contain a research graduate program matching the applicant's topics?</x:v>
      </x:c>
      <x:c r="H402" s="17" t="str">
        <x:v>https://www.gsu.edu</x:v>
      </x:c>
      <x:c r="I402" s="17" t="str">
        <x:v>not_sampled</x:v>
      </x:c>
      <x:c r="J402" s="17" t="str">
        <x:v>not_sampled</x:v>
      </x:c>
    </x:row>
    <x:row r="403" ht="46" customHeight="1">
      <x:c r="A403" s="17" t="str">
        <x:v>us</x:v>
      </x:c>
      <x:c r="B403" s="17" t="str">
        <x:v>Georgia State University</x:v>
      </x:c>
      <x:c r="C403" s="17" t="str">
        <x:v>IPEDS discovery signal: Computer Science (CIP 11.0701)</x:v>
      </x:c>
      <x:c r="D403" s="17" t="str">
        <x:v>Unclear</x:v>
      </x:c>
      <x:c r="E403" s="17" t="str">
        <x:v>stage2_screened_out</x:v>
      </x:c>
      <x:c r="F403" s="17" t="str">
        <x:v>Duplicate mechanical discovery signal consolidated into one institution-level catalog review candidate.</x:v>
      </x:c>
      <x:c r="G403" s="17" t="str">
        <x:v>Does the current official catalog contain a research graduate program matching the applicant's topics?</x:v>
      </x:c>
      <x:c r="H403" s="17" t="str">
        <x:v>https://www.gsu.edu</x:v>
      </x:c>
      <x:c r="I403" s="17" t="str">
        <x:v>not_sampled</x:v>
      </x:c>
      <x:c r="J403" s="17" t="str">
        <x:v>not_sampled</x:v>
      </x:c>
    </x:row>
    <x:row r="404" ht="46" customHeight="1">
      <x:c r="A404" s="17" t="str">
        <x:v>us</x:v>
      </x:c>
      <x:c r="B404" s="17" t="str">
        <x:v>Golden Gate University</x:v>
      </x:c>
      <x:c r="C404" s="17" t="str">
        <x:v>IPEDS discovery signal: Information Science/Studies (CIP 11.0401)</x:v>
      </x:c>
      <x:c r="D404" s="17" t="str">
        <x:v>Unclear</x:v>
      </x:c>
      <x:c r="E404" s="17" t="str">
        <x:v>stage2_screened_out</x:v>
      </x:c>
      <x:c r="F404" s="17" t="str">
        <x:v>Only one bounded registry/program-code signal was present; no independent topical, Calendar, current-faculty, or first-audit signal was recovered.</x:v>
      </x:c>
      <x:c r="G404" s="17" t="str">
        <x:v>Does the current official catalog contain a research graduate program matching the applicant's topics?</x:v>
      </x:c>
      <x:c r="H404" s="17" t="str">
        <x:v>https://www.ggu.edu</x:v>
      </x:c>
      <x:c r="I404" s="17" t="str">
        <x:v>not_sampled</x:v>
      </x:c>
      <x:c r="J404" s="17" t="str">
        <x:v>not_sampled</x:v>
      </x:c>
    </x:row>
    <x:row r="405" ht="46" customHeight="1">
      <x:c r="A405" s="17" t="str">
        <x:v>us</x:v>
      </x:c>
      <x:c r="B405" s="17" t="str">
        <x:v>Golden Gate University</x:v>
      </x:c>
      <x:c r="C405" s="17" t="str">
        <x:v>IPEDS discovery signal: Information Technology (CIP 11.0103)</x:v>
      </x:c>
      <x:c r="D405" s="17" t="str">
        <x:v>Unclear</x:v>
      </x:c>
      <x:c r="E405" s="17" t="str">
        <x:v>stage2_screened_out</x:v>
      </x:c>
      <x:c r="F405" s="17" t="str">
        <x:v>Only one bounded registry/program-code signal was present; no independent topical, Calendar, current-faculty, or first-audit signal was recovered.</x:v>
      </x:c>
      <x:c r="G405" s="17" t="str">
        <x:v>Does the current official catalog contain a research graduate program matching the applicant's topics?</x:v>
      </x:c>
      <x:c r="H405" s="17" t="str">
        <x:v>https://www.ggu.edu</x:v>
      </x:c>
      <x:c r="I405" s="17" t="str">
        <x:v>not_sampled</x:v>
      </x:c>
      <x:c r="J405" s="17" t="str">
        <x:v>not_sampled</x:v>
      </x:c>
    </x:row>
    <x:row r="406" ht="46" customHeight="1">
      <x:c r="A406" s="17" t="str">
        <x:v>us</x:v>
      </x:c>
      <x:c r="B406" s="17" t="str">
        <x:v>Governors State University</x:v>
      </x:c>
      <x:c r="C406" s="17" t="str">
        <x:v>IPEDS discovery signal: Computer and Information Systems Security/Auditing/Information Assurance (CIP 11.1003)</x:v>
      </x:c>
      <x:c r="D406" s="17" t="str">
        <x:v>Unclear</x:v>
      </x:c>
      <x:c r="E406" s="17" t="str">
        <x:v>stage2_screened_out</x:v>
      </x:c>
      <x:c r="F406" s="17" t="str">
        <x:v>Only one bounded registry/program-code signal was present; no independent topical, Calendar, current-faculty, or first-audit signal was recovered.</x:v>
      </x:c>
      <x:c r="G406" s="17" t="str">
        <x:v>Does the current official catalog contain a research graduate program matching the applicant's topics?</x:v>
      </x:c>
      <x:c r="H406" s="17" t="str">
        <x:v>https://www.govst.edu</x:v>
      </x:c>
      <x:c r="I406" s="17" t="str">
        <x:v>not_sampled</x:v>
      </x:c>
      <x:c r="J406" s="17" t="str">
        <x:v>not_sampled</x:v>
      </x:c>
    </x:row>
    <x:row r="407" ht="46" customHeight="1">
      <x:c r="A407" s="17" t="str">
        <x:v>us</x:v>
      </x:c>
      <x:c r="B407" s="17" t="str">
        <x:v>Governors State University</x:v>
      </x:c>
      <x:c r="C407" s="17" t="str">
        <x:v>IPEDS discovery signal: Computer Science (CIP 11.0701)</x:v>
      </x:c>
      <x:c r="D407" s="17" t="str">
        <x:v>Unclear</x:v>
      </x:c>
      <x:c r="E407" s="17" t="str">
        <x:v>stage2_screened_out</x:v>
      </x:c>
      <x:c r="F407" s="17" t="str">
        <x:v>Only one bounded registry/program-code signal was present; no independent topical, Calendar, current-faculty, or first-audit signal was recovered.</x:v>
      </x:c>
      <x:c r="G407" s="17" t="str">
        <x:v>Does the current official catalog contain a research graduate program matching the applicant's topics?</x:v>
      </x:c>
      <x:c r="H407" s="17" t="str">
        <x:v>https://www.govst.edu</x:v>
      </x:c>
      <x:c r="I407" s="17" t="str">
        <x:v>not_sampled</x:v>
      </x:c>
      <x:c r="J407" s="17" t="str">
        <x:v>not_sampled</x:v>
      </x:c>
    </x:row>
    <x:row r="408" ht="46" customHeight="1">
      <x:c r="A408" s="17" t="str">
        <x:v>us</x:v>
      </x:c>
      <x:c r="B408" s="17" t="str">
        <x:v>Grand Canyon University</x:v>
      </x:c>
      <x:c r="C408" s="17" t="str">
        <x:v>IPEDS discovery signal: Computer and Information Sciences, General (CIP 11.0101)</x:v>
      </x:c>
      <x:c r="D408" s="17" t="str">
        <x:v>Unclear</x:v>
      </x:c>
      <x:c r="E408" s="17" t="str">
        <x:v>stage2_screened_out</x:v>
      </x:c>
      <x:c r="F408" s="17" t="str">
        <x:v>Only one bounded registry/program-code signal was present; no independent topical, Calendar, current-faculty, or first-audit signal was recovered.</x:v>
      </x:c>
      <x:c r="G408" s="17" t="str">
        <x:v>Does the current official catalog contain a research graduate program matching the applicant's topics?</x:v>
      </x:c>
      <x:c r="H408" s="17" t="str">
        <x:v>https://www.gcu.edu</x:v>
      </x:c>
      <x:c r="I408" s="17" t="str">
        <x:v>not_sampled</x:v>
      </x:c>
      <x:c r="J408" s="17" t="str">
        <x:v>not_sampled</x:v>
      </x:c>
    </x:row>
    <x:row r="409" ht="46" customHeight="1">
      <x:c r="A409" s="17" t="str">
        <x:v>us</x:v>
      </x:c>
      <x:c r="B409" s="17" t="str">
        <x:v>Grand Canyon University</x:v>
      </x:c>
      <x:c r="C409" s="17" t="str">
        <x:v>IPEDS discovery signal: Computer and Information Systems Security/Auditing/Information Assurance (CIP 11.1003)</x:v>
      </x:c>
      <x:c r="D409" s="17" t="str">
        <x:v>Unclear</x:v>
      </x:c>
      <x:c r="E409" s="17" t="str">
        <x:v>stage2_screened_out</x:v>
      </x:c>
      <x:c r="F409" s="17" t="str">
        <x:v>Only one bounded registry/program-code signal was present; no independent topical, Calendar, current-faculty, or first-audit signal was recovered.</x:v>
      </x:c>
      <x:c r="G409" s="17" t="str">
        <x:v>Does the current official catalog contain a research graduate program matching the applicant's topics?</x:v>
      </x:c>
      <x:c r="H409" s="17" t="str">
        <x:v>https://www.gcu.edu</x:v>
      </x:c>
      <x:c r="I409" s="17" t="str">
        <x:v>not_sampled</x:v>
      </x:c>
      <x:c r="J409" s="17" t="str">
        <x:v>not_sampled</x:v>
      </x:c>
    </x:row>
    <x:row r="410" ht="46" customHeight="1">
      <x:c r="A410" s="17" t="str">
        <x:v>us</x:v>
      </x:c>
      <x:c r="B410" s="17" t="str">
        <x:v>Grand Canyon University</x:v>
      </x:c>
      <x:c r="C410" s="17" t="str">
        <x:v>IPEDS discovery signal: Computer Science (CIP 11.0701)</x:v>
      </x:c>
      <x:c r="D410" s="17" t="str">
        <x:v>Unclear</x:v>
      </x:c>
      <x:c r="E410" s="17" t="str">
        <x:v>stage2_screened_out</x:v>
      </x:c>
      <x:c r="F410" s="17" t="str">
        <x:v>Only one bounded registry/program-code signal was present; no independent topical, Calendar, current-faculty, or first-audit signal was recovered.</x:v>
      </x:c>
      <x:c r="G410" s="17" t="str">
        <x:v>Does the current official catalog contain a research graduate program matching the applicant's topics?</x:v>
      </x:c>
      <x:c r="H410" s="17" t="str">
        <x:v>https://www.gcu.edu</x:v>
      </x:c>
      <x:c r="I410" s="17" t="str">
        <x:v>not_sampled</x:v>
      </x:c>
      <x:c r="J410" s="17" t="str">
        <x:v>not_sampled</x:v>
      </x:c>
    </x:row>
    <x:row r="411" ht="46" customHeight="1">
      <x:c r="A411" s="17" t="str">
        <x:v>us</x:v>
      </x:c>
      <x:c r="B411" s="17" t="str">
        <x:v>Grand Canyon University</x:v>
      </x:c>
      <x:c r="C411" s="17" t="str">
        <x:v>IPEDS discovery signal: Computer Software Engineering (CIP 14.0903)</x:v>
      </x:c>
      <x:c r="D411" s="17" t="str">
        <x:v>Unclear</x:v>
      </x:c>
      <x:c r="E411" s="17" t="str">
        <x:v>stage2_screened_out</x:v>
      </x:c>
      <x:c r="F411" s="17" t="str">
        <x:v>Only one bounded registry/program-code signal was present; no independent topical, Calendar, current-faculty, or first-audit signal was recovered.</x:v>
      </x:c>
      <x:c r="G411" s="17" t="str">
        <x:v>Does the current official catalog contain a research graduate program matching the applicant's topics?</x:v>
      </x:c>
      <x:c r="H411" s="17" t="str">
        <x:v>https://www.gcu.edu</x:v>
      </x:c>
      <x:c r="I411" s="17" t="str">
        <x:v>not_sampled</x:v>
      </x:c>
      <x:c r="J411" s="17" t="str">
        <x:v>not_sampled</x:v>
      </x:c>
    </x:row>
    <x:row r="412" ht="46" customHeight="1">
      <x:c r="A412" s="17" t="str">
        <x:v>us</x:v>
      </x:c>
      <x:c r="B412" s="17" t="str">
        <x:v>Grand Canyon University</x:v>
      </x:c>
      <x:c r="C412" s="17" t="str">
        <x:v>IPEDS discovery signal: Cyber/Computer Forensics and Counterterrorism (CIP 43.0403)</x:v>
      </x:c>
      <x:c r="D412" s="17" t="str">
        <x:v>Unclear</x:v>
      </x:c>
      <x:c r="E412" s="17" t="str">
        <x:v>stage2_screened_out</x:v>
      </x:c>
      <x:c r="F412" s="17" t="str">
        <x:v>Only one bounded registry/program-code signal was present; no independent topical, Calendar, current-faculty, or first-audit signal was recovered.</x:v>
      </x:c>
      <x:c r="G412" s="17" t="str">
        <x:v>Does the current official catalog contain a research graduate program matching the applicant's topics?</x:v>
      </x:c>
      <x:c r="H412" s="17" t="str">
        <x:v>https://www.gcu.edu</x:v>
      </x:c>
      <x:c r="I412" s="17" t="str">
        <x:v>not_sampled</x:v>
      </x:c>
      <x:c r="J412" s="17" t="str">
        <x:v>not_sampled</x:v>
      </x:c>
    </x:row>
    <x:row r="413" ht="46" customHeight="1">
      <x:c r="A413" s="17" t="str">
        <x:v>us</x:v>
      </x:c>
      <x:c r="B413" s="17" t="str">
        <x:v>Grand Canyon University</x:v>
      </x:c>
      <x:c r="C413" s="17" t="str">
        <x:v>IPEDS discovery signal: Information Technology (CIP 11.0103)</x:v>
      </x:c>
      <x:c r="D413" s="17" t="str">
        <x:v>Unclear</x:v>
      </x:c>
      <x:c r="E413" s="17" t="str">
        <x:v>stage2_screened_out</x:v>
      </x:c>
      <x:c r="F413" s="17" t="str">
        <x:v>Only one bounded registry/program-code signal was present; no independent topical, Calendar, current-faculty, or first-audit signal was recovered.</x:v>
      </x:c>
      <x:c r="G413" s="17" t="str">
        <x:v>Does the current official catalog contain a research graduate program matching the applicant's topics?</x:v>
      </x:c>
      <x:c r="H413" s="17" t="str">
        <x:v>https://www.gcu.edu</x:v>
      </x:c>
      <x:c r="I413" s="17" t="str">
        <x:v>not_sampled</x:v>
      </x:c>
      <x:c r="J413" s="17" t="str">
        <x:v>not_sampled</x:v>
      </x:c>
    </x:row>
    <x:row r="414" ht="46" customHeight="1">
      <x:c r="A414" s="17" t="str">
        <x:v>us</x:v>
      </x:c>
      <x:c r="B414" s="17" t="str">
        <x:v>Grand Valley State University</x:v>
      </x:c>
      <x:c r="C414" s="17" t="str">
        <x:v>IPEDS discovery signal: Computer and Information Systems Security/Auditing/Information Assurance (CIP 11.1003)</x:v>
      </x:c>
      <x:c r="D414" s="17" t="str">
        <x:v>Unclear</x:v>
      </x:c>
      <x:c r="E414" s="17" t="str">
        <x:v>stage2_screened_out</x:v>
      </x:c>
      <x:c r="F414" s="17" t="str">
        <x:v>Duplicate mechanical discovery signal consolidated into one institution-level catalog review candidate.</x:v>
      </x:c>
      <x:c r="G414" s="17" t="str">
        <x:v>Does the current official catalog contain a research graduate program matching the applicant's topics?</x:v>
      </x:c>
      <x:c r="H414" s="17" t="str">
        <x:v>https://www.gvsu.edu</x:v>
      </x:c>
      <x:c r="I414" s="17" t="str">
        <x:v>not_sampled</x:v>
      </x:c>
      <x:c r="J414" s="17" t="str">
        <x:v>not_sampled</x:v>
      </x:c>
    </x:row>
    <x:row r="415" ht="46" customHeight="1">
      <x:c r="A415" s="17" t="str">
        <x:v>us</x:v>
      </x:c>
      <x:c r="B415" s="17" t="str">
        <x:v>Grand Valley State University</x:v>
      </x:c>
      <x:c r="C415" s="17" t="str">
        <x:v>IPEDS discovery signal: Data Science, General (CIP 30.7001)</x:v>
      </x:c>
      <x:c r="D415" s="17" t="str">
        <x:v>Unclear</x:v>
      </x:c>
      <x:c r="E415" s="17" t="str">
        <x:v>stage2_screened_out</x:v>
      </x:c>
      <x:c r="F415" s="17" t="str">
        <x:v>Duplicate mechanical discovery signal consolidated into one institution-level catalog review candidate.</x:v>
      </x:c>
      <x:c r="G415" s="17" t="str">
        <x:v>Does the current official catalog contain a research graduate program matching the applicant's topics?</x:v>
      </x:c>
      <x:c r="H415" s="17" t="str">
        <x:v>https://www.gvsu.edu</x:v>
      </x:c>
      <x:c r="I415" s="17" t="str">
        <x:v>not_sampled</x:v>
      </x:c>
      <x:c r="J415" s="17" t="str">
        <x:v>not_sampled</x:v>
      </x:c>
    </x:row>
    <x:row r="416" ht="46" customHeight="1">
      <x:c r="A416" s="17" t="str">
        <x:v>us</x:v>
      </x:c>
      <x:c r="B416" s="17" t="str">
        <x:v>Hallmark University</x:v>
      </x:c>
      <x:c r="C416" s="17" t="str">
        <x:v>IPEDS discovery signal: Computer and Information Systems Security/Auditing/Information Assurance (CIP 11.1003)</x:v>
      </x:c>
      <x:c r="D416" s="17" t="str">
        <x:v>Unclear</x:v>
      </x:c>
      <x:c r="E416" s="17" t="str">
        <x:v>stage2_screened_out</x:v>
      </x:c>
      <x:c r="F416" s="17" t="str">
        <x:v>Only one bounded registry/program-code signal was present; no independent topical, Calendar, current-faculty, or first-audit signal was recovered.</x:v>
      </x:c>
      <x:c r="G416" s="17" t="str">
        <x:v>Does the current official catalog contain a research graduate program matching the applicant's topics?</x:v>
      </x:c>
      <x:c r="H416" s="17" t="str">
        <x:v>https://www.hallmarkuniversity.edu</x:v>
      </x:c>
      <x:c r="I416" s="17" t="str">
        <x:v>not_sampled</x:v>
      </x:c>
      <x:c r="J416" s="17" t="str">
        <x:v>not_sampled</x:v>
      </x:c>
    </x:row>
    <x:row r="417" ht="46" customHeight="1">
      <x:c r="A417" s="17" t="str">
        <x:v>us</x:v>
      </x:c>
      <x:c r="B417" s="17" t="str">
        <x:v>Hampton University</x:v>
      </x:c>
      <x:c r="C417" s="17" t="str">
        <x:v>IPEDS discovery signal: Computer and Information Sciences, General (CIP 11.0101)</x:v>
      </x:c>
      <x:c r="D417" s="17" t="str">
        <x:v>Unclear</x:v>
      </x:c>
      <x:c r="E417" s="17" t="str">
        <x:v>stage2_screened_out</x:v>
      </x:c>
      <x:c r="F417" s="17" t="str">
        <x:v>Only one bounded registry/program-code signal was present; no independent topical, Calendar, current-faculty, or first-audit signal was recovered.</x:v>
      </x:c>
      <x:c r="G417" s="17" t="str">
        <x:v>Does the current official catalog contain a research graduate program matching the applicant's topics?</x:v>
      </x:c>
      <x:c r="H417" s="17" t="str">
        <x:v>https://www.hamptonu.edu</x:v>
      </x:c>
      <x:c r="I417" s="17" t="str">
        <x:v>not_sampled</x:v>
      </x:c>
      <x:c r="J417" s="17" t="str">
        <x:v>not_sampled</x:v>
      </x:c>
    </x:row>
    <x:row r="418" ht="46" customHeight="1">
      <x:c r="A418" s="17" t="str">
        <x:v>us</x:v>
      </x:c>
      <x:c r="B418" s="17" t="str">
        <x:v>Harding University</x:v>
      </x:c>
      <x:c r="C418" s="17" t="str">
        <x:v>IPEDS discovery signal: Information Science/Studies (CIP 11.0401)</x:v>
      </x:c>
      <x:c r="D418" s="17" t="str">
        <x:v>Unclear</x:v>
      </x:c>
      <x:c r="E418" s="17" t="str">
        <x:v>stage2_screened_out</x:v>
      </x:c>
      <x:c r="F418" s="17" t="str">
        <x:v>Only one bounded registry/program-code signal was present; no independent topical, Calendar, current-faculty, or first-audit signal was recovered.</x:v>
      </x:c>
      <x:c r="G418" s="17" t="str">
        <x:v>Does the current official catalog contain a research graduate program matching the applicant's topics?</x:v>
      </x:c>
      <x:c r="H418" s="17" t="str">
        <x:v>https://www.harding.edu</x:v>
      </x:c>
      <x:c r="I418" s="17" t="str">
        <x:v>not_sampled</x:v>
      </x:c>
      <x:c r="J418" s="17" t="str">
        <x:v>not_sampled</x:v>
      </x:c>
    </x:row>
    <x:row r="419" ht="46" customHeight="1">
      <x:c r="A419" s="17" t="str">
        <x:v>us</x:v>
      </x:c>
      <x:c r="B419" s="17" t="str">
        <x:v>Harvard University</x:v>
      </x:c>
      <x:c r="C419" s="17" t="str">
        <x:v>IPEDS discovery signal: Computer and Information Sciences, General (CIP 11.0101)</x:v>
      </x:c>
      <x:c r="D419" s="17" t="str">
        <x:v>Unclear</x:v>
      </x:c>
      <x:c r="E419" s="17" t="str">
        <x:v>stage2_screened_out</x:v>
      </x:c>
      <x:c r="F419" s="17" t="str">
        <x:v>Duplicate mechanical discovery signal consolidated into one institution-level catalog review candidate.</x:v>
      </x:c>
      <x:c r="G419" s="17" t="str">
        <x:v>Does the current official catalog contain a research graduate program matching the applicant's topics?</x:v>
      </x:c>
      <x:c r="H419" s="17" t="str">
        <x:v>https://www.harvard.edu</x:v>
      </x:c>
      <x:c r="I419" s="17" t="str">
        <x:v>not_sampled</x:v>
      </x:c>
      <x:c r="J419" s="17" t="str">
        <x:v>not_sampled</x:v>
      </x:c>
    </x:row>
    <x:row r="420" ht="46" customHeight="1">
      <x:c r="A420" s="17" t="str">
        <x:v>us</x:v>
      </x:c>
      <x:c r="B420" s="17" t="str">
        <x:v>Harvard University</x:v>
      </x:c>
      <x:c r="C420" s="17" t="str">
        <x:v>IPEDS discovery signal: Computer Engineering, General (CIP 14.0901)</x:v>
      </x:c>
      <x:c r="D420" s="17" t="str">
        <x:v>Unclear</x:v>
      </x:c>
      <x:c r="E420" s="17" t="str">
        <x:v>stage2_screened_out</x:v>
      </x:c>
      <x:c r="F420" s="17" t="str">
        <x:v>Duplicate mechanical discovery signal consolidated into one institution-level catalog review candidate.</x:v>
      </x:c>
      <x:c r="G420" s="17" t="str">
        <x:v>Does the current official catalog contain a research graduate program matching the applicant's topics?</x:v>
      </x:c>
      <x:c r="H420" s="17" t="str">
        <x:v>https://www.harvard.edu</x:v>
      </x:c>
      <x:c r="I420" s="17" t="str">
        <x:v>not_sampled</x:v>
      </x:c>
      <x:c r="J420" s="17" t="str">
        <x:v>not_sampled</x:v>
      </x:c>
    </x:row>
    <x:row r="421" ht="46" customHeight="1">
      <x:c r="A421" s="17" t="str">
        <x:v>us</x:v>
      </x:c>
      <x:c r="B421" s="17" t="str">
        <x:v>Harvard University</x:v>
      </x:c>
      <x:c r="C421" s="17" t="str">
        <x:v>IPEDS discovery signal: Computer Science (CIP 11.0701)</x:v>
      </x:c>
      <x:c r="D421" s="17" t="str">
        <x:v>Unclear</x:v>
      </x:c>
      <x:c r="E421" s="17" t="str">
        <x:v>stage2_screened_out</x:v>
      </x:c>
      <x:c r="F421" s="17" t="str">
        <x:v>Duplicate mechanical discovery signal consolidated into one institution-level catalog review candidate.</x:v>
      </x:c>
      <x:c r="G421" s="17" t="str">
        <x:v>Does the current official catalog contain a research graduate program matching the applicant's topics?</x:v>
      </x:c>
      <x:c r="H421" s="17" t="str">
        <x:v>https://www.harvard.edu</x:v>
      </x:c>
      <x:c r="I421" s="17" t="str">
        <x:v>not_sampled</x:v>
      </x:c>
      <x:c r="J421" s="17" t="str">
        <x:v>not_sampled</x:v>
      </x:c>
    </x:row>
    <x:row r="422" ht="46" customHeight="1">
      <x:c r="A422" s="17" t="str">
        <x:v>us</x:v>
      </x:c>
      <x:c r="B422" s="17" t="str">
        <x:v>Harvard University</x:v>
      </x:c>
      <x:c r="C422" s="17" t="str">
        <x:v>IPEDS discovery signal: Computer Software Engineering (CIP 14.0903)</x:v>
      </x:c>
      <x:c r="D422" s="17" t="str">
        <x:v>Unclear</x:v>
      </x:c>
      <x:c r="E422" s="17" t="str">
        <x:v>stage2_screened_out</x:v>
      </x:c>
      <x:c r="F422" s="17" t="str">
        <x:v>Duplicate mechanical discovery signal consolidated into one institution-level catalog review candidate.</x:v>
      </x:c>
      <x:c r="G422" s="17" t="str">
        <x:v>Does the current official catalog contain a research graduate program matching the applicant's topics?</x:v>
      </x:c>
      <x:c r="H422" s="17" t="str">
        <x:v>https://www.harvard.edu</x:v>
      </x:c>
      <x:c r="I422" s="17" t="str">
        <x:v>not_sampled</x:v>
      </x:c>
      <x:c r="J422" s="17" t="str">
        <x:v>not_sampled</x:v>
      </x:c>
    </x:row>
    <x:row r="423" ht="46" customHeight="1">
      <x:c r="A423" s="17" t="str">
        <x:v>us</x:v>
      </x:c>
      <x:c r="B423" s="17" t="str">
        <x:v>Harvard University</x:v>
      </x:c>
      <x:c r="C423" s="17" t="str">
        <x:v>IPEDS discovery signal: Information Science/Studies (CIP 11.0401)</x:v>
      </x:c>
      <x:c r="D423" s="17" t="str">
        <x:v>Unclear</x:v>
      </x:c>
      <x:c r="E423" s="17" t="str">
        <x:v>stage2_screened_out</x:v>
      </x:c>
      <x:c r="F423" s="17" t="str">
        <x:v>Duplicate mechanical discovery signal consolidated into one institution-level catalog review candidate.</x:v>
      </x:c>
      <x:c r="G423" s="17" t="str">
        <x:v>Does the current official catalog contain a research graduate program matching the applicant's topics?</x:v>
      </x:c>
      <x:c r="H423" s="17" t="str">
        <x:v>https://www.harvard.edu</x:v>
      </x:c>
      <x:c r="I423" s="17" t="str">
        <x:v>not_sampled</x:v>
      </x:c>
      <x:c r="J423" s="17" t="str">
        <x:v>not_sampled</x:v>
      </x:c>
    </x:row>
    <x:row r="424" ht="46" customHeight="1">
      <x:c r="A424" s="17" t="str">
        <x:v>us</x:v>
      </x:c>
      <x:c r="B424" s="17" t="str">
        <x:v>Hawaii Pacific University</x:v>
      </x:c>
      <x:c r="C424" s="17" t="str">
        <x:v>IPEDS discovery signal: Information Science/Studies (CIP 11.0401)</x:v>
      </x:c>
      <x:c r="D424" s="17" t="str">
        <x:v>Unclear</x:v>
      </x:c>
      <x:c r="E424" s="17" t="str">
        <x:v>stage2_screened_out</x:v>
      </x:c>
      <x:c r="F424" s="17" t="str">
        <x:v>Only one bounded registry/program-code signal was present; no independent topical, Calendar, current-faculty, or first-audit signal was recovered.</x:v>
      </x:c>
      <x:c r="G424" s="17" t="str">
        <x:v>Does the current official catalog contain a research graduate program matching the applicant's topics?</x:v>
      </x:c>
      <x:c r="H424" s="17" t="str">
        <x:v>https://www.hpu.edu</x:v>
      </x:c>
      <x:c r="I424" s="17" t="str">
        <x:v>not_sampled</x:v>
      </x:c>
      <x:c r="J424" s="17" t="str">
        <x:v>not_sampled</x:v>
      </x:c>
    </x:row>
    <x:row r="425" ht="46" customHeight="1">
      <x:c r="A425" s="17" t="str">
        <x:v>us</x:v>
      </x:c>
      <x:c r="B425" s="17" t="str">
        <x:v>Hofstra University</x:v>
      </x:c>
      <x:c r="C425" s="17" t="str">
        <x:v>IPEDS discovery signal: Computer Science (CIP 11.0701)</x:v>
      </x:c>
      <x:c r="D425" s="17" t="str">
        <x:v>Unclear</x:v>
      </x:c>
      <x:c r="E425" s="17" t="str">
        <x:v>stage2_screened_out</x:v>
      </x:c>
      <x:c r="F425" s="17" t="str">
        <x:v>Duplicate mechanical discovery signal consolidated into one institution-level catalog review candidate.</x:v>
      </x:c>
      <x:c r="G425" s="17" t="str">
        <x:v>Does the current official catalog contain a research graduate program matching the applicant's topics?</x:v>
      </x:c>
      <x:c r="H425" s="17" t="str">
        <x:v>https://www.hofstra.edu</x:v>
      </x:c>
      <x:c r="I425" s="17" t="str">
        <x:v>not_sampled</x:v>
      </x:c>
      <x:c r="J425" s="17" t="str">
        <x:v>not_sampled</x:v>
      </x:c>
    </x:row>
    <x:row r="426" ht="46" customHeight="1">
      <x:c r="A426" s="17" t="str">
        <x:v>us</x:v>
      </x:c>
      <x:c r="B426" s="17" t="str">
        <x:v>Holy Family University</x:v>
      </x:c>
      <x:c r="C426" s="17" t="str">
        <x:v>IPEDS discovery signal: Cyber/Computer Forensics and Counterterrorism (CIP 43.0403)</x:v>
      </x:c>
      <x:c r="D426" s="17" t="str">
        <x:v>Unclear</x:v>
      </x:c>
      <x:c r="E426" s="17" t="str">
        <x:v>stage2_screened_out</x:v>
      </x:c>
      <x:c r="F426" s="17" t="str">
        <x:v>Only one bounded registry/program-code signal was present; no independent topical, Calendar, current-faculty, or first-audit signal was recovered.</x:v>
      </x:c>
      <x:c r="G426" s="17" t="str">
        <x:v>Does the current official catalog contain a research graduate program matching the applicant's topics?</x:v>
      </x:c>
      <x:c r="H426" s="17" t="str">
        <x:v>https://www.holyfamily.edu</x:v>
      </x:c>
      <x:c r="I426" s="17" t="str">
        <x:v>not_sampled</x:v>
      </x:c>
      <x:c r="J426" s="17" t="str">
        <x:v>not_sampled</x:v>
      </x:c>
    </x:row>
    <x:row r="427" ht="46" customHeight="1">
      <x:c r="A427" s="17" t="str">
        <x:v>us</x:v>
      </x:c>
      <x:c r="B427" s="17" t="str">
        <x:v>Hood College</x:v>
      </x:c>
      <x:c r="C427" s="17" t="str">
        <x:v>IPEDS discovery signal: Computer and Information Sciences, General (CIP 11.0101)</x:v>
      </x:c>
      <x:c r="D427" s="17" t="str">
        <x:v>Unclear</x:v>
      </x:c>
      <x:c r="E427" s="17" t="str">
        <x:v>stage2_screened_out</x:v>
      </x:c>
      <x:c r="F427" s="17" t="str">
        <x:v>Only one bounded registry/program-code signal was present; no independent topical, Calendar, current-faculty, or first-audit signal was recovered.</x:v>
      </x:c>
      <x:c r="G427" s="17" t="str">
        <x:v>Does the current official catalog contain a research graduate program matching the applicant's topics?</x:v>
      </x:c>
      <x:c r="H427" s="17" t="str">
        <x:v>https://www.hood.edu</x:v>
      </x:c>
      <x:c r="I427" s="17" t="str">
        <x:v>not_sampled</x:v>
      </x:c>
      <x:c r="J427" s="17" t="str">
        <x:v>not_sampled</x:v>
      </x:c>
    </x:row>
    <x:row r="428" ht="46" customHeight="1">
      <x:c r="A428" s="17" t="str">
        <x:v>us</x:v>
      </x:c>
      <x:c r="B428" s="17" t="str">
        <x:v>Hood College</x:v>
      </x:c>
      <x:c r="C428" s="17" t="str">
        <x:v>IPEDS discovery signal: Computer and Information Systems Security/Auditing/Information Assurance (CIP 11.1003)</x:v>
      </x:c>
      <x:c r="D428" s="17" t="str">
        <x:v>Unclear</x:v>
      </x:c>
      <x:c r="E428" s="17" t="str">
        <x:v>stage2_screened_out</x:v>
      </x:c>
      <x:c r="F428" s="17" t="str">
        <x:v>Only one bounded registry/program-code signal was present; no independent topical, Calendar, current-faculty, or first-audit signal was recovered.</x:v>
      </x:c>
      <x:c r="G428" s="17" t="str">
        <x:v>Does the current official catalog contain a research graduate program matching the applicant's topics?</x:v>
      </x:c>
      <x:c r="H428" s="17" t="str">
        <x:v>https://www.hood.edu</x:v>
      </x:c>
      <x:c r="I428" s="17" t="str">
        <x:v>not_sampled</x:v>
      </x:c>
      <x:c r="J428" s="17" t="str">
        <x:v>not_sampled</x:v>
      </x:c>
    </x:row>
    <x:row r="429" ht="46" customHeight="1">
      <x:c r="A429" s="17" t="str">
        <x:v>us</x:v>
      </x:c>
      <x:c r="B429" s="17" t="str">
        <x:v>Hood College</x:v>
      </x:c>
      <x:c r="C429" s="17" t="str">
        <x:v>IPEDS discovery signal: Computer Science (CIP 11.0701)</x:v>
      </x:c>
      <x:c r="D429" s="17" t="str">
        <x:v>Unclear</x:v>
      </x:c>
      <x:c r="E429" s="17" t="str">
        <x:v>stage2_screened_out</x:v>
      </x:c>
      <x:c r="F429" s="17" t="str">
        <x:v>Only one bounded registry/program-code signal was present; no independent topical, Calendar, current-faculty, or first-audit signal was recovered.</x:v>
      </x:c>
      <x:c r="G429" s="17" t="str">
        <x:v>Does the current official catalog contain a research graduate program matching the applicant's topics?</x:v>
      </x:c>
      <x:c r="H429" s="17" t="str">
        <x:v>https://www.hood.edu</x:v>
      </x:c>
      <x:c r="I429" s="17" t="str">
        <x:v>not_sampled</x:v>
      </x:c>
      <x:c r="J429" s="17" t="str">
        <x:v>not_sampled</x:v>
      </x:c>
    </x:row>
    <x:row r="430" ht="46" customHeight="1">
      <x:c r="A430" s="17" t="str">
        <x:v>us</x:v>
      </x:c>
      <x:c r="B430" s="17" t="str">
        <x:v>Howard University</x:v>
      </x:c>
      <x:c r="C430" s="17" t="str">
        <x:v>IPEDS discovery signal: Computer Science (CIP 11.0701)</x:v>
      </x:c>
      <x:c r="D430" s="17" t="str">
        <x:v>Unclear</x:v>
      </x:c>
      <x:c r="E430" s="17" t="str">
        <x:v>stage2_screened_out</x:v>
      </x:c>
      <x:c r="F430" s="17" t="str">
        <x:v>Only one bounded registry/program-code signal was present; no independent topical, Calendar, current-faculty, or first-audit signal was recovered.</x:v>
      </x:c>
      <x:c r="G430" s="17" t="str">
        <x:v>Does the current official catalog contain a research graduate program matching the applicant's topics?</x:v>
      </x:c>
      <x:c r="H430" s="17" t="str">
        <x:v>https://www.howard.edu</x:v>
      </x:c>
      <x:c r="I430" s="17" t="str">
        <x:v>not_sampled</x:v>
      </x:c>
      <x:c r="J430" s="17" t="str">
        <x:v>not_sampled</x:v>
      </x:c>
    </x:row>
    <x:row r="431" ht="46" customHeight="1">
      <x:c r="A431" s="17" t="str">
        <x:v>us</x:v>
      </x:c>
      <x:c r="B431" s="17" t="str">
        <x:v>Howard University</x:v>
      </x:c>
      <x:c r="C431" s="17" t="str">
        <x:v>IPEDS discovery signal: Data Science, General (CIP 30.7001)</x:v>
      </x:c>
      <x:c r="D431" s="17" t="str">
        <x:v>Unclear</x:v>
      </x:c>
      <x:c r="E431" s="17" t="str">
        <x:v>stage2_screened_out</x:v>
      </x:c>
      <x:c r="F431" s="17" t="str">
        <x:v>Only one bounded registry/program-code signal was present; no independent topical, Calendar, current-faculty, or first-audit signal was recovered.</x:v>
      </x:c>
      <x:c r="G431" s="17" t="str">
        <x:v>Does the current official catalog contain a research graduate program matching the applicant's topics?</x:v>
      </x:c>
      <x:c r="H431" s="17" t="str">
        <x:v>https://www.howard.edu</x:v>
      </x:c>
      <x:c r="I431" s="17" t="str">
        <x:v>not_sampled</x:v>
      </x:c>
      <x:c r="J431" s="17" t="str">
        <x:v>not_sampled</x:v>
      </x:c>
    </x:row>
    <x:row r="432" ht="46" customHeight="1">
      <x:c r="A432" s="17" t="str">
        <x:v>us</x:v>
      </x:c>
      <x:c r="B432" s="17" t="str">
        <x:v>Howard University</x:v>
      </x:c>
      <x:c r="C432" s="17" t="str">
        <x:v>IPEDS discovery signal: Electrical and Electronics Engineering (CIP 14.1001)</x:v>
      </x:c>
      <x:c r="D432" s="17" t="str">
        <x:v>Unclear</x:v>
      </x:c>
      <x:c r="E432" s="17" t="str">
        <x:v>stage2_screened_out</x:v>
      </x:c>
      <x:c r="F432" s="17" t="str">
        <x:v>Only one bounded registry/program-code signal was present; no independent topical, Calendar, current-faculty, or first-audit signal was recovered.</x:v>
      </x:c>
      <x:c r="G432" s="17" t="str">
        <x:v>Does the current official catalog contain a research graduate program matching the applicant's topics?</x:v>
      </x:c>
      <x:c r="H432" s="17" t="str">
        <x:v>https://www.howard.edu</x:v>
      </x:c>
      <x:c r="I432" s="17" t="str">
        <x:v>not_sampled</x:v>
      </x:c>
      <x:c r="J432" s="17" t="str">
        <x:v>not_sampled</x:v>
      </x:c>
    </x:row>
    <x:row r="433" ht="46" customHeight="1">
      <x:c r="A433" s="17" t="str">
        <x:v>us</x:v>
      </x:c>
      <x:c r="B433" s="17" t="str">
        <x:v>Idaho State University</x:v>
      </x:c>
      <x:c r="C433" s="17" t="str">
        <x:v>IPEDS discovery signal: Electrical and Electronics Engineering (CIP 14.1001)</x:v>
      </x:c>
      <x:c r="D433" s="17" t="str">
        <x:v>Unclear</x:v>
      </x:c>
      <x:c r="E433" s="17" t="str">
        <x:v>stage2_screened_out</x:v>
      </x:c>
      <x:c r="F433" s="17" t="str">
        <x:v>Duplicate mechanical discovery signal consolidated into one institution-level catalog review candidate.</x:v>
      </x:c>
      <x:c r="G433" s="17" t="str">
        <x:v>Does the current official catalog contain a research graduate program matching the applicant's topics?</x:v>
      </x:c>
      <x:c r="H433" s="17" t="str">
        <x:v>https://www.isu.edu</x:v>
      </x:c>
      <x:c r="I433" s="17" t="str">
        <x:v>not_sampled</x:v>
      </x:c>
      <x:c r="J433" s="17" t="str">
        <x:v>not_sampled</x:v>
      </x:c>
    </x:row>
    <x:row r="434" ht="46" customHeight="1">
      <x:c r="A434" s="17" t="str">
        <x:v>us</x:v>
      </x:c>
      <x:c r="B434" s="17" t="str">
        <x:v>Illinois Institute of Technology</x:v>
      </x:c>
      <x:c r="C434" s="17" t="str">
        <x:v>IPEDS discovery signal: Artificial Intelligence (CIP 11.0102)</x:v>
      </x:c>
      <x:c r="D434" s="17" t="str">
        <x:v>Unclear</x:v>
      </x:c>
      <x:c r="E434" s="17" t="str">
        <x:v>stage2_screened_out</x:v>
      </x:c>
      <x:c r="F434" s="17" t="str">
        <x:v>Duplicate mechanical discovery signal consolidated into one institution-level catalog review candidate.</x:v>
      </x:c>
      <x:c r="G434" s="17" t="str">
        <x:v>Does the current official catalog contain a research graduate program matching the applicant's topics?</x:v>
      </x:c>
      <x:c r="H434" s="17" t="str">
        <x:v>https://www.iit.edu</x:v>
      </x:c>
      <x:c r="I434" s="17" t="str">
        <x:v>not_sampled</x:v>
      </x:c>
      <x:c r="J434" s="17" t="str">
        <x:v>not_sampled</x:v>
      </x:c>
    </x:row>
    <x:row r="435" ht="46" customHeight="1">
      <x:c r="A435" s="17" t="str">
        <x:v>us</x:v>
      </x:c>
      <x:c r="B435" s="17" t="str">
        <x:v>Illinois Institute of Technology</x:v>
      </x:c>
      <x:c r="C435" s="17" t="str">
        <x:v>IPEDS discovery signal: Computer Engineering, General (CIP 14.0901)</x:v>
      </x:c>
      <x:c r="D435" s="17" t="str">
        <x:v>Unclear</x:v>
      </x:c>
      <x:c r="E435" s="17" t="str">
        <x:v>stage2_screened_out</x:v>
      </x:c>
      <x:c r="F435" s="17" t="str">
        <x:v>Duplicate mechanical discovery signal consolidated into one institution-level catalog review candidate.</x:v>
      </x:c>
      <x:c r="G435" s="17" t="str">
        <x:v>Does the current official catalog contain a research graduate program matching the applicant's topics?</x:v>
      </x:c>
      <x:c r="H435" s="17" t="str">
        <x:v>https://www.iit.edu</x:v>
      </x:c>
      <x:c r="I435" s="17" t="str">
        <x:v>not_sampled</x:v>
      </x:c>
      <x:c r="J435" s="17" t="str">
        <x:v>not_sampled</x:v>
      </x:c>
    </x:row>
    <x:row r="436" ht="46" customHeight="1">
      <x:c r="A436" s="17" t="str">
        <x:v>us</x:v>
      </x:c>
      <x:c r="B436" s="17" t="str">
        <x:v>Illinois Institute of Technology</x:v>
      </x:c>
      <x:c r="C436" s="17" t="str">
        <x:v>IPEDS discovery signal: Computer Engineering, Other (CIP 14.0999)</x:v>
      </x:c>
      <x:c r="D436" s="17" t="str">
        <x:v>Unclear</x:v>
      </x:c>
      <x:c r="E436" s="17" t="str">
        <x:v>stage2_screened_out</x:v>
      </x:c>
      <x:c r="F436" s="17" t="str">
        <x:v>Duplicate mechanical discovery signal consolidated into one institution-level catalog review candidate.</x:v>
      </x:c>
      <x:c r="G436" s="17" t="str">
        <x:v>Does the current official catalog contain a research graduate program matching the applicant's topics?</x:v>
      </x:c>
      <x:c r="H436" s="17" t="str">
        <x:v>https://www.iit.edu</x:v>
      </x:c>
      <x:c r="I436" s="17" t="str">
        <x:v>not_sampled</x:v>
      </x:c>
      <x:c r="J436" s="17" t="str">
        <x:v>not_sampled</x:v>
      </x:c>
    </x:row>
    <x:row r="437" ht="46" customHeight="1">
      <x:c r="A437" s="17" t="str">
        <x:v>us</x:v>
      </x:c>
      <x:c r="B437" s="17" t="str">
        <x:v>Illinois Institute of Technology</x:v>
      </x:c>
      <x:c r="C437" s="17" t="str">
        <x:v>IPEDS discovery signal: Computer Hardware Engineering (CIP 14.0902)</x:v>
      </x:c>
      <x:c r="D437" s="17" t="str">
        <x:v>Unclear</x:v>
      </x:c>
      <x:c r="E437" s="17" t="str">
        <x:v>stage2_screened_out</x:v>
      </x:c>
      <x:c r="F437" s="17" t="str">
        <x:v>Duplicate mechanical discovery signal consolidated into one institution-level catalog review candidate.</x:v>
      </x:c>
      <x:c r="G437" s="17" t="str">
        <x:v>Does the current official catalog contain a research graduate program matching the applicant's topics?</x:v>
      </x:c>
      <x:c r="H437" s="17" t="str">
        <x:v>https://www.iit.edu</x:v>
      </x:c>
      <x:c r="I437" s="17" t="str">
        <x:v>not_sampled</x:v>
      </x:c>
      <x:c r="J437" s="17" t="str">
        <x:v>not_sampled</x:v>
      </x:c>
    </x:row>
    <x:row r="438" ht="46" customHeight="1">
      <x:c r="A438" s="17" t="str">
        <x:v>us</x:v>
      </x:c>
      <x:c r="B438" s="17" t="str">
        <x:v>Illinois Institute of Technology</x:v>
      </x:c>
      <x:c r="C438" s="17" t="str">
        <x:v>IPEDS discovery signal: Computer Science (CIP 11.0701)</x:v>
      </x:c>
      <x:c r="D438" s="17" t="str">
        <x:v>Unclear</x:v>
      </x:c>
      <x:c r="E438" s="17" t="str">
        <x:v>stage2_screened_out</x:v>
      </x:c>
      <x:c r="F438" s="17" t="str">
        <x:v>Duplicate mechanical discovery signal consolidated into one institution-level catalog review candidate.</x:v>
      </x:c>
      <x:c r="G438" s="17" t="str">
        <x:v>Does the current official catalog contain a research graduate program matching the applicant's topics?</x:v>
      </x:c>
      <x:c r="H438" s="17" t="str">
        <x:v>https://www.iit.edu</x:v>
      </x:c>
      <x:c r="I438" s="17" t="str">
        <x:v>not_sampled</x:v>
      </x:c>
      <x:c r="J438" s="17" t="str">
        <x:v>not_sampled</x:v>
      </x:c>
    </x:row>
    <x:row r="439" ht="46" customHeight="1">
      <x:c r="A439" s="17" t="str">
        <x:v>us</x:v>
      </x:c>
      <x:c r="B439" s="17" t="str">
        <x:v>Illinois Institute of Technology</x:v>
      </x:c>
      <x:c r="C439" s="17" t="str">
        <x:v>IPEDS discovery signal: Computer Software Engineering (CIP 14.0903)</x:v>
      </x:c>
      <x:c r="D439" s="17" t="str">
        <x:v>Unclear</x:v>
      </x:c>
      <x:c r="E439" s="17" t="str">
        <x:v>stage2_screened_out</x:v>
      </x:c>
      <x:c r="F439" s="17" t="str">
        <x:v>Duplicate mechanical discovery signal consolidated into one institution-level catalog review candidate.</x:v>
      </x:c>
      <x:c r="G439" s="17" t="str">
        <x:v>Does the current official catalog contain a research graduate program matching the applicant's topics?</x:v>
      </x:c>
      <x:c r="H439" s="17" t="str">
        <x:v>https://www.iit.edu</x:v>
      </x:c>
      <x:c r="I439" s="17" t="str">
        <x:v>not_sampled</x:v>
      </x:c>
      <x:c r="J439" s="17" t="str">
        <x:v>not_sampled</x:v>
      </x:c>
    </x:row>
    <x:row r="440" ht="46" customHeight="1">
      <x:c r="A440" s="17" t="str">
        <x:v>us</x:v>
      </x:c>
      <x:c r="B440" s="17" t="str">
        <x:v>Illinois Institute of Technology</x:v>
      </x:c>
      <x:c r="C440" s="17" t="str">
        <x:v>IPEDS discovery signal: Computer Systems Networking and Telecommunications (CIP 11.0901)</x:v>
      </x:c>
      <x:c r="D440" s="17" t="str">
        <x:v>Unclear</x:v>
      </x:c>
      <x:c r="E440" s="17" t="str">
        <x:v>stage2_screened_out</x:v>
      </x:c>
      <x:c r="F440" s="17" t="str">
        <x:v>Duplicate mechanical discovery signal consolidated into one institution-level catalog review candidate.</x:v>
      </x:c>
      <x:c r="G440" s="17" t="str">
        <x:v>Does the current official catalog contain a research graduate program matching the applicant's topics?</x:v>
      </x:c>
      <x:c r="H440" s="17" t="str">
        <x:v>https://www.iit.edu</x:v>
      </x:c>
      <x:c r="I440" s="17" t="str">
        <x:v>not_sampled</x:v>
      </x:c>
      <x:c r="J440" s="17" t="str">
        <x:v>not_sampled</x:v>
      </x:c>
    </x:row>
    <x:row r="441" ht="46" customHeight="1">
      <x:c r="A441" s="17" t="str">
        <x:v>us</x:v>
      </x:c>
      <x:c r="B441" s="17" t="str">
        <x:v>Illinois Institute of Technology</x:v>
      </x:c>
      <x:c r="C441" s="17" t="str">
        <x:v>IPEDS discovery signal: Electrical and Electronics Engineering (CIP 14.1001)</x:v>
      </x:c>
      <x:c r="D441" s="17" t="str">
        <x:v>Unclear</x:v>
      </x:c>
      <x:c r="E441" s="17" t="str">
        <x:v>stage2_screened_out</x:v>
      </x:c>
      <x:c r="F441" s="17" t="str">
        <x:v>Duplicate mechanical discovery signal consolidated into one institution-level catalog review candidate.</x:v>
      </x:c>
      <x:c r="G441" s="17" t="str">
        <x:v>Does the current official catalog contain a research graduate program matching the applicant's topics?</x:v>
      </x:c>
      <x:c r="H441" s="17" t="str">
        <x:v>https://www.iit.edu</x:v>
      </x:c>
      <x:c r="I441" s="17" t="str">
        <x:v>not_sampled</x:v>
      </x:c>
      <x:c r="J441" s="17" t="str">
        <x:v>not_sampled</x:v>
      </x:c>
    </x:row>
    <x:row r="442" ht="46" customHeight="1">
      <x:c r="A442" s="17" t="str">
        <x:v>us</x:v>
      </x:c>
      <x:c r="B442" s="17" t="str">
        <x:v>Illinois Institute of Technology</x:v>
      </x:c>
      <x:c r="C442" s="17" t="str">
        <x:v>IPEDS discovery signal: Information Technology (CIP 11.0103)</x:v>
      </x:c>
      <x:c r="D442" s="17" t="str">
        <x:v>Unclear</x:v>
      </x:c>
      <x:c r="E442" s="17" t="str">
        <x:v>stage2_screened_out</x:v>
      </x:c>
      <x:c r="F442" s="17" t="str">
        <x:v>Duplicate mechanical discovery signal consolidated into one institution-level catalog review candidate.</x:v>
      </x:c>
      <x:c r="G442" s="17" t="str">
        <x:v>Does the current official catalog contain a research graduate program matching the applicant's topics?</x:v>
      </x:c>
      <x:c r="H442" s="17" t="str">
        <x:v>https://www.iit.edu</x:v>
      </x:c>
      <x:c r="I442" s="17" t="str">
        <x:v>not_sampled</x:v>
      </x:c>
      <x:c r="J442" s="17" t="str">
        <x:v>not_sampled</x:v>
      </x:c>
    </x:row>
    <x:row r="443" ht="46" customHeight="1">
      <x:c r="A443" s="17" t="str">
        <x:v>us</x:v>
      </x:c>
      <x:c r="B443" s="17" t="str">
        <x:v>Illinois Institute of Technology</x:v>
      </x:c>
      <x:c r="C443" s="17" t="str">
        <x:v>IPEDS discovery signal: Mechatronics, Robotics, and Automation Engineering (CIP 14.4201)</x:v>
      </x:c>
      <x:c r="D443" s="17" t="str">
        <x:v>Unclear</x:v>
      </x:c>
      <x:c r="E443" s="17" t="str">
        <x:v>stage2_screened_out</x:v>
      </x:c>
      <x:c r="F443" s="17" t="str">
        <x:v>Duplicate mechanical discovery signal consolidated into one institution-level catalog review candidate.</x:v>
      </x:c>
      <x:c r="G443" s="17" t="str">
        <x:v>Does the current official catalog contain a research graduate program matching the applicant's topics?</x:v>
      </x:c>
      <x:c r="H443" s="17" t="str">
        <x:v>https://www.iit.edu</x:v>
      </x:c>
      <x:c r="I443" s="17" t="str">
        <x:v>not_sampled</x:v>
      </x:c>
      <x:c r="J443" s="17" t="str">
        <x:v>not_sampled</x:v>
      </x:c>
    </x:row>
    <x:row r="444" ht="46" customHeight="1">
      <x:c r="A444" s="17" t="str">
        <x:v>us</x:v>
      </x:c>
      <x:c r="B444" s="17" t="str">
        <x:v>Illinois State University</x:v>
      </x:c>
      <x:c r="C444" s="17" t="str">
        <x:v>IPEDS discovery signal: Information Technology (CIP 11.0103)</x:v>
      </x:c>
      <x:c r="D444" s="17" t="str">
        <x:v>Unclear</x:v>
      </x:c>
      <x:c r="E444" s="17" t="str">
        <x:v>stage2_screened_out</x:v>
      </x:c>
      <x:c r="F444" s="17" t="str">
        <x:v>Duplicate mechanical discovery signal consolidated into one institution-level catalog review candidate.</x:v>
      </x:c>
      <x:c r="G444" s="17" t="str">
        <x:v>Does the current official catalog contain a research graduate program matching the applicant's topics?</x:v>
      </x:c>
      <x:c r="H444" s="17" t="str">
        <x:v>https://illinoisstate.edu</x:v>
      </x:c>
      <x:c r="I444" s="17" t="str">
        <x:v>not_sampled</x:v>
      </x:c>
      <x:c r="J444" s="17" t="str">
        <x:v>not_sampled</x:v>
      </x:c>
    </x:row>
    <x:row r="445" ht="46" customHeight="1">
      <x:c r="A445" s="17" t="str">
        <x:v>us</x:v>
      </x:c>
      <x:c r="B445" s="17" t="str">
        <x:v>Indiana Institute of Technology</x:v>
      </x:c>
      <x:c r="C445" s="17" t="str">
        <x:v>IPEDS discovery signal: Information Science/Studies (CIP 11.0401)</x:v>
      </x:c>
      <x:c r="D445" s="17" t="str">
        <x:v>Unclear</x:v>
      </x:c>
      <x:c r="E445" s="17" t="str">
        <x:v>stage2_screened_out</x:v>
      </x:c>
      <x:c r="F445" s="17" t="str">
        <x:v>Only one bounded registry/program-code signal was present; no independent topical, Calendar, current-faculty, or first-audit signal was recovered.</x:v>
      </x:c>
      <x:c r="G445" s="17" t="str">
        <x:v>Does the current official catalog contain a research graduate program matching the applicant's topics?</x:v>
      </x:c>
      <x:c r="H445" s="17" t="str">
        <x:v>https://www.indianatech.edu</x:v>
      </x:c>
      <x:c r="I445" s="17" t="str">
        <x:v>not_sampled</x:v>
      </x:c>
      <x:c r="J445" s="17" t="str">
        <x:v>not_sampled</x:v>
      </x:c>
    </x:row>
    <x:row r="446" ht="46" customHeight="1">
      <x:c r="A446" s="17" t="str">
        <x:v>us</x:v>
      </x:c>
      <x:c r="B446" s="17" t="str">
        <x:v>Indiana State University</x:v>
      </x:c>
      <x:c r="C446" s="17" t="str">
        <x:v>IPEDS discovery signal: Computer Science (CIP 11.0701)</x:v>
      </x:c>
      <x:c r="D446" s="17" t="str">
        <x:v>Unclear</x:v>
      </x:c>
      <x:c r="E446" s="17" t="str">
        <x:v>stage2_screened_out</x:v>
      </x:c>
      <x:c r="F446" s="17" t="str">
        <x:v>Only one bounded registry/program-code signal was present; no independent topical, Calendar, current-faculty, or first-audit signal was recovered.</x:v>
      </x:c>
      <x:c r="G446" s="17" t="str">
        <x:v>Does the current official catalog contain a research graduate program matching the applicant's topics?</x:v>
      </x:c>
      <x:c r="H446" s="17" t="str">
        <x:v>https://indianastate.edu</x:v>
      </x:c>
      <x:c r="I446" s="17" t="str">
        <x:v>not_sampled</x:v>
      </x:c>
      <x:c r="J446" s="17" t="str">
        <x:v>not_sampled</x:v>
      </x:c>
    </x:row>
    <x:row r="447" ht="46" customHeight="1">
      <x:c r="A447" s="17" t="str">
        <x:v>us</x:v>
      </x:c>
      <x:c r="B447" s="17" t="str">
        <x:v>Indiana University-Bloomington</x:v>
      </x:c>
      <x:c r="C447" s="17" t="str">
        <x:v>IPEDS discovery signal: Computer and Information Systems Security/Auditing/Information Assurance (CIP 11.1003)</x:v>
      </x:c>
      <x:c r="D447" s="17" t="str">
        <x:v>Unclear</x:v>
      </x:c>
      <x:c r="E447" s="17" t="str">
        <x:v>stage2_screened_out</x:v>
      </x:c>
      <x:c r="F447" s="17" t="str">
        <x:v>Duplicate mechanical discovery signal consolidated into one institution-level catalog review candidate.</x:v>
      </x:c>
      <x:c r="G447" s="17" t="str">
        <x:v>Does the current official catalog contain a research graduate program matching the applicant's topics?</x:v>
      </x:c>
      <x:c r="H447" s="17" t="str">
        <x:v>https://bloomington.iu.edu</x:v>
      </x:c>
      <x:c r="I447" s="17" t="str">
        <x:v>not_sampled</x:v>
      </x:c>
      <x:c r="J447" s="17" t="str">
        <x:v>not_sampled</x:v>
      </x:c>
    </x:row>
    <x:row r="448" ht="46" customHeight="1">
      <x:c r="A448" s="17" t="str">
        <x:v>us</x:v>
      </x:c>
      <x:c r="B448" s="17" t="str">
        <x:v>Indiana University-Bloomington</x:v>
      </x:c>
      <x:c r="C448" s="17" t="str">
        <x:v>IPEDS discovery signal: Computer Engineering, General (CIP 14.0901)</x:v>
      </x:c>
      <x:c r="D448" s="17" t="str">
        <x:v>Unclear</x:v>
      </x:c>
      <x:c r="E448" s="17" t="str">
        <x:v>stage2_screened_out</x:v>
      </x:c>
      <x:c r="F448" s="17" t="str">
        <x:v>Duplicate mechanical discovery signal consolidated into one institution-level catalog review candidate.</x:v>
      </x:c>
      <x:c r="G448" s="17" t="str">
        <x:v>Does the current official catalog contain a research graduate program matching the applicant's topics?</x:v>
      </x:c>
      <x:c r="H448" s="17" t="str">
        <x:v>https://bloomington.iu.edu</x:v>
      </x:c>
      <x:c r="I448" s="17" t="str">
        <x:v>not_sampled</x:v>
      </x:c>
      <x:c r="J448" s="17" t="str">
        <x:v>not_sampled</x:v>
      </x:c>
    </x:row>
    <x:row r="449" ht="46" customHeight="1">
      <x:c r="A449" s="17" t="str">
        <x:v>us</x:v>
      </x:c>
      <x:c r="B449" s="17" t="str">
        <x:v>Indiana University-Bloomington</x:v>
      </x:c>
      <x:c r="C449" s="17" t="str">
        <x:v>IPEDS discovery signal: Computer Science (CIP 11.0701)</x:v>
      </x:c>
      <x:c r="D449" s="17" t="str">
        <x:v>Unclear</x:v>
      </x:c>
      <x:c r="E449" s="17" t="str">
        <x:v>stage2_screened_out</x:v>
      </x:c>
      <x:c r="F449" s="17" t="str">
        <x:v>Duplicate mechanical discovery signal consolidated into one institution-level catalog review candidate.</x:v>
      </x:c>
      <x:c r="G449" s="17" t="str">
        <x:v>Does the current official catalog contain a research graduate program matching the applicant's topics?</x:v>
      </x:c>
      <x:c r="H449" s="17" t="str">
        <x:v>https://bloomington.iu.edu</x:v>
      </x:c>
      <x:c r="I449" s="17" t="str">
        <x:v>not_sampled</x:v>
      </x:c>
      <x:c r="J449" s="17" t="str">
        <x:v>not_sampled</x:v>
      </x:c>
    </x:row>
    <x:row r="450" ht="46" customHeight="1">
      <x:c r="A450" s="17" t="str">
        <x:v>us</x:v>
      </x:c>
      <x:c r="B450" s="17" t="str">
        <x:v>Indiana University-Bloomington</x:v>
      </x:c>
      <x:c r="C450" s="17" t="str">
        <x:v>IPEDS discovery signal: Informatics (CIP 11.0104)</x:v>
      </x:c>
      <x:c r="D450" s="17" t="str">
        <x:v>Unclear</x:v>
      </x:c>
      <x:c r="E450" s="17" t="str">
        <x:v>stage2_screened_out</x:v>
      </x:c>
      <x:c r="F450" s="17" t="str">
        <x:v>Duplicate mechanical discovery signal consolidated into one institution-level catalog review candidate.</x:v>
      </x:c>
      <x:c r="G450" s="17" t="str">
        <x:v>Does the current official catalog contain a research graduate program matching the applicant's topics?</x:v>
      </x:c>
      <x:c r="H450" s="17" t="str">
        <x:v>https://bloomington.iu.edu</x:v>
      </x:c>
      <x:c r="I450" s="17" t="str">
        <x:v>not_sampled</x:v>
      </x:c>
      <x:c r="J450" s="17" t="str">
        <x:v>not_sampled</x:v>
      </x:c>
    </x:row>
    <x:row r="451" ht="46" customHeight="1">
      <x:c r="A451" s="17" t="str">
        <x:v>us</x:v>
      </x:c>
      <x:c r="B451" s="17" t="str">
        <x:v>Indiana University-Indianapolis</x:v>
      </x:c>
      <x:c r="C451" s="17" t="str">
        <x:v>IPEDS discovery signal: Computer and Information Sciences, General (CIP 11.0101)</x:v>
      </x:c>
      <x:c r="D451" s="17" t="str">
        <x:v>Unclear</x:v>
      </x:c>
      <x:c r="E451" s="17" t="str">
        <x:v>stage2_screened_out</x:v>
      </x:c>
      <x:c r="F451" s="17" t="str">
        <x:v>Only one bounded registry/program-code signal was present; no independent topical, Calendar, current-faculty, or first-audit signal was recovered.</x:v>
      </x:c>
      <x:c r="G451" s="17" t="str">
        <x:v>Does the current official catalog contain a research graduate program matching the applicant's topics?</x:v>
      </x:c>
      <x:c r="H451" s="17" t="str">
        <x:v>https://indianapolis.iu.edu</x:v>
      </x:c>
      <x:c r="I451" s="17" t="str">
        <x:v>not_sampled</x:v>
      </x:c>
      <x:c r="J451" s="17" t="str">
        <x:v>not_sampled</x:v>
      </x:c>
    </x:row>
    <x:row r="452" ht="46" customHeight="1">
      <x:c r="A452" s="17" t="str">
        <x:v>us</x:v>
      </x:c>
      <x:c r="B452" s="17" t="str">
        <x:v>Indiana University-Indianapolis</x:v>
      </x:c>
      <x:c r="C452" s="17" t="str">
        <x:v>IPEDS discovery signal: Computer and Information Systems Security/Auditing/Information Assurance (CIP 11.1003)</x:v>
      </x:c>
      <x:c r="D452" s="17" t="str">
        <x:v>Unclear</x:v>
      </x:c>
      <x:c r="E452" s="17" t="str">
        <x:v>stage2_screened_out</x:v>
      </x:c>
      <x:c r="F452" s="17" t="str">
        <x:v>Only one bounded registry/program-code signal was present; no independent topical, Calendar, current-faculty, or first-audit signal was recovered.</x:v>
      </x:c>
      <x:c r="G452" s="17" t="str">
        <x:v>Does the current official catalog contain a research graduate program matching the applicant's topics?</x:v>
      </x:c>
      <x:c r="H452" s="17" t="str">
        <x:v>https://indianapolis.iu.edu</x:v>
      </x:c>
      <x:c r="I452" s="17" t="str">
        <x:v>not_sampled</x:v>
      </x:c>
      <x:c r="J452" s="17" t="str">
        <x:v>not_sampled</x:v>
      </x:c>
    </x:row>
    <x:row r="453" ht="46" customHeight="1">
      <x:c r="A453" s="17" t="str">
        <x:v>us</x:v>
      </x:c>
      <x:c r="B453" s="17" t="str">
        <x:v>Indiana University-Indianapolis</x:v>
      </x:c>
      <x:c r="C453" s="17" t="str">
        <x:v>IPEDS discovery signal: Computer Science (CIP 11.0701)</x:v>
      </x:c>
      <x:c r="D453" s="17" t="str">
        <x:v>Unclear</x:v>
      </x:c>
      <x:c r="E453" s="17" t="str">
        <x:v>stage2_screened_out</x:v>
      </x:c>
      <x:c r="F453" s="17" t="str">
        <x:v>Only one bounded registry/program-code signal was present; no independent topical, Calendar, current-faculty, or first-audit signal was recovered.</x:v>
      </x:c>
      <x:c r="G453" s="17" t="str">
        <x:v>Does the current official catalog contain a research graduate program matching the applicant's topics?</x:v>
      </x:c>
      <x:c r="H453" s="17" t="str">
        <x:v>https://indianapolis.iu.edu</x:v>
      </x:c>
      <x:c r="I453" s="17" t="str">
        <x:v>not_sampled</x:v>
      </x:c>
      <x:c r="J453" s="17" t="str">
        <x:v>not_sampled</x:v>
      </x:c>
    </x:row>
    <x:row r="454" ht="46" customHeight="1">
      <x:c r="A454" s="17" t="str">
        <x:v>us</x:v>
      </x:c>
      <x:c r="B454" s="17" t="str">
        <x:v>Indiana University-Indianapolis</x:v>
      </x:c>
      <x:c r="C454" s="17" t="str">
        <x:v>IPEDS discovery signal: Electrical and Electronics Engineering (CIP 14.1001)</x:v>
      </x:c>
      <x:c r="D454" s="17" t="str">
        <x:v>Unclear</x:v>
      </x:c>
      <x:c r="E454" s="17" t="str">
        <x:v>stage2_screened_out</x:v>
      </x:c>
      <x:c r="F454" s="17" t="str">
        <x:v>Only one bounded registry/program-code signal was present; no independent topical, Calendar, current-faculty, or first-audit signal was recovered.</x:v>
      </x:c>
      <x:c r="G454" s="17" t="str">
        <x:v>Does the current official catalog contain a research graduate program matching the applicant's topics?</x:v>
      </x:c>
      <x:c r="H454" s="17" t="str">
        <x:v>https://indianapolis.iu.edu</x:v>
      </x:c>
      <x:c r="I454" s="17" t="str">
        <x:v>not_sampled</x:v>
      </x:c>
      <x:c r="J454" s="17" t="str">
        <x:v>not_sampled</x:v>
      </x:c>
    </x:row>
    <x:row r="455" ht="46" customHeight="1">
      <x:c r="A455" s="17" t="str">
        <x:v>us</x:v>
      </x:c>
      <x:c r="B455" s="17" t="str">
        <x:v>Indiana University-Indianapolis</x:v>
      </x:c>
      <x:c r="C455" s="17" t="str">
        <x:v>IPEDS discovery signal: Informatics (CIP 11.0104)</x:v>
      </x:c>
      <x:c r="D455" s="17" t="str">
        <x:v>Unclear</x:v>
      </x:c>
      <x:c r="E455" s="17" t="str">
        <x:v>stage2_screened_out</x:v>
      </x:c>
      <x:c r="F455" s="17" t="str">
        <x:v>Only one bounded registry/program-code signal was present; no independent topical, Calendar, current-faculty, or first-audit signal was recovered.</x:v>
      </x:c>
      <x:c r="G455" s="17" t="str">
        <x:v>Does the current official catalog contain a research graduate program matching the applicant's topics?</x:v>
      </x:c>
      <x:c r="H455" s="17" t="str">
        <x:v>https://indianapolis.iu.edu</x:v>
      </x:c>
      <x:c r="I455" s="17" t="str">
        <x:v>not_sampled</x:v>
      </x:c>
      <x:c r="J455" s="17" t="str">
        <x:v>not_sampled</x:v>
      </x:c>
    </x:row>
    <x:row r="456" ht="46" customHeight="1">
      <x:c r="A456" s="17" t="str">
        <x:v>us</x:v>
      </x:c>
      <x:c r="B456" s="17" t="str">
        <x:v>Indiana University-Northwest</x:v>
      </x:c>
      <x:c r="C456" s="17" t="str">
        <x:v>IPEDS discovery signal: Computer and Information Sciences, General (CIP 11.0101)</x:v>
      </x:c>
      <x:c r="D456" s="17" t="str">
        <x:v>Unclear</x:v>
      </x:c>
      <x:c r="E456" s="17" t="str">
        <x:v>stage2_screened_out</x:v>
      </x:c>
      <x:c r="F456" s="17" t="str">
        <x:v>Only one bounded registry/program-code signal was present; no independent topical, Calendar, current-faculty, or first-audit signal was recovered.</x:v>
      </x:c>
      <x:c r="G456" s="17" t="str">
        <x:v>Does the current official catalog contain a research graduate program matching the applicant's topics?</x:v>
      </x:c>
      <x:c r="H456" s="17" t="str">
        <x:v>https://northwest.iu.edu</x:v>
      </x:c>
      <x:c r="I456" s="17" t="str">
        <x:v>not_sampled</x:v>
      </x:c>
      <x:c r="J456" s="17" t="str">
        <x:v>not_sampled</x:v>
      </x:c>
    </x:row>
    <x:row r="457" ht="46" customHeight="1">
      <x:c r="A457" s="17" t="str">
        <x:v>us</x:v>
      </x:c>
      <x:c r="B457" s="17" t="str">
        <x:v>Inter American University of Puerto Rico-Fajardo</x:v>
      </x:c>
      <x:c r="C457" s="17" t="str">
        <x:v>IPEDS discovery signal: Computer Science (CIP 11.0701)</x:v>
      </x:c>
      <x:c r="D457" s="17" t="str">
        <x:v>Unclear</x:v>
      </x:c>
      <x:c r="E457" s="17" t="str">
        <x:v>stage2_screened_out</x:v>
      </x:c>
      <x:c r="F457" s="17" t="str">
        <x:v>Only one bounded registry/program-code signal was present; no independent topical, Calendar, current-faculty, or first-audit signal was recovered.</x:v>
      </x:c>
      <x:c r="G457" s="17" t="str">
        <x:v>Does the current official catalog contain a research graduate program matching the applicant's topics?</x:v>
      </x:c>
      <x:c r="H457" s="17" t="str">
        <x:v>https://www.fajardo.inter.edu</x:v>
      </x:c>
      <x:c r="I457" s="17" t="str">
        <x:v>not_sampled</x:v>
      </x:c>
      <x:c r="J457" s="17" t="str">
        <x:v>not_sampled</x:v>
      </x:c>
    </x:row>
    <x:row r="458" ht="46" customHeight="1">
      <x:c r="A458" s="17" t="str">
        <x:v>us</x:v>
      </x:c>
      <x:c r="B458" s="17" t="str">
        <x:v>Inter American University of Puerto Rico-Guayama</x:v>
      </x:c>
      <x:c r="C458" s="17" t="str">
        <x:v>IPEDS discovery signal: Computer Systems Networking and Telecommunications (CIP 11.0901)</x:v>
      </x:c>
      <x:c r="D458" s="17" t="str">
        <x:v>Unclear</x:v>
      </x:c>
      <x:c r="E458" s="17" t="str">
        <x:v>stage2_screened_out</x:v>
      </x:c>
      <x:c r="F458" s="17" t="str">
        <x:v>Only one bounded registry/program-code signal was present; no independent topical, Calendar, current-faculty, or first-audit signal was recovered.</x:v>
      </x:c>
      <x:c r="G458" s="17" t="str">
        <x:v>Does the current official catalog contain a research graduate program matching the applicant's topics?</x:v>
      </x:c>
      <x:c r="H458" s="17" t="str">
        <x:v>https://www.guayama.inter.edu</x:v>
      </x:c>
      <x:c r="I458" s="17" t="str">
        <x:v>not_sampled</x:v>
      </x:c>
      <x:c r="J458" s="17" t="str">
        <x:v>not_sampled</x:v>
      </x:c>
    </x:row>
    <x:row r="459" ht="46" customHeight="1">
      <x:c r="A459" s="17" t="str">
        <x:v>us</x:v>
      </x:c>
      <x:c r="B459" s="17" t="str">
        <x:v>Inter American University of Puerto Rico-Metro</x:v>
      </x:c>
      <x:c r="C459" s="17" t="str">
        <x:v>IPEDS discovery signal: Computer and Information Systems Security/Auditing/Information Assurance (CIP 11.1003)</x:v>
      </x:c>
      <x:c r="D459" s="17" t="str">
        <x:v>Unclear</x:v>
      </x:c>
      <x:c r="E459" s="17" t="str">
        <x:v>stage2_screened_out</x:v>
      </x:c>
      <x:c r="F459" s="17" t="str">
        <x:v>Only one bounded registry/program-code signal was present; no independent topical, Calendar, current-faculty, or first-audit signal was recovered.</x:v>
      </x:c>
      <x:c r="G459" s="17" t="str">
        <x:v>Does the current official catalog contain a research graduate program matching the applicant's topics?</x:v>
      </x:c>
      <x:c r="H459" s="17" t="str">
        <x:v>https://metro.inter.edu</x:v>
      </x:c>
      <x:c r="I459" s="17" t="str">
        <x:v>not_sampled</x:v>
      </x:c>
      <x:c r="J459" s="17" t="str">
        <x:v>not_sampled</x:v>
      </x:c>
    </x:row>
    <x:row r="460" ht="46" customHeight="1">
      <x:c r="A460" s="17" t="str">
        <x:v>us</x:v>
      </x:c>
      <x:c r="B460" s="17" t="str">
        <x:v>Iona University</x:v>
      </x:c>
      <x:c r="C460" s="17" t="str">
        <x:v>IPEDS discovery signal: Computer Science (CIP 11.0701)</x:v>
      </x:c>
      <x:c r="D460" s="17" t="str">
        <x:v>Unclear</x:v>
      </x:c>
      <x:c r="E460" s="17" t="str">
        <x:v>stage2_screened_out</x:v>
      </x:c>
      <x:c r="F460" s="17" t="str">
        <x:v>Only one bounded registry/program-code signal was present; no independent topical, Calendar, current-faculty, or first-audit signal was recovered.</x:v>
      </x:c>
      <x:c r="G460" s="17" t="str">
        <x:v>Does the current official catalog contain a research graduate program matching the applicant's topics?</x:v>
      </x:c>
      <x:c r="H460" s="17" t="str">
        <x:v>https://www.iona.edu</x:v>
      </x:c>
      <x:c r="I460" s="17" t="str">
        <x:v>not_sampled</x:v>
      </x:c>
      <x:c r="J460" s="17" t="str">
        <x:v>not_sampled</x:v>
      </x:c>
    </x:row>
    <x:row r="461" ht="46" customHeight="1">
      <x:c r="A461" s="17" t="str">
        <x:v>us</x:v>
      </x:c>
      <x:c r="B461" s="17" t="str">
        <x:v>Iowa State University</x:v>
      </x:c>
      <x:c r="C461" s="17" t="str">
        <x:v>IPEDS discovery signal: Artificial Intelligence (CIP 11.0102)</x:v>
      </x:c>
      <x:c r="D461" s="17" t="str">
        <x:v>Unclear</x:v>
      </x:c>
      <x:c r="E461" s="17" t="str">
        <x:v>stage2_screened_out</x:v>
      </x:c>
      <x:c r="F461" s="17" t="str">
        <x:v>Mechanical discovery placeholder is superseded by an exact official program record at the same institution.</x:v>
      </x:c>
      <x:c r="G461" s="17" t="str">
        <x:v>Does the current official catalog contain a research graduate program matching the applicant's topics?</x:v>
      </x:c>
      <x:c r="H461" s="17" t="str">
        <x:v>https://www.iastate.edu</x:v>
      </x:c>
      <x:c r="I461" s="17" t="str">
        <x:v>not_sampled</x:v>
      </x:c>
      <x:c r="J461" s="17" t="str">
        <x:v>not_sampled</x:v>
      </x:c>
    </x:row>
    <x:row r="462" ht="46" customHeight="1">
      <x:c r="A462" s="17" t="str">
        <x:v>us</x:v>
      </x:c>
      <x:c r="B462" s="17" t="str">
        <x:v>Iowa State University</x:v>
      </x:c>
      <x:c r="C462" s="17" t="str">
        <x:v>IPEDS discovery signal: Computer and Information Systems Security/Auditing/Information Assurance (CIP 11.1003)</x:v>
      </x:c>
      <x:c r="D462" s="17" t="str">
        <x:v>Unclear</x:v>
      </x:c>
      <x:c r="E462" s="17" t="str">
        <x:v>stage2_screened_out</x:v>
      </x:c>
      <x:c r="F462" s="17" t="str">
        <x:v>Mechanical discovery placeholder is superseded by an exact official program record at the same institution.</x:v>
      </x:c>
      <x:c r="G462" s="17" t="str">
        <x:v>Does the current official catalog contain a research graduate program matching the applicant's topics?</x:v>
      </x:c>
      <x:c r="H462" s="17" t="str">
        <x:v>https://www.iastate.edu</x:v>
      </x:c>
      <x:c r="I462" s="17" t="str">
        <x:v>not_sampled</x:v>
      </x:c>
      <x:c r="J462" s="17" t="str">
        <x:v>not_sampled</x:v>
      </x:c>
    </x:row>
    <x:row r="463" ht="46" customHeight="1">
      <x:c r="A463" s="17" t="str">
        <x:v>us</x:v>
      </x:c>
      <x:c r="B463" s="17" t="str">
        <x:v>Iowa State University</x:v>
      </x:c>
      <x:c r="C463" s="17" t="str">
        <x:v>IPEDS discovery signal: Computer Engineering, General (CIP 14.0901)</x:v>
      </x:c>
      <x:c r="D463" s="17" t="str">
        <x:v>Unclear</x:v>
      </x:c>
      <x:c r="E463" s="17" t="str">
        <x:v>stage2_screened_out</x:v>
      </x:c>
      <x:c r="F463" s="17" t="str">
        <x:v>Mechanical discovery placeholder is superseded by an exact official program record at the same institution.</x:v>
      </x:c>
      <x:c r="G463" s="17" t="str">
        <x:v>Does the current official catalog contain a research graduate program matching the applicant's topics?</x:v>
      </x:c>
      <x:c r="H463" s="17" t="str">
        <x:v>https://www.iastate.edu</x:v>
      </x:c>
      <x:c r="I463" s="17" t="str">
        <x:v>not_sampled</x:v>
      </x:c>
      <x:c r="J463" s="17" t="str">
        <x:v>not_sampled</x:v>
      </x:c>
    </x:row>
    <x:row r="464" ht="46" customHeight="1">
      <x:c r="A464" s="17" t="str">
        <x:v>us</x:v>
      </x:c>
      <x:c r="B464" s="17" t="str">
        <x:v>Iowa State University</x:v>
      </x:c>
      <x:c r="C464" s="17" t="str">
        <x:v>IPEDS discovery signal: Computer Science (CIP 11.0701)</x:v>
      </x:c>
      <x:c r="D464" s="17" t="str">
        <x:v>Unclear</x:v>
      </x:c>
      <x:c r="E464" s="17" t="str">
        <x:v>stage2_screened_out</x:v>
      </x:c>
      <x:c r="F464" s="17" t="str">
        <x:v>Mechanical discovery placeholder is superseded by an exact official program record at the same institution.</x:v>
      </x:c>
      <x:c r="G464" s="17" t="str">
        <x:v>Does the current official catalog contain a research graduate program matching the applicant's topics?</x:v>
      </x:c>
      <x:c r="H464" s="17" t="str">
        <x:v>https://www.iastate.edu</x:v>
      </x:c>
      <x:c r="I464" s="17" t="str">
        <x:v>not_sampled</x:v>
      </x:c>
      <x:c r="J464" s="17" t="str">
        <x:v>not_sampled</x:v>
      </x:c>
    </x:row>
    <x:row r="465" ht="46" customHeight="1">
      <x:c r="A465" s="17" t="str">
        <x:v>us</x:v>
      </x:c>
      <x:c r="B465" s="17" t="str">
        <x:v>Iowa State University</x:v>
      </x:c>
      <x:c r="C465" s="17" t="str">
        <x:v>IPEDS discovery signal: Information Technology (CIP 11.0103)</x:v>
      </x:c>
      <x:c r="D465" s="17" t="str">
        <x:v>Unclear</x:v>
      </x:c>
      <x:c r="E465" s="17" t="str">
        <x:v>stage2_screened_out</x:v>
      </x:c>
      <x:c r="F465" s="17" t="str">
        <x:v>Mechanical discovery placeholder is superseded by an exact official program record at the same institution.</x:v>
      </x:c>
      <x:c r="G465" s="17" t="str">
        <x:v>Does the current official catalog contain a research graduate program matching the applicant's topics?</x:v>
      </x:c>
      <x:c r="H465" s="17" t="str">
        <x:v>https://www.iastate.edu</x:v>
      </x:c>
      <x:c r="I465" s="17" t="str">
        <x:v>not_sampled</x:v>
      </x:c>
      <x:c r="J465" s="17" t="str">
        <x:v>not_sampled</x:v>
      </x:c>
    </x:row>
    <x:row r="466" ht="46" customHeight="1">
      <x:c r="A466" s="17" t="str">
        <x:v>us</x:v>
      </x:c>
      <x:c r="B466" s="17" t="str">
        <x:v>Jackson State University</x:v>
      </x:c>
      <x:c r="C466" s="17" t="str">
        <x:v>IPEDS discovery signal: Computer and Information Sciences, General (CIP 11.0101)</x:v>
      </x:c>
      <x:c r="D466" s="17" t="str">
        <x:v>Unclear</x:v>
      </x:c>
      <x:c r="E466" s="17" t="str">
        <x:v>stage2_screened_out</x:v>
      </x:c>
      <x:c r="F466" s="17" t="str">
        <x:v>Only one bounded registry/program-code signal was present; no independent topical, Calendar, current-faculty, or first-audit signal was recovered.</x:v>
      </x:c>
      <x:c r="G466" s="17" t="str">
        <x:v>Does the current official catalog contain a research graduate program matching the applicant's topics?</x:v>
      </x:c>
      <x:c r="H466" s="17" t="str">
        <x:v>https://www.jsums.edu</x:v>
      </x:c>
      <x:c r="I466" s="17" t="str">
        <x:v>not_sampled</x:v>
      </x:c>
      <x:c r="J466" s="17" t="str">
        <x:v>not_sampled</x:v>
      </x:c>
    </x:row>
    <x:row r="467" ht="46" customHeight="1">
      <x:c r="A467" s="17" t="str">
        <x:v>us</x:v>
      </x:c>
      <x:c r="B467" s="17" t="str">
        <x:v>Jackson State University</x:v>
      </x:c>
      <x:c r="C467" s="17" t="str">
        <x:v>IPEDS discovery signal: Computer Science (CIP 11.0701)</x:v>
      </x:c>
      <x:c r="D467" s="17" t="str">
        <x:v>Unclear</x:v>
      </x:c>
      <x:c r="E467" s="17" t="str">
        <x:v>stage2_screened_out</x:v>
      </x:c>
      <x:c r="F467" s="17" t="str">
        <x:v>Only one bounded registry/program-code signal was present; no independent topical, Calendar, current-faculty, or first-audit signal was recovered.</x:v>
      </x:c>
      <x:c r="G467" s="17" t="str">
        <x:v>Does the current official catalog contain a research graduate program matching the applicant's topics?</x:v>
      </x:c>
      <x:c r="H467" s="17" t="str">
        <x:v>https://www.jsums.edu</x:v>
      </x:c>
      <x:c r="I467" s="17" t="str">
        <x:v>not_sampled</x:v>
      </x:c>
      <x:c r="J467" s="17" t="str">
        <x:v>not_sampled</x:v>
      </x:c>
    </x:row>
    <x:row r="468" ht="46" customHeight="1">
      <x:c r="A468" s="17" t="str">
        <x:v>us</x:v>
      </x:c>
      <x:c r="B468" s="17" t="str">
        <x:v>Jacksonville State University</x:v>
      </x:c>
      <x:c r="C468" s="17" t="str">
        <x:v>IPEDS discovery signal: Computer and Information Sciences, General (CIP 11.0101)</x:v>
      </x:c>
      <x:c r="D468" s="17" t="str">
        <x:v>Unclear</x:v>
      </x:c>
      <x:c r="E468" s="17" t="str">
        <x:v>stage2_screened_out</x:v>
      </x:c>
      <x:c r="F468" s="17" t="str">
        <x:v>Only one bounded registry/program-code signal was present; no independent topical, Calendar, current-faculty, or first-audit signal was recovered.</x:v>
      </x:c>
      <x:c r="G468" s="17" t="str">
        <x:v>Does the current official catalog contain a research graduate program matching the applicant's topics?</x:v>
      </x:c>
      <x:c r="H468" s="17" t="str">
        <x:v>https://www.jsu.edu</x:v>
      </x:c>
      <x:c r="I468" s="17" t="str">
        <x:v>not_sampled</x:v>
      </x:c>
      <x:c r="J468" s="17" t="str">
        <x:v>not_sampled</x:v>
      </x:c>
    </x:row>
    <x:row r="469" ht="46" customHeight="1">
      <x:c r="A469" s="17" t="str">
        <x:v>us</x:v>
      </x:c>
      <x:c r="B469" s="17" t="str">
        <x:v>James Madison University</x:v>
      </x:c>
      <x:c r="C469" s="17" t="str">
        <x:v>IPEDS discovery signal: Computer and Information Sciences, General (CIP 11.0101)</x:v>
      </x:c>
      <x:c r="D469" s="17" t="str">
        <x:v>Unclear</x:v>
      </x:c>
      <x:c r="E469" s="17" t="str">
        <x:v>stage2_screened_out</x:v>
      </x:c>
      <x:c r="F469" s="17" t="str">
        <x:v>Only one bounded registry/program-code signal was present; no independent topical, Calendar, current-faculty, or first-audit signal was recovered.</x:v>
      </x:c>
      <x:c r="G469" s="17" t="str">
        <x:v>Does the current official catalog contain a research graduate program matching the applicant's topics?</x:v>
      </x:c>
      <x:c r="H469" s="17" t="str">
        <x:v>https://www.jmu.edu/index.shtml</x:v>
      </x:c>
      <x:c r="I469" s="17" t="str">
        <x:v>not_sampled</x:v>
      </x:c>
      <x:c r="J469" s="17" t="str">
        <x:v>not_sampled</x:v>
      </x:c>
    </x:row>
    <x:row r="470" ht="46" customHeight="1">
      <x:c r="A470" s="17" t="str">
        <x:v>us</x:v>
      </x:c>
      <x:c r="B470" s="17" t="str">
        <x:v>John Brown University</x:v>
      </x:c>
      <x:c r="C470" s="17" t="str">
        <x:v>IPEDS discovery signal: Computer and Information Systems Security/Auditing/Information Assurance (CIP 11.1003)</x:v>
      </x:c>
      <x:c r="D470" s="17" t="str">
        <x:v>Unclear</x:v>
      </x:c>
      <x:c r="E470" s="17" t="str">
        <x:v>stage2_screened_out</x:v>
      </x:c>
      <x:c r="F470" s="17" t="str">
        <x:v>Only one bounded registry/program-code signal was present; no independent topical, Calendar, current-faculty, or first-audit signal was recovered.</x:v>
      </x:c>
      <x:c r="G470" s="17" t="str">
        <x:v>Does the current official catalog contain a research graduate program matching the applicant's topics?</x:v>
      </x:c>
      <x:c r="H470" s="17" t="str">
        <x:v>https://www.jbu.edu</x:v>
      </x:c>
      <x:c r="I470" s="17" t="str">
        <x:v>not_sampled</x:v>
      </x:c>
      <x:c r="J470" s="17" t="str">
        <x:v>not_sampled</x:v>
      </x:c>
    </x:row>
    <x:row r="471" ht="46" customHeight="1">
      <x:c r="A471" s="17" t="str">
        <x:v>us</x:v>
      </x:c>
      <x:c r="B471" s="17" t="str">
        <x:v>Johns Hopkins University</x:v>
      </x:c>
      <x:c r="C471" s="17" t="str">
        <x:v>IPEDS discovery signal: Computer and Information Sciences, General (CIP 11.0101)</x:v>
      </x:c>
      <x:c r="D471" s="17" t="str">
        <x:v>Unclear</x:v>
      </x:c>
      <x:c r="E471" s="17" t="str">
        <x:v>stage2_screened_out</x:v>
      </x:c>
      <x:c r="F471" s="17" t="str">
        <x:v>Duplicate mechanical discovery signal consolidated into one institution-level catalog review candidate.</x:v>
      </x:c>
      <x:c r="G471" s="17" t="str">
        <x:v>Does the current official catalog contain a research graduate program matching the applicant's topics?</x:v>
      </x:c>
      <x:c r="H471" s="17" t="str">
        <x:v>https://www.jhu.edu</x:v>
      </x:c>
      <x:c r="I471" s="17" t="str">
        <x:v>not_sampled</x:v>
      </x:c>
      <x:c r="J471" s="17" t="str">
        <x:v>not_sampled</x:v>
      </x:c>
    </x:row>
    <x:row r="472" ht="46" customHeight="1">
      <x:c r="A472" s="17" t="str">
        <x:v>us</x:v>
      </x:c>
      <x:c r="B472" s="17" t="str">
        <x:v>Johns Hopkins University</x:v>
      </x:c>
      <x:c r="C472" s="17" t="str">
        <x:v>IPEDS discovery signal: Computer and Information Systems Security/Auditing/Information Assurance (CIP 11.1003)</x:v>
      </x:c>
      <x:c r="D472" s="17" t="str">
        <x:v>Unclear</x:v>
      </x:c>
      <x:c r="E472" s="17" t="str">
        <x:v>stage2_screened_out</x:v>
      </x:c>
      <x:c r="F472" s="17" t="str">
        <x:v>Duplicate mechanical discovery signal consolidated into one institution-level catalog review candidate.</x:v>
      </x:c>
      <x:c r="G472" s="17" t="str">
        <x:v>Does the current official catalog contain a research graduate program matching the applicant's topics?</x:v>
      </x:c>
      <x:c r="H472" s="17" t="str">
        <x:v>https://www.jhu.edu</x:v>
      </x:c>
      <x:c r="I472" s="17" t="str">
        <x:v>not_sampled</x:v>
      </x:c>
      <x:c r="J472" s="17" t="str">
        <x:v>not_sampled</x:v>
      </x:c>
    </x:row>
    <x:row r="473" ht="46" customHeight="1">
      <x:c r="A473" s="17" t="str">
        <x:v>us</x:v>
      </x:c>
      <x:c r="B473" s="17" t="str">
        <x:v>Johns Hopkins University</x:v>
      </x:c>
      <x:c r="C473" s="17" t="str">
        <x:v>IPEDS discovery signal: Computer Systems Networking and Telecommunications (CIP 11.0901)</x:v>
      </x:c>
      <x:c r="D473" s="17" t="str">
        <x:v>Unclear</x:v>
      </x:c>
      <x:c r="E473" s="17" t="str">
        <x:v>stage2_screened_out</x:v>
      </x:c>
      <x:c r="F473" s="17" t="str">
        <x:v>Duplicate mechanical discovery signal consolidated into one institution-level catalog review candidate.</x:v>
      </x:c>
      <x:c r="G473" s="17" t="str">
        <x:v>Does the current official catalog contain a research graduate program matching the applicant's topics?</x:v>
      </x:c>
      <x:c r="H473" s="17" t="str">
        <x:v>https://www.jhu.edu</x:v>
      </x:c>
      <x:c r="I473" s="17" t="str">
        <x:v>not_sampled</x:v>
      </x:c>
      <x:c r="J473" s="17" t="str">
        <x:v>not_sampled</x:v>
      </x:c>
    </x:row>
    <x:row r="474" ht="46" customHeight="1">
      <x:c r="A474" s="17" t="str">
        <x:v>us</x:v>
      </x:c>
      <x:c r="B474" s="17" t="str">
        <x:v>Johns Hopkins University</x:v>
      </x:c>
      <x:c r="C474" s="17" t="str">
        <x:v>IPEDS discovery signal: Electrical and Electronics Engineering (CIP 14.1001)</x:v>
      </x:c>
      <x:c r="D474" s="17" t="str">
        <x:v>Unclear</x:v>
      </x:c>
      <x:c r="E474" s="17" t="str">
        <x:v>stage2_screened_out</x:v>
      </x:c>
      <x:c r="F474" s="17" t="str">
        <x:v>Duplicate mechanical discovery signal consolidated into one institution-level catalog review candidate.</x:v>
      </x:c>
      <x:c r="G474" s="17" t="str">
        <x:v>Does the current official catalog contain a research graduate program matching the applicant's topics?</x:v>
      </x:c>
      <x:c r="H474" s="17" t="str">
        <x:v>https://www.jhu.edu</x:v>
      </x:c>
      <x:c r="I474" s="17" t="str">
        <x:v>not_sampled</x:v>
      </x:c>
      <x:c r="J474" s="17" t="str">
        <x:v>not_sampled</x:v>
      </x:c>
    </x:row>
    <x:row r="475" ht="46" customHeight="1">
      <x:c r="A475" s="17" t="str">
        <x:v>us</x:v>
      </x:c>
      <x:c r="B475" s="17" t="str">
        <x:v>Johns Hopkins University</x:v>
      </x:c>
      <x:c r="C475" s="17" t="str">
        <x:v>IPEDS discovery signal: Information Science/Studies (CIP 11.0401)</x:v>
      </x:c>
      <x:c r="D475" s="17" t="str">
        <x:v>Unclear</x:v>
      </x:c>
      <x:c r="E475" s="17" t="str">
        <x:v>stage2_screened_out</x:v>
      </x:c>
      <x:c r="F475" s="17" t="str">
        <x:v>Duplicate mechanical discovery signal consolidated into one institution-level catalog review candidate.</x:v>
      </x:c>
      <x:c r="G475" s="17" t="str">
        <x:v>Does the current official catalog contain a research graduate program matching the applicant's topics?</x:v>
      </x:c>
      <x:c r="H475" s="17" t="str">
        <x:v>https://www.jhu.edu</x:v>
      </x:c>
      <x:c r="I475" s="17" t="str">
        <x:v>not_sampled</x:v>
      </x:c>
      <x:c r="J475" s="17" t="str">
        <x:v>not_sampled</x:v>
      </x:c>
    </x:row>
    <x:row r="476" ht="46" customHeight="1">
      <x:c r="A476" s="17" t="str">
        <x:v>us</x:v>
      </x:c>
      <x:c r="B476" s="17" t="str">
        <x:v>Johns Hopkins University</x:v>
      </x:c>
      <x:c r="C476" s="17" t="str">
        <x:v>IPEDS discovery signal: Mechatronics, Robotics, and Automation Engineering (CIP 14.4201)</x:v>
      </x:c>
      <x:c r="D476" s="17" t="str">
        <x:v>Unclear</x:v>
      </x:c>
      <x:c r="E476" s="17" t="str">
        <x:v>stage2_screened_out</x:v>
      </x:c>
      <x:c r="F476" s="17" t="str">
        <x:v>Duplicate mechanical discovery signal consolidated into one institution-level catalog review candidate.</x:v>
      </x:c>
      <x:c r="G476" s="17" t="str">
        <x:v>Does the current official catalog contain a research graduate program matching the applicant's topics?</x:v>
      </x:c>
      <x:c r="H476" s="17" t="str">
        <x:v>https://www.jhu.edu</x:v>
      </x:c>
      <x:c r="I476" s="17" t="str">
        <x:v>not_sampled</x:v>
      </x:c>
      <x:c r="J476" s="17" t="str">
        <x:v>not_sampled</x:v>
      </x:c>
    </x:row>
    <x:row r="477" ht="46" customHeight="1">
      <x:c r="A477" s="17" t="str">
        <x:v>us</x:v>
      </x:c>
      <x:c r="B477" s="17" t="str">
        <x:v>Johnson &amp; Wales University-Providence</x:v>
      </x:c>
      <x:c r="C477" s="17" t="str">
        <x:v>IPEDS discovery signal: Computer and Information Systems Security/Auditing/Information Assurance (CIP 11.1003)</x:v>
      </x:c>
      <x:c r="D477" s="17" t="str">
        <x:v>Unclear</x:v>
      </x:c>
      <x:c r="E477" s="17" t="str">
        <x:v>stage2_screened_out</x:v>
      </x:c>
      <x:c r="F477" s="17" t="str">
        <x:v>Only one bounded registry/program-code signal was present; no independent topical, Calendar, current-faculty, or first-audit signal was recovered.</x:v>
      </x:c>
      <x:c r="G477" s="17" t="str">
        <x:v>Does the current official catalog contain a research graduate program matching the applicant's topics?</x:v>
      </x:c>
      <x:c r="H477" s="17" t="str">
        <x:v>https://www.jwu.edu/campuses/providence</x:v>
      </x:c>
      <x:c r="I477" s="17" t="str">
        <x:v>not_sampled</x:v>
      </x:c>
      <x:c r="J477" s="17" t="str">
        <x:v>not_sampled</x:v>
      </x:c>
    </x:row>
    <x:row r="478" ht="46" customHeight="1">
      <x:c r="A478" s="17" t="str">
        <x:v>us</x:v>
      </x:c>
      <x:c r="B478" s="17" t="str">
        <x:v>Juniata College</x:v>
      </x:c>
      <x:c r="C478" s="17" t="str">
        <x:v>IPEDS discovery signal: Data Science, General (CIP 30.7001)</x:v>
      </x:c>
      <x:c r="D478" s="17" t="str">
        <x:v>Unclear</x:v>
      </x:c>
      <x:c r="E478" s="17" t="str">
        <x:v>stage2_screened_out</x:v>
      </x:c>
      <x:c r="F478" s="17" t="str">
        <x:v>Only one bounded registry/program-code signal was present; no independent topical, Calendar, current-faculty, or first-audit signal was recovered.</x:v>
      </x:c>
      <x:c r="G478" s="17" t="str">
        <x:v>Does the current official catalog contain a research graduate program matching the applicant's topics?</x:v>
      </x:c>
      <x:c r="H478" s="17" t="str">
        <x:v>https://www.juniata.edu</x:v>
      </x:c>
      <x:c r="I478" s="17" t="str">
        <x:v>not_sampled</x:v>
      </x:c>
      <x:c r="J478" s="17" t="str">
        <x:v>not_sampled</x:v>
      </x:c>
    </x:row>
    <x:row r="479" ht="46" customHeight="1">
      <x:c r="A479" s="17" t="str">
        <x:v>us</x:v>
      </x:c>
      <x:c r="B479" s="17" t="str">
        <x:v>Kansas State University</x:v>
      </x:c>
      <x:c r="C479" s="17" t="str">
        <x:v>IPEDS discovery signal: Electrical and Electronics Engineering (CIP 14.1001)</x:v>
      </x:c>
      <x:c r="D479" s="17" t="str">
        <x:v>Unclear</x:v>
      </x:c>
      <x:c r="E479" s="17" t="str">
        <x:v>stage2_screened_out</x:v>
      </x:c>
      <x:c r="F479" s="17" t="str">
        <x:v>Duplicate mechanical discovery signal consolidated into one institution-level catalog review candidate.</x:v>
      </x:c>
      <x:c r="G479" s="17" t="str">
        <x:v>Does the current official catalog contain a research graduate program matching the applicant's topics?</x:v>
      </x:c>
      <x:c r="H479" s="17" t="str">
        <x:v>https://www.k-state.edu</x:v>
      </x:c>
      <x:c r="I479" s="17" t="str">
        <x:v>not_sampled</x:v>
      </x:c>
      <x:c r="J479" s="17" t="str">
        <x:v>not_sampled</x:v>
      </x:c>
    </x:row>
    <x:row r="480" ht="46" customHeight="1">
      <x:c r="A480" s="17" t="str">
        <x:v>us</x:v>
      </x:c>
      <x:c r="B480" s="17" t="str">
        <x:v>Kean University</x:v>
      </x:c>
      <x:c r="C480" s="17" t="str">
        <x:v>IPEDS discovery signal: Computer and Information Sciences, General (CIP 11.0101)</x:v>
      </x:c>
      <x:c r="D480" s="17" t="str">
        <x:v>Unclear</x:v>
      </x:c>
      <x:c r="E480" s="17" t="str">
        <x:v>stage2_screened_out</x:v>
      </x:c>
      <x:c r="F480" s="17" t="str">
        <x:v>Only one bounded registry/program-code signal was present; no independent topical, Calendar, current-faculty, or first-audit signal was recovered.</x:v>
      </x:c>
      <x:c r="G480" s="17" t="str">
        <x:v>Does the current official catalog contain a research graduate program matching the applicant's topics?</x:v>
      </x:c>
      <x:c r="H480" s="17" t="str">
        <x:v>https://www.kean.edu</x:v>
      </x:c>
      <x:c r="I480" s="17" t="str">
        <x:v>not_sampled</x:v>
      </x:c>
      <x:c r="J480" s="17" t="str">
        <x:v>not_sampled</x:v>
      </x:c>
    </x:row>
    <x:row r="481" ht="46" customHeight="1">
      <x:c r="A481" s="17" t="str">
        <x:v>us</x:v>
      </x:c>
      <x:c r="B481" s="17" t="str">
        <x:v>Keiser University-Ft Lauderdale</x:v>
      </x:c>
      <x:c r="C481" s="17" t="str">
        <x:v>IPEDS discovery signal: Computer and Information Systems Security/Auditing/Information Assurance (CIP 11.1003)</x:v>
      </x:c>
      <x:c r="D481" s="17" t="str">
        <x:v>Unclear</x:v>
      </x:c>
      <x:c r="E481" s="17" t="str">
        <x:v>stage2_screened_out</x:v>
      </x:c>
      <x:c r="F481" s="17" t="str">
        <x:v>Only one bounded registry/program-code signal was present; no independent topical, Calendar, current-faculty, or first-audit signal was recovered.</x:v>
      </x:c>
      <x:c r="G481" s="17" t="str">
        <x:v>Does the current official catalog contain a research graduate program matching the applicant's topics?</x:v>
      </x:c>
      <x:c r="H481" s="17" t="str">
        <x:v>https://www.keiseruniversity.edu</x:v>
      </x:c>
      <x:c r="I481" s="17" t="str">
        <x:v>not_sampled</x:v>
      </x:c>
      <x:c r="J481" s="17" t="str">
        <x:v>not_sampled</x:v>
      </x:c>
    </x:row>
    <x:row r="482" ht="46" customHeight="1">
      <x:c r="A482" s="17" t="str">
        <x:v>us</x:v>
      </x:c>
      <x:c r="B482" s="17" t="str">
        <x:v>Kennesaw State University</x:v>
      </x:c>
      <x:c r="C482" s="17" t="str">
        <x:v>IPEDS discovery signal: Computer Software Engineering (CIP 14.0903)</x:v>
      </x:c>
      <x:c r="D482" s="17" t="str">
        <x:v>Unclear</x:v>
      </x:c>
      <x:c r="E482" s="17" t="str">
        <x:v>stage2_screened_out</x:v>
      </x:c>
      <x:c r="F482" s="17" t="str">
        <x:v>Duplicate mechanical discovery signal consolidated into one institution-level catalog review candidate.</x:v>
      </x:c>
      <x:c r="G482" s="17" t="str">
        <x:v>Does the current official catalog contain a research graduate program matching the applicant's topics?</x:v>
      </x:c>
      <x:c r="H482" s="17" t="str">
        <x:v>https://www.kennesaw.edu</x:v>
      </x:c>
      <x:c r="I482" s="17" t="str">
        <x:v>not_sampled</x:v>
      </x:c>
      <x:c r="J482" s="17" t="str">
        <x:v>not_sampled</x:v>
      </x:c>
    </x:row>
    <x:row r="483" ht="46" customHeight="1">
      <x:c r="A483" s="17" t="str">
        <x:v>us</x:v>
      </x:c>
      <x:c r="B483" s="17" t="str">
        <x:v>Kennesaw State University</x:v>
      </x:c>
      <x:c r="C483" s="17" t="str">
        <x:v>IPEDS discovery signal: Data Analytics, General (CIP 30.7101)</x:v>
      </x:c>
      <x:c r="D483" s="17" t="str">
        <x:v>Unclear</x:v>
      </x:c>
      <x:c r="E483" s="17" t="str">
        <x:v>stage2_screened_out</x:v>
      </x:c>
      <x:c r="F483" s="17" t="str">
        <x:v>Duplicate mechanical discovery signal consolidated into one institution-level catalog review candidate.</x:v>
      </x:c>
      <x:c r="G483" s="17" t="str">
        <x:v>Does the current official catalog contain a research graduate program matching the applicant's topics?</x:v>
      </x:c>
      <x:c r="H483" s="17" t="str">
        <x:v>https://www.kennesaw.edu</x:v>
      </x:c>
      <x:c r="I483" s="17" t="str">
        <x:v>not_sampled</x:v>
      </x:c>
      <x:c r="J483" s="17" t="str">
        <x:v>not_sampled</x:v>
      </x:c>
    </x:row>
    <x:row r="484" ht="46" customHeight="1">
      <x:c r="A484" s="17" t="str">
        <x:v>us</x:v>
      </x:c>
      <x:c r="B484" s="17" t="str">
        <x:v>Kennesaw State University</x:v>
      </x:c>
      <x:c r="C484" s="17" t="str">
        <x:v>IPEDS discovery signal: Data Science, General (CIP 30.7001)</x:v>
      </x:c>
      <x:c r="D484" s="17" t="str">
        <x:v>Unclear</x:v>
      </x:c>
      <x:c r="E484" s="17" t="str">
        <x:v>stage2_screened_out</x:v>
      </x:c>
      <x:c r="F484" s="17" t="str">
        <x:v>Duplicate mechanical discovery signal consolidated into one institution-level catalog review candidate.</x:v>
      </x:c>
      <x:c r="G484" s="17" t="str">
        <x:v>Does the current official catalog contain a research graduate program matching the applicant's topics?</x:v>
      </x:c>
      <x:c r="H484" s="17" t="str">
        <x:v>https://www.kennesaw.edu</x:v>
      </x:c>
      <x:c r="I484" s="17" t="str">
        <x:v>not_sampled</x:v>
      </x:c>
      <x:c r="J484" s="17" t="str">
        <x:v>not_sampled</x:v>
      </x:c>
    </x:row>
    <x:row r="485" ht="46" customHeight="1">
      <x:c r="A485" s="17" t="str">
        <x:v>us</x:v>
      </x:c>
      <x:c r="B485" s="17" t="str">
        <x:v>Kennesaw State University</x:v>
      </x:c>
      <x:c r="C485" s="17" t="str">
        <x:v>IPEDS discovery signal: Information Science/Studies (CIP 11.0401)</x:v>
      </x:c>
      <x:c r="D485" s="17" t="str">
        <x:v>Unclear</x:v>
      </x:c>
      <x:c r="E485" s="17" t="str">
        <x:v>stage2_screened_out</x:v>
      </x:c>
      <x:c r="F485" s="17" t="str">
        <x:v>Duplicate mechanical discovery signal consolidated into one institution-level catalog review candidate.</x:v>
      </x:c>
      <x:c r="G485" s="17" t="str">
        <x:v>Does the current official catalog contain a research graduate program matching the applicant's topics?</x:v>
      </x:c>
      <x:c r="H485" s="17" t="str">
        <x:v>https://www.kennesaw.edu</x:v>
      </x:c>
      <x:c r="I485" s="17" t="str">
        <x:v>not_sampled</x:v>
      </x:c>
      <x:c r="J485" s="17" t="str">
        <x:v>not_sampled</x:v>
      </x:c>
    </x:row>
    <x:row r="486" ht="46" customHeight="1">
      <x:c r="A486" s="17" t="str">
        <x:v>us</x:v>
      </x:c>
      <x:c r="B486" s="17" t="str">
        <x:v>Kennesaw State University</x:v>
      </x:c>
      <x:c r="C486" s="17" t="str">
        <x:v>IPEDS discovery signal: Information Technology (CIP 11.0103)</x:v>
      </x:c>
      <x:c r="D486" s="17" t="str">
        <x:v>Unclear</x:v>
      </x:c>
      <x:c r="E486" s="17" t="str">
        <x:v>stage2_screened_out</x:v>
      </x:c>
      <x:c r="F486" s="17" t="str">
        <x:v>Duplicate mechanical discovery signal consolidated into one institution-level catalog review candidate.</x:v>
      </x:c>
      <x:c r="G486" s="17" t="str">
        <x:v>Does the current official catalog contain a research graduate program matching the applicant's topics?</x:v>
      </x:c>
      <x:c r="H486" s="17" t="str">
        <x:v>https://www.kennesaw.edu</x:v>
      </x:c>
      <x:c r="I486" s="17" t="str">
        <x:v>not_sampled</x:v>
      </x:c>
      <x:c r="J486" s="17" t="str">
        <x:v>not_sampled</x:v>
      </x:c>
    </x:row>
    <x:row r="487" ht="46" customHeight="1">
      <x:c r="A487" s="17" t="str">
        <x:v>us</x:v>
      </x:c>
      <x:c r="B487" s="17" t="str">
        <x:v>Kennesaw State University</x:v>
      </x:c>
      <x:c r="C487" s="17" t="str">
        <x:v>IPEDS discovery signal: Mechatronics, Robotics, and Automation Engineering (CIP 14.4201)</x:v>
      </x:c>
      <x:c r="D487" s="17" t="str">
        <x:v>Unclear</x:v>
      </x:c>
      <x:c r="E487" s="17" t="str">
        <x:v>stage2_screened_out</x:v>
      </x:c>
      <x:c r="F487" s="17" t="str">
        <x:v>Duplicate mechanical discovery signal consolidated into one institution-level catalog review candidate.</x:v>
      </x:c>
      <x:c r="G487" s="17" t="str">
        <x:v>Does the current official catalog contain a research graduate program matching the applicant's topics?</x:v>
      </x:c>
      <x:c r="H487" s="17" t="str">
        <x:v>https://www.kennesaw.edu</x:v>
      </x:c>
      <x:c r="I487" s="17" t="str">
        <x:v>not_sampled</x:v>
      </x:c>
      <x:c r="J487" s="17" t="str">
        <x:v>not_sampled</x:v>
      </x:c>
    </x:row>
    <x:row r="488" ht="46" customHeight="1">
      <x:c r="A488" s="17" t="str">
        <x:v>us</x:v>
      </x:c>
      <x:c r="B488" s="17" t="str">
        <x:v>Kent State University at Kent</x:v>
      </x:c>
      <x:c r="C488" s="17" t="str">
        <x:v>IPEDS discovery signal: Computer and Information Sciences, General (CIP 11.0101)</x:v>
      </x:c>
      <x:c r="D488" s="17" t="str">
        <x:v>Unclear</x:v>
      </x:c>
      <x:c r="E488" s="17" t="str">
        <x:v>stage2_screened_out</x:v>
      </x:c>
      <x:c r="F488" s="17" t="str">
        <x:v>Duplicate mechanical discovery signal consolidated into one institution-level catalog review candidate.</x:v>
      </x:c>
      <x:c r="G488" s="17" t="str">
        <x:v>Does the current official catalog contain a research graduate program matching the applicant's topics?</x:v>
      </x:c>
      <x:c r="H488" s="17" t="str">
        <x:v>https://www.kent.edu</x:v>
      </x:c>
      <x:c r="I488" s="17" t="str">
        <x:v>not_sampled</x:v>
      </x:c>
      <x:c r="J488" s="17" t="str">
        <x:v>not_sampled</x:v>
      </x:c>
    </x:row>
    <x:row r="489" ht="46" customHeight="1">
      <x:c r="A489" s="17" t="str">
        <x:v>us</x:v>
      </x:c>
      <x:c r="B489" s="17" t="str">
        <x:v>Kent State University at Kent</x:v>
      </x:c>
      <x:c r="C489" s="17" t="str">
        <x:v>IPEDS discovery signal: Computer Science (CIP 11.0701)</x:v>
      </x:c>
      <x:c r="D489" s="17" t="str">
        <x:v>Unclear</x:v>
      </x:c>
      <x:c r="E489" s="17" t="str">
        <x:v>stage2_screened_out</x:v>
      </x:c>
      <x:c r="F489" s="17" t="str">
        <x:v>Duplicate mechanical discovery signal consolidated into one institution-level catalog review candidate.</x:v>
      </x:c>
      <x:c r="G489" s="17" t="str">
        <x:v>Does the current official catalog contain a research graduate program matching the applicant's topics?</x:v>
      </x:c>
      <x:c r="H489" s="17" t="str">
        <x:v>https://www.kent.edu</x:v>
      </x:c>
      <x:c r="I489" s="17" t="str">
        <x:v>not_sampled</x:v>
      </x:c>
      <x:c r="J489" s="17" t="str">
        <x:v>not_sampled</x:v>
      </x:c>
    </x:row>
    <x:row r="490" ht="46" customHeight="1">
      <x:c r="A490" s="17" t="str">
        <x:v>us</x:v>
      </x:c>
      <x:c r="B490" s="17" t="str">
        <x:v>Kent State University at Kent</x:v>
      </x:c>
      <x:c r="C490" s="17" t="str">
        <x:v>IPEDS discovery signal: Data Science, General (CIP 30.7001)</x:v>
      </x:c>
      <x:c r="D490" s="17" t="str">
        <x:v>Unclear</x:v>
      </x:c>
      <x:c r="E490" s="17" t="str">
        <x:v>stage2_screened_out</x:v>
      </x:c>
      <x:c r="F490" s="17" t="str">
        <x:v>Duplicate mechanical discovery signal consolidated into one institution-level catalog review candidate.</x:v>
      </x:c>
      <x:c r="G490" s="17" t="str">
        <x:v>Does the current official catalog contain a research graduate program matching the applicant's topics?</x:v>
      </x:c>
      <x:c r="H490" s="17" t="str">
        <x:v>https://www.kent.edu</x:v>
      </x:c>
      <x:c r="I490" s="17" t="str">
        <x:v>not_sampled</x:v>
      </x:c>
      <x:c r="J490" s="17" t="str">
        <x:v>not_sampled</x:v>
      </x:c>
    </x:row>
    <x:row r="491" ht="46" customHeight="1">
      <x:c r="A491" s="17" t="str">
        <x:v>us</x:v>
      </x:c>
      <x:c r="B491" s="17" t="str">
        <x:v>Kent State University at Kent</x:v>
      </x:c>
      <x:c r="C491" s="17" t="str">
        <x:v>IPEDS discovery signal: Human-Centered Technology Design (CIP 11.0105)</x:v>
      </x:c>
      <x:c r="D491" s="17" t="str">
        <x:v>Unclear</x:v>
      </x:c>
      <x:c r="E491" s="17" t="str">
        <x:v>stage2_screened_out</x:v>
      </x:c>
      <x:c r="F491" s="17" t="str">
        <x:v>Duplicate mechanical discovery signal consolidated into one institution-level catalog review candidate.</x:v>
      </x:c>
      <x:c r="G491" s="17" t="str">
        <x:v>Does the current official catalog contain a research graduate program matching the applicant's topics?</x:v>
      </x:c>
      <x:c r="H491" s="17" t="str">
        <x:v>https://www.kent.edu</x:v>
      </x:c>
      <x:c r="I491" s="17" t="str">
        <x:v>not_sampled</x:v>
      </x:c>
      <x:c r="J491" s="17" t="str">
        <x:v>not_sampled</x:v>
      </x:c>
    </x:row>
    <x:row r="492" ht="46" customHeight="1">
      <x:c r="A492" s="17" t="str">
        <x:v>us</x:v>
      </x:c>
      <x:c r="B492" s="17" t="str">
        <x:v>Kent State University at Kent</x:v>
      </x:c>
      <x:c r="C492" s="17" t="str">
        <x:v>IPEDS discovery signal: Information Science/Studies (CIP 11.0401)</x:v>
      </x:c>
      <x:c r="D492" s="17" t="str">
        <x:v>Unclear</x:v>
      </x:c>
      <x:c r="E492" s="17" t="str">
        <x:v>stage2_screened_out</x:v>
      </x:c>
      <x:c r="F492" s="17" t="str">
        <x:v>Duplicate mechanical discovery signal consolidated into one institution-level catalog review candidate.</x:v>
      </x:c>
      <x:c r="G492" s="17" t="str">
        <x:v>Does the current official catalog contain a research graduate program matching the applicant's topics?</x:v>
      </x:c>
      <x:c r="H492" s="17" t="str">
        <x:v>https://www.kent.edu</x:v>
      </x:c>
      <x:c r="I492" s="17" t="str">
        <x:v>not_sampled</x:v>
      </x:c>
      <x:c r="J492" s="17" t="str">
        <x:v>not_sampled</x:v>
      </x:c>
    </x:row>
    <x:row r="493" ht="46" customHeight="1">
      <x:c r="A493" s="17" t="str">
        <x:v>us</x:v>
      </x:c>
      <x:c r="B493" s="17" t="str">
        <x:v>Kent State University at Kent</x:v>
      </x:c>
      <x:c r="C493" s="17" t="str">
        <x:v>IPEDS discovery signal: Mechatronics, Robotics, and Automation Engineering (CIP 14.4201)</x:v>
      </x:c>
      <x:c r="D493" s="17" t="str">
        <x:v>Unclear</x:v>
      </x:c>
      <x:c r="E493" s="17" t="str">
        <x:v>stage2_screened_out</x:v>
      </x:c>
      <x:c r="F493" s="17" t="str">
        <x:v>Duplicate mechanical discovery signal consolidated into one institution-level catalog review candidate.</x:v>
      </x:c>
      <x:c r="G493" s="17" t="str">
        <x:v>Does the current official catalog contain a research graduate program matching the applicant's topics?</x:v>
      </x:c>
      <x:c r="H493" s="17" t="str">
        <x:v>https://www.kent.edu</x:v>
      </x:c>
      <x:c r="I493" s="17" t="str">
        <x:v>not_sampled</x:v>
      </x:c>
      <x:c r="J493" s="17" t="str">
        <x:v>not_sampled</x:v>
      </x:c>
    </x:row>
    <x:row r="494" ht="46" customHeight="1">
      <x:c r="A494" s="17" t="str">
        <x:v>us</x:v>
      </x:c>
      <x:c r="B494" s="17" t="str">
        <x:v>Kentucky State University</x:v>
      </x:c>
      <x:c r="C494" s="17" t="str">
        <x:v>IPEDS discovery signal: Computer and Information Sciences, General (CIP 11.0101)</x:v>
      </x:c>
      <x:c r="D494" s="17" t="str">
        <x:v>Unclear</x:v>
      </x:c>
      <x:c r="E494" s="17" t="str">
        <x:v>stage2_screened_out</x:v>
      </x:c>
      <x:c r="F494" s="17" t="str">
        <x:v>Only one bounded registry/program-code signal was present; no independent topical, Calendar, current-faculty, or first-audit signal was recovered.</x:v>
      </x:c>
      <x:c r="G494" s="17" t="str">
        <x:v>Does the current official catalog contain a research graduate program matching the applicant's topics?</x:v>
      </x:c>
      <x:c r="H494" s="17" t="str">
        <x:v>https://www.kysu.edu</x:v>
      </x:c>
      <x:c r="I494" s="17" t="str">
        <x:v>not_sampled</x:v>
      </x:c>
      <x:c r="J494" s="17" t="str">
        <x:v>not_sampled</x:v>
      </x:c>
    </x:row>
    <x:row r="495" ht="46" customHeight="1">
      <x:c r="A495" s="17" t="str">
        <x:v>us</x:v>
      </x:c>
      <x:c r="B495" s="17" t="str">
        <x:v>Kutztown University of Pennsylvania</x:v>
      </x:c>
      <x:c r="C495" s="17" t="str">
        <x:v>IPEDS discovery signal: Computer Science (CIP 11.0701)</x:v>
      </x:c>
      <x:c r="D495" s="17" t="str">
        <x:v>Unclear</x:v>
      </x:c>
      <x:c r="E495" s="17" t="str">
        <x:v>stage2_screened_out</x:v>
      </x:c>
      <x:c r="F495" s="17" t="str">
        <x:v>Only one bounded registry/program-code signal was present; no independent topical, Calendar, current-faculty, or first-audit signal was recovered.</x:v>
      </x:c>
      <x:c r="G495" s="17" t="str">
        <x:v>Does the current official catalog contain a research graduate program matching the applicant's topics?</x:v>
      </x:c>
      <x:c r="H495" s="17" t="str">
        <x:v>https://www.kutztown.edu</x:v>
      </x:c>
      <x:c r="I495" s="17" t="str">
        <x:v>not_sampled</x:v>
      </x:c>
      <x:c r="J495" s="17" t="str">
        <x:v>not_sampled</x:v>
      </x:c>
    </x:row>
    <x:row r="496" ht="46" customHeight="1">
      <x:c r="A496" s="17" t="str">
        <x:v>us</x:v>
      </x:c>
      <x:c r="B496" s="17" t="str">
        <x:v>La Roche University</x:v>
      </x:c>
      <x:c r="C496" s="17" t="str">
        <x:v>IPEDS discovery signal: Information Technology (CIP 11.0103)</x:v>
      </x:c>
      <x:c r="D496" s="17" t="str">
        <x:v>Unclear</x:v>
      </x:c>
      <x:c r="E496" s="17" t="str">
        <x:v>stage2_screened_out</x:v>
      </x:c>
      <x:c r="F496" s="17" t="str">
        <x:v>Only one bounded registry/program-code signal was present; no independent topical, Calendar, current-faculty, or first-audit signal was recovered.</x:v>
      </x:c>
      <x:c r="G496" s="17" t="str">
        <x:v>Does the current official catalog contain a research graduate program matching the applicant's topics?</x:v>
      </x:c>
      <x:c r="H496" s="17" t="str">
        <x:v>https://www.laroche.edu</x:v>
      </x:c>
      <x:c r="I496" s="17" t="str">
        <x:v>not_sampled</x:v>
      </x:c>
      <x:c r="J496" s="17" t="str">
        <x:v>not_sampled</x:v>
      </x:c>
    </x:row>
    <x:row r="497" ht="46" customHeight="1">
      <x:c r="A497" s="17" t="str">
        <x:v>us</x:v>
      </x:c>
      <x:c r="B497" s="17" t="str">
        <x:v>La Salle University</x:v>
      </x:c>
      <x:c r="C497" s="17" t="str">
        <x:v>IPEDS discovery signal: Computer and Information Sciences, General (CIP 11.0101)</x:v>
      </x:c>
      <x:c r="D497" s="17" t="str">
        <x:v>Unclear</x:v>
      </x:c>
      <x:c r="E497" s="17" t="str">
        <x:v>stage2_screened_out</x:v>
      </x:c>
      <x:c r="F497" s="17" t="str">
        <x:v>Only one bounded registry/program-code signal was present; no independent topical, Calendar, current-faculty, or first-audit signal was recovered.</x:v>
      </x:c>
      <x:c r="G497" s="17" t="str">
        <x:v>Does the current official catalog contain a research graduate program matching the applicant's topics?</x:v>
      </x:c>
      <x:c r="H497" s="17" t="str">
        <x:v>https://www.lasalle.edu</x:v>
      </x:c>
      <x:c r="I497" s="17" t="str">
        <x:v>not_sampled</x:v>
      </x:c>
      <x:c r="J497" s="17" t="str">
        <x:v>not_sampled</x:v>
      </x:c>
    </x:row>
    <x:row r="498" ht="46" customHeight="1">
      <x:c r="A498" s="17" t="str">
        <x:v>us</x:v>
      </x:c>
      <x:c r="B498" s="17" t="str">
        <x:v>La Salle University</x:v>
      </x:c>
      <x:c r="C498" s="17" t="str">
        <x:v>IPEDS discovery signal: Computer and Information Systems Security/Auditing/Information Assurance (CIP 11.1003)</x:v>
      </x:c>
      <x:c r="D498" s="17" t="str">
        <x:v>Unclear</x:v>
      </x:c>
      <x:c r="E498" s="17" t="str">
        <x:v>stage2_screened_out</x:v>
      </x:c>
      <x:c r="F498" s="17" t="str">
        <x:v>Only one bounded registry/program-code signal was present; no independent topical, Calendar, current-faculty, or first-audit signal was recovered.</x:v>
      </x:c>
      <x:c r="G498" s="17" t="str">
        <x:v>Does the current official catalog contain a research graduate program matching the applicant's topics?</x:v>
      </x:c>
      <x:c r="H498" s="17" t="str">
        <x:v>https://www.lasalle.edu</x:v>
      </x:c>
      <x:c r="I498" s="17" t="str">
        <x:v>not_sampled</x:v>
      </x:c>
      <x:c r="J498" s="17" t="str">
        <x:v>not_sampled</x:v>
      </x:c>
    </x:row>
    <x:row r="499" ht="46" customHeight="1">
      <x:c r="A499" s="17" t="str">
        <x:v>us</x:v>
      </x:c>
      <x:c r="B499" s="17" t="str">
        <x:v>Lamar University</x:v>
      </x:c>
      <x:c r="C499" s="17" t="str">
        <x:v>IPEDS discovery signal: Computer Science (CIP 11.0701)</x:v>
      </x:c>
      <x:c r="D499" s="17" t="str">
        <x:v>Unclear</x:v>
      </x:c>
      <x:c r="E499" s="17" t="str">
        <x:v>stage2_screened_out</x:v>
      </x:c>
      <x:c r="F499" s="17" t="str">
        <x:v>Only one bounded registry/program-code signal was present; no independent topical, Calendar, current-faculty, or first-audit signal was recovered.</x:v>
      </x:c>
      <x:c r="G499" s="17" t="str">
        <x:v>Does the current official catalog contain a research graduate program matching the applicant's topics?</x:v>
      </x:c>
      <x:c r="H499" s="17" t="str">
        <x:v>https://www.lamar.edu</x:v>
      </x:c>
      <x:c r="I499" s="17" t="str">
        <x:v>not_sampled</x:v>
      </x:c>
      <x:c r="J499" s="17" t="str">
        <x:v>not_sampled</x:v>
      </x:c>
    </x:row>
    <x:row r="500" ht="46" customHeight="1">
      <x:c r="A500" s="17" t="str">
        <x:v>us</x:v>
      </x:c>
      <x:c r="B500" s="17" t="str">
        <x:v>Lamar University</x:v>
      </x:c>
      <x:c r="C500" s="17" t="str">
        <x:v>IPEDS discovery signal: Information Science/Studies (CIP 11.0401)</x:v>
      </x:c>
      <x:c r="D500" s="17" t="str">
        <x:v>Unclear</x:v>
      </x:c>
      <x:c r="E500" s="17" t="str">
        <x:v>stage2_screened_out</x:v>
      </x:c>
      <x:c r="F500" s="17" t="str">
        <x:v>Only one bounded registry/program-code signal was present; no independent topical, Calendar, current-faculty, or first-audit signal was recovered.</x:v>
      </x:c>
      <x:c r="G500" s="17" t="str">
        <x:v>Does the current official catalog contain a research graduate program matching the applicant's topics?</x:v>
      </x:c>
      <x:c r="H500" s="17" t="str">
        <x:v>https://www.lamar.edu</x:v>
      </x:c>
      <x:c r="I500" s="17" t="str">
        <x:v>not_sampled</x:v>
      </x:c>
      <x:c r="J500" s="17" t="str">
        <x:v>not_sampled</x:v>
      </x:c>
    </x:row>
    <x:row r="501" ht="46" customHeight="1">
      <x:c r="A501" s="17" t="str">
        <x:v>us</x:v>
      </x:c>
      <x:c r="B501" s="17" t="str">
        <x:v>Lawrence Technological University</x:v>
      </x:c>
      <x:c r="C501" s="17" t="str">
        <x:v>IPEDS discovery signal: Artificial Intelligence (CIP 11.0102)</x:v>
      </x:c>
      <x:c r="D501" s="17" t="str">
        <x:v>Unclear</x:v>
      </x:c>
      <x:c r="E501" s="17" t="str">
        <x:v>stage2_screened_out</x:v>
      </x:c>
      <x:c r="F501" s="17" t="str">
        <x:v>Only one bounded registry/program-code signal was present; no independent topical, Calendar, current-faculty, or first-audit signal was recovered.</x:v>
      </x:c>
      <x:c r="G501" s="17" t="str">
        <x:v>Does the current official catalog contain a research graduate program matching the applicant's topics?</x:v>
      </x:c>
      <x:c r="H501" s="17" t="str">
        <x:v>https://www.ltu.edu</x:v>
      </x:c>
      <x:c r="I501" s="17" t="str">
        <x:v>not_sampled</x:v>
      </x:c>
      <x:c r="J501" s="17" t="str">
        <x:v>not_sampled</x:v>
      </x:c>
    </x:row>
    <x:row r="502" ht="46" customHeight="1">
      <x:c r="A502" s="17" t="str">
        <x:v>us</x:v>
      </x:c>
      <x:c r="B502" s="17" t="str">
        <x:v>Lawrence Technological University</x:v>
      </x:c>
      <x:c r="C502" s="17" t="str">
        <x:v>IPEDS discovery signal: Computer Engineering, Other (CIP 14.0999)</x:v>
      </x:c>
      <x:c r="D502" s="17" t="str">
        <x:v>Unclear</x:v>
      </x:c>
      <x:c r="E502" s="17" t="str">
        <x:v>stage2_screened_out</x:v>
      </x:c>
      <x:c r="F502" s="17" t="str">
        <x:v>Only one bounded registry/program-code signal was present; no independent topical, Calendar, current-faculty, or first-audit signal was recovered.</x:v>
      </x:c>
      <x:c r="G502" s="17" t="str">
        <x:v>Does the current official catalog contain a research graduate program matching the applicant's topics?</x:v>
      </x:c>
      <x:c r="H502" s="17" t="str">
        <x:v>https://www.ltu.edu</x:v>
      </x:c>
      <x:c r="I502" s="17" t="str">
        <x:v>not_sampled</x:v>
      </x:c>
      <x:c r="J502" s="17" t="str">
        <x:v>not_sampled</x:v>
      </x:c>
    </x:row>
    <x:row r="503" ht="46" customHeight="1">
      <x:c r="A503" s="17" t="str">
        <x:v>us</x:v>
      </x:c>
      <x:c r="B503" s="17" t="str">
        <x:v>Lawrence Technological University</x:v>
      </x:c>
      <x:c r="C503" s="17" t="str">
        <x:v>IPEDS discovery signal: Computer Science (CIP 11.0701)</x:v>
      </x:c>
      <x:c r="D503" s="17" t="str">
        <x:v>Unclear</x:v>
      </x:c>
      <x:c r="E503" s="17" t="str">
        <x:v>stage2_screened_out</x:v>
      </x:c>
      <x:c r="F503" s="17" t="str">
        <x:v>Only one bounded registry/program-code signal was present; no independent topical, Calendar, current-faculty, or first-audit signal was recovered.</x:v>
      </x:c>
      <x:c r="G503" s="17" t="str">
        <x:v>Does the current official catalog contain a research graduate program matching the applicant's topics?</x:v>
      </x:c>
      <x:c r="H503" s="17" t="str">
        <x:v>https://www.ltu.edu</x:v>
      </x:c>
      <x:c r="I503" s="17" t="str">
        <x:v>not_sampled</x:v>
      </x:c>
      <x:c r="J503" s="17" t="str">
        <x:v>not_sampled</x:v>
      </x:c>
    </x:row>
    <x:row r="504" ht="46" customHeight="1">
      <x:c r="A504" s="17" t="str">
        <x:v>us</x:v>
      </x:c>
      <x:c r="B504" s="17" t="str">
        <x:v>Lawrence Technological University</x:v>
      </x:c>
      <x:c r="C504" s="17" t="str">
        <x:v>IPEDS discovery signal: Information Technology (CIP 11.0103)</x:v>
      </x:c>
      <x:c r="D504" s="17" t="str">
        <x:v>Unclear</x:v>
      </x:c>
      <x:c r="E504" s="17" t="str">
        <x:v>stage2_screened_out</x:v>
      </x:c>
      <x:c r="F504" s="17" t="str">
        <x:v>Only one bounded registry/program-code signal was present; no independent topical, Calendar, current-faculty, or first-audit signal was recovered.</x:v>
      </x:c>
      <x:c r="G504" s="17" t="str">
        <x:v>Does the current official catalog contain a research graduate program matching the applicant's topics?</x:v>
      </x:c>
      <x:c r="H504" s="17" t="str">
        <x:v>https://www.ltu.edu</x:v>
      </x:c>
      <x:c r="I504" s="17" t="str">
        <x:v>not_sampled</x:v>
      </x:c>
      <x:c r="J504" s="17" t="str">
        <x:v>not_sampled</x:v>
      </x:c>
    </x:row>
    <x:row r="505" ht="46" customHeight="1">
      <x:c r="A505" s="17" t="str">
        <x:v>us</x:v>
      </x:c>
      <x:c r="B505" s="17" t="str">
        <x:v>Lawrence Technological University</x:v>
      </x:c>
      <x:c r="C505" s="17" t="str">
        <x:v>IPEDS discovery signal: Mechatronics, Robotics, and Automation Engineering (CIP 14.4201)</x:v>
      </x:c>
      <x:c r="D505" s="17" t="str">
        <x:v>Unclear</x:v>
      </x:c>
      <x:c r="E505" s="17" t="str">
        <x:v>stage2_screened_out</x:v>
      </x:c>
      <x:c r="F505" s="17" t="str">
        <x:v>Only one bounded registry/program-code signal was present; no independent topical, Calendar, current-faculty, or first-audit signal was recovered.</x:v>
      </x:c>
      <x:c r="G505" s="17" t="str">
        <x:v>Does the current official catalog contain a research graduate program matching the applicant's topics?</x:v>
      </x:c>
      <x:c r="H505" s="17" t="str">
        <x:v>https://www.ltu.edu</x:v>
      </x:c>
      <x:c r="I505" s="17" t="str">
        <x:v>not_sampled</x:v>
      </x:c>
      <x:c r="J505" s="17" t="str">
        <x:v>not_sampled</x:v>
      </x:c>
    </x:row>
    <x:row r="506" ht="46" customHeight="1">
      <x:c r="A506" s="17" t="str">
        <x:v>us</x:v>
      </x:c>
      <x:c r="B506" s="17" t="str">
        <x:v>Le Moyne College</x:v>
      </x:c>
      <x:c r="C506" s="17" t="str">
        <x:v>IPEDS discovery signal: Information Science/Studies (CIP 11.0401)</x:v>
      </x:c>
      <x:c r="D506" s="17" t="str">
        <x:v>Unclear</x:v>
      </x:c>
      <x:c r="E506" s="17" t="str">
        <x:v>stage2_screened_out</x:v>
      </x:c>
      <x:c r="F506" s="17" t="str">
        <x:v>Only one bounded registry/program-code signal was present; no independent topical, Calendar, current-faculty, or first-audit signal was recovered.</x:v>
      </x:c>
      <x:c r="G506" s="17" t="str">
        <x:v>Does the current official catalog contain a research graduate program matching the applicant's topics?</x:v>
      </x:c>
      <x:c r="H506" s="17" t="str">
        <x:v>https://www.lemoyne.edu</x:v>
      </x:c>
      <x:c r="I506" s="17" t="str">
        <x:v>not_sampled</x:v>
      </x:c>
      <x:c r="J506" s="17" t="str">
        <x:v>not_sampled</x:v>
      </x:c>
    </x:row>
    <x:row r="507" ht="46" customHeight="1">
      <x:c r="A507" s="17" t="str">
        <x:v>us</x:v>
      </x:c>
      <x:c r="B507" s="17" t="str">
        <x:v>Lehigh University</x:v>
      </x:c>
      <x:c r="C507" s="17" t="str">
        <x:v>IPEDS discovery signal: Computer Science (CIP 11.0701)</x:v>
      </x:c>
      <x:c r="D507" s="17" t="str">
        <x:v>Unclear</x:v>
      </x:c>
      <x:c r="E507" s="17" t="str">
        <x:v>stage2_screened_out</x:v>
      </x:c>
      <x:c r="F507" s="17" t="str">
        <x:v>Duplicate mechanical discovery signal consolidated into one institution-level catalog review candidate.</x:v>
      </x:c>
      <x:c r="G507" s="17" t="str">
        <x:v>Does the current official catalog contain a research graduate program matching the applicant's topics?</x:v>
      </x:c>
      <x:c r="H507" s="17" t="str">
        <x:v>https://www.lehigh.edu</x:v>
      </x:c>
      <x:c r="I507" s="17" t="str">
        <x:v>not_sampled</x:v>
      </x:c>
      <x:c r="J507" s="17" t="str">
        <x:v>not_sampled</x:v>
      </x:c>
    </x:row>
    <x:row r="508" ht="46" customHeight="1">
      <x:c r="A508" s="17" t="str">
        <x:v>us</x:v>
      </x:c>
      <x:c r="B508" s="17" t="str">
        <x:v>Lehigh University</x:v>
      </x:c>
      <x:c r="C508" s="17" t="str">
        <x:v>IPEDS discovery signal: Data Science, General (CIP 30.7001)</x:v>
      </x:c>
      <x:c r="D508" s="17" t="str">
        <x:v>Unclear</x:v>
      </x:c>
      <x:c r="E508" s="17" t="str">
        <x:v>stage2_screened_out</x:v>
      </x:c>
      <x:c r="F508" s="17" t="str">
        <x:v>Duplicate mechanical discovery signal consolidated into one institution-level catalog review candidate.</x:v>
      </x:c>
      <x:c r="G508" s="17" t="str">
        <x:v>Does the current official catalog contain a research graduate program matching the applicant's topics?</x:v>
      </x:c>
      <x:c r="H508" s="17" t="str">
        <x:v>https://www.lehigh.edu</x:v>
      </x:c>
      <x:c r="I508" s="17" t="str">
        <x:v>not_sampled</x:v>
      </x:c>
      <x:c r="J508" s="17" t="str">
        <x:v>not_sampled</x:v>
      </x:c>
    </x:row>
    <x:row r="509" ht="46" customHeight="1">
      <x:c r="A509" s="17" t="str">
        <x:v>us</x:v>
      </x:c>
      <x:c r="B509" s="17" t="str">
        <x:v>Lehigh University</x:v>
      </x:c>
      <x:c r="C509" s="17" t="str">
        <x:v>IPEDS discovery signal: Electrical and Electronics Engineering (CIP 14.1001)</x:v>
      </x:c>
      <x:c r="D509" s="17" t="str">
        <x:v>Unclear</x:v>
      </x:c>
      <x:c r="E509" s="17" t="str">
        <x:v>stage2_screened_out</x:v>
      </x:c>
      <x:c r="F509" s="17" t="str">
        <x:v>Duplicate mechanical discovery signal consolidated into one institution-level catalog review candidate.</x:v>
      </x:c>
      <x:c r="G509" s="17" t="str">
        <x:v>Does the current official catalog contain a research graduate program matching the applicant's topics?</x:v>
      </x:c>
      <x:c r="H509" s="17" t="str">
        <x:v>https://www.lehigh.edu</x:v>
      </x:c>
      <x:c r="I509" s="17" t="str">
        <x:v>not_sampled</x:v>
      </x:c>
      <x:c r="J509" s="17" t="str">
        <x:v>not_sampled</x:v>
      </x:c>
    </x:row>
    <x:row r="510" ht="46" customHeight="1">
      <x:c r="A510" s="17" t="str">
        <x:v>us</x:v>
      </x:c>
      <x:c r="B510" s="17" t="str">
        <x:v>LeTourneau University</x:v>
      </x:c>
      <x:c r="C510" s="17" t="str">
        <x:v>IPEDS discovery signal: Electrical and Electronics Engineering (CIP 14.1001)</x:v>
      </x:c>
      <x:c r="D510" s="17" t="str">
        <x:v>Unclear</x:v>
      </x:c>
      <x:c r="E510" s="17" t="str">
        <x:v>stage2_screened_out</x:v>
      </x:c>
      <x:c r="F510" s="17" t="str">
        <x:v>Only one bounded registry/program-code signal was present; no independent topical, Calendar, current-faculty, or first-audit signal was recovered.</x:v>
      </x:c>
      <x:c r="G510" s="17" t="str">
        <x:v>Does the current official catalog contain a research graduate program matching the applicant's topics?</x:v>
      </x:c>
      <x:c r="H510" s="17" t="str">
        <x:v>https://www.letu.edu</x:v>
      </x:c>
      <x:c r="I510" s="17" t="str">
        <x:v>not_sampled</x:v>
      </x:c>
      <x:c r="J510" s="17" t="str">
        <x:v>not_sampled</x:v>
      </x:c>
    </x:row>
    <x:row r="511" ht="46" customHeight="1">
      <x:c r="A511" s="17" t="str">
        <x:v>us</x:v>
      </x:c>
      <x:c r="B511" s="17" t="str">
        <x:v>Lewis University</x:v>
      </x:c>
      <x:c r="C511" s="17" t="str">
        <x:v>IPEDS discovery signal: Computer and Information Systems Security/Auditing/Information Assurance (CIP 11.1003)</x:v>
      </x:c>
      <x:c r="D511" s="17" t="str">
        <x:v>Unclear</x:v>
      </x:c>
      <x:c r="E511" s="17" t="str">
        <x:v>stage2_screened_out</x:v>
      </x:c>
      <x:c r="F511" s="17" t="str">
        <x:v>Only one bounded registry/program-code signal was present; no independent topical, Calendar, current-faculty, or first-audit signal was recovered.</x:v>
      </x:c>
      <x:c r="G511" s="17" t="str">
        <x:v>Does the current official catalog contain a research graduate program matching the applicant's topics?</x:v>
      </x:c>
      <x:c r="H511" s="17" t="str">
        <x:v>https://www.lewisu.edu</x:v>
      </x:c>
      <x:c r="I511" s="17" t="str">
        <x:v>not_sampled</x:v>
      </x:c>
      <x:c r="J511" s="17" t="str">
        <x:v>not_sampled</x:v>
      </x:c>
    </x:row>
    <x:row r="512" ht="46" customHeight="1">
      <x:c r="A512" s="17" t="str">
        <x:v>us</x:v>
      </x:c>
      <x:c r="B512" s="17" t="str">
        <x:v>Lewis University</x:v>
      </x:c>
      <x:c r="C512" s="17" t="str">
        <x:v>IPEDS discovery signal: Computer Science (CIP 11.0701)</x:v>
      </x:c>
      <x:c r="D512" s="17" t="str">
        <x:v>Unclear</x:v>
      </x:c>
      <x:c r="E512" s="17" t="str">
        <x:v>stage2_screened_out</x:v>
      </x:c>
      <x:c r="F512" s="17" t="str">
        <x:v>Only one bounded registry/program-code signal was present; no independent topical, Calendar, current-faculty, or first-audit signal was recovered.</x:v>
      </x:c>
      <x:c r="G512" s="17" t="str">
        <x:v>Does the current official catalog contain a research graduate program matching the applicant's topics?</x:v>
      </x:c>
      <x:c r="H512" s="17" t="str">
        <x:v>https://www.lewisu.edu</x:v>
      </x:c>
      <x:c r="I512" s="17" t="str">
        <x:v>not_sampled</x:v>
      </x:c>
      <x:c r="J512" s="17" t="str">
        <x:v>not_sampled</x:v>
      </x:c>
    </x:row>
    <x:row r="513" ht="46" customHeight="1">
      <x:c r="A513" s="17" t="str">
        <x:v>us</x:v>
      </x:c>
      <x:c r="B513" s="17" t="str">
        <x:v>Lewis University</x:v>
      </x:c>
      <x:c r="C513" s="17" t="str">
        <x:v>IPEDS discovery signal: Data Science, General (CIP 30.7001)</x:v>
      </x:c>
      <x:c r="D513" s="17" t="str">
        <x:v>Unclear</x:v>
      </x:c>
      <x:c r="E513" s="17" t="str">
        <x:v>stage2_screened_out</x:v>
      </x:c>
      <x:c r="F513" s="17" t="str">
        <x:v>Only one bounded registry/program-code signal was present; no independent topical, Calendar, current-faculty, or first-audit signal was recovered.</x:v>
      </x:c>
      <x:c r="G513" s="17" t="str">
        <x:v>Does the current official catalog contain a research graduate program matching the applicant's topics?</x:v>
      </x:c>
      <x:c r="H513" s="17" t="str">
        <x:v>https://www.lewisu.edu</x:v>
      </x:c>
      <x:c r="I513" s="17" t="str">
        <x:v>not_sampled</x:v>
      </x:c>
      <x:c r="J513" s="17" t="str">
        <x:v>not_sampled</x:v>
      </x:c>
    </x:row>
    <x:row r="514" ht="46" customHeight="1">
      <x:c r="A514" s="17" t="str">
        <x:v>us</x:v>
      </x:c>
      <x:c r="B514" s="17" t="str">
        <x:v>Liberty University</x:v>
      </x:c>
      <x:c r="C514" s="17" t="str">
        <x:v>IPEDS discovery signal: Informatics (CIP 11.0104)</x:v>
      </x:c>
      <x:c r="D514" s="17" t="str">
        <x:v>Unclear</x:v>
      </x:c>
      <x:c r="E514" s="17" t="str">
        <x:v>stage2_screened_out</x:v>
      </x:c>
      <x:c r="F514" s="17" t="str">
        <x:v>Only one bounded registry/program-code signal was present; no independent topical, Calendar, current-faculty, or first-audit signal was recovered.</x:v>
      </x:c>
      <x:c r="G514" s="17" t="str">
        <x:v>Does the current official catalog contain a research graduate program matching the applicant's topics?</x:v>
      </x:c>
      <x:c r="H514" s="17" t="str">
        <x:v>https://www.liberty.edu</x:v>
      </x:c>
      <x:c r="I514" s="17" t="str">
        <x:v>not_sampled</x:v>
      </x:c>
      <x:c r="J514" s="17" t="str">
        <x:v>not_sampled</x:v>
      </x:c>
    </x:row>
    <x:row r="515" ht="46" customHeight="1">
      <x:c r="A515" s="17" t="str">
        <x:v>us</x:v>
      </x:c>
      <x:c r="B515" s="17" t="str">
        <x:v>Liberty University</x:v>
      </x:c>
      <x:c r="C515" s="17" t="str">
        <x:v>IPEDS discovery signal: Information Technology (CIP 11.0103)</x:v>
      </x:c>
      <x:c r="D515" s="17" t="str">
        <x:v>Unclear</x:v>
      </x:c>
      <x:c r="E515" s="17" t="str">
        <x:v>stage2_screened_out</x:v>
      </x:c>
      <x:c r="F515" s="17" t="str">
        <x:v>Only one bounded registry/program-code signal was present; no independent topical, Calendar, current-faculty, or first-audit signal was recovered.</x:v>
      </x:c>
      <x:c r="G515" s="17" t="str">
        <x:v>Does the current official catalog contain a research graduate program matching the applicant's topics?</x:v>
      </x:c>
      <x:c r="H515" s="17" t="str">
        <x:v>https://www.liberty.edu</x:v>
      </x:c>
      <x:c r="I515" s="17" t="str">
        <x:v>not_sampled</x:v>
      </x:c>
      <x:c r="J515" s="17" t="str">
        <x:v>not_sampled</x:v>
      </x:c>
    </x:row>
    <x:row r="516" ht="46" customHeight="1">
      <x:c r="A516" s="17" t="str">
        <x:v>us</x:v>
      </x:c>
      <x:c r="B516" s="17" t="str">
        <x:v>Lindenwood University</x:v>
      </x:c>
      <x:c r="C516" s="17" t="str">
        <x:v>IPEDS discovery signal: Computer and Information Systems Security/Auditing/Information Assurance (CIP 11.1003)</x:v>
      </x:c>
      <x:c r="D516" s="17" t="str">
        <x:v>Unclear</x:v>
      </x:c>
      <x:c r="E516" s="17" t="str">
        <x:v>stage2_screened_out</x:v>
      </x:c>
      <x:c r="F516" s="17" t="str">
        <x:v>Only one bounded registry/program-code signal was present; no independent topical, Calendar, current-faculty, or first-audit signal was recovered.</x:v>
      </x:c>
      <x:c r="G516" s="17" t="str">
        <x:v>Does the current official catalog contain a research graduate program matching the applicant's topics?</x:v>
      </x:c>
      <x:c r="H516" s="17" t="str">
        <x:v>https://www.lindenwood.edu</x:v>
      </x:c>
      <x:c r="I516" s="17" t="str">
        <x:v>not_sampled</x:v>
      </x:c>
      <x:c r="J516" s="17" t="str">
        <x:v>not_sampled</x:v>
      </x:c>
    </x:row>
    <x:row r="517" ht="46" customHeight="1">
      <x:c r="A517" s="17" t="str">
        <x:v>us</x:v>
      </x:c>
      <x:c r="B517" s="17" t="str">
        <x:v>Lindenwood University</x:v>
      </x:c>
      <x:c r="C517" s="17" t="str">
        <x:v>IPEDS discovery signal: Information Technology (CIP 11.0103)</x:v>
      </x:c>
      <x:c r="D517" s="17" t="str">
        <x:v>Unclear</x:v>
      </x:c>
      <x:c r="E517" s="17" t="str">
        <x:v>stage2_screened_out</x:v>
      </x:c>
      <x:c r="F517" s="17" t="str">
        <x:v>Only one bounded registry/program-code signal was present; no independent topical, Calendar, current-faculty, or first-audit signal was recovered.</x:v>
      </x:c>
      <x:c r="G517" s="17" t="str">
        <x:v>Does the current official catalog contain a research graduate program matching the applicant's topics?</x:v>
      </x:c>
      <x:c r="H517" s="17" t="str">
        <x:v>https://www.lindenwood.edu</x:v>
      </x:c>
      <x:c r="I517" s="17" t="str">
        <x:v>not_sampled</x:v>
      </x:c>
      <x:c r="J517" s="17" t="str">
        <x:v>not_sampled</x:v>
      </x:c>
    </x:row>
    <x:row r="518" ht="46" customHeight="1">
      <x:c r="A518" s="17" t="str">
        <x:v>us</x:v>
      </x:c>
      <x:c r="B518" s="17" t="str">
        <x:v>Lipscomb University</x:v>
      </x:c>
      <x:c r="C518" s="17" t="str">
        <x:v>IPEDS discovery signal: Computer Software Engineering (CIP 14.0903)</x:v>
      </x:c>
      <x:c r="D518" s="17" t="str">
        <x:v>Unclear</x:v>
      </x:c>
      <x:c r="E518" s="17" t="str">
        <x:v>stage2_screened_out</x:v>
      </x:c>
      <x:c r="F518" s="17" t="str">
        <x:v>Only one bounded registry/program-code signal was present; no independent topical, Calendar, current-faculty, or first-audit signal was recovered.</x:v>
      </x:c>
      <x:c r="G518" s="17" t="str">
        <x:v>Does the current official catalog contain a research graduate program matching the applicant's topics?</x:v>
      </x:c>
      <x:c r="H518" s="17" t="str">
        <x:v>https://www.lipscomb.edu</x:v>
      </x:c>
      <x:c r="I518" s="17" t="str">
        <x:v>not_sampled</x:v>
      </x:c>
      <x:c r="J518" s="17" t="str">
        <x:v>not_sampled</x:v>
      </x:c>
    </x:row>
    <x:row r="519" ht="46" customHeight="1">
      <x:c r="A519" s="17" t="str">
        <x:v>us</x:v>
      </x:c>
      <x:c r="B519" s="17" t="str">
        <x:v>Lipscomb University</x:v>
      </x:c>
      <x:c r="C519" s="17" t="str">
        <x:v>IPEDS discovery signal: Informatics (CIP 11.0104)</x:v>
      </x:c>
      <x:c r="D519" s="17" t="str">
        <x:v>Unclear</x:v>
      </x:c>
      <x:c r="E519" s="17" t="str">
        <x:v>stage2_screened_out</x:v>
      </x:c>
      <x:c r="F519" s="17" t="str">
        <x:v>Only one bounded registry/program-code signal was present; no independent topical, Calendar, current-faculty, or first-audit signal was recovered.</x:v>
      </x:c>
      <x:c r="G519" s="17" t="str">
        <x:v>Does the current official catalog contain a research graduate program matching the applicant's topics?</x:v>
      </x:c>
      <x:c r="H519" s="17" t="str">
        <x:v>https://www.lipscomb.edu</x:v>
      </x:c>
      <x:c r="I519" s="17" t="str">
        <x:v>not_sampled</x:v>
      </x:c>
      <x:c r="J519" s="17" t="str">
        <x:v>not_sampled</x:v>
      </x:c>
    </x:row>
    <x:row r="520" ht="46" customHeight="1">
      <x:c r="A520" s="17" t="str">
        <x:v>us</x:v>
      </x:c>
      <x:c r="B520" s="17" t="str">
        <x:v>Long Island University</x:v>
      </x:c>
      <x:c r="C520" s="17" t="str">
        <x:v>IPEDS discovery signal: Artificial Intelligence (CIP 11.0102)</x:v>
      </x:c>
      <x:c r="D520" s="17" t="str">
        <x:v>Unclear</x:v>
      </x:c>
      <x:c r="E520" s="17" t="str">
        <x:v>stage2_screened_out</x:v>
      </x:c>
      <x:c r="F520" s="17" t="str">
        <x:v>Only one bounded registry/program-code signal was present; no independent topical, Calendar, current-faculty, or first-audit signal was recovered.</x:v>
      </x:c>
      <x:c r="G520" s="17" t="str">
        <x:v>Does the current official catalog contain a research graduate program matching the applicant's topics?</x:v>
      </x:c>
      <x:c r="H520" s="17" t="str">
        <x:v>https://www.liu.edu</x:v>
      </x:c>
      <x:c r="I520" s="17" t="str">
        <x:v>not_sampled</x:v>
      </x:c>
      <x:c r="J520" s="17" t="str">
        <x:v>not_sampled</x:v>
      </x:c>
    </x:row>
    <x:row r="521" ht="46" customHeight="1">
      <x:c r="A521" s="17" t="str">
        <x:v>us</x:v>
      </x:c>
      <x:c r="B521" s="17" t="str">
        <x:v>Long Island University</x:v>
      </x:c>
      <x:c r="C521" s="17" t="str">
        <x:v>IPEDS discovery signal: Computer and Information Sciences, General (CIP 11.0101)</x:v>
      </x:c>
      <x:c r="D521" s="17" t="str">
        <x:v>Unclear</x:v>
      </x:c>
      <x:c r="E521" s="17" t="str">
        <x:v>stage2_screened_out</x:v>
      </x:c>
      <x:c r="F521" s="17" t="str">
        <x:v>Only one bounded registry/program-code signal was present; no independent topical, Calendar, current-faculty, or first-audit signal was recovered.</x:v>
      </x:c>
      <x:c r="G521" s="17" t="str">
        <x:v>Does the current official catalog contain a research graduate program matching the applicant's topics?</x:v>
      </x:c>
      <x:c r="H521" s="17" t="str">
        <x:v>https://www.liu.edu</x:v>
      </x:c>
      <x:c r="I521" s="17" t="str">
        <x:v>not_sampled</x:v>
      </x:c>
      <x:c r="J521" s="17" t="str">
        <x:v>not_sampled</x:v>
      </x:c>
    </x:row>
    <x:row r="522" ht="46" customHeight="1">
      <x:c r="A522" s="17" t="str">
        <x:v>us</x:v>
      </x:c>
      <x:c r="B522" s="17" t="str">
        <x:v>Long Island University</x:v>
      </x:c>
      <x:c r="C522" s="17" t="str">
        <x:v>IPEDS discovery signal: Data Analytics, General (CIP 30.7101)</x:v>
      </x:c>
      <x:c r="D522" s="17" t="str">
        <x:v>Unclear</x:v>
      </x:c>
      <x:c r="E522" s="17" t="str">
        <x:v>stage2_screened_out</x:v>
      </x:c>
      <x:c r="F522" s="17" t="str">
        <x:v>Only one bounded registry/program-code signal was present; no independent topical, Calendar, current-faculty, or first-audit signal was recovered.</x:v>
      </x:c>
      <x:c r="G522" s="17" t="str">
        <x:v>Does the current official catalog contain a research graduate program matching the applicant's topics?</x:v>
      </x:c>
      <x:c r="H522" s="17" t="str">
        <x:v>https://www.liu.edu</x:v>
      </x:c>
      <x:c r="I522" s="17" t="str">
        <x:v>not_sampled</x:v>
      </x:c>
      <x:c r="J522" s="17" t="str">
        <x:v>not_sampled</x:v>
      </x:c>
    </x:row>
    <x:row r="523" ht="46" customHeight="1">
      <x:c r="A523" s="17" t="str">
        <x:v>us</x:v>
      </x:c>
      <x:c r="B523" s="17" t="str">
        <x:v>Long Island University</x:v>
      </x:c>
      <x:c r="C523" s="17" t="str">
        <x:v>IPEDS discovery signal: Information Science/Studies (CIP 11.0401)</x:v>
      </x:c>
      <x:c r="D523" s="17" t="str">
        <x:v>Unclear</x:v>
      </x:c>
      <x:c r="E523" s="17" t="str">
        <x:v>stage2_screened_out</x:v>
      </x:c>
      <x:c r="F523" s="17" t="str">
        <x:v>Only one bounded registry/program-code signal was present; no independent topical, Calendar, current-faculty, or first-audit signal was recovered.</x:v>
      </x:c>
      <x:c r="G523" s="17" t="str">
        <x:v>Does the current official catalog contain a research graduate program matching the applicant's topics?</x:v>
      </x:c>
      <x:c r="H523" s="17" t="str">
        <x:v>https://www.liu.edu</x:v>
      </x:c>
      <x:c r="I523" s="17" t="str">
        <x:v>not_sampled</x:v>
      </x:c>
      <x:c r="J523" s="17" t="str">
        <x:v>not_sampled</x:v>
      </x:c>
    </x:row>
    <x:row r="524" ht="46" customHeight="1">
      <x:c r="A524" s="17" t="str">
        <x:v>us</x:v>
      </x:c>
      <x:c r="B524" s="17" t="str">
        <x:v>Loras College</x:v>
      </x:c>
      <x:c r="C524" s="17" t="str">
        <x:v>IPEDS discovery signal: Data Analytics, General (CIP 30.7101)</x:v>
      </x:c>
      <x:c r="D524" s="17" t="str">
        <x:v>Unclear</x:v>
      </x:c>
      <x:c r="E524" s="17" t="str">
        <x:v>stage2_screened_out</x:v>
      </x:c>
      <x:c r="F524" s="17" t="str">
        <x:v>Only one bounded registry/program-code signal was present; no independent topical, Calendar, current-faculty, or first-audit signal was recovered.</x:v>
      </x:c>
      <x:c r="G524" s="17" t="str">
        <x:v>Does the current official catalog contain a research graduate program matching the applicant's topics?</x:v>
      </x:c>
      <x:c r="H524" s="17" t="str">
        <x:v>https://www.loras.edu</x:v>
      </x:c>
      <x:c r="I524" s="17" t="str">
        <x:v>not_sampled</x:v>
      </x:c>
      <x:c r="J524" s="17" t="str">
        <x:v>not_sampled</x:v>
      </x:c>
    </x:row>
    <x:row r="525" ht="46" customHeight="1">
      <x:c r="A525" s="17" t="str">
        <x:v>us</x:v>
      </x:c>
      <x:c r="B525" s="17" t="str">
        <x:v>Louisiana State University and Agricultural &amp; Mechanical College</x:v>
      </x:c>
      <x:c r="C525" s="17" t="str">
        <x:v>IPEDS discovery signal: Computer Science (CIP 11.0701)</x:v>
      </x:c>
      <x:c r="D525" s="17" t="str">
        <x:v>Unclear</x:v>
      </x:c>
      <x:c r="E525" s="17" t="str">
        <x:v>stage2_screened_out</x:v>
      </x:c>
      <x:c r="F525" s="17" t="str">
        <x:v>Only one bounded registry/program-code signal was present; no independent topical, Calendar, current-faculty, or first-audit signal was recovered.</x:v>
      </x:c>
      <x:c r="G525" s="17" t="str">
        <x:v>Does the current official catalog contain a research graduate program matching the applicant's topics?</x:v>
      </x:c>
      <x:c r="H525" s="17" t="str">
        <x:v>https://www.lsu.edu</x:v>
      </x:c>
      <x:c r="I525" s="17" t="str">
        <x:v>not_sampled</x:v>
      </x:c>
      <x:c r="J525" s="17" t="str">
        <x:v>not_sampled</x:v>
      </x:c>
    </x:row>
    <x:row r="526" ht="46" customHeight="1">
      <x:c r="A526" s="17" t="str">
        <x:v>us</x:v>
      </x:c>
      <x:c r="B526" s="17" t="str">
        <x:v>Louisiana State University and Agricultural &amp; Mechanical College</x:v>
      </x:c>
      <x:c r="C526" s="17" t="str">
        <x:v>IPEDS discovery signal: Electrical and Electronics Engineering (CIP 14.1001)</x:v>
      </x:c>
      <x:c r="D526" s="17" t="str">
        <x:v>Unclear</x:v>
      </x:c>
      <x:c r="E526" s="17" t="str">
        <x:v>stage2_screened_out</x:v>
      </x:c>
      <x:c r="F526" s="17" t="str">
        <x:v>Only one bounded registry/program-code signal was present; no independent topical, Calendar, current-faculty, or first-audit signal was recovered.</x:v>
      </x:c>
      <x:c r="G526" s="17" t="str">
        <x:v>Does the current official catalog contain a research graduate program matching the applicant's topics?</x:v>
      </x:c>
      <x:c r="H526" s="17" t="str">
        <x:v>https://www.lsu.edu</x:v>
      </x:c>
      <x:c r="I526" s="17" t="str">
        <x:v>not_sampled</x:v>
      </x:c>
      <x:c r="J526" s="17" t="str">
        <x:v>not_sampled</x:v>
      </x:c>
    </x:row>
    <x:row r="527" ht="46" customHeight="1">
      <x:c r="A527" s="17" t="str">
        <x:v>us</x:v>
      </x:c>
      <x:c r="B527" s="17" t="str">
        <x:v>Louisiana State University-Shreveport</x:v>
      </x:c>
      <x:c r="C527" s="17" t="str">
        <x:v>IPEDS discovery signal: Computer and Information Sciences, General (CIP 11.0101)</x:v>
      </x:c>
      <x:c r="D527" s="17" t="str">
        <x:v>Unclear</x:v>
      </x:c>
      <x:c r="E527" s="17" t="str">
        <x:v>stage2_screened_out</x:v>
      </x:c>
      <x:c r="F527" s="17" t="str">
        <x:v>Only one bounded registry/program-code signal was present; no independent topical, Calendar, current-faculty, or first-audit signal was recovered.</x:v>
      </x:c>
      <x:c r="G527" s="17" t="str">
        <x:v>Does the current official catalog contain a research graduate program matching the applicant's topics?</x:v>
      </x:c>
      <x:c r="H527" s="17" t="str">
        <x:v>https://www.lsus.edu</x:v>
      </x:c>
      <x:c r="I527" s="17" t="str">
        <x:v>not_sampled</x:v>
      </x:c>
      <x:c r="J527" s="17" t="str">
        <x:v>not_sampled</x:v>
      </x:c>
    </x:row>
    <x:row r="528" ht="46" customHeight="1">
      <x:c r="A528" s="17" t="str">
        <x:v>us</x:v>
      </x:c>
      <x:c r="B528" s="17" t="str">
        <x:v>Louisiana State University-Shreveport</x:v>
      </x:c>
      <x:c r="C528" s="17" t="str">
        <x:v>IPEDS discovery signal: Information Science/Studies (CIP 11.0401)</x:v>
      </x:c>
      <x:c r="D528" s="17" t="str">
        <x:v>Unclear</x:v>
      </x:c>
      <x:c r="E528" s="17" t="str">
        <x:v>stage2_screened_out</x:v>
      </x:c>
      <x:c r="F528" s="17" t="str">
        <x:v>Only one bounded registry/program-code signal was present; no independent topical, Calendar, current-faculty, or first-audit signal was recovered.</x:v>
      </x:c>
      <x:c r="G528" s="17" t="str">
        <x:v>Does the current official catalog contain a research graduate program matching the applicant's topics?</x:v>
      </x:c>
      <x:c r="H528" s="17" t="str">
        <x:v>https://www.lsus.edu</x:v>
      </x:c>
      <x:c r="I528" s="17" t="str">
        <x:v>not_sampled</x:v>
      </x:c>
      <x:c r="J528" s="17" t="str">
        <x:v>not_sampled</x:v>
      </x:c>
    </x:row>
    <x:row r="529" ht="46" customHeight="1">
      <x:c r="A529" s="17" t="str">
        <x:v>us</x:v>
      </x:c>
      <x:c r="B529" s="17" t="str">
        <x:v>Louisiana Tech University</x:v>
      </x:c>
      <x:c r="C529" s="17" t="str">
        <x:v>IPEDS discovery signal: Computer Science (CIP 11.0701)</x:v>
      </x:c>
      <x:c r="D529" s="17" t="str">
        <x:v>Unclear</x:v>
      </x:c>
      <x:c r="E529" s="17" t="str">
        <x:v>stage2_screened_out</x:v>
      </x:c>
      <x:c r="F529" s="17" t="str">
        <x:v>Only one bounded registry/program-code signal was present; no independent topical, Calendar, current-faculty, or first-audit signal was recovered.</x:v>
      </x:c>
      <x:c r="G529" s="17" t="str">
        <x:v>Does the current official catalog contain a research graduate program matching the applicant's topics?</x:v>
      </x:c>
      <x:c r="H529" s="17" t="str">
        <x:v>https://www.latech.edu</x:v>
      </x:c>
      <x:c r="I529" s="17" t="str">
        <x:v>not_sampled</x:v>
      </x:c>
      <x:c r="J529" s="17" t="str">
        <x:v>not_sampled</x:v>
      </x:c>
    </x:row>
    <x:row r="530" ht="46" customHeight="1">
      <x:c r="A530" s="17" t="str">
        <x:v>us</x:v>
      </x:c>
      <x:c r="B530" s="17" t="str">
        <x:v>Loyola Marymount University</x:v>
      </x:c>
      <x:c r="C530" s="17" t="str">
        <x:v>IPEDS discovery signal: Computer and Information Sciences, General (CIP 11.0101)</x:v>
      </x:c>
      <x:c r="D530" s="17" t="str">
        <x:v>Unclear</x:v>
      </x:c>
      <x:c r="E530" s="17" t="str">
        <x:v>stage2_screened_out</x:v>
      </x:c>
      <x:c r="F530" s="17" t="str">
        <x:v>Only one bounded registry/program-code signal was present; no independent topical, Calendar, current-faculty, or first-audit signal was recovered.</x:v>
      </x:c>
      <x:c r="G530" s="17" t="str">
        <x:v>Does the current official catalog contain a research graduate program matching the applicant's topics?</x:v>
      </x:c>
      <x:c r="H530" s="17" t="str">
        <x:v>https://www.lmu.edu</x:v>
      </x:c>
      <x:c r="I530" s="17" t="str">
        <x:v>not_sampled</x:v>
      </x:c>
      <x:c r="J530" s="17" t="str">
        <x:v>not_sampled</x:v>
      </x:c>
    </x:row>
    <x:row r="531" ht="46" customHeight="1">
      <x:c r="A531" s="17" t="str">
        <x:v>us</x:v>
      </x:c>
      <x:c r="B531" s="17" t="str">
        <x:v>Loyola Marymount University</x:v>
      </x:c>
      <x:c r="C531" s="17" t="str">
        <x:v>IPEDS discovery signal: Computer Engineering, General (CIP 14.0901)</x:v>
      </x:c>
      <x:c r="D531" s="17" t="str">
        <x:v>Unclear</x:v>
      </x:c>
      <x:c r="E531" s="17" t="str">
        <x:v>stage2_screened_out</x:v>
      </x:c>
      <x:c r="F531" s="17" t="str">
        <x:v>Only one bounded registry/program-code signal was present; no independent topical, Calendar, current-faculty, or first-audit signal was recovered.</x:v>
      </x:c>
      <x:c r="G531" s="17" t="str">
        <x:v>Does the current official catalog contain a research graduate program matching the applicant's topics?</x:v>
      </x:c>
      <x:c r="H531" s="17" t="str">
        <x:v>https://www.lmu.edu</x:v>
      </x:c>
      <x:c r="I531" s="17" t="str">
        <x:v>not_sampled</x:v>
      </x:c>
      <x:c r="J531" s="17" t="str">
        <x:v>not_sampled</x:v>
      </x:c>
    </x:row>
    <x:row r="532" ht="46" customHeight="1">
      <x:c r="A532" s="17" t="str">
        <x:v>us</x:v>
      </x:c>
      <x:c r="B532" s="17" t="str">
        <x:v>Loyola Marymount University</x:v>
      </x:c>
      <x:c r="C532" s="17" t="str">
        <x:v>IPEDS discovery signal: Electrical and Electronics Engineering (CIP 14.1001)</x:v>
      </x:c>
      <x:c r="D532" s="17" t="str">
        <x:v>Unclear</x:v>
      </x:c>
      <x:c r="E532" s="17" t="str">
        <x:v>stage2_screened_out</x:v>
      </x:c>
      <x:c r="F532" s="17" t="str">
        <x:v>Only one bounded registry/program-code signal was present; no independent topical, Calendar, current-faculty, or first-audit signal was recovered.</x:v>
      </x:c>
      <x:c r="G532" s="17" t="str">
        <x:v>Does the current official catalog contain a research graduate program matching the applicant's topics?</x:v>
      </x:c>
      <x:c r="H532" s="17" t="str">
        <x:v>https://www.lmu.edu</x:v>
      </x:c>
      <x:c r="I532" s="17" t="str">
        <x:v>not_sampled</x:v>
      </x:c>
      <x:c r="J532" s="17" t="str">
        <x:v>not_sampled</x:v>
      </x:c>
    </x:row>
    <x:row r="533" ht="46" customHeight="1">
      <x:c r="A533" s="17" t="str">
        <x:v>us</x:v>
      </x:c>
      <x:c r="B533" s="17" t="str">
        <x:v>Loyola University Chicago</x:v>
      </x:c>
      <x:c r="C533" s="17" t="str">
        <x:v>IPEDS discovery signal: Computer Software Engineering (CIP 14.0903)</x:v>
      </x:c>
      <x:c r="D533" s="17" t="str">
        <x:v>Unclear</x:v>
      </x:c>
      <x:c r="E533" s="17" t="str">
        <x:v>stage2_screened_out</x:v>
      </x:c>
      <x:c r="F533" s="17" t="str">
        <x:v>Duplicate mechanical discovery signal consolidated into one institution-level catalog review candidate.</x:v>
      </x:c>
      <x:c r="G533" s="17" t="str">
        <x:v>Does the current official catalog contain a research graduate program matching the applicant's topics?</x:v>
      </x:c>
      <x:c r="H533" s="17" t="str">
        <x:v>https://www.luc.edu</x:v>
      </x:c>
      <x:c r="I533" s="17" t="str">
        <x:v>not_sampled</x:v>
      </x:c>
      <x:c r="J533" s="17" t="str">
        <x:v>not_sampled</x:v>
      </x:c>
    </x:row>
    <x:row r="534" ht="46" customHeight="1">
      <x:c r="A534" s="17" t="str">
        <x:v>us</x:v>
      </x:c>
      <x:c r="B534" s="17" t="str">
        <x:v>Loyola University Chicago</x:v>
      </x:c>
      <x:c r="C534" s="17" t="str">
        <x:v>IPEDS discovery signal: Data Science, General (CIP 30.7001)</x:v>
      </x:c>
      <x:c r="D534" s="17" t="str">
        <x:v>Unclear</x:v>
      </x:c>
      <x:c r="E534" s="17" t="str">
        <x:v>stage2_screened_out</x:v>
      </x:c>
      <x:c r="F534" s="17" t="str">
        <x:v>Duplicate mechanical discovery signal consolidated into one institution-level catalog review candidate.</x:v>
      </x:c>
      <x:c r="G534" s="17" t="str">
        <x:v>Does the current official catalog contain a research graduate program matching the applicant's topics?</x:v>
      </x:c>
      <x:c r="H534" s="17" t="str">
        <x:v>https://www.luc.edu</x:v>
      </x:c>
      <x:c r="I534" s="17" t="str">
        <x:v>not_sampled</x:v>
      </x:c>
      <x:c r="J534" s="17" t="str">
        <x:v>not_sampled</x:v>
      </x:c>
    </x:row>
    <x:row r="535" ht="46" customHeight="1">
      <x:c r="A535" s="17" t="str">
        <x:v>us</x:v>
      </x:c>
      <x:c r="B535" s="17" t="str">
        <x:v>Loyola University Chicago</x:v>
      </x:c>
      <x:c r="C535" s="17" t="str">
        <x:v>IPEDS discovery signal: Information Technology (CIP 11.0103)</x:v>
      </x:c>
      <x:c r="D535" s="17" t="str">
        <x:v>Unclear</x:v>
      </x:c>
      <x:c r="E535" s="17" t="str">
        <x:v>stage2_screened_out</x:v>
      </x:c>
      <x:c r="F535" s="17" t="str">
        <x:v>Duplicate mechanical discovery signal consolidated into one institution-level catalog review candidate.</x:v>
      </x:c>
      <x:c r="G535" s="17" t="str">
        <x:v>Does the current official catalog contain a research graduate program matching the applicant's topics?</x:v>
      </x:c>
      <x:c r="H535" s="17" t="str">
        <x:v>https://www.luc.edu</x:v>
      </x:c>
      <x:c r="I535" s="17" t="str">
        <x:v>not_sampled</x:v>
      </x:c>
      <x:c r="J535" s="17" t="str">
        <x:v>not_sampled</x:v>
      </x:c>
    </x:row>
    <x:row r="536" ht="46" customHeight="1">
      <x:c r="A536" s="17" t="str">
        <x:v>us</x:v>
      </x:c>
      <x:c r="B536" s="17" t="str">
        <x:v>Loyola University Maryland</x:v>
      </x:c>
      <x:c r="C536" s="17" t="str">
        <x:v>IPEDS discovery signal: Information Science/Studies (CIP 11.0401)</x:v>
      </x:c>
      <x:c r="D536" s="17" t="str">
        <x:v>Unclear</x:v>
      </x:c>
      <x:c r="E536" s="17" t="str">
        <x:v>stage2_screened_out</x:v>
      </x:c>
      <x:c r="F536" s="17" t="str">
        <x:v>Only one bounded registry/program-code signal was present; no independent topical, Calendar, current-faculty, or first-audit signal was recovered.</x:v>
      </x:c>
      <x:c r="G536" s="17" t="str">
        <x:v>Does the current official catalog contain a research graduate program matching the applicant's topics?</x:v>
      </x:c>
      <x:c r="H536" s="17" t="str">
        <x:v>https://www.loyola.edu</x:v>
      </x:c>
      <x:c r="I536" s="17" t="str">
        <x:v>not_sampled</x:v>
      </x:c>
      <x:c r="J536" s="17" t="str">
        <x:v>not_sampled</x:v>
      </x:c>
    </x:row>
    <x:row r="537" ht="46" customHeight="1">
      <x:c r="A537" s="17" t="str">
        <x:v>us</x:v>
      </x:c>
      <x:c r="B537" s="17" t="str">
        <x:v>Maharishi International University</x:v>
      </x:c>
      <x:c r="C537" s="17" t="str">
        <x:v>IPEDS discovery signal: Computer Science (CIP 11.0701)</x:v>
      </x:c>
      <x:c r="D537" s="17" t="str">
        <x:v>Unclear</x:v>
      </x:c>
      <x:c r="E537" s="17" t="str">
        <x:v>stage2_screened_out</x:v>
      </x:c>
      <x:c r="F537" s="17" t="str">
        <x:v>Only one bounded registry/program-code signal was present; no independent topical, Calendar, current-faculty, or first-audit signal was recovered.</x:v>
      </x:c>
      <x:c r="G537" s="17" t="str">
        <x:v>Does the current official catalog contain a research graduate program matching the applicant's topics?</x:v>
      </x:c>
      <x:c r="H537" s="17" t="str">
        <x:v>https://www.miu.edu</x:v>
      </x:c>
      <x:c r="I537" s="17" t="str">
        <x:v>not_sampled</x:v>
      </x:c>
      <x:c r="J537" s="17" t="str">
        <x:v>not_sampled</x:v>
      </x:c>
    </x:row>
    <x:row r="538" ht="46" customHeight="1">
      <x:c r="A538" s="17" t="str">
        <x:v>us</x:v>
      </x:c>
      <x:c r="B538" s="17" t="str">
        <x:v>Manhattan University</x:v>
      </x:c>
      <x:c r="C538" s="17" t="str">
        <x:v>IPEDS discovery signal: Computer and Information Sciences, General (CIP 11.0101)</x:v>
      </x:c>
      <x:c r="D538" s="17" t="str">
        <x:v>Unclear</x:v>
      </x:c>
      <x:c r="E538" s="17" t="str">
        <x:v>stage2_screened_out</x:v>
      </x:c>
      <x:c r="F538" s="17" t="str">
        <x:v>Only one bounded registry/program-code signal was present; no independent topical, Calendar, current-faculty, or first-audit signal was recovered.</x:v>
      </x:c>
      <x:c r="G538" s="17" t="str">
        <x:v>Does the current official catalog contain a research graduate program matching the applicant's topics?</x:v>
      </x:c>
      <x:c r="H538" s="17" t="str">
        <x:v>https://www.manhattan.edu</x:v>
      </x:c>
      <x:c r="I538" s="17" t="str">
        <x:v>not_sampled</x:v>
      </x:c>
      <x:c r="J538" s="17" t="str">
        <x:v>not_sampled</x:v>
      </x:c>
    </x:row>
    <x:row r="539" ht="46" customHeight="1">
      <x:c r="A539" s="17" t="str">
        <x:v>us</x:v>
      </x:c>
      <x:c r="B539" s="17" t="str">
        <x:v>Manhattan University</x:v>
      </x:c>
      <x:c r="C539" s="17" t="str">
        <x:v>IPEDS discovery signal: Computer Engineering, General (CIP 14.0901)</x:v>
      </x:c>
      <x:c r="D539" s="17" t="str">
        <x:v>Unclear</x:v>
      </x:c>
      <x:c r="E539" s="17" t="str">
        <x:v>stage2_screened_out</x:v>
      </x:c>
      <x:c r="F539" s="17" t="str">
        <x:v>Only one bounded registry/program-code signal was present; no independent topical, Calendar, current-faculty, or first-audit signal was recovered.</x:v>
      </x:c>
      <x:c r="G539" s="17" t="str">
        <x:v>Does the current official catalog contain a research graduate program matching the applicant's topics?</x:v>
      </x:c>
      <x:c r="H539" s="17" t="str">
        <x:v>https://www.manhattan.edu</x:v>
      </x:c>
      <x:c r="I539" s="17" t="str">
        <x:v>not_sampled</x:v>
      </x:c>
      <x:c r="J539" s="17" t="str">
        <x:v>not_sampled</x:v>
      </x:c>
    </x:row>
    <x:row r="540" ht="46" customHeight="1">
      <x:c r="A540" s="17" t="str">
        <x:v>us</x:v>
      </x:c>
      <x:c r="B540" s="17" t="str">
        <x:v>Manhattan University</x:v>
      </x:c>
      <x:c r="C540" s="17" t="str">
        <x:v>IPEDS discovery signal: Electrical and Electronics Engineering (CIP 14.1001)</x:v>
      </x:c>
      <x:c r="D540" s="17" t="str">
        <x:v>Unclear</x:v>
      </x:c>
      <x:c r="E540" s="17" t="str">
        <x:v>stage2_screened_out</x:v>
      </x:c>
      <x:c r="F540" s="17" t="str">
        <x:v>Only one bounded registry/program-code signal was present; no independent topical, Calendar, current-faculty, or first-audit signal was recovered.</x:v>
      </x:c>
      <x:c r="G540" s="17" t="str">
        <x:v>Does the current official catalog contain a research graduate program matching the applicant's topics?</x:v>
      </x:c>
      <x:c r="H540" s="17" t="str">
        <x:v>https://www.manhattan.edu</x:v>
      </x:c>
      <x:c r="I540" s="17" t="str">
        <x:v>not_sampled</x:v>
      </x:c>
      <x:c r="J540" s="17" t="str">
        <x:v>not_sampled</x:v>
      </x:c>
    </x:row>
    <x:row r="541" ht="46" customHeight="1">
      <x:c r="A541" s="17" t="str">
        <x:v>us</x:v>
      </x:c>
      <x:c r="B541" s="17" t="str">
        <x:v>Marist University</x:v>
      </x:c>
      <x:c r="C541" s="17" t="str">
        <x:v>IPEDS discovery signal: Computer and Information Sciences, General (CIP 11.0101)</x:v>
      </x:c>
      <x:c r="D541" s="17" t="str">
        <x:v>Unclear</x:v>
      </x:c>
      <x:c r="E541" s="17" t="str">
        <x:v>stage2_screened_out</x:v>
      </x:c>
      <x:c r="F541" s="17" t="str">
        <x:v>Only one bounded registry/program-code signal was present; no independent topical, Calendar, current-faculty, or first-audit signal was recovered.</x:v>
      </x:c>
      <x:c r="G541" s="17" t="str">
        <x:v>Does the current official catalog contain a research graduate program matching the applicant's topics?</x:v>
      </x:c>
      <x:c r="H541" s="17" t="str">
        <x:v>https://www.marist.edu</x:v>
      </x:c>
      <x:c r="I541" s="17" t="str">
        <x:v>not_sampled</x:v>
      </x:c>
      <x:c r="J541" s="17" t="str">
        <x:v>not_sampled</x:v>
      </x:c>
    </x:row>
    <x:row r="542" ht="46" customHeight="1">
      <x:c r="A542" s="17" t="str">
        <x:v>us</x:v>
      </x:c>
      <x:c r="B542" s="17" t="str">
        <x:v>Marquette University</x:v>
      </x:c>
      <x:c r="C542" s="17" t="str">
        <x:v>IPEDS discovery signal: Computer Science (CIP 11.0701)</x:v>
      </x:c>
      <x:c r="D542" s="17" t="str">
        <x:v>Unclear</x:v>
      </x:c>
      <x:c r="E542" s="17" t="str">
        <x:v>stage2_screened_out</x:v>
      </x:c>
      <x:c r="F542" s="17" t="str">
        <x:v>Duplicate mechanical discovery signal consolidated into one institution-level catalog review candidate.</x:v>
      </x:c>
      <x:c r="G542" s="17" t="str">
        <x:v>Does the current official catalog contain a research graduate program matching the applicant's topics?</x:v>
      </x:c>
      <x:c r="H542" s="17" t="str">
        <x:v>https://www.marquette.edu</x:v>
      </x:c>
      <x:c r="I542" s="17" t="str">
        <x:v>not_sampled</x:v>
      </x:c>
      <x:c r="J542" s="17" t="str">
        <x:v>not_sampled</x:v>
      </x:c>
    </x:row>
    <x:row r="543" ht="46" customHeight="1">
      <x:c r="A543" s="17" t="str">
        <x:v>us</x:v>
      </x:c>
      <x:c r="B543" s="17" t="str">
        <x:v>Marquette University</x:v>
      </x:c>
      <x:c r="C543" s="17" t="str">
        <x:v>IPEDS discovery signal: Electrical and Electronics Engineering (CIP 14.1001)</x:v>
      </x:c>
      <x:c r="D543" s="17" t="str">
        <x:v>Unclear</x:v>
      </x:c>
      <x:c r="E543" s="17" t="str">
        <x:v>stage2_screened_out</x:v>
      </x:c>
      <x:c r="F543" s="17" t="str">
        <x:v>Duplicate mechanical discovery signal consolidated into one institution-level catalog review candidate.</x:v>
      </x:c>
      <x:c r="G543" s="17" t="str">
        <x:v>Does the current official catalog contain a research graduate program matching the applicant's topics?</x:v>
      </x:c>
      <x:c r="H543" s="17" t="str">
        <x:v>https://www.marquette.edu</x:v>
      </x:c>
      <x:c r="I543" s="17" t="str">
        <x:v>not_sampled</x:v>
      </x:c>
      <x:c r="J543" s="17" t="str">
        <x:v>not_sampled</x:v>
      </x:c>
    </x:row>
    <x:row r="544" ht="46" customHeight="1">
      <x:c r="A544" s="17" t="str">
        <x:v>us</x:v>
      </x:c>
      <x:c r="B544" s="17" t="str">
        <x:v>Marquette University</x:v>
      </x:c>
      <x:c r="C544" s="17" t="str">
        <x:v>IPEDS discovery signal: Information Science/Studies (CIP 11.0401)</x:v>
      </x:c>
      <x:c r="D544" s="17" t="str">
        <x:v>Unclear</x:v>
      </x:c>
      <x:c r="E544" s="17" t="str">
        <x:v>stage2_screened_out</x:v>
      </x:c>
      <x:c r="F544" s="17" t="str">
        <x:v>Duplicate mechanical discovery signal consolidated into one institution-level catalog review candidate.</x:v>
      </x:c>
      <x:c r="G544" s="17" t="str">
        <x:v>Does the current official catalog contain a research graduate program matching the applicant's topics?</x:v>
      </x:c>
      <x:c r="H544" s="17" t="str">
        <x:v>https://www.marquette.edu</x:v>
      </x:c>
      <x:c r="I544" s="17" t="str">
        <x:v>not_sampled</x:v>
      </x:c>
      <x:c r="J544" s="17" t="str">
        <x:v>not_sampled</x:v>
      </x:c>
    </x:row>
    <x:row r="545" ht="46" customHeight="1">
      <x:c r="A545" s="17" t="str">
        <x:v>us</x:v>
      </x:c>
      <x:c r="B545" s="17" t="str">
        <x:v>Marshall University</x:v>
      </x:c>
      <x:c r="C545" s="17" t="str">
        <x:v>IPEDS discovery signal: Computer and Information Sciences, General (CIP 11.0101)</x:v>
      </x:c>
      <x:c r="D545" s="17" t="str">
        <x:v>Unclear</x:v>
      </x:c>
      <x:c r="E545" s="17" t="str">
        <x:v>stage2_screened_out</x:v>
      </x:c>
      <x:c r="F545" s="17" t="str">
        <x:v>Only one bounded registry/program-code signal was present; no independent topical, Calendar, current-faculty, or first-audit signal was recovered.</x:v>
      </x:c>
      <x:c r="G545" s="17" t="str">
        <x:v>Does the current official catalog contain a research graduate program matching the applicant's topics?</x:v>
      </x:c>
      <x:c r="H545" s="17" t="str">
        <x:v>https://www.marshall.edu</x:v>
      </x:c>
      <x:c r="I545" s="17" t="str">
        <x:v>not_sampled</x:v>
      </x:c>
      <x:c r="J545" s="17" t="str">
        <x:v>not_sampled</x:v>
      </x:c>
    </x:row>
    <x:row r="546" ht="46" customHeight="1">
      <x:c r="A546" s="17" t="str">
        <x:v>us</x:v>
      </x:c>
      <x:c r="B546" s="17" t="str">
        <x:v>Marshall University</x:v>
      </x:c>
      <x:c r="C546" s="17" t="str">
        <x:v>IPEDS discovery signal: Computer and Information Systems Security/Auditing/Information Assurance (CIP 11.1003)</x:v>
      </x:c>
      <x:c r="D546" s="17" t="str">
        <x:v>Unclear</x:v>
      </x:c>
      <x:c r="E546" s="17" t="str">
        <x:v>stage2_screened_out</x:v>
      </x:c>
      <x:c r="F546" s="17" t="str">
        <x:v>Only one bounded registry/program-code signal was present; no independent topical, Calendar, current-faculty, or first-audit signal was recovered.</x:v>
      </x:c>
      <x:c r="G546" s="17" t="str">
        <x:v>Does the current official catalog contain a research graduate program matching the applicant's topics?</x:v>
      </x:c>
      <x:c r="H546" s="17" t="str">
        <x:v>https://www.marshall.edu</x:v>
      </x:c>
      <x:c r="I546" s="17" t="str">
        <x:v>not_sampled</x:v>
      </x:c>
      <x:c r="J546" s="17" t="str">
        <x:v>not_sampled</x:v>
      </x:c>
    </x:row>
    <x:row r="547" ht="46" customHeight="1">
      <x:c r="A547" s="17" t="str">
        <x:v>us</x:v>
      </x:c>
      <x:c r="B547" s="17" t="str">
        <x:v>Marshall University</x:v>
      </x:c>
      <x:c r="C547" s="17" t="str">
        <x:v>IPEDS discovery signal: Cyber/Computer Forensics and Counterterrorism (CIP 43.0403)</x:v>
      </x:c>
      <x:c r="D547" s="17" t="str">
        <x:v>Unclear</x:v>
      </x:c>
      <x:c r="E547" s="17" t="str">
        <x:v>stage2_screened_out</x:v>
      </x:c>
      <x:c r="F547" s="17" t="str">
        <x:v>Only one bounded registry/program-code signal was present; no independent topical, Calendar, current-faculty, or first-audit signal was recovered.</x:v>
      </x:c>
      <x:c r="G547" s="17" t="str">
        <x:v>Does the current official catalog contain a research graduate program matching the applicant's topics?</x:v>
      </x:c>
      <x:c r="H547" s="17" t="str">
        <x:v>https://www.marshall.edu</x:v>
      </x:c>
      <x:c r="I547" s="17" t="str">
        <x:v>not_sampled</x:v>
      </x:c>
      <x:c r="J547" s="17" t="str">
        <x:v>not_sampled</x:v>
      </x:c>
    </x:row>
    <x:row r="548" ht="46" customHeight="1">
      <x:c r="A548" s="17" t="str">
        <x:v>us</x:v>
      </x:c>
      <x:c r="B548" s="17" t="str">
        <x:v>Marshall University</x:v>
      </x:c>
      <x:c r="C548" s="17" t="str">
        <x:v>IPEDS discovery signal: Data Science, General (CIP 30.7001)</x:v>
      </x:c>
      <x:c r="D548" s="17" t="str">
        <x:v>Unclear</x:v>
      </x:c>
      <x:c r="E548" s="17" t="str">
        <x:v>stage2_screened_out</x:v>
      </x:c>
      <x:c r="F548" s="17" t="str">
        <x:v>Only one bounded registry/program-code signal was present; no independent topical, Calendar, current-faculty, or first-audit signal was recovered.</x:v>
      </x:c>
      <x:c r="G548" s="17" t="str">
        <x:v>Does the current official catalog contain a research graduate program matching the applicant's topics?</x:v>
      </x:c>
      <x:c r="H548" s="17" t="str">
        <x:v>https://www.marshall.edu</x:v>
      </x:c>
      <x:c r="I548" s="17" t="str">
        <x:v>not_sampled</x:v>
      </x:c>
      <x:c r="J548" s="17" t="str">
        <x:v>not_sampled</x:v>
      </x:c>
    </x:row>
    <x:row r="549" ht="46" customHeight="1">
      <x:c r="A549" s="17" t="str">
        <x:v>us</x:v>
      </x:c>
      <x:c r="B549" s="17" t="str">
        <x:v>Marshall University</x:v>
      </x:c>
      <x:c r="C549" s="17" t="str">
        <x:v>IPEDS discovery signal: Electrical and Electronics Engineering (CIP 14.1001)</x:v>
      </x:c>
      <x:c r="D549" s="17" t="str">
        <x:v>Unclear</x:v>
      </x:c>
      <x:c r="E549" s="17" t="str">
        <x:v>stage2_screened_out</x:v>
      </x:c>
      <x:c r="F549" s="17" t="str">
        <x:v>Only one bounded registry/program-code signal was present; no independent topical, Calendar, current-faculty, or first-audit signal was recovered.</x:v>
      </x:c>
      <x:c r="G549" s="17" t="str">
        <x:v>Does the current official catalog contain a research graduate program matching the applicant's topics?</x:v>
      </x:c>
      <x:c r="H549" s="17" t="str">
        <x:v>https://www.marshall.edu</x:v>
      </x:c>
      <x:c r="I549" s="17" t="str">
        <x:v>not_sampled</x:v>
      </x:c>
      <x:c r="J549" s="17" t="str">
        <x:v>not_sampled</x:v>
      </x:c>
    </x:row>
    <x:row r="550" ht="46" customHeight="1">
      <x:c r="A550" s="17" t="str">
        <x:v>us</x:v>
      </x:c>
      <x:c r="B550" s="17" t="str">
        <x:v>Marshall University</x:v>
      </x:c>
      <x:c r="C550" s="17" t="str">
        <x:v>IPEDS discovery signal: Information Science/Studies (CIP 11.0401)</x:v>
      </x:c>
      <x:c r="D550" s="17" t="str">
        <x:v>Unclear</x:v>
      </x:c>
      <x:c r="E550" s="17" t="str">
        <x:v>stage2_screened_out</x:v>
      </x:c>
      <x:c r="F550" s="17" t="str">
        <x:v>Only one bounded registry/program-code signal was present; no independent topical, Calendar, current-faculty, or first-audit signal was recovered.</x:v>
      </x:c>
      <x:c r="G550" s="17" t="str">
        <x:v>Does the current official catalog contain a research graduate program matching the applicant's topics?</x:v>
      </x:c>
      <x:c r="H550" s="17" t="str">
        <x:v>https://www.marshall.edu</x:v>
      </x:c>
      <x:c r="I550" s="17" t="str">
        <x:v>not_sampled</x:v>
      </x:c>
      <x:c r="J550" s="17" t="str">
        <x:v>not_sampled</x:v>
      </x:c>
    </x:row>
    <x:row r="551" ht="46" customHeight="1">
      <x:c r="A551" s="17" t="str">
        <x:v>us</x:v>
      </x:c>
      <x:c r="B551" s="17" t="str">
        <x:v>Marymount University</x:v>
      </x:c>
      <x:c r="C551" s="17" t="str">
        <x:v>IPEDS discovery signal: Computer and Information Systems Security/Auditing/Information Assurance (CIP 11.1003)</x:v>
      </x:c>
      <x:c r="D551" s="17" t="str">
        <x:v>Unclear</x:v>
      </x:c>
      <x:c r="E551" s="17" t="str">
        <x:v>stage2_screened_out</x:v>
      </x:c>
      <x:c r="F551" s="17" t="str">
        <x:v>Only one bounded registry/program-code signal was present; no independent topical, Calendar, current-faculty, or first-audit signal was recovered.</x:v>
      </x:c>
      <x:c r="G551" s="17" t="str">
        <x:v>Does the current official catalog contain a research graduate program matching the applicant's topics?</x:v>
      </x:c>
      <x:c r="H551" s="17" t="str">
        <x:v>https://www.marymount.edu</x:v>
      </x:c>
      <x:c r="I551" s="17" t="str">
        <x:v>not_sampled</x:v>
      </x:c>
      <x:c r="J551" s="17" t="str">
        <x:v>not_sampled</x:v>
      </x:c>
    </x:row>
    <x:row r="552" ht="46" customHeight="1">
      <x:c r="A552" s="17" t="str">
        <x:v>us</x:v>
      </x:c>
      <x:c r="B552" s="17" t="str">
        <x:v>Marymount University</x:v>
      </x:c>
      <x:c r="C552" s="17" t="str">
        <x:v>IPEDS discovery signal: Information Technology (CIP 11.0103)</x:v>
      </x:c>
      <x:c r="D552" s="17" t="str">
        <x:v>Unclear</x:v>
      </x:c>
      <x:c r="E552" s="17" t="str">
        <x:v>stage2_screened_out</x:v>
      </x:c>
      <x:c r="F552" s="17" t="str">
        <x:v>Only one bounded registry/program-code signal was present; no independent topical, Calendar, current-faculty, or first-audit signal was recovered.</x:v>
      </x:c>
      <x:c r="G552" s="17" t="str">
        <x:v>Does the current official catalog contain a research graduate program matching the applicant's topics?</x:v>
      </x:c>
      <x:c r="H552" s="17" t="str">
        <x:v>https://www.marymount.edu</x:v>
      </x:c>
      <x:c r="I552" s="17" t="str">
        <x:v>not_sampled</x:v>
      </x:c>
      <x:c r="J552" s="17" t="str">
        <x:v>not_sampled</x:v>
      </x:c>
    </x:row>
    <x:row r="553" ht="46" customHeight="1">
      <x:c r="A553" s="17" t="str">
        <x:v>us</x:v>
      </x:c>
      <x:c r="B553" s="17" t="str">
        <x:v>Maryville University of Saint Louis</x:v>
      </x:c>
      <x:c r="C553" s="17" t="str">
        <x:v>IPEDS discovery signal: Artificial Intelligence (CIP 11.0102)</x:v>
      </x:c>
      <x:c r="D553" s="17" t="str">
        <x:v>Unclear</x:v>
      </x:c>
      <x:c r="E553" s="17" t="str">
        <x:v>stage2_screened_out</x:v>
      </x:c>
      <x:c r="F553" s="17" t="str">
        <x:v>Only one bounded registry/program-code signal was present; no independent topical, Calendar, current-faculty, or first-audit signal was recovered.</x:v>
      </x:c>
      <x:c r="G553" s="17" t="str">
        <x:v>Does the current official catalog contain a research graduate program matching the applicant's topics?</x:v>
      </x:c>
      <x:c r="H553" s="17" t="str">
        <x:v>https://www.maryville.edu</x:v>
      </x:c>
      <x:c r="I553" s="17" t="str">
        <x:v>not_sampled</x:v>
      </x:c>
      <x:c r="J553" s="17" t="str">
        <x:v>not_sampled</x:v>
      </x:c>
    </x:row>
    <x:row r="554" ht="46" customHeight="1">
      <x:c r="A554" s="17" t="str">
        <x:v>us</x:v>
      </x:c>
      <x:c r="B554" s="17" t="str">
        <x:v>Maryville University of Saint Louis</x:v>
      </x:c>
      <x:c r="C554" s="17" t="str">
        <x:v>IPEDS discovery signal: Data Analytics, General (CIP 30.7101)</x:v>
      </x:c>
      <x:c r="D554" s="17" t="str">
        <x:v>Unclear</x:v>
      </x:c>
      <x:c r="E554" s="17" t="str">
        <x:v>stage2_screened_out</x:v>
      </x:c>
      <x:c r="F554" s="17" t="str">
        <x:v>Only one bounded registry/program-code signal was present; no independent topical, Calendar, current-faculty, or first-audit signal was recovered.</x:v>
      </x:c>
      <x:c r="G554" s="17" t="str">
        <x:v>Does the current official catalog contain a research graduate program matching the applicant's topics?</x:v>
      </x:c>
      <x:c r="H554" s="17" t="str">
        <x:v>https://www.maryville.edu</x:v>
      </x:c>
      <x:c r="I554" s="17" t="str">
        <x:v>not_sampled</x:v>
      </x:c>
      <x:c r="J554" s="17" t="str">
        <x:v>not_sampled</x:v>
      </x:c>
    </x:row>
    <x:row r="555" ht="46" customHeight="1">
      <x:c r="A555" s="17" t="str">
        <x:v>us</x:v>
      </x:c>
      <x:c r="B555" s="17" t="str">
        <x:v>Maryville University of Saint Louis</x:v>
      </x:c>
      <x:c r="C555" s="17" t="str">
        <x:v>IPEDS discovery signal: Data Science, General (CIP 30.7001)</x:v>
      </x:c>
      <x:c r="D555" s="17" t="str">
        <x:v>Unclear</x:v>
      </x:c>
      <x:c r="E555" s="17" t="str">
        <x:v>stage2_screened_out</x:v>
      </x:c>
      <x:c r="F555" s="17" t="str">
        <x:v>Only one bounded registry/program-code signal was present; no independent topical, Calendar, current-faculty, or first-audit signal was recovered.</x:v>
      </x:c>
      <x:c r="G555" s="17" t="str">
        <x:v>Does the current official catalog contain a research graduate program matching the applicant's topics?</x:v>
      </x:c>
      <x:c r="H555" s="17" t="str">
        <x:v>https://www.maryville.edu</x:v>
      </x:c>
      <x:c r="I555" s="17" t="str">
        <x:v>not_sampled</x:v>
      </x:c>
      <x:c r="J555" s="17" t="str">
        <x:v>not_sampled</x:v>
      </x:c>
    </x:row>
    <x:row r="556" ht="46" customHeight="1">
      <x:c r="A556" s="17" t="str">
        <x:v>us</x:v>
      </x:c>
      <x:c r="B556" s="17" t="str">
        <x:v>Massachusetts Institute of Technology</x:v>
      </x:c>
      <x:c r="C556" s="17" t="str">
        <x:v>IPEDS discovery signal: Computer and Information Sciences, General (CIP 11.0101)</x:v>
      </x:c>
      <x:c r="D556" s="17" t="str">
        <x:v>Unclear</x:v>
      </x:c>
      <x:c r="E556" s="17" t="str">
        <x:v>stage2_screened_out</x:v>
      </x:c>
      <x:c r="F556" s="17" t="str">
        <x:v>Duplicate mechanical discovery signal consolidated into one institution-level catalog review candidate.</x:v>
      </x:c>
      <x:c r="G556" s="17" t="str">
        <x:v>Does the current official catalog contain a research graduate program matching the applicant's topics?</x:v>
      </x:c>
      <x:c r="H556" s="17" t="str">
        <x:v>https://web.mit.edu</x:v>
      </x:c>
      <x:c r="I556" s="17" t="str">
        <x:v>not_sampled</x:v>
      </x:c>
      <x:c r="J556" s="17" t="str">
        <x:v>not_sampled</x:v>
      </x:c>
    </x:row>
    <x:row r="557" ht="46" customHeight="1">
      <x:c r="A557" s="17" t="str">
        <x:v>us</x:v>
      </x:c>
      <x:c r="B557" s="17" t="str">
        <x:v>Massachusetts Institute of Technology</x:v>
      </x:c>
      <x:c r="C557" s="17" t="str">
        <x:v>IPEDS discovery signal: Computer Science (CIP 11.0701)</x:v>
      </x:c>
      <x:c r="D557" s="17" t="str">
        <x:v>Unclear</x:v>
      </x:c>
      <x:c r="E557" s="17" t="str">
        <x:v>stage2_screened_out</x:v>
      </x:c>
      <x:c r="F557" s="17" t="str">
        <x:v>Duplicate mechanical discovery signal consolidated into one institution-level catalog review candidate.</x:v>
      </x:c>
      <x:c r="G557" s="17" t="str">
        <x:v>Does the current official catalog contain a research graduate program matching the applicant's topics?</x:v>
      </x:c>
      <x:c r="H557" s="17" t="str">
        <x:v>https://web.mit.edu</x:v>
      </x:c>
      <x:c r="I557" s="17" t="str">
        <x:v>not_sampled</x:v>
      </x:c>
      <x:c r="J557" s="17" t="str">
        <x:v>not_sampled</x:v>
      </x:c>
    </x:row>
    <x:row r="558" ht="46" customHeight="1">
      <x:c r="A558" s="17" t="str">
        <x:v>us</x:v>
      </x:c>
      <x:c r="B558" s="17" t="str">
        <x:v>Massachusetts Institute of Technology</x:v>
      </x:c>
      <x:c r="C558" s="17" t="str">
        <x:v>IPEDS discovery signal: Electrical and Electronics Engineering (CIP 14.1001)</x:v>
      </x:c>
      <x:c r="D558" s="17" t="str">
        <x:v>Unclear</x:v>
      </x:c>
      <x:c r="E558" s="17" t="str">
        <x:v>stage2_screened_out</x:v>
      </x:c>
      <x:c r="F558" s="17" t="str">
        <x:v>Duplicate mechanical discovery signal consolidated into one institution-level catalog review candidate.</x:v>
      </x:c>
      <x:c r="G558" s="17" t="str">
        <x:v>Does the current official catalog contain a research graduate program matching the applicant's topics?</x:v>
      </x:c>
      <x:c r="H558" s="17" t="str">
        <x:v>https://web.mit.edu</x:v>
      </x:c>
      <x:c r="I558" s="17" t="str">
        <x:v>not_sampled</x:v>
      </x:c>
      <x:c r="J558" s="17" t="str">
        <x:v>not_sampled</x:v>
      </x:c>
    </x:row>
    <x:row r="559" ht="46" customHeight="1">
      <x:c r="A559" s="17" t="str">
        <x:v>us</x:v>
      </x:c>
      <x:c r="B559" s="17" t="str">
        <x:v>Meharry Medical College</x:v>
      </x:c>
      <x:c r="C559" s="17" t="str">
        <x:v>IPEDS discovery signal: Data Science, General (CIP 30.7001)</x:v>
      </x:c>
      <x:c r="D559" s="17" t="str">
        <x:v>Unclear</x:v>
      </x:c>
      <x:c r="E559" s="17" t="str">
        <x:v>stage2_screened_out</x:v>
      </x:c>
      <x:c r="F559" s="17" t="str">
        <x:v>Only one bounded registry/program-code signal was present; no independent topical, Calendar, current-faculty, or first-audit signal was recovered.</x:v>
      </x:c>
      <x:c r="G559" s="17" t="str">
        <x:v>Does the current official catalog contain a research graduate program matching the applicant's topics?</x:v>
      </x:c>
      <x:c r="H559" s="17" t="str">
        <x:v>https://www.mmc.edu</x:v>
      </x:c>
      <x:c r="I559" s="17" t="str">
        <x:v>not_sampled</x:v>
      </x:c>
      <x:c r="J559" s="17" t="str">
        <x:v>not_sampled</x:v>
      </x:c>
    </x:row>
    <x:row r="560" ht="46" customHeight="1">
      <x:c r="A560" s="17" t="str">
        <x:v>us</x:v>
      </x:c>
      <x:c r="B560" s="17" t="str">
        <x:v>Mercer University</x:v>
      </x:c>
      <x:c r="C560" s="17" t="str">
        <x:v>IPEDS discovery signal: Computer and Information Systems Security/Auditing/Information Assurance (CIP 11.1003)</x:v>
      </x:c>
      <x:c r="D560" s="17" t="str">
        <x:v>Unclear</x:v>
      </x:c>
      <x:c r="E560" s="17" t="str">
        <x:v>stage2_screened_out</x:v>
      </x:c>
      <x:c r="F560" s="17" t="str">
        <x:v>Only one bounded registry/program-code signal was present; no independent topical, Calendar, current-faculty, or first-audit signal was recovered.</x:v>
      </x:c>
      <x:c r="G560" s="17" t="str">
        <x:v>Does the current official catalog contain a research graduate program matching the applicant's topics?</x:v>
      </x:c>
      <x:c r="H560" s="17" t="str">
        <x:v>https://www.mercer.edu</x:v>
      </x:c>
      <x:c r="I560" s="17" t="str">
        <x:v>not_sampled</x:v>
      </x:c>
      <x:c r="J560" s="17" t="str">
        <x:v>not_sampled</x:v>
      </x:c>
    </x:row>
    <x:row r="561" ht="46" customHeight="1">
      <x:c r="A561" s="17" t="str">
        <x:v>us</x:v>
      </x:c>
      <x:c r="B561" s="17" t="str">
        <x:v>Mercer University</x:v>
      </x:c>
      <x:c r="C561" s="17" t="str">
        <x:v>IPEDS discovery signal: Computer Engineering, General (CIP 14.0901)</x:v>
      </x:c>
      <x:c r="D561" s="17" t="str">
        <x:v>Unclear</x:v>
      </x:c>
      <x:c r="E561" s="17" t="str">
        <x:v>stage2_screened_out</x:v>
      </x:c>
      <x:c r="F561" s="17" t="str">
        <x:v>Only one bounded registry/program-code signal was present; no independent topical, Calendar, current-faculty, or first-audit signal was recovered.</x:v>
      </x:c>
      <x:c r="G561" s="17" t="str">
        <x:v>Does the current official catalog contain a research graduate program matching the applicant's topics?</x:v>
      </x:c>
      <x:c r="H561" s="17" t="str">
        <x:v>https://www.mercer.edu</x:v>
      </x:c>
      <x:c r="I561" s="17" t="str">
        <x:v>not_sampled</x:v>
      </x:c>
      <x:c r="J561" s="17" t="str">
        <x:v>not_sampled</x:v>
      </x:c>
    </x:row>
    <x:row r="562" ht="46" customHeight="1">
      <x:c r="A562" s="17" t="str">
        <x:v>us</x:v>
      </x:c>
      <x:c r="B562" s="17" t="str">
        <x:v>Mercer University</x:v>
      </x:c>
      <x:c r="C562" s="17" t="str">
        <x:v>IPEDS discovery signal: Computer Software Engineering (CIP 14.0903)</x:v>
      </x:c>
      <x:c r="D562" s="17" t="str">
        <x:v>Unclear</x:v>
      </x:c>
      <x:c r="E562" s="17" t="str">
        <x:v>stage2_screened_out</x:v>
      </x:c>
      <x:c r="F562" s="17" t="str">
        <x:v>Only one bounded registry/program-code signal was present; no independent topical, Calendar, current-faculty, or first-audit signal was recovered.</x:v>
      </x:c>
      <x:c r="G562" s="17" t="str">
        <x:v>Does the current official catalog contain a research graduate program matching the applicant's topics?</x:v>
      </x:c>
      <x:c r="H562" s="17" t="str">
        <x:v>https://www.mercer.edu</x:v>
      </x:c>
      <x:c r="I562" s="17" t="str">
        <x:v>not_sampled</x:v>
      </x:c>
      <x:c r="J562" s="17" t="str">
        <x:v>not_sampled</x:v>
      </x:c>
    </x:row>
    <x:row r="563" ht="46" customHeight="1">
      <x:c r="A563" s="17" t="str">
        <x:v>us</x:v>
      </x:c>
      <x:c r="B563" s="17" t="str">
        <x:v>Mercer University</x:v>
      </x:c>
      <x:c r="C563" s="17" t="str">
        <x:v>IPEDS discovery signal: Electrical and Electronics Engineering (CIP 14.1001)</x:v>
      </x:c>
      <x:c r="D563" s="17" t="str">
        <x:v>Unclear</x:v>
      </x:c>
      <x:c r="E563" s="17" t="str">
        <x:v>stage2_screened_out</x:v>
      </x:c>
      <x:c r="F563" s="17" t="str">
        <x:v>Only one bounded registry/program-code signal was present; no independent topical, Calendar, current-faculty, or first-audit signal was recovered.</x:v>
      </x:c>
      <x:c r="G563" s="17" t="str">
        <x:v>Does the current official catalog contain a research graduate program matching the applicant's topics?</x:v>
      </x:c>
      <x:c r="H563" s="17" t="str">
        <x:v>https://www.mercer.edu</x:v>
      </x:c>
      <x:c r="I563" s="17" t="str">
        <x:v>not_sampled</x:v>
      </x:c>
      <x:c r="J563" s="17" t="str">
        <x:v>not_sampled</x:v>
      </x:c>
    </x:row>
    <x:row r="564" ht="46" customHeight="1">
      <x:c r="A564" s="17" t="str">
        <x:v>us</x:v>
      </x:c>
      <x:c r="B564" s="17" t="str">
        <x:v>Mercy University</x:v>
      </x:c>
      <x:c r="C564" s="17" t="str">
        <x:v>IPEDS discovery signal: Computer and Information Systems Security/Auditing/Information Assurance (CIP 11.1003)</x:v>
      </x:c>
      <x:c r="D564" s="17" t="str">
        <x:v>Unclear</x:v>
      </x:c>
      <x:c r="E564" s="17" t="str">
        <x:v>stage2_screened_out</x:v>
      </x:c>
      <x:c r="F564" s="17" t="str">
        <x:v>Only one bounded registry/program-code signal was present; no independent topical, Calendar, current-faculty, or first-audit signal was recovered.</x:v>
      </x:c>
      <x:c r="G564" s="17" t="str">
        <x:v>Does the current official catalog contain a research graduate program matching the applicant's topics?</x:v>
      </x:c>
      <x:c r="H564" s="17" t="str">
        <x:v>https://www.mercy.edu</x:v>
      </x:c>
      <x:c r="I564" s="17" t="str">
        <x:v>not_sampled</x:v>
      </x:c>
      <x:c r="J564" s="17" t="str">
        <x:v>not_sampled</x:v>
      </x:c>
    </x:row>
    <x:row r="565" ht="46" customHeight="1">
      <x:c r="A565" s="17" t="str">
        <x:v>us</x:v>
      </x:c>
      <x:c r="B565" s="17" t="str">
        <x:v>Mercy University</x:v>
      </x:c>
      <x:c r="C565" s="17" t="str">
        <x:v>IPEDS discovery signal: Computer Science (CIP 11.0701)</x:v>
      </x:c>
      <x:c r="D565" s="17" t="str">
        <x:v>Unclear</x:v>
      </x:c>
      <x:c r="E565" s="17" t="str">
        <x:v>stage2_screened_out</x:v>
      </x:c>
      <x:c r="F565" s="17" t="str">
        <x:v>Only one bounded registry/program-code signal was present; no independent topical, Calendar, current-faculty, or first-audit signal was recovered.</x:v>
      </x:c>
      <x:c r="G565" s="17" t="str">
        <x:v>Does the current official catalog contain a research graduate program matching the applicant's topics?</x:v>
      </x:c>
      <x:c r="H565" s="17" t="str">
        <x:v>https://www.mercy.edu</x:v>
      </x:c>
      <x:c r="I565" s="17" t="str">
        <x:v>not_sampled</x:v>
      </x:c>
      <x:c r="J565" s="17" t="str">
        <x:v>not_sampled</x:v>
      </x:c>
    </x:row>
    <x:row r="566" ht="46" customHeight="1">
      <x:c r="A566" s="17" t="str">
        <x:v>us</x:v>
      </x:c>
      <x:c r="B566" s="17" t="str">
        <x:v>Mercyhurst University</x:v>
      </x:c>
      <x:c r="C566" s="17" t="str">
        <x:v>IPEDS discovery signal: Computer and Information Systems Security/Auditing/Information Assurance (CIP 11.1003)</x:v>
      </x:c>
      <x:c r="D566" s="17" t="str">
        <x:v>Unclear</x:v>
      </x:c>
      <x:c r="E566" s="17" t="str">
        <x:v>stage2_screened_out</x:v>
      </x:c>
      <x:c r="F566" s="17" t="str">
        <x:v>Only one bounded registry/program-code signal was present; no independent topical, Calendar, current-faculty, or first-audit signal was recovered.</x:v>
      </x:c>
      <x:c r="G566" s="17" t="str">
        <x:v>Does the current official catalog contain a research graduate program matching the applicant's topics?</x:v>
      </x:c>
      <x:c r="H566" s="17" t="str">
        <x:v>https://www.mercyhurst.edu</x:v>
      </x:c>
      <x:c r="I566" s="17" t="str">
        <x:v>not_sampled</x:v>
      </x:c>
      <x:c r="J566" s="17" t="str">
        <x:v>not_sampled</x:v>
      </x:c>
    </x:row>
    <x:row r="567" ht="46" customHeight="1">
      <x:c r="A567" s="17" t="str">
        <x:v>us</x:v>
      </x:c>
      <x:c r="B567" s="17" t="str">
        <x:v>Merrimack College</x:v>
      </x:c>
      <x:c r="C567" s="17" t="str">
        <x:v>IPEDS discovery signal: Computer Science (CIP 11.0701)</x:v>
      </x:c>
      <x:c r="D567" s="17" t="str">
        <x:v>Unclear</x:v>
      </x:c>
      <x:c r="E567" s="17" t="str">
        <x:v>stage2_screened_out</x:v>
      </x:c>
      <x:c r="F567" s="17" t="str">
        <x:v>Only one bounded registry/program-code signal was present; no independent topical, Calendar, current-faculty, or first-audit signal was recovered.</x:v>
      </x:c>
      <x:c r="G567" s="17" t="str">
        <x:v>Does the current official catalog contain a research graduate program matching the applicant's topics?</x:v>
      </x:c>
      <x:c r="H567" s="17" t="str">
        <x:v>https://www.merrimack.edu</x:v>
      </x:c>
      <x:c r="I567" s="17" t="str">
        <x:v>not_sampled</x:v>
      </x:c>
      <x:c r="J567" s="17" t="str">
        <x:v>not_sampled</x:v>
      </x:c>
    </x:row>
    <x:row r="568" ht="46" customHeight="1">
      <x:c r="A568" s="17" t="str">
        <x:v>us</x:v>
      </x:c>
      <x:c r="B568" s="17" t="str">
        <x:v>Merrimack College</x:v>
      </x:c>
      <x:c r="C568" s="17" t="str">
        <x:v>IPEDS discovery signal: Information Science/Studies (CIP 11.0401)</x:v>
      </x:c>
      <x:c r="D568" s="17" t="str">
        <x:v>Unclear</x:v>
      </x:c>
      <x:c r="E568" s="17" t="str">
        <x:v>stage2_screened_out</x:v>
      </x:c>
      <x:c r="F568" s="17" t="str">
        <x:v>Only one bounded registry/program-code signal was present; no independent topical, Calendar, current-faculty, or first-audit signal was recovered.</x:v>
      </x:c>
      <x:c r="G568" s="17" t="str">
        <x:v>Does the current official catalog contain a research graduate program matching the applicant's topics?</x:v>
      </x:c>
      <x:c r="H568" s="17" t="str">
        <x:v>https://www.merrimack.edu</x:v>
      </x:c>
      <x:c r="I568" s="17" t="str">
        <x:v>not_sampled</x:v>
      </x:c>
      <x:c r="J568" s="17" t="str">
        <x:v>not_sampled</x:v>
      </x:c>
    </x:row>
    <x:row r="569" ht="46" customHeight="1">
      <x:c r="A569" s="17" t="str">
        <x:v>us</x:v>
      </x:c>
      <x:c r="B569" s="17" t="str">
        <x:v>Metropolitan State University</x:v>
      </x:c>
      <x:c r="C569" s="17" t="str">
        <x:v>IPEDS discovery signal: Computer and Information Systems Security/Auditing/Information Assurance (CIP 11.1003)</x:v>
      </x:c>
      <x:c r="D569" s="17" t="str">
        <x:v>Unclear</x:v>
      </x:c>
      <x:c r="E569" s="17" t="str">
        <x:v>stage2_screened_out</x:v>
      </x:c>
      <x:c r="F569" s="17" t="str">
        <x:v>Only one bounded registry/program-code signal was present; no independent topical, Calendar, current-faculty, or first-audit signal was recovered.</x:v>
      </x:c>
      <x:c r="G569" s="17" t="str">
        <x:v>Does the current official catalog contain a research graduate program matching the applicant's topics?</x:v>
      </x:c>
      <x:c r="H569" s="17" t="str">
        <x:v>https://www.metrostate.edu</x:v>
      </x:c>
      <x:c r="I569" s="17" t="str">
        <x:v>not_sampled</x:v>
      </x:c>
      <x:c r="J569" s="17" t="str">
        <x:v>not_sampled</x:v>
      </x:c>
    </x:row>
    <x:row r="570" ht="46" customHeight="1">
      <x:c r="A570" s="17" t="str">
        <x:v>us</x:v>
      </x:c>
      <x:c r="B570" s="17" t="str">
        <x:v>Metropolitan State University</x:v>
      </x:c>
      <x:c r="C570" s="17" t="str">
        <x:v>IPEDS discovery signal: Computer Science (CIP 11.0701)</x:v>
      </x:c>
      <x:c r="D570" s="17" t="str">
        <x:v>Unclear</x:v>
      </x:c>
      <x:c r="E570" s="17" t="str">
        <x:v>stage2_screened_out</x:v>
      </x:c>
      <x:c r="F570" s="17" t="str">
        <x:v>Only one bounded registry/program-code signal was present; no independent topical, Calendar, current-faculty, or first-audit signal was recovered.</x:v>
      </x:c>
      <x:c r="G570" s="17" t="str">
        <x:v>Does the current official catalog contain a research graduate program matching the applicant's topics?</x:v>
      </x:c>
      <x:c r="H570" s="17" t="str">
        <x:v>https://www.metrostate.edu</x:v>
      </x:c>
      <x:c r="I570" s="17" t="str">
        <x:v>not_sampled</x:v>
      </x:c>
      <x:c r="J570" s="17" t="str">
        <x:v>not_sampled</x:v>
      </x:c>
    </x:row>
    <x:row r="571" ht="46" customHeight="1">
      <x:c r="A571" s="17" t="str">
        <x:v>us</x:v>
      </x:c>
      <x:c r="B571" s="17" t="str">
        <x:v>Metropolitan State University</x:v>
      </x:c>
      <x:c r="C571" s="17" t="str">
        <x:v>IPEDS discovery signal: Information Technology (CIP 11.0103)</x:v>
      </x:c>
      <x:c r="D571" s="17" t="str">
        <x:v>Unclear</x:v>
      </x:c>
      <x:c r="E571" s="17" t="str">
        <x:v>stage2_screened_out</x:v>
      </x:c>
      <x:c r="F571" s="17" t="str">
        <x:v>Only one bounded registry/program-code signal was present; no independent topical, Calendar, current-faculty, or first-audit signal was recovered.</x:v>
      </x:c>
      <x:c r="G571" s="17" t="str">
        <x:v>Does the current official catalog contain a research graduate program matching the applicant's topics?</x:v>
      </x:c>
      <x:c r="H571" s="17" t="str">
        <x:v>https://www.metrostate.edu</x:v>
      </x:c>
      <x:c r="I571" s="17" t="str">
        <x:v>not_sampled</x:v>
      </x:c>
      <x:c r="J571" s="17" t="str">
        <x:v>not_sampled</x:v>
      </x:c>
    </x:row>
    <x:row r="572" ht="46" customHeight="1">
      <x:c r="A572" s="17" t="str">
        <x:v>us</x:v>
      </x:c>
      <x:c r="B572" s="17" t="str">
        <x:v>Metropolitan State University of Denver</x:v>
      </x:c>
      <x:c r="C572" s="17" t="str">
        <x:v>IPEDS discovery signal: Computer and Information Systems Security/Auditing/Information Assurance (CIP 11.1003)</x:v>
      </x:c>
      <x:c r="D572" s="17" t="str">
        <x:v>Unclear</x:v>
      </x:c>
      <x:c r="E572" s="17" t="str">
        <x:v>stage2_screened_out</x:v>
      </x:c>
      <x:c r="F572" s="17" t="str">
        <x:v>Only one bounded registry/program-code signal was present; no independent topical, Calendar, current-faculty, or first-audit signal was recovered.</x:v>
      </x:c>
      <x:c r="G572" s="17" t="str">
        <x:v>Does the current official catalog contain a research graduate program matching the applicant's topics?</x:v>
      </x:c>
      <x:c r="H572" s="17" t="str">
        <x:v>https://www.msudenver.edu</x:v>
      </x:c>
      <x:c r="I572" s="17" t="str">
        <x:v>not_sampled</x:v>
      </x:c>
      <x:c r="J572" s="17" t="str">
        <x:v>not_sampled</x:v>
      </x:c>
    </x:row>
    <x:row r="573" ht="46" customHeight="1">
      <x:c r="A573" s="17" t="str">
        <x:v>us</x:v>
      </x:c>
      <x:c r="B573" s="17" t="str">
        <x:v>MGH Institute of Health Professions</x:v>
      </x:c>
      <x:c r="C573" s="17" t="str">
        <x:v>IPEDS discovery signal: Data Analytics, General (CIP 30.7101)</x:v>
      </x:c>
      <x:c r="D573" s="17" t="str">
        <x:v>Unclear</x:v>
      </x:c>
      <x:c r="E573" s="17" t="str">
        <x:v>stage2_screened_out</x:v>
      </x:c>
      <x:c r="F573" s="17" t="str">
        <x:v>Only one bounded registry/program-code signal was present; no independent topical, Calendar, current-faculty, or first-audit signal was recovered.</x:v>
      </x:c>
      <x:c r="G573" s="17" t="str">
        <x:v>Does the current official catalog contain a research graduate program matching the applicant's topics?</x:v>
      </x:c>
      <x:c r="H573" s="17" t="str">
        <x:v>https://www.mghihp.edu</x:v>
      </x:c>
      <x:c r="I573" s="17" t="str">
        <x:v>not_sampled</x:v>
      </x:c>
      <x:c r="J573" s="17" t="str">
        <x:v>not_sampled</x:v>
      </x:c>
    </x:row>
    <x:row r="574" ht="46" customHeight="1">
      <x:c r="A574" s="17" t="str">
        <x:v>us</x:v>
      </x:c>
      <x:c r="B574" s="17" t="str">
        <x:v>Miami University-Oxford</x:v>
      </x:c>
      <x:c r="C574" s="17" t="str">
        <x:v>IPEDS discovery signal: Computer Science (CIP 11.0701)</x:v>
      </x:c>
      <x:c r="D574" s="17" t="str">
        <x:v>Unclear</x:v>
      </x:c>
      <x:c r="E574" s="17" t="str">
        <x:v>stage2_screened_out</x:v>
      </x:c>
      <x:c r="F574" s="17" t="str">
        <x:v>Only one bounded registry/program-code signal was present; no independent topical, Calendar, current-faculty, or first-audit signal was recovered.</x:v>
      </x:c>
      <x:c r="G574" s="17" t="str">
        <x:v>Does the current official catalog contain a research graduate program matching the applicant's topics?</x:v>
      </x:c>
      <x:c r="H574" s="17" t="str">
        <x:v>https://miamioh.edu</x:v>
      </x:c>
      <x:c r="I574" s="17" t="str">
        <x:v>not_sampled</x:v>
      </x:c>
      <x:c r="J574" s="17" t="str">
        <x:v>not_sampled</x:v>
      </x:c>
    </x:row>
    <x:row r="575" ht="46" customHeight="1">
      <x:c r="A575" s="17" t="str">
        <x:v>us</x:v>
      </x:c>
      <x:c r="B575" s="17" t="str">
        <x:v>Michigan State University</x:v>
      </x:c>
      <x:c r="C575" s="17" t="str">
        <x:v>IPEDS discovery signal: Electrical and Electronics Engineering (CIP 14.1001)</x:v>
      </x:c>
      <x:c r="D575" s="17" t="str">
        <x:v>Unclear</x:v>
      </x:c>
      <x:c r="E575" s="17" t="str">
        <x:v>stage2_screened_out</x:v>
      </x:c>
      <x:c r="F575" s="17" t="str">
        <x:v>Duplicate mechanical discovery signal consolidated into one institution-level catalog review candidate.</x:v>
      </x:c>
      <x:c r="G575" s="17" t="str">
        <x:v>Does the current official catalog contain a research graduate program matching the applicant's topics?</x:v>
      </x:c>
      <x:c r="H575" s="17" t="str">
        <x:v>https://www.msu.edu</x:v>
      </x:c>
      <x:c r="I575" s="17" t="str">
        <x:v>not_sampled</x:v>
      </x:c>
      <x:c r="J575" s="17" t="str">
        <x:v>not_sampled</x:v>
      </x:c>
    </x:row>
    <x:row r="576" ht="46" customHeight="1">
      <x:c r="A576" s="17" t="str">
        <x:v>us</x:v>
      </x:c>
      <x:c r="B576" s="17" t="str">
        <x:v>Michigan Technological University</x:v>
      </x:c>
      <x:c r="C576" s="17" t="str">
        <x:v>IPEDS discovery signal: Computer Engineering, General (CIP 14.0901)</x:v>
      </x:c>
      <x:c r="D576" s="17" t="str">
        <x:v>Unclear</x:v>
      </x:c>
      <x:c r="E576" s="17" t="str">
        <x:v>stage2_screened_out</x:v>
      </x:c>
      <x:c r="F576" s="17" t="str">
        <x:v>Duplicate mechanical discovery signal consolidated into one institution-level catalog review candidate.</x:v>
      </x:c>
      <x:c r="G576" s="17" t="str">
        <x:v>Does the current official catalog contain a research graduate program matching the applicant's topics?</x:v>
      </x:c>
      <x:c r="H576" s="17" t="str">
        <x:v>https://www.mtu.edu</x:v>
      </x:c>
      <x:c r="I576" s="17" t="str">
        <x:v>not_sampled</x:v>
      </x:c>
      <x:c r="J576" s="17" t="str">
        <x:v>not_sampled</x:v>
      </x:c>
    </x:row>
    <x:row r="577" ht="46" customHeight="1">
      <x:c r="A577" s="17" t="str">
        <x:v>us</x:v>
      </x:c>
      <x:c r="B577" s="17" t="str">
        <x:v>Michigan Technological University</x:v>
      </x:c>
      <x:c r="C577" s="17" t="str">
        <x:v>IPEDS discovery signal: Computer Science (CIP 11.0701)</x:v>
      </x:c>
      <x:c r="D577" s="17" t="str">
        <x:v>Unclear</x:v>
      </x:c>
      <x:c r="E577" s="17" t="str">
        <x:v>stage2_screened_out</x:v>
      </x:c>
      <x:c r="F577" s="17" t="str">
        <x:v>Duplicate mechanical discovery signal consolidated into one institution-level catalog review candidate.</x:v>
      </x:c>
      <x:c r="G577" s="17" t="str">
        <x:v>Does the current official catalog contain a research graduate program matching the applicant's topics?</x:v>
      </x:c>
      <x:c r="H577" s="17" t="str">
        <x:v>https://www.mtu.edu</x:v>
      </x:c>
      <x:c r="I577" s="17" t="str">
        <x:v>not_sampled</x:v>
      </x:c>
      <x:c r="J577" s="17" t="str">
        <x:v>not_sampled</x:v>
      </x:c>
    </x:row>
    <x:row r="578" ht="46" customHeight="1">
      <x:c r="A578" s="17" t="str">
        <x:v>us</x:v>
      </x:c>
      <x:c r="B578" s="17" t="str">
        <x:v>Michigan Technological University</x:v>
      </x:c>
      <x:c r="C578" s="17" t="str">
        <x:v>IPEDS discovery signal: Data Science, General (CIP 30.7001)</x:v>
      </x:c>
      <x:c r="D578" s="17" t="str">
        <x:v>Unclear</x:v>
      </x:c>
      <x:c r="E578" s="17" t="str">
        <x:v>stage2_screened_out</x:v>
      </x:c>
      <x:c r="F578" s="17" t="str">
        <x:v>Duplicate mechanical discovery signal consolidated into one institution-level catalog review candidate.</x:v>
      </x:c>
      <x:c r="G578" s="17" t="str">
        <x:v>Does the current official catalog contain a research graduate program matching the applicant's topics?</x:v>
      </x:c>
      <x:c r="H578" s="17" t="str">
        <x:v>https://www.mtu.edu</x:v>
      </x:c>
      <x:c r="I578" s="17" t="str">
        <x:v>not_sampled</x:v>
      </x:c>
      <x:c r="J578" s="17" t="str">
        <x:v>not_sampled</x:v>
      </x:c>
    </x:row>
    <x:row r="579" ht="46" customHeight="1">
      <x:c r="A579" s="17" t="str">
        <x:v>us</x:v>
      </x:c>
      <x:c r="B579" s="17" t="str">
        <x:v>Michigan Technological University</x:v>
      </x:c>
      <x:c r="C579" s="17" t="str">
        <x:v>IPEDS discovery signal: Electrical and Electronics Engineering (CIP 14.1001)</x:v>
      </x:c>
      <x:c r="D579" s="17" t="str">
        <x:v>Unclear</x:v>
      </x:c>
      <x:c r="E579" s="17" t="str">
        <x:v>stage2_screened_out</x:v>
      </x:c>
      <x:c r="F579" s="17" t="str">
        <x:v>Duplicate mechanical discovery signal consolidated into one institution-level catalog review candidate.</x:v>
      </x:c>
      <x:c r="G579" s="17" t="str">
        <x:v>Does the current official catalog contain a research graduate program matching the applicant's topics?</x:v>
      </x:c>
      <x:c r="H579" s="17" t="str">
        <x:v>https://www.mtu.edu</x:v>
      </x:c>
      <x:c r="I579" s="17" t="str">
        <x:v>not_sampled</x:v>
      </x:c>
      <x:c r="J579" s="17" t="str">
        <x:v>not_sampled</x:v>
      </x:c>
    </x:row>
    <x:row r="580" ht="46" customHeight="1">
      <x:c r="A580" s="17" t="str">
        <x:v>us</x:v>
      </x:c>
      <x:c r="B580" s="17" t="str">
        <x:v>Michigan Technological University</x:v>
      </x:c>
      <x:c r="C580" s="17" t="str">
        <x:v>IPEDS discovery signal: Mechatronics, Robotics, and Automation Engineering (CIP 14.4201)</x:v>
      </x:c>
      <x:c r="D580" s="17" t="str">
        <x:v>Unclear</x:v>
      </x:c>
      <x:c r="E580" s="17" t="str">
        <x:v>stage2_screened_out</x:v>
      </x:c>
      <x:c r="F580" s="17" t="str">
        <x:v>Duplicate mechanical discovery signal consolidated into one institution-level catalog review candidate.</x:v>
      </x:c>
      <x:c r="G580" s="17" t="str">
        <x:v>Does the current official catalog contain a research graduate program matching the applicant's topics?</x:v>
      </x:c>
      <x:c r="H580" s="17" t="str">
        <x:v>https://www.mtu.edu</x:v>
      </x:c>
      <x:c r="I580" s="17" t="str">
        <x:v>not_sampled</x:v>
      </x:c>
      <x:c r="J580" s="17" t="str">
        <x:v>not_sampled</x:v>
      </x:c>
    </x:row>
    <x:row r="581" ht="46" customHeight="1">
      <x:c r="A581" s="17" t="str">
        <x:v>us</x:v>
      </x:c>
      <x:c r="B581" s="17" t="str">
        <x:v>Middle Tennessee State University</x:v>
      </x:c>
      <x:c r="C581" s="17" t="str">
        <x:v>IPEDS discovery signal: Computer Science (CIP 11.0701)</x:v>
      </x:c>
      <x:c r="D581" s="17" t="str">
        <x:v>Unclear</x:v>
      </x:c>
      <x:c r="E581" s="17" t="str">
        <x:v>stage2_screened_out</x:v>
      </x:c>
      <x:c r="F581" s="17" t="str">
        <x:v>Only one bounded registry/program-code signal was present; no independent topical, Calendar, current-faculty, or first-audit signal was recovered.</x:v>
      </x:c>
      <x:c r="G581" s="17" t="str">
        <x:v>Does the current official catalog contain a research graduate program matching the applicant's topics?</x:v>
      </x:c>
      <x:c r="H581" s="17" t="str">
        <x:v>https://www.mtsu.edu</x:v>
      </x:c>
      <x:c r="I581" s="17" t="str">
        <x:v>not_sampled</x:v>
      </x:c>
      <x:c r="J581" s="17" t="str">
        <x:v>not_sampled</x:v>
      </x:c>
    </x:row>
    <x:row r="582" ht="46" customHeight="1">
      <x:c r="A582" s="17" t="str">
        <x:v>us</x:v>
      </x:c>
      <x:c r="B582" s="17" t="str">
        <x:v>Middle Tennessee State University</x:v>
      </x:c>
      <x:c r="C582" s="17" t="str">
        <x:v>IPEDS discovery signal: Data Science, General (CIP 30.7001)</x:v>
      </x:c>
      <x:c r="D582" s="17" t="str">
        <x:v>Unclear</x:v>
      </x:c>
      <x:c r="E582" s="17" t="str">
        <x:v>stage2_screened_out</x:v>
      </x:c>
      <x:c r="F582" s="17" t="str">
        <x:v>Only one bounded registry/program-code signal was present; no independent topical, Calendar, current-faculty, or first-audit signal was recovered.</x:v>
      </x:c>
      <x:c r="G582" s="17" t="str">
        <x:v>Does the current official catalog contain a research graduate program matching the applicant's topics?</x:v>
      </x:c>
      <x:c r="H582" s="17" t="str">
        <x:v>https://www.mtsu.edu</x:v>
      </x:c>
      <x:c r="I582" s="17" t="str">
        <x:v>not_sampled</x:v>
      </x:c>
      <x:c r="J582" s="17" t="str">
        <x:v>not_sampled</x:v>
      </x:c>
    </x:row>
    <x:row r="583" ht="46" customHeight="1">
      <x:c r="A583" s="17" t="str">
        <x:v>us</x:v>
      </x:c>
      <x:c r="B583" s="17" t="str">
        <x:v>Middle Tennessee State University</x:v>
      </x:c>
      <x:c r="C583" s="17" t="str">
        <x:v>IPEDS discovery signal: Information Technology (CIP 11.0103)</x:v>
      </x:c>
      <x:c r="D583" s="17" t="str">
        <x:v>Unclear</x:v>
      </x:c>
      <x:c r="E583" s="17" t="str">
        <x:v>stage2_screened_out</x:v>
      </x:c>
      <x:c r="F583" s="17" t="str">
        <x:v>Only one bounded registry/program-code signal was present; no independent topical, Calendar, current-faculty, or first-audit signal was recovered.</x:v>
      </x:c>
      <x:c r="G583" s="17" t="str">
        <x:v>Does the current official catalog contain a research graduate program matching the applicant's topics?</x:v>
      </x:c>
      <x:c r="H583" s="17" t="str">
        <x:v>https://www.mtsu.edu</x:v>
      </x:c>
      <x:c r="I583" s="17" t="str">
        <x:v>not_sampled</x:v>
      </x:c>
      <x:c r="J583" s="17" t="str">
        <x:v>not_sampled</x:v>
      </x:c>
    </x:row>
    <x:row r="584" ht="46" customHeight="1">
      <x:c r="A584" s="17" t="str">
        <x:v>us</x:v>
      </x:c>
      <x:c r="B584" s="17" t="str">
        <x:v>Midwestern State University</x:v>
      </x:c>
      <x:c r="C584" s="17" t="str">
        <x:v>IPEDS discovery signal: Computer and Information Sciences, General (CIP 11.0101)</x:v>
      </x:c>
      <x:c r="D584" s="17" t="str">
        <x:v>Unclear</x:v>
      </x:c>
      <x:c r="E584" s="17" t="str">
        <x:v>stage2_screened_out</x:v>
      </x:c>
      <x:c r="F584" s="17" t="str">
        <x:v>Only one bounded registry/program-code signal was present; no independent topical, Calendar, current-faculty, or first-audit signal was recovered.</x:v>
      </x:c>
      <x:c r="G584" s="17" t="str">
        <x:v>Does the current official catalog contain a research graduate program matching the applicant's topics?</x:v>
      </x:c>
      <x:c r="H584" s="17" t="str">
        <x:v>https://www.msutexas.edu</x:v>
      </x:c>
      <x:c r="I584" s="17" t="str">
        <x:v>not_sampled</x:v>
      </x:c>
      <x:c r="J584" s="17" t="str">
        <x:v>not_sampled</x:v>
      </x:c>
    </x:row>
    <x:row r="585" ht="46" customHeight="1">
      <x:c r="A585" s="17" t="str">
        <x:v>us</x:v>
      </x:c>
      <x:c r="B585" s="17" t="str">
        <x:v>Milligan University</x:v>
      </x:c>
      <x:c r="C585" s="17" t="str">
        <x:v>IPEDS discovery signal: Computer and Information Sciences, General (CIP 11.0101)</x:v>
      </x:c>
      <x:c r="D585" s="17" t="str">
        <x:v>Unclear</x:v>
      </x:c>
      <x:c r="E585" s="17" t="str">
        <x:v>stage2_screened_out</x:v>
      </x:c>
      <x:c r="F585" s="17" t="str">
        <x:v>Only one bounded registry/program-code signal was present; no independent topical, Calendar, current-faculty, or first-audit signal was recovered.</x:v>
      </x:c>
      <x:c r="G585" s="17" t="str">
        <x:v>Does the current official catalog contain a research graduate program matching the applicant's topics?</x:v>
      </x:c>
      <x:c r="H585" s="17" t="str">
        <x:v>https://www.milligan.edu</x:v>
      </x:c>
      <x:c r="I585" s="17" t="str">
        <x:v>not_sampled</x:v>
      </x:c>
      <x:c r="J585" s="17" t="str">
        <x:v>not_sampled</x:v>
      </x:c>
    </x:row>
    <x:row r="586" ht="46" customHeight="1">
      <x:c r="A586" s="17" t="str">
        <x:v>us</x:v>
      </x:c>
      <x:c r="B586" s="17" t="str">
        <x:v>Minerva University</x:v>
      </x:c>
      <x:c r="C586" s="17" t="str">
        <x:v>IPEDS discovery signal: Data Analytics, General (CIP 30.7101)</x:v>
      </x:c>
      <x:c r="D586" s="17" t="str">
        <x:v>Unclear</x:v>
      </x:c>
      <x:c r="E586" s="17" t="str">
        <x:v>stage2_screened_out</x:v>
      </x:c>
      <x:c r="F586" s="17" t="str">
        <x:v>Only one bounded registry/program-code signal was present; no independent topical, Calendar, current-faculty, or first-audit signal was recovered.</x:v>
      </x:c>
      <x:c r="G586" s="17" t="str">
        <x:v>Does the current official catalog contain a research graduate program matching the applicant's topics?</x:v>
      </x:c>
      <x:c r="H586" s="17" t="str">
        <x:v>https://minerva.edu</x:v>
      </x:c>
      <x:c r="I586" s="17" t="str">
        <x:v>not_sampled</x:v>
      </x:c>
      <x:c r="J586" s="17" t="str">
        <x:v>not_sampled</x:v>
      </x:c>
    </x:row>
    <x:row r="587" ht="46" customHeight="1">
      <x:c r="A587" s="17" t="str">
        <x:v>us</x:v>
      </x:c>
      <x:c r="B587" s="17" t="str">
        <x:v>Minnesota State University-Mankato</x:v>
      </x:c>
      <x:c r="C587" s="17" t="str">
        <x:v>IPEDS discovery signal: Computer and Information Systems Security/Auditing/Information Assurance (CIP 11.1003)</x:v>
      </x:c>
      <x:c r="D587" s="17" t="str">
        <x:v>Unclear</x:v>
      </x:c>
      <x:c r="E587" s="17" t="str">
        <x:v>stage2_screened_out</x:v>
      </x:c>
      <x:c r="F587" s="17" t="str">
        <x:v>Only one bounded registry/program-code signal was present; no independent topical, Calendar, current-faculty, or first-audit signal was recovered.</x:v>
      </x:c>
      <x:c r="G587" s="17" t="str">
        <x:v>Does the current official catalog contain a research graduate program matching the applicant's topics?</x:v>
      </x:c>
      <x:c r="H587" s="17" t="str">
        <x:v>https://mnsu.edu</x:v>
      </x:c>
      <x:c r="I587" s="17" t="str">
        <x:v>not_sampled</x:v>
      </x:c>
      <x:c r="J587" s="17" t="str">
        <x:v>not_sampled</x:v>
      </x:c>
    </x:row>
    <x:row r="588" ht="46" customHeight="1">
      <x:c r="A588" s="17" t="str">
        <x:v>us</x:v>
      </x:c>
      <x:c r="B588" s="17" t="str">
        <x:v>Minnesota State University-Mankato</x:v>
      </x:c>
      <x:c r="C588" s="17" t="str">
        <x:v>IPEDS discovery signal: Electrical and Electronics Engineering (CIP 14.1001)</x:v>
      </x:c>
      <x:c r="D588" s="17" t="str">
        <x:v>Unclear</x:v>
      </x:c>
      <x:c r="E588" s="17" t="str">
        <x:v>stage2_screened_out</x:v>
      </x:c>
      <x:c r="F588" s="17" t="str">
        <x:v>Only one bounded registry/program-code signal was present; no independent topical, Calendar, current-faculty, or first-audit signal was recovered.</x:v>
      </x:c>
      <x:c r="G588" s="17" t="str">
        <x:v>Does the current official catalog contain a research graduate program matching the applicant's topics?</x:v>
      </x:c>
      <x:c r="H588" s="17" t="str">
        <x:v>https://mnsu.edu</x:v>
      </x:c>
      <x:c r="I588" s="17" t="str">
        <x:v>not_sampled</x:v>
      </x:c>
      <x:c r="J588" s="17" t="str">
        <x:v>not_sampled</x:v>
      </x:c>
    </x:row>
    <x:row r="589" ht="46" customHeight="1">
      <x:c r="A589" s="17" t="str">
        <x:v>us</x:v>
      </x:c>
      <x:c r="B589" s="17" t="str">
        <x:v>Minnesota State University-Mankato</x:v>
      </x:c>
      <x:c r="C589" s="17" t="str">
        <x:v>IPEDS discovery signal: Information Technology (CIP 11.0103)</x:v>
      </x:c>
      <x:c r="D589" s="17" t="str">
        <x:v>Unclear</x:v>
      </x:c>
      <x:c r="E589" s="17" t="str">
        <x:v>stage2_screened_out</x:v>
      </x:c>
      <x:c r="F589" s="17" t="str">
        <x:v>Only one bounded registry/program-code signal was present; no independent topical, Calendar, current-faculty, or first-audit signal was recovered.</x:v>
      </x:c>
      <x:c r="G589" s="17" t="str">
        <x:v>Does the current official catalog contain a research graduate program matching the applicant's topics?</x:v>
      </x:c>
      <x:c r="H589" s="17" t="str">
        <x:v>https://mnsu.edu</x:v>
      </x:c>
      <x:c r="I589" s="17" t="str">
        <x:v>not_sampled</x:v>
      </x:c>
      <x:c r="J589" s="17" t="str">
        <x:v>not_sampled</x:v>
      </x:c>
    </x:row>
    <x:row r="590" ht="46" customHeight="1">
      <x:c r="A590" s="17" t="str">
        <x:v>us</x:v>
      </x:c>
      <x:c r="B590" s="17" t="str">
        <x:v>Mississippi College</x:v>
      </x:c>
      <x:c r="C590" s="17" t="str">
        <x:v>IPEDS discovery signal: Computer Science (CIP 11.0701)</x:v>
      </x:c>
      <x:c r="D590" s="17" t="str">
        <x:v>Unclear</x:v>
      </x:c>
      <x:c r="E590" s="17" t="str">
        <x:v>stage2_screened_out</x:v>
      </x:c>
      <x:c r="F590" s="17" t="str">
        <x:v>Only one bounded registry/program-code signal was present; no independent topical, Calendar, current-faculty, or first-audit signal was recovered.</x:v>
      </x:c>
      <x:c r="G590" s="17" t="str">
        <x:v>Does the current official catalog contain a research graduate program matching the applicant's topics?</x:v>
      </x:c>
      <x:c r="H590" s="17" t="str">
        <x:v>https://www.mc.edu</x:v>
      </x:c>
      <x:c r="I590" s="17" t="str">
        <x:v>not_sampled</x:v>
      </x:c>
      <x:c r="J590" s="17" t="str">
        <x:v>not_sampled</x:v>
      </x:c>
    </x:row>
    <x:row r="591" ht="46" customHeight="1">
      <x:c r="A591" s="17" t="str">
        <x:v>us</x:v>
      </x:c>
      <x:c r="B591" s="17" t="str">
        <x:v>Mississippi College</x:v>
      </x:c>
      <x:c r="C591" s="17" t="str">
        <x:v>IPEDS discovery signal: Cyber/Computer Forensics and Counterterrorism (CIP 43.0403)</x:v>
      </x:c>
      <x:c r="D591" s="17" t="str">
        <x:v>Unclear</x:v>
      </x:c>
      <x:c r="E591" s="17" t="str">
        <x:v>stage2_screened_out</x:v>
      </x:c>
      <x:c r="F591" s="17" t="str">
        <x:v>Only one bounded registry/program-code signal was present; no independent topical, Calendar, current-faculty, or first-audit signal was recovered.</x:v>
      </x:c>
      <x:c r="G591" s="17" t="str">
        <x:v>Does the current official catalog contain a research graduate program matching the applicant's topics?</x:v>
      </x:c>
      <x:c r="H591" s="17" t="str">
        <x:v>https://www.mc.edu</x:v>
      </x:c>
      <x:c r="I591" s="17" t="str">
        <x:v>not_sampled</x:v>
      </x:c>
      <x:c r="J591" s="17" t="str">
        <x:v>not_sampled</x:v>
      </x:c>
    </x:row>
    <x:row r="592" ht="46" customHeight="1">
      <x:c r="A592" s="17" t="str">
        <x:v>us</x:v>
      </x:c>
      <x:c r="B592" s="17" t="str">
        <x:v>Mississippi State University</x:v>
      </x:c>
      <x:c r="C592" s="17" t="str">
        <x:v>IPEDS discovery signal: Computer and Information Systems Security/Auditing/Information Assurance (CIP 11.1003)</x:v>
      </x:c>
      <x:c r="D592" s="17" t="str">
        <x:v>Unclear</x:v>
      </x:c>
      <x:c r="E592" s="17" t="str">
        <x:v>stage2_screened_out</x:v>
      </x:c>
      <x:c r="F592" s="17" t="str">
        <x:v>Duplicate mechanical discovery signal consolidated into one institution-level catalog review candidate.</x:v>
      </x:c>
      <x:c r="G592" s="17" t="str">
        <x:v>Does the current official catalog contain a research graduate program matching the applicant's topics?</x:v>
      </x:c>
      <x:c r="H592" s="17" t="str">
        <x:v>https://www.msstate.edu</x:v>
      </x:c>
      <x:c r="I592" s="17" t="str">
        <x:v>not_sampled</x:v>
      </x:c>
      <x:c r="J592" s="17" t="str">
        <x:v>not_sampled</x:v>
      </x:c>
    </x:row>
    <x:row r="593" ht="46" customHeight="1">
      <x:c r="A593" s="17" t="str">
        <x:v>us</x:v>
      </x:c>
      <x:c r="B593" s="17" t="str">
        <x:v>Mississippi State University</x:v>
      </x:c>
      <x:c r="C593" s="17" t="str">
        <x:v>IPEDS discovery signal: Electrical and Electronics Engineering (CIP 14.1001)</x:v>
      </x:c>
      <x:c r="D593" s="17" t="str">
        <x:v>Unclear</x:v>
      </x:c>
      <x:c r="E593" s="17" t="str">
        <x:v>stage2_screened_out</x:v>
      </x:c>
      <x:c r="F593" s="17" t="str">
        <x:v>Duplicate mechanical discovery signal consolidated into one institution-level catalog review candidate.</x:v>
      </x:c>
      <x:c r="G593" s="17" t="str">
        <x:v>Does the current official catalog contain a research graduate program matching the applicant's topics?</x:v>
      </x:c>
      <x:c r="H593" s="17" t="str">
        <x:v>https://www.msstate.edu</x:v>
      </x:c>
      <x:c r="I593" s="17" t="str">
        <x:v>not_sampled</x:v>
      </x:c>
      <x:c r="J593" s="17" t="str">
        <x:v>not_sampled</x:v>
      </x:c>
    </x:row>
    <x:row r="594" ht="46" customHeight="1">
      <x:c r="A594" s="17" t="str">
        <x:v>us</x:v>
      </x:c>
      <x:c r="B594" s="17" t="str">
        <x:v>Missouri State University-Springfield</x:v>
      </x:c>
      <x:c r="C594" s="17" t="str">
        <x:v>IPEDS discovery signal: Computer and Information Systems Security/Auditing/Information Assurance (CIP 11.1003)</x:v>
      </x:c>
      <x:c r="D594" s="17" t="str">
        <x:v>Unclear</x:v>
      </x:c>
      <x:c r="E594" s="17" t="str">
        <x:v>stage2_screened_out</x:v>
      </x:c>
      <x:c r="F594" s="17" t="str">
        <x:v>Only one bounded registry/program-code signal was present; no independent topical, Calendar, current-faculty, or first-audit signal was recovered.</x:v>
      </x:c>
      <x:c r="G594" s="17" t="str">
        <x:v>Does the current official catalog contain a research graduate program matching the applicant's topics?</x:v>
      </x:c>
      <x:c r="H594" s="17" t="str">
        <x:v>https://www.missouristate.edu</x:v>
      </x:c>
      <x:c r="I594" s="17" t="str">
        <x:v>not_sampled</x:v>
      </x:c>
      <x:c r="J594" s="17" t="str">
        <x:v>not_sampled</x:v>
      </x:c>
    </x:row>
    <x:row r="595" ht="46" customHeight="1">
      <x:c r="A595" s="17" t="str">
        <x:v>us</x:v>
      </x:c>
      <x:c r="B595" s="17" t="str">
        <x:v>Missouri State University-Springfield</x:v>
      </x:c>
      <x:c r="C595" s="17" t="str">
        <x:v>IPEDS discovery signal: Computer Science (CIP 11.0701)</x:v>
      </x:c>
      <x:c r="D595" s="17" t="str">
        <x:v>Unclear</x:v>
      </x:c>
      <x:c r="E595" s="17" t="str">
        <x:v>stage2_screened_out</x:v>
      </x:c>
      <x:c r="F595" s="17" t="str">
        <x:v>Only one bounded registry/program-code signal was present; no independent topical, Calendar, current-faculty, or first-audit signal was recovered.</x:v>
      </x:c>
      <x:c r="G595" s="17" t="str">
        <x:v>Does the current official catalog contain a research graduate program matching the applicant's topics?</x:v>
      </x:c>
      <x:c r="H595" s="17" t="str">
        <x:v>https://www.missouristate.edu</x:v>
      </x:c>
      <x:c r="I595" s="17" t="str">
        <x:v>not_sampled</x:v>
      </x:c>
      <x:c r="J595" s="17" t="str">
        <x:v>not_sampled</x:v>
      </x:c>
    </x:row>
    <x:row r="596" ht="46" customHeight="1">
      <x:c r="A596" s="17" t="str">
        <x:v>us</x:v>
      </x:c>
      <x:c r="B596" s="17" t="str">
        <x:v>Missouri State University-Springfield</x:v>
      </x:c>
      <x:c r="C596" s="17" t="str">
        <x:v>IPEDS discovery signal: Information Technology (CIP 11.0103)</x:v>
      </x:c>
      <x:c r="D596" s="17" t="str">
        <x:v>Unclear</x:v>
      </x:c>
      <x:c r="E596" s="17" t="str">
        <x:v>stage2_screened_out</x:v>
      </x:c>
      <x:c r="F596" s="17" t="str">
        <x:v>Only one bounded registry/program-code signal was present; no independent topical, Calendar, current-faculty, or first-audit signal was recovered.</x:v>
      </x:c>
      <x:c r="G596" s="17" t="str">
        <x:v>Does the current official catalog contain a research graduate program matching the applicant's topics?</x:v>
      </x:c>
      <x:c r="H596" s="17" t="str">
        <x:v>https://www.missouristate.edu</x:v>
      </x:c>
      <x:c r="I596" s="17" t="str">
        <x:v>not_sampled</x:v>
      </x:c>
      <x:c r="J596" s="17" t="str">
        <x:v>not_sampled</x:v>
      </x:c>
    </x:row>
    <x:row r="597" ht="46" customHeight="1">
      <x:c r="A597" s="17" t="str">
        <x:v>us</x:v>
      </x:c>
      <x:c r="B597" s="17" t="str">
        <x:v>Missouri University of Science and Technology</x:v>
      </x:c>
      <x:c r="C597" s="17" t="str">
        <x:v>IPEDS discovery signal: Computer and Information Sciences, General (CIP 11.0101)</x:v>
      </x:c>
      <x:c r="D597" s="17" t="str">
        <x:v>Unclear</x:v>
      </x:c>
      <x:c r="E597" s="17" t="str">
        <x:v>stage2_screened_out</x:v>
      </x:c>
      <x:c r="F597" s="17" t="str">
        <x:v>Only one bounded registry/program-code signal was present; no independent topical, Calendar, current-faculty, or first-audit signal was recovered.</x:v>
      </x:c>
      <x:c r="G597" s="17" t="str">
        <x:v>Does the current official catalog contain a research graduate program matching the applicant's topics?</x:v>
      </x:c>
      <x:c r="H597" s="17" t="str">
        <x:v>https://www.mst.edu</x:v>
      </x:c>
      <x:c r="I597" s="17" t="str">
        <x:v>not_sampled</x:v>
      </x:c>
      <x:c r="J597" s="17" t="str">
        <x:v>not_sampled</x:v>
      </x:c>
    </x:row>
    <x:row r="598" ht="46" customHeight="1">
      <x:c r="A598" s="17" t="str">
        <x:v>us</x:v>
      </x:c>
      <x:c r="B598" s="17" t="str">
        <x:v>Missouri University of Science and Technology</x:v>
      </x:c>
      <x:c r="C598" s="17" t="str">
        <x:v>IPEDS discovery signal: Computer Engineering, General (CIP 14.0901)</x:v>
      </x:c>
      <x:c r="D598" s="17" t="str">
        <x:v>Unclear</x:v>
      </x:c>
      <x:c r="E598" s="17" t="str">
        <x:v>stage2_screened_out</x:v>
      </x:c>
      <x:c r="F598" s="17" t="str">
        <x:v>Only one bounded registry/program-code signal was present; no independent topical, Calendar, current-faculty, or first-audit signal was recovered.</x:v>
      </x:c>
      <x:c r="G598" s="17" t="str">
        <x:v>Does the current official catalog contain a research graduate program matching the applicant's topics?</x:v>
      </x:c>
      <x:c r="H598" s="17" t="str">
        <x:v>https://www.mst.edu</x:v>
      </x:c>
      <x:c r="I598" s="17" t="str">
        <x:v>not_sampled</x:v>
      </x:c>
      <x:c r="J598" s="17" t="str">
        <x:v>not_sampled</x:v>
      </x:c>
    </x:row>
    <x:row r="599" ht="46" customHeight="1">
      <x:c r="A599" s="17" t="str">
        <x:v>us</x:v>
      </x:c>
      <x:c r="B599" s="17" t="str">
        <x:v>Missouri University of Science and Technology</x:v>
      </x:c>
      <x:c r="C599" s="17" t="str">
        <x:v>IPEDS discovery signal: Electrical and Electronics Engineering (CIP 14.1001)</x:v>
      </x:c>
      <x:c r="D599" s="17" t="str">
        <x:v>Unclear</x:v>
      </x:c>
      <x:c r="E599" s="17" t="str">
        <x:v>stage2_screened_out</x:v>
      </x:c>
      <x:c r="F599" s="17" t="str">
        <x:v>Only one bounded registry/program-code signal was present; no independent topical, Calendar, current-faculty, or first-audit signal was recovered.</x:v>
      </x:c>
      <x:c r="G599" s="17" t="str">
        <x:v>Does the current official catalog contain a research graduate program matching the applicant's topics?</x:v>
      </x:c>
      <x:c r="H599" s="17" t="str">
        <x:v>https://www.mst.edu</x:v>
      </x:c>
      <x:c r="I599" s="17" t="str">
        <x:v>not_sampled</x:v>
      </x:c>
      <x:c r="J599" s="17" t="str">
        <x:v>not_sampled</x:v>
      </x:c>
    </x:row>
    <x:row r="600" ht="46" customHeight="1">
      <x:c r="A600" s="17" t="str">
        <x:v>us</x:v>
      </x:c>
      <x:c r="B600" s="17" t="str">
        <x:v>Missouri University of Science and Technology</x:v>
      </x:c>
      <x:c r="C600" s="17" t="str">
        <x:v>IPEDS discovery signal: Information Science/Studies (CIP 11.0401)</x:v>
      </x:c>
      <x:c r="D600" s="17" t="str">
        <x:v>Unclear</x:v>
      </x:c>
      <x:c r="E600" s="17" t="str">
        <x:v>stage2_screened_out</x:v>
      </x:c>
      <x:c r="F600" s="17" t="str">
        <x:v>Only one bounded registry/program-code signal was present; no independent topical, Calendar, current-faculty, or first-audit signal was recovered.</x:v>
      </x:c>
      <x:c r="G600" s="17" t="str">
        <x:v>Does the current official catalog contain a research graduate program matching the applicant's topics?</x:v>
      </x:c>
      <x:c r="H600" s="17" t="str">
        <x:v>https://www.mst.edu</x:v>
      </x:c>
      <x:c r="I600" s="17" t="str">
        <x:v>not_sampled</x:v>
      </x:c>
      <x:c r="J600" s="17" t="str">
        <x:v>not_sampled</x:v>
      </x:c>
    </x:row>
    <x:row r="601" ht="46" customHeight="1">
      <x:c r="A601" s="17" t="str">
        <x:v>us</x:v>
      </x:c>
      <x:c r="B601" s="17" t="str">
        <x:v>Missouri Western State University</x:v>
      </x:c>
      <x:c r="C601" s="17" t="str">
        <x:v>IPEDS discovery signal: Computer and Information Systems Security/Auditing/Information Assurance (CIP 11.1003)</x:v>
      </x:c>
      <x:c r="D601" s="17" t="str">
        <x:v>Unclear</x:v>
      </x:c>
      <x:c r="E601" s="17" t="str">
        <x:v>stage2_screened_out</x:v>
      </x:c>
      <x:c r="F601" s="17" t="str">
        <x:v>Only one bounded registry/program-code signal was present; no independent topical, Calendar, current-faculty, or first-audit signal was recovered.</x:v>
      </x:c>
      <x:c r="G601" s="17" t="str">
        <x:v>Does the current official catalog contain a research graduate program matching the applicant's topics?</x:v>
      </x:c>
      <x:c r="H601" s="17" t="str">
        <x:v>https://www.missouriwestern.edu</x:v>
      </x:c>
      <x:c r="I601" s="17" t="str">
        <x:v>not_sampled</x:v>
      </x:c>
      <x:c r="J601" s="17" t="str">
        <x:v>not_sampled</x:v>
      </x:c>
    </x:row>
    <x:row r="602" ht="46" customHeight="1">
      <x:c r="A602" s="17" t="str">
        <x:v>us</x:v>
      </x:c>
      <x:c r="B602" s="17" t="str">
        <x:v>Monmouth University</x:v>
      </x:c>
      <x:c r="C602" s="17" t="str">
        <x:v>IPEDS discovery signal: Computer and Information Sciences, General (CIP 11.0101)</x:v>
      </x:c>
      <x:c r="D602" s="17" t="str">
        <x:v>Unclear</x:v>
      </x:c>
      <x:c r="E602" s="17" t="str">
        <x:v>stage2_screened_out</x:v>
      </x:c>
      <x:c r="F602" s="17" t="str">
        <x:v>Only one bounded registry/program-code signal was present; no independent topical, Calendar, current-faculty, or first-audit signal was recovered.</x:v>
      </x:c>
      <x:c r="G602" s="17" t="str">
        <x:v>Does the current official catalog contain a research graduate program matching the applicant's topics?</x:v>
      </x:c>
      <x:c r="H602" s="17" t="str">
        <x:v>https://www.monmouth.edu</x:v>
      </x:c>
      <x:c r="I602" s="17" t="str">
        <x:v>not_sampled</x:v>
      </x:c>
      <x:c r="J602" s="17" t="str">
        <x:v>not_sampled</x:v>
      </x:c>
    </x:row>
    <x:row r="603" ht="46" customHeight="1">
      <x:c r="A603" s="17" t="str">
        <x:v>us</x:v>
      </x:c>
      <x:c r="B603" s="17" t="str">
        <x:v>Monmouth University</x:v>
      </x:c>
      <x:c r="C603" s="17" t="str">
        <x:v>IPEDS discovery signal: Computer Software Engineering (CIP 14.0903)</x:v>
      </x:c>
      <x:c r="D603" s="17" t="str">
        <x:v>Unclear</x:v>
      </x:c>
      <x:c r="E603" s="17" t="str">
        <x:v>stage2_screened_out</x:v>
      </x:c>
      <x:c r="F603" s="17" t="str">
        <x:v>Only one bounded registry/program-code signal was present; no independent topical, Calendar, current-faculty, or first-audit signal was recovered.</x:v>
      </x:c>
      <x:c r="G603" s="17" t="str">
        <x:v>Does the current official catalog contain a research graduate program matching the applicant's topics?</x:v>
      </x:c>
      <x:c r="H603" s="17" t="str">
        <x:v>https://www.monmouth.edu</x:v>
      </x:c>
      <x:c r="I603" s="17" t="str">
        <x:v>not_sampled</x:v>
      </x:c>
      <x:c r="J603" s="17" t="str">
        <x:v>not_sampled</x:v>
      </x:c>
    </x:row>
    <x:row r="604" ht="46" customHeight="1">
      <x:c r="A604" s="17" t="str">
        <x:v>us</x:v>
      </x:c>
      <x:c r="B604" s="17" t="str">
        <x:v>Monmouth University</x:v>
      </x:c>
      <x:c r="C604" s="17" t="str">
        <x:v>IPEDS discovery signal: Data Science, General (CIP 30.7001)</x:v>
      </x:c>
      <x:c r="D604" s="17" t="str">
        <x:v>Unclear</x:v>
      </x:c>
      <x:c r="E604" s="17" t="str">
        <x:v>stage2_screened_out</x:v>
      </x:c>
      <x:c r="F604" s="17" t="str">
        <x:v>Only one bounded registry/program-code signal was present; no independent topical, Calendar, current-faculty, or first-audit signal was recovered.</x:v>
      </x:c>
      <x:c r="G604" s="17" t="str">
        <x:v>Does the current official catalog contain a research graduate program matching the applicant's topics?</x:v>
      </x:c>
      <x:c r="H604" s="17" t="str">
        <x:v>https://www.monmouth.edu</x:v>
      </x:c>
      <x:c r="I604" s="17" t="str">
        <x:v>not_sampled</x:v>
      </x:c>
      <x:c r="J604" s="17" t="str">
        <x:v>not_sampled</x:v>
      </x:c>
    </x:row>
    <x:row r="605" ht="46" customHeight="1">
      <x:c r="A605" s="17" t="str">
        <x:v>us</x:v>
      </x:c>
      <x:c r="B605" s="17" t="str">
        <x:v>Monroe University</x:v>
      </x:c>
      <x:c r="C605" s="17" t="str">
        <x:v>IPEDS discovery signal: Computer Science (CIP 11.0701)</x:v>
      </x:c>
      <x:c r="D605" s="17" t="str">
        <x:v>Unclear</x:v>
      </x:c>
      <x:c r="E605" s="17" t="str">
        <x:v>stage2_screened_out</x:v>
      </x:c>
      <x:c r="F605" s="17" t="str">
        <x:v>Only one bounded registry/program-code signal was present; no independent topical, Calendar, current-faculty, or first-audit signal was recovered.</x:v>
      </x:c>
      <x:c r="G605" s="17" t="str">
        <x:v>Does the current official catalog contain a research graduate program matching the applicant's topics?</x:v>
      </x:c>
      <x:c r="H605" s="17" t="str">
        <x:v>https://www.monroecollege.edu</x:v>
      </x:c>
      <x:c r="I605" s="17" t="str">
        <x:v>not_sampled</x:v>
      </x:c>
      <x:c r="J605" s="17" t="str">
        <x:v>not_sampled</x:v>
      </x:c>
    </x:row>
    <x:row r="606" ht="46" customHeight="1">
      <x:c r="A606" s="17" t="str">
        <x:v>us</x:v>
      </x:c>
      <x:c r="B606" s="17" t="str">
        <x:v>Monroe University</x:v>
      </x:c>
      <x:c r="C606" s="17" t="str">
        <x:v>IPEDS discovery signal: Data Science, General (CIP 30.7001)</x:v>
      </x:c>
      <x:c r="D606" s="17" t="str">
        <x:v>Unclear</x:v>
      </x:c>
      <x:c r="E606" s="17" t="str">
        <x:v>stage2_screened_out</x:v>
      </x:c>
      <x:c r="F606" s="17" t="str">
        <x:v>Only one bounded registry/program-code signal was present; no independent topical, Calendar, current-faculty, or first-audit signal was recovered.</x:v>
      </x:c>
      <x:c r="G606" s="17" t="str">
        <x:v>Does the current official catalog contain a research graduate program matching the applicant's topics?</x:v>
      </x:c>
      <x:c r="H606" s="17" t="str">
        <x:v>https://www.monroecollege.edu</x:v>
      </x:c>
      <x:c r="I606" s="17" t="str">
        <x:v>not_sampled</x:v>
      </x:c>
      <x:c r="J606" s="17" t="str">
        <x:v>not_sampled</x:v>
      </x:c>
    </x:row>
    <x:row r="607" ht="46" customHeight="1">
      <x:c r="A607" s="17" t="str">
        <x:v>us</x:v>
      </x:c>
      <x:c r="B607" s="17" t="str">
        <x:v>Montana State University</x:v>
      </x:c>
      <x:c r="C607" s="17" t="str">
        <x:v>IPEDS discovery signal: Electrical and Electronics Engineering (CIP 14.1001)</x:v>
      </x:c>
      <x:c r="D607" s="17" t="str">
        <x:v>Unclear</x:v>
      </x:c>
      <x:c r="E607" s="17" t="str">
        <x:v>stage2_screened_out</x:v>
      </x:c>
      <x:c r="F607" s="17" t="str">
        <x:v>Duplicate mechanical discovery signal consolidated into one institution-level catalog review candidate.</x:v>
      </x:c>
      <x:c r="G607" s="17" t="str">
        <x:v>Does the current official catalog contain a research graduate program matching the applicant's topics?</x:v>
      </x:c>
      <x:c r="H607" s="17" t="str">
        <x:v>https://www.montana.edu</x:v>
      </x:c>
      <x:c r="I607" s="17" t="str">
        <x:v>not_sampled</x:v>
      </x:c>
      <x:c r="J607" s="17" t="str">
        <x:v>not_sampled</x:v>
      </x:c>
    </x:row>
    <x:row r="608" ht="46" customHeight="1">
      <x:c r="A608" s="17" t="str">
        <x:v>us</x:v>
      </x:c>
      <x:c r="B608" s="17" t="str">
        <x:v>Montana Technological University</x:v>
      </x:c>
      <x:c r="C608" s="17" t="str">
        <x:v>IPEDS discovery signal: Electrical and Electronics Engineering (CIP 14.1001)</x:v>
      </x:c>
      <x:c r="D608" s="17" t="str">
        <x:v>Unclear</x:v>
      </x:c>
      <x:c r="E608" s="17" t="str">
        <x:v>stage2_screened_out</x:v>
      </x:c>
      <x:c r="F608" s="17" t="str">
        <x:v>Only one bounded registry/program-code signal was present; no independent topical, Calendar, current-faculty, or first-audit signal was recovered.</x:v>
      </x:c>
      <x:c r="G608" s="17" t="str">
        <x:v>Does the current official catalog contain a research graduate program matching the applicant's topics?</x:v>
      </x:c>
      <x:c r="H608" s="17" t="str">
        <x:v>https://www.mtech.edu</x:v>
      </x:c>
      <x:c r="I608" s="17" t="str">
        <x:v>not_sampled</x:v>
      </x:c>
      <x:c r="J608" s="17" t="str">
        <x:v>not_sampled</x:v>
      </x:c>
    </x:row>
    <x:row r="609" ht="46" customHeight="1">
      <x:c r="A609" s="17" t="str">
        <x:v>us</x:v>
      </x:c>
      <x:c r="B609" s="17" t="str">
        <x:v>Montclair State University</x:v>
      </x:c>
      <x:c r="C609" s="17" t="str">
        <x:v>IPEDS discovery signal: Artificial Intelligence (CIP 11.0102)</x:v>
      </x:c>
      <x:c r="D609" s="17" t="str">
        <x:v>Unclear</x:v>
      </x:c>
      <x:c r="E609" s="17" t="str">
        <x:v>stage2_screened_out</x:v>
      </x:c>
      <x:c r="F609" s="17" t="str">
        <x:v>Only one bounded registry/program-code signal was present; no independent topical, Calendar, current-faculty, or first-audit signal was recovered.</x:v>
      </x:c>
      <x:c r="G609" s="17" t="str">
        <x:v>Does the current official catalog contain a research graduate program matching the applicant's topics?</x:v>
      </x:c>
      <x:c r="H609" s="17" t="str">
        <x:v>https://www.montclair.edu</x:v>
      </x:c>
      <x:c r="I609" s="17" t="str">
        <x:v>not_sampled</x:v>
      </x:c>
      <x:c r="J609" s="17" t="str">
        <x:v>not_sampled</x:v>
      </x:c>
    </x:row>
    <x:row r="610" ht="46" customHeight="1">
      <x:c r="A610" s="17" t="str">
        <x:v>us</x:v>
      </x:c>
      <x:c r="B610" s="17" t="str">
        <x:v>Montclair State University</x:v>
      </x:c>
      <x:c r="C610" s="17" t="str">
        <x:v>IPEDS discovery signal: Computer and Information Sciences, General (CIP 11.0101)</x:v>
      </x:c>
      <x:c r="D610" s="17" t="str">
        <x:v>Unclear</x:v>
      </x:c>
      <x:c r="E610" s="17" t="str">
        <x:v>stage2_screened_out</x:v>
      </x:c>
      <x:c r="F610" s="17" t="str">
        <x:v>Only one bounded registry/program-code signal was present; no independent topical, Calendar, current-faculty, or first-audit signal was recovered.</x:v>
      </x:c>
      <x:c r="G610" s="17" t="str">
        <x:v>Does the current official catalog contain a research graduate program matching the applicant's topics?</x:v>
      </x:c>
      <x:c r="H610" s="17" t="str">
        <x:v>https://www.montclair.edu</x:v>
      </x:c>
      <x:c r="I610" s="17" t="str">
        <x:v>not_sampled</x:v>
      </x:c>
      <x:c r="J610" s="17" t="str">
        <x:v>not_sampled</x:v>
      </x:c>
    </x:row>
    <x:row r="611" ht="46" customHeight="1">
      <x:c r="A611" s="17" t="str">
        <x:v>us</x:v>
      </x:c>
      <x:c r="B611" s="17" t="str">
        <x:v>Montclair State University</x:v>
      </x:c>
      <x:c r="C611" s="17" t="str">
        <x:v>IPEDS discovery signal: Computer and Information Systems Security/Auditing/Information Assurance (CIP 11.1003)</x:v>
      </x:c>
      <x:c r="D611" s="17" t="str">
        <x:v>Unclear</x:v>
      </x:c>
      <x:c r="E611" s="17" t="str">
        <x:v>stage2_screened_out</x:v>
      </x:c>
      <x:c r="F611" s="17" t="str">
        <x:v>Only one bounded registry/program-code signal was present; no independent topical, Calendar, current-faculty, or first-audit signal was recovered.</x:v>
      </x:c>
      <x:c r="G611" s="17" t="str">
        <x:v>Does the current official catalog contain a research graduate program matching the applicant's topics?</x:v>
      </x:c>
      <x:c r="H611" s="17" t="str">
        <x:v>https://www.montclair.edu</x:v>
      </x:c>
      <x:c r="I611" s="17" t="str">
        <x:v>not_sampled</x:v>
      </x:c>
      <x:c r="J611" s="17" t="str">
        <x:v>not_sampled</x:v>
      </x:c>
    </x:row>
    <x:row r="612" ht="46" customHeight="1">
      <x:c r="A612" s="17" t="str">
        <x:v>us</x:v>
      </x:c>
      <x:c r="B612" s="17" t="str">
        <x:v>Montclair State University</x:v>
      </x:c>
      <x:c r="C612" s="17" t="str">
        <x:v>IPEDS discovery signal: Information Technology (CIP 11.0103)</x:v>
      </x:c>
      <x:c r="D612" s="17" t="str">
        <x:v>Unclear</x:v>
      </x:c>
      <x:c r="E612" s="17" t="str">
        <x:v>stage2_screened_out</x:v>
      </x:c>
      <x:c r="F612" s="17" t="str">
        <x:v>Only one bounded registry/program-code signal was present; no independent topical, Calendar, current-faculty, or first-audit signal was recovered.</x:v>
      </x:c>
      <x:c r="G612" s="17" t="str">
        <x:v>Does the current official catalog contain a research graduate program matching the applicant's topics?</x:v>
      </x:c>
      <x:c r="H612" s="17" t="str">
        <x:v>https://www.montclair.edu</x:v>
      </x:c>
      <x:c r="I612" s="17" t="str">
        <x:v>not_sampled</x:v>
      </x:c>
      <x:c r="J612" s="17" t="str">
        <x:v>not_sampled</x:v>
      </x:c>
    </x:row>
    <x:row r="613" ht="46" customHeight="1">
      <x:c r="A613" s="17" t="str">
        <x:v>us</x:v>
      </x:c>
      <x:c r="B613" s="17" t="str">
        <x:v>Moravian University</x:v>
      </x:c>
      <x:c r="C613" s="17" t="str">
        <x:v>IPEDS discovery signal: Data Analytics, General (CIP 30.7101)</x:v>
      </x:c>
      <x:c r="D613" s="17" t="str">
        <x:v>Unclear</x:v>
      </x:c>
      <x:c r="E613" s="17" t="str">
        <x:v>stage2_screened_out</x:v>
      </x:c>
      <x:c r="F613" s="17" t="str">
        <x:v>Only one bounded registry/program-code signal was present; no independent topical, Calendar, current-faculty, or first-audit signal was recovered.</x:v>
      </x:c>
      <x:c r="G613" s="17" t="str">
        <x:v>Does the current official catalog contain a research graduate program matching the applicant's topics?</x:v>
      </x:c>
      <x:c r="H613" s="17" t="str">
        <x:v>https://www.moravian.edu</x:v>
      </x:c>
      <x:c r="I613" s="17" t="str">
        <x:v>not_sampled</x:v>
      </x:c>
      <x:c r="J613" s="17" t="str">
        <x:v>not_sampled</x:v>
      </x:c>
    </x:row>
    <x:row r="614" ht="46" customHeight="1">
      <x:c r="A614" s="17" t="str">
        <x:v>us</x:v>
      </x:c>
      <x:c r="B614" s="17" t="str">
        <x:v>Morgan State University</x:v>
      </x:c>
      <x:c r="C614" s="17" t="str">
        <x:v>IPEDS discovery signal: Computer Science (CIP 11.0701)</x:v>
      </x:c>
      <x:c r="D614" s="17" t="str">
        <x:v>Unclear</x:v>
      </x:c>
      <x:c r="E614" s="17" t="str">
        <x:v>stage2_screened_out</x:v>
      </x:c>
      <x:c r="F614" s="17" t="str">
        <x:v>Only one bounded registry/program-code signal was present; no independent topical, Calendar, current-faculty, or first-audit signal was recovered.</x:v>
      </x:c>
      <x:c r="G614" s="17" t="str">
        <x:v>Does the current official catalog contain a research graduate program matching the applicant's topics?</x:v>
      </x:c>
      <x:c r="H614" s="17" t="str">
        <x:v>https://www.morgan.edu</x:v>
      </x:c>
      <x:c r="I614" s="17" t="str">
        <x:v>not_sampled</x:v>
      </x:c>
      <x:c r="J614" s="17" t="str">
        <x:v>not_sampled</x:v>
      </x:c>
    </x:row>
    <x:row r="615" ht="46" customHeight="1">
      <x:c r="A615" s="17" t="str">
        <x:v>us</x:v>
      </x:c>
      <x:c r="B615" s="17" t="str">
        <x:v>Morgan State University</x:v>
      </x:c>
      <x:c r="C615" s="17" t="str">
        <x:v>IPEDS discovery signal: Electrical and Electronics Engineering (CIP 14.1001)</x:v>
      </x:c>
      <x:c r="D615" s="17" t="str">
        <x:v>Unclear</x:v>
      </x:c>
      <x:c r="E615" s="17" t="str">
        <x:v>stage2_screened_out</x:v>
      </x:c>
      <x:c r="F615" s="17" t="str">
        <x:v>Only one bounded registry/program-code signal was present; no independent topical, Calendar, current-faculty, or first-audit signal was recovered.</x:v>
      </x:c>
      <x:c r="G615" s="17" t="str">
        <x:v>Does the current official catalog contain a research graduate program matching the applicant's topics?</x:v>
      </x:c>
      <x:c r="H615" s="17" t="str">
        <x:v>https://www.morgan.edu</x:v>
      </x:c>
      <x:c r="I615" s="17" t="str">
        <x:v>not_sampled</x:v>
      </x:c>
      <x:c r="J615" s="17" t="str">
        <x:v>not_sampled</x:v>
      </x:c>
    </x:row>
    <x:row r="616" ht="46" customHeight="1">
      <x:c r="A616" s="17" t="str">
        <x:v>us</x:v>
      </x:c>
      <x:c r="B616" s="17" t="str">
        <x:v>Muhlenberg College</x:v>
      </x:c>
      <x:c r="C616" s="17" t="str">
        <x:v>IPEDS discovery signal: Data Analytics, General (CIP 30.7101)</x:v>
      </x:c>
      <x:c r="D616" s="17" t="str">
        <x:v>Unclear</x:v>
      </x:c>
      <x:c r="E616" s="17" t="str">
        <x:v>stage2_screened_out</x:v>
      </x:c>
      <x:c r="F616" s="17" t="str">
        <x:v>Only one bounded registry/program-code signal was present; no independent topical, Calendar, current-faculty, or first-audit signal was recovered.</x:v>
      </x:c>
      <x:c r="G616" s="17" t="str">
        <x:v>Does the current official catalog contain a research graduate program matching the applicant's topics?</x:v>
      </x:c>
      <x:c r="H616" s="17" t="str">
        <x:v>https://www.muhlenberg.edu</x:v>
      </x:c>
      <x:c r="I616" s="17" t="str">
        <x:v>not_sampled</x:v>
      </x:c>
      <x:c r="J616" s="17" t="str">
        <x:v>not_sampled</x:v>
      </x:c>
    </x:row>
    <x:row r="617" ht="46" customHeight="1">
      <x:c r="A617" s="17" t="str">
        <x:v>us</x:v>
      </x:c>
      <x:c r="B617" s="17" t="str">
        <x:v>Murray State University</x:v>
      </x:c>
      <x:c r="C617" s="17" t="str">
        <x:v>IPEDS discovery signal: Information Technology (CIP 11.0103)</x:v>
      </x:c>
      <x:c r="D617" s="17" t="str">
        <x:v>Unclear</x:v>
      </x:c>
      <x:c r="E617" s="17" t="str">
        <x:v>stage2_screened_out</x:v>
      </x:c>
      <x:c r="F617" s="17" t="str">
        <x:v>Duplicate mechanical discovery signal consolidated into one institution-level catalog review candidate.</x:v>
      </x:c>
      <x:c r="G617" s="17" t="str">
        <x:v>Does the current official catalog contain a research graduate program matching the applicant's topics?</x:v>
      </x:c>
      <x:c r="H617" s="17" t="str">
        <x:v>https://www.murraystate.edu</x:v>
      </x:c>
      <x:c r="I617" s="17" t="str">
        <x:v>not_sampled</x:v>
      </x:c>
      <x:c r="J617" s="17" t="str">
        <x:v>not_sampled</x:v>
      </x:c>
    </x:row>
    <x:row r="618" ht="46" customHeight="1">
      <x:c r="A618" s="17" t="str">
        <x:v>us</x:v>
      </x:c>
      <x:c r="B618" s="17" t="str">
        <x:v>National University</x:v>
      </x:c>
      <x:c r="C618" s="17" t="str">
        <x:v>IPEDS discovery signal: Computer and Information Systems Security/Auditing/Information Assurance (CIP 11.1003)</x:v>
      </x:c>
      <x:c r="D618" s="17" t="str">
        <x:v>Unclear</x:v>
      </x:c>
      <x:c r="E618" s="17" t="str">
        <x:v>stage2_screened_out</x:v>
      </x:c>
      <x:c r="F618" s="17" t="str">
        <x:v>Only one bounded registry/program-code signal was present; no independent topical, Calendar, current-faculty, or first-audit signal was recovered.</x:v>
      </x:c>
      <x:c r="G618" s="17" t="str">
        <x:v>Does the current official catalog contain a research graduate program matching the applicant's topics?</x:v>
      </x:c>
      <x:c r="H618" s="17" t="str">
        <x:v>https://www.nu.edu</x:v>
      </x:c>
      <x:c r="I618" s="17" t="str">
        <x:v>not_sampled</x:v>
      </x:c>
      <x:c r="J618" s="17" t="str">
        <x:v>not_sampled</x:v>
      </x:c>
    </x:row>
    <x:row r="619" ht="46" customHeight="1">
      <x:c r="A619" s="17" t="str">
        <x:v>us</x:v>
      </x:c>
      <x:c r="B619" s="17" t="str">
        <x:v>National University</x:v>
      </x:c>
      <x:c r="C619" s="17" t="str">
        <x:v>IPEDS discovery signal: Computer Science (CIP 11.0701)</x:v>
      </x:c>
      <x:c r="D619" s="17" t="str">
        <x:v>Unclear</x:v>
      </x:c>
      <x:c r="E619" s="17" t="str">
        <x:v>stage2_screened_out</x:v>
      </x:c>
      <x:c r="F619" s="17" t="str">
        <x:v>Only one bounded registry/program-code signal was present; no independent topical, Calendar, current-faculty, or first-audit signal was recovered.</x:v>
      </x:c>
      <x:c r="G619" s="17" t="str">
        <x:v>Does the current official catalog contain a research graduate program matching the applicant's topics?</x:v>
      </x:c>
      <x:c r="H619" s="17" t="str">
        <x:v>https://www.nu.edu</x:v>
      </x:c>
      <x:c r="I619" s="17" t="str">
        <x:v>not_sampled</x:v>
      </x:c>
      <x:c r="J619" s="17" t="str">
        <x:v>not_sampled</x:v>
      </x:c>
    </x:row>
    <x:row r="620" ht="46" customHeight="1">
      <x:c r="A620" s="17" t="str">
        <x:v>us</x:v>
      </x:c>
      <x:c r="B620" s="17" t="str">
        <x:v>Naval Postgraduate School</x:v>
      </x:c>
      <x:c r="C620" s="17" t="str">
        <x:v>IPEDS discovery signal: Computer and Information Systems Security/Auditing/Information Assurance (CIP 11.1003)</x:v>
      </x:c>
      <x:c r="D620" s="17" t="str">
        <x:v>Unclear</x:v>
      </x:c>
      <x:c r="E620" s="17" t="str">
        <x:v>stage2_screened_out</x:v>
      </x:c>
      <x:c r="F620" s="17" t="str">
        <x:v>Only one bounded registry/program-code signal was present; no independent topical, Calendar, current-faculty, or first-audit signal was recovered.</x:v>
      </x:c>
      <x:c r="G620" s="17" t="str">
        <x:v>Does the current official catalog contain a research graduate program matching the applicant's topics?</x:v>
      </x:c>
      <x:c r="H620" s="17" t="str">
        <x:v>https://www.nps.edu</x:v>
      </x:c>
      <x:c r="I620" s="17" t="str">
        <x:v>not_sampled</x:v>
      </x:c>
      <x:c r="J620" s="17" t="str">
        <x:v>not_sampled</x:v>
      </x:c>
    </x:row>
    <x:row r="621" ht="46" customHeight="1">
      <x:c r="A621" s="17" t="str">
        <x:v>us</x:v>
      </x:c>
      <x:c r="B621" s="17" t="str">
        <x:v>Naval Postgraduate School</x:v>
      </x:c>
      <x:c r="C621" s="17" t="str">
        <x:v>IPEDS discovery signal: Computer Science (CIP 11.0701)</x:v>
      </x:c>
      <x:c r="D621" s="17" t="str">
        <x:v>Unclear</x:v>
      </x:c>
      <x:c r="E621" s="17" t="str">
        <x:v>stage2_screened_out</x:v>
      </x:c>
      <x:c r="F621" s="17" t="str">
        <x:v>Only one bounded registry/program-code signal was present; no independent topical, Calendar, current-faculty, or first-audit signal was recovered.</x:v>
      </x:c>
      <x:c r="G621" s="17" t="str">
        <x:v>Does the current official catalog contain a research graduate program matching the applicant's topics?</x:v>
      </x:c>
      <x:c r="H621" s="17" t="str">
        <x:v>https://www.nps.edu</x:v>
      </x:c>
      <x:c r="I621" s="17" t="str">
        <x:v>not_sampled</x:v>
      </x:c>
      <x:c r="J621" s="17" t="str">
        <x:v>not_sampled</x:v>
      </x:c>
    </x:row>
    <x:row r="622" ht="46" customHeight="1">
      <x:c r="A622" s="17" t="str">
        <x:v>us</x:v>
      </x:c>
      <x:c r="B622" s="17" t="str">
        <x:v>Naval Postgraduate School</x:v>
      </x:c>
      <x:c r="C622" s="17" t="str">
        <x:v>IPEDS discovery signal: Electrical and Electronics Engineering (CIP 14.1001)</x:v>
      </x:c>
      <x:c r="D622" s="17" t="str">
        <x:v>Unclear</x:v>
      </x:c>
      <x:c r="E622" s="17" t="str">
        <x:v>stage2_screened_out</x:v>
      </x:c>
      <x:c r="F622" s="17" t="str">
        <x:v>Only one bounded registry/program-code signal was present; no independent topical, Calendar, current-faculty, or first-audit signal was recovered.</x:v>
      </x:c>
      <x:c r="G622" s="17" t="str">
        <x:v>Does the current official catalog contain a research graduate program matching the applicant's topics?</x:v>
      </x:c>
      <x:c r="H622" s="17" t="str">
        <x:v>https://www.nps.edu</x:v>
      </x:c>
      <x:c r="I622" s="17" t="str">
        <x:v>not_sampled</x:v>
      </x:c>
      <x:c r="J622" s="17" t="str">
        <x:v>not_sampled</x:v>
      </x:c>
    </x:row>
    <x:row r="623" ht="46" customHeight="1">
      <x:c r="A623" s="17" t="str">
        <x:v>us</x:v>
      </x:c>
      <x:c r="B623" s="17" t="str">
        <x:v>Naval Postgraduate School</x:v>
      </x:c>
      <x:c r="C623" s="17" t="str">
        <x:v>IPEDS discovery signal: Information Science/Studies (CIP 11.0401)</x:v>
      </x:c>
      <x:c r="D623" s="17" t="str">
        <x:v>Unclear</x:v>
      </x:c>
      <x:c r="E623" s="17" t="str">
        <x:v>stage2_screened_out</x:v>
      </x:c>
      <x:c r="F623" s="17" t="str">
        <x:v>Only one bounded registry/program-code signal was present; no independent topical, Calendar, current-faculty, or first-audit signal was recovered.</x:v>
      </x:c>
      <x:c r="G623" s="17" t="str">
        <x:v>Does the current official catalog contain a research graduate program matching the applicant's topics?</x:v>
      </x:c>
      <x:c r="H623" s="17" t="str">
        <x:v>https://www.nps.edu</x:v>
      </x:c>
      <x:c r="I623" s="17" t="str">
        <x:v>not_sampled</x:v>
      </x:c>
      <x:c r="J623" s="17" t="str">
        <x:v>not_sampled</x:v>
      </x:c>
    </x:row>
    <x:row r="624" ht="46" customHeight="1">
      <x:c r="A624" s="17" t="str">
        <x:v>us</x:v>
      </x:c>
      <x:c r="B624" s="17" t="str">
        <x:v>Naval Postgraduate School</x:v>
      </x:c>
      <x:c r="C624" s="17" t="str">
        <x:v>IPEDS discovery signal: Information Technology (CIP 11.0103)</x:v>
      </x:c>
      <x:c r="D624" s="17" t="str">
        <x:v>Unclear</x:v>
      </x:c>
      <x:c r="E624" s="17" t="str">
        <x:v>stage2_screened_out</x:v>
      </x:c>
      <x:c r="F624" s="17" t="str">
        <x:v>Only one bounded registry/program-code signal was present; no independent topical, Calendar, current-faculty, or first-audit signal was recovered.</x:v>
      </x:c>
      <x:c r="G624" s="17" t="str">
        <x:v>Does the current official catalog contain a research graduate program matching the applicant's topics?</x:v>
      </x:c>
      <x:c r="H624" s="17" t="str">
        <x:v>https://www.nps.edu</x:v>
      </x:c>
      <x:c r="I624" s="17" t="str">
        <x:v>not_sampled</x:v>
      </x:c>
      <x:c r="J624" s="17" t="str">
        <x:v>not_sampled</x:v>
      </x:c>
    </x:row>
    <x:row r="625" ht="46" customHeight="1">
      <x:c r="A625" s="17" t="str">
        <x:v>us</x:v>
      </x:c>
      <x:c r="B625" s="17" t="str">
        <x:v>New College of Florida</x:v>
      </x:c>
      <x:c r="C625" s="17" t="str">
        <x:v>IPEDS discovery signal: Informatics (CIP 11.0104)</x:v>
      </x:c>
      <x:c r="D625" s="17" t="str">
        <x:v>Unclear</x:v>
      </x:c>
      <x:c r="E625" s="17" t="str">
        <x:v>stage2_screened_out</x:v>
      </x:c>
      <x:c r="F625" s="17" t="str">
        <x:v>Only one bounded registry/program-code signal was present; no independent topical, Calendar, current-faculty, or first-audit signal was recovered.</x:v>
      </x:c>
      <x:c r="G625" s="17" t="str">
        <x:v>Does the current official catalog contain a research graduate program matching the applicant's topics?</x:v>
      </x:c>
      <x:c r="H625" s="17" t="str">
        <x:v>https://www.ncf.edu</x:v>
      </x:c>
      <x:c r="I625" s="17" t="str">
        <x:v>not_sampled</x:v>
      </x:c>
      <x:c r="J625" s="17" t="str">
        <x:v>not_sampled</x:v>
      </x:c>
    </x:row>
    <x:row r="626" ht="46" customHeight="1">
      <x:c r="A626" s="17" t="str">
        <x:v>us</x:v>
      </x:c>
      <x:c r="B626" s="17" t="str">
        <x:v>New England College</x:v>
      </x:c>
      <x:c r="C626" s="17" t="str">
        <x:v>IPEDS discovery signal: Computer and Information Sciences, General (CIP 11.0101)</x:v>
      </x:c>
      <x:c r="D626" s="17" t="str">
        <x:v>Unclear</x:v>
      </x:c>
      <x:c r="E626" s="17" t="str">
        <x:v>stage2_screened_out</x:v>
      </x:c>
      <x:c r="F626" s="17" t="str">
        <x:v>Only one bounded registry/program-code signal was present; no independent topical, Calendar, current-faculty, or first-audit signal was recovered.</x:v>
      </x:c>
      <x:c r="G626" s="17" t="str">
        <x:v>Does the current official catalog contain a research graduate program matching the applicant's topics?</x:v>
      </x:c>
      <x:c r="H626" s="17" t="str">
        <x:v>https://www.nec.edu</x:v>
      </x:c>
      <x:c r="I626" s="17" t="str">
        <x:v>not_sampled</x:v>
      </x:c>
      <x:c r="J626" s="17" t="str">
        <x:v>not_sampled</x:v>
      </x:c>
    </x:row>
    <x:row r="627" ht="46" customHeight="1">
      <x:c r="A627" s="17" t="str">
        <x:v>us</x:v>
      </x:c>
      <x:c r="B627" s="17" t="str">
        <x:v>New England College</x:v>
      </x:c>
      <x:c r="C627" s="17" t="str">
        <x:v>IPEDS discovery signal: Computer and Information Systems Security/Auditing/Information Assurance (CIP 11.1003)</x:v>
      </x:c>
      <x:c r="D627" s="17" t="str">
        <x:v>Unclear</x:v>
      </x:c>
      <x:c r="E627" s="17" t="str">
        <x:v>stage2_screened_out</x:v>
      </x:c>
      <x:c r="F627" s="17" t="str">
        <x:v>Only one bounded registry/program-code signal was present; no independent topical, Calendar, current-faculty, or first-audit signal was recovered.</x:v>
      </x:c>
      <x:c r="G627" s="17" t="str">
        <x:v>Does the current official catalog contain a research graduate program matching the applicant's topics?</x:v>
      </x:c>
      <x:c r="H627" s="17" t="str">
        <x:v>https://www.nec.edu</x:v>
      </x:c>
      <x:c r="I627" s="17" t="str">
        <x:v>not_sampled</x:v>
      </x:c>
      <x:c r="J627" s="17" t="str">
        <x:v>not_sampled</x:v>
      </x:c>
    </x:row>
    <x:row r="628" ht="46" customHeight="1">
      <x:c r="A628" s="17" t="str">
        <x:v>us</x:v>
      </x:c>
      <x:c r="B628" s="17" t="str">
        <x:v>New England Institute of Technology</x:v>
      </x:c>
      <x:c r="C628" s="17" t="str">
        <x:v>IPEDS discovery signal: Computer and Information Systems Security/Auditing/Information Assurance (CIP 11.1003)</x:v>
      </x:c>
      <x:c r="D628" s="17" t="str">
        <x:v>Unclear</x:v>
      </x:c>
      <x:c r="E628" s="17" t="str">
        <x:v>stage2_screened_out</x:v>
      </x:c>
      <x:c r="F628" s="17" t="str">
        <x:v>Only one bounded registry/program-code signal was present; no independent topical, Calendar, current-faculty, or first-audit signal was recovered.</x:v>
      </x:c>
      <x:c r="G628" s="17" t="str">
        <x:v>Does the current official catalog contain a research graduate program matching the applicant's topics?</x:v>
      </x:c>
      <x:c r="H628" s="17" t="str">
        <x:v>https://www.neit.edu</x:v>
      </x:c>
      <x:c r="I628" s="17" t="str">
        <x:v>not_sampled</x:v>
      </x:c>
      <x:c r="J628" s="17" t="str">
        <x:v>not_sampled</x:v>
      </x:c>
    </x:row>
    <x:row r="629" ht="46" customHeight="1">
      <x:c r="A629" s="17" t="str">
        <x:v>us</x:v>
      </x:c>
      <x:c r="B629" s="17" t="str">
        <x:v>New Jersey City University</x:v>
      </x:c>
      <x:c r="C629" s="17" t="str">
        <x:v>IPEDS discovery signal: Computer and Information Systems Security/Auditing/Information Assurance (CIP 11.1003)</x:v>
      </x:c>
      <x:c r="D629" s="17" t="str">
        <x:v>Unclear</x:v>
      </x:c>
      <x:c r="E629" s="17" t="str">
        <x:v>stage2_screened_out</x:v>
      </x:c>
      <x:c r="F629" s="17" t="str">
        <x:v>Only one bounded registry/program-code signal was present; no independent topical, Calendar, current-faculty, or first-audit signal was recovered.</x:v>
      </x:c>
      <x:c r="G629" s="17" t="str">
        <x:v>Does the current official catalog contain a research graduate program matching the applicant's topics?</x:v>
      </x:c>
      <x:c r="H629" s="17" t="str">
        <x:v>https://www.njcu.edu</x:v>
      </x:c>
      <x:c r="I629" s="17" t="str">
        <x:v>not_sampled</x:v>
      </x:c>
      <x:c r="J629" s="17" t="str">
        <x:v>not_sampled</x:v>
      </x:c>
    </x:row>
    <x:row r="630" ht="46" customHeight="1">
      <x:c r="A630" s="17" t="str">
        <x:v>us</x:v>
      </x:c>
      <x:c r="B630" s="17" t="str">
        <x:v>New Jersey City University</x:v>
      </x:c>
      <x:c r="C630" s="17" t="str">
        <x:v>IPEDS discovery signal: Information Technology (CIP 11.0103)</x:v>
      </x:c>
      <x:c r="D630" s="17" t="str">
        <x:v>Unclear</x:v>
      </x:c>
      <x:c r="E630" s="17" t="str">
        <x:v>stage2_screened_out</x:v>
      </x:c>
      <x:c r="F630" s="17" t="str">
        <x:v>Only one bounded registry/program-code signal was present; no independent topical, Calendar, current-faculty, or first-audit signal was recovered.</x:v>
      </x:c>
      <x:c r="G630" s="17" t="str">
        <x:v>Does the current official catalog contain a research graduate program matching the applicant's topics?</x:v>
      </x:c>
      <x:c r="H630" s="17" t="str">
        <x:v>https://www.njcu.edu</x:v>
      </x:c>
      <x:c r="I630" s="17" t="str">
        <x:v>not_sampled</x:v>
      </x:c>
      <x:c r="J630" s="17" t="str">
        <x:v>not_sampled</x:v>
      </x:c>
    </x:row>
    <x:row r="631" ht="46" customHeight="1">
      <x:c r="A631" s="17" t="str">
        <x:v>us</x:v>
      </x:c>
      <x:c r="B631" s="17" t="str">
        <x:v>New Jersey Institute of Technology</x:v>
      </x:c>
      <x:c r="C631" s="17" t="str">
        <x:v>IPEDS discovery signal: Artificial Intelligence (CIP 11.0102)</x:v>
      </x:c>
      <x:c r="D631" s="17" t="str">
        <x:v>Unclear</x:v>
      </x:c>
      <x:c r="E631" s="17" t="str">
        <x:v>stage2_screened_out</x:v>
      </x:c>
      <x:c r="F631" s="17" t="str">
        <x:v>Duplicate mechanical discovery signal consolidated into one institution-level catalog review candidate.</x:v>
      </x:c>
      <x:c r="G631" s="17" t="str">
        <x:v>Does the current official catalog contain a research graduate program matching the applicant's topics?</x:v>
      </x:c>
      <x:c r="H631" s="17" t="str">
        <x:v>https://www.njit.edu</x:v>
      </x:c>
      <x:c r="I631" s="17" t="str">
        <x:v>not_sampled</x:v>
      </x:c>
      <x:c r="J631" s="17" t="str">
        <x:v>not_sampled</x:v>
      </x:c>
    </x:row>
    <x:row r="632" ht="46" customHeight="1">
      <x:c r="A632" s="17" t="str">
        <x:v>us</x:v>
      </x:c>
      <x:c r="B632" s="17" t="str">
        <x:v>New Jersey Institute of Technology</x:v>
      </x:c>
      <x:c r="C632" s="17" t="str">
        <x:v>IPEDS discovery signal: Computer and Information Sciences, General (CIP 11.0101)</x:v>
      </x:c>
      <x:c r="D632" s="17" t="str">
        <x:v>Unclear</x:v>
      </x:c>
      <x:c r="E632" s="17" t="str">
        <x:v>stage2_screened_out</x:v>
      </x:c>
      <x:c r="F632" s="17" t="str">
        <x:v>Duplicate mechanical discovery signal consolidated into one institution-level catalog review candidate.</x:v>
      </x:c>
      <x:c r="G632" s="17" t="str">
        <x:v>Does the current official catalog contain a research graduate program matching the applicant's topics?</x:v>
      </x:c>
      <x:c r="H632" s="17" t="str">
        <x:v>https://www.njit.edu</x:v>
      </x:c>
      <x:c r="I632" s="17" t="str">
        <x:v>not_sampled</x:v>
      </x:c>
      <x:c r="J632" s="17" t="str">
        <x:v>not_sampled</x:v>
      </x:c>
    </x:row>
    <x:row r="633" ht="46" customHeight="1">
      <x:c r="A633" s="17" t="str">
        <x:v>us</x:v>
      </x:c>
      <x:c r="B633" s="17" t="str">
        <x:v>New Jersey Institute of Technology</x:v>
      </x:c>
      <x:c r="C633" s="17" t="str">
        <x:v>IPEDS discovery signal: Computer and Information Systems Security/Auditing/Information Assurance (CIP 11.1003)</x:v>
      </x:c>
      <x:c r="D633" s="17" t="str">
        <x:v>Unclear</x:v>
      </x:c>
      <x:c r="E633" s="17" t="str">
        <x:v>stage2_screened_out</x:v>
      </x:c>
      <x:c r="F633" s="17" t="str">
        <x:v>Duplicate mechanical discovery signal consolidated into one institution-level catalog review candidate.</x:v>
      </x:c>
      <x:c r="G633" s="17" t="str">
        <x:v>Does the current official catalog contain a research graduate program matching the applicant's topics?</x:v>
      </x:c>
      <x:c r="H633" s="17" t="str">
        <x:v>https://www.njit.edu</x:v>
      </x:c>
      <x:c r="I633" s="17" t="str">
        <x:v>not_sampled</x:v>
      </x:c>
      <x:c r="J633" s="17" t="str">
        <x:v>not_sampled</x:v>
      </x:c>
    </x:row>
    <x:row r="634" ht="46" customHeight="1">
      <x:c r="A634" s="17" t="str">
        <x:v>us</x:v>
      </x:c>
      <x:c r="B634" s="17" t="str">
        <x:v>New Jersey Institute of Technology</x:v>
      </x:c>
      <x:c r="C634" s="17" t="str">
        <x:v>IPEDS discovery signal: Computer Engineering, General (CIP 14.0901)</x:v>
      </x:c>
      <x:c r="D634" s="17" t="str">
        <x:v>Unclear</x:v>
      </x:c>
      <x:c r="E634" s="17" t="str">
        <x:v>stage2_screened_out</x:v>
      </x:c>
      <x:c r="F634" s="17" t="str">
        <x:v>Duplicate mechanical discovery signal consolidated into one institution-level catalog review candidate.</x:v>
      </x:c>
      <x:c r="G634" s="17" t="str">
        <x:v>Does the current official catalog contain a research graduate program matching the applicant's topics?</x:v>
      </x:c>
      <x:c r="H634" s="17" t="str">
        <x:v>https://www.njit.edu</x:v>
      </x:c>
      <x:c r="I634" s="17" t="str">
        <x:v>not_sampled</x:v>
      </x:c>
      <x:c r="J634" s="17" t="str">
        <x:v>not_sampled</x:v>
      </x:c>
    </x:row>
    <x:row r="635" ht="46" customHeight="1">
      <x:c r="A635" s="17" t="str">
        <x:v>us</x:v>
      </x:c>
      <x:c r="B635" s="17" t="str">
        <x:v>New Jersey Institute of Technology</x:v>
      </x:c>
      <x:c r="C635" s="17" t="str">
        <x:v>IPEDS discovery signal: Computer Science (CIP 11.0701)</x:v>
      </x:c>
      <x:c r="D635" s="17" t="str">
        <x:v>Unclear</x:v>
      </x:c>
      <x:c r="E635" s="17" t="str">
        <x:v>stage2_screened_out</x:v>
      </x:c>
      <x:c r="F635" s="17" t="str">
        <x:v>Duplicate mechanical discovery signal consolidated into one institution-level catalog review candidate.</x:v>
      </x:c>
      <x:c r="G635" s="17" t="str">
        <x:v>Does the current official catalog contain a research graduate program matching the applicant's topics?</x:v>
      </x:c>
      <x:c r="H635" s="17" t="str">
        <x:v>https://www.njit.edu</x:v>
      </x:c>
      <x:c r="I635" s="17" t="str">
        <x:v>not_sampled</x:v>
      </x:c>
      <x:c r="J635" s="17" t="str">
        <x:v>not_sampled</x:v>
      </x:c>
    </x:row>
    <x:row r="636" ht="46" customHeight="1">
      <x:c r="A636" s="17" t="str">
        <x:v>us</x:v>
      </x:c>
      <x:c r="B636" s="17" t="str">
        <x:v>New Jersey Institute of Technology</x:v>
      </x:c>
      <x:c r="C636" s="17" t="str">
        <x:v>IPEDS discovery signal: Computer Systems Networking and Telecommunications (CIP 11.0901)</x:v>
      </x:c>
      <x:c r="D636" s="17" t="str">
        <x:v>Unclear</x:v>
      </x:c>
      <x:c r="E636" s="17" t="str">
        <x:v>stage2_screened_out</x:v>
      </x:c>
      <x:c r="F636" s="17" t="str">
        <x:v>Duplicate mechanical discovery signal consolidated into one institution-level catalog review candidate.</x:v>
      </x:c>
      <x:c r="G636" s="17" t="str">
        <x:v>Does the current official catalog contain a research graduate program matching the applicant's topics?</x:v>
      </x:c>
      <x:c r="H636" s="17" t="str">
        <x:v>https://www.njit.edu</x:v>
      </x:c>
      <x:c r="I636" s="17" t="str">
        <x:v>not_sampled</x:v>
      </x:c>
      <x:c r="J636" s="17" t="str">
        <x:v>not_sampled</x:v>
      </x:c>
    </x:row>
    <x:row r="637" ht="46" customHeight="1">
      <x:c r="A637" s="17" t="str">
        <x:v>us</x:v>
      </x:c>
      <x:c r="B637" s="17" t="str">
        <x:v>New Jersey Institute of Technology</x:v>
      </x:c>
      <x:c r="C637" s="17" t="str">
        <x:v>IPEDS discovery signal: Data Science, General (CIP 30.7001)</x:v>
      </x:c>
      <x:c r="D637" s="17" t="str">
        <x:v>Unclear</x:v>
      </x:c>
      <x:c r="E637" s="17" t="str">
        <x:v>stage2_screened_out</x:v>
      </x:c>
      <x:c r="F637" s="17" t="str">
        <x:v>Duplicate mechanical discovery signal consolidated into one institution-level catalog review candidate.</x:v>
      </x:c>
      <x:c r="G637" s="17" t="str">
        <x:v>Does the current official catalog contain a research graduate program matching the applicant's topics?</x:v>
      </x:c>
      <x:c r="H637" s="17" t="str">
        <x:v>https://www.njit.edu</x:v>
      </x:c>
      <x:c r="I637" s="17" t="str">
        <x:v>not_sampled</x:v>
      </x:c>
      <x:c r="J637" s="17" t="str">
        <x:v>not_sampled</x:v>
      </x:c>
    </x:row>
    <x:row r="638" ht="46" customHeight="1">
      <x:c r="A638" s="17" t="str">
        <x:v>us</x:v>
      </x:c>
      <x:c r="B638" s="17" t="str">
        <x:v>New Jersey Institute of Technology</x:v>
      </x:c>
      <x:c r="C638" s="17" t="str">
        <x:v>IPEDS discovery signal: Electrical and Electronics Engineering (CIP 14.1001)</x:v>
      </x:c>
      <x:c r="D638" s="17" t="str">
        <x:v>Unclear</x:v>
      </x:c>
      <x:c r="E638" s="17" t="str">
        <x:v>stage2_screened_out</x:v>
      </x:c>
      <x:c r="F638" s="17" t="str">
        <x:v>Duplicate mechanical discovery signal consolidated into one institution-level catalog review candidate.</x:v>
      </x:c>
      <x:c r="G638" s="17" t="str">
        <x:v>Does the current official catalog contain a research graduate program matching the applicant's topics?</x:v>
      </x:c>
      <x:c r="H638" s="17" t="str">
        <x:v>https://www.njit.edu</x:v>
      </x:c>
      <x:c r="I638" s="17" t="str">
        <x:v>not_sampled</x:v>
      </x:c>
      <x:c r="J638" s="17" t="str">
        <x:v>not_sampled</x:v>
      </x:c>
    </x:row>
    <x:row r="639" ht="46" customHeight="1">
      <x:c r="A639" s="17" t="str">
        <x:v>us</x:v>
      </x:c>
      <x:c r="B639" s="17" t="str">
        <x:v>New Jersey Institute of Technology</x:v>
      </x:c>
      <x:c r="C639" s="17" t="str">
        <x:v>IPEDS discovery signal: Information Science/Studies (CIP 11.0401)</x:v>
      </x:c>
      <x:c r="D639" s="17" t="str">
        <x:v>Unclear</x:v>
      </x:c>
      <x:c r="E639" s="17" t="str">
        <x:v>stage2_screened_out</x:v>
      </x:c>
      <x:c r="F639" s="17" t="str">
        <x:v>Duplicate mechanical discovery signal consolidated into one institution-level catalog review candidate.</x:v>
      </x:c>
      <x:c r="G639" s="17" t="str">
        <x:v>Does the current official catalog contain a research graduate program matching the applicant's topics?</x:v>
      </x:c>
      <x:c r="H639" s="17" t="str">
        <x:v>https://www.njit.edu</x:v>
      </x:c>
      <x:c r="I639" s="17" t="str">
        <x:v>not_sampled</x:v>
      </x:c>
      <x:c r="J639" s="17" t="str">
        <x:v>not_sampled</x:v>
      </x:c>
    </x:row>
    <x:row r="640" ht="46" customHeight="1">
      <x:c r="A640" s="17" t="str">
        <x:v>us</x:v>
      </x:c>
      <x:c r="B640" s="17" t="str">
        <x:v>New Jersey Institute of Technology</x:v>
      </x:c>
      <x:c r="C640" s="17" t="str">
        <x:v>IPEDS discovery signal: Information Technology (CIP 11.0103)</x:v>
      </x:c>
      <x:c r="D640" s="17" t="str">
        <x:v>Unclear</x:v>
      </x:c>
      <x:c r="E640" s="17" t="str">
        <x:v>stage2_screened_out</x:v>
      </x:c>
      <x:c r="F640" s="17" t="str">
        <x:v>Duplicate mechanical discovery signal consolidated into one institution-level catalog review candidate.</x:v>
      </x:c>
      <x:c r="G640" s="17" t="str">
        <x:v>Does the current official catalog contain a research graduate program matching the applicant's topics?</x:v>
      </x:c>
      <x:c r="H640" s="17" t="str">
        <x:v>https://www.njit.edu</x:v>
      </x:c>
      <x:c r="I640" s="17" t="str">
        <x:v>not_sampled</x:v>
      </x:c>
      <x:c r="J640" s="17" t="str">
        <x:v>not_sampled</x:v>
      </x:c>
    </x:row>
    <x:row r="641" ht="46" customHeight="1">
      <x:c r="A641" s="17" t="str">
        <x:v>us</x:v>
      </x:c>
      <x:c r="B641" s="17" t="str">
        <x:v>New Mexico Highlands University</x:v>
      </x:c>
      <x:c r="C641" s="17" t="str">
        <x:v>IPEDS discovery signal: Information Science/Studies (CIP 11.0401)</x:v>
      </x:c>
      <x:c r="D641" s="17" t="str">
        <x:v>Unclear</x:v>
      </x:c>
      <x:c r="E641" s="17" t="str">
        <x:v>stage2_screened_out</x:v>
      </x:c>
      <x:c r="F641" s="17" t="str">
        <x:v>Only one bounded registry/program-code signal was present; no independent topical, Calendar, current-faculty, or first-audit signal was recovered.</x:v>
      </x:c>
      <x:c r="G641" s="17" t="str">
        <x:v>Does the current official catalog contain a research graduate program matching the applicant's topics?</x:v>
      </x:c>
      <x:c r="H641" s="17" t="str">
        <x:v>https://www.nmhu.edu</x:v>
      </x:c>
      <x:c r="I641" s="17" t="str">
        <x:v>not_sampled</x:v>
      </x:c>
      <x:c r="J641" s="17" t="str">
        <x:v>not_sampled</x:v>
      </x:c>
    </x:row>
    <x:row r="642" ht="46" customHeight="1">
      <x:c r="A642" s="17" t="str">
        <x:v>us</x:v>
      </x:c>
      <x:c r="B642" s="17" t="str">
        <x:v>New Mexico Institute of Mining and Technology</x:v>
      </x:c>
      <x:c r="C642" s="17" t="str">
        <x:v>IPEDS discovery signal: Electrical and Electronics Engineering (CIP 14.1001)</x:v>
      </x:c>
      <x:c r="D642" s="17" t="str">
        <x:v>Unclear</x:v>
      </x:c>
      <x:c r="E642" s="17" t="str">
        <x:v>stage2_screened_out</x:v>
      </x:c>
      <x:c r="F642" s="17" t="str">
        <x:v>Duplicate mechanical discovery signal consolidated into one institution-level catalog review candidate.</x:v>
      </x:c>
      <x:c r="G642" s="17" t="str">
        <x:v>Does the current official catalog contain a research graduate program matching the applicant's topics?</x:v>
      </x:c>
      <x:c r="H642" s="17" t="str">
        <x:v>https://www.nmt.edu</x:v>
      </x:c>
      <x:c r="I642" s="17" t="str">
        <x:v>false_negative_corrected</x:v>
      </x:c>
      <x:c r="J642" s="17" t="str">
        <x:v>confirmed</x:v>
      </x:c>
    </x:row>
    <x:row r="643" ht="46" customHeight="1">
      <x:c r="A643" s="17" t="str">
        <x:v>us</x:v>
      </x:c>
      <x:c r="B643" s="17" t="str">
        <x:v>New Mexico State University-Main Campus</x:v>
      </x:c>
      <x:c r="C643" s="17" t="str">
        <x:v>IPEDS discovery signal: Computer and Information Sciences, General (CIP 11.0101)</x:v>
      </x:c>
      <x:c r="D643" s="17" t="str">
        <x:v>Unclear</x:v>
      </x:c>
      <x:c r="E643" s="17" t="str">
        <x:v>stage2_screened_out</x:v>
      </x:c>
      <x:c r="F643" s="17" t="str">
        <x:v>Only one bounded registry/program-code signal was present; no independent topical, Calendar, current-faculty, or first-audit signal was recovered.</x:v>
      </x:c>
      <x:c r="G643" s="17" t="str">
        <x:v>Does the current official catalog contain a research graduate program matching the applicant's topics?</x:v>
      </x:c>
      <x:c r="H643" s="17" t="str">
        <x:v>https://www.nmsu.edu</x:v>
      </x:c>
      <x:c r="I643" s="17" t="str">
        <x:v>not_sampled</x:v>
      </x:c>
      <x:c r="J643" s="17" t="str">
        <x:v>not_sampled</x:v>
      </x:c>
    </x:row>
    <x:row r="644" ht="46" customHeight="1">
      <x:c r="A644" s="17" t="str">
        <x:v>us</x:v>
      </x:c>
      <x:c r="B644" s="17" t="str">
        <x:v>New Mexico State University-Main Campus</x:v>
      </x:c>
      <x:c r="C644" s="17" t="str">
        <x:v>IPEDS discovery signal: Computer Science (CIP 11.0701)</x:v>
      </x:c>
      <x:c r="D644" s="17" t="str">
        <x:v>Unclear</x:v>
      </x:c>
      <x:c r="E644" s="17" t="str">
        <x:v>stage2_screened_out</x:v>
      </x:c>
      <x:c r="F644" s="17" t="str">
        <x:v>Only one bounded registry/program-code signal was present; no independent topical, Calendar, current-faculty, or first-audit signal was recovered.</x:v>
      </x:c>
      <x:c r="G644" s="17" t="str">
        <x:v>Does the current official catalog contain a research graduate program matching the applicant's topics?</x:v>
      </x:c>
      <x:c r="H644" s="17" t="str">
        <x:v>https://www.nmsu.edu</x:v>
      </x:c>
      <x:c r="I644" s="17" t="str">
        <x:v>not_sampled</x:v>
      </x:c>
      <x:c r="J644" s="17" t="str">
        <x:v>not_sampled</x:v>
      </x:c>
    </x:row>
    <x:row r="645" ht="46" customHeight="1">
      <x:c r="A645" s="17" t="str">
        <x:v>us</x:v>
      </x:c>
      <x:c r="B645" s="17" t="str">
        <x:v>New Mexico State University-Main Campus</x:v>
      </x:c>
      <x:c r="C645" s="17" t="str">
        <x:v>IPEDS discovery signal: Electrical and Electronics Engineering (CIP 14.1001)</x:v>
      </x:c>
      <x:c r="D645" s="17" t="str">
        <x:v>Unclear</x:v>
      </x:c>
      <x:c r="E645" s="17" t="str">
        <x:v>stage2_screened_out</x:v>
      </x:c>
      <x:c r="F645" s="17" t="str">
        <x:v>Only one bounded registry/program-code signal was present; no independent topical, Calendar, current-faculty, or first-audit signal was recovered.</x:v>
      </x:c>
      <x:c r="G645" s="17" t="str">
        <x:v>Does the current official catalog contain a research graduate program matching the applicant's topics?</x:v>
      </x:c>
      <x:c r="H645" s="17" t="str">
        <x:v>https://www.nmsu.edu</x:v>
      </x:c>
      <x:c r="I645" s="17" t="str">
        <x:v>not_sampled</x:v>
      </x:c>
      <x:c r="J645" s="17" t="str">
        <x:v>not_sampled</x:v>
      </x:c>
    </x:row>
    <x:row r="646" ht="46" customHeight="1">
      <x:c r="A646" s="17" t="str">
        <x:v>us</x:v>
      </x:c>
      <x:c r="B646" s="17" t="str">
        <x:v>New Mexico State University-Main Campus</x:v>
      </x:c>
      <x:c r="C646" s="17" t="str">
        <x:v>IPEDS discovery signal: Information Technology (CIP 11.0103)</x:v>
      </x:c>
      <x:c r="D646" s="17" t="str">
        <x:v>Unclear</x:v>
      </x:c>
      <x:c r="E646" s="17" t="str">
        <x:v>stage2_screened_out</x:v>
      </x:c>
      <x:c r="F646" s="17" t="str">
        <x:v>Only one bounded registry/program-code signal was present; no independent topical, Calendar, current-faculty, or first-audit signal was recovered.</x:v>
      </x:c>
      <x:c r="G646" s="17" t="str">
        <x:v>Does the current official catalog contain a research graduate program matching the applicant's topics?</x:v>
      </x:c>
      <x:c r="H646" s="17" t="str">
        <x:v>https://www.nmsu.edu</x:v>
      </x:c>
      <x:c r="I646" s="17" t="str">
        <x:v>not_sampled</x:v>
      </x:c>
      <x:c r="J646" s="17" t="str">
        <x:v>not_sampled</x:v>
      </x:c>
    </x:row>
    <x:row r="647" ht="46" customHeight="1">
      <x:c r="A647" s="17" t="str">
        <x:v>us</x:v>
      </x:c>
      <x:c r="B647" s="17" t="str">
        <x:v>New York Institute of Technology</x:v>
      </x:c>
      <x:c r="C647" s="17" t="str">
        <x:v>IPEDS discovery signal: Computer and Information Sciences, Other (CIP 11.0199)</x:v>
      </x:c>
      <x:c r="D647" s="17" t="str">
        <x:v>Unclear</x:v>
      </x:c>
      <x:c r="E647" s="17" t="str">
        <x:v>stage2_screened_out</x:v>
      </x:c>
      <x:c r="F647" s="17" t="str">
        <x:v>Duplicate mechanical discovery signal consolidated into one institution-level catalog review candidate.</x:v>
      </x:c>
      <x:c r="G647" s="17" t="str">
        <x:v>Does the current official catalog contain a research graduate program matching the applicant's topics?</x:v>
      </x:c>
      <x:c r="H647" s="17" t="str">
        <x:v>https://www.nyit.edu</x:v>
      </x:c>
      <x:c r="I647" s="17" t="str">
        <x:v>not_sampled</x:v>
      </x:c>
      <x:c r="J647" s="17" t="str">
        <x:v>not_sampled</x:v>
      </x:c>
    </x:row>
    <x:row r="648" ht="46" customHeight="1">
      <x:c r="A648" s="17" t="str">
        <x:v>us</x:v>
      </x:c>
      <x:c r="B648" s="17" t="str">
        <x:v>New York Institute of Technology</x:v>
      </x:c>
      <x:c r="C648" s="17" t="str">
        <x:v>IPEDS discovery signal: Computer and Information Systems Security/Auditing/Information Assurance (CIP 11.1003)</x:v>
      </x:c>
      <x:c r="D648" s="17" t="str">
        <x:v>Unclear</x:v>
      </x:c>
      <x:c r="E648" s="17" t="str">
        <x:v>stage2_screened_out</x:v>
      </x:c>
      <x:c r="F648" s="17" t="str">
        <x:v>Duplicate mechanical discovery signal consolidated into one institution-level catalog review candidate.</x:v>
      </x:c>
      <x:c r="G648" s="17" t="str">
        <x:v>Does the current official catalog contain a research graduate program matching the applicant's topics?</x:v>
      </x:c>
      <x:c r="H648" s="17" t="str">
        <x:v>https://www.nyit.edu</x:v>
      </x:c>
      <x:c r="I648" s="17" t="str">
        <x:v>not_sampled</x:v>
      </x:c>
      <x:c r="J648" s="17" t="str">
        <x:v>not_sampled</x:v>
      </x:c>
    </x:row>
    <x:row r="649" ht="46" customHeight="1">
      <x:c r="A649" s="17" t="str">
        <x:v>us</x:v>
      </x:c>
      <x:c r="B649" s="17" t="str">
        <x:v>New York Institute of Technology</x:v>
      </x:c>
      <x:c r="C649" s="17" t="str">
        <x:v>IPEDS discovery signal: Electrical and Electronics Engineering (CIP 14.1001)</x:v>
      </x:c>
      <x:c r="D649" s="17" t="str">
        <x:v>Unclear</x:v>
      </x:c>
      <x:c r="E649" s="17" t="str">
        <x:v>stage2_screened_out</x:v>
      </x:c>
      <x:c r="F649" s="17" t="str">
        <x:v>Duplicate mechanical discovery signal consolidated into one institution-level catalog review candidate.</x:v>
      </x:c>
      <x:c r="G649" s="17" t="str">
        <x:v>Does the current official catalog contain a research graduate program matching the applicant's topics?</x:v>
      </x:c>
      <x:c r="H649" s="17" t="str">
        <x:v>https://www.nyit.edu</x:v>
      </x:c>
      <x:c r="I649" s="17" t="str">
        <x:v>not_sampled</x:v>
      </x:c>
      <x:c r="J649" s="17" t="str">
        <x:v>not_sampled</x:v>
      </x:c>
    </x:row>
    <x:row r="650" ht="46" customHeight="1">
      <x:c r="A650" s="17" t="str">
        <x:v>us</x:v>
      </x:c>
      <x:c r="B650" s="17" t="str">
        <x:v>New York University</x:v>
      </x:c>
      <x:c r="C650" s="17" t="str">
        <x:v>IPEDS discovery signal: Computer and Information Systems Security/Auditing/Information Assurance (CIP 11.1003)</x:v>
      </x:c>
      <x:c r="D650" s="17" t="str">
        <x:v>Unclear</x:v>
      </x:c>
      <x:c r="E650" s="17" t="str">
        <x:v>stage2_screened_out</x:v>
      </x:c>
      <x:c r="F650" s="17" t="str">
        <x:v>Duplicate mechanical discovery signal consolidated into one institution-level catalog review candidate.</x:v>
      </x:c>
      <x:c r="G650" s="17" t="str">
        <x:v>Does the current official catalog contain a research graduate program matching the applicant's topics?</x:v>
      </x:c>
      <x:c r="H650" s="17" t="str">
        <x:v>https://www.nyu.edu</x:v>
      </x:c>
      <x:c r="I650" s="17" t="str">
        <x:v>not_sampled</x:v>
      </x:c>
      <x:c r="J650" s="17" t="str">
        <x:v>not_sampled</x:v>
      </x:c>
    </x:row>
    <x:row r="651" ht="46" customHeight="1">
      <x:c r="A651" s="17" t="str">
        <x:v>us</x:v>
      </x:c>
      <x:c r="B651" s="17" t="str">
        <x:v>New York University</x:v>
      </x:c>
      <x:c r="C651" s="17" t="str">
        <x:v>IPEDS discovery signal: Computer Engineering, General (CIP 14.0901)</x:v>
      </x:c>
      <x:c r="D651" s="17" t="str">
        <x:v>Unclear</x:v>
      </x:c>
      <x:c r="E651" s="17" t="str">
        <x:v>stage2_screened_out</x:v>
      </x:c>
      <x:c r="F651" s="17" t="str">
        <x:v>Duplicate mechanical discovery signal consolidated into one institution-level catalog review candidate.</x:v>
      </x:c>
      <x:c r="G651" s="17" t="str">
        <x:v>Does the current official catalog contain a research graduate program matching the applicant's topics?</x:v>
      </x:c>
      <x:c r="H651" s="17" t="str">
        <x:v>https://www.nyu.edu</x:v>
      </x:c>
      <x:c r="I651" s="17" t="str">
        <x:v>not_sampled</x:v>
      </x:c>
      <x:c r="J651" s="17" t="str">
        <x:v>not_sampled</x:v>
      </x:c>
    </x:row>
    <x:row r="652" ht="46" customHeight="1">
      <x:c r="A652" s="17" t="str">
        <x:v>us</x:v>
      </x:c>
      <x:c r="B652" s="17" t="str">
        <x:v>New York University</x:v>
      </x:c>
      <x:c r="C652" s="17" t="str">
        <x:v>IPEDS discovery signal: Data Science, General (CIP 30.7001)</x:v>
      </x:c>
      <x:c r="D652" s="17" t="str">
        <x:v>Unclear</x:v>
      </x:c>
      <x:c r="E652" s="17" t="str">
        <x:v>stage2_screened_out</x:v>
      </x:c>
      <x:c r="F652" s="17" t="str">
        <x:v>Duplicate mechanical discovery signal consolidated into one institution-level catalog review candidate.</x:v>
      </x:c>
      <x:c r="G652" s="17" t="str">
        <x:v>Does the current official catalog contain a research graduate program matching the applicant's topics?</x:v>
      </x:c>
      <x:c r="H652" s="17" t="str">
        <x:v>https://www.nyu.edu</x:v>
      </x:c>
      <x:c r="I652" s="17" t="str">
        <x:v>not_sampled</x:v>
      </x:c>
      <x:c r="J652" s="17" t="str">
        <x:v>not_sampled</x:v>
      </x:c>
    </x:row>
    <x:row r="653" ht="46" customHeight="1">
      <x:c r="A653" s="17" t="str">
        <x:v>us</x:v>
      </x:c>
      <x:c r="B653" s="17" t="str">
        <x:v>New York University</x:v>
      </x:c>
      <x:c r="C653" s="17" t="str">
        <x:v>IPEDS discovery signal: Electrical and Electronics Engineering (CIP 14.1001)</x:v>
      </x:c>
      <x:c r="D653" s="17" t="str">
        <x:v>Unclear</x:v>
      </x:c>
      <x:c r="E653" s="17" t="str">
        <x:v>stage2_screened_out</x:v>
      </x:c>
      <x:c r="F653" s="17" t="str">
        <x:v>Duplicate mechanical discovery signal consolidated into one institution-level catalog review candidate.</x:v>
      </x:c>
      <x:c r="G653" s="17" t="str">
        <x:v>Does the current official catalog contain a research graduate program matching the applicant's topics?</x:v>
      </x:c>
      <x:c r="H653" s="17" t="str">
        <x:v>https://www.nyu.edu</x:v>
      </x:c>
      <x:c r="I653" s="17" t="str">
        <x:v>not_sampled</x:v>
      </x:c>
      <x:c r="J653" s="17" t="str">
        <x:v>not_sampled</x:v>
      </x:c>
    </x:row>
    <x:row r="654" ht="46" customHeight="1">
      <x:c r="A654" s="17" t="str">
        <x:v>us</x:v>
      </x:c>
      <x:c r="B654" s="17" t="str">
        <x:v>New York University</x:v>
      </x:c>
      <x:c r="C654" s="17" t="str">
        <x:v>IPEDS discovery signal: Informatics (CIP 11.0104)</x:v>
      </x:c>
      <x:c r="D654" s="17" t="str">
        <x:v>Unclear</x:v>
      </x:c>
      <x:c r="E654" s="17" t="str">
        <x:v>stage2_screened_out</x:v>
      </x:c>
      <x:c r="F654" s="17" t="str">
        <x:v>Duplicate mechanical discovery signal consolidated into one institution-level catalog review candidate.</x:v>
      </x:c>
      <x:c r="G654" s="17" t="str">
        <x:v>Does the current official catalog contain a research graduate program matching the applicant's topics?</x:v>
      </x:c>
      <x:c r="H654" s="17" t="str">
        <x:v>https://www.nyu.edu</x:v>
      </x:c>
      <x:c r="I654" s="17" t="str">
        <x:v>not_sampled</x:v>
      </x:c>
      <x:c r="J654" s="17" t="str">
        <x:v>not_sampled</x:v>
      </x:c>
    </x:row>
    <x:row r="655" ht="46" customHeight="1">
      <x:c r="A655" s="17" t="str">
        <x:v>us</x:v>
      </x:c>
      <x:c r="B655" s="17" t="str">
        <x:v>New York University</x:v>
      </x:c>
      <x:c r="C655" s="17" t="str">
        <x:v>IPEDS discovery signal: Information Science/Studies (CIP 11.0401)</x:v>
      </x:c>
      <x:c r="D655" s="17" t="str">
        <x:v>Unclear</x:v>
      </x:c>
      <x:c r="E655" s="17" t="str">
        <x:v>stage2_screened_out</x:v>
      </x:c>
      <x:c r="F655" s="17" t="str">
        <x:v>Duplicate mechanical discovery signal consolidated into one institution-level catalog review candidate.</x:v>
      </x:c>
      <x:c r="G655" s="17" t="str">
        <x:v>Does the current official catalog contain a research graduate program matching the applicant's topics?</x:v>
      </x:c>
      <x:c r="H655" s="17" t="str">
        <x:v>https://www.nyu.edu</x:v>
      </x:c>
      <x:c r="I655" s="17" t="str">
        <x:v>not_sampled</x:v>
      </x:c>
      <x:c r="J655" s="17" t="str">
        <x:v>not_sampled</x:v>
      </x:c>
    </x:row>
    <x:row r="656" ht="46" customHeight="1">
      <x:c r="A656" s="17" t="str">
        <x:v>us</x:v>
      </x:c>
      <x:c r="B656" s="17" t="str">
        <x:v>New York University</x:v>
      </x:c>
      <x:c r="C656" s="17" t="str">
        <x:v>IPEDS discovery signal: Information Technology (CIP 11.0103)</x:v>
      </x:c>
      <x:c r="D656" s="17" t="str">
        <x:v>Unclear</x:v>
      </x:c>
      <x:c r="E656" s="17" t="str">
        <x:v>stage2_screened_out</x:v>
      </x:c>
      <x:c r="F656" s="17" t="str">
        <x:v>Duplicate mechanical discovery signal consolidated into one institution-level catalog review candidate.</x:v>
      </x:c>
      <x:c r="G656" s="17" t="str">
        <x:v>Does the current official catalog contain a research graduate program matching the applicant's topics?</x:v>
      </x:c>
      <x:c r="H656" s="17" t="str">
        <x:v>https://www.nyu.edu</x:v>
      </x:c>
      <x:c r="I656" s="17" t="str">
        <x:v>not_sampled</x:v>
      </x:c>
      <x:c r="J656" s="17" t="str">
        <x:v>not_sampled</x:v>
      </x:c>
    </x:row>
    <x:row r="657" ht="46" customHeight="1">
      <x:c r="A657" s="17" t="str">
        <x:v>us</x:v>
      </x:c>
      <x:c r="B657" s="17" t="str">
        <x:v>New York University</x:v>
      </x:c>
      <x:c r="C657" s="17" t="str">
        <x:v>IPEDS discovery signal: Mechatronics, Robotics, and Automation Engineering (CIP 14.4201)</x:v>
      </x:c>
      <x:c r="D657" s="17" t="str">
        <x:v>Unclear</x:v>
      </x:c>
      <x:c r="E657" s="17" t="str">
        <x:v>stage2_screened_out</x:v>
      </x:c>
      <x:c r="F657" s="17" t="str">
        <x:v>Duplicate mechanical discovery signal consolidated into one institution-level catalog review candidate.</x:v>
      </x:c>
      <x:c r="G657" s="17" t="str">
        <x:v>Does the current official catalog contain a research graduate program matching the applicant's topics?</x:v>
      </x:c>
      <x:c r="H657" s="17" t="str">
        <x:v>https://www.nyu.edu</x:v>
      </x:c>
      <x:c r="I657" s="17" t="str">
        <x:v>not_sampled</x:v>
      </x:c>
      <x:c r="J657" s="17" t="str">
        <x:v>not_sampled</x:v>
      </x:c>
    </x:row>
    <x:row r="658" ht="46" customHeight="1">
      <x:c r="A658" s="17" t="str">
        <x:v>us</x:v>
      </x:c>
      <x:c r="B658" s="17" t="str">
        <x:v>Newman University</x:v>
      </x:c>
      <x:c r="C658" s="17" t="str">
        <x:v>IPEDS discovery signal: Data Science, General (CIP 30.7001)</x:v>
      </x:c>
      <x:c r="D658" s="17" t="str">
        <x:v>Unclear</x:v>
      </x:c>
      <x:c r="E658" s="17" t="str">
        <x:v>stage2_screened_out</x:v>
      </x:c>
      <x:c r="F658" s="17" t="str">
        <x:v>Only one bounded registry/program-code signal was present; no independent topical, Calendar, current-faculty, or first-audit signal was recovered.</x:v>
      </x:c>
      <x:c r="G658" s="17" t="str">
        <x:v>Does the current official catalog contain a research graduate program matching the applicant's topics?</x:v>
      </x:c>
      <x:c r="H658" s="17" t="str">
        <x:v>https://www.newmanu.edu</x:v>
      </x:c>
      <x:c r="I658" s="17" t="str">
        <x:v>not_sampled</x:v>
      </x:c>
      <x:c r="J658" s="17" t="str">
        <x:v>not_sampled</x:v>
      </x:c>
    </x:row>
    <x:row r="659" ht="46" customHeight="1">
      <x:c r="A659" s="17" t="str">
        <x:v>us</x:v>
      </x:c>
      <x:c r="B659" s="17" t="str">
        <x:v>Niagara University</x:v>
      </x:c>
      <x:c r="C659" s="17" t="str">
        <x:v>IPEDS discovery signal: Computer and Information Systems Security/Auditing/Information Assurance (CIP 11.1003)</x:v>
      </x:c>
      <x:c r="D659" s="17" t="str">
        <x:v>Unclear</x:v>
      </x:c>
      <x:c r="E659" s="17" t="str">
        <x:v>stage2_screened_out</x:v>
      </x:c>
      <x:c r="F659" s="17" t="str">
        <x:v>Only one bounded registry/program-code signal was present; no independent topical, Calendar, current-faculty, or first-audit signal was recovered.</x:v>
      </x:c>
      <x:c r="G659" s="17" t="str">
        <x:v>Does the current official catalog contain a research graduate program matching the applicant's topics?</x:v>
      </x:c>
      <x:c r="H659" s="17" t="str">
        <x:v>https://www.niagara.edu</x:v>
      </x:c>
      <x:c r="I659" s="17" t="str">
        <x:v>not_sampled</x:v>
      </x:c>
      <x:c r="J659" s="17" t="str">
        <x:v>not_sampled</x:v>
      </x:c>
    </x:row>
    <x:row r="660" ht="46" customHeight="1">
      <x:c r="A660" s="17" t="str">
        <x:v>us</x:v>
      </x:c>
      <x:c r="B660" s="17" t="str">
        <x:v>Norfolk State University</x:v>
      </x:c>
      <x:c r="C660" s="17" t="str">
        <x:v>IPEDS discovery signal: Computer and Information Sciences, General (CIP 11.0101)</x:v>
      </x:c>
      <x:c r="D660" s="17" t="str">
        <x:v>Unclear</x:v>
      </x:c>
      <x:c r="E660" s="17" t="str">
        <x:v>stage2_screened_out</x:v>
      </x:c>
      <x:c r="F660" s="17" t="str">
        <x:v>Only one bounded registry/program-code signal was present; no independent topical, Calendar, current-faculty, or first-audit signal was recovered.</x:v>
      </x:c>
      <x:c r="G660" s="17" t="str">
        <x:v>Does the current official catalog contain a research graduate program matching the applicant's topics?</x:v>
      </x:c>
      <x:c r="H660" s="17" t="str">
        <x:v>https://www.nsu.edu</x:v>
      </x:c>
      <x:c r="I660" s="17" t="str">
        <x:v>not_sampled</x:v>
      </x:c>
      <x:c r="J660" s="17" t="str">
        <x:v>not_sampled</x:v>
      </x:c>
    </x:row>
    <x:row r="661" ht="46" customHeight="1">
      <x:c r="A661" s="17" t="str">
        <x:v>us</x:v>
      </x:c>
      <x:c r="B661" s="17" t="str">
        <x:v>Norfolk State University</x:v>
      </x:c>
      <x:c r="C661" s="17" t="str">
        <x:v>IPEDS discovery signal: Computer and Information Systems Security/Auditing/Information Assurance (CIP 11.1003)</x:v>
      </x:c>
      <x:c r="D661" s="17" t="str">
        <x:v>Unclear</x:v>
      </x:c>
      <x:c r="E661" s="17" t="str">
        <x:v>stage2_screened_out</x:v>
      </x:c>
      <x:c r="F661" s="17" t="str">
        <x:v>Only one bounded registry/program-code signal was present; no independent topical, Calendar, current-faculty, or first-audit signal was recovered.</x:v>
      </x:c>
      <x:c r="G661" s="17" t="str">
        <x:v>Does the current official catalog contain a research graduate program matching the applicant's topics?</x:v>
      </x:c>
      <x:c r="H661" s="17" t="str">
        <x:v>https://www.nsu.edu</x:v>
      </x:c>
      <x:c r="I661" s="17" t="str">
        <x:v>not_sampled</x:v>
      </x:c>
      <x:c r="J661" s="17" t="str">
        <x:v>not_sampled</x:v>
      </x:c>
    </x:row>
    <x:row r="662" ht="46" customHeight="1">
      <x:c r="A662" s="17" t="str">
        <x:v>us</x:v>
      </x:c>
      <x:c r="B662" s="17" t="str">
        <x:v>Norfolk State University</x:v>
      </x:c>
      <x:c r="C662" s="17" t="str">
        <x:v>IPEDS discovery signal: Electrical and Electronics Engineering (CIP 14.1001)</x:v>
      </x:c>
      <x:c r="D662" s="17" t="str">
        <x:v>Unclear</x:v>
      </x:c>
      <x:c r="E662" s="17" t="str">
        <x:v>stage2_screened_out</x:v>
      </x:c>
      <x:c r="F662" s="17" t="str">
        <x:v>Only one bounded registry/program-code signal was present; no independent topical, Calendar, current-faculty, or first-audit signal was recovered.</x:v>
      </x:c>
      <x:c r="G662" s="17" t="str">
        <x:v>Does the current official catalog contain a research graduate program matching the applicant's topics?</x:v>
      </x:c>
      <x:c r="H662" s="17" t="str">
        <x:v>https://www.nsu.edu</x:v>
      </x:c>
      <x:c r="I662" s="17" t="str">
        <x:v>not_sampled</x:v>
      </x:c>
      <x:c r="J662" s="17" t="str">
        <x:v>not_sampled</x:v>
      </x:c>
    </x:row>
    <x:row r="663" ht="46" customHeight="1">
      <x:c r="A663" s="17" t="str">
        <x:v>us</x:v>
      </x:c>
      <x:c r="B663" s="17" t="str">
        <x:v>North American University</x:v>
      </x:c>
      <x:c r="C663" s="17" t="str">
        <x:v>IPEDS discovery signal: Computer Science (CIP 11.0701)</x:v>
      </x:c>
      <x:c r="D663" s="17" t="str">
        <x:v>Unclear</x:v>
      </x:c>
      <x:c r="E663" s="17" t="str">
        <x:v>stage2_screened_out</x:v>
      </x:c>
      <x:c r="F663" s="17" t="str">
        <x:v>Only one bounded registry/program-code signal was present; no independent topical, Calendar, current-faculty, or first-audit signal was recovered.</x:v>
      </x:c>
      <x:c r="G663" s="17" t="str">
        <x:v>Does the current official catalog contain a research graduate program matching the applicant's topics?</x:v>
      </x:c>
      <x:c r="H663" s="17" t="str">
        <x:v>https://www.na.edu</x:v>
      </x:c>
      <x:c r="I663" s="17" t="str">
        <x:v>not_sampled</x:v>
      </x:c>
      <x:c r="J663" s="17" t="str">
        <x:v>not_sampled</x:v>
      </x:c>
    </x:row>
    <x:row r="664" ht="46" customHeight="1">
      <x:c r="A664" s="17" t="str">
        <x:v>us</x:v>
      </x:c>
      <x:c r="B664" s="17" t="str">
        <x:v>North Carolina A &amp; T State University</x:v>
      </x:c>
      <x:c r="C664" s="17" t="str">
        <x:v>IPEDS discovery signal: Computer Science (CIP 11.0701)</x:v>
      </x:c>
      <x:c r="D664" s="17" t="str">
        <x:v>Unclear</x:v>
      </x:c>
      <x:c r="E664" s="17" t="str">
        <x:v>stage2_screened_out</x:v>
      </x:c>
      <x:c r="F664" s="17" t="str">
        <x:v>Only one bounded registry/program-code signal was present; no independent topical, Calendar, current-faculty, or first-audit signal was recovered.</x:v>
      </x:c>
      <x:c r="G664" s="17" t="str">
        <x:v>Does the current official catalog contain a research graduate program matching the applicant's topics?</x:v>
      </x:c>
      <x:c r="H664" s="17" t="str">
        <x:v>https://www.ncat.edu</x:v>
      </x:c>
      <x:c r="I664" s="17" t="str">
        <x:v>not_sampled</x:v>
      </x:c>
      <x:c r="J664" s="17" t="str">
        <x:v>not_sampled</x:v>
      </x:c>
    </x:row>
    <x:row r="665" ht="46" customHeight="1">
      <x:c r="A665" s="17" t="str">
        <x:v>us</x:v>
      </x:c>
      <x:c r="B665" s="17" t="str">
        <x:v>North Carolina A &amp; T State University</x:v>
      </x:c>
      <x:c r="C665" s="17" t="str">
        <x:v>IPEDS discovery signal: Electrical and Electronics Engineering (CIP 14.1001)</x:v>
      </x:c>
      <x:c r="D665" s="17" t="str">
        <x:v>Unclear</x:v>
      </x:c>
      <x:c r="E665" s="17" t="str">
        <x:v>stage2_screened_out</x:v>
      </x:c>
      <x:c r="F665" s="17" t="str">
        <x:v>Only one bounded registry/program-code signal was present; no independent topical, Calendar, current-faculty, or first-audit signal was recovered.</x:v>
      </x:c>
      <x:c r="G665" s="17" t="str">
        <x:v>Does the current official catalog contain a research graduate program matching the applicant's topics?</x:v>
      </x:c>
      <x:c r="H665" s="17" t="str">
        <x:v>https://www.ncat.edu</x:v>
      </x:c>
      <x:c r="I665" s="17" t="str">
        <x:v>not_sampled</x:v>
      </x:c>
      <x:c r="J665" s="17" t="str">
        <x:v>not_sampled</x:v>
      </x:c>
    </x:row>
    <x:row r="666" ht="46" customHeight="1">
      <x:c r="A666" s="17" t="str">
        <x:v>us</x:v>
      </x:c>
      <x:c r="B666" s="17" t="str">
        <x:v>North Carolina Central University</x:v>
      </x:c>
      <x:c r="C666" s="17" t="str">
        <x:v>IPEDS discovery signal: Information Science/Studies (CIP 11.0401)</x:v>
      </x:c>
      <x:c r="D666" s="17" t="str">
        <x:v>Unclear</x:v>
      </x:c>
      <x:c r="E666" s="17" t="str">
        <x:v>stage2_screened_out</x:v>
      </x:c>
      <x:c r="F666" s="17" t="str">
        <x:v>Only one bounded registry/program-code signal was present; no independent topical, Calendar, current-faculty, or first-audit signal was recovered.</x:v>
      </x:c>
      <x:c r="G666" s="17" t="str">
        <x:v>Does the current official catalog contain a research graduate program matching the applicant's topics?</x:v>
      </x:c>
      <x:c r="H666" s="17" t="str">
        <x:v>https://www.nccu.edu</x:v>
      </x:c>
      <x:c r="I666" s="17" t="str">
        <x:v>not_sampled</x:v>
      </x:c>
      <x:c r="J666" s="17" t="str">
        <x:v>not_sampled</x:v>
      </x:c>
    </x:row>
    <x:row r="667" ht="46" customHeight="1">
      <x:c r="A667" s="17" t="str">
        <x:v>us</x:v>
      </x:c>
      <x:c r="B667" s="17" t="str">
        <x:v>North Carolina State University at Raleigh</x:v>
      </x:c>
      <x:c r="C667" s="17" t="str">
        <x:v>IPEDS discovery signal: Computer Engineering, General (CIP 14.0901)</x:v>
      </x:c>
      <x:c r="D667" s="17" t="str">
        <x:v>Unclear</x:v>
      </x:c>
      <x:c r="E667" s="17" t="str">
        <x:v>stage2_screened_out</x:v>
      </x:c>
      <x:c r="F667" s="17" t="str">
        <x:v>Mechanical discovery placeholder is superseded by an exact official program record at the same institution.</x:v>
      </x:c>
      <x:c r="G667" s="17" t="str">
        <x:v>Does the current official catalog contain a research graduate program matching the applicant's topics?</x:v>
      </x:c>
      <x:c r="H667" s="17" t="str">
        <x:v>https://www.ncsu.edu</x:v>
      </x:c>
      <x:c r="I667" s="17" t="str">
        <x:v>not_sampled</x:v>
      </x:c>
      <x:c r="J667" s="17" t="str">
        <x:v>not_sampled</x:v>
      </x:c>
    </x:row>
    <x:row r="668" ht="46" customHeight="1">
      <x:c r="A668" s="17" t="str">
        <x:v>us</x:v>
      </x:c>
      <x:c r="B668" s="17" t="str">
        <x:v>North Carolina State University at Raleigh</x:v>
      </x:c>
      <x:c r="C668" s="17" t="str">
        <x:v>IPEDS discovery signal: Computer Science (CIP 11.0701)</x:v>
      </x:c>
      <x:c r="D668" s="17" t="str">
        <x:v>Unclear</x:v>
      </x:c>
      <x:c r="E668" s="17" t="str">
        <x:v>stage2_screened_out</x:v>
      </x:c>
      <x:c r="F668" s="17" t="str">
        <x:v>Mechanical discovery placeholder is superseded by an exact official program record at the same institution.</x:v>
      </x:c>
      <x:c r="G668" s="17" t="str">
        <x:v>Does the current official catalog contain a research graduate program matching the applicant's topics?</x:v>
      </x:c>
      <x:c r="H668" s="17" t="str">
        <x:v>https://www.ncsu.edu</x:v>
      </x:c>
      <x:c r="I668" s="17" t="str">
        <x:v>not_sampled</x:v>
      </x:c>
      <x:c r="J668" s="17" t="str">
        <x:v>not_sampled</x:v>
      </x:c>
    </x:row>
    <x:row r="669" ht="46" customHeight="1">
      <x:c r="A669" s="17" t="str">
        <x:v>us</x:v>
      </x:c>
      <x:c r="B669" s="17" t="str">
        <x:v>North Carolina State University at Raleigh</x:v>
      </x:c>
      <x:c r="C669" s="17" t="str">
        <x:v>IPEDS discovery signal: Computer Systems Networking and Telecommunications (CIP 11.0901)</x:v>
      </x:c>
      <x:c r="D669" s="17" t="str">
        <x:v>Unclear</x:v>
      </x:c>
      <x:c r="E669" s="17" t="str">
        <x:v>stage2_screened_out</x:v>
      </x:c>
      <x:c r="F669" s="17" t="str">
        <x:v>Mechanical discovery placeholder is superseded by an exact official program record at the same institution.</x:v>
      </x:c>
      <x:c r="G669" s="17" t="str">
        <x:v>Does the current official catalog contain a research graduate program matching the applicant's topics?</x:v>
      </x:c>
      <x:c r="H669" s="17" t="str">
        <x:v>https://www.ncsu.edu</x:v>
      </x:c>
      <x:c r="I669" s="17" t="str">
        <x:v>not_sampled</x:v>
      </x:c>
      <x:c r="J669" s="17" t="str">
        <x:v>not_sampled</x:v>
      </x:c>
    </x:row>
    <x:row r="670" ht="46" customHeight="1">
      <x:c r="A670" s="17" t="str">
        <x:v>us</x:v>
      </x:c>
      <x:c r="B670" s="17" t="str">
        <x:v>North Carolina State University at Raleigh</x:v>
      </x:c>
      <x:c r="C670" s="17" t="str">
        <x:v>IPEDS discovery signal: Electrical and Electronics Engineering (CIP 14.1001)</x:v>
      </x:c>
      <x:c r="D670" s="17" t="str">
        <x:v>Unclear</x:v>
      </x:c>
      <x:c r="E670" s="17" t="str">
        <x:v>stage2_screened_out</x:v>
      </x:c>
      <x:c r="F670" s="17" t="str">
        <x:v>Mechanical discovery placeholder is superseded by an exact official program record at the same institution.</x:v>
      </x:c>
      <x:c r="G670" s="17" t="str">
        <x:v>Does the current official catalog contain a research graduate program matching the applicant's topics?</x:v>
      </x:c>
      <x:c r="H670" s="17" t="str">
        <x:v>https://www.ncsu.edu</x:v>
      </x:c>
      <x:c r="I670" s="17" t="str">
        <x:v>not_sampled</x:v>
      </x:c>
      <x:c r="J670" s="17" t="str">
        <x:v>not_sampled</x:v>
      </x:c>
    </x:row>
    <x:row r="671" ht="46" customHeight="1">
      <x:c r="A671" s="17" t="str">
        <x:v>us</x:v>
      </x:c>
      <x:c r="B671" s="17" t="str">
        <x:v>North Carolina State University at Raleigh</x:v>
      </x:c>
      <x:c r="C671" s="17" t="str">
        <x:v>IPEDS discovery signal: Human-Centered Technology Design (CIP 11.0105)</x:v>
      </x:c>
      <x:c r="D671" s="17" t="str">
        <x:v>Unclear</x:v>
      </x:c>
      <x:c r="E671" s="17" t="str">
        <x:v>stage2_screened_out</x:v>
      </x:c>
      <x:c r="F671" s="17" t="str">
        <x:v>Mechanical discovery placeholder is superseded by an exact official program record at the same institution.</x:v>
      </x:c>
      <x:c r="G671" s="17" t="str">
        <x:v>Does the current official catalog contain a research graduate program matching the applicant's topics?</x:v>
      </x:c>
      <x:c r="H671" s="17" t="str">
        <x:v>https://www.ncsu.edu</x:v>
      </x:c>
      <x:c r="I671" s="17" t="str">
        <x:v>not_sampled</x:v>
      </x:c>
      <x:c r="J671" s="17" t="str">
        <x:v>not_sampled</x:v>
      </x:c>
    </x:row>
    <x:row r="672" ht="46" customHeight="1">
      <x:c r="A672" s="17" t="str">
        <x:v>us</x:v>
      </x:c>
      <x:c r="B672" s="17" t="str">
        <x:v>North Carolina State University at Raleigh</x:v>
      </x:c>
      <x:c r="C672" s="17" t="str">
        <x:v>Ph.D. in Computer Science</x:v>
      </x:c>
      <x:c r="D672" s="17" t="str">
        <x:v>PhD</x:v>
      </x:c>
      <x:c r="E672" s="17" t="str">
        <x:v>stage2_screened_out</x:v>
      </x:c>
      <x:c r="F672" s="17" t="str">
        <x:v>Duplicate exact program record shares the same canonical official URL; the first-audit or canonical row is retained.</x:v>
      </x:c>
      <x:c r="G672" s="17" t="str">
        <x:v>Which current supervisors match the applicant and are eligible/available to advise Fall 2027 entrants?</x:v>
      </x:c>
      <x:c r="H672" s="17" t="str">
        <x:v>https://csc.ncsu.edu/academics/graduate/phd/</x:v>
      </x:c>
      <x:c r="I672" s="17" t="str">
        <x:v>not_sampled</x:v>
      </x:c>
      <x:c r="J672" s="17" t="str">
        <x:v>not_sampled</x:v>
      </x:c>
    </x:row>
    <x:row r="673" ht="46" customHeight="1">
      <x:c r="A673" s="17" t="str">
        <x:v>us</x:v>
      </x:c>
      <x:c r="B673" s="17" t="str">
        <x:v>North Dakota State University-Main Campus</x:v>
      </x:c>
      <x:c r="C673" s="17" t="str">
        <x:v>IPEDS discovery signal: Computer Software Engineering (CIP 14.0903)</x:v>
      </x:c>
      <x:c r="D673" s="17" t="str">
        <x:v>Unclear</x:v>
      </x:c>
      <x:c r="E673" s="17" t="str">
        <x:v>stage2_screened_out</x:v>
      </x:c>
      <x:c r="F673" s="17" t="str">
        <x:v>Duplicate mechanical discovery signal consolidated into one institution-level catalog review candidate.</x:v>
      </x:c>
      <x:c r="G673" s="17" t="str">
        <x:v>Does the current official catalog contain a research graduate program matching the applicant's topics?</x:v>
      </x:c>
      <x:c r="H673" s="17" t="str">
        <x:v>https://www.ndsu.edu</x:v>
      </x:c>
      <x:c r="I673" s="17" t="str">
        <x:v>false_negative_corrected</x:v>
      </x:c>
      <x:c r="J673" s="17" t="str">
        <x:v>confirmed</x:v>
      </x:c>
    </x:row>
    <x:row r="674" ht="46" customHeight="1">
      <x:c r="A674" s="17" t="str">
        <x:v>us</x:v>
      </x:c>
      <x:c r="B674" s="17" t="str">
        <x:v>North Dakota State University-Main Campus</x:v>
      </x:c>
      <x:c r="C674" s="17" t="str">
        <x:v>IPEDS discovery signal: Electrical and Electronics Engineering (CIP 14.1001)</x:v>
      </x:c>
      <x:c r="D674" s="17" t="str">
        <x:v>Unclear</x:v>
      </x:c>
      <x:c r="E674" s="17" t="str">
        <x:v>stage2_screened_out</x:v>
      </x:c>
      <x:c r="F674" s="17" t="str">
        <x:v>Duplicate mechanical discovery signal consolidated into one institution-level catalog review candidate.</x:v>
      </x:c>
      <x:c r="G674" s="17" t="str">
        <x:v>Does the current official catalog contain a research graduate program matching the applicant's topics?</x:v>
      </x:c>
      <x:c r="H674" s="17" t="str">
        <x:v>https://www.ndsu.edu</x:v>
      </x:c>
      <x:c r="I674" s="17" t="str">
        <x:v>false_negative_corrected</x:v>
      </x:c>
      <x:c r="J674" s="17" t="str">
        <x:v>confirmed</x:v>
      </x:c>
    </x:row>
    <x:row r="675" ht="46" customHeight="1">
      <x:c r="A675" s="17" t="str">
        <x:v>us</x:v>
      </x:c>
      <x:c r="B675" s="17" t="str">
        <x:v>Northcentral University</x:v>
      </x:c>
      <x:c r="C675" s="17" t="str">
        <x:v>IPEDS discovery signal: Computer and Information Sciences, General (CIP 11.0101)</x:v>
      </x:c>
      <x:c r="D675" s="17" t="str">
        <x:v>Unclear</x:v>
      </x:c>
      <x:c r="E675" s="17" t="str">
        <x:v>stage2_screened_out</x:v>
      </x:c>
      <x:c r="F675" s="17" t="str">
        <x:v>Only one bounded registry/program-code signal was present; no independent topical, Calendar, current-faculty, or first-audit signal was recovered.</x:v>
      </x:c>
      <x:c r="G675" s="17" t="str">
        <x:v>Does the current official catalog contain a research graduate program matching the applicant's topics?</x:v>
      </x:c>
      <x:c r="H675" s="17" t="str">
        <x:v>https://www.nu.edu</x:v>
      </x:c>
      <x:c r="I675" s="17" t="str">
        <x:v>not_sampled</x:v>
      </x:c>
      <x:c r="J675" s="17" t="str">
        <x:v>not_sampled</x:v>
      </x:c>
    </x:row>
    <x:row r="676" ht="46" customHeight="1">
      <x:c r="A676" s="17" t="str">
        <x:v>us</x:v>
      </x:c>
      <x:c r="B676" s="17" t="str">
        <x:v>Northcentral University</x:v>
      </x:c>
      <x:c r="C676" s="17" t="str">
        <x:v>IPEDS discovery signal: Computer and Information Systems Security/Auditing/Information Assurance (CIP 11.1003)</x:v>
      </x:c>
      <x:c r="D676" s="17" t="str">
        <x:v>Unclear</x:v>
      </x:c>
      <x:c r="E676" s="17" t="str">
        <x:v>stage2_screened_out</x:v>
      </x:c>
      <x:c r="F676" s="17" t="str">
        <x:v>Only one bounded registry/program-code signal was present; no independent topical, Calendar, current-faculty, or first-audit signal was recovered.</x:v>
      </x:c>
      <x:c r="G676" s="17" t="str">
        <x:v>Does the current official catalog contain a research graduate program matching the applicant's topics?</x:v>
      </x:c>
      <x:c r="H676" s="17" t="str">
        <x:v>https://www.nu.edu</x:v>
      </x:c>
      <x:c r="I676" s="17" t="str">
        <x:v>not_sampled</x:v>
      </x:c>
      <x:c r="J676" s="17" t="str">
        <x:v>not_sampled</x:v>
      </x:c>
    </x:row>
    <x:row r="677" ht="46" customHeight="1">
      <x:c r="A677" s="17" t="str">
        <x:v>us</x:v>
      </x:c>
      <x:c r="B677" s="17" t="str">
        <x:v>Northcentral University</x:v>
      </x:c>
      <x:c r="C677" s="17" t="str">
        <x:v>IPEDS discovery signal: Computer Science (CIP 11.0701)</x:v>
      </x:c>
      <x:c r="D677" s="17" t="str">
        <x:v>Unclear</x:v>
      </x:c>
      <x:c r="E677" s="17" t="str">
        <x:v>stage2_screened_out</x:v>
      </x:c>
      <x:c r="F677" s="17" t="str">
        <x:v>Only one bounded registry/program-code signal was present; no independent topical, Calendar, current-faculty, or first-audit signal was recovered.</x:v>
      </x:c>
      <x:c r="G677" s="17" t="str">
        <x:v>Does the current official catalog contain a research graduate program matching the applicant's topics?</x:v>
      </x:c>
      <x:c r="H677" s="17" t="str">
        <x:v>https://www.nu.edu</x:v>
      </x:c>
      <x:c r="I677" s="17" t="str">
        <x:v>not_sampled</x:v>
      </x:c>
      <x:c r="J677" s="17" t="str">
        <x:v>not_sampled</x:v>
      </x:c>
    </x:row>
    <x:row r="678" ht="46" customHeight="1">
      <x:c r="A678" s="17" t="str">
        <x:v>us</x:v>
      </x:c>
      <x:c r="B678" s="17" t="str">
        <x:v>Northcentral University</x:v>
      </x:c>
      <x:c r="C678" s="17" t="str">
        <x:v>IPEDS discovery signal: Information Technology (CIP 11.0103)</x:v>
      </x:c>
      <x:c r="D678" s="17" t="str">
        <x:v>Unclear</x:v>
      </x:c>
      <x:c r="E678" s="17" t="str">
        <x:v>stage2_screened_out</x:v>
      </x:c>
      <x:c r="F678" s="17" t="str">
        <x:v>Only one bounded registry/program-code signal was present; no independent topical, Calendar, current-faculty, or first-audit signal was recovered.</x:v>
      </x:c>
      <x:c r="G678" s="17" t="str">
        <x:v>Does the current official catalog contain a research graduate program matching the applicant's topics?</x:v>
      </x:c>
      <x:c r="H678" s="17" t="str">
        <x:v>https://www.nu.edu</x:v>
      </x:c>
      <x:c r="I678" s="17" t="str">
        <x:v>not_sampled</x:v>
      </x:c>
      <x:c r="J678" s="17" t="str">
        <x:v>not_sampled</x:v>
      </x:c>
    </x:row>
    <x:row r="679" ht="46" customHeight="1">
      <x:c r="A679" s="17" t="str">
        <x:v>us</x:v>
      </x:c>
      <x:c r="B679" s="17" t="str">
        <x:v>Northeastern Illinois University</x:v>
      </x:c>
      <x:c r="C679" s="17" t="str">
        <x:v>IPEDS discovery signal: Computer Science (CIP 11.0701)</x:v>
      </x:c>
      <x:c r="D679" s="17" t="str">
        <x:v>Unclear</x:v>
      </x:c>
      <x:c r="E679" s="17" t="str">
        <x:v>stage2_screened_out</x:v>
      </x:c>
      <x:c r="F679" s="17" t="str">
        <x:v>Only one bounded registry/program-code signal was present; no independent topical, Calendar, current-faculty, or first-audit signal was recovered.</x:v>
      </x:c>
      <x:c r="G679" s="17" t="str">
        <x:v>Does the current official catalog contain a research graduate program matching the applicant's topics?</x:v>
      </x:c>
      <x:c r="H679" s="17" t="str">
        <x:v>https://www.neiu.edu</x:v>
      </x:c>
      <x:c r="I679" s="17" t="str">
        <x:v>not_sampled</x:v>
      </x:c>
      <x:c r="J679" s="17" t="str">
        <x:v>not_sampled</x:v>
      </x:c>
    </x:row>
    <x:row r="680" ht="46" customHeight="1">
      <x:c r="A680" s="17" t="str">
        <x:v>us</x:v>
      </x:c>
      <x:c r="B680" s="17" t="str">
        <x:v>Northeastern University</x:v>
      </x:c>
      <x:c r="C680" s="17" t="str">
        <x:v>IPEDS discovery signal: Artificial Intelligence (CIP 11.0102)</x:v>
      </x:c>
      <x:c r="D680" s="17" t="str">
        <x:v>Unclear</x:v>
      </x:c>
      <x:c r="E680" s="17" t="str">
        <x:v>stage2_screened_out</x:v>
      </x:c>
      <x:c r="F680" s="17" t="str">
        <x:v>Mechanical discovery placeholder is superseded by an exact official program record at the same institution.</x:v>
      </x:c>
      <x:c r="G680" s="17" t="str">
        <x:v>Does the current official catalog contain a research graduate program matching the applicant's topics?</x:v>
      </x:c>
      <x:c r="H680" s="17" t="str">
        <x:v>https://www.northeastern.edu</x:v>
      </x:c>
      <x:c r="I680" s="17" t="str">
        <x:v>not_sampled</x:v>
      </x:c>
      <x:c r="J680" s="17" t="str">
        <x:v>not_sampled</x:v>
      </x:c>
    </x:row>
    <x:row r="681" ht="46" customHeight="1">
      <x:c r="A681" s="17" t="str">
        <x:v>us</x:v>
      </x:c>
      <x:c r="B681" s="17" t="str">
        <x:v>Northeastern University</x:v>
      </x:c>
      <x:c r="C681" s="17" t="str">
        <x:v>IPEDS discovery signal: Computer and Information Sciences, General (CIP 11.0101)</x:v>
      </x:c>
      <x:c r="D681" s="17" t="str">
        <x:v>Unclear</x:v>
      </x:c>
      <x:c r="E681" s="17" t="str">
        <x:v>stage2_screened_out</x:v>
      </x:c>
      <x:c r="F681" s="17" t="str">
        <x:v>Mechanical discovery placeholder is superseded by an exact official program record at the same institution.</x:v>
      </x:c>
      <x:c r="G681" s="17" t="str">
        <x:v>Does the current official catalog contain a research graduate program matching the applicant's topics?</x:v>
      </x:c>
      <x:c r="H681" s="17" t="str">
        <x:v>https://www.northeastern.edu</x:v>
      </x:c>
      <x:c r="I681" s="17" t="str">
        <x:v>not_sampled</x:v>
      </x:c>
      <x:c r="J681" s="17" t="str">
        <x:v>not_sampled</x:v>
      </x:c>
    </x:row>
    <x:row r="682" ht="46" customHeight="1">
      <x:c r="A682" s="17" t="str">
        <x:v>us</x:v>
      </x:c>
      <x:c r="B682" s="17" t="str">
        <x:v>Northeastern University</x:v>
      </x:c>
      <x:c r="C682" s="17" t="str">
        <x:v>IPEDS discovery signal: Computer and Information Systems Security/Auditing/Information Assurance (CIP 11.1003)</x:v>
      </x:c>
      <x:c r="D682" s="17" t="str">
        <x:v>Unclear</x:v>
      </x:c>
      <x:c r="E682" s="17" t="str">
        <x:v>stage2_screened_out</x:v>
      </x:c>
      <x:c r="F682" s="17" t="str">
        <x:v>Mechanical discovery placeholder is superseded by an exact official program record at the same institution.</x:v>
      </x:c>
      <x:c r="G682" s="17" t="str">
        <x:v>Does the current official catalog contain a research graduate program matching the applicant's topics?</x:v>
      </x:c>
      <x:c r="H682" s="17" t="str">
        <x:v>https://www.northeastern.edu</x:v>
      </x:c>
      <x:c r="I682" s="17" t="str">
        <x:v>not_sampled</x:v>
      </x:c>
      <x:c r="J682" s="17" t="str">
        <x:v>not_sampled</x:v>
      </x:c>
    </x:row>
    <x:row r="683" ht="46" customHeight="1">
      <x:c r="A683" s="17" t="str">
        <x:v>us</x:v>
      </x:c>
      <x:c r="B683" s="17" t="str">
        <x:v>Northeastern University</x:v>
      </x:c>
      <x:c r="C683" s="17" t="str">
        <x:v>IPEDS discovery signal: Computer Engineering, General (CIP 14.0901)</x:v>
      </x:c>
      <x:c r="D683" s="17" t="str">
        <x:v>Unclear</x:v>
      </x:c>
      <x:c r="E683" s="17" t="str">
        <x:v>stage2_screened_out</x:v>
      </x:c>
      <x:c r="F683" s="17" t="str">
        <x:v>Mechanical discovery placeholder is superseded by an exact official program record at the same institution.</x:v>
      </x:c>
      <x:c r="G683" s="17" t="str">
        <x:v>Does the current official catalog contain a research graduate program matching the applicant's topics?</x:v>
      </x:c>
      <x:c r="H683" s="17" t="str">
        <x:v>https://www.northeastern.edu</x:v>
      </x:c>
      <x:c r="I683" s="17" t="str">
        <x:v>not_sampled</x:v>
      </x:c>
      <x:c r="J683" s="17" t="str">
        <x:v>not_sampled</x:v>
      </x:c>
    </x:row>
    <x:row r="684" ht="46" customHeight="1">
      <x:c r="A684" s="17" t="str">
        <x:v>us</x:v>
      </x:c>
      <x:c r="B684" s="17" t="str">
        <x:v>Northeastern University</x:v>
      </x:c>
      <x:c r="C684" s="17" t="str">
        <x:v>IPEDS discovery signal: Computer Software Engineering (CIP 14.0903)</x:v>
      </x:c>
      <x:c r="D684" s="17" t="str">
        <x:v>Unclear</x:v>
      </x:c>
      <x:c r="E684" s="17" t="str">
        <x:v>stage2_screened_out</x:v>
      </x:c>
      <x:c r="F684" s="17" t="str">
        <x:v>Mechanical discovery placeholder is superseded by an exact official program record at the same institution.</x:v>
      </x:c>
      <x:c r="G684" s="17" t="str">
        <x:v>Does the current official catalog contain a research graduate program matching the applicant's topics?</x:v>
      </x:c>
      <x:c r="H684" s="17" t="str">
        <x:v>https://www.northeastern.edu</x:v>
      </x:c>
      <x:c r="I684" s="17" t="str">
        <x:v>not_sampled</x:v>
      </x:c>
      <x:c r="J684" s="17" t="str">
        <x:v>not_sampled</x:v>
      </x:c>
    </x:row>
    <x:row r="685" ht="46" customHeight="1">
      <x:c r="A685" s="17" t="str">
        <x:v>us</x:v>
      </x:c>
      <x:c r="B685" s="17" t="str">
        <x:v>Northeastern University</x:v>
      </x:c>
      <x:c r="C685" s="17" t="str">
        <x:v>IPEDS discovery signal: Computer Systems Networking and Telecommunications (CIP 11.0901)</x:v>
      </x:c>
      <x:c r="D685" s="17" t="str">
        <x:v>Unclear</x:v>
      </x:c>
      <x:c r="E685" s="17" t="str">
        <x:v>stage2_screened_out</x:v>
      </x:c>
      <x:c r="F685" s="17" t="str">
        <x:v>Mechanical discovery placeholder is superseded by an exact official program record at the same institution.</x:v>
      </x:c>
      <x:c r="G685" s="17" t="str">
        <x:v>Does the current official catalog contain a research graduate program matching the applicant's topics?</x:v>
      </x:c>
      <x:c r="H685" s="17" t="str">
        <x:v>https://www.northeastern.edu</x:v>
      </x:c>
      <x:c r="I685" s="17" t="str">
        <x:v>not_sampled</x:v>
      </x:c>
      <x:c r="J685" s="17" t="str">
        <x:v>not_sampled</x:v>
      </x:c>
    </x:row>
    <x:row r="686" ht="46" customHeight="1">
      <x:c r="A686" s="17" t="str">
        <x:v>us</x:v>
      </x:c>
      <x:c r="B686" s="17" t="str">
        <x:v>Northeastern University</x:v>
      </x:c>
      <x:c r="C686" s="17" t="str">
        <x:v>IPEDS discovery signal: Electrical and Electronics Engineering (CIP 14.1001)</x:v>
      </x:c>
      <x:c r="D686" s="17" t="str">
        <x:v>Unclear</x:v>
      </x:c>
      <x:c r="E686" s="17" t="str">
        <x:v>stage2_screened_out</x:v>
      </x:c>
      <x:c r="F686" s="17" t="str">
        <x:v>Mechanical discovery placeholder is superseded by an exact official program record at the same institution.</x:v>
      </x:c>
      <x:c r="G686" s="17" t="str">
        <x:v>Does the current official catalog contain a research graduate program matching the applicant's topics?</x:v>
      </x:c>
      <x:c r="H686" s="17" t="str">
        <x:v>https://www.northeastern.edu</x:v>
      </x:c>
      <x:c r="I686" s="17" t="str">
        <x:v>not_sampled</x:v>
      </x:c>
      <x:c r="J686" s="17" t="str">
        <x:v>not_sampled</x:v>
      </x:c>
    </x:row>
    <x:row r="687" ht="46" customHeight="1">
      <x:c r="A687" s="17" t="str">
        <x:v>us</x:v>
      </x:c>
      <x:c r="B687" s="17" t="str">
        <x:v>Northeastern University</x:v>
      </x:c>
      <x:c r="C687" s="17" t="str">
        <x:v>IPEDS discovery signal: Mechatronics, Robotics, and Automation Engineering (CIP 14.4201)</x:v>
      </x:c>
      <x:c r="D687" s="17" t="str">
        <x:v>Unclear</x:v>
      </x:c>
      <x:c r="E687" s="17" t="str">
        <x:v>stage2_screened_out</x:v>
      </x:c>
      <x:c r="F687" s="17" t="str">
        <x:v>Mechanical discovery placeholder is superseded by an exact official program record at the same institution.</x:v>
      </x:c>
      <x:c r="G687" s="17" t="str">
        <x:v>Does the current official catalog contain a research graduate program matching the applicant's topics?</x:v>
      </x:c>
      <x:c r="H687" s="17" t="str">
        <x:v>https://www.northeastern.edu</x:v>
      </x:c>
      <x:c r="I687" s="17" t="str">
        <x:v>not_sampled</x:v>
      </x:c>
      <x:c r="J687" s="17" t="str">
        <x:v>not_sampled</x:v>
      </x:c>
    </x:row>
    <x:row r="688" ht="46" customHeight="1">
      <x:c r="A688" s="17" t="str">
        <x:v>us</x:v>
      </x:c>
      <x:c r="B688" s="17" t="str">
        <x:v>Northeastern University Oakland</x:v>
      </x:c>
      <x:c r="C688" s="17" t="str">
        <x:v>IPEDS discovery signal: Computer and Information Sciences, General (CIP 11.0101)</x:v>
      </x:c>
      <x:c r="D688" s="17" t="str">
        <x:v>Unclear</x:v>
      </x:c>
      <x:c r="E688" s="17" t="str">
        <x:v>stage2_screened_out</x:v>
      </x:c>
      <x:c r="F688" s="17" t="str">
        <x:v>Only one bounded registry/program-code signal was present; no independent topical, Calendar, current-faculty, or first-audit signal was recovered.</x:v>
      </x:c>
      <x:c r="G688" s="17" t="str">
        <x:v>Does the current official catalog contain a research graduate program matching the applicant's topics?</x:v>
      </x:c>
      <x:c r="H688" s="17" t="str">
        <x:v>https://oakland.northeastern.edu</x:v>
      </x:c>
      <x:c r="I688" s="17" t="str">
        <x:v>not_sampled</x:v>
      </x:c>
      <x:c r="J688" s="17" t="str">
        <x:v>not_sampled</x:v>
      </x:c>
    </x:row>
    <x:row r="689" ht="46" customHeight="1">
      <x:c r="A689" s="17" t="str">
        <x:v>us</x:v>
      </x:c>
      <x:c r="B689" s="17" t="str">
        <x:v>Northeastern University Professional Programs</x:v>
      </x:c>
      <x:c r="C689" s="17" t="str">
        <x:v>IPEDS discovery signal: Informatics (CIP 11.0104)</x:v>
      </x:c>
      <x:c r="D689" s="17" t="str">
        <x:v>Unclear</x:v>
      </x:c>
      <x:c r="E689" s="17" t="str">
        <x:v>stage2_screened_out</x:v>
      </x:c>
      <x:c r="F689" s="17" t="str">
        <x:v>Only one bounded registry/program-code signal was present; no independent topical, Calendar, current-faculty, or first-audit signal was recovered.</x:v>
      </x:c>
      <x:c r="G689" s="17" t="str">
        <x:v>Does the current official catalog contain a research graduate program matching the applicant's topics?</x:v>
      </x:c>
      <x:c r="H689" s="17" t="str">
        <x:v>https://www.northeastern.edu</x:v>
      </x:c>
      <x:c r="I689" s="17" t="str">
        <x:v>not_sampled</x:v>
      </x:c>
      <x:c r="J689" s="17" t="str">
        <x:v>not_sampled</x:v>
      </x:c>
    </x:row>
    <x:row r="690" ht="46" customHeight="1">
      <x:c r="A690" s="17" t="str">
        <x:v>us</x:v>
      </x:c>
      <x:c r="B690" s="17" t="str">
        <x:v>Northeastern University Professional Programs</x:v>
      </x:c>
      <x:c r="C690" s="17" t="str">
        <x:v>IPEDS discovery signal: Information Technology (CIP 11.0103)</x:v>
      </x:c>
      <x:c r="D690" s="17" t="str">
        <x:v>Unclear</x:v>
      </x:c>
      <x:c r="E690" s="17" t="str">
        <x:v>stage2_screened_out</x:v>
      </x:c>
      <x:c r="F690" s="17" t="str">
        <x:v>Only one bounded registry/program-code signal was present; no independent topical, Calendar, current-faculty, or first-audit signal was recovered.</x:v>
      </x:c>
      <x:c r="G690" s="17" t="str">
        <x:v>Does the current official catalog contain a research graduate program matching the applicant's topics?</x:v>
      </x:c>
      <x:c r="H690" s="17" t="str">
        <x:v>https://www.northeastern.edu</x:v>
      </x:c>
      <x:c r="I690" s="17" t="str">
        <x:v>not_sampled</x:v>
      </x:c>
      <x:c r="J690" s="17" t="str">
        <x:v>not_sampled</x:v>
      </x:c>
    </x:row>
    <x:row r="691" ht="46" customHeight="1">
      <x:c r="A691" s="17" t="str">
        <x:v>us</x:v>
      </x:c>
      <x:c r="B691" s="17" t="str">
        <x:v>Northern Arizona University</x:v>
      </x:c>
      <x:c r="C691" s="17" t="str">
        <x:v>IPEDS discovery signal: Informatics (CIP 11.0104)</x:v>
      </x:c>
      <x:c r="D691" s="17" t="str">
        <x:v>Unclear</x:v>
      </x:c>
      <x:c r="E691" s="17" t="str">
        <x:v>stage2_screened_out</x:v>
      </x:c>
      <x:c r="F691" s="17" t="str">
        <x:v>Duplicate mechanical discovery signal consolidated into one institution-level catalog review candidate.</x:v>
      </x:c>
      <x:c r="G691" s="17" t="str">
        <x:v>Does the current official catalog contain a research graduate program matching the applicant's topics?</x:v>
      </x:c>
      <x:c r="H691" s="17" t="str">
        <x:v>https://nau.edu</x:v>
      </x:c>
      <x:c r="I691" s="17" t="str">
        <x:v>not_sampled</x:v>
      </x:c>
      <x:c r="J691" s="17" t="str">
        <x:v>not_sampled</x:v>
      </x:c>
    </x:row>
    <x:row r="692" ht="46" customHeight="1">
      <x:c r="A692" s="17" t="str">
        <x:v>us</x:v>
      </x:c>
      <x:c r="B692" s="17" t="str">
        <x:v>Northern Arizona University</x:v>
      </x:c>
      <x:c r="C692" s="17" t="str">
        <x:v>IPEDS discovery signal: Information Technology (CIP 11.0103)</x:v>
      </x:c>
      <x:c r="D692" s="17" t="str">
        <x:v>Unclear</x:v>
      </x:c>
      <x:c r="E692" s="17" t="str">
        <x:v>stage2_screened_out</x:v>
      </x:c>
      <x:c r="F692" s="17" t="str">
        <x:v>Duplicate mechanical discovery signal consolidated into one institution-level catalog review candidate.</x:v>
      </x:c>
      <x:c r="G692" s="17" t="str">
        <x:v>Does the current official catalog contain a research graduate program matching the applicant's topics?</x:v>
      </x:c>
      <x:c r="H692" s="17" t="str">
        <x:v>https://nau.edu</x:v>
      </x:c>
      <x:c r="I692" s="17" t="str">
        <x:v>not_sampled</x:v>
      </x:c>
      <x:c r="J692" s="17" t="str">
        <x:v>not_sampled</x:v>
      </x:c>
    </x:row>
    <x:row r="693" ht="46" customHeight="1">
      <x:c r="A693" s="17" t="str">
        <x:v>us</x:v>
      </x:c>
      <x:c r="B693" s="17" t="str">
        <x:v>Northern Illinois University</x:v>
      </x:c>
      <x:c r="C693" s="17" t="str">
        <x:v>IPEDS discovery signal: Computer Science (CIP 11.0701)</x:v>
      </x:c>
      <x:c r="D693" s="17" t="str">
        <x:v>Unclear</x:v>
      </x:c>
      <x:c r="E693" s="17" t="str">
        <x:v>stage2_screened_out</x:v>
      </x:c>
      <x:c r="F693" s="17" t="str">
        <x:v>Only one bounded registry/program-code signal was present; no independent topical, Calendar, current-faculty, or first-audit signal was recovered.</x:v>
      </x:c>
      <x:c r="G693" s="17" t="str">
        <x:v>Does the current official catalog contain a research graduate program matching the applicant's topics?</x:v>
      </x:c>
      <x:c r="H693" s="17" t="str">
        <x:v>https://www.niu.edu</x:v>
      </x:c>
      <x:c r="I693" s="17" t="str">
        <x:v>not_sampled</x:v>
      </x:c>
      <x:c r="J693" s="17" t="str">
        <x:v>not_sampled</x:v>
      </x:c>
    </x:row>
    <x:row r="694" ht="46" customHeight="1">
      <x:c r="A694" s="17" t="str">
        <x:v>us</x:v>
      </x:c>
      <x:c r="B694" s="17" t="str">
        <x:v>Northern Illinois University</x:v>
      </x:c>
      <x:c r="C694" s="17" t="str">
        <x:v>IPEDS discovery signal: Electrical and Electronics Engineering (CIP 14.1001)</x:v>
      </x:c>
      <x:c r="D694" s="17" t="str">
        <x:v>Unclear</x:v>
      </x:c>
      <x:c r="E694" s="17" t="str">
        <x:v>stage2_screened_out</x:v>
      </x:c>
      <x:c r="F694" s="17" t="str">
        <x:v>Only one bounded registry/program-code signal was present; no independent topical, Calendar, current-faculty, or first-audit signal was recovered.</x:v>
      </x:c>
      <x:c r="G694" s="17" t="str">
        <x:v>Does the current official catalog contain a research graduate program matching the applicant's topics?</x:v>
      </x:c>
      <x:c r="H694" s="17" t="str">
        <x:v>https://www.niu.edu</x:v>
      </x:c>
      <x:c r="I694" s="17" t="str">
        <x:v>not_sampled</x:v>
      </x:c>
      <x:c r="J694" s="17" t="str">
        <x:v>not_sampled</x:v>
      </x:c>
    </x:row>
    <x:row r="695" ht="46" customHeight="1">
      <x:c r="A695" s="17" t="str">
        <x:v>us</x:v>
      </x:c>
      <x:c r="B695" s="17" t="str">
        <x:v>Northern Illinois University</x:v>
      </x:c>
      <x:c r="C695" s="17" t="str">
        <x:v>IPEDS discovery signal: Information Technology (CIP 11.0103)</x:v>
      </x:c>
      <x:c r="D695" s="17" t="str">
        <x:v>Unclear</x:v>
      </x:c>
      <x:c r="E695" s="17" t="str">
        <x:v>stage2_screened_out</x:v>
      </x:c>
      <x:c r="F695" s="17" t="str">
        <x:v>Only one bounded registry/program-code signal was present; no independent topical, Calendar, current-faculty, or first-audit signal was recovered.</x:v>
      </x:c>
      <x:c r="G695" s="17" t="str">
        <x:v>Does the current official catalog contain a research graduate program matching the applicant's topics?</x:v>
      </x:c>
      <x:c r="H695" s="17" t="str">
        <x:v>https://www.niu.edu</x:v>
      </x:c>
      <x:c r="I695" s="17" t="str">
        <x:v>not_sampled</x:v>
      </x:c>
      <x:c r="J695" s="17" t="str">
        <x:v>not_sampled</x:v>
      </x:c>
    </x:row>
    <x:row r="696" ht="46" customHeight="1">
      <x:c r="A696" s="17" t="str">
        <x:v>us</x:v>
      </x:c>
      <x:c r="B696" s="17" t="str">
        <x:v>Northern Kentucky University</x:v>
      </x:c>
      <x:c r="C696" s="17" t="str">
        <x:v>IPEDS discovery signal: Computer and Information Systems Security/Auditing/Information Assurance (CIP 11.1003)</x:v>
      </x:c>
      <x:c r="D696" s="17" t="str">
        <x:v>Unclear</x:v>
      </x:c>
      <x:c r="E696" s="17" t="str">
        <x:v>stage2_screened_out</x:v>
      </x:c>
      <x:c r="F696" s="17" t="str">
        <x:v>Only one bounded registry/program-code signal was present; no independent topical, Calendar, current-faculty, or first-audit signal was recovered.</x:v>
      </x:c>
      <x:c r="G696" s="17" t="str">
        <x:v>Does the current official catalog contain a research graduate program matching the applicant's topics?</x:v>
      </x:c>
      <x:c r="H696" s="17" t="str">
        <x:v>https://www.nku.edu</x:v>
      </x:c>
      <x:c r="I696" s="17" t="str">
        <x:v>not_sampled</x:v>
      </x:c>
      <x:c r="J696" s="17" t="str">
        <x:v>not_sampled</x:v>
      </x:c>
    </x:row>
    <x:row r="697" ht="46" customHeight="1">
      <x:c r="A697" s="17" t="str">
        <x:v>us</x:v>
      </x:c>
      <x:c r="B697" s="17" t="str">
        <x:v>Northern Kentucky University</x:v>
      </x:c>
      <x:c r="C697" s="17" t="str">
        <x:v>IPEDS discovery signal: Computer Science (CIP 11.0701)</x:v>
      </x:c>
      <x:c r="D697" s="17" t="str">
        <x:v>Unclear</x:v>
      </x:c>
      <x:c r="E697" s="17" t="str">
        <x:v>stage2_screened_out</x:v>
      </x:c>
      <x:c r="F697" s="17" t="str">
        <x:v>Only one bounded registry/program-code signal was present; no independent topical, Calendar, current-faculty, or first-audit signal was recovered.</x:v>
      </x:c>
      <x:c r="G697" s="17" t="str">
        <x:v>Does the current official catalog contain a research graduate program matching the applicant's topics?</x:v>
      </x:c>
      <x:c r="H697" s="17" t="str">
        <x:v>https://www.nku.edu</x:v>
      </x:c>
      <x:c r="I697" s="17" t="str">
        <x:v>not_sampled</x:v>
      </x:c>
      <x:c r="J697" s="17" t="str">
        <x:v>not_sampled</x:v>
      </x:c>
    </x:row>
    <x:row r="698" ht="46" customHeight="1">
      <x:c r="A698" s="17" t="str">
        <x:v>us</x:v>
      </x:c>
      <x:c r="B698" s="17" t="str">
        <x:v>Northern Kentucky University</x:v>
      </x:c>
      <x:c r="C698" s="17" t="str">
        <x:v>IPEDS discovery signal: Information Science/Studies (CIP 11.0401)</x:v>
      </x:c>
      <x:c r="D698" s="17" t="str">
        <x:v>Unclear</x:v>
      </x:c>
      <x:c r="E698" s="17" t="str">
        <x:v>stage2_screened_out</x:v>
      </x:c>
      <x:c r="F698" s="17" t="str">
        <x:v>Only one bounded registry/program-code signal was present; no independent topical, Calendar, current-faculty, or first-audit signal was recovered.</x:v>
      </x:c>
      <x:c r="G698" s="17" t="str">
        <x:v>Does the current official catalog contain a research graduate program matching the applicant's topics?</x:v>
      </x:c>
      <x:c r="H698" s="17" t="str">
        <x:v>https://www.nku.edu</x:v>
      </x:c>
      <x:c r="I698" s="17" t="str">
        <x:v>not_sampled</x:v>
      </x:c>
      <x:c r="J698" s="17" t="str">
        <x:v>not_sampled</x:v>
      </x:c>
    </x:row>
    <x:row r="699" ht="46" customHeight="1">
      <x:c r="A699" s="17" t="str">
        <x:v>us</x:v>
      </x:c>
      <x:c r="B699" s="17" t="str">
        <x:v>Northern Michigan University</x:v>
      </x:c>
      <x:c r="C699" s="17" t="str">
        <x:v>IPEDS discovery signal: Computer and Information Sciences, General (CIP 11.0101)</x:v>
      </x:c>
      <x:c r="D699" s="17" t="str">
        <x:v>Unclear</x:v>
      </x:c>
      <x:c r="E699" s="17" t="str">
        <x:v>stage2_screened_out</x:v>
      </x:c>
      <x:c r="F699" s="17" t="str">
        <x:v>Only one bounded registry/program-code signal was present; no independent topical, Calendar, current-faculty, or first-audit signal was recovered.</x:v>
      </x:c>
      <x:c r="G699" s="17" t="str">
        <x:v>Does the current official catalog contain a research graduate program matching the applicant's topics?</x:v>
      </x:c>
      <x:c r="H699" s="17" t="str">
        <x:v>https://www.nmu.edu</x:v>
      </x:c>
      <x:c r="I699" s="17" t="str">
        <x:v>not_sampled</x:v>
      </x:c>
      <x:c r="J699" s="17" t="str">
        <x:v>not_sampled</x:v>
      </x:c>
    </x:row>
    <x:row r="700" ht="46" customHeight="1">
      <x:c r="A700" s="17" t="str">
        <x:v>us</x:v>
      </x:c>
      <x:c r="B700" s="17" t="str">
        <x:v>Northwest Missouri State University</x:v>
      </x:c>
      <x:c r="C700" s="17" t="str">
        <x:v>IPEDS discovery signal: Computer and Information Sciences, Other (CIP 11.0199)</x:v>
      </x:c>
      <x:c r="D700" s="17" t="str">
        <x:v>Unclear</x:v>
      </x:c>
      <x:c r="E700" s="17" t="str">
        <x:v>stage2_screened_out</x:v>
      </x:c>
      <x:c r="F700" s="17" t="str">
        <x:v>Duplicate mechanical discovery signal consolidated into one institution-level catalog review candidate.</x:v>
      </x:c>
      <x:c r="G700" s="17" t="str">
        <x:v>Does the current official catalog contain a research graduate program matching the applicant's topics?</x:v>
      </x:c>
      <x:c r="H700" s="17" t="str">
        <x:v>https://www.nwmissouri.edu</x:v>
      </x:c>
      <x:c r="I700" s="17" t="str">
        <x:v>not_sampled</x:v>
      </x:c>
      <x:c r="J700" s="17" t="str">
        <x:v>not_sampled</x:v>
      </x:c>
    </x:row>
    <x:row r="701" ht="46" customHeight="1">
      <x:c r="A701" s="17" t="str">
        <x:v>us</x:v>
      </x:c>
      <x:c r="B701" s="17" t="str">
        <x:v>Northwest Missouri State University</x:v>
      </x:c>
      <x:c r="C701" s="17" t="str">
        <x:v>IPEDS discovery signal: Computer Science (CIP 11.0701)</x:v>
      </x:c>
      <x:c r="D701" s="17" t="str">
        <x:v>Unclear</x:v>
      </x:c>
      <x:c r="E701" s="17" t="str">
        <x:v>stage2_screened_out</x:v>
      </x:c>
      <x:c r="F701" s="17" t="str">
        <x:v>Duplicate mechanical discovery signal consolidated into one institution-level catalog review candidate.</x:v>
      </x:c>
      <x:c r="G701" s="17" t="str">
        <x:v>Does the current official catalog contain a research graduate program matching the applicant's topics?</x:v>
      </x:c>
      <x:c r="H701" s="17" t="str">
        <x:v>https://www.nwmissouri.edu</x:v>
      </x:c>
      <x:c r="I701" s="17" t="str">
        <x:v>not_sampled</x:v>
      </x:c>
      <x:c r="J701" s="17" t="str">
        <x:v>not_sampled</x:v>
      </x:c>
    </x:row>
    <x:row r="702" ht="46" customHeight="1">
      <x:c r="A702" s="17" t="str">
        <x:v>us</x:v>
      </x:c>
      <x:c r="B702" s="17" t="str">
        <x:v>Northwestern State University of Louisiana</x:v>
      </x:c>
      <x:c r="C702" s="17" t="str">
        <x:v>IPEDS discovery signal: Information Science/Studies (CIP 11.0401)</x:v>
      </x:c>
      <x:c r="D702" s="17" t="str">
        <x:v>Unclear</x:v>
      </x:c>
      <x:c r="E702" s="17" t="str">
        <x:v>stage2_screened_out</x:v>
      </x:c>
      <x:c r="F702" s="17" t="str">
        <x:v>Only one bounded registry/program-code signal was present; no independent topical, Calendar, current-faculty, or first-audit signal was recovered.</x:v>
      </x:c>
      <x:c r="G702" s="17" t="str">
        <x:v>Does the current official catalog contain a research graduate program matching the applicant's topics?</x:v>
      </x:c>
      <x:c r="H702" s="17" t="str">
        <x:v>https://www.nsula.edu</x:v>
      </x:c>
      <x:c r="I702" s="17" t="str">
        <x:v>not_sampled</x:v>
      </x:c>
      <x:c r="J702" s="17" t="str">
        <x:v>not_sampled</x:v>
      </x:c>
    </x:row>
    <x:row r="703" ht="46" customHeight="1">
      <x:c r="A703" s="17" t="str">
        <x:v>us</x:v>
      </x:c>
      <x:c r="B703" s="17" t="str">
        <x:v>Northwestern University</x:v>
      </x:c>
      <x:c r="C703" s="17" t="str">
        <x:v>IPEDS discovery signal: Computer and Information Sciences, Other (CIP 11.0199)</x:v>
      </x:c>
      <x:c r="D703" s="17" t="str">
        <x:v>Unclear</x:v>
      </x:c>
      <x:c r="E703" s="17" t="str">
        <x:v>stage2_screened_out</x:v>
      </x:c>
      <x:c r="F703" s="17" t="str">
        <x:v>Duplicate mechanical discovery signal consolidated into one institution-level catalog review candidate.</x:v>
      </x:c>
      <x:c r="G703" s="17" t="str">
        <x:v>Does the current official catalog contain a research graduate program matching the applicant's topics?</x:v>
      </x:c>
      <x:c r="H703" s="17" t="str">
        <x:v>https://www.northwestern.edu</x:v>
      </x:c>
      <x:c r="I703" s="17" t="str">
        <x:v>not_sampled</x:v>
      </x:c>
      <x:c r="J703" s="17" t="str">
        <x:v>not_sampled</x:v>
      </x:c>
    </x:row>
    <x:row r="704" ht="46" customHeight="1">
      <x:c r="A704" s="17" t="str">
        <x:v>us</x:v>
      </x:c>
      <x:c r="B704" s="17" t="str">
        <x:v>Northwestern University</x:v>
      </x:c>
      <x:c r="C704" s="17" t="str">
        <x:v>IPEDS discovery signal: Computer Engineering, General (CIP 14.0901)</x:v>
      </x:c>
      <x:c r="D704" s="17" t="str">
        <x:v>Unclear</x:v>
      </x:c>
      <x:c r="E704" s="17" t="str">
        <x:v>stage2_screened_out</x:v>
      </x:c>
      <x:c r="F704" s="17" t="str">
        <x:v>Duplicate mechanical discovery signal consolidated into one institution-level catalog review candidate.</x:v>
      </x:c>
      <x:c r="G704" s="17" t="str">
        <x:v>Does the current official catalog contain a research graduate program matching the applicant's topics?</x:v>
      </x:c>
      <x:c r="H704" s="17" t="str">
        <x:v>https://www.northwestern.edu</x:v>
      </x:c>
      <x:c r="I704" s="17" t="str">
        <x:v>not_sampled</x:v>
      </x:c>
      <x:c r="J704" s="17" t="str">
        <x:v>not_sampled</x:v>
      </x:c>
    </x:row>
    <x:row r="705" ht="46" customHeight="1">
      <x:c r="A705" s="17" t="str">
        <x:v>us</x:v>
      </x:c>
      <x:c r="B705" s="17" t="str">
        <x:v>Northwestern University</x:v>
      </x:c>
      <x:c r="C705" s="17" t="str">
        <x:v>IPEDS discovery signal: Computer Science (CIP 11.0701)</x:v>
      </x:c>
      <x:c r="D705" s="17" t="str">
        <x:v>Unclear</x:v>
      </x:c>
      <x:c r="E705" s="17" t="str">
        <x:v>stage2_screened_out</x:v>
      </x:c>
      <x:c r="F705" s="17" t="str">
        <x:v>Duplicate mechanical discovery signal consolidated into one institution-level catalog review candidate.</x:v>
      </x:c>
      <x:c r="G705" s="17" t="str">
        <x:v>Does the current official catalog contain a research graduate program matching the applicant's topics?</x:v>
      </x:c>
      <x:c r="H705" s="17" t="str">
        <x:v>https://www.northwestern.edu</x:v>
      </x:c>
      <x:c r="I705" s="17" t="str">
        <x:v>not_sampled</x:v>
      </x:c>
      <x:c r="J705" s="17" t="str">
        <x:v>not_sampled</x:v>
      </x:c>
    </x:row>
    <x:row r="706" ht="46" customHeight="1">
      <x:c r="A706" s="17" t="str">
        <x:v>us</x:v>
      </x:c>
      <x:c r="B706" s="17" t="str">
        <x:v>Northwestern University</x:v>
      </x:c>
      <x:c r="C706" s="17" t="str">
        <x:v>IPEDS discovery signal: Electrical and Electronics Engineering (CIP 14.1001)</x:v>
      </x:c>
      <x:c r="D706" s="17" t="str">
        <x:v>Unclear</x:v>
      </x:c>
      <x:c r="E706" s="17" t="str">
        <x:v>stage2_screened_out</x:v>
      </x:c>
      <x:c r="F706" s="17" t="str">
        <x:v>Duplicate mechanical discovery signal consolidated into one institution-level catalog review candidate.</x:v>
      </x:c>
      <x:c r="G706" s="17" t="str">
        <x:v>Does the current official catalog contain a research graduate program matching the applicant's topics?</x:v>
      </x:c>
      <x:c r="H706" s="17" t="str">
        <x:v>https://www.northwestern.edu</x:v>
      </x:c>
      <x:c r="I706" s="17" t="str">
        <x:v>not_sampled</x:v>
      </x:c>
      <x:c r="J706" s="17" t="str">
        <x:v>not_sampled</x:v>
      </x:c>
    </x:row>
    <x:row r="707" ht="46" customHeight="1">
      <x:c r="A707" s="17" t="str">
        <x:v>us</x:v>
      </x:c>
      <x:c r="B707" s="17" t="str">
        <x:v>Northwestern University</x:v>
      </x:c>
      <x:c r="C707" s="17" t="str">
        <x:v>IPEDS discovery signal: Information Science/Studies (CIP 11.0401)</x:v>
      </x:c>
      <x:c r="D707" s="17" t="str">
        <x:v>Unclear</x:v>
      </x:c>
      <x:c r="E707" s="17" t="str">
        <x:v>stage2_screened_out</x:v>
      </x:c>
      <x:c r="F707" s="17" t="str">
        <x:v>Duplicate mechanical discovery signal consolidated into one institution-level catalog review candidate.</x:v>
      </x:c>
      <x:c r="G707" s="17" t="str">
        <x:v>Does the current official catalog contain a research graduate program matching the applicant's topics?</x:v>
      </x:c>
      <x:c r="H707" s="17" t="str">
        <x:v>https://www.northwestern.edu</x:v>
      </x:c>
      <x:c r="I707" s="17" t="str">
        <x:v>not_sampled</x:v>
      </x:c>
      <x:c r="J707" s="17" t="str">
        <x:v>not_sampled</x:v>
      </x:c>
    </x:row>
    <x:row r="708" ht="46" customHeight="1">
      <x:c r="A708" s="17" t="str">
        <x:v>us</x:v>
      </x:c>
      <x:c r="B708" s="17" t="str">
        <x:v>Norwich University</x:v>
      </x:c>
      <x:c r="C708" s="17" t="str">
        <x:v>IPEDS discovery signal: Information Science/Studies (CIP 11.0401)</x:v>
      </x:c>
      <x:c r="D708" s="17" t="str">
        <x:v>Unclear</x:v>
      </x:c>
      <x:c r="E708" s="17" t="str">
        <x:v>stage2_screened_out</x:v>
      </x:c>
      <x:c r="F708" s="17" t="str">
        <x:v>Only one bounded registry/program-code signal was present; no independent topical, Calendar, current-faculty, or first-audit signal was recovered.</x:v>
      </x:c>
      <x:c r="G708" s="17" t="str">
        <x:v>Does the current official catalog contain a research graduate program matching the applicant's topics?</x:v>
      </x:c>
      <x:c r="H708" s="17" t="str">
        <x:v>https://www.norwich.edu</x:v>
      </x:c>
      <x:c r="I708" s="17" t="str">
        <x:v>not_sampled</x:v>
      </x:c>
      <x:c r="J708" s="17" t="str">
        <x:v>not_sampled</x:v>
      </x:c>
    </x:row>
    <x:row r="709" ht="46" customHeight="1">
      <x:c r="A709" s="17" t="str">
        <x:v>us</x:v>
      </x:c>
      <x:c r="B709" s="17" t="str">
        <x:v>Notre Dame of Maryland University</x:v>
      </x:c>
      <x:c r="C709" s="17" t="str">
        <x:v>IPEDS discovery signal: Information Science/Studies (CIP 11.0401)</x:v>
      </x:c>
      <x:c r="D709" s="17" t="str">
        <x:v>Unclear</x:v>
      </x:c>
      <x:c r="E709" s="17" t="str">
        <x:v>stage2_screened_out</x:v>
      </x:c>
      <x:c r="F709" s="17" t="str">
        <x:v>Only one bounded registry/program-code signal was present; no independent topical, Calendar, current-faculty, or first-audit signal was recovered.</x:v>
      </x:c>
      <x:c r="G709" s="17" t="str">
        <x:v>Does the current official catalog contain a research graduate program matching the applicant's topics?</x:v>
      </x:c>
      <x:c r="H709" s="17" t="str">
        <x:v>https://www.ndm.edu</x:v>
      </x:c>
      <x:c r="I709" s="17" t="str">
        <x:v>not_sampled</x:v>
      </x:c>
      <x:c r="J709" s="17" t="str">
        <x:v>not_sampled</x:v>
      </x:c>
    </x:row>
    <x:row r="710" ht="46" customHeight="1">
      <x:c r="A710" s="17" t="str">
        <x:v>us</x:v>
      </x:c>
      <x:c r="B710" s="17" t="str">
        <x:v>Nova Southeastern University</x:v>
      </x:c>
      <x:c r="C710" s="17" t="str">
        <x:v>IPEDS discovery signal: Computer and Information Sciences, General (CIP 11.0101)</x:v>
      </x:c>
      <x:c r="D710" s="17" t="str">
        <x:v>Unclear</x:v>
      </x:c>
      <x:c r="E710" s="17" t="str">
        <x:v>stage2_screened_out</x:v>
      </x:c>
      <x:c r="F710" s="17" t="str">
        <x:v>Only one bounded registry/program-code signal was present; no independent topical, Calendar, current-faculty, or first-audit signal was recovered.</x:v>
      </x:c>
      <x:c r="G710" s="17" t="str">
        <x:v>Does the current official catalog contain a research graduate program matching the applicant's topics?</x:v>
      </x:c>
      <x:c r="H710" s="17" t="str">
        <x:v>https://www.nova.edu</x:v>
      </x:c>
      <x:c r="I710" s="17" t="str">
        <x:v>not_sampled</x:v>
      </x:c>
      <x:c r="J710" s="17" t="str">
        <x:v>not_sampled</x:v>
      </x:c>
    </x:row>
    <x:row r="711" ht="46" customHeight="1">
      <x:c r="A711" s="17" t="str">
        <x:v>us</x:v>
      </x:c>
      <x:c r="B711" s="17" t="str">
        <x:v>Nova Southeastern University</x:v>
      </x:c>
      <x:c r="C711" s="17" t="str">
        <x:v>IPEDS discovery signal: Computer and Information Systems Security/Auditing/Information Assurance (CIP 11.1003)</x:v>
      </x:c>
      <x:c r="D711" s="17" t="str">
        <x:v>Unclear</x:v>
      </x:c>
      <x:c r="E711" s="17" t="str">
        <x:v>stage2_screened_out</x:v>
      </x:c>
      <x:c r="F711" s="17" t="str">
        <x:v>Only one bounded registry/program-code signal was present; no independent topical, Calendar, current-faculty, or first-audit signal was recovered.</x:v>
      </x:c>
      <x:c r="G711" s="17" t="str">
        <x:v>Does the current official catalog contain a research graduate program matching the applicant's topics?</x:v>
      </x:c>
      <x:c r="H711" s="17" t="str">
        <x:v>https://www.nova.edu</x:v>
      </x:c>
      <x:c r="I711" s="17" t="str">
        <x:v>not_sampled</x:v>
      </x:c>
      <x:c r="J711" s="17" t="str">
        <x:v>not_sampled</x:v>
      </x:c>
    </x:row>
    <x:row r="712" ht="46" customHeight="1">
      <x:c r="A712" s="17" t="str">
        <x:v>us</x:v>
      </x:c>
      <x:c r="B712" s="17" t="str">
        <x:v>Nova Southeastern University</x:v>
      </x:c>
      <x:c r="C712" s="17" t="str">
        <x:v>IPEDS discovery signal: Computer Science (CIP 11.0701)</x:v>
      </x:c>
      <x:c r="D712" s="17" t="str">
        <x:v>Unclear</x:v>
      </x:c>
      <x:c r="E712" s="17" t="str">
        <x:v>stage2_screened_out</x:v>
      </x:c>
      <x:c r="F712" s="17" t="str">
        <x:v>Only one bounded registry/program-code signal was present; no independent topical, Calendar, current-faculty, or first-audit signal was recovered.</x:v>
      </x:c>
      <x:c r="G712" s="17" t="str">
        <x:v>Does the current official catalog contain a research graduate program matching the applicant's topics?</x:v>
      </x:c>
      <x:c r="H712" s="17" t="str">
        <x:v>https://www.nova.edu</x:v>
      </x:c>
      <x:c r="I712" s="17" t="str">
        <x:v>not_sampled</x:v>
      </x:c>
      <x:c r="J712" s="17" t="str">
        <x:v>not_sampled</x:v>
      </x:c>
    </x:row>
    <x:row r="713" ht="46" customHeight="1">
      <x:c r="A713" s="17" t="str">
        <x:v>us</x:v>
      </x:c>
      <x:c r="B713" s="17" t="str">
        <x:v>Nova Southeastern University</x:v>
      </x:c>
      <x:c r="C713" s="17" t="str">
        <x:v>IPEDS discovery signal: Information Science/Studies (CIP 11.0401)</x:v>
      </x:c>
      <x:c r="D713" s="17" t="str">
        <x:v>Unclear</x:v>
      </x:c>
      <x:c r="E713" s="17" t="str">
        <x:v>stage2_screened_out</x:v>
      </x:c>
      <x:c r="F713" s="17" t="str">
        <x:v>Only one bounded registry/program-code signal was present; no independent topical, Calendar, current-faculty, or first-audit signal was recovered.</x:v>
      </x:c>
      <x:c r="G713" s="17" t="str">
        <x:v>Does the current official catalog contain a research graduate program matching the applicant's topics?</x:v>
      </x:c>
      <x:c r="H713" s="17" t="str">
        <x:v>https://www.nova.edu</x:v>
      </x:c>
      <x:c r="I713" s="17" t="str">
        <x:v>not_sampled</x:v>
      </x:c>
      <x:c r="J713" s="17" t="str">
        <x:v>not_sampled</x:v>
      </x:c>
    </x:row>
    <x:row r="714" ht="46" customHeight="1">
      <x:c r="A714" s="17" t="str">
        <x:v>us</x:v>
      </x:c>
      <x:c r="B714" s="17" t="str">
        <x:v>Nova Southeastern University</x:v>
      </x:c>
      <x:c r="C714" s="17" t="str">
        <x:v>IPEDS discovery signal: Information Technology (CIP 11.0103)</x:v>
      </x:c>
      <x:c r="D714" s="17" t="str">
        <x:v>Unclear</x:v>
      </x:c>
      <x:c r="E714" s="17" t="str">
        <x:v>stage2_screened_out</x:v>
      </x:c>
      <x:c r="F714" s="17" t="str">
        <x:v>Only one bounded registry/program-code signal was present; no independent topical, Calendar, current-faculty, or first-audit signal was recovered.</x:v>
      </x:c>
      <x:c r="G714" s="17" t="str">
        <x:v>Does the current official catalog contain a research graduate program matching the applicant's topics?</x:v>
      </x:c>
      <x:c r="H714" s="17" t="str">
        <x:v>https://www.nova.edu</x:v>
      </x:c>
      <x:c r="I714" s="17" t="str">
        <x:v>not_sampled</x:v>
      </x:c>
      <x:c r="J714" s="17" t="str">
        <x:v>not_sampled</x:v>
      </x:c>
    </x:row>
    <x:row r="715" ht="46" customHeight="1">
      <x:c r="A715" s="17" t="str">
        <x:v>us</x:v>
      </x:c>
      <x:c r="B715" s="17" t="str">
        <x:v>Oakland University</x:v>
      </x:c>
      <x:c r="C715" s="17" t="str">
        <x:v>IPEDS discovery signal: Computer and Information Sciences, General (CIP 11.0101)</x:v>
      </x:c>
      <x:c r="D715" s="17" t="str">
        <x:v>Unclear</x:v>
      </x:c>
      <x:c r="E715" s="17" t="str">
        <x:v>stage2_screened_out</x:v>
      </x:c>
      <x:c r="F715" s="17" t="str">
        <x:v>Duplicate mechanical discovery signal consolidated into one institution-level catalog review candidate.</x:v>
      </x:c>
      <x:c r="G715" s="17" t="str">
        <x:v>Does the current official catalog contain a research graduate program matching the applicant's topics?</x:v>
      </x:c>
      <x:c r="H715" s="17" t="str">
        <x:v>https://www.oakland.edu</x:v>
      </x:c>
      <x:c r="I715" s="17" t="str">
        <x:v>false_negative_corrected</x:v>
      </x:c>
      <x:c r="J715" s="17" t="str">
        <x:v>confirmed</x:v>
      </x:c>
    </x:row>
    <x:row r="716" ht="46" customHeight="1">
      <x:c r="A716" s="17" t="str">
        <x:v>us</x:v>
      </x:c>
      <x:c r="B716" s="17" t="str">
        <x:v>Oakland University</x:v>
      </x:c>
      <x:c r="C716" s="17" t="str">
        <x:v>IPEDS discovery signal: Computer Hardware Engineering (CIP 14.0902)</x:v>
      </x:c>
      <x:c r="D716" s="17" t="str">
        <x:v>Unclear</x:v>
      </x:c>
      <x:c r="E716" s="17" t="str">
        <x:v>stage2_screened_out</x:v>
      </x:c>
      <x:c r="F716" s="17" t="str">
        <x:v>Duplicate mechanical discovery signal consolidated into one institution-level catalog review candidate.</x:v>
      </x:c>
      <x:c r="G716" s="17" t="str">
        <x:v>Does the current official catalog contain a research graduate program matching the applicant's topics?</x:v>
      </x:c>
      <x:c r="H716" s="17" t="str">
        <x:v>https://www.oakland.edu</x:v>
      </x:c>
      <x:c r="I716" s="17" t="str">
        <x:v>false_negative_corrected</x:v>
      </x:c>
      <x:c r="J716" s="17" t="str">
        <x:v>confirmed</x:v>
      </x:c>
    </x:row>
    <x:row r="717" ht="46" customHeight="1">
      <x:c r="A717" s="17" t="str">
        <x:v>us</x:v>
      </x:c>
      <x:c r="B717" s="17" t="str">
        <x:v>Oakland University</x:v>
      </x:c>
      <x:c r="C717" s="17" t="str">
        <x:v>IPEDS discovery signal: Electrical and Electronics Engineering (CIP 14.1001)</x:v>
      </x:c>
      <x:c r="D717" s="17" t="str">
        <x:v>Unclear</x:v>
      </x:c>
      <x:c r="E717" s="17" t="str">
        <x:v>stage2_screened_out</x:v>
      </x:c>
      <x:c r="F717" s="17" t="str">
        <x:v>Duplicate mechanical discovery signal consolidated into one institution-level catalog review candidate.</x:v>
      </x:c>
      <x:c r="G717" s="17" t="str">
        <x:v>Does the current official catalog contain a research graduate program matching the applicant's topics?</x:v>
      </x:c>
      <x:c r="H717" s="17" t="str">
        <x:v>https://www.oakland.edu</x:v>
      </x:c>
      <x:c r="I717" s="17" t="str">
        <x:v>false_negative_corrected</x:v>
      </x:c>
      <x:c r="J717" s="17" t="str">
        <x:v>confirmed</x:v>
      </x:c>
    </x:row>
    <x:row r="718" ht="46" customHeight="1">
      <x:c r="A718" s="17" t="str">
        <x:v>us</x:v>
      </x:c>
      <x:c r="B718" s="17" t="str">
        <x:v>Oakland University</x:v>
      </x:c>
      <x:c r="C718" s="17" t="str">
        <x:v>IPEDS discovery signal: Information Technology (CIP 11.0103)</x:v>
      </x:c>
      <x:c r="D718" s="17" t="str">
        <x:v>Unclear</x:v>
      </x:c>
      <x:c r="E718" s="17" t="str">
        <x:v>stage2_screened_out</x:v>
      </x:c>
      <x:c r="F718" s="17" t="str">
        <x:v>Duplicate mechanical discovery signal consolidated into one institution-level catalog review candidate.</x:v>
      </x:c>
      <x:c r="G718" s="17" t="str">
        <x:v>Does the current official catalog contain a research graduate program matching the applicant's topics?</x:v>
      </x:c>
      <x:c r="H718" s="17" t="str">
        <x:v>https://www.oakland.edu</x:v>
      </x:c>
      <x:c r="I718" s="17" t="str">
        <x:v>false_negative_corrected</x:v>
      </x:c>
      <x:c r="J718" s="17" t="str">
        <x:v>confirmed</x:v>
      </x:c>
    </x:row>
    <x:row r="719" ht="46" customHeight="1">
      <x:c r="A719" s="17" t="str">
        <x:v>us</x:v>
      </x:c>
      <x:c r="B719" s="17" t="str">
        <x:v>Oakland University</x:v>
      </x:c>
      <x:c r="C719" s="17" t="str">
        <x:v>IPEDS discovery signal: Mechatronics, Robotics, and Automation Engineering (CIP 14.4201)</x:v>
      </x:c>
      <x:c r="D719" s="17" t="str">
        <x:v>Unclear</x:v>
      </x:c>
      <x:c r="E719" s="17" t="str">
        <x:v>stage2_screened_out</x:v>
      </x:c>
      <x:c r="F719" s="17" t="str">
        <x:v>Duplicate mechanical discovery signal consolidated into one institution-level catalog review candidate.</x:v>
      </x:c>
      <x:c r="G719" s="17" t="str">
        <x:v>Does the current official catalog contain a research graduate program matching the applicant's topics?</x:v>
      </x:c>
      <x:c r="H719" s="17" t="str">
        <x:v>https://www.oakland.edu</x:v>
      </x:c>
      <x:c r="I719" s="17" t="str">
        <x:v>false_negative_corrected</x:v>
      </x:c>
      <x:c r="J719" s="17" t="str">
        <x:v>confirmed</x:v>
      </x:c>
    </x:row>
    <x:row r="720" ht="46" customHeight="1">
      <x:c r="A720" s="17" t="str">
        <x:v>us</x:v>
      </x:c>
      <x:c r="B720" s="17" t="str">
        <x:v>Ohio State University-Main Campus</x:v>
      </x:c>
      <x:c r="C720" s="17" t="str">
        <x:v>IPEDS discovery signal: Electrical and Electronics Engineering (CIP 14.1001)</x:v>
      </x:c>
      <x:c r="D720" s="17" t="str">
        <x:v>Unclear</x:v>
      </x:c>
      <x:c r="E720" s="17" t="str">
        <x:v>stage2_screened_out</x:v>
      </x:c>
      <x:c r="F720" s="17" t="str">
        <x:v>Duplicate mechanical discovery signal consolidated into one institution-level catalog review candidate.</x:v>
      </x:c>
      <x:c r="G720" s="17" t="str">
        <x:v>Does the current official catalog contain a research graduate program matching the applicant's topics?</x:v>
      </x:c>
      <x:c r="H720" s="17" t="str">
        <x:v>https://www.osu.edu</x:v>
      </x:c>
      <x:c r="I720" s="17" t="str">
        <x:v>not_sampled</x:v>
      </x:c>
      <x:c r="J720" s="17" t="str">
        <x:v>not_sampled</x:v>
      </x:c>
    </x:row>
    <x:row r="721" ht="46" customHeight="1">
      <x:c r="A721" s="17" t="str">
        <x:v>us</x:v>
      </x:c>
      <x:c r="B721" s="17" t="str">
        <x:v>Ohio State University-Main Campus</x:v>
      </x:c>
      <x:c r="C721" s="17" t="str">
        <x:v>IPEDS discovery signal: Information Science/Studies (CIP 11.0401)</x:v>
      </x:c>
      <x:c r="D721" s="17" t="str">
        <x:v>Unclear</x:v>
      </x:c>
      <x:c r="E721" s="17" t="str">
        <x:v>stage2_screened_out</x:v>
      </x:c>
      <x:c r="F721" s="17" t="str">
        <x:v>Duplicate mechanical discovery signal consolidated into one institution-level catalog review candidate.</x:v>
      </x:c>
      <x:c r="G721" s="17" t="str">
        <x:v>Does the current official catalog contain a research graduate program matching the applicant's topics?</x:v>
      </x:c>
      <x:c r="H721" s="17" t="str">
        <x:v>https://www.osu.edu</x:v>
      </x:c>
      <x:c r="I721" s="17" t="str">
        <x:v>not_sampled</x:v>
      </x:c>
      <x:c r="J721" s="17" t="str">
        <x:v>not_sampled</x:v>
      </x:c>
    </x:row>
    <x:row r="722" ht="46" customHeight="1">
      <x:c r="A722" s="17" t="str">
        <x:v>us</x:v>
      </x:c>
      <x:c r="B722" s="17" t="str">
        <x:v>Ohio University-Main Campus</x:v>
      </x:c>
      <x:c r="C722" s="17" t="str">
        <x:v>IPEDS discovery signal: Computer Systems Networking and Telecommunications (CIP 11.0901)</x:v>
      </x:c>
      <x:c r="D722" s="17" t="str">
        <x:v>Unclear</x:v>
      </x:c>
      <x:c r="E722" s="17" t="str">
        <x:v>stage2_screened_out</x:v>
      </x:c>
      <x:c r="F722" s="17" t="str">
        <x:v>Duplicate mechanical discovery signal consolidated into one institution-level catalog review candidate.</x:v>
      </x:c>
      <x:c r="G722" s="17" t="str">
        <x:v>Does the current official catalog contain a research graduate program matching the applicant's topics?</x:v>
      </x:c>
      <x:c r="H722" s="17" t="str">
        <x:v>https://www.ohio.edu</x:v>
      </x:c>
      <x:c r="I722" s="17" t="str">
        <x:v>not_sampled</x:v>
      </x:c>
      <x:c r="J722" s="17" t="str">
        <x:v>not_sampled</x:v>
      </x:c>
    </x:row>
    <x:row r="723" ht="46" customHeight="1">
      <x:c r="A723" s="17" t="str">
        <x:v>us</x:v>
      </x:c>
      <x:c r="B723" s="17" t="str">
        <x:v>Ohio University-Main Campus</x:v>
      </x:c>
      <x:c r="C723" s="17" t="str">
        <x:v>IPEDS discovery signal: Electrical and Electronics Engineering (CIP 14.1001)</x:v>
      </x:c>
      <x:c r="D723" s="17" t="str">
        <x:v>Unclear</x:v>
      </x:c>
      <x:c r="E723" s="17" t="str">
        <x:v>stage2_screened_out</x:v>
      </x:c>
      <x:c r="F723" s="17" t="str">
        <x:v>Duplicate mechanical discovery signal consolidated into one institution-level catalog review candidate.</x:v>
      </x:c>
      <x:c r="G723" s="17" t="str">
        <x:v>Does the current official catalog contain a research graduate program matching the applicant's topics?</x:v>
      </x:c>
      <x:c r="H723" s="17" t="str">
        <x:v>https://www.ohio.edu</x:v>
      </x:c>
      <x:c r="I723" s="17" t="str">
        <x:v>not_sampled</x:v>
      </x:c>
      <x:c r="J723" s="17" t="str">
        <x:v>not_sampled</x:v>
      </x:c>
    </x:row>
    <x:row r="724" ht="46" customHeight="1">
      <x:c r="A724" s="17" t="str">
        <x:v>us</x:v>
      </x:c>
      <x:c r="B724" s="17" t="str">
        <x:v>Oklahoma Christian University</x:v>
      </x:c>
      <x:c r="C724" s="17" t="str">
        <x:v>IPEDS discovery signal: Artificial Intelligence (CIP 11.0102)</x:v>
      </x:c>
      <x:c r="D724" s="17" t="str">
        <x:v>Unclear</x:v>
      </x:c>
      <x:c r="E724" s="17" t="str">
        <x:v>stage2_screened_out</x:v>
      </x:c>
      <x:c r="F724" s="17" t="str">
        <x:v>Only one bounded registry/program-code signal was present; no independent topical, Calendar, current-faculty, or first-audit signal was recovered.</x:v>
      </x:c>
      <x:c r="G724" s="17" t="str">
        <x:v>Does the current official catalog contain a research graduate program matching the applicant's topics?</x:v>
      </x:c>
      <x:c r="H724" s="17" t="str">
        <x:v>https://www.oc.edu</x:v>
      </x:c>
      <x:c r="I724" s="17" t="str">
        <x:v>not_sampled</x:v>
      </x:c>
      <x:c r="J724" s="17" t="str">
        <x:v>not_sampled</x:v>
      </x:c>
    </x:row>
    <x:row r="725" ht="46" customHeight="1">
      <x:c r="A725" s="17" t="str">
        <x:v>us</x:v>
      </x:c>
      <x:c r="B725" s="17" t="str">
        <x:v>Oklahoma Christian University</x:v>
      </x:c>
      <x:c r="C725" s="17" t="str">
        <x:v>IPEDS discovery signal: Computer Engineering, General (CIP 14.0901)</x:v>
      </x:c>
      <x:c r="D725" s="17" t="str">
        <x:v>Unclear</x:v>
      </x:c>
      <x:c r="E725" s="17" t="str">
        <x:v>stage2_screened_out</x:v>
      </x:c>
      <x:c r="F725" s="17" t="str">
        <x:v>Only one bounded registry/program-code signal was present; no independent topical, Calendar, current-faculty, or first-audit signal was recovered.</x:v>
      </x:c>
      <x:c r="G725" s="17" t="str">
        <x:v>Does the current official catalog contain a research graduate program matching the applicant's topics?</x:v>
      </x:c>
      <x:c r="H725" s="17" t="str">
        <x:v>https://www.oc.edu</x:v>
      </x:c>
      <x:c r="I725" s="17" t="str">
        <x:v>not_sampled</x:v>
      </x:c>
      <x:c r="J725" s="17" t="str">
        <x:v>not_sampled</x:v>
      </x:c>
    </x:row>
    <x:row r="726" ht="46" customHeight="1">
      <x:c r="A726" s="17" t="str">
        <x:v>us</x:v>
      </x:c>
      <x:c r="B726" s="17" t="str">
        <x:v>Oklahoma Christian University</x:v>
      </x:c>
      <x:c r="C726" s="17" t="str">
        <x:v>IPEDS discovery signal: Computer Science (CIP 11.0701)</x:v>
      </x:c>
      <x:c r="D726" s="17" t="str">
        <x:v>Unclear</x:v>
      </x:c>
      <x:c r="E726" s="17" t="str">
        <x:v>stage2_screened_out</x:v>
      </x:c>
      <x:c r="F726" s="17" t="str">
        <x:v>Only one bounded registry/program-code signal was present; no independent topical, Calendar, current-faculty, or first-audit signal was recovered.</x:v>
      </x:c>
      <x:c r="G726" s="17" t="str">
        <x:v>Does the current official catalog contain a research graduate program matching the applicant's topics?</x:v>
      </x:c>
      <x:c r="H726" s="17" t="str">
        <x:v>https://www.oc.edu</x:v>
      </x:c>
      <x:c r="I726" s="17" t="str">
        <x:v>not_sampled</x:v>
      </x:c>
      <x:c r="J726" s="17" t="str">
        <x:v>not_sampled</x:v>
      </x:c>
    </x:row>
    <x:row r="727" ht="46" customHeight="1">
      <x:c r="A727" s="17" t="str">
        <x:v>us</x:v>
      </x:c>
      <x:c r="B727" s="17" t="str">
        <x:v>Oklahoma Christian University</x:v>
      </x:c>
      <x:c r="C727" s="17" t="str">
        <x:v>IPEDS discovery signal: Electrical and Electronics Engineering (CIP 14.1001)</x:v>
      </x:c>
      <x:c r="D727" s="17" t="str">
        <x:v>Unclear</x:v>
      </x:c>
      <x:c r="E727" s="17" t="str">
        <x:v>stage2_screened_out</x:v>
      </x:c>
      <x:c r="F727" s="17" t="str">
        <x:v>Only one bounded registry/program-code signal was present; no independent topical, Calendar, current-faculty, or first-audit signal was recovered.</x:v>
      </x:c>
      <x:c r="G727" s="17" t="str">
        <x:v>Does the current official catalog contain a research graduate program matching the applicant's topics?</x:v>
      </x:c>
      <x:c r="H727" s="17" t="str">
        <x:v>https://www.oc.edu</x:v>
      </x:c>
      <x:c r="I727" s="17" t="str">
        <x:v>not_sampled</x:v>
      </x:c>
      <x:c r="J727" s="17" t="str">
        <x:v>not_sampled</x:v>
      </x:c>
    </x:row>
    <x:row r="728" ht="46" customHeight="1">
      <x:c r="A728" s="17" t="str">
        <x:v>us</x:v>
      </x:c>
      <x:c r="B728" s="17" t="str">
        <x:v>Oklahoma City University</x:v>
      </x:c>
      <x:c r="C728" s="17" t="str">
        <x:v>IPEDS discovery signal: Computer and Information Sciences, General (CIP 11.0101)</x:v>
      </x:c>
      <x:c r="D728" s="17" t="str">
        <x:v>Unclear</x:v>
      </x:c>
      <x:c r="E728" s="17" t="str">
        <x:v>stage2_screened_out</x:v>
      </x:c>
      <x:c r="F728" s="17" t="str">
        <x:v>Only one bounded registry/program-code signal was present; no independent topical, Calendar, current-faculty, or first-audit signal was recovered.</x:v>
      </x:c>
      <x:c r="G728" s="17" t="str">
        <x:v>Does the current official catalog contain a research graduate program matching the applicant's topics?</x:v>
      </x:c>
      <x:c r="H728" s="17" t="str">
        <x:v>https://www.okcu.edu</x:v>
      </x:c>
      <x:c r="I728" s="17" t="str">
        <x:v>not_sampled</x:v>
      </x:c>
      <x:c r="J728" s="17" t="str">
        <x:v>not_sampled</x:v>
      </x:c>
    </x:row>
    <x:row r="729" ht="46" customHeight="1">
      <x:c r="A729" s="17" t="str">
        <x:v>us</x:v>
      </x:c>
      <x:c r="B729" s="17" t="str">
        <x:v>Oklahoma City University</x:v>
      </x:c>
      <x:c r="C729" s="17" t="str">
        <x:v>IPEDS discovery signal: Data Analytics, General (CIP 30.7101)</x:v>
      </x:c>
      <x:c r="D729" s="17" t="str">
        <x:v>Unclear</x:v>
      </x:c>
      <x:c r="E729" s="17" t="str">
        <x:v>stage2_screened_out</x:v>
      </x:c>
      <x:c r="F729" s="17" t="str">
        <x:v>Only one bounded registry/program-code signal was present; no independent topical, Calendar, current-faculty, or first-audit signal was recovered.</x:v>
      </x:c>
      <x:c r="G729" s="17" t="str">
        <x:v>Does the current official catalog contain a research graduate program matching the applicant's topics?</x:v>
      </x:c>
      <x:c r="H729" s="17" t="str">
        <x:v>https://www.okcu.edu</x:v>
      </x:c>
      <x:c r="I729" s="17" t="str">
        <x:v>not_sampled</x:v>
      </x:c>
      <x:c r="J729" s="17" t="str">
        <x:v>not_sampled</x:v>
      </x:c>
    </x:row>
    <x:row r="730" ht="46" customHeight="1">
      <x:c r="A730" s="17" t="str">
        <x:v>us</x:v>
      </x:c>
      <x:c r="B730" s="17" t="str">
        <x:v>Oklahoma State University-Main Campus</x:v>
      </x:c>
      <x:c r="C730" s="17" t="str">
        <x:v>IPEDS discovery signal: Computer and Information Systems Security/Auditing/Information Assurance (CIP 11.1003)</x:v>
      </x:c>
      <x:c r="D730" s="17" t="str">
        <x:v>Unclear</x:v>
      </x:c>
      <x:c r="E730" s="17" t="str">
        <x:v>stage2_screened_out</x:v>
      </x:c>
      <x:c r="F730" s="17" t="str">
        <x:v>Duplicate mechanical discovery signal consolidated into one institution-level catalog review candidate.</x:v>
      </x:c>
      <x:c r="G730" s="17" t="str">
        <x:v>Does the current official catalog contain a research graduate program matching the applicant's topics?</x:v>
      </x:c>
      <x:c r="H730" s="17" t="str">
        <x:v>https://www.okstate.edu</x:v>
      </x:c>
      <x:c r="I730" s="17" t="str">
        <x:v>not_sampled</x:v>
      </x:c>
      <x:c r="J730" s="17" t="str">
        <x:v>not_sampled</x:v>
      </x:c>
    </x:row>
    <x:row r="731" ht="46" customHeight="1">
      <x:c r="A731" s="17" t="str">
        <x:v>us</x:v>
      </x:c>
      <x:c r="B731" s="17" t="str">
        <x:v>Oklahoma State University-Main Campus</x:v>
      </x:c>
      <x:c r="C731" s="17" t="str">
        <x:v>IPEDS discovery signal: Electrical and Electronics Engineering (CIP 14.1001)</x:v>
      </x:c>
      <x:c r="D731" s="17" t="str">
        <x:v>Unclear</x:v>
      </x:c>
      <x:c r="E731" s="17" t="str">
        <x:v>stage2_screened_out</x:v>
      </x:c>
      <x:c r="F731" s="17" t="str">
        <x:v>Duplicate mechanical discovery signal consolidated into one institution-level catalog review candidate.</x:v>
      </x:c>
      <x:c r="G731" s="17" t="str">
        <x:v>Does the current official catalog contain a research graduate program matching the applicant's topics?</x:v>
      </x:c>
      <x:c r="H731" s="17" t="str">
        <x:v>https://www.okstate.edu</x:v>
      </x:c>
      <x:c r="I731" s="17" t="str">
        <x:v>not_sampled</x:v>
      </x:c>
      <x:c r="J731" s="17" t="str">
        <x:v>not_sampled</x:v>
      </x:c>
    </x:row>
    <x:row r="732" ht="46" customHeight="1">
      <x:c r="A732" s="17" t="str">
        <x:v>us</x:v>
      </x:c>
      <x:c r="B732" s="17" t="str">
        <x:v>Oklahoma State University-Main Campus</x:v>
      </x:c>
      <x:c r="C732" s="17" t="str">
        <x:v>IPEDS discovery signal: Information Technology (CIP 11.0103)</x:v>
      </x:c>
      <x:c r="D732" s="17" t="str">
        <x:v>Unclear</x:v>
      </x:c>
      <x:c r="E732" s="17" t="str">
        <x:v>stage2_screened_out</x:v>
      </x:c>
      <x:c r="F732" s="17" t="str">
        <x:v>Duplicate mechanical discovery signal consolidated into one institution-level catalog review candidate.</x:v>
      </x:c>
      <x:c r="G732" s="17" t="str">
        <x:v>Does the current official catalog contain a research graduate program matching the applicant's topics?</x:v>
      </x:c>
      <x:c r="H732" s="17" t="str">
        <x:v>https://www.okstate.edu</x:v>
      </x:c>
      <x:c r="I732" s="17" t="str">
        <x:v>not_sampled</x:v>
      </x:c>
      <x:c r="J732" s="17" t="str">
        <x:v>not_sampled</x:v>
      </x:c>
    </x:row>
    <x:row r="733" ht="46" customHeight="1">
      <x:c r="A733" s="17" t="str">
        <x:v>us</x:v>
      </x:c>
      <x:c r="B733" s="17" t="str">
        <x:v>Old Dominion University</x:v>
      </x:c>
      <x:c r="C733" s="17" t="str">
        <x:v>IPEDS discovery signal: Computer and Information Systems Security/Auditing/Information Assurance (CIP 11.1003)</x:v>
      </x:c>
      <x:c r="D733" s="17" t="str">
        <x:v>Unclear</x:v>
      </x:c>
      <x:c r="E733" s="17" t="str">
        <x:v>stage2_screened_out</x:v>
      </x:c>
      <x:c r="F733" s="17" t="str">
        <x:v>Duplicate mechanical discovery signal consolidated into one institution-level catalog review candidate.</x:v>
      </x:c>
      <x:c r="G733" s="17" t="str">
        <x:v>Does the current official catalog contain a research graduate program matching the applicant's topics?</x:v>
      </x:c>
      <x:c r="H733" s="17" t="str">
        <x:v>https://www.odu.edu</x:v>
      </x:c>
      <x:c r="I733" s="17" t="str">
        <x:v>not_sampled</x:v>
      </x:c>
      <x:c r="J733" s="17" t="str">
        <x:v>not_sampled</x:v>
      </x:c>
    </x:row>
    <x:row r="734" ht="46" customHeight="1">
      <x:c r="A734" s="17" t="str">
        <x:v>us</x:v>
      </x:c>
      <x:c r="B734" s="17" t="str">
        <x:v>Old Dominion University</x:v>
      </x:c>
      <x:c r="C734" s="17" t="str">
        <x:v>IPEDS discovery signal: Data Science, General (CIP 30.7001)</x:v>
      </x:c>
      <x:c r="D734" s="17" t="str">
        <x:v>Unclear</x:v>
      </x:c>
      <x:c r="E734" s="17" t="str">
        <x:v>stage2_screened_out</x:v>
      </x:c>
      <x:c r="F734" s="17" t="str">
        <x:v>Duplicate mechanical discovery signal consolidated into one institution-level catalog review candidate.</x:v>
      </x:c>
      <x:c r="G734" s="17" t="str">
        <x:v>Does the current official catalog contain a research graduate program matching the applicant's topics?</x:v>
      </x:c>
      <x:c r="H734" s="17" t="str">
        <x:v>https://www.odu.edu</x:v>
      </x:c>
      <x:c r="I734" s="17" t="str">
        <x:v>not_sampled</x:v>
      </x:c>
      <x:c r="J734" s="17" t="str">
        <x:v>not_sampled</x:v>
      </x:c>
    </x:row>
    <x:row r="735" ht="46" customHeight="1">
      <x:c r="A735" s="17" t="str">
        <x:v>us</x:v>
      </x:c>
      <x:c r="B735" s="17" t="str">
        <x:v>Oral Roberts University</x:v>
      </x:c>
      <x:c r="C735" s="17" t="str">
        <x:v>IPEDS discovery signal: Computer Science (CIP 11.0701)</x:v>
      </x:c>
      <x:c r="D735" s="17" t="str">
        <x:v>Unclear</x:v>
      </x:c>
      <x:c r="E735" s="17" t="str">
        <x:v>stage2_screened_out</x:v>
      </x:c>
      <x:c r="F735" s="17" t="str">
        <x:v>Only one bounded registry/program-code signal was present; no independent topical, Calendar, current-faculty, or first-audit signal was recovered.</x:v>
      </x:c>
      <x:c r="G735" s="17" t="str">
        <x:v>Does the current official catalog contain a research graduate program matching the applicant's topics?</x:v>
      </x:c>
      <x:c r="H735" s="17" t="str">
        <x:v>https://oru.edu</x:v>
      </x:c>
      <x:c r="I735" s="17" t="str">
        <x:v>not_sampled</x:v>
      </x:c>
      <x:c r="J735" s="17" t="str">
        <x:v>not_sampled</x:v>
      </x:c>
    </x:row>
    <x:row r="736" ht="46" customHeight="1">
      <x:c r="A736" s="17" t="str">
        <x:v>us</x:v>
      </x:c>
      <x:c r="B736" s="17" t="str">
        <x:v>Oregon Health &amp; Science University</x:v>
      </x:c>
      <x:c r="C736" s="17" t="str">
        <x:v>IPEDS discovery signal: Electrical and Electronics Engineering (CIP 14.1001)</x:v>
      </x:c>
      <x:c r="D736" s="17" t="str">
        <x:v>Unclear</x:v>
      </x:c>
      <x:c r="E736" s="17" t="str">
        <x:v>stage2_screened_out</x:v>
      </x:c>
      <x:c r="F736" s="17" t="str">
        <x:v>Duplicate mechanical discovery signal consolidated into one institution-level catalog review candidate.</x:v>
      </x:c>
      <x:c r="G736" s="17" t="str">
        <x:v>Does the current official catalog contain a research graduate program matching the applicant's topics?</x:v>
      </x:c>
      <x:c r="H736" s="17" t="str">
        <x:v>https://www.ohsu.edu</x:v>
      </x:c>
      <x:c r="I736" s="17" t="str">
        <x:v>not_sampled</x:v>
      </x:c>
      <x:c r="J736" s="17" t="str">
        <x:v>not_sampled</x:v>
      </x:c>
    </x:row>
    <x:row r="737" ht="46" customHeight="1">
      <x:c r="A737" s="17" t="str">
        <x:v>us</x:v>
      </x:c>
      <x:c r="B737" s="17" t="str">
        <x:v>Oregon State University</x:v>
      </x:c>
      <x:c r="C737" s="17" t="str">
        <x:v>IPEDS discovery signal: Artificial Intelligence (CIP 11.0102)</x:v>
      </x:c>
      <x:c r="D737" s="17" t="str">
        <x:v>Unclear</x:v>
      </x:c>
      <x:c r="E737" s="17" t="str">
        <x:v>stage2_screened_out</x:v>
      </x:c>
      <x:c r="F737" s="17" t="str">
        <x:v>Mechanical discovery placeholder is superseded by an exact official program record at the same institution.</x:v>
      </x:c>
      <x:c r="G737" s="17" t="str">
        <x:v>Does the current official catalog contain a research graduate program matching the applicant's topics?</x:v>
      </x:c>
      <x:c r="H737" s="17" t="str">
        <x:v>https://oregonstate.edu</x:v>
      </x:c>
      <x:c r="I737" s="17" t="str">
        <x:v>not_sampled</x:v>
      </x:c>
      <x:c r="J737" s="17" t="str">
        <x:v>not_sampled</x:v>
      </x:c>
    </x:row>
    <x:row r="738" ht="46" customHeight="1">
      <x:c r="A738" s="17" t="str">
        <x:v>us</x:v>
      </x:c>
      <x:c r="B738" s="17" t="str">
        <x:v>Oregon State University</x:v>
      </x:c>
      <x:c r="C738" s="17" t="str">
        <x:v>IPEDS discovery signal: Computer Science (CIP 11.0701)</x:v>
      </x:c>
      <x:c r="D738" s="17" t="str">
        <x:v>Unclear</x:v>
      </x:c>
      <x:c r="E738" s="17" t="str">
        <x:v>stage2_screened_out</x:v>
      </x:c>
      <x:c r="F738" s="17" t="str">
        <x:v>Mechanical discovery placeholder is superseded by an exact official program record at the same institution.</x:v>
      </x:c>
      <x:c r="G738" s="17" t="str">
        <x:v>Does the current official catalog contain a research graduate program matching the applicant's topics?</x:v>
      </x:c>
      <x:c r="H738" s="17" t="str">
        <x:v>https://oregonstate.edu</x:v>
      </x:c>
      <x:c r="I738" s="17" t="str">
        <x:v>not_sampled</x:v>
      </x:c>
      <x:c r="J738" s="17" t="str">
        <x:v>not_sampled</x:v>
      </x:c>
    </x:row>
    <x:row r="739" ht="46" customHeight="1">
      <x:c r="A739" s="17" t="str">
        <x:v>us</x:v>
      </x:c>
      <x:c r="B739" s="17" t="str">
        <x:v>Oregon State University</x:v>
      </x:c>
      <x:c r="C739" s="17" t="str">
        <x:v>IPEDS discovery signal: Electrical and Electronics Engineering (CIP 14.1001)</x:v>
      </x:c>
      <x:c r="D739" s="17" t="str">
        <x:v>Unclear</x:v>
      </x:c>
      <x:c r="E739" s="17" t="str">
        <x:v>stage2_screened_out</x:v>
      </x:c>
      <x:c r="F739" s="17" t="str">
        <x:v>Mechanical discovery placeholder is superseded by an exact official program record at the same institution.</x:v>
      </x:c>
      <x:c r="G739" s="17" t="str">
        <x:v>Does the current official catalog contain a research graduate program matching the applicant's topics?</x:v>
      </x:c>
      <x:c r="H739" s="17" t="str">
        <x:v>https://oregonstate.edu</x:v>
      </x:c>
      <x:c r="I739" s="17" t="str">
        <x:v>not_sampled</x:v>
      </x:c>
      <x:c r="J739" s="17" t="str">
        <x:v>not_sampled</x:v>
      </x:c>
    </x:row>
    <x:row r="740" ht="46" customHeight="1">
      <x:c r="A740" s="17" t="str">
        <x:v>us</x:v>
      </x:c>
      <x:c r="B740" s="17" t="str">
        <x:v>Oregon State University</x:v>
      </x:c>
      <x:c r="C740" s="17" t="str">
        <x:v>IPEDS discovery signal: Mechatronics, Robotics, and Automation Engineering (CIP 14.4201)</x:v>
      </x:c>
      <x:c r="D740" s="17" t="str">
        <x:v>Unclear</x:v>
      </x:c>
      <x:c r="E740" s="17" t="str">
        <x:v>stage2_screened_out</x:v>
      </x:c>
      <x:c r="F740" s="17" t="str">
        <x:v>Mechanical discovery placeholder is superseded by an exact official program record at the same institution.</x:v>
      </x:c>
      <x:c r="G740" s="17" t="str">
        <x:v>Does the current official catalog contain a research graduate program matching the applicant's topics?</x:v>
      </x:c>
      <x:c r="H740" s="17" t="str">
        <x:v>https://oregonstate.edu</x:v>
      </x:c>
      <x:c r="I740" s="17" t="str">
        <x:v>not_sampled</x:v>
      </x:c>
      <x:c r="J740" s="17" t="str">
        <x:v>not_sampled</x:v>
      </x:c>
    </x:row>
    <x:row r="741" ht="46" customHeight="1">
      <x:c r="A741" s="17" t="str">
        <x:v>us</x:v>
      </x:c>
      <x:c r="B741" s="17" t="str">
        <x:v>Oregon State University</x:v>
      </x:c>
      <x:c r="C741" s="17" t="str">
        <x:v>Ph.D. in Computer Science</x:v>
      </x:c>
      <x:c r="D741" s="17" t="str">
        <x:v>PhD</x:v>
      </x:c>
      <x:c r="E741" s="17" t="str">
        <x:v>stage2_screened_out</x:v>
      </x:c>
      <x:c r="F741" s="17" t="str">
        <x:v>Duplicate exact program record shares the same canonical official URL; the first-audit or canonical row is retained.</x:v>
      </x:c>
      <x:c r="G741" s="17" t="str">
        <x:v>Which current supervisors match the applicant and are eligible/available to advise Fall 2027 entrants?</x:v>
      </x:c>
      <x:c r="H741" s="17" t="str">
        <x:v>https://engineering.oregonstate.edu/academics/programs/computer-science/graduate</x:v>
      </x:c>
      <x:c r="I741" s="17" t="str">
        <x:v>not_sampled</x:v>
      </x:c>
      <x:c r="J741" s="17" t="str">
        <x:v>not_sampled</x:v>
      </x:c>
    </x:row>
    <x:row r="742" ht="46" customHeight="1">
      <x:c r="A742" s="17" t="str">
        <x:v>us</x:v>
      </x:c>
      <x:c r="B742" s="17" t="str">
        <x:v>Ottawa University-Kansas City</x:v>
      </x:c>
      <x:c r="C742" s="17" t="str">
        <x:v>IPEDS discovery signal: Information Science/Studies (CIP 11.0401)</x:v>
      </x:c>
      <x:c r="D742" s="17" t="str">
        <x:v>Unclear</x:v>
      </x:c>
      <x:c r="E742" s="17" t="str">
        <x:v>stage2_screened_out</x:v>
      </x:c>
      <x:c r="F742" s="17" t="str">
        <x:v>Only one bounded registry/program-code signal was present; no independent topical, Calendar, current-faculty, or first-audit signal was recovered.</x:v>
      </x:c>
      <x:c r="G742" s="17" t="str">
        <x:v>Does the current official catalog contain a research graduate program matching the applicant's topics?</x:v>
      </x:c>
      <x:c r="H742" s="17" t="str">
        <x:v>https://www.ottawa.edu</x:v>
      </x:c>
      <x:c r="I742" s="17" t="str">
        <x:v>not_sampled</x:v>
      </x:c>
      <x:c r="J742" s="17" t="str">
        <x:v>not_sampled</x:v>
      </x:c>
    </x:row>
    <x:row r="743" ht="46" customHeight="1">
      <x:c r="A743" s="17" t="str">
        <x:v>us</x:v>
      </x:c>
      <x:c r="B743" s="17" t="str">
        <x:v>Ottawa University-Online</x:v>
      </x:c>
      <x:c r="C743" s="17" t="str">
        <x:v>IPEDS discovery signal: Computer and Information Systems Security/Auditing/Information Assurance (CIP 11.1003)</x:v>
      </x:c>
      <x:c r="D743" s="17" t="str">
        <x:v>Unclear</x:v>
      </x:c>
      <x:c r="E743" s="17" t="str">
        <x:v>stage2_screened_out</x:v>
      </x:c>
      <x:c r="F743" s="17" t="str">
        <x:v>Only one bounded registry/program-code signal was present; no independent topical, Calendar, current-faculty, or first-audit signal was recovered.</x:v>
      </x:c>
      <x:c r="G743" s="17" t="str">
        <x:v>Does the current official catalog contain a research graduate program matching the applicant's topics?</x:v>
      </x:c>
      <x:c r="H743" s="17" t="str">
        <x:v>https://www.ottawa.edu</x:v>
      </x:c>
      <x:c r="I743" s="17" t="str">
        <x:v>not_sampled</x:v>
      </x:c>
      <x:c r="J743" s="17" t="str">
        <x:v>not_sampled</x:v>
      </x:c>
    </x:row>
    <x:row r="744" ht="46" customHeight="1">
      <x:c r="A744" s="17" t="str">
        <x:v>us</x:v>
      </x:c>
      <x:c r="B744" s="17" t="str">
        <x:v>Ottawa University-Online</x:v>
      </x:c>
      <x:c r="C744" s="17" t="str">
        <x:v>IPEDS discovery signal: Information Science/Studies (CIP 11.0401)</x:v>
      </x:c>
      <x:c r="D744" s="17" t="str">
        <x:v>Unclear</x:v>
      </x:c>
      <x:c r="E744" s="17" t="str">
        <x:v>stage2_screened_out</x:v>
      </x:c>
      <x:c r="F744" s="17" t="str">
        <x:v>Only one bounded registry/program-code signal was present; no independent topical, Calendar, current-faculty, or first-audit signal was recovered.</x:v>
      </x:c>
      <x:c r="G744" s="17" t="str">
        <x:v>Does the current official catalog contain a research graduate program matching the applicant's topics?</x:v>
      </x:c>
      <x:c r="H744" s="17" t="str">
        <x:v>https://www.ottawa.edu</x:v>
      </x:c>
      <x:c r="I744" s="17" t="str">
        <x:v>not_sampled</x:v>
      </x:c>
      <x:c r="J744" s="17" t="str">
        <x:v>not_sampled</x:v>
      </x:c>
    </x:row>
    <x:row r="745" ht="46" customHeight="1">
      <x:c r="A745" s="17" t="str">
        <x:v>us</x:v>
      </x:c>
      <x:c r="B745" s="17" t="str">
        <x:v>Ottawa University-Ottawa</x:v>
      </x:c>
      <x:c r="C745" s="17" t="str">
        <x:v>IPEDS discovery signal: Information Science/Studies (CIP 11.0401)</x:v>
      </x:c>
      <x:c r="D745" s="17" t="str">
        <x:v>Unclear</x:v>
      </x:c>
      <x:c r="E745" s="17" t="str">
        <x:v>stage2_screened_out</x:v>
      </x:c>
      <x:c r="F745" s="17" t="str">
        <x:v>Only one bounded registry/program-code signal was present; no independent topical, Calendar, current-faculty, or first-audit signal was recovered.</x:v>
      </x:c>
      <x:c r="G745" s="17" t="str">
        <x:v>Does the current official catalog contain a research graduate program matching the applicant's topics?</x:v>
      </x:c>
      <x:c r="H745" s="17" t="str">
        <x:v>https://www.ottawa.edu</x:v>
      </x:c>
      <x:c r="I745" s="17" t="str">
        <x:v>not_sampled</x:v>
      </x:c>
      <x:c r="J745" s="17" t="str">
        <x:v>not_sampled</x:v>
      </x:c>
    </x:row>
    <x:row r="746" ht="46" customHeight="1">
      <x:c r="A746" s="17" t="str">
        <x:v>us</x:v>
      </x:c>
      <x:c r="B746" s="17" t="str">
        <x:v>Ottawa University-Surprise</x:v>
      </x:c>
      <x:c r="C746" s="17" t="str">
        <x:v>IPEDS discovery signal: Information Science/Studies (CIP 11.0401)</x:v>
      </x:c>
      <x:c r="D746" s="17" t="str">
        <x:v>Unclear</x:v>
      </x:c>
      <x:c r="E746" s="17" t="str">
        <x:v>stage2_screened_out</x:v>
      </x:c>
      <x:c r="F746" s="17" t="str">
        <x:v>Only one bounded registry/program-code signal was present; no independent topical, Calendar, current-faculty, or first-audit signal was recovered.</x:v>
      </x:c>
      <x:c r="G746" s="17" t="str">
        <x:v>Does the current official catalog contain a research graduate program matching the applicant's topics?</x:v>
      </x:c>
      <x:c r="H746" s="17" t="str">
        <x:v>https://www.ottawa.edu/ouaz/home</x:v>
      </x:c>
      <x:c r="I746" s="17" t="str">
        <x:v>not_sampled</x:v>
      </x:c>
      <x:c r="J746" s="17" t="str">
        <x:v>not_sampled</x:v>
      </x:c>
    </x:row>
    <x:row r="747" ht="46" customHeight="1">
      <x:c r="A747" s="17" t="str">
        <x:v>us</x:v>
      </x:c>
      <x:c r="B747" s="17" t="str">
        <x:v>Our Lady of the Lake University</x:v>
      </x:c>
      <x:c r="C747" s="17" t="str">
        <x:v>IPEDS discovery signal: Computer and Information Systems Security/Auditing/Information Assurance (CIP 11.1003)</x:v>
      </x:c>
      <x:c r="D747" s="17" t="str">
        <x:v>Unclear</x:v>
      </x:c>
      <x:c r="E747" s="17" t="str">
        <x:v>stage2_screened_out</x:v>
      </x:c>
      <x:c r="F747" s="17" t="str">
        <x:v>Only one bounded registry/program-code signal was present; no independent topical, Calendar, current-faculty, or first-audit signal was recovered.</x:v>
      </x:c>
      <x:c r="G747" s="17" t="str">
        <x:v>Does the current official catalog contain a research graduate program matching the applicant's topics?</x:v>
      </x:c>
      <x:c r="H747" s="17" t="str">
        <x:v>https://www.ollusa.edu</x:v>
      </x:c>
      <x:c r="I747" s="17" t="str">
        <x:v>not_sampled</x:v>
      </x:c>
      <x:c r="J747" s="17" t="str">
        <x:v>not_sampled</x:v>
      </x:c>
    </x:row>
    <x:row r="748" ht="46" customHeight="1">
      <x:c r="A748" s="17" t="str">
        <x:v>us</x:v>
      </x:c>
      <x:c r="B748" s="17" t="str">
        <x:v>Pace University</x:v>
      </x:c>
      <x:c r="C748" s="17" t="str">
        <x:v>IPEDS discovery signal: Computer and Information Sciences, General (CIP 11.0101)</x:v>
      </x:c>
      <x:c r="D748" s="17" t="str">
        <x:v>Unclear</x:v>
      </x:c>
      <x:c r="E748" s="17" t="str">
        <x:v>stage2_screened_out</x:v>
      </x:c>
      <x:c r="F748" s="17" t="str">
        <x:v>Duplicate mechanical discovery signal consolidated into one institution-level catalog review candidate.</x:v>
      </x:c>
      <x:c r="G748" s="17" t="str">
        <x:v>Does the current official catalog contain a research graduate program matching the applicant's topics?</x:v>
      </x:c>
      <x:c r="H748" s="17" t="str">
        <x:v>https://www.pace.edu</x:v>
      </x:c>
      <x:c r="I748" s="17" t="str">
        <x:v>not_sampled</x:v>
      </x:c>
      <x:c r="J748" s="17" t="str">
        <x:v>not_sampled</x:v>
      </x:c>
    </x:row>
    <x:row r="749" ht="46" customHeight="1">
      <x:c r="A749" s="17" t="str">
        <x:v>us</x:v>
      </x:c>
      <x:c r="B749" s="17" t="str">
        <x:v>Pace University</x:v>
      </x:c>
      <x:c r="C749" s="17" t="str">
        <x:v>IPEDS discovery signal: Computer Science (CIP 11.0701)</x:v>
      </x:c>
      <x:c r="D749" s="17" t="str">
        <x:v>Unclear</x:v>
      </x:c>
      <x:c r="E749" s="17" t="str">
        <x:v>stage2_screened_out</x:v>
      </x:c>
      <x:c r="F749" s="17" t="str">
        <x:v>Duplicate mechanical discovery signal consolidated into one institution-level catalog review candidate.</x:v>
      </x:c>
      <x:c r="G749" s="17" t="str">
        <x:v>Does the current official catalog contain a research graduate program matching the applicant's topics?</x:v>
      </x:c>
      <x:c r="H749" s="17" t="str">
        <x:v>https://www.pace.edu</x:v>
      </x:c>
      <x:c r="I749" s="17" t="str">
        <x:v>not_sampled</x:v>
      </x:c>
      <x:c r="J749" s="17" t="str">
        <x:v>not_sampled</x:v>
      </x:c>
    </x:row>
    <x:row r="750" ht="46" customHeight="1">
      <x:c r="A750" s="17" t="str">
        <x:v>us</x:v>
      </x:c>
      <x:c r="B750" s="17" t="str">
        <x:v>Pace University</x:v>
      </x:c>
      <x:c r="C750" s="17" t="str">
        <x:v>IPEDS discovery signal: Computer Software Engineering (CIP 14.0903)</x:v>
      </x:c>
      <x:c r="D750" s="17" t="str">
        <x:v>Unclear</x:v>
      </x:c>
      <x:c r="E750" s="17" t="str">
        <x:v>stage2_screened_out</x:v>
      </x:c>
      <x:c r="F750" s="17" t="str">
        <x:v>Duplicate mechanical discovery signal consolidated into one institution-level catalog review candidate.</x:v>
      </x:c>
      <x:c r="G750" s="17" t="str">
        <x:v>Does the current official catalog contain a research graduate program matching the applicant's topics?</x:v>
      </x:c>
      <x:c r="H750" s="17" t="str">
        <x:v>https://www.pace.edu</x:v>
      </x:c>
      <x:c r="I750" s="17" t="str">
        <x:v>not_sampled</x:v>
      </x:c>
      <x:c r="J750" s="17" t="str">
        <x:v>not_sampled</x:v>
      </x:c>
    </x:row>
    <x:row r="751" ht="46" customHeight="1">
      <x:c r="A751" s="17" t="str">
        <x:v>us</x:v>
      </x:c>
      <x:c r="B751" s="17" t="str">
        <x:v>Pace University</x:v>
      </x:c>
      <x:c r="C751" s="17" t="str">
        <x:v>IPEDS discovery signal: Information Science/Studies (CIP 11.0401)</x:v>
      </x:c>
      <x:c r="D751" s="17" t="str">
        <x:v>Unclear</x:v>
      </x:c>
      <x:c r="E751" s="17" t="str">
        <x:v>stage2_screened_out</x:v>
      </x:c>
      <x:c r="F751" s="17" t="str">
        <x:v>Duplicate mechanical discovery signal consolidated into one institution-level catalog review candidate.</x:v>
      </x:c>
      <x:c r="G751" s="17" t="str">
        <x:v>Does the current official catalog contain a research graduate program matching the applicant's topics?</x:v>
      </x:c>
      <x:c r="H751" s="17" t="str">
        <x:v>https://www.pace.edu</x:v>
      </x:c>
      <x:c r="I751" s="17" t="str">
        <x:v>not_sampled</x:v>
      </x:c>
      <x:c r="J751" s="17" t="str">
        <x:v>not_sampled</x:v>
      </x:c>
    </x:row>
    <x:row r="752" ht="46" customHeight="1">
      <x:c r="A752" s="17" t="str">
        <x:v>us</x:v>
      </x:c>
      <x:c r="B752" s="17" t="str">
        <x:v>Pacific States University</x:v>
      </x:c>
      <x:c r="C752" s="17" t="str">
        <x:v>IPEDS discovery signal: Computer and Information Sciences, General (CIP 11.0101)</x:v>
      </x:c>
      <x:c r="D752" s="17" t="str">
        <x:v>Unclear</x:v>
      </x:c>
      <x:c r="E752" s="17" t="str">
        <x:v>stage2_screened_out</x:v>
      </x:c>
      <x:c r="F752" s="17" t="str">
        <x:v>Only one bounded registry/program-code signal was present; no independent topical, Calendar, current-faculty, or first-audit signal was recovered.</x:v>
      </x:c>
      <x:c r="G752" s="17" t="str">
        <x:v>Does the current official catalog contain a research graduate program matching the applicant's topics?</x:v>
      </x:c>
      <x:c r="H752" s="17" t="str">
        <x:v>https://www.psuca.edu</x:v>
      </x:c>
      <x:c r="I752" s="17" t="str">
        <x:v>not_sampled</x:v>
      </x:c>
      <x:c r="J752" s="17" t="str">
        <x:v>not_sampled</x:v>
      </x:c>
    </x:row>
    <x:row r="753" ht="46" customHeight="1">
      <x:c r="A753" s="17" t="str">
        <x:v>us</x:v>
      </x:c>
      <x:c r="B753" s="17" t="str">
        <x:v>Palm Beach Atlantic University</x:v>
      </x:c>
      <x:c r="C753" s="17" t="str">
        <x:v>IPEDS discovery signal: Computer and Information Sciences, General (CIP 11.0101)</x:v>
      </x:c>
      <x:c r="D753" s="17" t="str">
        <x:v>Unclear</x:v>
      </x:c>
      <x:c r="E753" s="17" t="str">
        <x:v>stage2_screened_out</x:v>
      </x:c>
      <x:c r="F753" s="17" t="str">
        <x:v>Only one bounded registry/program-code signal was present; no independent topical, Calendar, current-faculty, or first-audit signal was recovered.</x:v>
      </x:c>
      <x:c r="G753" s="17" t="str">
        <x:v>Does the current official catalog contain a research graduate program matching the applicant's topics?</x:v>
      </x:c>
      <x:c r="H753" s="17" t="str">
        <x:v>https://www.pba.edu</x:v>
      </x:c>
      <x:c r="I753" s="17" t="str">
        <x:v>not_sampled</x:v>
      </x:c>
      <x:c r="J753" s="17" t="str">
        <x:v>not_sampled</x:v>
      </x:c>
    </x:row>
    <x:row r="754" ht="46" customHeight="1">
      <x:c r="A754" s="17" t="str">
        <x:v>us</x:v>
      </x:c>
      <x:c r="B754" s="17" t="str">
        <x:v>Park University</x:v>
      </x:c>
      <x:c r="C754" s="17" t="str">
        <x:v>IPEDS discovery signal: Information Technology (CIP 11.0103)</x:v>
      </x:c>
      <x:c r="D754" s="17" t="str">
        <x:v>Unclear</x:v>
      </x:c>
      <x:c r="E754" s="17" t="str">
        <x:v>stage2_screened_out</x:v>
      </x:c>
      <x:c r="F754" s="17" t="str">
        <x:v>Only one bounded registry/program-code signal was present; no independent topical, Calendar, current-faculty, or first-audit signal was recovered.</x:v>
      </x:c>
      <x:c r="G754" s="17" t="str">
        <x:v>Does the current official catalog contain a research graduate program matching the applicant's topics?</x:v>
      </x:c>
      <x:c r="H754" s="17" t="str">
        <x:v>https://www.park.edu</x:v>
      </x:c>
      <x:c r="I754" s="17" t="str">
        <x:v>not_sampled</x:v>
      </x:c>
      <x:c r="J754" s="17" t="str">
        <x:v>not_sampled</x:v>
      </x:c>
    </x:row>
    <x:row r="755" ht="46" customHeight="1">
      <x:c r="A755" s="17" t="str">
        <x:v>us</x:v>
      </x:c>
      <x:c r="B755" s="17" t="str">
        <x:v>Pennsylvania State University-Main Campus</x:v>
      </x:c>
      <x:c r="C755" s="17" t="str">
        <x:v>IPEDS discovery signal: Computer and Information Systems Security/Auditing/Information Assurance (CIP 11.1003)</x:v>
      </x:c>
      <x:c r="D755" s="17" t="str">
        <x:v>Unclear</x:v>
      </x:c>
      <x:c r="E755" s="17" t="str">
        <x:v>stage2_screened_out</x:v>
      </x:c>
      <x:c r="F755" s="17" t="str">
        <x:v>Mechanical discovery placeholder is superseded by an exact official program record at the same institution.</x:v>
      </x:c>
      <x:c r="G755" s="17" t="str">
        <x:v>Does the current official catalog contain a research graduate program matching the applicant's topics?</x:v>
      </x:c>
      <x:c r="H755" s="17" t="str">
        <x:v>https://www.psu.edu</x:v>
      </x:c>
      <x:c r="I755" s="17" t="str">
        <x:v>not_sampled</x:v>
      </x:c>
      <x:c r="J755" s="17" t="str">
        <x:v>not_sampled</x:v>
      </x:c>
    </x:row>
    <x:row r="756" ht="46" customHeight="1">
      <x:c r="A756" s="17" t="str">
        <x:v>us</x:v>
      </x:c>
      <x:c r="B756" s="17" t="str">
        <x:v>Pennsylvania State University-Main Campus</x:v>
      </x:c>
      <x:c r="C756" s="17" t="str">
        <x:v>IPEDS discovery signal: Computer Science (CIP 11.0701)</x:v>
      </x:c>
      <x:c r="D756" s="17" t="str">
        <x:v>Unclear</x:v>
      </x:c>
      <x:c r="E756" s="17" t="str">
        <x:v>stage2_screened_out</x:v>
      </x:c>
      <x:c r="F756" s="17" t="str">
        <x:v>Mechanical discovery placeholder is superseded by an exact official program record at the same institution.</x:v>
      </x:c>
      <x:c r="G756" s="17" t="str">
        <x:v>Does the current official catalog contain a research graduate program matching the applicant's topics?</x:v>
      </x:c>
      <x:c r="H756" s="17" t="str">
        <x:v>https://www.psu.edu</x:v>
      </x:c>
      <x:c r="I756" s="17" t="str">
        <x:v>not_sampled</x:v>
      </x:c>
      <x:c r="J756" s="17" t="str">
        <x:v>not_sampled</x:v>
      </x:c>
    </x:row>
    <x:row r="757" ht="46" customHeight="1">
      <x:c r="A757" s="17" t="str">
        <x:v>us</x:v>
      </x:c>
      <x:c r="B757" s="17" t="str">
        <x:v>Pennsylvania State University-Main Campus</x:v>
      </x:c>
      <x:c r="C757" s="17" t="str">
        <x:v>IPEDS discovery signal: Electrical and Electronics Engineering (CIP 14.1001)</x:v>
      </x:c>
      <x:c r="D757" s="17" t="str">
        <x:v>Unclear</x:v>
      </x:c>
      <x:c r="E757" s="17" t="str">
        <x:v>stage2_screened_out</x:v>
      </x:c>
      <x:c r="F757" s="17" t="str">
        <x:v>Mechanical discovery placeholder is superseded by an exact official program record at the same institution.</x:v>
      </x:c>
      <x:c r="G757" s="17" t="str">
        <x:v>Does the current official catalog contain a research graduate program matching the applicant's topics?</x:v>
      </x:c>
      <x:c r="H757" s="17" t="str">
        <x:v>https://www.psu.edu</x:v>
      </x:c>
      <x:c r="I757" s="17" t="str">
        <x:v>not_sampled</x:v>
      </x:c>
      <x:c r="J757" s="17" t="str">
        <x:v>not_sampled</x:v>
      </x:c>
    </x:row>
    <x:row r="758" ht="46" customHeight="1">
      <x:c r="A758" s="17" t="str">
        <x:v>us</x:v>
      </x:c>
      <x:c r="B758" s="17" t="str">
        <x:v>Pennsylvania State University-Main Campus</x:v>
      </x:c>
      <x:c r="C758" s="17" t="str">
        <x:v>IPEDS discovery signal: Informatics (CIP 11.0104)</x:v>
      </x:c>
      <x:c r="D758" s="17" t="str">
        <x:v>Unclear</x:v>
      </x:c>
      <x:c r="E758" s="17" t="str">
        <x:v>stage2_screened_out</x:v>
      </x:c>
      <x:c r="F758" s="17" t="str">
        <x:v>Mechanical discovery placeholder is superseded by an exact official program record at the same institution.</x:v>
      </x:c>
      <x:c r="G758" s="17" t="str">
        <x:v>Does the current official catalog contain a research graduate program matching the applicant's topics?</x:v>
      </x:c>
      <x:c r="H758" s="17" t="str">
        <x:v>https://www.psu.edu</x:v>
      </x:c>
      <x:c r="I758" s="17" t="str">
        <x:v>not_sampled</x:v>
      </x:c>
      <x:c r="J758" s="17" t="str">
        <x:v>not_sampled</x:v>
      </x:c>
    </x:row>
    <x:row r="759" ht="46" customHeight="1">
      <x:c r="A759" s="17" t="str">
        <x:v>us</x:v>
      </x:c>
      <x:c r="B759" s="17" t="str">
        <x:v>Pennsylvania State University-Main Campus</x:v>
      </x:c>
      <x:c r="C759" s="17" t="str">
        <x:v>IPEDS discovery signal: Information Science/Studies (CIP 11.0401)</x:v>
      </x:c>
      <x:c r="D759" s="17" t="str">
        <x:v>Unclear</x:v>
      </x:c>
      <x:c r="E759" s="17" t="str">
        <x:v>stage2_screened_out</x:v>
      </x:c>
      <x:c r="F759" s="17" t="str">
        <x:v>Mechanical discovery placeholder is superseded by an exact official program record at the same institution.</x:v>
      </x:c>
      <x:c r="G759" s="17" t="str">
        <x:v>Does the current official catalog contain a research graduate program matching the applicant's topics?</x:v>
      </x:c>
      <x:c r="H759" s="17" t="str">
        <x:v>https://www.psu.edu</x:v>
      </x:c>
      <x:c r="I759" s="17" t="str">
        <x:v>not_sampled</x:v>
      </x:c>
      <x:c r="J759" s="17" t="str">
        <x:v>not_sampled</x:v>
      </x:c>
    </x:row>
    <x:row r="760" ht="46" customHeight="1">
      <x:c r="A760" s="17" t="str">
        <x:v>us</x:v>
      </x:c>
      <x:c r="B760" s="17" t="str">
        <x:v>Pennsylvania State University-Main Campus</x:v>
      </x:c>
      <x:c r="C760" s="17" t="str">
        <x:v>Ph.D. in Computer Science and Engineering</x:v>
      </x:c>
      <x:c r="D760" s="17" t="str">
        <x:v>PhD</x:v>
      </x:c>
      <x:c r="E760" s="17" t="str">
        <x:v>stage2_screened_out</x:v>
      </x:c>
      <x:c r="F760" s="17" t="str">
        <x:v>Duplicate exact program record shares the same canonical official URL; the first-audit or canonical row is retained.</x:v>
      </x:c>
      <x:c r="G760" s="17" t="str">
        <x:v>Which current supervisors match the applicant and are eligible/available to advise Fall 2027 entrants?</x:v>
      </x:c>
      <x:c r="H760" s="17" t="str">
        <x:v>https://www.eecs.psu.edu/students/graduate/Graduate-Degree-Programs-CSE.aspx</x:v>
      </x:c>
      <x:c r="I760" s="17" t="str">
        <x:v>not_sampled</x:v>
      </x:c>
      <x:c r="J760" s="17" t="str">
        <x:v>not_sampled</x:v>
      </x:c>
    </x:row>
    <x:row r="761" ht="46" customHeight="1">
      <x:c r="A761" s="17" t="str">
        <x:v>us</x:v>
      </x:c>
      <x:c r="B761" s="17" t="str">
        <x:v>Pennsylvania State University-Penn State Great Valley</x:v>
      </x:c>
      <x:c r="C761" s="17" t="str">
        <x:v>IPEDS discovery signal: Computer Engineering, General (CIP 14.0901)</x:v>
      </x:c>
      <x:c r="D761" s="17" t="str">
        <x:v>Unclear</x:v>
      </x:c>
      <x:c r="E761" s="17" t="str">
        <x:v>stage2_screened_out</x:v>
      </x:c>
      <x:c r="F761" s="17" t="str">
        <x:v>Only one bounded registry/program-code signal was present; no independent topical, Calendar, current-faculty, or first-audit signal was recovered.</x:v>
      </x:c>
      <x:c r="G761" s="17" t="str">
        <x:v>Does the current official catalog contain a research graduate program matching the applicant's topics?</x:v>
      </x:c>
      <x:c r="H761" s="17" t="str">
        <x:v>https://greatvalley.psu.edu</x:v>
      </x:c>
      <x:c r="I761" s="17" t="str">
        <x:v>not_sampled</x:v>
      </x:c>
      <x:c r="J761" s="17" t="str">
        <x:v>not_sampled</x:v>
      </x:c>
    </x:row>
    <x:row r="762" ht="46" customHeight="1">
      <x:c r="A762" s="17" t="str">
        <x:v>us</x:v>
      </x:c>
      <x:c r="B762" s="17" t="str">
        <x:v>Pennsylvania State University-Penn State Great Valley</x:v>
      </x:c>
      <x:c r="C762" s="17" t="str">
        <x:v>IPEDS discovery signal: Information Science/Studies (CIP 11.0401)</x:v>
      </x:c>
      <x:c r="D762" s="17" t="str">
        <x:v>Unclear</x:v>
      </x:c>
      <x:c r="E762" s="17" t="str">
        <x:v>stage2_screened_out</x:v>
      </x:c>
      <x:c r="F762" s="17" t="str">
        <x:v>Only one bounded registry/program-code signal was present; no independent topical, Calendar, current-faculty, or first-audit signal was recovered.</x:v>
      </x:c>
      <x:c r="G762" s="17" t="str">
        <x:v>Does the current official catalog contain a research graduate program matching the applicant's topics?</x:v>
      </x:c>
      <x:c r="H762" s="17" t="str">
        <x:v>https://greatvalley.psu.edu</x:v>
      </x:c>
      <x:c r="I762" s="17" t="str">
        <x:v>not_sampled</x:v>
      </x:c>
      <x:c r="J762" s="17" t="str">
        <x:v>not_sampled</x:v>
      </x:c>
    </x:row>
    <x:row r="763" ht="46" customHeight="1">
      <x:c r="A763" s="17" t="str">
        <x:v>us</x:v>
      </x:c>
      <x:c r="B763" s="17" t="str">
        <x:v>Pennsylvania State University-Penn State Harrisburg</x:v>
      </x:c>
      <x:c r="C763" s="17" t="str">
        <x:v>IPEDS discovery signal: Computer and Information Sciences, General (CIP 11.0101)</x:v>
      </x:c>
      <x:c r="D763" s="17" t="str">
        <x:v>Unclear</x:v>
      </x:c>
      <x:c r="E763" s="17" t="str">
        <x:v>stage2_screened_out</x:v>
      </x:c>
      <x:c r="F763" s="17" t="str">
        <x:v>Only one bounded registry/program-code signal was present; no independent topical, Calendar, current-faculty, or first-audit signal was recovered.</x:v>
      </x:c>
      <x:c r="G763" s="17" t="str">
        <x:v>Does the current official catalog contain a research graduate program matching the applicant's topics?</x:v>
      </x:c>
      <x:c r="H763" s="17" t="str">
        <x:v>https://harrisburg.psu.edu</x:v>
      </x:c>
      <x:c r="I763" s="17" t="str">
        <x:v>not_sampled</x:v>
      </x:c>
      <x:c r="J763" s="17" t="str">
        <x:v>not_sampled</x:v>
      </x:c>
    </x:row>
    <x:row r="764" ht="46" customHeight="1">
      <x:c r="A764" s="17" t="str">
        <x:v>us</x:v>
      </x:c>
      <x:c r="B764" s="17" t="str">
        <x:v>Pennsylvania State University-Penn State Harrisburg</x:v>
      </x:c>
      <x:c r="C764" s="17" t="str">
        <x:v>IPEDS discovery signal: Electrical and Electronics Engineering (CIP 14.1001)</x:v>
      </x:c>
      <x:c r="D764" s="17" t="str">
        <x:v>Unclear</x:v>
      </x:c>
      <x:c r="E764" s="17" t="str">
        <x:v>stage2_screened_out</x:v>
      </x:c>
      <x:c r="F764" s="17" t="str">
        <x:v>Only one bounded registry/program-code signal was present; no independent topical, Calendar, current-faculty, or first-audit signal was recovered.</x:v>
      </x:c>
      <x:c r="G764" s="17" t="str">
        <x:v>Does the current official catalog contain a research graduate program matching the applicant's topics?</x:v>
      </x:c>
      <x:c r="H764" s="17" t="str">
        <x:v>https://harrisburg.psu.edu</x:v>
      </x:c>
      <x:c r="I764" s="17" t="str">
        <x:v>not_sampled</x:v>
      </x:c>
      <x:c r="J764" s="17" t="str">
        <x:v>not_sampled</x:v>
      </x:c>
    </x:row>
    <x:row r="765" ht="46" customHeight="1">
      <x:c r="A765" s="17" t="str">
        <x:v>us</x:v>
      </x:c>
      <x:c r="B765" s="17" t="str">
        <x:v>Pennsylvania State University-Penn State Harrisburg</x:v>
      </x:c>
      <x:c r="C765" s="17" t="str">
        <x:v>IPEDS discovery signal: Information Science/Studies (CIP 11.0401)</x:v>
      </x:c>
      <x:c r="D765" s="17" t="str">
        <x:v>Unclear</x:v>
      </x:c>
      <x:c r="E765" s="17" t="str">
        <x:v>stage2_screened_out</x:v>
      </x:c>
      <x:c r="F765" s="17" t="str">
        <x:v>Only one bounded registry/program-code signal was present; no independent topical, Calendar, current-faculty, or first-audit signal was recovered.</x:v>
      </x:c>
      <x:c r="G765" s="17" t="str">
        <x:v>Does the current official catalog contain a research graduate program matching the applicant's topics?</x:v>
      </x:c>
      <x:c r="H765" s="17" t="str">
        <x:v>https://harrisburg.psu.edu</x:v>
      </x:c>
      <x:c r="I765" s="17" t="str">
        <x:v>not_sampled</x:v>
      </x:c>
      <x:c r="J765" s="17" t="str">
        <x:v>not_sampled</x:v>
      </x:c>
    </x:row>
    <x:row r="766" ht="46" customHeight="1">
      <x:c r="A766" s="17" t="str">
        <x:v>us</x:v>
      </x:c>
      <x:c r="B766" s="17" t="str">
        <x:v>Pennsylvania State University-World Campus</x:v>
      </x:c>
      <x:c r="C766" s="17" t="str">
        <x:v>IPEDS discovery signal: Artificial Intelligence (CIP 11.0102)</x:v>
      </x:c>
      <x:c r="D766" s="17" t="str">
        <x:v>Unclear</x:v>
      </x:c>
      <x:c r="E766" s="17" t="str">
        <x:v>stage2_screened_out</x:v>
      </x:c>
      <x:c r="F766" s="17" t="str">
        <x:v>Only one bounded registry/program-code signal was present; no independent topical, Calendar, current-faculty, or first-audit signal was recovered.</x:v>
      </x:c>
      <x:c r="G766" s="17" t="str">
        <x:v>Does the current official catalog contain a research graduate program matching the applicant's topics?</x:v>
      </x:c>
      <x:c r="H766" s="17" t="str">
        <x:v>https://www.worldcampus.psu.edu</x:v>
      </x:c>
      <x:c r="I766" s="17" t="str">
        <x:v>not_sampled</x:v>
      </x:c>
      <x:c r="J766" s="17" t="str">
        <x:v>not_sampled</x:v>
      </x:c>
    </x:row>
    <x:row r="767" ht="46" customHeight="1">
      <x:c r="A767" s="17" t="str">
        <x:v>us</x:v>
      </x:c>
      <x:c r="B767" s="17" t="str">
        <x:v>Pennsylvania State University-World Campus</x:v>
      </x:c>
      <x:c r="C767" s="17" t="str">
        <x:v>IPEDS discovery signal: Computer and Information Systems Security/Auditing/Information Assurance (CIP 11.1003)</x:v>
      </x:c>
      <x:c r="D767" s="17" t="str">
        <x:v>Unclear</x:v>
      </x:c>
      <x:c r="E767" s="17" t="str">
        <x:v>stage2_screened_out</x:v>
      </x:c>
      <x:c r="F767" s="17" t="str">
        <x:v>Only one bounded registry/program-code signal was present; no independent topical, Calendar, current-faculty, or first-audit signal was recovered.</x:v>
      </x:c>
      <x:c r="G767" s="17" t="str">
        <x:v>Does the current official catalog contain a research graduate program matching the applicant's topics?</x:v>
      </x:c>
      <x:c r="H767" s="17" t="str">
        <x:v>https://www.worldcampus.psu.edu</x:v>
      </x:c>
      <x:c r="I767" s="17" t="str">
        <x:v>not_sampled</x:v>
      </x:c>
      <x:c r="J767" s="17" t="str">
        <x:v>not_sampled</x:v>
      </x:c>
    </x:row>
    <x:row r="768" ht="46" customHeight="1">
      <x:c r="A768" s="17" t="str">
        <x:v>us</x:v>
      </x:c>
      <x:c r="B768" s="17" t="str">
        <x:v>Pennsylvania State University-World Campus</x:v>
      </x:c>
      <x:c r="C768" s="17" t="str">
        <x:v>IPEDS discovery signal: Computer Engineering, General (CIP 14.0901)</x:v>
      </x:c>
      <x:c r="D768" s="17" t="str">
        <x:v>Unclear</x:v>
      </x:c>
      <x:c r="E768" s="17" t="str">
        <x:v>stage2_screened_out</x:v>
      </x:c>
      <x:c r="F768" s="17" t="str">
        <x:v>Only one bounded registry/program-code signal was present; no independent topical, Calendar, current-faculty, or first-audit signal was recovered.</x:v>
      </x:c>
      <x:c r="G768" s="17" t="str">
        <x:v>Does the current official catalog contain a research graduate program matching the applicant's topics?</x:v>
      </x:c>
      <x:c r="H768" s="17" t="str">
        <x:v>https://www.worldcampus.psu.edu</x:v>
      </x:c>
      <x:c r="I768" s="17" t="str">
        <x:v>not_sampled</x:v>
      </x:c>
      <x:c r="J768" s="17" t="str">
        <x:v>not_sampled</x:v>
      </x:c>
    </x:row>
    <x:row r="769" ht="46" customHeight="1">
      <x:c r="A769" s="17" t="str">
        <x:v>us</x:v>
      </x:c>
      <x:c r="B769" s="17" t="str">
        <x:v>Pennsylvania State University-World Campus</x:v>
      </x:c>
      <x:c r="C769" s="17" t="str">
        <x:v>IPEDS discovery signal: Electrical and Electronics Engineering (CIP 14.1001)</x:v>
      </x:c>
      <x:c r="D769" s="17" t="str">
        <x:v>Unclear</x:v>
      </x:c>
      <x:c r="E769" s="17" t="str">
        <x:v>stage2_screened_out</x:v>
      </x:c>
      <x:c r="F769" s="17" t="str">
        <x:v>Only one bounded registry/program-code signal was present; no independent topical, Calendar, current-faculty, or first-audit signal was recovered.</x:v>
      </x:c>
      <x:c r="G769" s="17" t="str">
        <x:v>Does the current official catalog contain a research graduate program matching the applicant's topics?</x:v>
      </x:c>
      <x:c r="H769" s="17" t="str">
        <x:v>https://www.worldcampus.psu.edu</x:v>
      </x:c>
      <x:c r="I769" s="17" t="str">
        <x:v>not_sampled</x:v>
      </x:c>
      <x:c r="J769" s="17" t="str">
        <x:v>not_sampled</x:v>
      </x:c>
    </x:row>
    <x:row r="770" ht="46" customHeight="1">
      <x:c r="A770" s="17" t="str">
        <x:v>us</x:v>
      </x:c>
      <x:c r="B770" s="17" t="str">
        <x:v>Pennsylvania State University-World Campus</x:v>
      </x:c>
      <x:c r="C770" s="17" t="str">
        <x:v>IPEDS discovery signal: Informatics (CIP 11.0104)</x:v>
      </x:c>
      <x:c r="D770" s="17" t="str">
        <x:v>Unclear</x:v>
      </x:c>
      <x:c r="E770" s="17" t="str">
        <x:v>stage2_screened_out</x:v>
      </x:c>
      <x:c r="F770" s="17" t="str">
        <x:v>Only one bounded registry/program-code signal was present; no independent topical, Calendar, current-faculty, or first-audit signal was recovered.</x:v>
      </x:c>
      <x:c r="G770" s="17" t="str">
        <x:v>Does the current official catalog contain a research graduate program matching the applicant's topics?</x:v>
      </x:c>
      <x:c r="H770" s="17" t="str">
        <x:v>https://www.worldcampus.psu.edu</x:v>
      </x:c>
      <x:c r="I770" s="17" t="str">
        <x:v>not_sampled</x:v>
      </x:c>
      <x:c r="J770" s="17" t="str">
        <x:v>not_sampled</x:v>
      </x:c>
    </x:row>
    <x:row r="771" ht="46" customHeight="1">
      <x:c r="A771" s="17" t="str">
        <x:v>us</x:v>
      </x:c>
      <x:c r="B771" s="17" t="str">
        <x:v>Pennsylvania State University-World Campus</x:v>
      </x:c>
      <x:c r="C771" s="17" t="str">
        <x:v>IPEDS discovery signal: Information Science/Studies (CIP 11.0401)</x:v>
      </x:c>
      <x:c r="D771" s="17" t="str">
        <x:v>Unclear</x:v>
      </x:c>
      <x:c r="E771" s="17" t="str">
        <x:v>stage2_screened_out</x:v>
      </x:c>
      <x:c r="F771" s="17" t="str">
        <x:v>Only one bounded registry/program-code signal was present; no independent topical, Calendar, current-faculty, or first-audit signal was recovered.</x:v>
      </x:c>
      <x:c r="G771" s="17" t="str">
        <x:v>Does the current official catalog contain a research graduate program matching the applicant's topics?</x:v>
      </x:c>
      <x:c r="H771" s="17" t="str">
        <x:v>https://www.worldcampus.psu.edu</x:v>
      </x:c>
      <x:c r="I771" s="17" t="str">
        <x:v>not_sampled</x:v>
      </x:c>
      <x:c r="J771" s="17" t="str">
        <x:v>not_sampled</x:v>
      </x:c>
    </x:row>
    <x:row r="772" ht="46" customHeight="1">
      <x:c r="A772" s="17" t="str">
        <x:v>us</x:v>
      </x:c>
      <x:c r="B772" s="17" t="str">
        <x:v>Pennsylvania Western University</x:v>
      </x:c>
      <x:c r="C772" s="17" t="str">
        <x:v>IPEDS discovery signal: Computer and Information Systems Security/Auditing/Information Assurance (CIP 11.1003)</x:v>
      </x:c>
      <x:c r="D772" s="17" t="str">
        <x:v>Unclear</x:v>
      </x:c>
      <x:c r="E772" s="17" t="str">
        <x:v>stage2_screened_out</x:v>
      </x:c>
      <x:c r="F772" s="17" t="str">
        <x:v>Only one bounded registry/program-code signal was present; no independent topical, Calendar, current-faculty, or first-audit signal was recovered.</x:v>
      </x:c>
      <x:c r="G772" s="17" t="str">
        <x:v>Does the current official catalog contain a research graduate program matching the applicant's topics?</x:v>
      </x:c>
      <x:c r="H772" s="17" t="str">
        <x:v>https://www.pennwest.edu</x:v>
      </x:c>
      <x:c r="I772" s="17" t="str">
        <x:v>not_sampled</x:v>
      </x:c>
      <x:c r="J772" s="17" t="str">
        <x:v>not_sampled</x:v>
      </x:c>
    </x:row>
    <x:row r="773" ht="46" customHeight="1">
      <x:c r="A773" s="17" t="str">
        <x:v>us</x:v>
      </x:c>
      <x:c r="B773" s="17" t="str">
        <x:v>Pennsylvania Western University</x:v>
      </x:c>
      <x:c r="C773" s="17" t="str">
        <x:v>IPEDS discovery signal: Data Science, General (CIP 30.7001)</x:v>
      </x:c>
      <x:c r="D773" s="17" t="str">
        <x:v>Unclear</x:v>
      </x:c>
      <x:c r="E773" s="17" t="str">
        <x:v>stage2_screened_out</x:v>
      </x:c>
      <x:c r="F773" s="17" t="str">
        <x:v>Only one bounded registry/program-code signal was present; no independent topical, Calendar, current-faculty, or first-audit signal was recovered.</x:v>
      </x:c>
      <x:c r="G773" s="17" t="str">
        <x:v>Does the current official catalog contain a research graduate program matching the applicant's topics?</x:v>
      </x:c>
      <x:c r="H773" s="17" t="str">
        <x:v>https://www.pennwest.edu</x:v>
      </x:c>
      <x:c r="I773" s="17" t="str">
        <x:v>not_sampled</x:v>
      </x:c>
      <x:c r="J773" s="17" t="str">
        <x:v>not_sampled</x:v>
      </x:c>
    </x:row>
    <x:row r="774" ht="46" customHeight="1">
      <x:c r="A774" s="17" t="str">
        <x:v>us</x:v>
      </x:c>
      <x:c r="B774" s="17" t="str">
        <x:v>Point Park University</x:v>
      </x:c>
      <x:c r="C774" s="17" t="str">
        <x:v>IPEDS discovery signal: Information Science/Studies (CIP 11.0401)</x:v>
      </x:c>
      <x:c r="D774" s="17" t="str">
        <x:v>Unclear</x:v>
      </x:c>
      <x:c r="E774" s="17" t="str">
        <x:v>stage2_screened_out</x:v>
      </x:c>
      <x:c r="F774" s="17" t="str">
        <x:v>Only one bounded registry/program-code signal was present; no independent topical, Calendar, current-faculty, or first-audit signal was recovered.</x:v>
      </x:c>
      <x:c r="G774" s="17" t="str">
        <x:v>Does the current official catalog contain a research graduate program matching the applicant's topics?</x:v>
      </x:c>
      <x:c r="H774" s="17" t="str">
        <x:v>https://www.pointpark.edu</x:v>
      </x:c>
      <x:c r="I774" s="17" t="str">
        <x:v>not_sampled</x:v>
      </x:c>
      <x:c r="J774" s="17" t="str">
        <x:v>not_sampled</x:v>
      </x:c>
    </x:row>
    <x:row r="775" ht="46" customHeight="1">
      <x:c r="A775" s="17" t="str">
        <x:v>us</x:v>
      </x:c>
      <x:c r="B775" s="17" t="str">
        <x:v>Pontifical Catholic University of Puerto Rico-Mayaguez</x:v>
      </x:c>
      <x:c r="C775" s="17" t="str">
        <x:v>IPEDS discovery signal: Computer and Information Sciences, General (CIP 11.0101)</x:v>
      </x:c>
      <x:c r="D775" s="17" t="str">
        <x:v>Unclear</x:v>
      </x:c>
      <x:c r="E775" s="17" t="str">
        <x:v>stage2_screened_out</x:v>
      </x:c>
      <x:c r="F775" s="17" t="str">
        <x:v>Only one bounded registry/program-code signal was present; no independent topical, Calendar, current-faculty, or first-audit signal was recovered.</x:v>
      </x:c>
      <x:c r="G775" s="17" t="str">
        <x:v>Does the current official catalog contain a research graduate program matching the applicant's topics?</x:v>
      </x:c>
      <x:c r="H775" s="17" t="str">
        <x:v>https://mayaguez.pucpr.edu</x:v>
      </x:c>
      <x:c r="I775" s="17" t="str">
        <x:v>not_sampled</x:v>
      </x:c>
      <x:c r="J775" s="17" t="str">
        <x:v>not_sampled</x:v>
      </x:c>
    </x:row>
    <x:row r="776" ht="46" customHeight="1">
      <x:c r="A776" s="17" t="str">
        <x:v>us</x:v>
      </x:c>
      <x:c r="B776" s="17" t="str">
        <x:v>Portland State University</x:v>
      </x:c>
      <x:c r="C776" s="17" t="str">
        <x:v>IPEDS discovery signal: Computer Science (CIP 11.0701)</x:v>
      </x:c>
      <x:c r="D776" s="17" t="str">
        <x:v>Unclear</x:v>
      </x:c>
      <x:c r="E776" s="17" t="str">
        <x:v>stage2_screened_out</x:v>
      </x:c>
      <x:c r="F776" s="17" t="str">
        <x:v>Only one bounded registry/program-code signal was present; no independent topical, Calendar, current-faculty, or first-audit signal was recovered.</x:v>
      </x:c>
      <x:c r="G776" s="17" t="str">
        <x:v>Does the current official catalog contain a research graduate program matching the applicant's topics?</x:v>
      </x:c>
      <x:c r="H776" s="17" t="str">
        <x:v>https://www.pdx.edu</x:v>
      </x:c>
      <x:c r="I776" s="17" t="str">
        <x:v>false_negative_corrected</x:v>
      </x:c>
      <x:c r="J776" s="17" t="str">
        <x:v>confirmed</x:v>
      </x:c>
    </x:row>
    <x:row r="777" ht="46" customHeight="1">
      <x:c r="A777" s="17" t="str">
        <x:v>us</x:v>
      </x:c>
      <x:c r="B777" s="17" t="str">
        <x:v>Prairie View A &amp; M University</x:v>
      </x:c>
      <x:c r="C777" s="17" t="str">
        <x:v>IPEDS discovery signal: Computer and Information Sciences, General (CIP 11.0101)</x:v>
      </x:c>
      <x:c r="D777" s="17" t="str">
        <x:v>Unclear</x:v>
      </x:c>
      <x:c r="E777" s="17" t="str">
        <x:v>stage2_screened_out</x:v>
      </x:c>
      <x:c r="F777" s="17" t="str">
        <x:v>Only one bounded registry/program-code signal was present; no independent topical, Calendar, current-faculty, or first-audit signal was recovered.</x:v>
      </x:c>
      <x:c r="G777" s="17" t="str">
        <x:v>Does the current official catalog contain a research graduate program matching the applicant's topics?</x:v>
      </x:c>
      <x:c r="H777" s="17" t="str">
        <x:v>https://www.pvamu.edu</x:v>
      </x:c>
      <x:c r="I777" s="17" t="str">
        <x:v>not_sampled</x:v>
      </x:c>
      <x:c r="J777" s="17" t="str">
        <x:v>not_sampled</x:v>
      </x:c>
    </x:row>
    <x:row r="778" ht="46" customHeight="1">
      <x:c r="A778" s="17" t="str">
        <x:v>us</x:v>
      </x:c>
      <x:c r="B778" s="17" t="str">
        <x:v>Prairie View A &amp; M University</x:v>
      </x:c>
      <x:c r="C778" s="17" t="str">
        <x:v>IPEDS discovery signal: Electrical and Electronics Engineering (CIP 14.1001)</x:v>
      </x:c>
      <x:c r="D778" s="17" t="str">
        <x:v>Unclear</x:v>
      </x:c>
      <x:c r="E778" s="17" t="str">
        <x:v>stage2_screened_out</x:v>
      </x:c>
      <x:c r="F778" s="17" t="str">
        <x:v>Only one bounded registry/program-code signal was present; no independent topical, Calendar, current-faculty, or first-audit signal was recovered.</x:v>
      </x:c>
      <x:c r="G778" s="17" t="str">
        <x:v>Does the current official catalog contain a research graduate program matching the applicant's topics?</x:v>
      </x:c>
      <x:c r="H778" s="17" t="str">
        <x:v>https://www.pvamu.edu</x:v>
      </x:c>
      <x:c r="I778" s="17" t="str">
        <x:v>not_sampled</x:v>
      </x:c>
      <x:c r="J778" s="17" t="str">
        <x:v>not_sampled</x:v>
      </x:c>
    </x:row>
    <x:row r="779" ht="46" customHeight="1">
      <x:c r="A779" s="17" t="str">
        <x:v>us</x:v>
      </x:c>
      <x:c r="B779" s="17" t="str">
        <x:v>Prairie View A &amp; M University</x:v>
      </x:c>
      <x:c r="C779" s="17" t="str">
        <x:v>IPEDS discovery signal: Information Science/Studies (CIP 11.0401)</x:v>
      </x:c>
      <x:c r="D779" s="17" t="str">
        <x:v>Unclear</x:v>
      </x:c>
      <x:c r="E779" s="17" t="str">
        <x:v>stage2_screened_out</x:v>
      </x:c>
      <x:c r="F779" s="17" t="str">
        <x:v>Only one bounded registry/program-code signal was present; no independent topical, Calendar, current-faculty, or first-audit signal was recovered.</x:v>
      </x:c>
      <x:c r="G779" s="17" t="str">
        <x:v>Does the current official catalog contain a research graduate program matching the applicant's topics?</x:v>
      </x:c>
      <x:c r="H779" s="17" t="str">
        <x:v>https://www.pvamu.edu</x:v>
      </x:c>
      <x:c r="I779" s="17" t="str">
        <x:v>not_sampled</x:v>
      </x:c>
      <x:c r="J779" s="17" t="str">
        <x:v>not_sampled</x:v>
      </x:c>
    </x:row>
    <x:row r="780" ht="46" customHeight="1">
      <x:c r="A780" s="17" t="str">
        <x:v>us</x:v>
      </x:c>
      <x:c r="B780" s="17" t="str">
        <x:v>Pratt Institute-Main</x:v>
      </x:c>
      <x:c r="C780" s="17" t="str">
        <x:v>IPEDS discovery signal: Informatics (CIP 11.0104)</x:v>
      </x:c>
      <x:c r="D780" s="17" t="str">
        <x:v>Unclear</x:v>
      </x:c>
      <x:c r="E780" s="17" t="str">
        <x:v>stage2_screened_out</x:v>
      </x:c>
      <x:c r="F780" s="17" t="str">
        <x:v>Only one bounded registry/program-code signal was present; no independent topical, Calendar, current-faculty, or first-audit signal was recovered.</x:v>
      </x:c>
      <x:c r="G780" s="17" t="str">
        <x:v>Does the current official catalog contain a research graduate program matching the applicant's topics?</x:v>
      </x:c>
      <x:c r="H780" s="17" t="str">
        <x:v>https://www.pratt.edu</x:v>
      </x:c>
      <x:c r="I780" s="17" t="str">
        <x:v>not_sampled</x:v>
      </x:c>
      <x:c r="J780" s="17" t="str">
        <x:v>not_sampled</x:v>
      </x:c>
    </x:row>
    <x:row r="781" ht="46" customHeight="1">
      <x:c r="A781" s="17" t="str">
        <x:v>us</x:v>
      </x:c>
      <x:c r="B781" s="17" t="str">
        <x:v>Pratt Institute-Main</x:v>
      </x:c>
      <x:c r="C781" s="17" t="str">
        <x:v>IPEDS discovery signal: Information Science/Studies (CIP 11.0401)</x:v>
      </x:c>
      <x:c r="D781" s="17" t="str">
        <x:v>Unclear</x:v>
      </x:c>
      <x:c r="E781" s="17" t="str">
        <x:v>stage2_screened_out</x:v>
      </x:c>
      <x:c r="F781" s="17" t="str">
        <x:v>Only one bounded registry/program-code signal was present; no independent topical, Calendar, current-faculty, or first-audit signal was recovered.</x:v>
      </x:c>
      <x:c r="G781" s="17" t="str">
        <x:v>Does the current official catalog contain a research graduate program matching the applicant's topics?</x:v>
      </x:c>
      <x:c r="H781" s="17" t="str">
        <x:v>https://www.pratt.edu</x:v>
      </x:c>
      <x:c r="I781" s="17" t="str">
        <x:v>not_sampled</x:v>
      </x:c>
      <x:c r="J781" s="17" t="str">
        <x:v>not_sampled</x:v>
      </x:c>
    </x:row>
    <x:row r="782" ht="46" customHeight="1">
      <x:c r="A782" s="17" t="str">
        <x:v>us</x:v>
      </x:c>
      <x:c r="B782" s="17" t="str">
        <x:v>Princeton University</x:v>
      </x:c>
      <x:c r="C782" s="17" t="str">
        <x:v>IPEDS discovery signal: Electrical and Electronics Engineering (CIP 14.1001)</x:v>
      </x:c>
      <x:c r="D782" s="17" t="str">
        <x:v>Unclear</x:v>
      </x:c>
      <x:c r="E782" s="17" t="str">
        <x:v>stage2_screened_out</x:v>
      </x:c>
      <x:c r="F782" s="17" t="str">
        <x:v>Duplicate mechanical discovery signal consolidated into one institution-level catalog review candidate.</x:v>
      </x:c>
      <x:c r="G782" s="17" t="str">
        <x:v>Does the current official catalog contain a research graduate program matching the applicant's topics?</x:v>
      </x:c>
      <x:c r="H782" s="17" t="str">
        <x:v>https://www.princeton.edu</x:v>
      </x:c>
      <x:c r="I782" s="17" t="str">
        <x:v>not_sampled</x:v>
      </x:c>
      <x:c r="J782" s="17" t="str">
        <x:v>not_sampled</x:v>
      </x:c>
    </x:row>
    <x:row r="783" ht="46" customHeight="1">
      <x:c r="A783" s="17" t="str">
        <x:v>us</x:v>
      </x:c>
      <x:c r="B783" s="17" t="str">
        <x:v>Purdue University Fort Wayne</x:v>
      </x:c>
      <x:c r="C783" s="17" t="str">
        <x:v>IPEDS discovery signal: Computer Science (CIP 11.0701)</x:v>
      </x:c>
      <x:c r="D783" s="17" t="str">
        <x:v>Unclear</x:v>
      </x:c>
      <x:c r="E783" s="17" t="str">
        <x:v>stage2_screened_out</x:v>
      </x:c>
      <x:c r="F783" s="17" t="str">
        <x:v>Only one bounded registry/program-code signal was present; no independent topical, Calendar, current-faculty, or first-audit signal was recovered.</x:v>
      </x:c>
      <x:c r="G783" s="17" t="str">
        <x:v>Does the current official catalog contain a research graduate program matching the applicant's topics?</x:v>
      </x:c>
      <x:c r="H783" s="17" t="str">
        <x:v>https://www.pfw.edu</x:v>
      </x:c>
      <x:c r="I783" s="17" t="str">
        <x:v>not_sampled</x:v>
      </x:c>
      <x:c r="J783" s="17" t="str">
        <x:v>not_sampled</x:v>
      </x:c>
    </x:row>
    <x:row r="784" ht="46" customHeight="1">
      <x:c r="A784" s="17" t="str">
        <x:v>us</x:v>
      </x:c>
      <x:c r="B784" s="17" t="str">
        <x:v>Purdue University Global</x:v>
      </x:c>
      <x:c r="C784" s="17" t="str">
        <x:v>IPEDS discovery signal: Computer and Information Sciences, General (CIP 11.0101)</x:v>
      </x:c>
      <x:c r="D784" s="17" t="str">
        <x:v>Unclear</x:v>
      </x:c>
      <x:c r="E784" s="17" t="str">
        <x:v>stage2_screened_out</x:v>
      </x:c>
      <x:c r="F784" s="17" t="str">
        <x:v>Only one bounded registry/program-code signal was present; no independent topical, Calendar, current-faculty, or first-audit signal was recovered.</x:v>
      </x:c>
      <x:c r="G784" s="17" t="str">
        <x:v>Does the current official catalog contain a research graduate program matching the applicant's topics?</x:v>
      </x:c>
      <x:c r="H784" s="17" t="str">
        <x:v>https://www.purdueglobal.edu</x:v>
      </x:c>
      <x:c r="I784" s="17" t="str">
        <x:v>not_sampled</x:v>
      </x:c>
      <x:c r="J784" s="17" t="str">
        <x:v>not_sampled</x:v>
      </x:c>
    </x:row>
    <x:row r="785" ht="46" customHeight="1">
      <x:c r="A785" s="17" t="str">
        <x:v>us</x:v>
      </x:c>
      <x:c r="B785" s="17" t="str">
        <x:v>Purdue University Global</x:v>
      </x:c>
      <x:c r="C785" s="17" t="str">
        <x:v>IPEDS discovery signal: Computer and Information Systems Security/Auditing/Information Assurance (CIP 11.1003)</x:v>
      </x:c>
      <x:c r="D785" s="17" t="str">
        <x:v>Unclear</x:v>
      </x:c>
      <x:c r="E785" s="17" t="str">
        <x:v>stage2_screened_out</x:v>
      </x:c>
      <x:c r="F785" s="17" t="str">
        <x:v>Only one bounded registry/program-code signal was present; no independent topical, Calendar, current-faculty, or first-audit signal was recovered.</x:v>
      </x:c>
      <x:c r="G785" s="17" t="str">
        <x:v>Does the current official catalog contain a research graduate program matching the applicant's topics?</x:v>
      </x:c>
      <x:c r="H785" s="17" t="str">
        <x:v>https://www.purdueglobal.edu</x:v>
      </x:c>
      <x:c r="I785" s="17" t="str">
        <x:v>not_sampled</x:v>
      </x:c>
      <x:c r="J785" s="17" t="str">
        <x:v>not_sampled</x:v>
      </x:c>
    </x:row>
    <x:row r="786" ht="46" customHeight="1">
      <x:c r="A786" s="17" t="str">
        <x:v>us</x:v>
      </x:c>
      <x:c r="B786" s="17" t="str">
        <x:v>Purdue University Global</x:v>
      </x:c>
      <x:c r="C786" s="17" t="str">
        <x:v>IPEDS discovery signal: Data Analytics, General (CIP 30.7101)</x:v>
      </x:c>
      <x:c r="D786" s="17" t="str">
        <x:v>Unclear</x:v>
      </x:c>
      <x:c r="E786" s="17" t="str">
        <x:v>stage2_screened_out</x:v>
      </x:c>
      <x:c r="F786" s="17" t="str">
        <x:v>Only one bounded registry/program-code signal was present; no independent topical, Calendar, current-faculty, or first-audit signal was recovered.</x:v>
      </x:c>
      <x:c r="G786" s="17" t="str">
        <x:v>Does the current official catalog contain a research graduate program matching the applicant's topics?</x:v>
      </x:c>
      <x:c r="H786" s="17" t="str">
        <x:v>https://www.purdueglobal.edu</x:v>
      </x:c>
      <x:c r="I786" s="17" t="str">
        <x:v>not_sampled</x:v>
      </x:c>
      <x:c r="J786" s="17" t="str">
        <x:v>not_sampled</x:v>
      </x:c>
    </x:row>
    <x:row r="787" ht="46" customHeight="1">
      <x:c r="A787" s="17" t="str">
        <x:v>us</x:v>
      </x:c>
      <x:c r="B787" s="17" t="str">
        <x:v>Purdue University-Main Campus</x:v>
      </x:c>
      <x:c r="C787" s="17" t="str">
        <x:v>IPEDS discovery signal: Computer Science (CIP 11.0701)</x:v>
      </x:c>
      <x:c r="D787" s="17" t="str">
        <x:v>Unclear</x:v>
      </x:c>
      <x:c r="E787" s="17" t="str">
        <x:v>stage2_screened_out</x:v>
      </x:c>
      <x:c r="F787" s="17" t="str">
        <x:v>Only one bounded registry/program-code signal was present; no independent topical, Calendar, current-faculty, or first-audit signal was recovered.</x:v>
      </x:c>
      <x:c r="G787" s="17" t="str">
        <x:v>Does the current official catalog contain a research graduate program matching the applicant's topics?</x:v>
      </x:c>
      <x:c r="H787" s="17" t="str">
        <x:v>https://www.purdue.edu</x:v>
      </x:c>
      <x:c r="I787" s="17" t="str">
        <x:v>not_sampled</x:v>
      </x:c>
      <x:c r="J787" s="17" t="str">
        <x:v>not_sampled</x:v>
      </x:c>
    </x:row>
    <x:row r="788" ht="46" customHeight="1">
      <x:c r="A788" s="17" t="str">
        <x:v>us</x:v>
      </x:c>
      <x:c r="B788" s="17" t="str">
        <x:v>Purdue University-Main Campus</x:v>
      </x:c>
      <x:c r="C788" s="17" t="str">
        <x:v>IPEDS discovery signal: Electrical and Electronics Engineering (CIP 14.1001)</x:v>
      </x:c>
      <x:c r="D788" s="17" t="str">
        <x:v>Unclear</x:v>
      </x:c>
      <x:c r="E788" s="17" t="str">
        <x:v>stage2_screened_out</x:v>
      </x:c>
      <x:c r="F788" s="17" t="str">
        <x:v>Only one bounded registry/program-code signal was present; no independent topical, Calendar, current-faculty, or first-audit signal was recovered.</x:v>
      </x:c>
      <x:c r="G788" s="17" t="str">
        <x:v>Does the current official catalog contain a research graduate program matching the applicant's topics?</x:v>
      </x:c>
      <x:c r="H788" s="17" t="str">
        <x:v>https://www.purdue.edu</x:v>
      </x:c>
      <x:c r="I788" s="17" t="str">
        <x:v>not_sampled</x:v>
      </x:c>
      <x:c r="J788" s="17" t="str">
        <x:v>not_sampled</x:v>
      </x:c>
    </x:row>
    <x:row r="789" ht="46" customHeight="1">
      <x:c r="A789" s="17" t="str">
        <x:v>us</x:v>
      </x:c>
      <x:c r="B789" s="17" t="str">
        <x:v>Purdue University-Main Campus</x:v>
      </x:c>
      <x:c r="C789" s="17" t="str">
        <x:v>IPEDS discovery signal: Information Technology (CIP 11.0103)</x:v>
      </x:c>
      <x:c r="D789" s="17" t="str">
        <x:v>Unclear</x:v>
      </x:c>
      <x:c r="E789" s="17" t="str">
        <x:v>stage2_screened_out</x:v>
      </x:c>
      <x:c r="F789" s="17" t="str">
        <x:v>Only one bounded registry/program-code signal was present; no independent topical, Calendar, current-faculty, or first-audit signal was recovered.</x:v>
      </x:c>
      <x:c r="G789" s="17" t="str">
        <x:v>Does the current official catalog contain a research graduate program matching the applicant's topics?</x:v>
      </x:c>
      <x:c r="H789" s="17" t="str">
        <x:v>https://www.purdue.edu</x:v>
      </x:c>
      <x:c r="I789" s="17" t="str">
        <x:v>not_sampled</x:v>
      </x:c>
      <x:c r="J789" s="17" t="str">
        <x:v>not_sampled</x:v>
      </x:c>
    </x:row>
    <x:row r="790" ht="46" customHeight="1">
      <x:c r="A790" s="17" t="str">
        <x:v>us</x:v>
      </x:c>
      <x:c r="B790" s="17" t="str">
        <x:v>Purdue University Northwest</x:v>
      </x:c>
      <x:c r="C790" s="17" t="str">
        <x:v>IPEDS discovery signal: Computer Science (CIP 11.0701)</x:v>
      </x:c>
      <x:c r="D790" s="17" t="str">
        <x:v>Unclear</x:v>
      </x:c>
      <x:c r="E790" s="17" t="str">
        <x:v>stage2_screened_out</x:v>
      </x:c>
      <x:c r="F790" s="17" t="str">
        <x:v>Only one bounded registry/program-code signal was present; no independent topical, Calendar, current-faculty, or first-audit signal was recovered.</x:v>
      </x:c>
      <x:c r="G790" s="17" t="str">
        <x:v>Does the current official catalog contain a research graduate program matching the applicant's topics?</x:v>
      </x:c>
      <x:c r="H790" s="17" t="str">
        <x:v>https://www.pnw.edu</x:v>
      </x:c>
      <x:c r="I790" s="17" t="str">
        <x:v>not_sampled</x:v>
      </x:c>
      <x:c r="J790" s="17" t="str">
        <x:v>not_sampled</x:v>
      </x:c>
    </x:row>
    <x:row r="791" ht="46" customHeight="1">
      <x:c r="A791" s="17" t="str">
        <x:v>us</x:v>
      </x:c>
      <x:c r="B791" s="17" t="str">
        <x:v>Purdue University Northwest</x:v>
      </x:c>
      <x:c r="C791" s="17" t="str">
        <x:v>IPEDS discovery signal: Electrical and Electronics Engineering (CIP 14.1001)</x:v>
      </x:c>
      <x:c r="D791" s="17" t="str">
        <x:v>Unclear</x:v>
      </x:c>
      <x:c r="E791" s="17" t="str">
        <x:v>stage2_screened_out</x:v>
      </x:c>
      <x:c r="F791" s="17" t="str">
        <x:v>Only one bounded registry/program-code signal was present; no independent topical, Calendar, current-faculty, or first-audit signal was recovered.</x:v>
      </x:c>
      <x:c r="G791" s="17" t="str">
        <x:v>Does the current official catalog contain a research graduate program matching the applicant's topics?</x:v>
      </x:c>
      <x:c r="H791" s="17" t="str">
        <x:v>https://www.pnw.edu</x:v>
      </x:c>
      <x:c r="I791" s="17" t="str">
        <x:v>not_sampled</x:v>
      </x:c>
      <x:c r="J791" s="17" t="str">
        <x:v>not_sampled</x:v>
      </x:c>
    </x:row>
    <x:row r="792" ht="46" customHeight="1">
      <x:c r="A792" s="17" t="str">
        <x:v>us</x:v>
      </x:c>
      <x:c r="B792" s="17" t="str">
        <x:v>Ramapo College of New Jersey</x:v>
      </x:c>
      <x:c r="C792" s="17" t="str">
        <x:v>IPEDS discovery signal: Computer and Information Sciences, General (CIP 11.0101)</x:v>
      </x:c>
      <x:c r="D792" s="17" t="str">
        <x:v>Unclear</x:v>
      </x:c>
      <x:c r="E792" s="17" t="str">
        <x:v>stage2_screened_out</x:v>
      </x:c>
      <x:c r="F792" s="17" t="str">
        <x:v>Only one bounded registry/program-code signal was present; no independent topical, Calendar, current-faculty, or first-audit signal was recovered.</x:v>
      </x:c>
      <x:c r="G792" s="17" t="str">
        <x:v>Does the current official catalog contain a research graduate program matching the applicant's topics?</x:v>
      </x:c>
      <x:c r="H792" s="17" t="str">
        <x:v>https://www.ramapo.edu</x:v>
      </x:c>
      <x:c r="I792" s="17" t="str">
        <x:v>not_sampled</x:v>
      </x:c>
      <x:c r="J792" s="17" t="str">
        <x:v>not_sampled</x:v>
      </x:c>
    </x:row>
    <x:row r="793" ht="46" customHeight="1">
      <x:c r="A793" s="17" t="str">
        <x:v>us</x:v>
      </x:c>
      <x:c r="B793" s="17" t="str">
        <x:v>Ramapo College of New Jersey</x:v>
      </x:c>
      <x:c r="C793" s="17" t="str">
        <x:v>IPEDS discovery signal: Data Science, General (CIP 30.7001)</x:v>
      </x:c>
      <x:c r="D793" s="17" t="str">
        <x:v>Unclear</x:v>
      </x:c>
      <x:c r="E793" s="17" t="str">
        <x:v>stage2_screened_out</x:v>
      </x:c>
      <x:c r="F793" s="17" t="str">
        <x:v>Only one bounded registry/program-code signal was present; no independent topical, Calendar, current-faculty, or first-audit signal was recovered.</x:v>
      </x:c>
      <x:c r="G793" s="17" t="str">
        <x:v>Does the current official catalog contain a research graduate program matching the applicant's topics?</x:v>
      </x:c>
      <x:c r="H793" s="17" t="str">
        <x:v>https://www.ramapo.edu</x:v>
      </x:c>
      <x:c r="I793" s="17" t="str">
        <x:v>not_sampled</x:v>
      </x:c>
      <x:c r="J793" s="17" t="str">
        <x:v>not_sampled</x:v>
      </x:c>
    </x:row>
    <x:row r="794" ht="46" customHeight="1">
      <x:c r="A794" s="17" t="str">
        <x:v>us</x:v>
      </x:c>
      <x:c r="B794" s="17" t="str">
        <x:v>Regent University</x:v>
      </x:c>
      <x:c r="C794" s="17" t="str">
        <x:v>IPEDS discovery signal: Cyber/Computer Forensics and Counterterrorism (CIP 43.0403)</x:v>
      </x:c>
      <x:c r="D794" s="17" t="str">
        <x:v>Unclear</x:v>
      </x:c>
      <x:c r="E794" s="17" t="str">
        <x:v>stage2_screened_out</x:v>
      </x:c>
      <x:c r="F794" s="17" t="str">
        <x:v>Only one bounded registry/program-code signal was present; no independent topical, Calendar, current-faculty, or first-audit signal was recovered.</x:v>
      </x:c>
      <x:c r="G794" s="17" t="str">
        <x:v>Does the current official catalog contain a research graduate program matching the applicant's topics?</x:v>
      </x:c>
      <x:c r="H794" s="17" t="str">
        <x:v>https://www.regent.edu</x:v>
      </x:c>
      <x:c r="I794" s="17" t="str">
        <x:v>not_sampled</x:v>
      </x:c>
      <x:c r="J794" s="17" t="str">
        <x:v>not_sampled</x:v>
      </x:c>
    </x:row>
    <x:row r="795" ht="46" customHeight="1">
      <x:c r="A795" s="17" t="str">
        <x:v>us</x:v>
      </x:c>
      <x:c r="B795" s="17" t="str">
        <x:v>Regis University</x:v>
      </x:c>
      <x:c r="C795" s="17" t="str">
        <x:v>IPEDS discovery signal: Computer and Information Sciences, General (CIP 11.0101)</x:v>
      </x:c>
      <x:c r="D795" s="17" t="str">
        <x:v>Unclear</x:v>
      </x:c>
      <x:c r="E795" s="17" t="str">
        <x:v>stage2_screened_out</x:v>
      </x:c>
      <x:c r="F795" s="17" t="str">
        <x:v>Only one bounded registry/program-code signal was present; no independent topical, Calendar, current-faculty, or first-audit signal was recovered.</x:v>
      </x:c>
      <x:c r="G795" s="17" t="str">
        <x:v>Does the current official catalog contain a research graduate program matching the applicant's topics?</x:v>
      </x:c>
      <x:c r="H795" s="17" t="str">
        <x:v>https://www.regis.edu</x:v>
      </x:c>
      <x:c r="I795" s="17" t="str">
        <x:v>not_sampled</x:v>
      </x:c>
      <x:c r="J795" s="17" t="str">
        <x:v>not_sampled</x:v>
      </x:c>
    </x:row>
    <x:row r="796" ht="46" customHeight="1">
      <x:c r="A796" s="17" t="str">
        <x:v>us</x:v>
      </x:c>
      <x:c r="B796" s="17" t="str">
        <x:v>Regis University</x:v>
      </x:c>
      <x:c r="C796" s="17" t="str">
        <x:v>IPEDS discovery signal: Information Technology (CIP 11.0103)</x:v>
      </x:c>
      <x:c r="D796" s="17" t="str">
        <x:v>Unclear</x:v>
      </x:c>
      <x:c r="E796" s="17" t="str">
        <x:v>stage2_screened_out</x:v>
      </x:c>
      <x:c r="F796" s="17" t="str">
        <x:v>Only one bounded registry/program-code signal was present; no independent topical, Calendar, current-faculty, or first-audit signal was recovered.</x:v>
      </x:c>
      <x:c r="G796" s="17" t="str">
        <x:v>Does the current official catalog contain a research graduate program matching the applicant's topics?</x:v>
      </x:c>
      <x:c r="H796" s="17" t="str">
        <x:v>https://www.regis.edu</x:v>
      </x:c>
      <x:c r="I796" s="17" t="str">
        <x:v>not_sampled</x:v>
      </x:c>
      <x:c r="J796" s="17" t="str">
        <x:v>not_sampled</x:v>
      </x:c>
    </x:row>
    <x:row r="797" ht="46" customHeight="1">
      <x:c r="A797" s="17" t="str">
        <x:v>us</x:v>
      </x:c>
      <x:c r="B797" s="17" t="str">
        <x:v>Rensselaer Polytechnic Institute</x:v>
      </x:c>
      <x:c r="C797" s="17" t="str">
        <x:v>IPEDS discovery signal: Computer Science (CIP 11.0701)</x:v>
      </x:c>
      <x:c r="D797" s="17" t="str">
        <x:v>Unclear</x:v>
      </x:c>
      <x:c r="E797" s="17" t="str">
        <x:v>stage2_screened_out</x:v>
      </x:c>
      <x:c r="F797" s="17" t="str">
        <x:v>Only one bounded registry/program-code signal was present; no independent topical, Calendar, current-faculty, or first-audit signal was recovered.</x:v>
      </x:c>
      <x:c r="G797" s="17" t="str">
        <x:v>Does the current official catalog contain a research graduate program matching the applicant's topics?</x:v>
      </x:c>
      <x:c r="H797" s="17" t="str">
        <x:v>https://www.rpi.edu</x:v>
      </x:c>
      <x:c r="I797" s="17" t="str">
        <x:v>false_negative_corrected</x:v>
      </x:c>
      <x:c r="J797" s="17" t="str">
        <x:v>confirmed</x:v>
      </x:c>
    </x:row>
    <x:row r="798" ht="46" customHeight="1">
      <x:c r="A798" s="17" t="str">
        <x:v>us</x:v>
      </x:c>
      <x:c r="B798" s="17" t="str">
        <x:v>Rensselaer Polytechnic Institute</x:v>
      </x:c>
      <x:c r="C798" s="17" t="str">
        <x:v>IPEDS discovery signal: Electrical and Electronics Engineering (CIP 14.1001)</x:v>
      </x:c>
      <x:c r="D798" s="17" t="str">
        <x:v>Unclear</x:v>
      </x:c>
      <x:c r="E798" s="17" t="str">
        <x:v>stage2_screened_out</x:v>
      </x:c>
      <x:c r="F798" s="17" t="str">
        <x:v>Only one bounded registry/program-code signal was present; no independent topical, Calendar, current-faculty, or first-audit signal was recovered.</x:v>
      </x:c>
      <x:c r="G798" s="17" t="str">
        <x:v>Does the current official catalog contain a research graduate program matching the applicant's topics?</x:v>
      </x:c>
      <x:c r="H798" s="17" t="str">
        <x:v>https://www.rpi.edu</x:v>
      </x:c>
      <x:c r="I798" s="17" t="str">
        <x:v>false_negative_corrected</x:v>
      </x:c>
      <x:c r="J798" s="17" t="str">
        <x:v>confirmed</x:v>
      </x:c>
    </x:row>
    <x:row r="799" ht="46" customHeight="1">
      <x:c r="A799" s="17" t="str">
        <x:v>us</x:v>
      </x:c>
      <x:c r="B799" s="17" t="str">
        <x:v>Rensselaer Polytechnic Institute</x:v>
      </x:c>
      <x:c r="C799" s="17" t="str">
        <x:v>IPEDS discovery signal: Information Technology (CIP 11.0103)</x:v>
      </x:c>
      <x:c r="D799" s="17" t="str">
        <x:v>Unclear</x:v>
      </x:c>
      <x:c r="E799" s="17" t="str">
        <x:v>stage2_screened_out</x:v>
      </x:c>
      <x:c r="F799" s="17" t="str">
        <x:v>Only one bounded registry/program-code signal was present; no independent topical, Calendar, current-faculty, or first-audit signal was recovered.</x:v>
      </x:c>
      <x:c r="G799" s="17" t="str">
        <x:v>Does the current official catalog contain a research graduate program matching the applicant's topics?</x:v>
      </x:c>
      <x:c r="H799" s="17" t="str">
        <x:v>https://www.rpi.edu</x:v>
      </x:c>
      <x:c r="I799" s="17" t="str">
        <x:v>false_negative_corrected</x:v>
      </x:c>
      <x:c r="J799" s="17" t="str">
        <x:v>confirmed</x:v>
      </x:c>
    </x:row>
    <x:row r="800" ht="46" customHeight="1">
      <x:c r="A800" s="17" t="str">
        <x:v>us</x:v>
      </x:c>
      <x:c r="B800" s="17" t="str">
        <x:v>Rice University</x:v>
      </x:c>
      <x:c r="C800" s="17" t="str">
        <x:v>IPEDS discovery signal: Data Science, General (CIP 30.7001)</x:v>
      </x:c>
      <x:c r="D800" s="17" t="str">
        <x:v>Unclear</x:v>
      </x:c>
      <x:c r="E800" s="17" t="str">
        <x:v>stage2_screened_out</x:v>
      </x:c>
      <x:c r="F800" s="17" t="str">
        <x:v>Duplicate mechanical discovery signal consolidated into one institution-level catalog review candidate.</x:v>
      </x:c>
      <x:c r="G800" s="17" t="str">
        <x:v>Does the current official catalog contain a research graduate program matching the applicant's topics?</x:v>
      </x:c>
      <x:c r="H800" s="17" t="str">
        <x:v>https://www.rice.edu</x:v>
      </x:c>
      <x:c r="I800" s="17" t="str">
        <x:v>not_sampled</x:v>
      </x:c>
      <x:c r="J800" s="17" t="str">
        <x:v>not_sampled</x:v>
      </x:c>
    </x:row>
    <x:row r="801" ht="46" customHeight="1">
      <x:c r="A801" s="17" t="str">
        <x:v>us</x:v>
      </x:c>
      <x:c r="B801" s="17" t="str">
        <x:v>Rice University</x:v>
      </x:c>
      <x:c r="C801" s="17" t="str">
        <x:v>IPEDS discovery signal: Electrical and Electronics Engineering (CIP 14.1001)</x:v>
      </x:c>
      <x:c r="D801" s="17" t="str">
        <x:v>Unclear</x:v>
      </x:c>
      <x:c r="E801" s="17" t="str">
        <x:v>stage2_screened_out</x:v>
      </x:c>
      <x:c r="F801" s="17" t="str">
        <x:v>Duplicate mechanical discovery signal consolidated into one institution-level catalog review candidate.</x:v>
      </x:c>
      <x:c r="G801" s="17" t="str">
        <x:v>Does the current official catalog contain a research graduate program matching the applicant's topics?</x:v>
      </x:c>
      <x:c r="H801" s="17" t="str">
        <x:v>https://www.rice.edu</x:v>
      </x:c>
      <x:c r="I801" s="17" t="str">
        <x:v>not_sampled</x:v>
      </x:c>
      <x:c r="J801" s="17" t="str">
        <x:v>not_sampled</x:v>
      </x:c>
    </x:row>
    <x:row r="802" ht="46" customHeight="1">
      <x:c r="A802" s="17" t="str">
        <x:v>us</x:v>
      </x:c>
      <x:c r="B802" s="17" t="str">
        <x:v>Rider University</x:v>
      </x:c>
      <x:c r="C802" s="17" t="str">
        <x:v>IPEDS discovery signal: Computer and Information Systems Security/Auditing/Information Assurance (CIP 11.1003)</x:v>
      </x:c>
      <x:c r="D802" s="17" t="str">
        <x:v>Unclear</x:v>
      </x:c>
      <x:c r="E802" s="17" t="str">
        <x:v>stage2_screened_out</x:v>
      </x:c>
      <x:c r="F802" s="17" t="str">
        <x:v>Only one bounded registry/program-code signal was present; no independent topical, Calendar, current-faculty, or first-audit signal was recovered.</x:v>
      </x:c>
      <x:c r="G802" s="17" t="str">
        <x:v>Does the current official catalog contain a research graduate program matching the applicant's topics?</x:v>
      </x:c>
      <x:c r="H802" s="17" t="str">
        <x:v>https://www.rider.edu</x:v>
      </x:c>
      <x:c r="I802" s="17" t="str">
        <x:v>not_sampled</x:v>
      </x:c>
      <x:c r="J802" s="17" t="str">
        <x:v>not_sampled</x:v>
      </x:c>
    </x:row>
    <x:row r="803" ht="46" customHeight="1">
      <x:c r="A803" s="17" t="str">
        <x:v>us</x:v>
      </x:c>
      <x:c r="B803" s="17" t="str">
        <x:v>Rider University</x:v>
      </x:c>
      <x:c r="C803" s="17" t="str">
        <x:v>IPEDS discovery signal: Cyber/Computer Forensics and Counterterrorism (CIP 43.0403)</x:v>
      </x:c>
      <x:c r="D803" s="17" t="str">
        <x:v>Unclear</x:v>
      </x:c>
      <x:c r="E803" s="17" t="str">
        <x:v>stage2_screened_out</x:v>
      </x:c>
      <x:c r="F803" s="17" t="str">
        <x:v>Only one bounded registry/program-code signal was present; no independent topical, Calendar, current-faculty, or first-audit signal was recovered.</x:v>
      </x:c>
      <x:c r="G803" s="17" t="str">
        <x:v>Does the current official catalog contain a research graduate program matching the applicant's topics?</x:v>
      </x:c>
      <x:c r="H803" s="17" t="str">
        <x:v>https://www.rider.edu</x:v>
      </x:c>
      <x:c r="I803" s="17" t="str">
        <x:v>not_sampled</x:v>
      </x:c>
      <x:c r="J803" s="17" t="str">
        <x:v>not_sampled</x:v>
      </x:c>
    </x:row>
    <x:row r="804" ht="46" customHeight="1">
      <x:c r="A804" s="17" t="str">
        <x:v>us</x:v>
      </x:c>
      <x:c r="B804" s="17" t="str">
        <x:v>Rivier University</x:v>
      </x:c>
      <x:c r="C804" s="17" t="str">
        <x:v>IPEDS discovery signal: Computer and Information Sciences, General (CIP 11.0101)</x:v>
      </x:c>
      <x:c r="D804" s="17" t="str">
        <x:v>Unclear</x:v>
      </x:c>
      <x:c r="E804" s="17" t="str">
        <x:v>stage2_screened_out</x:v>
      </x:c>
      <x:c r="F804" s="17" t="str">
        <x:v>Only one bounded registry/program-code signal was present; no independent topical, Calendar, current-faculty, or first-audit signal was recovered.</x:v>
      </x:c>
      <x:c r="G804" s="17" t="str">
        <x:v>Does the current official catalog contain a research graduate program matching the applicant's topics?</x:v>
      </x:c>
      <x:c r="H804" s="17" t="str">
        <x:v>https://www.rivier.edu</x:v>
      </x:c>
      <x:c r="I804" s="17" t="str">
        <x:v>not_sampled</x:v>
      </x:c>
      <x:c r="J804" s="17" t="str">
        <x:v>not_sampled</x:v>
      </x:c>
    </x:row>
    <x:row r="805" ht="46" customHeight="1">
      <x:c r="A805" s="17" t="str">
        <x:v>us</x:v>
      </x:c>
      <x:c r="B805" s="17" t="str">
        <x:v>Rivier University</x:v>
      </x:c>
      <x:c r="C805" s="17" t="str">
        <x:v>IPEDS discovery signal: Computer Science (CIP 11.0701)</x:v>
      </x:c>
      <x:c r="D805" s="17" t="str">
        <x:v>Unclear</x:v>
      </x:c>
      <x:c r="E805" s="17" t="str">
        <x:v>stage2_screened_out</x:v>
      </x:c>
      <x:c r="F805" s="17" t="str">
        <x:v>Only one bounded registry/program-code signal was present; no independent topical, Calendar, current-faculty, or first-audit signal was recovered.</x:v>
      </x:c>
      <x:c r="G805" s="17" t="str">
        <x:v>Does the current official catalog contain a research graduate program matching the applicant's topics?</x:v>
      </x:c>
      <x:c r="H805" s="17" t="str">
        <x:v>https://www.rivier.edu</x:v>
      </x:c>
      <x:c r="I805" s="17" t="str">
        <x:v>not_sampled</x:v>
      </x:c>
      <x:c r="J805" s="17" t="str">
        <x:v>not_sampled</x:v>
      </x:c>
    </x:row>
    <x:row r="806" ht="46" customHeight="1">
      <x:c r="A806" s="17" t="str">
        <x:v>us</x:v>
      </x:c>
      <x:c r="B806" s="17" t="str">
        <x:v>Robert Morris University</x:v>
      </x:c>
      <x:c r="C806" s="17" t="str">
        <x:v>IPEDS discovery signal: Computer and Information Systems Security/Auditing/Information Assurance (CIP 11.1003)</x:v>
      </x:c>
      <x:c r="D806" s="17" t="str">
        <x:v>Unclear</x:v>
      </x:c>
      <x:c r="E806" s="17" t="str">
        <x:v>stage2_screened_out</x:v>
      </x:c>
      <x:c r="F806" s="17" t="str">
        <x:v>Only one bounded registry/program-code signal was present; no independent topical, Calendar, current-faculty, or first-audit signal was recovered.</x:v>
      </x:c>
      <x:c r="G806" s="17" t="str">
        <x:v>Does the current official catalog contain a research graduate program matching the applicant's topics?</x:v>
      </x:c>
      <x:c r="H806" s="17" t="str">
        <x:v>https://www.rmu.edu</x:v>
      </x:c>
      <x:c r="I806" s="17" t="str">
        <x:v>not_sampled</x:v>
      </x:c>
      <x:c r="J806" s="17" t="str">
        <x:v>not_sampled</x:v>
      </x:c>
    </x:row>
    <x:row r="807" ht="46" customHeight="1">
      <x:c r="A807" s="17" t="str">
        <x:v>us</x:v>
      </x:c>
      <x:c r="B807" s="17" t="str">
        <x:v>Robert Morris University</x:v>
      </x:c>
      <x:c r="C807" s="17" t="str">
        <x:v>IPEDS discovery signal: Cyber/Computer Forensics and Counterterrorism (CIP 43.0403)</x:v>
      </x:c>
      <x:c r="D807" s="17" t="str">
        <x:v>Unclear</x:v>
      </x:c>
      <x:c r="E807" s="17" t="str">
        <x:v>stage2_screened_out</x:v>
      </x:c>
      <x:c r="F807" s="17" t="str">
        <x:v>Only one bounded registry/program-code signal was present; no independent topical, Calendar, current-faculty, or first-audit signal was recovered.</x:v>
      </x:c>
      <x:c r="G807" s="17" t="str">
        <x:v>Does the current official catalog contain a research graduate program matching the applicant's topics?</x:v>
      </x:c>
      <x:c r="H807" s="17" t="str">
        <x:v>https://www.rmu.edu</x:v>
      </x:c>
      <x:c r="I807" s="17" t="str">
        <x:v>not_sampled</x:v>
      </x:c>
      <x:c r="J807" s="17" t="str">
        <x:v>not_sampled</x:v>
      </x:c>
    </x:row>
    <x:row r="808" ht="46" customHeight="1">
      <x:c r="A808" s="17" t="str">
        <x:v>us</x:v>
      </x:c>
      <x:c r="B808" s="17" t="str">
        <x:v>Robert Morris University</x:v>
      </x:c>
      <x:c r="C808" s="17" t="str">
        <x:v>IPEDS discovery signal: Information Science/Studies (CIP 11.0401)</x:v>
      </x:c>
      <x:c r="D808" s="17" t="str">
        <x:v>Unclear</x:v>
      </x:c>
      <x:c r="E808" s="17" t="str">
        <x:v>stage2_screened_out</x:v>
      </x:c>
      <x:c r="F808" s="17" t="str">
        <x:v>Only one bounded registry/program-code signal was present; no independent topical, Calendar, current-faculty, or first-audit signal was recovered.</x:v>
      </x:c>
      <x:c r="G808" s="17" t="str">
        <x:v>Does the current official catalog contain a research graduate program matching the applicant's topics?</x:v>
      </x:c>
      <x:c r="H808" s="17" t="str">
        <x:v>https://www.rmu.edu</x:v>
      </x:c>
      <x:c r="I808" s="17" t="str">
        <x:v>not_sampled</x:v>
      </x:c>
      <x:c r="J808" s="17" t="str">
        <x:v>not_sampled</x:v>
      </x:c>
    </x:row>
    <x:row r="809" ht="46" customHeight="1">
      <x:c r="A809" s="17" t="str">
        <x:v>us</x:v>
      </x:c>
      <x:c r="B809" s="17" t="str">
        <x:v>Robert Morris University</x:v>
      </x:c>
      <x:c r="C809" s="17" t="str">
        <x:v>IPEDS discovery signal: Information Technology (CIP 11.0103)</x:v>
      </x:c>
      <x:c r="D809" s="17" t="str">
        <x:v>Unclear</x:v>
      </x:c>
      <x:c r="E809" s="17" t="str">
        <x:v>stage2_screened_out</x:v>
      </x:c>
      <x:c r="F809" s="17" t="str">
        <x:v>Only one bounded registry/program-code signal was present; no independent topical, Calendar, current-faculty, or first-audit signal was recovered.</x:v>
      </x:c>
      <x:c r="G809" s="17" t="str">
        <x:v>Does the current official catalog contain a research graduate program matching the applicant's topics?</x:v>
      </x:c>
      <x:c r="H809" s="17" t="str">
        <x:v>https://www.rmu.edu</x:v>
      </x:c>
      <x:c r="I809" s="17" t="str">
        <x:v>not_sampled</x:v>
      </x:c>
      <x:c r="J809" s="17" t="str">
        <x:v>not_sampled</x:v>
      </x:c>
    </x:row>
    <x:row r="810" ht="46" customHeight="1">
      <x:c r="A810" s="17" t="str">
        <x:v>us</x:v>
      </x:c>
      <x:c r="B810" s="17" t="str">
        <x:v>Rochester Institute of Technology</x:v>
      </x:c>
      <x:c r="C810" s="17" t="str">
        <x:v>IPEDS discovery signal: Computer and Information Sciences, General (CIP 11.0101)</x:v>
      </x:c>
      <x:c r="D810" s="17" t="str">
        <x:v>Unclear</x:v>
      </x:c>
      <x:c r="E810" s="17" t="str">
        <x:v>stage2_screened_out</x:v>
      </x:c>
      <x:c r="F810" s="17" t="str">
        <x:v>Mechanical discovery placeholder is superseded by an exact official program record at the same institution.</x:v>
      </x:c>
      <x:c r="G810" s="17" t="str">
        <x:v>Does the current official catalog contain a research graduate program matching the applicant's topics?</x:v>
      </x:c>
      <x:c r="H810" s="17" t="str">
        <x:v>https://www.rit.edu</x:v>
      </x:c>
      <x:c r="I810" s="17" t="str">
        <x:v>not_sampled</x:v>
      </x:c>
      <x:c r="J810" s="17" t="str">
        <x:v>not_sampled</x:v>
      </x:c>
    </x:row>
    <x:row r="811" ht="46" customHeight="1">
      <x:c r="A811" s="17" t="str">
        <x:v>us</x:v>
      </x:c>
      <x:c r="B811" s="17" t="str">
        <x:v>Rochester Institute of Technology</x:v>
      </x:c>
      <x:c r="C811" s="17" t="str">
        <x:v>IPEDS discovery signal: Computer and Information Systems Security/Auditing/Information Assurance (CIP 11.1003)</x:v>
      </x:c>
      <x:c r="D811" s="17" t="str">
        <x:v>Unclear</x:v>
      </x:c>
      <x:c r="E811" s="17" t="str">
        <x:v>stage2_screened_out</x:v>
      </x:c>
      <x:c r="F811" s="17" t="str">
        <x:v>Mechanical discovery placeholder is superseded by an exact official program record at the same institution.</x:v>
      </x:c>
      <x:c r="G811" s="17" t="str">
        <x:v>Does the current official catalog contain a research graduate program matching the applicant's topics?</x:v>
      </x:c>
      <x:c r="H811" s="17" t="str">
        <x:v>https://www.rit.edu</x:v>
      </x:c>
      <x:c r="I811" s="17" t="str">
        <x:v>not_sampled</x:v>
      </x:c>
      <x:c r="J811" s="17" t="str">
        <x:v>not_sampled</x:v>
      </x:c>
    </x:row>
    <x:row r="812" ht="46" customHeight="1">
      <x:c r="A812" s="17" t="str">
        <x:v>us</x:v>
      </x:c>
      <x:c r="B812" s="17" t="str">
        <x:v>Rochester Institute of Technology</x:v>
      </x:c>
      <x:c r="C812" s="17" t="str">
        <x:v>IPEDS discovery signal: Computer Engineering, General (CIP 14.0901)</x:v>
      </x:c>
      <x:c r="D812" s="17" t="str">
        <x:v>Unclear</x:v>
      </x:c>
      <x:c r="E812" s="17" t="str">
        <x:v>stage2_screened_out</x:v>
      </x:c>
      <x:c r="F812" s="17" t="str">
        <x:v>Mechanical discovery placeholder is superseded by an exact official program record at the same institution.</x:v>
      </x:c>
      <x:c r="G812" s="17" t="str">
        <x:v>Does the current official catalog contain a research graduate program matching the applicant's topics?</x:v>
      </x:c>
      <x:c r="H812" s="17" t="str">
        <x:v>https://www.rit.edu</x:v>
      </x:c>
      <x:c r="I812" s="17" t="str">
        <x:v>not_sampled</x:v>
      </x:c>
      <x:c r="J812" s="17" t="str">
        <x:v>not_sampled</x:v>
      </x:c>
    </x:row>
    <x:row r="813" ht="46" customHeight="1">
      <x:c r="A813" s="17" t="str">
        <x:v>us</x:v>
      </x:c>
      <x:c r="B813" s="17" t="str">
        <x:v>Rochester Institute of Technology</x:v>
      </x:c>
      <x:c r="C813" s="17" t="str">
        <x:v>IPEDS discovery signal: Computer Science (CIP 11.0701)</x:v>
      </x:c>
      <x:c r="D813" s="17" t="str">
        <x:v>Unclear</x:v>
      </x:c>
      <x:c r="E813" s="17" t="str">
        <x:v>stage2_screened_out</x:v>
      </x:c>
      <x:c r="F813" s="17" t="str">
        <x:v>Mechanical discovery placeholder is superseded by an exact official program record at the same institution.</x:v>
      </x:c>
      <x:c r="G813" s="17" t="str">
        <x:v>Does the current official catalog contain a research graduate program matching the applicant's topics?</x:v>
      </x:c>
      <x:c r="H813" s="17" t="str">
        <x:v>https://www.rit.edu</x:v>
      </x:c>
      <x:c r="I813" s="17" t="str">
        <x:v>not_sampled</x:v>
      </x:c>
      <x:c r="J813" s="17" t="str">
        <x:v>not_sampled</x:v>
      </x:c>
    </x:row>
    <x:row r="814" ht="46" customHeight="1">
      <x:c r="A814" s="17" t="str">
        <x:v>us</x:v>
      </x:c>
      <x:c r="B814" s="17" t="str">
        <x:v>Rochester Institute of Technology</x:v>
      </x:c>
      <x:c r="C814" s="17" t="str">
        <x:v>IPEDS discovery signal: Computer Software Engineering (CIP 14.0903)</x:v>
      </x:c>
      <x:c r="D814" s="17" t="str">
        <x:v>Unclear</x:v>
      </x:c>
      <x:c r="E814" s="17" t="str">
        <x:v>stage2_screened_out</x:v>
      </x:c>
      <x:c r="F814" s="17" t="str">
        <x:v>Mechanical discovery placeholder is superseded by an exact official program record at the same institution.</x:v>
      </x:c>
      <x:c r="G814" s="17" t="str">
        <x:v>Does the current official catalog contain a research graduate program matching the applicant's topics?</x:v>
      </x:c>
      <x:c r="H814" s="17" t="str">
        <x:v>https://www.rit.edu</x:v>
      </x:c>
      <x:c r="I814" s="17" t="str">
        <x:v>not_sampled</x:v>
      </x:c>
      <x:c r="J814" s="17" t="str">
        <x:v>not_sampled</x:v>
      </x:c>
    </x:row>
    <x:row r="815" ht="46" customHeight="1">
      <x:c r="A815" s="17" t="str">
        <x:v>us</x:v>
      </x:c>
      <x:c r="B815" s="17" t="str">
        <x:v>Rochester Institute of Technology</x:v>
      </x:c>
      <x:c r="C815" s="17" t="str">
        <x:v>IPEDS discovery signal: Computer Systems Networking and Telecommunications (CIP 11.0901)</x:v>
      </x:c>
      <x:c r="D815" s="17" t="str">
        <x:v>Unclear</x:v>
      </x:c>
      <x:c r="E815" s="17" t="str">
        <x:v>stage2_screened_out</x:v>
      </x:c>
      <x:c r="F815" s="17" t="str">
        <x:v>Mechanical discovery placeholder is superseded by an exact official program record at the same institution.</x:v>
      </x:c>
      <x:c r="G815" s="17" t="str">
        <x:v>Does the current official catalog contain a research graduate program matching the applicant's topics?</x:v>
      </x:c>
      <x:c r="H815" s="17" t="str">
        <x:v>https://www.rit.edu</x:v>
      </x:c>
      <x:c r="I815" s="17" t="str">
        <x:v>not_sampled</x:v>
      </x:c>
      <x:c r="J815" s="17" t="str">
        <x:v>not_sampled</x:v>
      </x:c>
    </x:row>
    <x:row r="816" ht="46" customHeight="1">
      <x:c r="A816" s="17" t="str">
        <x:v>us</x:v>
      </x:c>
      <x:c r="B816" s="17" t="str">
        <x:v>Rochester Institute of Technology</x:v>
      </x:c>
      <x:c r="C816" s="17" t="str">
        <x:v>IPEDS discovery signal: Electrical and Electronics Engineering (CIP 14.1001)</x:v>
      </x:c>
      <x:c r="D816" s="17" t="str">
        <x:v>Unclear</x:v>
      </x:c>
      <x:c r="E816" s="17" t="str">
        <x:v>stage2_screened_out</x:v>
      </x:c>
      <x:c r="F816" s="17" t="str">
        <x:v>Mechanical discovery placeholder is superseded by an exact official program record at the same institution.</x:v>
      </x:c>
      <x:c r="G816" s="17" t="str">
        <x:v>Does the current official catalog contain a research graduate program matching the applicant's topics?</x:v>
      </x:c>
      <x:c r="H816" s="17" t="str">
        <x:v>https://www.rit.edu</x:v>
      </x:c>
      <x:c r="I816" s="17" t="str">
        <x:v>not_sampled</x:v>
      </x:c>
      <x:c r="J816" s="17" t="str">
        <x:v>not_sampled</x:v>
      </x:c>
    </x:row>
    <x:row r="817" ht="46" customHeight="1">
      <x:c r="A817" s="17" t="str">
        <x:v>us</x:v>
      </x:c>
      <x:c r="B817" s="17" t="str">
        <x:v>Rochester Institute of Technology</x:v>
      </x:c>
      <x:c r="C817" s="17" t="str">
        <x:v>IPEDS discovery signal: Informatics (CIP 11.0104)</x:v>
      </x:c>
      <x:c r="D817" s="17" t="str">
        <x:v>Unclear</x:v>
      </x:c>
      <x:c r="E817" s="17" t="str">
        <x:v>stage2_screened_out</x:v>
      </x:c>
      <x:c r="F817" s="17" t="str">
        <x:v>Mechanical discovery placeholder is superseded by an exact official program record at the same institution.</x:v>
      </x:c>
      <x:c r="G817" s="17" t="str">
        <x:v>Does the current official catalog contain a research graduate program matching the applicant's topics?</x:v>
      </x:c>
      <x:c r="H817" s="17" t="str">
        <x:v>https://www.rit.edu</x:v>
      </x:c>
      <x:c r="I817" s="17" t="str">
        <x:v>not_sampled</x:v>
      </x:c>
      <x:c r="J817" s="17" t="str">
        <x:v>not_sampled</x:v>
      </x:c>
    </x:row>
    <x:row r="818" ht="46" customHeight="1">
      <x:c r="A818" s="17" t="str">
        <x:v>us</x:v>
      </x:c>
      <x:c r="B818" s="17" t="str">
        <x:v>Rochester Institute of Technology</x:v>
      </x:c>
      <x:c r="C818" s="17" t="str">
        <x:v>IPEDS discovery signal: Information Science/Studies (CIP 11.0401)</x:v>
      </x:c>
      <x:c r="D818" s="17" t="str">
        <x:v>Unclear</x:v>
      </x:c>
      <x:c r="E818" s="17" t="str">
        <x:v>stage2_screened_out</x:v>
      </x:c>
      <x:c r="F818" s="17" t="str">
        <x:v>Mechanical discovery placeholder is superseded by an exact official program record at the same institution.</x:v>
      </x:c>
      <x:c r="G818" s="17" t="str">
        <x:v>Does the current official catalog contain a research graduate program matching the applicant's topics?</x:v>
      </x:c>
      <x:c r="H818" s="17" t="str">
        <x:v>https://www.rit.edu</x:v>
      </x:c>
      <x:c r="I818" s="17" t="str">
        <x:v>not_sampled</x:v>
      </x:c>
      <x:c r="J818" s="17" t="str">
        <x:v>not_sampled</x:v>
      </x:c>
    </x:row>
    <x:row r="819" ht="46" customHeight="1">
      <x:c r="A819" s="17" t="str">
        <x:v>us</x:v>
      </x:c>
      <x:c r="B819" s="17" t="str">
        <x:v>Roger Williams University</x:v>
      </x:c>
      <x:c r="C819" s="17" t="str">
        <x:v>IPEDS discovery signal: Computer and Information Systems Security/Auditing/Information Assurance (CIP 11.1003)</x:v>
      </x:c>
      <x:c r="D819" s="17" t="str">
        <x:v>Unclear</x:v>
      </x:c>
      <x:c r="E819" s="17" t="str">
        <x:v>stage2_screened_out</x:v>
      </x:c>
      <x:c r="F819" s="17" t="str">
        <x:v>Only one bounded registry/program-code signal was present; no independent topical, Calendar, current-faculty, or first-audit signal was recovered.</x:v>
      </x:c>
      <x:c r="G819" s="17" t="str">
        <x:v>Does the current official catalog contain a research graduate program matching the applicant's topics?</x:v>
      </x:c>
      <x:c r="H819" s="17" t="str">
        <x:v>https://www.rwu.edu</x:v>
      </x:c>
      <x:c r="I819" s="17" t="str">
        <x:v>not_sampled</x:v>
      </x:c>
      <x:c r="J819" s="17" t="str">
        <x:v>not_sampled</x:v>
      </x:c>
    </x:row>
    <x:row r="820" ht="46" customHeight="1">
      <x:c r="A820" s="17" t="str">
        <x:v>us</x:v>
      </x:c>
      <x:c r="B820" s="17" t="str">
        <x:v>Roosevelt University</x:v>
      </x:c>
      <x:c r="C820" s="17" t="str">
        <x:v>IPEDS discovery signal: Computer and Information Systems Security/Auditing/Information Assurance (CIP 11.1003)</x:v>
      </x:c>
      <x:c r="D820" s="17" t="str">
        <x:v>Unclear</x:v>
      </x:c>
      <x:c r="E820" s="17" t="str">
        <x:v>stage2_screened_out</x:v>
      </x:c>
      <x:c r="F820" s="17" t="str">
        <x:v>Only one bounded registry/program-code signal was present; no independent topical, Calendar, current-faculty, or first-audit signal was recovered.</x:v>
      </x:c>
      <x:c r="G820" s="17" t="str">
        <x:v>Does the current official catalog contain a research graduate program matching the applicant's topics?</x:v>
      </x:c>
      <x:c r="H820" s="17" t="str">
        <x:v>https://www.roosevelt.edu</x:v>
      </x:c>
      <x:c r="I820" s="17" t="str">
        <x:v>not_sampled</x:v>
      </x:c>
      <x:c r="J820" s="17" t="str">
        <x:v>not_sampled</x:v>
      </x:c>
    </x:row>
    <x:row r="821" ht="46" customHeight="1">
      <x:c r="A821" s="17" t="str">
        <x:v>us</x:v>
      </x:c>
      <x:c r="B821" s="17" t="str">
        <x:v>Roosevelt University</x:v>
      </x:c>
      <x:c r="C821" s="17" t="str">
        <x:v>IPEDS discovery signal: Computer Science (CIP 11.0701)</x:v>
      </x:c>
      <x:c r="D821" s="17" t="str">
        <x:v>Unclear</x:v>
      </x:c>
      <x:c r="E821" s="17" t="str">
        <x:v>stage2_screened_out</x:v>
      </x:c>
      <x:c r="F821" s="17" t="str">
        <x:v>Only one bounded registry/program-code signal was present; no independent topical, Calendar, current-faculty, or first-audit signal was recovered.</x:v>
      </x:c>
      <x:c r="G821" s="17" t="str">
        <x:v>Does the current official catalog contain a research graduate program matching the applicant's topics?</x:v>
      </x:c>
      <x:c r="H821" s="17" t="str">
        <x:v>https://www.roosevelt.edu</x:v>
      </x:c>
      <x:c r="I821" s="17" t="str">
        <x:v>not_sampled</x:v>
      </x:c>
      <x:c r="J821" s="17" t="str">
        <x:v>not_sampled</x:v>
      </x:c>
    </x:row>
    <x:row r="822" ht="46" customHeight="1">
      <x:c r="A822" s="17" t="str">
        <x:v>us</x:v>
      </x:c>
      <x:c r="B822" s="17" t="str">
        <x:v>Roosevelt University</x:v>
      </x:c>
      <x:c r="C822" s="17" t="str">
        <x:v>IPEDS discovery signal: Information Science/Studies (CIP 11.0401)</x:v>
      </x:c>
      <x:c r="D822" s="17" t="str">
        <x:v>Unclear</x:v>
      </x:c>
      <x:c r="E822" s="17" t="str">
        <x:v>stage2_screened_out</x:v>
      </x:c>
      <x:c r="F822" s="17" t="str">
        <x:v>Only one bounded registry/program-code signal was present; no independent topical, Calendar, current-faculty, or first-audit signal was recovered.</x:v>
      </x:c>
      <x:c r="G822" s="17" t="str">
        <x:v>Does the current official catalog contain a research graduate program matching the applicant's topics?</x:v>
      </x:c>
      <x:c r="H822" s="17" t="str">
        <x:v>https://www.roosevelt.edu</x:v>
      </x:c>
      <x:c r="I822" s="17" t="str">
        <x:v>not_sampled</x:v>
      </x:c>
      <x:c r="J822" s="17" t="str">
        <x:v>not_sampled</x:v>
      </x:c>
    </x:row>
    <x:row r="823" ht="46" customHeight="1">
      <x:c r="A823" s="17" t="str">
        <x:v>us</x:v>
      </x:c>
      <x:c r="B823" s="17" t="str">
        <x:v>Rowan University</x:v>
      </x:c>
      <x:c r="C823" s="17" t="str">
        <x:v>IPEDS discovery signal: Computer and Information Sciences, General (CIP 11.0101)</x:v>
      </x:c>
      <x:c r="D823" s="17" t="str">
        <x:v>Unclear</x:v>
      </x:c>
      <x:c r="E823" s="17" t="str">
        <x:v>stage2_screened_out</x:v>
      </x:c>
      <x:c r="F823" s="17" t="str">
        <x:v>Only one bounded registry/program-code signal was present; no independent topical, Calendar, current-faculty, or first-audit signal was recovered.</x:v>
      </x:c>
      <x:c r="G823" s="17" t="str">
        <x:v>Does the current official catalog contain a research graduate program matching the applicant's topics?</x:v>
      </x:c>
      <x:c r="H823" s="17" t="str">
        <x:v>https://www.rowan.edu</x:v>
      </x:c>
      <x:c r="I823" s="17" t="str">
        <x:v>not_sampled</x:v>
      </x:c>
      <x:c r="J823" s="17" t="str">
        <x:v>not_sampled</x:v>
      </x:c>
    </x:row>
    <x:row r="824" ht="46" customHeight="1">
      <x:c r="A824" s="17" t="str">
        <x:v>us</x:v>
      </x:c>
      <x:c r="B824" s="17" t="str">
        <x:v>Rowan University</x:v>
      </x:c>
      <x:c r="C824" s="17" t="str">
        <x:v>IPEDS discovery signal: Computer and Information Systems Security/Auditing/Information Assurance (CIP 11.1003)</x:v>
      </x:c>
      <x:c r="D824" s="17" t="str">
        <x:v>Unclear</x:v>
      </x:c>
      <x:c r="E824" s="17" t="str">
        <x:v>stage2_screened_out</x:v>
      </x:c>
      <x:c r="F824" s="17" t="str">
        <x:v>Only one bounded registry/program-code signal was present; no independent topical, Calendar, current-faculty, or first-audit signal was recovered.</x:v>
      </x:c>
      <x:c r="G824" s="17" t="str">
        <x:v>Does the current official catalog contain a research graduate program matching the applicant's topics?</x:v>
      </x:c>
      <x:c r="H824" s="17" t="str">
        <x:v>https://www.rowan.edu</x:v>
      </x:c>
      <x:c r="I824" s="17" t="str">
        <x:v>not_sampled</x:v>
      </x:c>
      <x:c r="J824" s="17" t="str">
        <x:v>not_sampled</x:v>
      </x:c>
    </x:row>
    <x:row r="825" ht="46" customHeight="1">
      <x:c r="A825" s="17" t="str">
        <x:v>us</x:v>
      </x:c>
      <x:c r="B825" s="17" t="str">
        <x:v>Rowan University</x:v>
      </x:c>
      <x:c r="C825" s="17" t="str">
        <x:v>IPEDS discovery signal: Computer Science (CIP 11.0701)</x:v>
      </x:c>
      <x:c r="D825" s="17" t="str">
        <x:v>Unclear</x:v>
      </x:c>
      <x:c r="E825" s="17" t="str">
        <x:v>stage2_screened_out</x:v>
      </x:c>
      <x:c r="F825" s="17" t="str">
        <x:v>Only one bounded registry/program-code signal was present; no independent topical, Calendar, current-faculty, or first-audit signal was recovered.</x:v>
      </x:c>
      <x:c r="G825" s="17" t="str">
        <x:v>Does the current official catalog contain a research graduate program matching the applicant's topics?</x:v>
      </x:c>
      <x:c r="H825" s="17" t="str">
        <x:v>https://www.rowan.edu</x:v>
      </x:c>
      <x:c r="I825" s="17" t="str">
        <x:v>not_sampled</x:v>
      </x:c>
      <x:c r="J825" s="17" t="str">
        <x:v>not_sampled</x:v>
      </x:c>
    </x:row>
    <x:row r="826" ht="46" customHeight="1">
      <x:c r="A826" s="17" t="str">
        <x:v>us</x:v>
      </x:c>
      <x:c r="B826" s="17" t="str">
        <x:v>Rutgers University-Camden</x:v>
      </x:c>
      <x:c r="C826" s="17" t="str">
        <x:v>IPEDS discovery signal: Computer and Information Sciences, General (CIP 11.0101)</x:v>
      </x:c>
      <x:c r="D826" s="17" t="str">
        <x:v>Unclear</x:v>
      </x:c>
      <x:c r="E826" s="17" t="str">
        <x:v>stage2_screened_out</x:v>
      </x:c>
      <x:c r="F826" s="17" t="str">
        <x:v>Only one bounded registry/program-code signal was present; no independent topical, Calendar, current-faculty, or first-audit signal was recovered.</x:v>
      </x:c>
      <x:c r="G826" s="17" t="str">
        <x:v>Does the current official catalog contain a research graduate program matching the applicant's topics?</x:v>
      </x:c>
      <x:c r="H826" s="17" t="str">
        <x:v>https://camden.rutgers.edu</x:v>
      </x:c>
      <x:c r="I826" s="17" t="str">
        <x:v>not_sampled</x:v>
      </x:c>
      <x:c r="J826" s="17" t="str">
        <x:v>not_sampled</x:v>
      </x:c>
    </x:row>
    <x:row r="827" ht="46" customHeight="1">
      <x:c r="A827" s="17" t="str">
        <x:v>us</x:v>
      </x:c>
      <x:c r="B827" s="17" t="str">
        <x:v>Rutgers University-Camden</x:v>
      </x:c>
      <x:c r="C827" s="17" t="str">
        <x:v>IPEDS discovery signal: Computer and Information Sciences, Other (CIP 11.0199)</x:v>
      </x:c>
      <x:c r="D827" s="17" t="str">
        <x:v>Unclear</x:v>
      </x:c>
      <x:c r="E827" s="17" t="str">
        <x:v>stage2_screened_out</x:v>
      </x:c>
      <x:c r="F827" s="17" t="str">
        <x:v>Only one bounded registry/program-code signal was present; no independent topical, Calendar, current-faculty, or first-audit signal was recovered.</x:v>
      </x:c>
      <x:c r="G827" s="17" t="str">
        <x:v>Does the current official catalog contain a research graduate program matching the applicant's topics?</x:v>
      </x:c>
      <x:c r="H827" s="17" t="str">
        <x:v>https://camden.rutgers.edu</x:v>
      </x:c>
      <x:c r="I827" s="17" t="str">
        <x:v>not_sampled</x:v>
      </x:c>
      <x:c r="J827" s="17" t="str">
        <x:v>not_sampled</x:v>
      </x:c>
    </x:row>
    <x:row r="828" ht="46" customHeight="1">
      <x:c r="A828" s="17" t="str">
        <x:v>us</x:v>
      </x:c>
      <x:c r="B828" s="17" t="str">
        <x:v>Rutgers University-New Brunswick</x:v>
      </x:c>
      <x:c r="C828" s="17" t="str">
        <x:v>IPEDS discovery signal: Computer and Information Sciences, General (CIP 11.0101)</x:v>
      </x:c>
      <x:c r="D828" s="17" t="str">
        <x:v>Unclear</x:v>
      </x:c>
      <x:c r="E828" s="17" t="str">
        <x:v>stage2_screened_out</x:v>
      </x:c>
      <x:c r="F828" s="17" t="str">
        <x:v>Only one bounded registry/program-code signal was present; no independent topical, Calendar, current-faculty, or first-audit signal was recovered.</x:v>
      </x:c>
      <x:c r="G828" s="17" t="str">
        <x:v>Does the current official catalog contain a research graduate program matching the applicant's topics?</x:v>
      </x:c>
      <x:c r="H828" s="17" t="str">
        <x:v>https://newbrunswick.rutgers.edu</x:v>
      </x:c>
      <x:c r="I828" s="17" t="str">
        <x:v>false_negative_corrected</x:v>
      </x:c>
      <x:c r="J828" s="17" t="str">
        <x:v>confirmed</x:v>
      </x:c>
    </x:row>
    <x:row r="829" ht="46" customHeight="1">
      <x:c r="A829" s="17" t="str">
        <x:v>us</x:v>
      </x:c>
      <x:c r="B829" s="17" t="str">
        <x:v>Rutgers University-New Brunswick</x:v>
      </x:c>
      <x:c r="C829" s="17" t="str">
        <x:v>IPEDS discovery signal: Computer and Information Sciences, Other (CIP 11.0199)</x:v>
      </x:c>
      <x:c r="D829" s="17" t="str">
        <x:v>Unclear</x:v>
      </x:c>
      <x:c r="E829" s="17" t="str">
        <x:v>stage2_screened_out</x:v>
      </x:c>
      <x:c r="F829" s="17" t="str">
        <x:v>Only one bounded registry/program-code signal was present; no independent topical, Calendar, current-faculty, or first-audit signal was recovered.</x:v>
      </x:c>
      <x:c r="G829" s="17" t="str">
        <x:v>Does the current official catalog contain a research graduate program matching the applicant's topics?</x:v>
      </x:c>
      <x:c r="H829" s="17" t="str">
        <x:v>https://newbrunswick.rutgers.edu</x:v>
      </x:c>
      <x:c r="I829" s="17" t="str">
        <x:v>false_negative_corrected</x:v>
      </x:c>
      <x:c r="J829" s="17" t="str">
        <x:v>confirmed</x:v>
      </x:c>
    </x:row>
    <x:row r="830" ht="46" customHeight="1">
      <x:c r="A830" s="17" t="str">
        <x:v>us</x:v>
      </x:c>
      <x:c r="B830" s="17" t="str">
        <x:v>Rutgers University-New Brunswick</x:v>
      </x:c>
      <x:c r="C830" s="17" t="str">
        <x:v>IPEDS discovery signal: Electrical and Electronics Engineering (CIP 14.1001)</x:v>
      </x:c>
      <x:c r="D830" s="17" t="str">
        <x:v>Unclear</x:v>
      </x:c>
      <x:c r="E830" s="17" t="str">
        <x:v>stage2_screened_out</x:v>
      </x:c>
      <x:c r="F830" s="17" t="str">
        <x:v>Only one bounded registry/program-code signal was present; no independent topical, Calendar, current-faculty, or first-audit signal was recovered.</x:v>
      </x:c>
      <x:c r="G830" s="17" t="str">
        <x:v>Does the current official catalog contain a research graduate program matching the applicant's topics?</x:v>
      </x:c>
      <x:c r="H830" s="17" t="str">
        <x:v>https://newbrunswick.rutgers.edu</x:v>
      </x:c>
      <x:c r="I830" s="17" t="str">
        <x:v>false_negative_corrected</x:v>
      </x:c>
      <x:c r="J830" s="17" t="str">
        <x:v>confirmed</x:v>
      </x:c>
    </x:row>
    <x:row r="831" ht="46" customHeight="1">
      <x:c r="A831" s="17" t="str">
        <x:v>us</x:v>
      </x:c>
      <x:c r="B831" s="17" t="str">
        <x:v>Rutgers University-New Brunswick</x:v>
      </x:c>
      <x:c r="C831" s="17" t="str">
        <x:v>IPEDS discovery signal: Information Science/Studies (CIP 11.0401)</x:v>
      </x:c>
      <x:c r="D831" s="17" t="str">
        <x:v>Unclear</x:v>
      </x:c>
      <x:c r="E831" s="17" t="str">
        <x:v>stage2_screened_out</x:v>
      </x:c>
      <x:c r="F831" s="17" t="str">
        <x:v>Only one bounded registry/program-code signal was present; no independent topical, Calendar, current-faculty, or first-audit signal was recovered.</x:v>
      </x:c>
      <x:c r="G831" s="17" t="str">
        <x:v>Does the current official catalog contain a research graduate program matching the applicant's topics?</x:v>
      </x:c>
      <x:c r="H831" s="17" t="str">
        <x:v>https://newbrunswick.rutgers.edu</x:v>
      </x:c>
      <x:c r="I831" s="17" t="str">
        <x:v>false_negative_corrected</x:v>
      </x:c>
      <x:c r="J831" s="17" t="str">
        <x:v>confirmed</x:v>
      </x:c>
    </x:row>
    <x:row r="832" ht="46" customHeight="1">
      <x:c r="A832" s="17" t="str">
        <x:v>us</x:v>
      </x:c>
      <x:c r="B832" s="17" t="str">
        <x:v>Rutgers University-Newark</x:v>
      </x:c>
      <x:c r="C832" s="17" t="str">
        <x:v>IPEDS discovery signal: Information Technology (CIP 11.0103)</x:v>
      </x:c>
      <x:c r="D832" s="17" t="str">
        <x:v>Unclear</x:v>
      </x:c>
      <x:c r="E832" s="17" t="str">
        <x:v>stage2_screened_out</x:v>
      </x:c>
      <x:c r="F832" s="17" t="str">
        <x:v>Only one bounded registry/program-code signal was present; no independent topical, Calendar, current-faculty, or first-audit signal was recovered.</x:v>
      </x:c>
      <x:c r="G832" s="17" t="str">
        <x:v>Does the current official catalog contain a research graduate program matching the applicant's topics?</x:v>
      </x:c>
      <x:c r="H832" s="17" t="str">
        <x:v>https://www.newark.rutgers.edu</x:v>
      </x:c>
      <x:c r="I832" s="17" t="str">
        <x:v>not_sampled</x:v>
      </x:c>
      <x:c r="J832" s="17" t="str">
        <x:v>not_sampled</x:v>
      </x:c>
    </x:row>
    <x:row r="833" ht="46" customHeight="1">
      <x:c r="A833" s="17" t="str">
        <x:v>us</x:v>
      </x:c>
      <x:c r="B833" s="17" t="str">
        <x:v>Sacred Heart University</x:v>
      </x:c>
      <x:c r="C833" s="17" t="str">
        <x:v>IPEDS discovery signal: Computer and Information Sciences, General (CIP 11.0101)</x:v>
      </x:c>
      <x:c r="D833" s="17" t="str">
        <x:v>Unclear</x:v>
      </x:c>
      <x:c r="E833" s="17" t="str">
        <x:v>stage2_screened_out</x:v>
      </x:c>
      <x:c r="F833" s="17" t="str">
        <x:v>Only one bounded registry/program-code signal was present; no independent topical, Calendar, current-faculty, or first-audit signal was recovered.</x:v>
      </x:c>
      <x:c r="G833" s="17" t="str">
        <x:v>Does the current official catalog contain a research graduate program matching the applicant's topics?</x:v>
      </x:c>
      <x:c r="H833" s="17" t="str">
        <x:v>https://www.sacredheart.edu</x:v>
      </x:c>
      <x:c r="I833" s="17" t="str">
        <x:v>not_sampled</x:v>
      </x:c>
      <x:c r="J833" s="17" t="str">
        <x:v>not_sampled</x:v>
      </x:c>
    </x:row>
    <x:row r="834" ht="46" customHeight="1">
      <x:c r="A834" s="17" t="str">
        <x:v>us</x:v>
      </x:c>
      <x:c r="B834" s="17" t="str">
        <x:v>Sacred Heart University</x:v>
      </x:c>
      <x:c r="C834" s="17" t="str">
        <x:v>IPEDS discovery signal: Cyber/Computer Forensics and Counterterrorism (CIP 43.0403)</x:v>
      </x:c>
      <x:c r="D834" s="17" t="str">
        <x:v>Unclear</x:v>
      </x:c>
      <x:c r="E834" s="17" t="str">
        <x:v>stage2_screened_out</x:v>
      </x:c>
      <x:c r="F834" s="17" t="str">
        <x:v>Only one bounded registry/program-code signal was present; no independent topical, Calendar, current-faculty, or first-audit signal was recovered.</x:v>
      </x:c>
      <x:c r="G834" s="17" t="str">
        <x:v>Does the current official catalog contain a research graduate program matching the applicant's topics?</x:v>
      </x:c>
      <x:c r="H834" s="17" t="str">
        <x:v>https://www.sacredheart.edu</x:v>
      </x:c>
      <x:c r="I834" s="17" t="str">
        <x:v>not_sampled</x:v>
      </x:c>
      <x:c r="J834" s="17" t="str">
        <x:v>not_sampled</x:v>
      </x:c>
    </x:row>
    <x:row r="835" ht="46" customHeight="1">
      <x:c r="A835" s="17" t="str">
        <x:v>us</x:v>
      </x:c>
      <x:c r="B835" s="17" t="str">
        <x:v>Saginaw Valley State University</x:v>
      </x:c>
      <x:c r="C835" s="17" t="str">
        <x:v>IPEDS discovery signal: Computer and Information Sciences, General (CIP 11.0101)</x:v>
      </x:c>
      <x:c r="D835" s="17" t="str">
        <x:v>Unclear</x:v>
      </x:c>
      <x:c r="E835" s="17" t="str">
        <x:v>stage2_screened_out</x:v>
      </x:c>
      <x:c r="F835" s="17" t="str">
        <x:v>Only one bounded registry/program-code signal was present; no independent topical, Calendar, current-faculty, or first-audit signal was recovered.</x:v>
      </x:c>
      <x:c r="G835" s="17" t="str">
        <x:v>Does the current official catalog contain a research graduate program matching the applicant's topics?</x:v>
      </x:c>
      <x:c r="H835" s="17" t="str">
        <x:v>https://www.svsu.edu</x:v>
      </x:c>
      <x:c r="I835" s="17" t="str">
        <x:v>not_sampled</x:v>
      </x:c>
      <x:c r="J835" s="17" t="str">
        <x:v>not_sampled</x:v>
      </x:c>
    </x:row>
    <x:row r="836" ht="46" customHeight="1">
      <x:c r="A836" s="17" t="str">
        <x:v>us</x:v>
      </x:c>
      <x:c r="B836" s="17" t="str">
        <x:v>Saint Ambrose University</x:v>
      </x:c>
      <x:c r="C836" s="17" t="str">
        <x:v>IPEDS discovery signal: Mechatronics, Robotics, and Automation Engineering (CIP 14.4201)</x:v>
      </x:c>
      <x:c r="D836" s="17" t="str">
        <x:v>Unclear</x:v>
      </x:c>
      <x:c r="E836" s="17" t="str">
        <x:v>stage2_screened_out</x:v>
      </x:c>
      <x:c r="F836" s="17" t="str">
        <x:v>Only one bounded registry/program-code signal was present; no independent topical, Calendar, current-faculty, or first-audit signal was recovered.</x:v>
      </x:c>
      <x:c r="G836" s="17" t="str">
        <x:v>Does the current official catalog contain a research graduate program matching the applicant's topics?</x:v>
      </x:c>
      <x:c r="H836" s="17" t="str">
        <x:v>https://www.sau.edu</x:v>
      </x:c>
      <x:c r="I836" s="17" t="str">
        <x:v>not_sampled</x:v>
      </x:c>
      <x:c r="J836" s="17" t="str">
        <x:v>not_sampled</x:v>
      </x:c>
    </x:row>
    <x:row r="837" ht="46" customHeight="1">
      <x:c r="A837" s="17" t="str">
        <x:v>us</x:v>
      </x:c>
      <x:c r="B837" s="17" t="str">
        <x:v>Saint Cloud State University</x:v>
      </x:c>
      <x:c r="C837" s="17" t="str">
        <x:v>IPEDS discovery signal: Computer Science (CIP 11.0701)</x:v>
      </x:c>
      <x:c r="D837" s="17" t="str">
        <x:v>Unclear</x:v>
      </x:c>
      <x:c r="E837" s="17" t="str">
        <x:v>stage2_screened_out</x:v>
      </x:c>
      <x:c r="F837" s="17" t="str">
        <x:v>Duplicate mechanical discovery signal consolidated into one institution-level catalog review candidate.</x:v>
      </x:c>
      <x:c r="G837" s="17" t="str">
        <x:v>Does the current official catalog contain a research graduate program matching the applicant's topics?</x:v>
      </x:c>
      <x:c r="H837" s="17" t="str">
        <x:v>https://www.stcloudstate.edu</x:v>
      </x:c>
      <x:c r="I837" s="17" t="str">
        <x:v>not_sampled</x:v>
      </x:c>
      <x:c r="J837" s="17" t="str">
        <x:v>not_sampled</x:v>
      </x:c>
    </x:row>
    <x:row r="838" ht="46" customHeight="1">
      <x:c r="A838" s="17" t="str">
        <x:v>us</x:v>
      </x:c>
      <x:c r="B838" s="17" t="str">
        <x:v>Saint Cloud State University</x:v>
      </x:c>
      <x:c r="C838" s="17" t="str">
        <x:v>IPEDS discovery signal: Computer Software Engineering (CIP 14.0903)</x:v>
      </x:c>
      <x:c r="D838" s="17" t="str">
        <x:v>Unclear</x:v>
      </x:c>
      <x:c r="E838" s="17" t="str">
        <x:v>stage2_screened_out</x:v>
      </x:c>
      <x:c r="F838" s="17" t="str">
        <x:v>Duplicate mechanical discovery signal consolidated into one institution-level catalog review candidate.</x:v>
      </x:c>
      <x:c r="G838" s="17" t="str">
        <x:v>Does the current official catalog contain a research graduate program matching the applicant's topics?</x:v>
      </x:c>
      <x:c r="H838" s="17" t="str">
        <x:v>https://www.stcloudstate.edu</x:v>
      </x:c>
      <x:c r="I838" s="17" t="str">
        <x:v>not_sampled</x:v>
      </x:c>
      <x:c r="J838" s="17" t="str">
        <x:v>not_sampled</x:v>
      </x:c>
    </x:row>
    <x:row r="839" ht="46" customHeight="1">
      <x:c r="A839" s="17" t="str">
        <x:v>us</x:v>
      </x:c>
      <x:c r="B839" s="17" t="str">
        <x:v>Saint Cloud State University</x:v>
      </x:c>
      <x:c r="C839" s="17" t="str">
        <x:v>IPEDS discovery signal: Electrical and Electronics Engineering (CIP 14.1001)</x:v>
      </x:c>
      <x:c r="D839" s="17" t="str">
        <x:v>Unclear</x:v>
      </x:c>
      <x:c r="E839" s="17" t="str">
        <x:v>stage2_screened_out</x:v>
      </x:c>
      <x:c r="F839" s="17" t="str">
        <x:v>Duplicate mechanical discovery signal consolidated into one institution-level catalog review candidate.</x:v>
      </x:c>
      <x:c r="G839" s="17" t="str">
        <x:v>Does the current official catalog contain a research graduate program matching the applicant's topics?</x:v>
      </x:c>
      <x:c r="H839" s="17" t="str">
        <x:v>https://www.stcloudstate.edu</x:v>
      </x:c>
      <x:c r="I839" s="17" t="str">
        <x:v>not_sampled</x:v>
      </x:c>
      <x:c r="J839" s="17" t="str">
        <x:v>not_sampled</x:v>
      </x:c>
    </x:row>
    <x:row r="840" ht="46" customHeight="1">
      <x:c r="A840" s="17" t="str">
        <x:v>us</x:v>
      </x:c>
      <x:c r="B840" s="17" t="str">
        <x:v>Saint Elizabeth University</x:v>
      </x:c>
      <x:c r="C840" s="17" t="str">
        <x:v>IPEDS discovery signal: Computer and Information Sciences, General (CIP 11.0101)</x:v>
      </x:c>
      <x:c r="D840" s="17" t="str">
        <x:v>Unclear</x:v>
      </x:c>
      <x:c r="E840" s="17" t="str">
        <x:v>stage2_screened_out</x:v>
      </x:c>
      <x:c r="F840" s="17" t="str">
        <x:v>Only one bounded registry/program-code signal was present; no independent topical, Calendar, current-faculty, or first-audit signal was recovered.</x:v>
      </x:c>
      <x:c r="G840" s="17" t="str">
        <x:v>Does the current official catalog contain a research graduate program matching the applicant's topics?</x:v>
      </x:c>
      <x:c r="H840" s="17" t="str">
        <x:v>https://www.steu.edu</x:v>
      </x:c>
      <x:c r="I840" s="17" t="str">
        <x:v>not_sampled</x:v>
      </x:c>
      <x:c r="J840" s="17" t="str">
        <x:v>not_sampled</x:v>
      </x:c>
    </x:row>
    <x:row r="841" ht="46" customHeight="1">
      <x:c r="A841" s="17" t="str">
        <x:v>us</x:v>
      </x:c>
      <x:c r="B841" s="17" t="str">
        <x:v>Saint Joseph's University - Philadelphia</x:v>
      </x:c>
      <x:c r="C841" s="17" t="str">
        <x:v>IPEDS discovery signal: Computer and Information Systems Security/Auditing/Information Assurance (CIP 11.1003)</x:v>
      </x:c>
      <x:c r="D841" s="17" t="str">
        <x:v>Unclear</x:v>
      </x:c>
      <x:c r="E841" s="17" t="str">
        <x:v>stage2_screened_out</x:v>
      </x:c>
      <x:c r="F841" s="17" t="str">
        <x:v>Only one bounded registry/program-code signal was present; no independent topical, Calendar, current-faculty, or first-audit signal was recovered.</x:v>
      </x:c>
      <x:c r="G841" s="17" t="str">
        <x:v>Does the current official catalog contain a research graduate program matching the applicant's topics?</x:v>
      </x:c>
      <x:c r="H841" s="17" t="str">
        <x:v>https://www.sju.edu</x:v>
      </x:c>
      <x:c r="I841" s="17" t="str">
        <x:v>not_sampled</x:v>
      </x:c>
      <x:c r="J841" s="17" t="str">
        <x:v>not_sampled</x:v>
      </x:c>
    </x:row>
    <x:row r="842" ht="46" customHeight="1">
      <x:c r="A842" s="17" t="str">
        <x:v>us</x:v>
      </x:c>
      <x:c r="B842" s="17" t="str">
        <x:v>Saint Joseph's University - Philadelphia</x:v>
      </x:c>
      <x:c r="C842" s="17" t="str">
        <x:v>IPEDS discovery signal: Computer Science (CIP 11.0701)</x:v>
      </x:c>
      <x:c r="D842" s="17" t="str">
        <x:v>Unclear</x:v>
      </x:c>
      <x:c r="E842" s="17" t="str">
        <x:v>stage2_screened_out</x:v>
      </x:c>
      <x:c r="F842" s="17" t="str">
        <x:v>Only one bounded registry/program-code signal was present; no independent topical, Calendar, current-faculty, or first-audit signal was recovered.</x:v>
      </x:c>
      <x:c r="G842" s="17" t="str">
        <x:v>Does the current official catalog contain a research graduate program matching the applicant's topics?</x:v>
      </x:c>
      <x:c r="H842" s="17" t="str">
        <x:v>https://www.sju.edu</x:v>
      </x:c>
      <x:c r="I842" s="17" t="str">
        <x:v>not_sampled</x:v>
      </x:c>
      <x:c r="J842" s="17" t="str">
        <x:v>not_sampled</x:v>
      </x:c>
    </x:row>
    <x:row r="843" ht="46" customHeight="1">
      <x:c r="A843" s="17" t="str">
        <x:v>us</x:v>
      </x:c>
      <x:c r="B843" s="17" t="str">
        <x:v>Saint Leo University</x:v>
      </x:c>
      <x:c r="C843" s="17" t="str">
        <x:v>IPEDS discovery signal: Computer and Information Systems Security/Auditing/Information Assurance (CIP 11.1003)</x:v>
      </x:c>
      <x:c r="D843" s="17" t="str">
        <x:v>Unclear</x:v>
      </x:c>
      <x:c r="E843" s="17" t="str">
        <x:v>stage2_screened_out</x:v>
      </x:c>
      <x:c r="F843" s="17" t="str">
        <x:v>Only one bounded registry/program-code signal was present; no independent topical, Calendar, current-faculty, or first-audit signal was recovered.</x:v>
      </x:c>
      <x:c r="G843" s="17" t="str">
        <x:v>Does the current official catalog contain a research graduate program matching the applicant's topics?</x:v>
      </x:c>
      <x:c r="H843" s="17" t="str">
        <x:v>https://www.saintleo.edu</x:v>
      </x:c>
      <x:c r="I843" s="17" t="str">
        <x:v>not_sampled</x:v>
      </x:c>
      <x:c r="J843" s="17" t="str">
        <x:v>not_sampled</x:v>
      </x:c>
    </x:row>
    <x:row r="844" ht="46" customHeight="1">
      <x:c r="A844" s="17" t="str">
        <x:v>us</x:v>
      </x:c>
      <x:c r="B844" s="17" t="str">
        <x:v>Saint Leo University</x:v>
      </x:c>
      <x:c r="C844" s="17" t="str">
        <x:v>IPEDS discovery signal: Computer Science (CIP 11.0701)</x:v>
      </x:c>
      <x:c r="D844" s="17" t="str">
        <x:v>Unclear</x:v>
      </x:c>
      <x:c r="E844" s="17" t="str">
        <x:v>stage2_screened_out</x:v>
      </x:c>
      <x:c r="F844" s="17" t="str">
        <x:v>Only one bounded registry/program-code signal was present; no independent topical, Calendar, current-faculty, or first-audit signal was recovered.</x:v>
      </x:c>
      <x:c r="G844" s="17" t="str">
        <x:v>Does the current official catalog contain a research graduate program matching the applicant's topics?</x:v>
      </x:c>
      <x:c r="H844" s="17" t="str">
        <x:v>https://www.saintleo.edu</x:v>
      </x:c>
      <x:c r="I844" s="17" t="str">
        <x:v>not_sampled</x:v>
      </x:c>
      <x:c r="J844" s="17" t="str">
        <x:v>not_sampled</x:v>
      </x:c>
    </x:row>
    <x:row r="845" ht="46" customHeight="1">
      <x:c r="A845" s="17" t="str">
        <x:v>us</x:v>
      </x:c>
      <x:c r="B845" s="17" t="str">
        <x:v>Saint Louis University</x:v>
      </x:c>
      <x:c r="C845" s="17" t="str">
        <x:v>IPEDS discovery signal: Artificial Intelligence (CIP 11.0102)</x:v>
      </x:c>
      <x:c r="D845" s="17" t="str">
        <x:v>Unclear</x:v>
      </x:c>
      <x:c r="E845" s="17" t="str">
        <x:v>stage2_screened_out</x:v>
      </x:c>
      <x:c r="F845" s="17" t="str">
        <x:v>Only one bounded registry/program-code signal was present; no independent topical, Calendar, current-faculty, or first-audit signal was recovered.</x:v>
      </x:c>
      <x:c r="G845" s="17" t="str">
        <x:v>Does the current official catalog contain a research graduate program matching the applicant's topics?</x:v>
      </x:c>
      <x:c r="H845" s="17" t="str">
        <x:v>https://www.slu.edu</x:v>
      </x:c>
      <x:c r="I845" s="17" t="str">
        <x:v>not_sampled</x:v>
      </x:c>
      <x:c r="J845" s="17" t="str">
        <x:v>not_sampled</x:v>
      </x:c>
    </x:row>
    <x:row r="846" ht="46" customHeight="1">
      <x:c r="A846" s="17" t="str">
        <x:v>us</x:v>
      </x:c>
      <x:c r="B846" s="17" t="str">
        <x:v>Saint Louis University</x:v>
      </x:c>
      <x:c r="C846" s="17" t="str">
        <x:v>IPEDS discovery signal: Computer and Information Sciences, General (CIP 11.0101)</x:v>
      </x:c>
      <x:c r="D846" s="17" t="str">
        <x:v>Unclear</x:v>
      </x:c>
      <x:c r="E846" s="17" t="str">
        <x:v>stage2_screened_out</x:v>
      </x:c>
      <x:c r="F846" s="17" t="str">
        <x:v>Only one bounded registry/program-code signal was present; no independent topical, Calendar, current-faculty, or first-audit signal was recovered.</x:v>
      </x:c>
      <x:c r="G846" s="17" t="str">
        <x:v>Does the current official catalog contain a research graduate program matching the applicant's topics?</x:v>
      </x:c>
      <x:c r="H846" s="17" t="str">
        <x:v>https://www.slu.edu</x:v>
      </x:c>
      <x:c r="I846" s="17" t="str">
        <x:v>not_sampled</x:v>
      </x:c>
      <x:c r="J846" s="17" t="str">
        <x:v>not_sampled</x:v>
      </x:c>
    </x:row>
    <x:row r="847" ht="46" customHeight="1">
      <x:c r="A847" s="17" t="str">
        <x:v>us</x:v>
      </x:c>
      <x:c r="B847" s="17" t="str">
        <x:v>Saint Louis University</x:v>
      </x:c>
      <x:c r="C847" s="17" t="str">
        <x:v>IPEDS discovery signal: Computer Science (CIP 11.0701)</x:v>
      </x:c>
      <x:c r="D847" s="17" t="str">
        <x:v>Unclear</x:v>
      </x:c>
      <x:c r="E847" s="17" t="str">
        <x:v>stage2_screened_out</x:v>
      </x:c>
      <x:c r="F847" s="17" t="str">
        <x:v>Only one bounded registry/program-code signal was present; no independent topical, Calendar, current-faculty, or first-audit signal was recovered.</x:v>
      </x:c>
      <x:c r="G847" s="17" t="str">
        <x:v>Does the current official catalog contain a research graduate program matching the applicant's topics?</x:v>
      </x:c>
      <x:c r="H847" s="17" t="str">
        <x:v>https://www.slu.edu</x:v>
      </x:c>
      <x:c r="I847" s="17" t="str">
        <x:v>not_sampled</x:v>
      </x:c>
      <x:c r="J847" s="17" t="str">
        <x:v>not_sampled</x:v>
      </x:c>
    </x:row>
    <x:row r="848" ht="46" customHeight="1">
      <x:c r="A848" s="17" t="str">
        <x:v>us</x:v>
      </x:c>
      <x:c r="B848" s="17" t="str">
        <x:v>Saint Louis University</x:v>
      </x:c>
      <x:c r="C848" s="17" t="str">
        <x:v>IPEDS discovery signal: Computer Software Engineering (CIP 14.0903)</x:v>
      </x:c>
      <x:c r="D848" s="17" t="str">
        <x:v>Unclear</x:v>
      </x:c>
      <x:c r="E848" s="17" t="str">
        <x:v>stage2_screened_out</x:v>
      </x:c>
      <x:c r="F848" s="17" t="str">
        <x:v>Only one bounded registry/program-code signal was present; no independent topical, Calendar, current-faculty, or first-audit signal was recovered.</x:v>
      </x:c>
      <x:c r="G848" s="17" t="str">
        <x:v>Does the current official catalog contain a research graduate program matching the applicant's topics?</x:v>
      </x:c>
      <x:c r="H848" s="17" t="str">
        <x:v>https://www.slu.edu</x:v>
      </x:c>
      <x:c r="I848" s="17" t="str">
        <x:v>not_sampled</x:v>
      </x:c>
      <x:c r="J848" s="17" t="str">
        <x:v>not_sampled</x:v>
      </x:c>
    </x:row>
    <x:row r="849" ht="46" customHeight="1">
      <x:c r="A849" s="17" t="str">
        <x:v>us</x:v>
      </x:c>
      <x:c r="B849" s="17" t="str">
        <x:v>Saint Louis University</x:v>
      </x:c>
      <x:c r="C849" s="17" t="str">
        <x:v>IPEDS discovery signal: Informatics (CIP 11.0104)</x:v>
      </x:c>
      <x:c r="D849" s="17" t="str">
        <x:v>Unclear</x:v>
      </x:c>
      <x:c r="E849" s="17" t="str">
        <x:v>stage2_screened_out</x:v>
      </x:c>
      <x:c r="F849" s="17" t="str">
        <x:v>Only one bounded registry/program-code signal was present; no independent topical, Calendar, current-faculty, or first-audit signal was recovered.</x:v>
      </x:c>
      <x:c r="G849" s="17" t="str">
        <x:v>Does the current official catalog contain a research graduate program matching the applicant's topics?</x:v>
      </x:c>
      <x:c r="H849" s="17" t="str">
        <x:v>https://www.slu.edu</x:v>
      </x:c>
      <x:c r="I849" s="17" t="str">
        <x:v>not_sampled</x:v>
      </x:c>
      <x:c r="J849" s="17" t="str">
        <x:v>not_sampled</x:v>
      </x:c>
    </x:row>
    <x:row r="850" ht="46" customHeight="1">
      <x:c r="A850" s="17" t="str">
        <x:v>us</x:v>
      </x:c>
      <x:c r="B850" s="17" t="str">
        <x:v>Saint Martin's University</x:v>
      </x:c>
      <x:c r="C850" s="17" t="str">
        <x:v>IPEDS discovery signal: Computer Science (CIP 11.0701)</x:v>
      </x:c>
      <x:c r="D850" s="17" t="str">
        <x:v>Unclear</x:v>
      </x:c>
      <x:c r="E850" s="17" t="str">
        <x:v>stage2_screened_out</x:v>
      </x:c>
      <x:c r="F850" s="17" t="str">
        <x:v>Only one bounded registry/program-code signal was present; no independent topical, Calendar, current-faculty, or first-audit signal was recovered.</x:v>
      </x:c>
      <x:c r="G850" s="17" t="str">
        <x:v>Does the current official catalog contain a research graduate program matching the applicant's topics?</x:v>
      </x:c>
      <x:c r="H850" s="17" t="str">
        <x:v>https://www.stmartin.edu</x:v>
      </x:c>
      <x:c r="I850" s="17" t="str">
        <x:v>not_sampled</x:v>
      </x:c>
      <x:c r="J850" s="17" t="str">
        <x:v>not_sampled</x:v>
      </x:c>
    </x:row>
    <x:row r="851" ht="46" customHeight="1">
      <x:c r="A851" s="17" t="str">
        <x:v>us</x:v>
      </x:c>
      <x:c r="B851" s="17" t="str">
        <x:v>Saint Mary's College</x:v>
      </x:c>
      <x:c r="C851" s="17" t="str">
        <x:v>IPEDS discovery signal: Data Science, General (CIP 30.7001)</x:v>
      </x:c>
      <x:c r="D851" s="17" t="str">
        <x:v>Unclear</x:v>
      </x:c>
      <x:c r="E851" s="17" t="str">
        <x:v>stage2_screened_out</x:v>
      </x:c>
      <x:c r="F851" s="17" t="str">
        <x:v>Only one bounded registry/program-code signal was present; no independent topical, Calendar, current-faculty, or first-audit signal was recovered.</x:v>
      </x:c>
      <x:c r="G851" s="17" t="str">
        <x:v>Does the current official catalog contain a research graduate program matching the applicant's topics?</x:v>
      </x:c>
      <x:c r="H851" s="17" t="str">
        <x:v>https://www.saintmarys.edu</x:v>
      </x:c>
      <x:c r="I851" s="17" t="str">
        <x:v>not_sampled</x:v>
      </x:c>
      <x:c r="J851" s="17" t="str">
        <x:v>not_sampled</x:v>
      </x:c>
    </x:row>
    <x:row r="852" ht="46" customHeight="1">
      <x:c r="A852" s="17" t="str">
        <x:v>us</x:v>
      </x:c>
      <x:c r="B852" s="17" t="str">
        <x:v>Saint Mary's University of Minnesota</x:v>
      </x:c>
      <x:c r="C852" s="17" t="str">
        <x:v>IPEDS discovery signal: Computer and Information Systems Security/Auditing/Information Assurance (CIP 11.1003)</x:v>
      </x:c>
      <x:c r="D852" s="17" t="str">
        <x:v>Unclear</x:v>
      </x:c>
      <x:c r="E852" s="17" t="str">
        <x:v>stage2_screened_out</x:v>
      </x:c>
      <x:c r="F852" s="17" t="str">
        <x:v>Only one bounded registry/program-code signal was present; no independent topical, Calendar, current-faculty, or first-audit signal was recovered.</x:v>
      </x:c>
      <x:c r="G852" s="17" t="str">
        <x:v>Does the current official catalog contain a research graduate program matching the applicant's topics?</x:v>
      </x:c>
      <x:c r="H852" s="17" t="str">
        <x:v>https://www.smumn.edu</x:v>
      </x:c>
      <x:c r="I852" s="17" t="str">
        <x:v>not_sampled</x:v>
      </x:c>
      <x:c r="J852" s="17" t="str">
        <x:v>not_sampled</x:v>
      </x:c>
    </x:row>
    <x:row r="853" ht="46" customHeight="1">
      <x:c r="A853" s="17" t="str">
        <x:v>us</x:v>
      </x:c>
      <x:c r="B853" s="17" t="str">
        <x:v>Saint Peter's University</x:v>
      </x:c>
      <x:c r="C853" s="17" t="str">
        <x:v>IPEDS discovery signal: Data Science, General (CIP 30.7001)</x:v>
      </x:c>
      <x:c r="D853" s="17" t="str">
        <x:v>Unclear</x:v>
      </x:c>
      <x:c r="E853" s="17" t="str">
        <x:v>stage2_screened_out</x:v>
      </x:c>
      <x:c r="F853" s="17" t="str">
        <x:v>Duplicate mechanical discovery signal consolidated into one institution-level catalog review candidate.</x:v>
      </x:c>
      <x:c r="G853" s="17" t="str">
        <x:v>Does the current official catalog contain a research graduate program matching the applicant's topics?</x:v>
      </x:c>
      <x:c r="H853" s="17" t="str">
        <x:v>https://www.saintpeters.edu</x:v>
      </x:c>
      <x:c r="I853" s="17" t="str">
        <x:v>not_sampled</x:v>
      </x:c>
      <x:c r="J853" s="17" t="str">
        <x:v>not_sampled</x:v>
      </x:c>
    </x:row>
    <x:row r="854" ht="46" customHeight="1">
      <x:c r="A854" s="17" t="str">
        <x:v>us</x:v>
      </x:c>
      <x:c r="B854" s="17" t="str">
        <x:v>Saint Peter's University</x:v>
      </x:c>
      <x:c r="C854" s="17" t="str">
        <x:v>IPEDS discovery signal: Information Technology (CIP 11.0103)</x:v>
      </x:c>
      <x:c r="D854" s="17" t="str">
        <x:v>Unclear</x:v>
      </x:c>
      <x:c r="E854" s="17" t="str">
        <x:v>stage2_screened_out</x:v>
      </x:c>
      <x:c r="F854" s="17" t="str">
        <x:v>Duplicate mechanical discovery signal consolidated into one institution-level catalog review candidate.</x:v>
      </x:c>
      <x:c r="G854" s="17" t="str">
        <x:v>Does the current official catalog contain a research graduate program matching the applicant's topics?</x:v>
      </x:c>
      <x:c r="H854" s="17" t="str">
        <x:v>https://www.saintpeters.edu</x:v>
      </x:c>
      <x:c r="I854" s="17" t="str">
        <x:v>not_sampled</x:v>
      </x:c>
      <x:c r="J854" s="17" t="str">
        <x:v>not_sampled</x:v>
      </x:c>
    </x:row>
    <x:row r="855" ht="46" customHeight="1">
      <x:c r="A855" s="17" t="str">
        <x:v>us</x:v>
      </x:c>
      <x:c r="B855" s="17" t="str">
        <x:v>Saint Xavier University</x:v>
      </x:c>
      <x:c r="C855" s="17" t="str">
        <x:v>IPEDS discovery signal: Computer and Information Sciences, General (CIP 11.0101)</x:v>
      </x:c>
      <x:c r="D855" s="17" t="str">
        <x:v>Unclear</x:v>
      </x:c>
      <x:c r="E855" s="17" t="str">
        <x:v>stage2_screened_out</x:v>
      </x:c>
      <x:c r="F855" s="17" t="str">
        <x:v>Only one bounded registry/program-code signal was present; no independent topical, Calendar, current-faculty, or first-audit signal was recovered.</x:v>
      </x:c>
      <x:c r="G855" s="17" t="str">
        <x:v>Does the current official catalog contain a research graduate program matching the applicant's topics?</x:v>
      </x:c>
      <x:c r="H855" s="17" t="str">
        <x:v>https://www.sxu.edu</x:v>
      </x:c>
      <x:c r="I855" s="17" t="str">
        <x:v>not_sampled</x:v>
      </x:c>
      <x:c r="J855" s="17" t="str">
        <x:v>not_sampled</x:v>
      </x:c>
    </x:row>
    <x:row r="856" ht="46" customHeight="1">
      <x:c r="A856" s="17" t="str">
        <x:v>us</x:v>
      </x:c>
      <x:c r="B856" s="17" t="str">
        <x:v>Saint Xavier University</x:v>
      </x:c>
      <x:c r="C856" s="17" t="str">
        <x:v>IPEDS discovery signal: Computer and Information Systems Security/Auditing/Information Assurance (CIP 11.1003)</x:v>
      </x:c>
      <x:c r="D856" s="17" t="str">
        <x:v>Unclear</x:v>
      </x:c>
      <x:c r="E856" s="17" t="str">
        <x:v>stage2_screened_out</x:v>
      </x:c>
      <x:c r="F856" s="17" t="str">
        <x:v>Only one bounded registry/program-code signal was present; no independent topical, Calendar, current-faculty, or first-audit signal was recovered.</x:v>
      </x:c>
      <x:c r="G856" s="17" t="str">
        <x:v>Does the current official catalog contain a research graduate program matching the applicant's topics?</x:v>
      </x:c>
      <x:c r="H856" s="17" t="str">
        <x:v>https://www.sxu.edu</x:v>
      </x:c>
      <x:c r="I856" s="17" t="str">
        <x:v>not_sampled</x:v>
      </x:c>
      <x:c r="J856" s="17" t="str">
        <x:v>not_sampled</x:v>
      </x:c>
    </x:row>
    <x:row r="857" ht="46" customHeight="1">
      <x:c r="A857" s="17" t="str">
        <x:v>us</x:v>
      </x:c>
      <x:c r="B857" s="17" t="str">
        <x:v>Saint Xavier University</x:v>
      </x:c>
      <x:c r="C857" s="17" t="str">
        <x:v>IPEDS discovery signal: Computer Software Engineering (CIP 14.0903)</x:v>
      </x:c>
      <x:c r="D857" s="17" t="str">
        <x:v>Unclear</x:v>
      </x:c>
      <x:c r="E857" s="17" t="str">
        <x:v>stage2_screened_out</x:v>
      </x:c>
      <x:c r="F857" s="17" t="str">
        <x:v>Only one bounded registry/program-code signal was present; no independent topical, Calendar, current-faculty, or first-audit signal was recovered.</x:v>
      </x:c>
      <x:c r="G857" s="17" t="str">
        <x:v>Does the current official catalog contain a research graduate program matching the applicant's topics?</x:v>
      </x:c>
      <x:c r="H857" s="17" t="str">
        <x:v>https://www.sxu.edu</x:v>
      </x:c>
      <x:c r="I857" s="17" t="str">
        <x:v>not_sampled</x:v>
      </x:c>
      <x:c r="J857" s="17" t="str">
        <x:v>not_sampled</x:v>
      </x:c>
    </x:row>
    <x:row r="858" ht="46" customHeight="1">
      <x:c r="A858" s="17" t="str">
        <x:v>us</x:v>
      </x:c>
      <x:c r="B858" s="17" t="str">
        <x:v>Salem University</x:v>
      </x:c>
      <x:c r="C858" s="17" t="str">
        <x:v>IPEDS discovery signal: Cyber/Computer Forensics and Counterterrorism (CIP 43.0403)</x:v>
      </x:c>
      <x:c r="D858" s="17" t="str">
        <x:v>Unclear</x:v>
      </x:c>
      <x:c r="E858" s="17" t="str">
        <x:v>stage2_screened_out</x:v>
      </x:c>
      <x:c r="F858" s="17" t="str">
        <x:v>Only one bounded registry/program-code signal was present; no independent topical, Calendar, current-faculty, or first-audit signal was recovered.</x:v>
      </x:c>
      <x:c r="G858" s="17" t="str">
        <x:v>Does the current official catalog contain a research graduate program matching the applicant's topics?</x:v>
      </x:c>
      <x:c r="H858" s="17" t="str">
        <x:v>https://www.salemu.edu</x:v>
      </x:c>
      <x:c r="I858" s="17" t="str">
        <x:v>not_sampled</x:v>
      </x:c>
      <x:c r="J858" s="17" t="str">
        <x:v>not_sampled</x:v>
      </x:c>
    </x:row>
    <x:row r="859" ht="46" customHeight="1">
      <x:c r="A859" s="17" t="str">
        <x:v>us</x:v>
      </x:c>
      <x:c r="B859" s="17" t="str">
        <x:v>Salem University</x:v>
      </x:c>
      <x:c r="C859" s="17" t="str">
        <x:v>IPEDS discovery signal: Information Technology (CIP 11.0103)</x:v>
      </x:c>
      <x:c r="D859" s="17" t="str">
        <x:v>Unclear</x:v>
      </x:c>
      <x:c r="E859" s="17" t="str">
        <x:v>stage2_screened_out</x:v>
      </x:c>
      <x:c r="F859" s="17" t="str">
        <x:v>Only one bounded registry/program-code signal was present; no independent topical, Calendar, current-faculty, or first-audit signal was recovered.</x:v>
      </x:c>
      <x:c r="G859" s="17" t="str">
        <x:v>Does the current official catalog contain a research graduate program matching the applicant's topics?</x:v>
      </x:c>
      <x:c r="H859" s="17" t="str">
        <x:v>https://www.salemu.edu</x:v>
      </x:c>
      <x:c r="I859" s="17" t="str">
        <x:v>not_sampled</x:v>
      </x:c>
      <x:c r="J859" s="17" t="str">
        <x:v>not_sampled</x:v>
      </x:c>
    </x:row>
    <x:row r="860" ht="46" customHeight="1">
      <x:c r="A860" s="17" t="str">
        <x:v>us</x:v>
      </x:c>
      <x:c r="B860" s="17" t="str">
        <x:v>Sam Houston State University</x:v>
      </x:c>
      <x:c r="C860" s="17" t="str">
        <x:v>IPEDS discovery signal: Computer and Information Sciences, General (CIP 11.0101)</x:v>
      </x:c>
      <x:c r="D860" s="17" t="str">
        <x:v>Unclear</x:v>
      </x:c>
      <x:c r="E860" s="17" t="str">
        <x:v>stage2_screened_out</x:v>
      </x:c>
      <x:c r="F860" s="17" t="str">
        <x:v>Only one bounded registry/program-code signal was present; no independent topical, Calendar, current-faculty, or first-audit signal was recovered.</x:v>
      </x:c>
      <x:c r="G860" s="17" t="str">
        <x:v>Does the current official catalog contain a research graduate program matching the applicant's topics?</x:v>
      </x:c>
      <x:c r="H860" s="17" t="str">
        <x:v>https://www.shsu.edu</x:v>
      </x:c>
      <x:c r="I860" s="17" t="str">
        <x:v>not_sampled</x:v>
      </x:c>
      <x:c r="J860" s="17" t="str">
        <x:v>not_sampled</x:v>
      </x:c>
    </x:row>
    <x:row r="861" ht="46" customHeight="1">
      <x:c r="A861" s="17" t="str">
        <x:v>us</x:v>
      </x:c>
      <x:c r="B861" s="17" t="str">
        <x:v>Sam Houston State University</x:v>
      </x:c>
      <x:c r="C861" s="17" t="str">
        <x:v>IPEDS discovery signal: Computer and Information Systems Security/Auditing/Information Assurance (CIP 11.1003)</x:v>
      </x:c>
      <x:c r="D861" s="17" t="str">
        <x:v>Unclear</x:v>
      </x:c>
      <x:c r="E861" s="17" t="str">
        <x:v>stage2_screened_out</x:v>
      </x:c>
      <x:c r="F861" s="17" t="str">
        <x:v>Only one bounded registry/program-code signal was present; no independent topical, Calendar, current-faculty, or first-audit signal was recovered.</x:v>
      </x:c>
      <x:c r="G861" s="17" t="str">
        <x:v>Does the current official catalog contain a research graduate program matching the applicant's topics?</x:v>
      </x:c>
      <x:c r="H861" s="17" t="str">
        <x:v>https://www.shsu.edu</x:v>
      </x:c>
      <x:c r="I861" s="17" t="str">
        <x:v>not_sampled</x:v>
      </x:c>
      <x:c r="J861" s="17" t="str">
        <x:v>not_sampled</x:v>
      </x:c>
    </x:row>
    <x:row r="862" ht="46" customHeight="1">
      <x:c r="A862" s="17" t="str">
        <x:v>us</x:v>
      </x:c>
      <x:c r="B862" s="17" t="str">
        <x:v>San Diego State University</x:v>
      </x:c>
      <x:c r="C862" s="17" t="str">
        <x:v>IPEDS discovery signal: Computer and Information Systems Security/Auditing/Information Assurance (CIP 11.1003)</x:v>
      </x:c>
      <x:c r="D862" s="17" t="str">
        <x:v>Unclear</x:v>
      </x:c>
      <x:c r="E862" s="17" t="str">
        <x:v>stage2_screened_out</x:v>
      </x:c>
      <x:c r="F862" s="17" t="str">
        <x:v>Only one bounded registry/program-code signal was present; no independent topical, Calendar, current-faculty, or first-audit signal was recovered.</x:v>
      </x:c>
      <x:c r="G862" s="17" t="str">
        <x:v>Does the current official catalog contain a research graduate program matching the applicant's topics?</x:v>
      </x:c>
      <x:c r="H862" s="17" t="str">
        <x:v>https://www.sdsu.edu</x:v>
      </x:c>
      <x:c r="I862" s="17" t="str">
        <x:v>not_sampled</x:v>
      </x:c>
      <x:c r="J862" s="17" t="str">
        <x:v>not_sampled</x:v>
      </x:c>
    </x:row>
    <x:row r="863" ht="46" customHeight="1">
      <x:c r="A863" s="17" t="str">
        <x:v>us</x:v>
      </x:c>
      <x:c r="B863" s="17" t="str">
        <x:v>San Diego State University</x:v>
      </x:c>
      <x:c r="C863" s="17" t="str">
        <x:v>IPEDS discovery signal: Computer Engineering, General (CIP 14.0901)</x:v>
      </x:c>
      <x:c r="D863" s="17" t="str">
        <x:v>Unclear</x:v>
      </x:c>
      <x:c r="E863" s="17" t="str">
        <x:v>stage2_screened_out</x:v>
      </x:c>
      <x:c r="F863" s="17" t="str">
        <x:v>Only one bounded registry/program-code signal was present; no independent topical, Calendar, current-faculty, or first-audit signal was recovered.</x:v>
      </x:c>
      <x:c r="G863" s="17" t="str">
        <x:v>Does the current official catalog contain a research graduate program matching the applicant's topics?</x:v>
      </x:c>
      <x:c r="H863" s="17" t="str">
        <x:v>https://www.sdsu.edu</x:v>
      </x:c>
      <x:c r="I863" s="17" t="str">
        <x:v>not_sampled</x:v>
      </x:c>
      <x:c r="J863" s="17" t="str">
        <x:v>not_sampled</x:v>
      </x:c>
    </x:row>
    <x:row r="864" ht="46" customHeight="1">
      <x:c r="A864" s="17" t="str">
        <x:v>us</x:v>
      </x:c>
      <x:c r="B864" s="17" t="str">
        <x:v>San Diego State University</x:v>
      </x:c>
      <x:c r="C864" s="17" t="str">
        <x:v>IPEDS discovery signal: Computer Science (CIP 11.0701)</x:v>
      </x:c>
      <x:c r="D864" s="17" t="str">
        <x:v>Unclear</x:v>
      </x:c>
      <x:c r="E864" s="17" t="str">
        <x:v>stage2_screened_out</x:v>
      </x:c>
      <x:c r="F864" s="17" t="str">
        <x:v>Only one bounded registry/program-code signal was present; no independent topical, Calendar, current-faculty, or first-audit signal was recovered.</x:v>
      </x:c>
      <x:c r="G864" s="17" t="str">
        <x:v>Does the current official catalog contain a research graduate program matching the applicant's topics?</x:v>
      </x:c>
      <x:c r="H864" s="17" t="str">
        <x:v>https://www.sdsu.edu</x:v>
      </x:c>
      <x:c r="I864" s="17" t="str">
        <x:v>not_sampled</x:v>
      </x:c>
      <x:c r="J864" s="17" t="str">
        <x:v>not_sampled</x:v>
      </x:c>
    </x:row>
    <x:row r="865" ht="46" customHeight="1">
      <x:c r="A865" s="17" t="str">
        <x:v>us</x:v>
      </x:c>
      <x:c r="B865" s="17" t="str">
        <x:v>San Diego State University</x:v>
      </x:c>
      <x:c r="C865" s="17" t="str">
        <x:v>IPEDS discovery signal: Electrical and Electronics Engineering (CIP 14.1001)</x:v>
      </x:c>
      <x:c r="D865" s="17" t="str">
        <x:v>Unclear</x:v>
      </x:c>
      <x:c r="E865" s="17" t="str">
        <x:v>stage2_screened_out</x:v>
      </x:c>
      <x:c r="F865" s="17" t="str">
        <x:v>Only one bounded registry/program-code signal was present; no independent topical, Calendar, current-faculty, or first-audit signal was recovered.</x:v>
      </x:c>
      <x:c r="G865" s="17" t="str">
        <x:v>Does the current official catalog contain a research graduate program matching the applicant's topics?</x:v>
      </x:c>
      <x:c r="H865" s="17" t="str">
        <x:v>https://www.sdsu.edu</x:v>
      </x:c>
      <x:c r="I865" s="17" t="str">
        <x:v>not_sampled</x:v>
      </x:c>
      <x:c r="J865" s="17" t="str">
        <x:v>not_sampled</x:v>
      </x:c>
    </x:row>
    <x:row r="866" ht="46" customHeight="1">
      <x:c r="A866" s="17" t="str">
        <x:v>us</x:v>
      </x:c>
      <x:c r="B866" s="17" t="str">
        <x:v>San Francisco Bay University</x:v>
      </x:c>
      <x:c r="C866" s="17" t="str">
        <x:v>IPEDS discovery signal: Computer Science (CIP 11.0701)</x:v>
      </x:c>
      <x:c r="D866" s="17" t="str">
        <x:v>Unclear</x:v>
      </x:c>
      <x:c r="E866" s="17" t="str">
        <x:v>stage2_screened_out</x:v>
      </x:c>
      <x:c r="F866" s="17" t="str">
        <x:v>Only one bounded registry/program-code signal was present; no independent topical, Calendar, current-faculty, or first-audit signal was recovered.</x:v>
      </x:c>
      <x:c r="G866" s="17" t="str">
        <x:v>Does the current official catalog contain a research graduate program matching the applicant's topics?</x:v>
      </x:c>
      <x:c r="H866" s="17" t="str">
        <x:v>https://www.sfbu.edu</x:v>
      </x:c>
      <x:c r="I866" s="17" t="str">
        <x:v>not_sampled</x:v>
      </x:c>
      <x:c r="J866" s="17" t="str">
        <x:v>not_sampled</x:v>
      </x:c>
    </x:row>
    <x:row r="867" ht="46" customHeight="1">
      <x:c r="A867" s="17" t="str">
        <x:v>us</x:v>
      </x:c>
      <x:c r="B867" s="17" t="str">
        <x:v>San Francisco Bay University</x:v>
      </x:c>
      <x:c r="C867" s="17" t="str">
        <x:v>IPEDS discovery signal: Electrical and Electronics Engineering (CIP 14.1001)</x:v>
      </x:c>
      <x:c r="D867" s="17" t="str">
        <x:v>Unclear</x:v>
      </x:c>
      <x:c r="E867" s="17" t="str">
        <x:v>stage2_screened_out</x:v>
      </x:c>
      <x:c r="F867" s="17" t="str">
        <x:v>Only one bounded registry/program-code signal was present; no independent topical, Calendar, current-faculty, or first-audit signal was recovered.</x:v>
      </x:c>
      <x:c r="G867" s="17" t="str">
        <x:v>Does the current official catalog contain a research graduate program matching the applicant's topics?</x:v>
      </x:c>
      <x:c r="H867" s="17" t="str">
        <x:v>https://www.sfbu.edu</x:v>
      </x:c>
      <x:c r="I867" s="17" t="str">
        <x:v>not_sampled</x:v>
      </x:c>
      <x:c r="J867" s="17" t="str">
        <x:v>not_sampled</x:v>
      </x:c>
    </x:row>
    <x:row r="868" ht="46" customHeight="1">
      <x:c r="A868" s="17" t="str">
        <x:v>us</x:v>
      </x:c>
      <x:c r="B868" s="17" t="str">
        <x:v>San Francisco State University</x:v>
      </x:c>
      <x:c r="C868" s="17" t="str">
        <x:v>IPEDS discovery signal: Computer Engineering, General (CIP 14.0901)</x:v>
      </x:c>
      <x:c r="D868" s="17" t="str">
        <x:v>Unclear</x:v>
      </x:c>
      <x:c r="E868" s="17" t="str">
        <x:v>stage2_screened_out</x:v>
      </x:c>
      <x:c r="F868" s="17" t="str">
        <x:v>Only one bounded registry/program-code signal was present; no independent topical, Calendar, current-faculty, or first-audit signal was recovered.</x:v>
      </x:c>
      <x:c r="G868" s="17" t="str">
        <x:v>Does the current official catalog contain a research graduate program matching the applicant's topics?</x:v>
      </x:c>
      <x:c r="H868" s="17" t="str">
        <x:v>https://www.sfsu.edu</x:v>
      </x:c>
      <x:c r="I868" s="17" t="str">
        <x:v>not_sampled</x:v>
      </x:c>
      <x:c r="J868" s="17" t="str">
        <x:v>not_sampled</x:v>
      </x:c>
    </x:row>
    <x:row r="869" ht="46" customHeight="1">
      <x:c r="A869" s="17" t="str">
        <x:v>us</x:v>
      </x:c>
      <x:c r="B869" s="17" t="str">
        <x:v>San Francisco State University</x:v>
      </x:c>
      <x:c r="C869" s="17" t="str">
        <x:v>IPEDS discovery signal: Computer Science (CIP 11.0701)</x:v>
      </x:c>
      <x:c r="D869" s="17" t="str">
        <x:v>Unclear</x:v>
      </x:c>
      <x:c r="E869" s="17" t="str">
        <x:v>stage2_screened_out</x:v>
      </x:c>
      <x:c r="F869" s="17" t="str">
        <x:v>Only one bounded registry/program-code signal was present; no independent topical, Calendar, current-faculty, or first-audit signal was recovered.</x:v>
      </x:c>
      <x:c r="G869" s="17" t="str">
        <x:v>Does the current official catalog contain a research graduate program matching the applicant's topics?</x:v>
      </x:c>
      <x:c r="H869" s="17" t="str">
        <x:v>https://www.sfsu.edu</x:v>
      </x:c>
      <x:c r="I869" s="17" t="str">
        <x:v>not_sampled</x:v>
      </x:c>
      <x:c r="J869" s="17" t="str">
        <x:v>not_sampled</x:v>
      </x:c>
    </x:row>
    <x:row r="870" ht="46" customHeight="1">
      <x:c r="A870" s="17" t="str">
        <x:v>us</x:v>
      </x:c>
      <x:c r="B870" s="17" t="str">
        <x:v>San Jose State University</x:v>
      </x:c>
      <x:c r="C870" s="17" t="str">
        <x:v>IPEDS discovery signal: Artificial Intelligence (CIP 11.0102)</x:v>
      </x:c>
      <x:c r="D870" s="17" t="str">
        <x:v>Unclear</x:v>
      </x:c>
      <x:c r="E870" s="17" t="str">
        <x:v>stage2_screened_out</x:v>
      </x:c>
      <x:c r="F870" s="17" t="str">
        <x:v>Duplicate mechanical discovery signal consolidated into one institution-level catalog review candidate.</x:v>
      </x:c>
      <x:c r="G870" s="17" t="str">
        <x:v>Does the current official catalog contain a research graduate program matching the applicant's topics?</x:v>
      </x:c>
      <x:c r="H870" s="17" t="str">
        <x:v>https://www.sjsu.edu</x:v>
      </x:c>
      <x:c r="I870" s="17" t="str">
        <x:v>not_sampled</x:v>
      </x:c>
      <x:c r="J870" s="17" t="str">
        <x:v>not_sampled</x:v>
      </x:c>
    </x:row>
    <x:row r="871" ht="46" customHeight="1">
      <x:c r="A871" s="17" t="str">
        <x:v>us</x:v>
      </x:c>
      <x:c r="B871" s="17" t="str">
        <x:v>San Jose State University</x:v>
      </x:c>
      <x:c r="C871" s="17" t="str">
        <x:v>IPEDS discovery signal: Computer Engineering, General (CIP 14.0901)</x:v>
      </x:c>
      <x:c r="D871" s="17" t="str">
        <x:v>Unclear</x:v>
      </x:c>
      <x:c r="E871" s="17" t="str">
        <x:v>stage2_screened_out</x:v>
      </x:c>
      <x:c r="F871" s="17" t="str">
        <x:v>Duplicate mechanical discovery signal consolidated into one institution-level catalog review candidate.</x:v>
      </x:c>
      <x:c r="G871" s="17" t="str">
        <x:v>Does the current official catalog contain a research graduate program matching the applicant's topics?</x:v>
      </x:c>
      <x:c r="H871" s="17" t="str">
        <x:v>https://www.sjsu.edu</x:v>
      </x:c>
      <x:c r="I871" s="17" t="str">
        <x:v>not_sampled</x:v>
      </x:c>
      <x:c r="J871" s="17" t="str">
        <x:v>not_sampled</x:v>
      </x:c>
    </x:row>
    <x:row r="872" ht="46" customHeight="1">
      <x:c r="A872" s="17" t="str">
        <x:v>us</x:v>
      </x:c>
      <x:c r="B872" s="17" t="str">
        <x:v>San Jose State University</x:v>
      </x:c>
      <x:c r="C872" s="17" t="str">
        <x:v>IPEDS discovery signal: Computer Science (CIP 11.0701)</x:v>
      </x:c>
      <x:c r="D872" s="17" t="str">
        <x:v>Unclear</x:v>
      </x:c>
      <x:c r="E872" s="17" t="str">
        <x:v>stage2_screened_out</x:v>
      </x:c>
      <x:c r="F872" s="17" t="str">
        <x:v>Duplicate mechanical discovery signal consolidated into one institution-level catalog review candidate.</x:v>
      </x:c>
      <x:c r="G872" s="17" t="str">
        <x:v>Does the current official catalog contain a research graduate program matching the applicant's topics?</x:v>
      </x:c>
      <x:c r="H872" s="17" t="str">
        <x:v>https://www.sjsu.edu</x:v>
      </x:c>
      <x:c r="I872" s="17" t="str">
        <x:v>not_sampled</x:v>
      </x:c>
      <x:c r="J872" s="17" t="str">
        <x:v>not_sampled</x:v>
      </x:c>
    </x:row>
    <x:row r="873" ht="46" customHeight="1">
      <x:c r="A873" s="17" t="str">
        <x:v>us</x:v>
      </x:c>
      <x:c r="B873" s="17" t="str">
        <x:v>San Jose State University</x:v>
      </x:c>
      <x:c r="C873" s="17" t="str">
        <x:v>IPEDS discovery signal: Data Science, General (CIP 30.7001)</x:v>
      </x:c>
      <x:c r="D873" s="17" t="str">
        <x:v>Unclear</x:v>
      </x:c>
      <x:c r="E873" s="17" t="str">
        <x:v>stage2_screened_out</x:v>
      </x:c>
      <x:c r="F873" s="17" t="str">
        <x:v>Duplicate mechanical discovery signal consolidated into one institution-level catalog review candidate.</x:v>
      </x:c>
      <x:c r="G873" s="17" t="str">
        <x:v>Does the current official catalog contain a research graduate program matching the applicant's topics?</x:v>
      </x:c>
      <x:c r="H873" s="17" t="str">
        <x:v>https://www.sjsu.edu</x:v>
      </x:c>
      <x:c r="I873" s="17" t="str">
        <x:v>not_sampled</x:v>
      </x:c>
      <x:c r="J873" s="17" t="str">
        <x:v>not_sampled</x:v>
      </x:c>
    </x:row>
    <x:row r="874" ht="46" customHeight="1">
      <x:c r="A874" s="17" t="str">
        <x:v>us</x:v>
      </x:c>
      <x:c r="B874" s="17" t="str">
        <x:v>San Jose State University</x:v>
      </x:c>
      <x:c r="C874" s="17" t="str">
        <x:v>IPEDS discovery signal: Electrical and Electronics Engineering (CIP 14.1001)</x:v>
      </x:c>
      <x:c r="D874" s="17" t="str">
        <x:v>Unclear</x:v>
      </x:c>
      <x:c r="E874" s="17" t="str">
        <x:v>stage2_screened_out</x:v>
      </x:c>
      <x:c r="F874" s="17" t="str">
        <x:v>Duplicate mechanical discovery signal consolidated into one institution-level catalog review candidate.</x:v>
      </x:c>
      <x:c r="G874" s="17" t="str">
        <x:v>Does the current official catalog contain a research graduate program matching the applicant's topics?</x:v>
      </x:c>
      <x:c r="H874" s="17" t="str">
        <x:v>https://www.sjsu.edu</x:v>
      </x:c>
      <x:c r="I874" s="17" t="str">
        <x:v>not_sampled</x:v>
      </x:c>
      <x:c r="J874" s="17" t="str">
        <x:v>not_sampled</x:v>
      </x:c>
    </x:row>
    <x:row r="875" ht="46" customHeight="1">
      <x:c r="A875" s="17" t="str">
        <x:v>us</x:v>
      </x:c>
      <x:c r="B875" s="17" t="str">
        <x:v>San Jose State University</x:v>
      </x:c>
      <x:c r="C875" s="17" t="str">
        <x:v>IPEDS discovery signal: Informatics (CIP 11.0104)</x:v>
      </x:c>
      <x:c r="D875" s="17" t="str">
        <x:v>Unclear</x:v>
      </x:c>
      <x:c r="E875" s="17" t="str">
        <x:v>stage2_screened_out</x:v>
      </x:c>
      <x:c r="F875" s="17" t="str">
        <x:v>Duplicate mechanical discovery signal consolidated into one institution-level catalog review candidate.</x:v>
      </x:c>
      <x:c r="G875" s="17" t="str">
        <x:v>Does the current official catalog contain a research graduate program matching the applicant's topics?</x:v>
      </x:c>
      <x:c r="H875" s="17" t="str">
        <x:v>https://www.sjsu.edu</x:v>
      </x:c>
      <x:c r="I875" s="17" t="str">
        <x:v>not_sampled</x:v>
      </x:c>
      <x:c r="J875" s="17" t="str">
        <x:v>not_sampled</x:v>
      </x:c>
    </x:row>
    <x:row r="876" ht="46" customHeight="1">
      <x:c r="A876" s="17" t="str">
        <x:v>us</x:v>
      </x:c>
      <x:c r="B876" s="17" t="str">
        <x:v>SANS Technology Institute</x:v>
      </x:c>
      <x:c r="C876" s="17" t="str">
        <x:v>IPEDS discovery signal: Computer and Information Systems Security/Auditing/Information Assurance (CIP 11.1003)</x:v>
      </x:c>
      <x:c r="D876" s="17" t="str">
        <x:v>Unclear</x:v>
      </x:c>
      <x:c r="E876" s="17" t="str">
        <x:v>stage2_screened_out</x:v>
      </x:c>
      <x:c r="F876" s="17" t="str">
        <x:v>Only one bounded registry/program-code signal was present; no independent topical, Calendar, current-faculty, or first-audit signal was recovered.</x:v>
      </x:c>
      <x:c r="G876" s="17" t="str">
        <x:v>Does the current official catalog contain a research graduate program matching the applicant's topics?</x:v>
      </x:c>
      <x:c r="H876" s="17" t="str">
        <x:v>https://www.sans.edu</x:v>
      </x:c>
      <x:c r="I876" s="17" t="str">
        <x:v>not_sampled</x:v>
      </x:c>
      <x:c r="J876" s="17" t="str">
        <x:v>not_sampled</x:v>
      </x:c>
    </x:row>
    <x:row r="877" ht="46" customHeight="1">
      <x:c r="A877" s="17" t="str">
        <x:v>us</x:v>
      </x:c>
      <x:c r="B877" s="17" t="str">
        <x:v>Santa Clara University</x:v>
      </x:c>
      <x:c r="C877" s="17" t="str">
        <x:v>IPEDS discovery signal: Computer Hardware Engineering (CIP 14.0902)</x:v>
      </x:c>
      <x:c r="D877" s="17" t="str">
        <x:v>Unclear</x:v>
      </x:c>
      <x:c r="E877" s="17" t="str">
        <x:v>stage2_screened_out</x:v>
      </x:c>
      <x:c r="F877" s="17" t="str">
        <x:v>Duplicate mechanical discovery signal consolidated into one institution-level catalog review candidate.</x:v>
      </x:c>
      <x:c r="G877" s="17" t="str">
        <x:v>Does the current official catalog contain a research graduate program matching the applicant's topics?</x:v>
      </x:c>
      <x:c r="H877" s="17" t="str">
        <x:v>https://www.scu.edu</x:v>
      </x:c>
      <x:c r="I877" s="17" t="str">
        <x:v>not_sampled</x:v>
      </x:c>
      <x:c r="J877" s="17" t="str">
        <x:v>not_sampled</x:v>
      </x:c>
    </x:row>
    <x:row r="878" ht="46" customHeight="1">
      <x:c r="A878" s="17" t="str">
        <x:v>us</x:v>
      </x:c>
      <x:c r="B878" s="17" t="str">
        <x:v>Santa Clara University</x:v>
      </x:c>
      <x:c r="C878" s="17" t="str">
        <x:v>IPEDS discovery signal: Information Technology (CIP 11.0103)</x:v>
      </x:c>
      <x:c r="D878" s="17" t="str">
        <x:v>Unclear</x:v>
      </x:c>
      <x:c r="E878" s="17" t="str">
        <x:v>stage2_screened_out</x:v>
      </x:c>
      <x:c r="F878" s="17" t="str">
        <x:v>Duplicate mechanical discovery signal consolidated into one institution-level catalog review candidate.</x:v>
      </x:c>
      <x:c r="G878" s="17" t="str">
        <x:v>Does the current official catalog contain a research graduate program matching the applicant's topics?</x:v>
      </x:c>
      <x:c r="H878" s="17" t="str">
        <x:v>https://www.scu.edu</x:v>
      </x:c>
      <x:c r="I878" s="17" t="str">
        <x:v>not_sampled</x:v>
      </x:c>
      <x:c r="J878" s="17" t="str">
        <x:v>not_sampled</x:v>
      </x:c>
    </x:row>
    <x:row r="879" ht="46" customHeight="1">
      <x:c r="A879" s="17" t="str">
        <x:v>us</x:v>
      </x:c>
      <x:c r="B879" s="17" t="str">
        <x:v>Santa Clara University</x:v>
      </x:c>
      <x:c r="C879" s="17" t="str">
        <x:v>IPEDS discovery signal: Mechatronics, Robotics, and Automation Engineering (CIP 14.4201)</x:v>
      </x:c>
      <x:c r="D879" s="17" t="str">
        <x:v>Unclear</x:v>
      </x:c>
      <x:c r="E879" s="17" t="str">
        <x:v>stage2_screened_out</x:v>
      </x:c>
      <x:c r="F879" s="17" t="str">
        <x:v>Duplicate mechanical discovery signal consolidated into one institution-level catalog review candidate.</x:v>
      </x:c>
      <x:c r="G879" s="17" t="str">
        <x:v>Does the current official catalog contain a research graduate program matching the applicant's topics?</x:v>
      </x:c>
      <x:c r="H879" s="17" t="str">
        <x:v>https://www.scu.edu</x:v>
      </x:c>
      <x:c r="I879" s="17" t="str">
        <x:v>not_sampled</x:v>
      </x:c>
      <x:c r="J879" s="17" t="str">
        <x:v>not_sampled</x:v>
      </x:c>
    </x:row>
    <x:row r="880" ht="46" customHeight="1">
      <x:c r="A880" s="17" t="str">
        <x:v>us</x:v>
      </x:c>
      <x:c r="B880" s="17" t="str">
        <x:v>Seattle University</x:v>
      </x:c>
      <x:c r="C880" s="17" t="str">
        <x:v>IPEDS discovery signal: Information Science/Studies (CIP 11.0401)</x:v>
      </x:c>
      <x:c r="D880" s="17" t="str">
        <x:v>Unclear</x:v>
      </x:c>
      <x:c r="E880" s="17" t="str">
        <x:v>stage2_screened_out</x:v>
      </x:c>
      <x:c r="F880" s="17" t="str">
        <x:v>Duplicate mechanical discovery signal consolidated into one institution-level catalog review candidate.</x:v>
      </x:c>
      <x:c r="G880" s="17" t="str">
        <x:v>Does the current official catalog contain a research graduate program matching the applicant's topics?</x:v>
      </x:c>
      <x:c r="H880" s="17" t="str">
        <x:v>https://www.seattleu.edu</x:v>
      </x:c>
      <x:c r="I880" s="17" t="str">
        <x:v>not_sampled</x:v>
      </x:c>
      <x:c r="J880" s="17" t="str">
        <x:v>not_sampled</x:v>
      </x:c>
    </x:row>
    <x:row r="881" ht="46" customHeight="1">
      <x:c r="A881" s="17" t="str">
        <x:v>us</x:v>
      </x:c>
      <x:c r="B881" s="17" t="str">
        <x:v>Seton Hall University</x:v>
      </x:c>
      <x:c r="C881" s="17" t="str">
        <x:v>IPEDS discovery signal: Data Science, General (CIP 30.7001)</x:v>
      </x:c>
      <x:c r="D881" s="17" t="str">
        <x:v>Unclear</x:v>
      </x:c>
      <x:c r="E881" s="17" t="str">
        <x:v>stage2_screened_out</x:v>
      </x:c>
      <x:c r="F881" s="17" t="str">
        <x:v>Duplicate mechanical discovery signal consolidated into one institution-level catalog review candidate.</x:v>
      </x:c>
      <x:c r="G881" s="17" t="str">
        <x:v>Does the current official catalog contain a research graduate program matching the applicant's topics?</x:v>
      </x:c>
      <x:c r="H881" s="17" t="str">
        <x:v>https://www.shu.edu</x:v>
      </x:c>
      <x:c r="I881" s="17" t="str">
        <x:v>not_sampled</x:v>
      </x:c>
      <x:c r="J881" s="17" t="str">
        <x:v>not_sampled</x:v>
      </x:c>
    </x:row>
    <x:row r="882" ht="46" customHeight="1">
      <x:c r="A882" s="17" t="str">
        <x:v>us</x:v>
      </x:c>
      <x:c r="B882" s="17" t="str">
        <x:v>Seton Hall University</x:v>
      </x:c>
      <x:c r="C882" s="17" t="str">
        <x:v>IPEDS discovery signal: Information Technology (CIP 11.0103)</x:v>
      </x:c>
      <x:c r="D882" s="17" t="str">
        <x:v>Unclear</x:v>
      </x:c>
      <x:c r="E882" s="17" t="str">
        <x:v>stage2_screened_out</x:v>
      </x:c>
      <x:c r="F882" s="17" t="str">
        <x:v>Duplicate mechanical discovery signal consolidated into one institution-level catalog review candidate.</x:v>
      </x:c>
      <x:c r="G882" s="17" t="str">
        <x:v>Does the current official catalog contain a research graduate program matching the applicant's topics?</x:v>
      </x:c>
      <x:c r="H882" s="17" t="str">
        <x:v>https://www.shu.edu</x:v>
      </x:c>
      <x:c r="I882" s="17" t="str">
        <x:v>not_sampled</x:v>
      </x:c>
      <x:c r="J882" s="17" t="str">
        <x:v>not_sampled</x:v>
      </x:c>
    </x:row>
    <x:row r="883" ht="46" customHeight="1">
      <x:c r="A883" s="17" t="str">
        <x:v>us</x:v>
      </x:c>
      <x:c r="B883" s="17" t="str">
        <x:v>Shippensburg University of Pennsylvania</x:v>
      </x:c>
      <x:c r="C883" s="17" t="str">
        <x:v>IPEDS discovery signal: Computer and Information Sciences, General (CIP 11.0101)</x:v>
      </x:c>
      <x:c r="D883" s="17" t="str">
        <x:v>Unclear</x:v>
      </x:c>
      <x:c r="E883" s="17" t="str">
        <x:v>stage2_screened_out</x:v>
      </x:c>
      <x:c r="F883" s="17" t="str">
        <x:v>Only one bounded registry/program-code signal was present; no independent topical, Calendar, current-faculty, or first-audit signal was recovered.</x:v>
      </x:c>
      <x:c r="G883" s="17" t="str">
        <x:v>Does the current official catalog contain a research graduate program matching the applicant's topics?</x:v>
      </x:c>
      <x:c r="H883" s="17" t="str">
        <x:v>https://www.ship.edu</x:v>
      </x:c>
      <x:c r="I883" s="17" t="str">
        <x:v>not_sampled</x:v>
      </x:c>
      <x:c r="J883" s="17" t="str">
        <x:v>not_sampled</x:v>
      </x:c>
    </x:row>
    <x:row r="884" ht="46" customHeight="1">
      <x:c r="A884" s="17" t="str">
        <x:v>us</x:v>
      </x:c>
      <x:c r="B884" s="17" t="str">
        <x:v>Slippery Rock University of Pennsylvania</x:v>
      </x:c>
      <x:c r="C884" s="17" t="str">
        <x:v>IPEDS discovery signal: Informatics (CIP 11.0104)</x:v>
      </x:c>
      <x:c r="D884" s="17" t="str">
        <x:v>Unclear</x:v>
      </x:c>
      <x:c r="E884" s="17" t="str">
        <x:v>stage2_screened_out</x:v>
      </x:c>
      <x:c r="F884" s="17" t="str">
        <x:v>Only one bounded registry/program-code signal was present; no independent topical, Calendar, current-faculty, or first-audit signal was recovered.</x:v>
      </x:c>
      <x:c r="G884" s="17" t="str">
        <x:v>Does the current official catalog contain a research graduate program matching the applicant's topics?</x:v>
      </x:c>
      <x:c r="H884" s="17" t="str">
        <x:v>https://www.sru.edu</x:v>
      </x:c>
      <x:c r="I884" s="17" t="str">
        <x:v>not_sampled</x:v>
      </x:c>
      <x:c r="J884" s="17" t="str">
        <x:v>not_sampled</x:v>
      </x:c>
    </x:row>
    <x:row r="885" ht="46" customHeight="1">
      <x:c r="A885" s="17" t="str">
        <x:v>us</x:v>
      </x:c>
      <x:c r="B885" s="17" t="str">
        <x:v>Sofia University</x:v>
      </x:c>
      <x:c r="C885" s="17" t="str">
        <x:v>IPEDS discovery signal: Computer Science (CIP 11.0701)</x:v>
      </x:c>
      <x:c r="D885" s="17" t="str">
        <x:v>Unclear</x:v>
      </x:c>
      <x:c r="E885" s="17" t="str">
        <x:v>stage2_screened_out</x:v>
      </x:c>
      <x:c r="F885" s="17" t="str">
        <x:v>Only one bounded registry/program-code signal was present; no independent topical, Calendar, current-faculty, or first-audit signal was recovered.</x:v>
      </x:c>
      <x:c r="G885" s="17" t="str">
        <x:v>Does the current official catalog contain a research graduate program matching the applicant's topics?</x:v>
      </x:c>
      <x:c r="H885" s="17" t="str">
        <x:v>https://www.sofia.edu</x:v>
      </x:c>
      <x:c r="I885" s="17" t="str">
        <x:v>not_sampled</x:v>
      </x:c>
      <x:c r="J885" s="17" t="str">
        <x:v>not_sampled</x:v>
      </x:c>
    </x:row>
    <x:row r="886" ht="46" customHeight="1">
      <x:c r="A886" s="17" t="str">
        <x:v>us</x:v>
      </x:c>
      <x:c r="B886" s="17" t="str">
        <x:v>Sonoma State University</x:v>
      </x:c>
      <x:c r="C886" s="17" t="str">
        <x:v>IPEDS discovery signal: Computer Engineering, General (CIP 14.0901)</x:v>
      </x:c>
      <x:c r="D886" s="17" t="str">
        <x:v>Unclear</x:v>
      </x:c>
      <x:c r="E886" s="17" t="str">
        <x:v>stage2_screened_out</x:v>
      </x:c>
      <x:c r="F886" s="17" t="str">
        <x:v>Only one bounded registry/program-code signal was present; no independent topical, Calendar, current-faculty, or first-audit signal was recovered.</x:v>
      </x:c>
      <x:c r="G886" s="17" t="str">
        <x:v>Does the current official catalog contain a research graduate program matching the applicant's topics?</x:v>
      </x:c>
      <x:c r="H886" s="17" t="str">
        <x:v>https://sonoma.edu</x:v>
      </x:c>
      <x:c r="I886" s="17" t="str">
        <x:v>not_sampled</x:v>
      </x:c>
      <x:c r="J886" s="17" t="str">
        <x:v>not_sampled</x:v>
      </x:c>
    </x:row>
    <x:row r="887" ht="46" customHeight="1">
      <x:c r="A887" s="17" t="str">
        <x:v>us</x:v>
      </x:c>
      <x:c r="B887" s="17" t="str">
        <x:v>South College</x:v>
      </x:c>
      <x:c r="C887" s="17" t="str">
        <x:v>IPEDS discovery signal: Artificial Intelligence (CIP 11.0102)</x:v>
      </x:c>
      <x:c r="D887" s="17" t="str">
        <x:v>Unclear</x:v>
      </x:c>
      <x:c r="E887" s="17" t="str">
        <x:v>stage2_screened_out</x:v>
      </x:c>
      <x:c r="F887" s="17" t="str">
        <x:v>Only one bounded registry/program-code signal was present; no independent topical, Calendar, current-faculty, or first-audit signal was recovered.</x:v>
      </x:c>
      <x:c r="G887" s="17" t="str">
        <x:v>Does the current official catalog contain a research graduate program matching the applicant's topics?</x:v>
      </x:c>
      <x:c r="H887" s="17" t="str">
        <x:v>https://www.south.edu</x:v>
      </x:c>
      <x:c r="I887" s="17" t="str">
        <x:v>not_sampled</x:v>
      </x:c>
      <x:c r="J887" s="17" t="str">
        <x:v>not_sampled</x:v>
      </x:c>
    </x:row>
    <x:row r="888" ht="46" customHeight="1">
      <x:c r="A888" s="17" t="str">
        <x:v>us</x:v>
      </x:c>
      <x:c r="B888" s="17" t="str">
        <x:v>South College</x:v>
      </x:c>
      <x:c r="C888" s="17" t="str">
        <x:v>IPEDS discovery signal: Computer and Information Systems Security/Auditing/Information Assurance (CIP 11.1003)</x:v>
      </x:c>
      <x:c r="D888" s="17" t="str">
        <x:v>Unclear</x:v>
      </x:c>
      <x:c r="E888" s="17" t="str">
        <x:v>stage2_screened_out</x:v>
      </x:c>
      <x:c r="F888" s="17" t="str">
        <x:v>Only one bounded registry/program-code signal was present; no independent topical, Calendar, current-faculty, or first-audit signal was recovered.</x:v>
      </x:c>
      <x:c r="G888" s="17" t="str">
        <x:v>Does the current official catalog contain a research graduate program matching the applicant's topics?</x:v>
      </x:c>
      <x:c r="H888" s="17" t="str">
        <x:v>https://www.south.edu</x:v>
      </x:c>
      <x:c r="I888" s="17" t="str">
        <x:v>not_sampled</x:v>
      </x:c>
      <x:c r="J888" s="17" t="str">
        <x:v>not_sampled</x:v>
      </x:c>
    </x:row>
    <x:row r="889" ht="46" customHeight="1">
      <x:c r="A889" s="17" t="str">
        <x:v>us</x:v>
      </x:c>
      <x:c r="B889" s="17" t="str">
        <x:v>South College</x:v>
      </x:c>
      <x:c r="C889" s="17" t="str">
        <x:v>IPEDS discovery signal: Cyber/Computer Forensics and Counterterrorism (CIP 43.0403)</x:v>
      </x:c>
      <x:c r="D889" s="17" t="str">
        <x:v>Unclear</x:v>
      </x:c>
      <x:c r="E889" s="17" t="str">
        <x:v>stage2_screened_out</x:v>
      </x:c>
      <x:c r="F889" s="17" t="str">
        <x:v>Only one bounded registry/program-code signal was present; no independent topical, Calendar, current-faculty, or first-audit signal was recovered.</x:v>
      </x:c>
      <x:c r="G889" s="17" t="str">
        <x:v>Does the current official catalog contain a research graduate program matching the applicant's topics?</x:v>
      </x:c>
      <x:c r="H889" s="17" t="str">
        <x:v>https://www.south.edu</x:v>
      </x:c>
      <x:c r="I889" s="17" t="str">
        <x:v>not_sampled</x:v>
      </x:c>
      <x:c r="J889" s="17" t="str">
        <x:v>not_sampled</x:v>
      </x:c>
    </x:row>
    <x:row r="890" ht="46" customHeight="1">
      <x:c r="A890" s="17" t="str">
        <x:v>us</x:v>
      </x:c>
      <x:c r="B890" s="17" t="str">
        <x:v>South Dakota School of Mines and Technology</x:v>
      </x:c>
      <x:c r="C890" s="17" t="str">
        <x:v>IPEDS discovery signal: Data Science, General (CIP 30.7001)</x:v>
      </x:c>
      <x:c r="D890" s="17" t="str">
        <x:v>Unclear</x:v>
      </x:c>
      <x:c r="E890" s="17" t="str">
        <x:v>stage2_screened_out</x:v>
      </x:c>
      <x:c r="F890" s="17" t="str">
        <x:v>Duplicate mechanical discovery signal consolidated into one institution-level catalog review candidate.</x:v>
      </x:c>
      <x:c r="G890" s="17" t="str">
        <x:v>Does the current official catalog contain a research graduate program matching the applicant's topics?</x:v>
      </x:c>
      <x:c r="H890" s="17" t="str">
        <x:v>https://www.sdsmt.edu</x:v>
      </x:c>
      <x:c r="I890" s="17" t="str">
        <x:v>not_sampled</x:v>
      </x:c>
      <x:c r="J890" s="17" t="str">
        <x:v>not_sampled</x:v>
      </x:c>
    </x:row>
    <x:row r="891" ht="46" customHeight="1">
      <x:c r="A891" s="17" t="str">
        <x:v>us</x:v>
      </x:c>
      <x:c r="B891" s="17" t="str">
        <x:v>South Dakota School of Mines and Technology</x:v>
      </x:c>
      <x:c r="C891" s="17" t="str">
        <x:v>IPEDS discovery signal: Electrical and Electronics Engineering (CIP 14.1001)</x:v>
      </x:c>
      <x:c r="D891" s="17" t="str">
        <x:v>Unclear</x:v>
      </x:c>
      <x:c r="E891" s="17" t="str">
        <x:v>stage2_screened_out</x:v>
      </x:c>
      <x:c r="F891" s="17" t="str">
        <x:v>Duplicate mechanical discovery signal consolidated into one institution-level catalog review candidate.</x:v>
      </x:c>
      <x:c r="G891" s="17" t="str">
        <x:v>Does the current official catalog contain a research graduate program matching the applicant's topics?</x:v>
      </x:c>
      <x:c r="H891" s="17" t="str">
        <x:v>https://www.sdsmt.edu</x:v>
      </x:c>
      <x:c r="I891" s="17" t="str">
        <x:v>not_sampled</x:v>
      </x:c>
      <x:c r="J891" s="17" t="str">
        <x:v>not_sampled</x:v>
      </x:c>
    </x:row>
    <x:row r="892" ht="46" customHeight="1">
      <x:c r="A892" s="17" t="str">
        <x:v>us</x:v>
      </x:c>
      <x:c r="B892" s="17" t="str">
        <x:v>South Dakota State University</x:v>
      </x:c>
      <x:c r="C892" s="17" t="str">
        <x:v>IPEDS discovery signal: Computer and Information Sciences, General (CIP 11.0101)</x:v>
      </x:c>
      <x:c r="D892" s="17" t="str">
        <x:v>Unclear</x:v>
      </x:c>
      <x:c r="E892" s="17" t="str">
        <x:v>stage2_screened_out</x:v>
      </x:c>
      <x:c r="F892" s="17" t="str">
        <x:v>Only one bounded registry/program-code signal was present; no independent topical, Calendar, current-faculty, or first-audit signal was recovered.</x:v>
      </x:c>
      <x:c r="G892" s="17" t="str">
        <x:v>Does the current official catalog contain a research graduate program matching the applicant's topics?</x:v>
      </x:c>
      <x:c r="H892" s="17" t="str">
        <x:v>https://www.sdstate.edu</x:v>
      </x:c>
      <x:c r="I892" s="17" t="str">
        <x:v>not_sampled</x:v>
      </x:c>
      <x:c r="J892" s="17" t="str">
        <x:v>not_sampled</x:v>
      </x:c>
    </x:row>
    <x:row r="893" ht="46" customHeight="1">
      <x:c r="A893" s="17" t="str">
        <x:v>us</x:v>
      </x:c>
      <x:c r="B893" s="17" t="str">
        <x:v>South Dakota State University</x:v>
      </x:c>
      <x:c r="C893" s="17" t="str">
        <x:v>IPEDS discovery signal: Data Science, General (CIP 30.7001)</x:v>
      </x:c>
      <x:c r="D893" s="17" t="str">
        <x:v>Unclear</x:v>
      </x:c>
      <x:c r="E893" s="17" t="str">
        <x:v>stage2_screened_out</x:v>
      </x:c>
      <x:c r="F893" s="17" t="str">
        <x:v>Only one bounded registry/program-code signal was present; no independent topical, Calendar, current-faculty, or first-audit signal was recovered.</x:v>
      </x:c>
      <x:c r="G893" s="17" t="str">
        <x:v>Does the current official catalog contain a research graduate program matching the applicant's topics?</x:v>
      </x:c>
      <x:c r="H893" s="17" t="str">
        <x:v>https://www.sdstate.edu</x:v>
      </x:c>
      <x:c r="I893" s="17" t="str">
        <x:v>not_sampled</x:v>
      </x:c>
      <x:c r="J893" s="17" t="str">
        <x:v>not_sampled</x:v>
      </x:c>
    </x:row>
    <x:row r="894" ht="46" customHeight="1">
      <x:c r="A894" s="17" t="str">
        <x:v>us</x:v>
      </x:c>
      <x:c r="B894" s="17" t="str">
        <x:v>South Dakota State University</x:v>
      </x:c>
      <x:c r="C894" s="17" t="str">
        <x:v>IPEDS discovery signal: Electrical and Electronics Engineering (CIP 14.1001)</x:v>
      </x:c>
      <x:c r="D894" s="17" t="str">
        <x:v>Unclear</x:v>
      </x:c>
      <x:c r="E894" s="17" t="str">
        <x:v>stage2_screened_out</x:v>
      </x:c>
      <x:c r="F894" s="17" t="str">
        <x:v>Only one bounded registry/program-code signal was present; no independent topical, Calendar, current-faculty, or first-audit signal was recovered.</x:v>
      </x:c>
      <x:c r="G894" s="17" t="str">
        <x:v>Does the current official catalog contain a research graduate program matching the applicant's topics?</x:v>
      </x:c>
      <x:c r="H894" s="17" t="str">
        <x:v>https://www.sdstate.edu</x:v>
      </x:c>
      <x:c r="I894" s="17" t="str">
        <x:v>not_sampled</x:v>
      </x:c>
      <x:c r="J894" s="17" t="str">
        <x:v>not_sampled</x:v>
      </x:c>
    </x:row>
    <x:row r="895" ht="46" customHeight="1">
      <x:c r="A895" s="17" t="str">
        <x:v>us</x:v>
      </x:c>
      <x:c r="B895" s="17" t="str">
        <x:v>South University-Austin</x:v>
      </x:c>
      <x:c r="C895" s="17" t="str">
        <x:v>IPEDS discovery signal: Information Science/Studies (CIP 11.0401)</x:v>
      </x:c>
      <x:c r="D895" s="17" t="str">
        <x:v>Unclear</x:v>
      </x:c>
      <x:c r="E895" s="17" t="str">
        <x:v>stage2_screened_out</x:v>
      </x:c>
      <x:c r="F895" s="17" t="str">
        <x:v>Only one bounded registry/program-code signal was present; no independent topical, Calendar, current-faculty, or first-audit signal was recovered.</x:v>
      </x:c>
      <x:c r="G895" s="17" t="str">
        <x:v>Does the current official catalog contain a research graduate program matching the applicant's topics?</x:v>
      </x:c>
      <x:c r="H895" s="17" t="str">
        <x:v>https://www.southuniversity.edu/austin#location=Austin, TX</x:v>
      </x:c>
      <x:c r="I895" s="17" t="str">
        <x:v>not_sampled</x:v>
      </x:c>
      <x:c r="J895" s="17" t="str">
        <x:v>not_sampled</x:v>
      </x:c>
    </x:row>
    <x:row r="896" ht="46" customHeight="1">
      <x:c r="A896" s="17" t="str">
        <x:v>us</x:v>
      </x:c>
      <x:c r="B896" s="17" t="str">
        <x:v>South University-Montgomery</x:v>
      </x:c>
      <x:c r="C896" s="17" t="str">
        <x:v>IPEDS discovery signal: Information Science/Studies (CIP 11.0401)</x:v>
      </x:c>
      <x:c r="D896" s="17" t="str">
        <x:v>Unclear</x:v>
      </x:c>
      <x:c r="E896" s="17" t="str">
        <x:v>stage2_screened_out</x:v>
      </x:c>
      <x:c r="F896" s="17" t="str">
        <x:v>Only one bounded registry/program-code signal was present; no independent topical, Calendar, current-faculty, or first-audit signal was recovered.</x:v>
      </x:c>
      <x:c r="G896" s="17" t="str">
        <x:v>Does the current official catalog contain a research graduate program matching the applicant's topics?</x:v>
      </x:c>
      <x:c r="H896" s="17" t="str">
        <x:v>https://www.southuniversity.edu</x:v>
      </x:c>
      <x:c r="I896" s="17" t="str">
        <x:v>not_sampled</x:v>
      </x:c>
      <x:c r="J896" s="17" t="str">
        <x:v>not_sampled</x:v>
      </x:c>
    </x:row>
    <x:row r="897" ht="46" customHeight="1">
      <x:c r="A897" s="17" t="str">
        <x:v>us</x:v>
      </x:c>
      <x:c r="B897" s="17" t="str">
        <x:v>South University-Richmond</x:v>
      </x:c>
      <x:c r="C897" s="17" t="str">
        <x:v>IPEDS discovery signal: Information Science/Studies (CIP 11.0401)</x:v>
      </x:c>
      <x:c r="D897" s="17" t="str">
        <x:v>Unclear</x:v>
      </x:c>
      <x:c r="E897" s="17" t="str">
        <x:v>stage2_screened_out</x:v>
      </x:c>
      <x:c r="F897" s="17" t="str">
        <x:v>Only one bounded registry/program-code signal was present; no independent topical, Calendar, current-faculty, or first-audit signal was recovered.</x:v>
      </x:c>
      <x:c r="G897" s="17" t="str">
        <x:v>Does the current official catalog contain a research graduate program matching the applicant's topics?</x:v>
      </x:c>
      <x:c r="H897" s="17" t="str">
        <x:v>https://www.southuniversity.edu/richmond#location=Richmond, VA</x:v>
      </x:c>
      <x:c r="I897" s="17" t="str">
        <x:v>not_sampled</x:v>
      </x:c>
      <x:c r="J897" s="17" t="str">
        <x:v>not_sampled</x:v>
      </x:c>
    </x:row>
    <x:row r="898" ht="46" customHeight="1">
      <x:c r="A898" s="17" t="str">
        <x:v>us</x:v>
      </x:c>
      <x:c r="B898" s="17" t="str">
        <x:v>South University-Savannah Online</x:v>
      </x:c>
      <x:c r="C898" s="17" t="str">
        <x:v>IPEDS discovery signal: Information Science/Studies (CIP 11.0401)</x:v>
      </x:c>
      <x:c r="D898" s="17" t="str">
        <x:v>Unclear</x:v>
      </x:c>
      <x:c r="E898" s="17" t="str">
        <x:v>stage2_screened_out</x:v>
      </x:c>
      <x:c r="F898" s="17" t="str">
        <x:v>Only one bounded registry/program-code signal was present; no independent topical, Calendar, current-faculty, or first-audit signal was recovered.</x:v>
      </x:c>
      <x:c r="G898" s="17" t="str">
        <x:v>Does the current official catalog contain a research graduate program matching the applicant's topics?</x:v>
      </x:c>
      <x:c r="H898" s="17" t="str">
        <x:v>https://www.southuniversity.edu/online#location=Online Programs</x:v>
      </x:c>
      <x:c r="I898" s="17" t="str">
        <x:v>not_sampled</x:v>
      </x:c>
      <x:c r="J898" s="17" t="str">
        <x:v>not_sampled</x:v>
      </x:c>
    </x:row>
    <x:row r="899" ht="46" customHeight="1">
      <x:c r="A899" s="17" t="str">
        <x:v>us</x:v>
      </x:c>
      <x:c r="B899" s="17" t="str">
        <x:v>South University-Tampa</x:v>
      </x:c>
      <x:c r="C899" s="17" t="str">
        <x:v>IPEDS discovery signal: Information Science/Studies (CIP 11.0401)</x:v>
      </x:c>
      <x:c r="D899" s="17" t="str">
        <x:v>Unclear</x:v>
      </x:c>
      <x:c r="E899" s="17" t="str">
        <x:v>stage2_screened_out</x:v>
      </x:c>
      <x:c r="F899" s="17" t="str">
        <x:v>Only one bounded registry/program-code signal was present; no independent topical, Calendar, current-faculty, or first-audit signal was recovered.</x:v>
      </x:c>
      <x:c r="G899" s="17" t="str">
        <x:v>Does the current official catalog contain a research graduate program matching the applicant's topics?</x:v>
      </x:c>
      <x:c r="H899" s="17" t="str">
        <x:v>https://www.southuniversity.edu/tampa#location=Tampa, FL</x:v>
      </x:c>
      <x:c r="I899" s="17" t="str">
        <x:v>not_sampled</x:v>
      </x:c>
      <x:c r="J899" s="17" t="str">
        <x:v>not_sampled</x:v>
      </x:c>
    </x:row>
    <x:row r="900" ht="46" customHeight="1">
      <x:c r="A900" s="17" t="str">
        <x:v>us</x:v>
      </x:c>
      <x:c r="B900" s="17" t="str">
        <x:v>South University-Virginia Beach</x:v>
      </x:c>
      <x:c r="C900" s="17" t="str">
        <x:v>IPEDS discovery signal: Information Science/Studies (CIP 11.0401)</x:v>
      </x:c>
      <x:c r="D900" s="17" t="str">
        <x:v>Unclear</x:v>
      </x:c>
      <x:c r="E900" s="17" t="str">
        <x:v>stage2_screened_out</x:v>
      </x:c>
      <x:c r="F900" s="17" t="str">
        <x:v>Only one bounded registry/program-code signal was present; no independent topical, Calendar, current-faculty, or first-audit signal was recovered.</x:v>
      </x:c>
      <x:c r="G900" s="17" t="str">
        <x:v>Does the current official catalog contain a research graduate program matching the applicant's topics?</x:v>
      </x:c>
      <x:c r="H900" s="17" t="str">
        <x:v>https://www.southuniversity.edu/virginia-beach#location=Virginia Beach, VA</x:v>
      </x:c>
      <x:c r="I900" s="17" t="str">
        <x:v>not_sampled</x:v>
      </x:c>
      <x:c r="J900" s="17" t="str">
        <x:v>not_sampled</x:v>
      </x:c>
    </x:row>
    <x:row r="901" ht="46" customHeight="1">
      <x:c r="A901" s="17" t="str">
        <x:v>us</x:v>
      </x:c>
      <x:c r="B901" s="17" t="str">
        <x:v>Southeast Missouri State University</x:v>
      </x:c>
      <x:c r="C901" s="17" t="str">
        <x:v>IPEDS discovery signal: Computer and Information Sciences, General (CIP 11.0101)</x:v>
      </x:c>
      <x:c r="D901" s="17" t="str">
        <x:v>Unclear</x:v>
      </x:c>
      <x:c r="E901" s="17" t="str">
        <x:v>stage2_screened_out</x:v>
      </x:c>
      <x:c r="F901" s="17" t="str">
        <x:v>Only one bounded registry/program-code signal was present; no independent topical, Calendar, current-faculty, or first-audit signal was recovered.</x:v>
      </x:c>
      <x:c r="G901" s="17" t="str">
        <x:v>Does the current official catalog contain a research graduate program matching the applicant's topics?</x:v>
      </x:c>
      <x:c r="H901" s="17" t="str">
        <x:v>https://www.semo.edu</x:v>
      </x:c>
      <x:c r="I901" s="17" t="str">
        <x:v>not_sampled</x:v>
      </x:c>
      <x:c r="J901" s="17" t="str">
        <x:v>not_sampled</x:v>
      </x:c>
    </x:row>
    <x:row r="902" ht="46" customHeight="1">
      <x:c r="A902" s="17" t="str">
        <x:v>us</x:v>
      </x:c>
      <x:c r="B902" s="17" t="str">
        <x:v>Southeast Missouri State University</x:v>
      </x:c>
      <x:c r="C902" s="17" t="str">
        <x:v>IPEDS discovery signal: Computer and Information Systems Security/Auditing/Information Assurance (CIP 11.1003)</x:v>
      </x:c>
      <x:c r="D902" s="17" t="str">
        <x:v>Unclear</x:v>
      </x:c>
      <x:c r="E902" s="17" t="str">
        <x:v>stage2_screened_out</x:v>
      </x:c>
      <x:c r="F902" s="17" t="str">
        <x:v>Only one bounded registry/program-code signal was present; no independent topical, Calendar, current-faculty, or first-audit signal was recovered.</x:v>
      </x:c>
      <x:c r="G902" s="17" t="str">
        <x:v>Does the current official catalog contain a research graduate program matching the applicant's topics?</x:v>
      </x:c>
      <x:c r="H902" s="17" t="str">
        <x:v>https://www.semo.edu</x:v>
      </x:c>
      <x:c r="I902" s="17" t="str">
        <x:v>not_sampled</x:v>
      </x:c>
      <x:c r="J902" s="17" t="str">
        <x:v>not_sampled</x:v>
      </x:c>
    </x:row>
    <x:row r="903" ht="46" customHeight="1">
      <x:c r="A903" s="17" t="str">
        <x:v>us</x:v>
      </x:c>
      <x:c r="B903" s="17" t="str">
        <x:v>Southern Adventist University</x:v>
      </x:c>
      <x:c r="C903" s="17" t="str">
        <x:v>IPEDS discovery signal: Computer Science (CIP 11.0701)</x:v>
      </x:c>
      <x:c r="D903" s="17" t="str">
        <x:v>Unclear</x:v>
      </x:c>
      <x:c r="E903" s="17" t="str">
        <x:v>stage2_screened_out</x:v>
      </x:c>
      <x:c r="F903" s="17" t="str">
        <x:v>Only one bounded registry/program-code signal was present; no independent topical, Calendar, current-faculty, or first-audit signal was recovered.</x:v>
      </x:c>
      <x:c r="G903" s="17" t="str">
        <x:v>Does the current official catalog contain a research graduate program matching the applicant's topics?</x:v>
      </x:c>
      <x:c r="H903" s="17" t="str">
        <x:v>https://www.southern.edu</x:v>
      </x:c>
      <x:c r="I903" s="17" t="str">
        <x:v>not_sampled</x:v>
      </x:c>
      <x:c r="J903" s="17" t="str">
        <x:v>not_sampled</x:v>
      </x:c>
    </x:row>
    <x:row r="904" ht="46" customHeight="1">
      <x:c r="A904" s="17" t="str">
        <x:v>us</x:v>
      </x:c>
      <x:c r="B904" s="17" t="str">
        <x:v>Southern Arkansas University Main Campus</x:v>
      </x:c>
      <x:c r="C904" s="17" t="str">
        <x:v>IPEDS discovery signal: Computer and Information Sciences, General (CIP 11.0101)</x:v>
      </x:c>
      <x:c r="D904" s="17" t="str">
        <x:v>Unclear</x:v>
      </x:c>
      <x:c r="E904" s="17" t="str">
        <x:v>stage2_screened_out</x:v>
      </x:c>
      <x:c r="F904" s="17" t="str">
        <x:v>Only one bounded registry/program-code signal was present; no independent topical, Calendar, current-faculty, or first-audit signal was recovered.</x:v>
      </x:c>
      <x:c r="G904" s="17" t="str">
        <x:v>Does the current official catalog contain a research graduate program matching the applicant's topics?</x:v>
      </x:c>
      <x:c r="H904" s="17" t="str">
        <x:v>https://www.saumag.edu</x:v>
      </x:c>
      <x:c r="I904" s="17" t="str">
        <x:v>not_sampled</x:v>
      </x:c>
      <x:c r="J904" s="17" t="str">
        <x:v>not_sampled</x:v>
      </x:c>
    </x:row>
    <x:row r="905" ht="46" customHeight="1">
      <x:c r="A905" s="17" t="str">
        <x:v>us</x:v>
      </x:c>
      <x:c r="B905" s="17" t="str">
        <x:v>Southern Connecticut State University</x:v>
      </x:c>
      <x:c r="C905" s="17" t="str">
        <x:v>IPEDS discovery signal: Computer and Information Sciences, General (CIP 11.0101)</x:v>
      </x:c>
      <x:c r="D905" s="17" t="str">
        <x:v>Unclear</x:v>
      </x:c>
      <x:c r="E905" s="17" t="str">
        <x:v>stage2_screened_out</x:v>
      </x:c>
      <x:c r="F905" s="17" t="str">
        <x:v>Only one bounded registry/program-code signal was present; no independent topical, Calendar, current-faculty, or first-audit signal was recovered.</x:v>
      </x:c>
      <x:c r="G905" s="17" t="str">
        <x:v>Does the current official catalog contain a research graduate program matching the applicant's topics?</x:v>
      </x:c>
      <x:c r="H905" s="17" t="str">
        <x:v>https://www.southernct.edu</x:v>
      </x:c>
      <x:c r="I905" s="17" t="str">
        <x:v>not_sampled</x:v>
      </x:c>
      <x:c r="J905" s="17" t="str">
        <x:v>not_sampled</x:v>
      </x:c>
    </x:row>
    <x:row r="906" ht="46" customHeight="1">
      <x:c r="A906" s="17" t="str">
        <x:v>us</x:v>
      </x:c>
      <x:c r="B906" s="17" t="str">
        <x:v>Southern Illinois University-Carbondale</x:v>
      </x:c>
      <x:c r="C906" s="17" t="str">
        <x:v>IPEDS discovery signal: Computer Science (CIP 11.0701)</x:v>
      </x:c>
      <x:c r="D906" s="17" t="str">
        <x:v>Unclear</x:v>
      </x:c>
      <x:c r="E906" s="17" t="str">
        <x:v>stage2_screened_out</x:v>
      </x:c>
      <x:c r="F906" s="17" t="str">
        <x:v>Duplicate mechanical discovery signal consolidated into one institution-level catalog review candidate.</x:v>
      </x:c>
      <x:c r="G906" s="17" t="str">
        <x:v>Does the current official catalog contain a research graduate program matching the applicant's topics?</x:v>
      </x:c>
      <x:c r="H906" s="17" t="str">
        <x:v>https://siu.edu</x:v>
      </x:c>
      <x:c r="I906" s="17" t="str">
        <x:v>not_sampled</x:v>
      </x:c>
      <x:c r="J906" s="17" t="str">
        <x:v>not_sampled</x:v>
      </x:c>
    </x:row>
    <x:row r="907" ht="46" customHeight="1">
      <x:c r="A907" s="17" t="str">
        <x:v>us</x:v>
      </x:c>
      <x:c r="B907" s="17" t="str">
        <x:v>Southern Illinois University-Carbondale</x:v>
      </x:c>
      <x:c r="C907" s="17" t="str">
        <x:v>IPEDS discovery signal: Electrical and Electronics Engineering (CIP 14.1001)</x:v>
      </x:c>
      <x:c r="D907" s="17" t="str">
        <x:v>Unclear</x:v>
      </x:c>
      <x:c r="E907" s="17" t="str">
        <x:v>stage2_screened_out</x:v>
      </x:c>
      <x:c r="F907" s="17" t="str">
        <x:v>Duplicate mechanical discovery signal consolidated into one institution-level catalog review candidate.</x:v>
      </x:c>
      <x:c r="G907" s="17" t="str">
        <x:v>Does the current official catalog contain a research graduate program matching the applicant's topics?</x:v>
      </x:c>
      <x:c r="H907" s="17" t="str">
        <x:v>https://siu.edu</x:v>
      </x:c>
      <x:c r="I907" s="17" t="str">
        <x:v>not_sampled</x:v>
      </x:c>
      <x:c r="J907" s="17" t="str">
        <x:v>not_sampled</x:v>
      </x:c>
    </x:row>
    <x:row r="908" ht="46" customHeight="1">
      <x:c r="A908" s="17" t="str">
        <x:v>us</x:v>
      </x:c>
      <x:c r="B908" s="17" t="str">
        <x:v>Southern Illinois University Edwardsville</x:v>
      </x:c>
      <x:c r="C908" s="17" t="str">
        <x:v>IPEDS discovery signal: Computer and Information Sciences, General (CIP 11.0101)</x:v>
      </x:c>
      <x:c r="D908" s="17" t="str">
        <x:v>Unclear</x:v>
      </x:c>
      <x:c r="E908" s="17" t="str">
        <x:v>stage2_screened_out</x:v>
      </x:c>
      <x:c r="F908" s="17" t="str">
        <x:v>Only one bounded registry/program-code signal was present; no independent topical, Calendar, current-faculty, or first-audit signal was recovered.</x:v>
      </x:c>
      <x:c r="G908" s="17" t="str">
        <x:v>Does the current official catalog contain a research graduate program matching the applicant's topics?</x:v>
      </x:c>
      <x:c r="H908" s="17" t="str">
        <x:v>https://www.siue.edu</x:v>
      </x:c>
      <x:c r="I908" s="17" t="str">
        <x:v>not_sampled</x:v>
      </x:c>
      <x:c r="J908" s="17" t="str">
        <x:v>not_sampled</x:v>
      </x:c>
    </x:row>
    <x:row r="909" ht="46" customHeight="1">
      <x:c r="A909" s="17" t="str">
        <x:v>us</x:v>
      </x:c>
      <x:c r="B909" s="17" t="str">
        <x:v>Southern Illinois University Edwardsville</x:v>
      </x:c>
      <x:c r="C909" s="17" t="str">
        <x:v>IPEDS discovery signal: Computer Science (CIP 11.0701)</x:v>
      </x:c>
      <x:c r="D909" s="17" t="str">
        <x:v>Unclear</x:v>
      </x:c>
      <x:c r="E909" s="17" t="str">
        <x:v>stage2_screened_out</x:v>
      </x:c>
      <x:c r="F909" s="17" t="str">
        <x:v>Only one bounded registry/program-code signal was present; no independent topical, Calendar, current-faculty, or first-audit signal was recovered.</x:v>
      </x:c>
      <x:c r="G909" s="17" t="str">
        <x:v>Does the current official catalog contain a research graduate program matching the applicant's topics?</x:v>
      </x:c>
      <x:c r="H909" s="17" t="str">
        <x:v>https://www.siue.edu</x:v>
      </x:c>
      <x:c r="I909" s="17" t="str">
        <x:v>not_sampled</x:v>
      </x:c>
      <x:c r="J909" s="17" t="str">
        <x:v>not_sampled</x:v>
      </x:c>
    </x:row>
    <x:row r="910" ht="46" customHeight="1">
      <x:c r="A910" s="17" t="str">
        <x:v>us</x:v>
      </x:c>
      <x:c r="B910" s="17" t="str">
        <x:v>Southern Illinois University Edwardsville</x:v>
      </x:c>
      <x:c r="C910" s="17" t="str">
        <x:v>IPEDS discovery signal: Electrical and Electronics Engineering (CIP 14.1001)</x:v>
      </x:c>
      <x:c r="D910" s="17" t="str">
        <x:v>Unclear</x:v>
      </x:c>
      <x:c r="E910" s="17" t="str">
        <x:v>stage2_screened_out</x:v>
      </x:c>
      <x:c r="F910" s="17" t="str">
        <x:v>Only one bounded registry/program-code signal was present; no independent topical, Calendar, current-faculty, or first-audit signal was recovered.</x:v>
      </x:c>
      <x:c r="G910" s="17" t="str">
        <x:v>Does the current official catalog contain a research graduate program matching the applicant's topics?</x:v>
      </x:c>
      <x:c r="H910" s="17" t="str">
        <x:v>https://www.siue.edu</x:v>
      </x:c>
      <x:c r="I910" s="17" t="str">
        <x:v>not_sampled</x:v>
      </x:c>
      <x:c r="J910" s="17" t="str">
        <x:v>not_sampled</x:v>
      </x:c>
    </x:row>
    <x:row r="911" ht="46" customHeight="1">
      <x:c r="A911" s="17" t="str">
        <x:v>us</x:v>
      </x:c>
      <x:c r="B911" s="17" t="str">
        <x:v>Southern Methodist University</x:v>
      </x:c>
      <x:c r="C911" s="17" t="str">
        <x:v>IPEDS discovery signal: Computer and Information Systems Security/Auditing/Information Assurance (CIP 11.1003)</x:v>
      </x:c>
      <x:c r="D911" s="17" t="str">
        <x:v>Unclear</x:v>
      </x:c>
      <x:c r="E911" s="17" t="str">
        <x:v>stage2_screened_out</x:v>
      </x:c>
      <x:c r="F911" s="17" t="str">
        <x:v>Only one bounded registry/program-code signal was present; no independent topical, Calendar, current-faculty, or first-audit signal was recovered.</x:v>
      </x:c>
      <x:c r="G911" s="17" t="str">
        <x:v>Does the current official catalog contain a research graduate program matching the applicant's topics?</x:v>
      </x:c>
      <x:c r="H911" s="17" t="str">
        <x:v>https://www.smu.edu</x:v>
      </x:c>
      <x:c r="I911" s="17" t="str">
        <x:v>not_sampled</x:v>
      </x:c>
      <x:c r="J911" s="17" t="str">
        <x:v>not_sampled</x:v>
      </x:c>
    </x:row>
    <x:row r="912" ht="46" customHeight="1">
      <x:c r="A912" s="17" t="str">
        <x:v>us</x:v>
      </x:c>
      <x:c r="B912" s="17" t="str">
        <x:v>Southern Methodist University</x:v>
      </x:c>
      <x:c r="C912" s="17" t="str">
        <x:v>IPEDS discovery signal: Computer Engineering, General (CIP 14.0901)</x:v>
      </x:c>
      <x:c r="D912" s="17" t="str">
        <x:v>Unclear</x:v>
      </x:c>
      <x:c r="E912" s="17" t="str">
        <x:v>stage2_screened_out</x:v>
      </x:c>
      <x:c r="F912" s="17" t="str">
        <x:v>Only one bounded registry/program-code signal was present; no independent topical, Calendar, current-faculty, or first-audit signal was recovered.</x:v>
      </x:c>
      <x:c r="G912" s="17" t="str">
        <x:v>Does the current official catalog contain a research graduate program matching the applicant's topics?</x:v>
      </x:c>
      <x:c r="H912" s="17" t="str">
        <x:v>https://www.smu.edu</x:v>
      </x:c>
      <x:c r="I912" s="17" t="str">
        <x:v>not_sampled</x:v>
      </x:c>
      <x:c r="J912" s="17" t="str">
        <x:v>not_sampled</x:v>
      </x:c>
    </x:row>
    <x:row r="913" ht="46" customHeight="1">
      <x:c r="A913" s="17" t="str">
        <x:v>us</x:v>
      </x:c>
      <x:c r="B913" s="17" t="str">
        <x:v>Southern Methodist University</x:v>
      </x:c>
      <x:c r="C913" s="17" t="str">
        <x:v>IPEDS discovery signal: Computer Engineering, Other (CIP 14.0999)</x:v>
      </x:c>
      <x:c r="D913" s="17" t="str">
        <x:v>Unclear</x:v>
      </x:c>
      <x:c r="E913" s="17" t="str">
        <x:v>stage2_screened_out</x:v>
      </x:c>
      <x:c r="F913" s="17" t="str">
        <x:v>Only one bounded registry/program-code signal was present; no independent topical, Calendar, current-faculty, or first-audit signal was recovered.</x:v>
      </x:c>
      <x:c r="G913" s="17" t="str">
        <x:v>Does the current official catalog contain a research graduate program matching the applicant's topics?</x:v>
      </x:c>
      <x:c r="H913" s="17" t="str">
        <x:v>https://www.smu.edu</x:v>
      </x:c>
      <x:c r="I913" s="17" t="str">
        <x:v>not_sampled</x:v>
      </x:c>
      <x:c r="J913" s="17" t="str">
        <x:v>not_sampled</x:v>
      </x:c>
    </x:row>
    <x:row r="914" ht="46" customHeight="1">
      <x:c r="A914" s="17" t="str">
        <x:v>us</x:v>
      </x:c>
      <x:c r="B914" s="17" t="str">
        <x:v>Southern Methodist University</x:v>
      </x:c>
      <x:c r="C914" s="17" t="str">
        <x:v>IPEDS discovery signal: Computer Science (CIP 11.0701)</x:v>
      </x:c>
      <x:c r="D914" s="17" t="str">
        <x:v>Unclear</x:v>
      </x:c>
      <x:c r="E914" s="17" t="str">
        <x:v>stage2_screened_out</x:v>
      </x:c>
      <x:c r="F914" s="17" t="str">
        <x:v>Only one bounded registry/program-code signal was present; no independent topical, Calendar, current-faculty, or first-audit signal was recovered.</x:v>
      </x:c>
      <x:c r="G914" s="17" t="str">
        <x:v>Does the current official catalog contain a research graduate program matching the applicant's topics?</x:v>
      </x:c>
      <x:c r="H914" s="17" t="str">
        <x:v>https://www.smu.edu</x:v>
      </x:c>
      <x:c r="I914" s="17" t="str">
        <x:v>not_sampled</x:v>
      </x:c>
      <x:c r="J914" s="17" t="str">
        <x:v>not_sampled</x:v>
      </x:c>
    </x:row>
    <x:row r="915" ht="46" customHeight="1">
      <x:c r="A915" s="17" t="str">
        <x:v>us</x:v>
      </x:c>
      <x:c r="B915" s="17" t="str">
        <x:v>Southern Methodist University</x:v>
      </x:c>
      <x:c r="C915" s="17" t="str">
        <x:v>IPEDS discovery signal: Computer Software Engineering (CIP 14.0903)</x:v>
      </x:c>
      <x:c r="D915" s="17" t="str">
        <x:v>Unclear</x:v>
      </x:c>
      <x:c r="E915" s="17" t="str">
        <x:v>stage2_screened_out</x:v>
      </x:c>
      <x:c r="F915" s="17" t="str">
        <x:v>Only one bounded registry/program-code signal was present; no independent topical, Calendar, current-faculty, or first-audit signal was recovered.</x:v>
      </x:c>
      <x:c r="G915" s="17" t="str">
        <x:v>Does the current official catalog contain a research graduate program matching the applicant's topics?</x:v>
      </x:c>
      <x:c r="H915" s="17" t="str">
        <x:v>https://www.smu.edu</x:v>
      </x:c>
      <x:c r="I915" s="17" t="str">
        <x:v>not_sampled</x:v>
      </x:c>
      <x:c r="J915" s="17" t="str">
        <x:v>not_sampled</x:v>
      </x:c>
    </x:row>
    <x:row r="916" ht="46" customHeight="1">
      <x:c r="A916" s="17" t="str">
        <x:v>us</x:v>
      </x:c>
      <x:c r="B916" s="17" t="str">
        <x:v>Southern Methodist University</x:v>
      </x:c>
      <x:c r="C916" s="17" t="str">
        <x:v>IPEDS discovery signal: Data Science, General (CIP 30.7001)</x:v>
      </x:c>
      <x:c r="D916" s="17" t="str">
        <x:v>Unclear</x:v>
      </x:c>
      <x:c r="E916" s="17" t="str">
        <x:v>stage2_screened_out</x:v>
      </x:c>
      <x:c r="F916" s="17" t="str">
        <x:v>Only one bounded registry/program-code signal was present; no independent topical, Calendar, current-faculty, or first-audit signal was recovered.</x:v>
      </x:c>
      <x:c r="G916" s="17" t="str">
        <x:v>Does the current official catalog contain a research graduate program matching the applicant's topics?</x:v>
      </x:c>
      <x:c r="H916" s="17" t="str">
        <x:v>https://www.smu.edu</x:v>
      </x:c>
      <x:c r="I916" s="17" t="str">
        <x:v>not_sampled</x:v>
      </x:c>
      <x:c r="J916" s="17" t="str">
        <x:v>not_sampled</x:v>
      </x:c>
    </x:row>
    <x:row r="917" ht="46" customHeight="1">
      <x:c r="A917" s="17" t="str">
        <x:v>us</x:v>
      </x:c>
      <x:c r="B917" s="17" t="str">
        <x:v>Southern Methodist University</x:v>
      </x:c>
      <x:c r="C917" s="17" t="str">
        <x:v>IPEDS discovery signal: Electrical and Electronics Engineering (CIP 14.1001)</x:v>
      </x:c>
      <x:c r="D917" s="17" t="str">
        <x:v>Unclear</x:v>
      </x:c>
      <x:c r="E917" s="17" t="str">
        <x:v>stage2_screened_out</x:v>
      </x:c>
      <x:c r="F917" s="17" t="str">
        <x:v>Only one bounded registry/program-code signal was present; no independent topical, Calendar, current-faculty, or first-audit signal was recovered.</x:v>
      </x:c>
      <x:c r="G917" s="17" t="str">
        <x:v>Does the current official catalog contain a research graduate program matching the applicant's topics?</x:v>
      </x:c>
      <x:c r="H917" s="17" t="str">
        <x:v>https://www.smu.edu</x:v>
      </x:c>
      <x:c r="I917" s="17" t="str">
        <x:v>not_sampled</x:v>
      </x:c>
      <x:c r="J917" s="17" t="str">
        <x:v>not_sampled</x:v>
      </x:c>
    </x:row>
    <x:row r="918" ht="46" customHeight="1">
      <x:c r="A918" s="17" t="str">
        <x:v>us</x:v>
      </x:c>
      <x:c r="B918" s="17" t="str">
        <x:v>Southern Methodist University</x:v>
      </x:c>
      <x:c r="C918" s="17" t="str">
        <x:v>IPEDS discovery signal: Information Science/Studies (CIP 11.0401)</x:v>
      </x:c>
      <x:c r="D918" s="17" t="str">
        <x:v>Unclear</x:v>
      </x:c>
      <x:c r="E918" s="17" t="str">
        <x:v>stage2_screened_out</x:v>
      </x:c>
      <x:c r="F918" s="17" t="str">
        <x:v>Only one bounded registry/program-code signal was present; no independent topical, Calendar, current-faculty, or first-audit signal was recovered.</x:v>
      </x:c>
      <x:c r="G918" s="17" t="str">
        <x:v>Does the current official catalog contain a research graduate program matching the applicant's topics?</x:v>
      </x:c>
      <x:c r="H918" s="17" t="str">
        <x:v>https://www.smu.edu</x:v>
      </x:c>
      <x:c r="I918" s="17" t="str">
        <x:v>not_sampled</x:v>
      </x:c>
      <x:c r="J918" s="17" t="str">
        <x:v>not_sampled</x:v>
      </x:c>
    </x:row>
    <x:row r="919" ht="46" customHeight="1">
      <x:c r="A919" s="17" t="str">
        <x:v>us</x:v>
      </x:c>
      <x:c r="B919" s="17" t="str">
        <x:v>Southern New Hampshire University</x:v>
      </x:c>
      <x:c r="C919" s="17" t="str">
        <x:v>IPEDS discovery signal: Computer and Information Sciences, General (CIP 11.0101)</x:v>
      </x:c>
      <x:c r="D919" s="17" t="str">
        <x:v>Unclear</x:v>
      </x:c>
      <x:c r="E919" s="17" t="str">
        <x:v>stage2_screened_out</x:v>
      </x:c>
      <x:c r="F919" s="17" t="str">
        <x:v>Only one bounded registry/program-code signal was present; no independent topical, Calendar, current-faculty, or first-audit signal was recovered.</x:v>
      </x:c>
      <x:c r="G919" s="17" t="str">
        <x:v>Does the current official catalog contain a research graduate program matching the applicant's topics?</x:v>
      </x:c>
      <x:c r="H919" s="17" t="str">
        <x:v>https://www.snhu.edu</x:v>
      </x:c>
      <x:c r="I919" s="17" t="str">
        <x:v>not_sampled</x:v>
      </x:c>
      <x:c r="J919" s="17" t="str">
        <x:v>not_sampled</x:v>
      </x:c>
    </x:row>
    <x:row r="920" ht="46" customHeight="1">
      <x:c r="A920" s="17" t="str">
        <x:v>us</x:v>
      </x:c>
      <x:c r="B920" s="17" t="str">
        <x:v>Southern New Hampshire University</x:v>
      </x:c>
      <x:c r="C920" s="17" t="str">
        <x:v>IPEDS discovery signal: Computer and Information Systems Security/Auditing/Information Assurance (CIP 11.1003)</x:v>
      </x:c>
      <x:c r="D920" s="17" t="str">
        <x:v>Unclear</x:v>
      </x:c>
      <x:c r="E920" s="17" t="str">
        <x:v>stage2_screened_out</x:v>
      </x:c>
      <x:c r="F920" s="17" t="str">
        <x:v>Only one bounded registry/program-code signal was present; no independent topical, Calendar, current-faculty, or first-audit signal was recovered.</x:v>
      </x:c>
      <x:c r="G920" s="17" t="str">
        <x:v>Does the current official catalog contain a research graduate program matching the applicant's topics?</x:v>
      </x:c>
      <x:c r="H920" s="17" t="str">
        <x:v>https://www.snhu.edu</x:v>
      </x:c>
      <x:c r="I920" s="17" t="str">
        <x:v>not_sampled</x:v>
      </x:c>
      <x:c r="J920" s="17" t="str">
        <x:v>not_sampled</x:v>
      </x:c>
    </x:row>
    <x:row r="921" ht="46" customHeight="1">
      <x:c r="A921" s="17" t="str">
        <x:v>us</x:v>
      </x:c>
      <x:c r="B921" s="17" t="str">
        <x:v>Southern University and A &amp; M College</x:v>
      </x:c>
      <x:c r="C921" s="17" t="str">
        <x:v>IPEDS discovery signal: Computer Science (CIP 11.0701)</x:v>
      </x:c>
      <x:c r="D921" s="17" t="str">
        <x:v>Unclear</x:v>
      </x:c>
      <x:c r="E921" s="17" t="str">
        <x:v>stage2_screened_out</x:v>
      </x:c>
      <x:c r="F921" s="17" t="str">
        <x:v>Only one bounded registry/program-code signal was present; no independent topical, Calendar, current-faculty, or first-audit signal was recovered.</x:v>
      </x:c>
      <x:c r="G921" s="17" t="str">
        <x:v>Does the current official catalog contain a research graduate program matching the applicant's topics?</x:v>
      </x:c>
      <x:c r="H921" s="17" t="str">
        <x:v>https://www.subr.edu</x:v>
      </x:c>
      <x:c r="I921" s="17" t="str">
        <x:v>not_sampled</x:v>
      </x:c>
      <x:c r="J921" s="17" t="str">
        <x:v>not_sampled</x:v>
      </x:c>
    </x:row>
    <x:row r="922" ht="46" customHeight="1">
      <x:c r="A922" s="17" t="str">
        <x:v>us</x:v>
      </x:c>
      <x:c r="B922" s="17" t="str">
        <x:v>Southern University at New Orleans</x:v>
      </x:c>
      <x:c r="C922" s="17" t="str">
        <x:v>IPEDS discovery signal: Information Science/Studies (CIP 11.0401)</x:v>
      </x:c>
      <x:c r="D922" s="17" t="str">
        <x:v>Unclear</x:v>
      </x:c>
      <x:c r="E922" s="17" t="str">
        <x:v>stage2_screened_out</x:v>
      </x:c>
      <x:c r="F922" s="17" t="str">
        <x:v>Only one bounded registry/program-code signal was present; no independent topical, Calendar, current-faculty, or first-audit signal was recovered.</x:v>
      </x:c>
      <x:c r="G922" s="17" t="str">
        <x:v>Does the current official catalog contain a research graduate program matching the applicant's topics?</x:v>
      </x:c>
      <x:c r="H922" s="17" t="str">
        <x:v>https://www.suno.edu</x:v>
      </x:c>
      <x:c r="I922" s="17" t="str">
        <x:v>not_sampled</x:v>
      </x:c>
      <x:c r="J922" s="17" t="str">
        <x:v>not_sampled</x:v>
      </x:c>
    </x:row>
    <x:row r="923" ht="46" customHeight="1">
      <x:c r="A923" s="17" t="str">
        <x:v>us</x:v>
      </x:c>
      <x:c r="B923" s="17" t="str">
        <x:v>Southern Utah University</x:v>
      </x:c>
      <x:c r="C923" s="17" t="str">
        <x:v>IPEDS discovery signal: Computer and Information Systems Security/Auditing/Information Assurance (CIP 11.1003)</x:v>
      </x:c>
      <x:c r="D923" s="17" t="str">
        <x:v>Unclear</x:v>
      </x:c>
      <x:c r="E923" s="17" t="str">
        <x:v>stage2_screened_out</x:v>
      </x:c>
      <x:c r="F923" s="17" t="str">
        <x:v>Only one bounded registry/program-code signal was present; no independent topical, Calendar, current-faculty, or first-audit signal was recovered.</x:v>
      </x:c>
      <x:c r="G923" s="17" t="str">
        <x:v>Does the current official catalog contain a research graduate program matching the applicant's topics?</x:v>
      </x:c>
      <x:c r="H923" s="17" t="str">
        <x:v>https://www.suu.edu</x:v>
      </x:c>
      <x:c r="I923" s="17" t="str">
        <x:v>not_sampled</x:v>
      </x:c>
      <x:c r="J923" s="17" t="str">
        <x:v>not_sampled</x:v>
      </x:c>
    </x:row>
    <x:row r="924" ht="46" customHeight="1">
      <x:c r="A924" s="17" t="str">
        <x:v>us</x:v>
      </x:c>
      <x:c r="B924" s="17" t="str">
        <x:v>St Bonaventure University</x:v>
      </x:c>
      <x:c r="C924" s="17" t="str">
        <x:v>IPEDS discovery signal: Computer and Information Systems Security/Auditing/Information Assurance (CIP 11.1003)</x:v>
      </x:c>
      <x:c r="D924" s="17" t="str">
        <x:v>Unclear</x:v>
      </x:c>
      <x:c r="E924" s="17" t="str">
        <x:v>stage2_screened_out</x:v>
      </x:c>
      <x:c r="F924" s="17" t="str">
        <x:v>Only one bounded registry/program-code signal was present; no independent topical, Calendar, current-faculty, or first-audit signal was recovered.</x:v>
      </x:c>
      <x:c r="G924" s="17" t="str">
        <x:v>Does the current official catalog contain a research graduate program matching the applicant's topics?</x:v>
      </x:c>
      <x:c r="H924" s="17" t="str">
        <x:v>https://www.sbu.edu</x:v>
      </x:c>
      <x:c r="I924" s="17" t="str">
        <x:v>not_sampled</x:v>
      </x:c>
      <x:c r="J924" s="17" t="str">
        <x:v>not_sampled</x:v>
      </x:c>
    </x:row>
    <x:row r="925" ht="46" customHeight="1">
      <x:c r="A925" s="17" t="str">
        <x:v>us</x:v>
      </x:c>
      <x:c r="B925" s="17" t="str">
        <x:v>St. John's University-New York</x:v>
      </x:c>
      <x:c r="C925" s="17" t="str">
        <x:v>IPEDS discovery signal: Computer and Information Sciences, General (CIP 11.0101)</x:v>
      </x:c>
      <x:c r="D925" s="17" t="str">
        <x:v>Unclear</x:v>
      </x:c>
      <x:c r="E925" s="17" t="str">
        <x:v>stage2_screened_out</x:v>
      </x:c>
      <x:c r="F925" s="17" t="str">
        <x:v>Only one bounded registry/program-code signal was present; no independent topical, Calendar, current-faculty, or first-audit signal was recovered.</x:v>
      </x:c>
      <x:c r="G925" s="17" t="str">
        <x:v>Does the current official catalog contain a research graduate program matching the applicant's topics?</x:v>
      </x:c>
      <x:c r="H925" s="17" t="str">
        <x:v>https://www.stjohns.edu</x:v>
      </x:c>
      <x:c r="I925" s="17" t="str">
        <x:v>not_sampled</x:v>
      </x:c>
      <x:c r="J925" s="17" t="str">
        <x:v>not_sampled</x:v>
      </x:c>
    </x:row>
    <x:row r="926" ht="46" customHeight="1">
      <x:c r="A926" s="17" t="str">
        <x:v>us</x:v>
      </x:c>
      <x:c r="B926" s="17" t="str">
        <x:v>St. John's University-New York</x:v>
      </x:c>
      <x:c r="C926" s="17" t="str">
        <x:v>IPEDS discovery signal: Computer and Information Systems Security/Auditing/Information Assurance (CIP 11.1003)</x:v>
      </x:c>
      <x:c r="D926" s="17" t="str">
        <x:v>Unclear</x:v>
      </x:c>
      <x:c r="E926" s="17" t="str">
        <x:v>stage2_screened_out</x:v>
      </x:c>
      <x:c r="F926" s="17" t="str">
        <x:v>Only one bounded registry/program-code signal was present; no independent topical, Calendar, current-faculty, or first-audit signal was recovered.</x:v>
      </x:c>
      <x:c r="G926" s="17" t="str">
        <x:v>Does the current official catalog contain a research graduate program matching the applicant's topics?</x:v>
      </x:c>
      <x:c r="H926" s="17" t="str">
        <x:v>https://www.stjohns.edu</x:v>
      </x:c>
      <x:c r="I926" s="17" t="str">
        <x:v>not_sampled</x:v>
      </x:c>
      <x:c r="J926" s="17" t="str">
        <x:v>not_sampled</x:v>
      </x:c>
    </x:row>
    <x:row r="927" ht="46" customHeight="1">
      <x:c r="A927" s="17" t="str">
        <x:v>us</x:v>
      </x:c>
      <x:c r="B927" s="17" t="str">
        <x:v>St. Mary's University</x:v>
      </x:c>
      <x:c r="C927" s="17" t="str">
        <x:v>IPEDS discovery signal: Computer and Information Sciences, General (CIP 11.0101)</x:v>
      </x:c>
      <x:c r="D927" s="17" t="str">
        <x:v>Unclear</x:v>
      </x:c>
      <x:c r="E927" s="17" t="str">
        <x:v>stage2_screened_out</x:v>
      </x:c>
      <x:c r="F927" s="17" t="str">
        <x:v>Only one bounded registry/program-code signal was present; no independent topical, Calendar, current-faculty, or first-audit signal was recovered.</x:v>
      </x:c>
      <x:c r="G927" s="17" t="str">
        <x:v>Does the current official catalog contain a research graduate program matching the applicant's topics?</x:v>
      </x:c>
      <x:c r="H927" s="17" t="str">
        <x:v>https://www.stmarytx.edu</x:v>
      </x:c>
      <x:c r="I927" s="17" t="str">
        <x:v>not_sampled</x:v>
      </x:c>
      <x:c r="J927" s="17" t="str">
        <x:v>not_sampled</x:v>
      </x:c>
    </x:row>
    <x:row r="928" ht="46" customHeight="1">
      <x:c r="A928" s="17" t="str">
        <x:v>us</x:v>
      </x:c>
      <x:c r="B928" s="17" t="str">
        <x:v>St. Mary's University</x:v>
      </x:c>
      <x:c r="C928" s="17" t="str">
        <x:v>IPEDS discovery signal: Computer and Information Systems Security/Auditing/Information Assurance (CIP 11.1003)</x:v>
      </x:c>
      <x:c r="D928" s="17" t="str">
        <x:v>Unclear</x:v>
      </x:c>
      <x:c r="E928" s="17" t="str">
        <x:v>stage2_screened_out</x:v>
      </x:c>
      <x:c r="F928" s="17" t="str">
        <x:v>Only one bounded registry/program-code signal was present; no independent topical, Calendar, current-faculty, or first-audit signal was recovered.</x:v>
      </x:c>
      <x:c r="G928" s="17" t="str">
        <x:v>Does the current official catalog contain a research graduate program matching the applicant's topics?</x:v>
      </x:c>
      <x:c r="H928" s="17" t="str">
        <x:v>https://www.stmarytx.edu</x:v>
      </x:c>
      <x:c r="I928" s="17" t="str">
        <x:v>not_sampled</x:v>
      </x:c>
      <x:c r="J928" s="17" t="str">
        <x:v>not_sampled</x:v>
      </x:c>
    </x:row>
    <x:row r="929" ht="46" customHeight="1">
      <x:c r="A929" s="17" t="str">
        <x:v>us</x:v>
      </x:c>
      <x:c r="B929" s="17" t="str">
        <x:v>St. Mary's University</x:v>
      </x:c>
      <x:c r="C929" s="17" t="str">
        <x:v>IPEDS discovery signal: Computer Engineering, General (CIP 14.0901)</x:v>
      </x:c>
      <x:c r="D929" s="17" t="str">
        <x:v>Unclear</x:v>
      </x:c>
      <x:c r="E929" s="17" t="str">
        <x:v>stage2_screened_out</x:v>
      </x:c>
      <x:c r="F929" s="17" t="str">
        <x:v>Only one bounded registry/program-code signal was present; no independent topical, Calendar, current-faculty, or first-audit signal was recovered.</x:v>
      </x:c>
      <x:c r="G929" s="17" t="str">
        <x:v>Does the current official catalog contain a research graduate program matching the applicant's topics?</x:v>
      </x:c>
      <x:c r="H929" s="17" t="str">
        <x:v>https://www.stmarytx.edu</x:v>
      </x:c>
      <x:c r="I929" s="17" t="str">
        <x:v>not_sampled</x:v>
      </x:c>
      <x:c r="J929" s="17" t="str">
        <x:v>not_sampled</x:v>
      </x:c>
    </x:row>
    <x:row r="930" ht="46" customHeight="1">
      <x:c r="A930" s="17" t="str">
        <x:v>us</x:v>
      </x:c>
      <x:c r="B930" s="17" t="str">
        <x:v>St. Mary's University</x:v>
      </x:c>
      <x:c r="C930" s="17" t="str">
        <x:v>IPEDS discovery signal: Computer Science (CIP 11.0701)</x:v>
      </x:c>
      <x:c r="D930" s="17" t="str">
        <x:v>Unclear</x:v>
      </x:c>
      <x:c r="E930" s="17" t="str">
        <x:v>stage2_screened_out</x:v>
      </x:c>
      <x:c r="F930" s="17" t="str">
        <x:v>Only one bounded registry/program-code signal was present; no independent topical, Calendar, current-faculty, or first-audit signal was recovered.</x:v>
      </x:c>
      <x:c r="G930" s="17" t="str">
        <x:v>Does the current official catalog contain a research graduate program matching the applicant's topics?</x:v>
      </x:c>
      <x:c r="H930" s="17" t="str">
        <x:v>https://www.stmarytx.edu</x:v>
      </x:c>
      <x:c r="I930" s="17" t="str">
        <x:v>not_sampled</x:v>
      </x:c>
      <x:c r="J930" s="17" t="str">
        <x:v>not_sampled</x:v>
      </x:c>
    </x:row>
    <x:row r="931" ht="46" customHeight="1">
      <x:c r="A931" s="17" t="str">
        <x:v>us</x:v>
      </x:c>
      <x:c r="B931" s="17" t="str">
        <x:v>St. Mary's University</x:v>
      </x:c>
      <x:c r="C931" s="17" t="str">
        <x:v>IPEDS discovery signal: Computer Software Engineering (CIP 14.0903)</x:v>
      </x:c>
      <x:c r="D931" s="17" t="str">
        <x:v>Unclear</x:v>
      </x:c>
      <x:c r="E931" s="17" t="str">
        <x:v>stage2_screened_out</x:v>
      </x:c>
      <x:c r="F931" s="17" t="str">
        <x:v>Only one bounded registry/program-code signal was present; no independent topical, Calendar, current-faculty, or first-audit signal was recovered.</x:v>
      </x:c>
      <x:c r="G931" s="17" t="str">
        <x:v>Does the current official catalog contain a research graduate program matching the applicant's topics?</x:v>
      </x:c>
      <x:c r="H931" s="17" t="str">
        <x:v>https://www.stmarytx.edu</x:v>
      </x:c>
      <x:c r="I931" s="17" t="str">
        <x:v>not_sampled</x:v>
      </x:c>
      <x:c r="J931" s="17" t="str">
        <x:v>not_sampled</x:v>
      </x:c>
    </x:row>
    <x:row r="932" ht="46" customHeight="1">
      <x:c r="A932" s="17" t="str">
        <x:v>us</x:v>
      </x:c>
      <x:c r="B932" s="17" t="str">
        <x:v>St. Mary's University</x:v>
      </x:c>
      <x:c r="C932" s="17" t="str">
        <x:v>IPEDS discovery signal: Electrical and Electronics Engineering (CIP 14.1001)</x:v>
      </x:c>
      <x:c r="D932" s="17" t="str">
        <x:v>Unclear</x:v>
      </x:c>
      <x:c r="E932" s="17" t="str">
        <x:v>stage2_screened_out</x:v>
      </x:c>
      <x:c r="F932" s="17" t="str">
        <x:v>Only one bounded registry/program-code signal was present; no independent topical, Calendar, current-faculty, or first-audit signal was recovered.</x:v>
      </x:c>
      <x:c r="G932" s="17" t="str">
        <x:v>Does the current official catalog contain a research graduate program matching the applicant's topics?</x:v>
      </x:c>
      <x:c r="H932" s="17" t="str">
        <x:v>https://www.stmarytx.edu</x:v>
      </x:c>
      <x:c r="I932" s="17" t="str">
        <x:v>not_sampled</x:v>
      </x:c>
      <x:c r="J932" s="17" t="str">
        <x:v>not_sampled</x:v>
      </x:c>
    </x:row>
    <x:row r="933" ht="46" customHeight="1">
      <x:c r="A933" s="17" t="str">
        <x:v>us</x:v>
      </x:c>
      <x:c r="B933" s="17" t="str">
        <x:v>St. Thomas University</x:v>
      </x:c>
      <x:c r="C933" s="17" t="str">
        <x:v>IPEDS discovery signal: Computer and Information Systems Security/Auditing/Information Assurance (CIP 11.1003)</x:v>
      </x:c>
      <x:c r="D933" s="17" t="str">
        <x:v>Unclear</x:v>
      </x:c>
      <x:c r="E933" s="17" t="str">
        <x:v>stage2_screened_out</x:v>
      </x:c>
      <x:c r="F933" s="17" t="str">
        <x:v>Only one bounded registry/program-code signal was present; no independent topical, Calendar, current-faculty, or first-audit signal was recovered.</x:v>
      </x:c>
      <x:c r="G933" s="17" t="str">
        <x:v>Does the current official catalog contain a research graduate program matching the applicant's topics?</x:v>
      </x:c>
      <x:c r="H933" s="17" t="str">
        <x:v>https://www.stu.edu</x:v>
      </x:c>
      <x:c r="I933" s="17" t="str">
        <x:v>not_sampled</x:v>
      </x:c>
      <x:c r="J933" s="17" t="str">
        <x:v>not_sampled</x:v>
      </x:c>
    </x:row>
    <x:row r="934" ht="46" customHeight="1">
      <x:c r="A934" s="17" t="str">
        <x:v>us</x:v>
      </x:c>
      <x:c r="B934" s="17" t="str">
        <x:v>St. Thomas University</x:v>
      </x:c>
      <x:c r="C934" s="17" t="str">
        <x:v>IPEDS discovery signal: Informatics (CIP 11.0104)</x:v>
      </x:c>
      <x:c r="D934" s="17" t="str">
        <x:v>Unclear</x:v>
      </x:c>
      <x:c r="E934" s="17" t="str">
        <x:v>stage2_screened_out</x:v>
      </x:c>
      <x:c r="F934" s="17" t="str">
        <x:v>Only one bounded registry/program-code signal was present; no independent topical, Calendar, current-faculty, or first-audit signal was recovered.</x:v>
      </x:c>
      <x:c r="G934" s="17" t="str">
        <x:v>Does the current official catalog contain a research graduate program matching the applicant's topics?</x:v>
      </x:c>
      <x:c r="H934" s="17" t="str">
        <x:v>https://www.stu.edu</x:v>
      </x:c>
      <x:c r="I934" s="17" t="str">
        <x:v>not_sampled</x:v>
      </x:c>
      <x:c r="J934" s="17" t="str">
        <x:v>not_sampled</x:v>
      </x:c>
    </x:row>
    <x:row r="935" ht="46" customHeight="1">
      <x:c r="A935" s="17" t="str">
        <x:v>us</x:v>
      </x:c>
      <x:c r="B935" s="17" t="str">
        <x:v>Stanford University</x:v>
      </x:c>
      <x:c r="C935" s="17" t="str">
        <x:v>IPEDS discovery signal: Electrical and Electronics Engineering (CIP 14.1001)</x:v>
      </x:c>
      <x:c r="D935" s="17" t="str">
        <x:v>Unclear</x:v>
      </x:c>
      <x:c r="E935" s="17" t="str">
        <x:v>stage2_screened_out</x:v>
      </x:c>
      <x:c r="F935" s="17" t="str">
        <x:v>Duplicate mechanical discovery signal consolidated into one institution-level catalog review candidate.</x:v>
      </x:c>
      <x:c r="G935" s="17" t="str">
        <x:v>Does the current official catalog contain a research graduate program matching the applicant's topics?</x:v>
      </x:c>
      <x:c r="H935" s="17" t="str">
        <x:v>https://www.stanford.edu</x:v>
      </x:c>
      <x:c r="I935" s="17" t="str">
        <x:v>not_sampled</x:v>
      </x:c>
      <x:c r="J935" s="17" t="str">
        <x:v>not_sampled</x:v>
      </x:c>
    </x:row>
    <x:row r="936" ht="46" customHeight="1">
      <x:c r="A936" s="17" t="str">
        <x:v>us</x:v>
      </x:c>
      <x:c r="B936" s="17" t="str">
        <x:v>State University of New York at New Paltz</x:v>
      </x:c>
      <x:c r="C936" s="17" t="str">
        <x:v>IPEDS discovery signal: Computer and Information Sciences, General (CIP 11.0101)</x:v>
      </x:c>
      <x:c r="D936" s="17" t="str">
        <x:v>Unclear</x:v>
      </x:c>
      <x:c r="E936" s="17" t="str">
        <x:v>stage2_screened_out</x:v>
      </x:c>
      <x:c r="F936" s="17" t="str">
        <x:v>Only one bounded registry/program-code signal was present; no independent topical, Calendar, current-faculty, or first-audit signal was recovered.</x:v>
      </x:c>
      <x:c r="G936" s="17" t="str">
        <x:v>Does the current official catalog contain a research graduate program matching the applicant's topics?</x:v>
      </x:c>
      <x:c r="H936" s="17" t="str">
        <x:v>https://www.newpaltz.edu</x:v>
      </x:c>
      <x:c r="I936" s="17" t="str">
        <x:v>not_sampled</x:v>
      </x:c>
      <x:c r="J936" s="17" t="str">
        <x:v>not_sampled</x:v>
      </x:c>
    </x:row>
    <x:row r="937" ht="46" customHeight="1">
      <x:c r="A937" s="17" t="str">
        <x:v>us</x:v>
      </x:c>
      <x:c r="B937" s="17" t="str">
        <x:v>State University of New York at New Paltz</x:v>
      </x:c>
      <x:c r="C937" s="17" t="str">
        <x:v>IPEDS discovery signal: Electrical and Electronics Engineering (CIP 14.1001)</x:v>
      </x:c>
      <x:c r="D937" s="17" t="str">
        <x:v>Unclear</x:v>
      </x:c>
      <x:c r="E937" s="17" t="str">
        <x:v>stage2_screened_out</x:v>
      </x:c>
      <x:c r="F937" s="17" t="str">
        <x:v>Only one bounded registry/program-code signal was present; no independent topical, Calendar, current-faculty, or first-audit signal was recovered.</x:v>
      </x:c>
      <x:c r="G937" s="17" t="str">
        <x:v>Does the current official catalog contain a research graduate program matching the applicant's topics?</x:v>
      </x:c>
      <x:c r="H937" s="17" t="str">
        <x:v>https://www.newpaltz.edu</x:v>
      </x:c>
      <x:c r="I937" s="17" t="str">
        <x:v>not_sampled</x:v>
      </x:c>
      <x:c r="J937" s="17" t="str">
        <x:v>not_sampled</x:v>
      </x:c>
    </x:row>
    <x:row r="938" ht="46" customHeight="1">
      <x:c r="A938" s="17" t="str">
        <x:v>us</x:v>
      </x:c>
      <x:c r="B938" s="17" t="str">
        <x:v>State University of New York at Plattsburgh</x:v>
      </x:c>
      <x:c r="C938" s="17" t="str">
        <x:v>IPEDS discovery signal: Data Analytics, General (CIP 30.7101)</x:v>
      </x:c>
      <x:c r="D938" s="17" t="str">
        <x:v>Unclear</x:v>
      </x:c>
      <x:c r="E938" s="17" t="str">
        <x:v>stage2_screened_out</x:v>
      </x:c>
      <x:c r="F938" s="17" t="str">
        <x:v>Only one bounded registry/program-code signal was present; no independent topical, Calendar, current-faculty, or first-audit signal was recovered.</x:v>
      </x:c>
      <x:c r="G938" s="17" t="str">
        <x:v>Does the current official catalog contain a research graduate program matching the applicant's topics?</x:v>
      </x:c>
      <x:c r="H938" s="17" t="str">
        <x:v>https://www.plattsburgh.edu</x:v>
      </x:c>
      <x:c r="I938" s="17" t="str">
        <x:v>not_sampled</x:v>
      </x:c>
      <x:c r="J938" s="17" t="str">
        <x:v>not_sampled</x:v>
      </x:c>
    </x:row>
    <x:row r="939" ht="46" customHeight="1">
      <x:c r="A939" s="17" t="str">
        <x:v>us</x:v>
      </x:c>
      <x:c r="B939" s="17" t="str">
        <x:v>State University of New York at Plattsburgh</x:v>
      </x:c>
      <x:c r="C939" s="17" t="str">
        <x:v>IPEDS discovery signal: Information Science/Studies (CIP 11.0401)</x:v>
      </x:c>
      <x:c r="D939" s="17" t="str">
        <x:v>Unclear</x:v>
      </x:c>
      <x:c r="E939" s="17" t="str">
        <x:v>stage2_screened_out</x:v>
      </x:c>
      <x:c r="F939" s="17" t="str">
        <x:v>Only one bounded registry/program-code signal was present; no independent topical, Calendar, current-faculty, or first-audit signal was recovered.</x:v>
      </x:c>
      <x:c r="G939" s="17" t="str">
        <x:v>Does the current official catalog contain a research graduate program matching the applicant's topics?</x:v>
      </x:c>
      <x:c r="H939" s="17" t="str">
        <x:v>https://www.plattsburgh.edu</x:v>
      </x:c>
      <x:c r="I939" s="17" t="str">
        <x:v>not_sampled</x:v>
      </x:c>
      <x:c r="J939" s="17" t="str">
        <x:v>not_sampled</x:v>
      </x:c>
    </x:row>
    <x:row r="940" ht="46" customHeight="1">
      <x:c r="A940" s="17" t="str">
        <x:v>us</x:v>
      </x:c>
      <x:c r="B940" s="17" t="str">
        <x:v>Stephen F Austin State University</x:v>
      </x:c>
      <x:c r="C940" s="17" t="str">
        <x:v>IPEDS discovery signal: Computer and Information Systems Security/Auditing/Information Assurance (CIP 11.1003)</x:v>
      </x:c>
      <x:c r="D940" s="17" t="str">
        <x:v>Unclear</x:v>
      </x:c>
      <x:c r="E940" s="17" t="str">
        <x:v>stage2_screened_out</x:v>
      </x:c>
      <x:c r="F940" s="17" t="str">
        <x:v>Only one bounded registry/program-code signal was present; no independent topical, Calendar, current-faculty, or first-audit signal was recovered.</x:v>
      </x:c>
      <x:c r="G940" s="17" t="str">
        <x:v>Does the current official catalog contain a research graduate program matching the applicant's topics?</x:v>
      </x:c>
      <x:c r="H940" s="17" t="str">
        <x:v>https://www.sfasu.edu</x:v>
      </x:c>
      <x:c r="I940" s="17" t="str">
        <x:v>not_sampled</x:v>
      </x:c>
      <x:c r="J940" s="17" t="str">
        <x:v>not_sampled</x:v>
      </x:c>
    </x:row>
    <x:row r="941" ht="46" customHeight="1">
      <x:c r="A941" s="17" t="str">
        <x:v>us</x:v>
      </x:c>
      <x:c r="B941" s="17" t="str">
        <x:v>Stevens Institute of Technology</x:v>
      </x:c>
      <x:c r="C941" s="17" t="str">
        <x:v>IPEDS discovery signal: Computer Engineering, General (CIP 14.0901)</x:v>
      </x:c>
      <x:c r="D941" s="17" t="str">
        <x:v>Unclear</x:v>
      </x:c>
      <x:c r="E941" s="17" t="str">
        <x:v>stage2_screened_out</x:v>
      </x:c>
      <x:c r="F941" s="17" t="str">
        <x:v>Duplicate mechanical discovery signal consolidated into one institution-level catalog review candidate.</x:v>
      </x:c>
      <x:c r="G941" s="17" t="str">
        <x:v>Does the current official catalog contain a research graduate program matching the applicant's topics?</x:v>
      </x:c>
      <x:c r="H941" s="17" t="str">
        <x:v>https://www.stevens.edu</x:v>
      </x:c>
      <x:c r="I941" s="17" t="str">
        <x:v>not_sampled</x:v>
      </x:c>
      <x:c r="J941" s="17" t="str">
        <x:v>not_sampled</x:v>
      </x:c>
    </x:row>
    <x:row r="942" ht="46" customHeight="1">
      <x:c r="A942" s="17" t="str">
        <x:v>us</x:v>
      </x:c>
      <x:c r="B942" s="17" t="str">
        <x:v>Stevens Institute of Technology</x:v>
      </x:c>
      <x:c r="C942" s="17" t="str">
        <x:v>IPEDS discovery signal: Computer Science (CIP 11.0701)</x:v>
      </x:c>
      <x:c r="D942" s="17" t="str">
        <x:v>Unclear</x:v>
      </x:c>
      <x:c r="E942" s="17" t="str">
        <x:v>stage2_screened_out</x:v>
      </x:c>
      <x:c r="F942" s="17" t="str">
        <x:v>Duplicate mechanical discovery signal consolidated into one institution-level catalog review candidate.</x:v>
      </x:c>
      <x:c r="G942" s="17" t="str">
        <x:v>Does the current official catalog contain a research graduate program matching the applicant's topics?</x:v>
      </x:c>
      <x:c r="H942" s="17" t="str">
        <x:v>https://www.stevens.edu</x:v>
      </x:c>
      <x:c r="I942" s="17" t="str">
        <x:v>not_sampled</x:v>
      </x:c>
      <x:c r="J942" s="17" t="str">
        <x:v>not_sampled</x:v>
      </x:c>
    </x:row>
    <x:row r="943" ht="46" customHeight="1">
      <x:c r="A943" s="17" t="str">
        <x:v>us</x:v>
      </x:c>
      <x:c r="B943" s="17" t="str">
        <x:v>Stevens Institute of Technology</x:v>
      </x:c>
      <x:c r="C943" s="17" t="str">
        <x:v>IPEDS discovery signal: Computer Systems Networking and Telecommunications (CIP 11.0901)</x:v>
      </x:c>
      <x:c r="D943" s="17" t="str">
        <x:v>Unclear</x:v>
      </x:c>
      <x:c r="E943" s="17" t="str">
        <x:v>stage2_screened_out</x:v>
      </x:c>
      <x:c r="F943" s="17" t="str">
        <x:v>Duplicate mechanical discovery signal consolidated into one institution-level catalog review candidate.</x:v>
      </x:c>
      <x:c r="G943" s="17" t="str">
        <x:v>Does the current official catalog contain a research graduate program matching the applicant's topics?</x:v>
      </x:c>
      <x:c r="H943" s="17" t="str">
        <x:v>https://www.stevens.edu</x:v>
      </x:c>
      <x:c r="I943" s="17" t="str">
        <x:v>not_sampled</x:v>
      </x:c>
      <x:c r="J943" s="17" t="str">
        <x:v>not_sampled</x:v>
      </x:c>
    </x:row>
    <x:row r="944" ht="46" customHeight="1">
      <x:c r="A944" s="17" t="str">
        <x:v>us</x:v>
      </x:c>
      <x:c r="B944" s="17" t="str">
        <x:v>Stevens Institute of Technology</x:v>
      </x:c>
      <x:c r="C944" s="17" t="str">
        <x:v>IPEDS discovery signal: Electrical and Electronics Engineering (CIP 14.1001)</x:v>
      </x:c>
      <x:c r="D944" s="17" t="str">
        <x:v>Unclear</x:v>
      </x:c>
      <x:c r="E944" s="17" t="str">
        <x:v>stage2_screened_out</x:v>
      </x:c>
      <x:c r="F944" s="17" t="str">
        <x:v>Duplicate mechanical discovery signal consolidated into one institution-level catalog review candidate.</x:v>
      </x:c>
      <x:c r="G944" s="17" t="str">
        <x:v>Does the current official catalog contain a research graduate program matching the applicant's topics?</x:v>
      </x:c>
      <x:c r="H944" s="17" t="str">
        <x:v>https://www.stevens.edu</x:v>
      </x:c>
      <x:c r="I944" s="17" t="str">
        <x:v>not_sampled</x:v>
      </x:c>
      <x:c r="J944" s="17" t="str">
        <x:v>not_sampled</x:v>
      </x:c>
    </x:row>
    <x:row r="945" ht="46" customHeight="1">
      <x:c r="A945" s="17" t="str">
        <x:v>us</x:v>
      </x:c>
      <x:c r="B945" s="17" t="str">
        <x:v>Stevens Institute of Technology</x:v>
      </x:c>
      <x:c r="C945" s="17" t="str">
        <x:v>IPEDS discovery signal: Information Technology (CIP 11.0103)</x:v>
      </x:c>
      <x:c r="D945" s="17" t="str">
        <x:v>Unclear</x:v>
      </x:c>
      <x:c r="E945" s="17" t="str">
        <x:v>stage2_screened_out</x:v>
      </x:c>
      <x:c r="F945" s="17" t="str">
        <x:v>Duplicate mechanical discovery signal consolidated into one institution-level catalog review candidate.</x:v>
      </x:c>
      <x:c r="G945" s="17" t="str">
        <x:v>Does the current official catalog contain a research graduate program matching the applicant's topics?</x:v>
      </x:c>
      <x:c r="H945" s="17" t="str">
        <x:v>https://www.stevens.edu</x:v>
      </x:c>
      <x:c r="I945" s="17" t="str">
        <x:v>not_sampled</x:v>
      </x:c>
      <x:c r="J945" s="17" t="str">
        <x:v>not_sampled</x:v>
      </x:c>
    </x:row>
    <x:row r="946" ht="46" customHeight="1">
      <x:c r="A946" s="17" t="str">
        <x:v>us</x:v>
      </x:c>
      <x:c r="B946" s="17" t="str">
        <x:v>Stevens Institute of Technology</x:v>
      </x:c>
      <x:c r="C946" s="17" t="str">
        <x:v>IPEDS discovery signal: Mechatronics, Robotics, and Automation Engineering (CIP 14.4201)</x:v>
      </x:c>
      <x:c r="D946" s="17" t="str">
        <x:v>Unclear</x:v>
      </x:c>
      <x:c r="E946" s="17" t="str">
        <x:v>stage2_screened_out</x:v>
      </x:c>
      <x:c r="F946" s="17" t="str">
        <x:v>Duplicate mechanical discovery signal consolidated into one institution-level catalog review candidate.</x:v>
      </x:c>
      <x:c r="G946" s="17" t="str">
        <x:v>Does the current official catalog contain a research graduate program matching the applicant's topics?</x:v>
      </x:c>
      <x:c r="H946" s="17" t="str">
        <x:v>https://www.stevens.edu</x:v>
      </x:c>
      <x:c r="I946" s="17" t="str">
        <x:v>not_sampled</x:v>
      </x:c>
      <x:c r="J946" s="17" t="str">
        <x:v>not_sampled</x:v>
      </x:c>
    </x:row>
    <x:row r="947" ht="46" customHeight="1">
      <x:c r="A947" s="17" t="str">
        <x:v>us</x:v>
      </x:c>
      <x:c r="B947" s="17" t="str">
        <x:v>Stevenson University</x:v>
      </x:c>
      <x:c r="C947" s="17" t="str">
        <x:v>IPEDS discovery signal: Cyber/Computer Forensics and Counterterrorism (CIP 43.0403)</x:v>
      </x:c>
      <x:c r="D947" s="17" t="str">
        <x:v>Unclear</x:v>
      </x:c>
      <x:c r="E947" s="17" t="str">
        <x:v>stage2_screened_out</x:v>
      </x:c>
      <x:c r="F947" s="17" t="str">
        <x:v>Only one bounded registry/program-code signal was present; no independent topical, Calendar, current-faculty, or first-audit signal was recovered.</x:v>
      </x:c>
      <x:c r="G947" s="17" t="str">
        <x:v>Does the current official catalog contain a research graduate program matching the applicant's topics?</x:v>
      </x:c>
      <x:c r="H947" s="17" t="str">
        <x:v>https://www.stevenson.edu</x:v>
      </x:c>
      <x:c r="I947" s="17" t="str">
        <x:v>not_sampled</x:v>
      </x:c>
      <x:c r="J947" s="17" t="str">
        <x:v>not_sampled</x:v>
      </x:c>
    </x:row>
    <x:row r="948" ht="46" customHeight="1">
      <x:c r="A948" s="17" t="str">
        <x:v>us</x:v>
      </x:c>
      <x:c r="B948" s="17" t="str">
        <x:v>Stevenson University</x:v>
      </x:c>
      <x:c r="C948" s="17" t="str">
        <x:v>IPEDS discovery signal: Information Science/Studies (CIP 11.0401)</x:v>
      </x:c>
      <x:c r="D948" s="17" t="str">
        <x:v>Unclear</x:v>
      </x:c>
      <x:c r="E948" s="17" t="str">
        <x:v>stage2_screened_out</x:v>
      </x:c>
      <x:c r="F948" s="17" t="str">
        <x:v>Only one bounded registry/program-code signal was present; no independent topical, Calendar, current-faculty, or first-audit signal was recovered.</x:v>
      </x:c>
      <x:c r="G948" s="17" t="str">
        <x:v>Does the current official catalog contain a research graduate program matching the applicant's topics?</x:v>
      </x:c>
      <x:c r="H948" s="17" t="str">
        <x:v>https://www.stevenson.edu</x:v>
      </x:c>
      <x:c r="I948" s="17" t="str">
        <x:v>not_sampled</x:v>
      </x:c>
      <x:c r="J948" s="17" t="str">
        <x:v>not_sampled</x:v>
      </x:c>
    </x:row>
    <x:row r="949" ht="46" customHeight="1">
      <x:c r="A949" s="17" t="str">
        <x:v>us</x:v>
      </x:c>
      <x:c r="B949" s="17" t="str">
        <x:v>Stony Brook University</x:v>
      </x:c>
      <x:c r="C949" s="17" t="str">
        <x:v>IPEDS discovery signal: Computer Science (CIP 11.0701)</x:v>
      </x:c>
      <x:c r="D949" s="17" t="str">
        <x:v>Unclear</x:v>
      </x:c>
      <x:c r="E949" s="17" t="str">
        <x:v>stage2_screened_out</x:v>
      </x:c>
      <x:c r="F949" s="17" t="str">
        <x:v>Duplicate mechanical discovery signal consolidated into one institution-level catalog review candidate.</x:v>
      </x:c>
      <x:c r="G949" s="17" t="str">
        <x:v>Does the current official catalog contain a research graduate program matching the applicant's topics?</x:v>
      </x:c>
      <x:c r="H949" s="17" t="str">
        <x:v>https://www.stonybrook.edu</x:v>
      </x:c>
      <x:c r="I949" s="17" t="str">
        <x:v>not_sampled</x:v>
      </x:c>
      <x:c r="J949" s="17" t="str">
        <x:v>not_sampled</x:v>
      </x:c>
    </x:row>
    <x:row r="950" ht="46" customHeight="1">
      <x:c r="A950" s="17" t="str">
        <x:v>us</x:v>
      </x:c>
      <x:c r="B950" s="17" t="str">
        <x:v>Stony Brook University</x:v>
      </x:c>
      <x:c r="C950" s="17" t="str">
        <x:v>IPEDS discovery signal: Electrical and Electronics Engineering (CIP 14.1001)</x:v>
      </x:c>
      <x:c r="D950" s="17" t="str">
        <x:v>Unclear</x:v>
      </x:c>
      <x:c r="E950" s="17" t="str">
        <x:v>stage2_screened_out</x:v>
      </x:c>
      <x:c r="F950" s="17" t="str">
        <x:v>Duplicate mechanical discovery signal consolidated into one institution-level catalog review candidate.</x:v>
      </x:c>
      <x:c r="G950" s="17" t="str">
        <x:v>Does the current official catalog contain a research graduate program matching the applicant's topics?</x:v>
      </x:c>
      <x:c r="H950" s="17" t="str">
        <x:v>https://www.stonybrook.edu</x:v>
      </x:c>
      <x:c r="I950" s="17" t="str">
        <x:v>not_sampled</x:v>
      </x:c>
      <x:c r="J950" s="17" t="str">
        <x:v>not_sampled</x:v>
      </x:c>
    </x:row>
    <x:row r="951" ht="46" customHeight="1">
      <x:c r="A951" s="17" t="str">
        <x:v>us</x:v>
      </x:c>
      <x:c r="B951" s="17" t="str">
        <x:v>Strayer University-Alabama</x:v>
      </x:c>
      <x:c r="C951" s="17" t="str">
        <x:v>IPEDS discovery signal: Computer and Information Systems Security/Auditing/Information Assurance (CIP 11.1003)</x:v>
      </x:c>
      <x:c r="D951" s="17" t="str">
        <x:v>Unclear</x:v>
      </x:c>
      <x:c r="E951" s="17" t="str">
        <x:v>stage2_screened_out</x:v>
      </x:c>
      <x:c r="F951" s="17" t="str">
        <x:v>Only one bounded registry/program-code signal was present; no independent topical, Calendar, current-faculty, or first-audit signal was recovered.</x:v>
      </x:c>
      <x:c r="G951" s="17" t="str">
        <x:v>Does the current official catalog contain a research graduate program matching the applicant's topics?</x:v>
      </x:c>
      <x:c r="H951" s="17" t="str">
        <x:v>https://www.strayer.edu/campus-locations/alabama/birmingham</x:v>
      </x:c>
      <x:c r="I951" s="17" t="str">
        <x:v>not_sampled</x:v>
      </x:c>
      <x:c r="J951" s="17" t="str">
        <x:v>not_sampled</x:v>
      </x:c>
    </x:row>
    <x:row r="952" ht="46" customHeight="1">
      <x:c r="A952" s="17" t="str">
        <x:v>us</x:v>
      </x:c>
      <x:c r="B952" s="17" t="str">
        <x:v>Strayer University-Alabama</x:v>
      </x:c>
      <x:c r="C952" s="17" t="str">
        <x:v>IPEDS discovery signal: Information Science/Studies (CIP 11.0401)</x:v>
      </x:c>
      <x:c r="D952" s="17" t="str">
        <x:v>Unclear</x:v>
      </x:c>
      <x:c r="E952" s="17" t="str">
        <x:v>stage2_screened_out</x:v>
      </x:c>
      <x:c r="F952" s="17" t="str">
        <x:v>Only one bounded registry/program-code signal was present; no independent topical, Calendar, current-faculty, or first-audit signal was recovered.</x:v>
      </x:c>
      <x:c r="G952" s="17" t="str">
        <x:v>Does the current official catalog contain a research graduate program matching the applicant's topics?</x:v>
      </x:c>
      <x:c r="H952" s="17" t="str">
        <x:v>https://www.strayer.edu/campus-locations/alabama/birmingham</x:v>
      </x:c>
      <x:c r="I952" s="17" t="str">
        <x:v>not_sampled</x:v>
      </x:c>
      <x:c r="J952" s="17" t="str">
        <x:v>not_sampled</x:v>
      </x:c>
    </x:row>
    <x:row r="953" ht="46" customHeight="1">
      <x:c r="A953" s="17" t="str">
        <x:v>us</x:v>
      </x:c>
      <x:c r="B953" s="17" t="str">
        <x:v>Strayer University-Delaware</x:v>
      </x:c>
      <x:c r="C953" s="17" t="str">
        <x:v>IPEDS discovery signal: Information Science/Studies (CIP 11.0401)</x:v>
      </x:c>
      <x:c r="D953" s="17" t="str">
        <x:v>Unclear</x:v>
      </x:c>
      <x:c r="E953" s="17" t="str">
        <x:v>stage2_screened_out</x:v>
      </x:c>
      <x:c r="F953" s="17" t="str">
        <x:v>Only one bounded registry/program-code signal was present; no independent topical, Calendar, current-faculty, or first-audit signal was recovered.</x:v>
      </x:c>
      <x:c r="G953" s="17" t="str">
        <x:v>Does the current official catalog contain a research graduate program matching the applicant's topics?</x:v>
      </x:c>
      <x:c r="H953" s="17" t="str">
        <x:v>https://www.strayer.edu/campus-locations/delaware/wilmington</x:v>
      </x:c>
      <x:c r="I953" s="17" t="str">
        <x:v>not_sampled</x:v>
      </x:c>
      <x:c r="J953" s="17" t="str">
        <x:v>not_sampled</x:v>
      </x:c>
    </x:row>
    <x:row r="954" ht="46" customHeight="1">
      <x:c r="A954" s="17" t="str">
        <x:v>us</x:v>
      </x:c>
      <x:c r="B954" s="17" t="str">
        <x:v>Strayer University-District of Columbia</x:v>
      </x:c>
      <x:c r="C954" s="17" t="str">
        <x:v>IPEDS discovery signal: Computer and Information Systems Security/Auditing/Information Assurance (CIP 11.1003)</x:v>
      </x:c>
      <x:c r="D954" s="17" t="str">
        <x:v>Unclear</x:v>
      </x:c>
      <x:c r="E954" s="17" t="str">
        <x:v>stage2_screened_out</x:v>
      </x:c>
      <x:c r="F954" s="17" t="str">
        <x:v>Only one bounded registry/program-code signal was present; no independent topical, Calendar, current-faculty, or first-audit signal was recovered.</x:v>
      </x:c>
      <x:c r="G954" s="17" t="str">
        <x:v>Does the current official catalog contain a research graduate program matching the applicant's topics?</x:v>
      </x:c>
      <x:c r="H954" s="17" t="str">
        <x:v>https://www.strayer.edu/campus-locations/district-columbia/washington</x:v>
      </x:c>
      <x:c r="I954" s="17" t="str">
        <x:v>not_sampled</x:v>
      </x:c>
      <x:c r="J954" s="17" t="str">
        <x:v>not_sampled</x:v>
      </x:c>
    </x:row>
    <x:row r="955" ht="46" customHeight="1">
      <x:c r="A955" s="17" t="str">
        <x:v>us</x:v>
      </x:c>
      <x:c r="B955" s="17" t="str">
        <x:v>Strayer University-District of Columbia</x:v>
      </x:c>
      <x:c r="C955" s="17" t="str">
        <x:v>IPEDS discovery signal: Information Science/Studies (CIP 11.0401)</x:v>
      </x:c>
      <x:c r="D955" s="17" t="str">
        <x:v>Unclear</x:v>
      </x:c>
      <x:c r="E955" s="17" t="str">
        <x:v>stage2_screened_out</x:v>
      </x:c>
      <x:c r="F955" s="17" t="str">
        <x:v>Only one bounded registry/program-code signal was present; no independent topical, Calendar, current-faculty, or first-audit signal was recovered.</x:v>
      </x:c>
      <x:c r="G955" s="17" t="str">
        <x:v>Does the current official catalog contain a research graduate program matching the applicant's topics?</x:v>
      </x:c>
      <x:c r="H955" s="17" t="str">
        <x:v>https://www.strayer.edu/campus-locations/district-columbia/washington</x:v>
      </x:c>
      <x:c r="I955" s="17" t="str">
        <x:v>not_sampled</x:v>
      </x:c>
      <x:c r="J955" s="17" t="str">
        <x:v>not_sampled</x:v>
      </x:c>
    </x:row>
    <x:row r="956" ht="46" customHeight="1">
      <x:c r="A956" s="17" t="str">
        <x:v>us</x:v>
      </x:c>
      <x:c r="B956" s="17" t="str">
        <x:v>Strayer University-Florida</x:v>
      </x:c>
      <x:c r="C956" s="17" t="str">
        <x:v>IPEDS discovery signal: Computer and Information Systems Security/Auditing/Information Assurance (CIP 11.1003)</x:v>
      </x:c>
      <x:c r="D956" s="17" t="str">
        <x:v>Unclear</x:v>
      </x:c>
      <x:c r="E956" s="17" t="str">
        <x:v>stage2_screened_out</x:v>
      </x:c>
      <x:c r="F956" s="17" t="str">
        <x:v>Only one bounded registry/program-code signal was present; no independent topical, Calendar, current-faculty, or first-audit signal was recovered.</x:v>
      </x:c>
      <x:c r="G956" s="17" t="str">
        <x:v>Does the current official catalog contain a research graduate program matching the applicant's topics?</x:v>
      </x:c>
      <x:c r="H956" s="17" t="str">
        <x:v>https://www.strayer.edu/campus-locations/florida/tampa-east</x:v>
      </x:c>
      <x:c r="I956" s="17" t="str">
        <x:v>not_sampled</x:v>
      </x:c>
      <x:c r="J956" s="17" t="str">
        <x:v>not_sampled</x:v>
      </x:c>
    </x:row>
    <x:row r="957" ht="46" customHeight="1">
      <x:c r="A957" s="17" t="str">
        <x:v>us</x:v>
      </x:c>
      <x:c r="B957" s="17" t="str">
        <x:v>Strayer University-Florida</x:v>
      </x:c>
      <x:c r="C957" s="17" t="str">
        <x:v>IPEDS discovery signal: Information Science/Studies (CIP 11.0401)</x:v>
      </x:c>
      <x:c r="D957" s="17" t="str">
        <x:v>Unclear</x:v>
      </x:c>
      <x:c r="E957" s="17" t="str">
        <x:v>stage2_screened_out</x:v>
      </x:c>
      <x:c r="F957" s="17" t="str">
        <x:v>Only one bounded registry/program-code signal was present; no independent topical, Calendar, current-faculty, or first-audit signal was recovered.</x:v>
      </x:c>
      <x:c r="G957" s="17" t="str">
        <x:v>Does the current official catalog contain a research graduate program matching the applicant's topics?</x:v>
      </x:c>
      <x:c r="H957" s="17" t="str">
        <x:v>https://www.strayer.edu/campus-locations/florida/tampa-east</x:v>
      </x:c>
      <x:c r="I957" s="17" t="str">
        <x:v>not_sampled</x:v>
      </x:c>
      <x:c r="J957" s="17" t="str">
        <x:v>not_sampled</x:v>
      </x:c>
    </x:row>
    <x:row r="958" ht="46" customHeight="1">
      <x:c r="A958" s="17" t="str">
        <x:v>us</x:v>
      </x:c>
      <x:c r="B958" s="17" t="str">
        <x:v>Strayer University-Georgia</x:v>
      </x:c>
      <x:c r="C958" s="17" t="str">
        <x:v>IPEDS discovery signal: Computer and Information Systems Security/Auditing/Information Assurance (CIP 11.1003)</x:v>
      </x:c>
      <x:c r="D958" s="17" t="str">
        <x:v>Unclear</x:v>
      </x:c>
      <x:c r="E958" s="17" t="str">
        <x:v>stage2_screened_out</x:v>
      </x:c>
      <x:c r="F958" s="17" t="str">
        <x:v>Only one bounded registry/program-code signal was present; no independent topical, Calendar, current-faculty, or first-audit signal was recovered.</x:v>
      </x:c>
      <x:c r="G958" s="17" t="str">
        <x:v>Does the current official catalog contain a research graduate program matching the applicant's topics?</x:v>
      </x:c>
      <x:c r="H958" s="17" t="str">
        <x:v>https://www.strayer.edu/campus-locations/georgia/chamblee</x:v>
      </x:c>
      <x:c r="I958" s="17" t="str">
        <x:v>not_sampled</x:v>
      </x:c>
      <x:c r="J958" s="17" t="str">
        <x:v>not_sampled</x:v>
      </x:c>
    </x:row>
    <x:row r="959" ht="46" customHeight="1">
      <x:c r="A959" s="17" t="str">
        <x:v>us</x:v>
      </x:c>
      <x:c r="B959" s="17" t="str">
        <x:v>Strayer University-Georgia</x:v>
      </x:c>
      <x:c r="C959" s="17" t="str">
        <x:v>IPEDS discovery signal: Information Science/Studies (CIP 11.0401)</x:v>
      </x:c>
      <x:c r="D959" s="17" t="str">
        <x:v>Unclear</x:v>
      </x:c>
      <x:c r="E959" s="17" t="str">
        <x:v>stage2_screened_out</x:v>
      </x:c>
      <x:c r="F959" s="17" t="str">
        <x:v>Only one bounded registry/program-code signal was present; no independent topical, Calendar, current-faculty, or first-audit signal was recovered.</x:v>
      </x:c>
      <x:c r="G959" s="17" t="str">
        <x:v>Does the current official catalog contain a research graduate program matching the applicant's topics?</x:v>
      </x:c>
      <x:c r="H959" s="17" t="str">
        <x:v>https://www.strayer.edu/campus-locations/georgia/chamblee</x:v>
      </x:c>
      <x:c r="I959" s="17" t="str">
        <x:v>not_sampled</x:v>
      </x:c>
      <x:c r="J959" s="17" t="str">
        <x:v>not_sampled</x:v>
      </x:c>
    </x:row>
    <x:row r="960" ht="46" customHeight="1">
      <x:c r="A960" s="17" t="str">
        <x:v>us</x:v>
      </x:c>
      <x:c r="B960" s="17" t="str">
        <x:v>Strayer University-Global Region</x:v>
      </x:c>
      <x:c r="C960" s="17" t="str">
        <x:v>IPEDS discovery signal: Computer and Information Systems Security/Auditing/Information Assurance (CIP 11.1003)</x:v>
      </x:c>
      <x:c r="D960" s="17" t="str">
        <x:v>Unclear</x:v>
      </x:c>
      <x:c r="E960" s="17" t="str">
        <x:v>stage2_screened_out</x:v>
      </x:c>
      <x:c r="F960" s="17" t="str">
        <x:v>Only one bounded registry/program-code signal was present; no independent topical, Calendar, current-faculty, or first-audit signal was recovered.</x:v>
      </x:c>
      <x:c r="G960" s="17" t="str">
        <x:v>Does the current official catalog contain a research graduate program matching the applicant's topics?</x:v>
      </x:c>
      <x:c r="H960" s="17" t="str">
        <x:v>https://www.strayer.edu</x:v>
      </x:c>
      <x:c r="I960" s="17" t="str">
        <x:v>not_sampled</x:v>
      </x:c>
      <x:c r="J960" s="17" t="str">
        <x:v>not_sampled</x:v>
      </x:c>
    </x:row>
    <x:row r="961" ht="46" customHeight="1">
      <x:c r="A961" s="17" t="str">
        <x:v>us</x:v>
      </x:c>
      <x:c r="B961" s="17" t="str">
        <x:v>Strayer University-Global Region</x:v>
      </x:c>
      <x:c r="C961" s="17" t="str">
        <x:v>IPEDS discovery signal: Information Science/Studies (CIP 11.0401)</x:v>
      </x:c>
      <x:c r="D961" s="17" t="str">
        <x:v>Unclear</x:v>
      </x:c>
      <x:c r="E961" s="17" t="str">
        <x:v>stage2_screened_out</x:v>
      </x:c>
      <x:c r="F961" s="17" t="str">
        <x:v>Only one bounded registry/program-code signal was present; no independent topical, Calendar, current-faculty, or first-audit signal was recovered.</x:v>
      </x:c>
      <x:c r="G961" s="17" t="str">
        <x:v>Does the current official catalog contain a research graduate program matching the applicant's topics?</x:v>
      </x:c>
      <x:c r="H961" s="17" t="str">
        <x:v>https://www.strayer.edu</x:v>
      </x:c>
      <x:c r="I961" s="17" t="str">
        <x:v>not_sampled</x:v>
      </x:c>
      <x:c r="J961" s="17" t="str">
        <x:v>not_sampled</x:v>
      </x:c>
    </x:row>
    <x:row r="962" ht="46" customHeight="1">
      <x:c r="A962" s="17" t="str">
        <x:v>us</x:v>
      </x:c>
      <x:c r="B962" s="17" t="str">
        <x:v>Strayer University-Maryland</x:v>
      </x:c>
      <x:c r="C962" s="17" t="str">
        <x:v>IPEDS discovery signal: Computer and Information Systems Security/Auditing/Information Assurance (CIP 11.1003)</x:v>
      </x:c>
      <x:c r="D962" s="17" t="str">
        <x:v>Unclear</x:v>
      </x:c>
      <x:c r="E962" s="17" t="str">
        <x:v>stage2_screened_out</x:v>
      </x:c>
      <x:c r="F962" s="17" t="str">
        <x:v>Only one bounded registry/program-code signal was present; no independent topical, Calendar, current-faculty, or first-audit signal was recovered.</x:v>
      </x:c>
      <x:c r="G962" s="17" t="str">
        <x:v>Does the current official catalog contain a research graduate program matching the applicant's topics?</x:v>
      </x:c>
      <x:c r="H962" s="17" t="str">
        <x:v>https://www.strayer.edu/campus-locations/maryland/prince-georges</x:v>
      </x:c>
      <x:c r="I962" s="17" t="str">
        <x:v>not_sampled</x:v>
      </x:c>
      <x:c r="J962" s="17" t="str">
        <x:v>not_sampled</x:v>
      </x:c>
    </x:row>
    <x:row r="963" ht="46" customHeight="1">
      <x:c r="A963" s="17" t="str">
        <x:v>us</x:v>
      </x:c>
      <x:c r="B963" s="17" t="str">
        <x:v>Strayer University-Maryland</x:v>
      </x:c>
      <x:c r="C963" s="17" t="str">
        <x:v>IPEDS discovery signal: Information Science/Studies (CIP 11.0401)</x:v>
      </x:c>
      <x:c r="D963" s="17" t="str">
        <x:v>Unclear</x:v>
      </x:c>
      <x:c r="E963" s="17" t="str">
        <x:v>stage2_screened_out</x:v>
      </x:c>
      <x:c r="F963" s="17" t="str">
        <x:v>Only one bounded registry/program-code signal was present; no independent topical, Calendar, current-faculty, or first-audit signal was recovered.</x:v>
      </x:c>
      <x:c r="G963" s="17" t="str">
        <x:v>Does the current official catalog contain a research graduate program matching the applicant's topics?</x:v>
      </x:c>
      <x:c r="H963" s="17" t="str">
        <x:v>https://www.strayer.edu/campus-locations/maryland/prince-georges</x:v>
      </x:c>
      <x:c r="I963" s="17" t="str">
        <x:v>not_sampled</x:v>
      </x:c>
      <x:c r="J963" s="17" t="str">
        <x:v>not_sampled</x:v>
      </x:c>
    </x:row>
    <x:row r="964" ht="46" customHeight="1">
      <x:c r="A964" s="17" t="str">
        <x:v>us</x:v>
      </x:c>
      <x:c r="B964" s="17" t="str">
        <x:v>Strayer University-Mississippi</x:v>
      </x:c>
      <x:c r="C964" s="17" t="str">
        <x:v>IPEDS discovery signal: Information Science/Studies (CIP 11.0401)</x:v>
      </x:c>
      <x:c r="D964" s="17" t="str">
        <x:v>Unclear</x:v>
      </x:c>
      <x:c r="E964" s="17" t="str">
        <x:v>stage2_screened_out</x:v>
      </x:c>
      <x:c r="F964" s="17" t="str">
        <x:v>Only one bounded registry/program-code signal was present; no independent topical, Calendar, current-faculty, or first-audit signal was recovered.</x:v>
      </x:c>
      <x:c r="G964" s="17" t="str">
        <x:v>Does the current official catalog contain a research graduate program matching the applicant's topics?</x:v>
      </x:c>
      <x:c r="H964" s="17" t="str">
        <x:v>https://www.strayer.edu/campus-locations/mississippi/jackson</x:v>
      </x:c>
      <x:c r="I964" s="17" t="str">
        <x:v>not_sampled</x:v>
      </x:c>
      <x:c r="J964" s="17" t="str">
        <x:v>not_sampled</x:v>
      </x:c>
    </x:row>
    <x:row r="965" ht="46" customHeight="1">
      <x:c r="A965" s="17" t="str">
        <x:v>us</x:v>
      </x:c>
      <x:c r="B965" s="17" t="str">
        <x:v>Strayer University-New Jersey</x:v>
      </x:c>
      <x:c r="C965" s="17" t="str">
        <x:v>IPEDS discovery signal: Information Science/Studies (CIP 11.0401)</x:v>
      </x:c>
      <x:c r="D965" s="17" t="str">
        <x:v>Unclear</x:v>
      </x:c>
      <x:c r="E965" s="17" t="str">
        <x:v>stage2_screened_out</x:v>
      </x:c>
      <x:c r="F965" s="17" t="str">
        <x:v>Only one bounded registry/program-code signal was present; no independent topical, Calendar, current-faculty, or first-audit signal was recovered.</x:v>
      </x:c>
      <x:c r="G965" s="17" t="str">
        <x:v>Does the current official catalog contain a research graduate program matching the applicant's topics?</x:v>
      </x:c>
      <x:c r="H965" s="17" t="str">
        <x:v>https://www.strayer.edu/campus-locations/new-jersey/piscataway</x:v>
      </x:c>
      <x:c r="I965" s="17" t="str">
        <x:v>not_sampled</x:v>
      </x:c>
      <x:c r="J965" s="17" t="str">
        <x:v>not_sampled</x:v>
      </x:c>
    </x:row>
    <x:row r="966" ht="46" customHeight="1">
      <x:c r="A966" s="17" t="str">
        <x:v>us</x:v>
      </x:c>
      <x:c r="B966" s="17" t="str">
        <x:v>Strayer University-North Carolina</x:v>
      </x:c>
      <x:c r="C966" s="17" t="str">
        <x:v>IPEDS discovery signal: Information Science/Studies (CIP 11.0401)</x:v>
      </x:c>
      <x:c r="D966" s="17" t="str">
        <x:v>Unclear</x:v>
      </x:c>
      <x:c r="E966" s="17" t="str">
        <x:v>stage2_screened_out</x:v>
      </x:c>
      <x:c r="F966" s="17" t="str">
        <x:v>Only one bounded registry/program-code signal was present; no independent topical, Calendar, current-faculty, or first-audit signal was recovered.</x:v>
      </x:c>
      <x:c r="G966" s="17" t="str">
        <x:v>Does the current official catalog contain a research graduate program matching the applicant's topics?</x:v>
      </x:c>
      <x:c r="H966" s="17" t="str">
        <x:v>https://www.strayer.edu/campus-locations/north-carolina/greensboro</x:v>
      </x:c>
      <x:c r="I966" s="17" t="str">
        <x:v>not_sampled</x:v>
      </x:c>
      <x:c r="J966" s="17" t="str">
        <x:v>not_sampled</x:v>
      </x:c>
    </x:row>
    <x:row r="967" ht="46" customHeight="1">
      <x:c r="A967" s="17" t="str">
        <x:v>us</x:v>
      </x:c>
      <x:c r="B967" s="17" t="str">
        <x:v>Strayer University-Pennsylvania</x:v>
      </x:c>
      <x:c r="C967" s="17" t="str">
        <x:v>IPEDS discovery signal: Information Science/Studies (CIP 11.0401)</x:v>
      </x:c>
      <x:c r="D967" s="17" t="str">
        <x:v>Unclear</x:v>
      </x:c>
      <x:c r="E967" s="17" t="str">
        <x:v>stage2_screened_out</x:v>
      </x:c>
      <x:c r="F967" s="17" t="str">
        <x:v>Only one bounded registry/program-code signal was present; no independent topical, Calendar, current-faculty, or first-audit signal was recovered.</x:v>
      </x:c>
      <x:c r="G967" s="17" t="str">
        <x:v>Does the current official catalog contain a research graduate program matching the applicant's topics?</x:v>
      </x:c>
      <x:c r="H967" s="17" t="str">
        <x:v>https://www.strayer.edu/campus-locations/pennsylvania/lower-bucks-county</x:v>
      </x:c>
      <x:c r="I967" s="17" t="str">
        <x:v>not_sampled</x:v>
      </x:c>
      <x:c r="J967" s="17" t="str">
        <x:v>not_sampled</x:v>
      </x:c>
    </x:row>
    <x:row r="968" ht="46" customHeight="1">
      <x:c r="A968" s="17" t="str">
        <x:v>us</x:v>
      </x:c>
      <x:c r="B968" s="17" t="str">
        <x:v>Strayer University-South Carolina</x:v>
      </x:c>
      <x:c r="C968" s="17" t="str">
        <x:v>IPEDS discovery signal: Computer and Information Systems Security/Auditing/Information Assurance (CIP 11.1003)</x:v>
      </x:c>
      <x:c r="D968" s="17" t="str">
        <x:v>Unclear</x:v>
      </x:c>
      <x:c r="E968" s="17" t="str">
        <x:v>stage2_screened_out</x:v>
      </x:c>
      <x:c r="F968" s="17" t="str">
        <x:v>Only one bounded registry/program-code signal was present; no independent topical, Calendar, current-faculty, or first-audit signal was recovered.</x:v>
      </x:c>
      <x:c r="G968" s="17" t="str">
        <x:v>Does the current official catalog contain a research graduate program matching the applicant's topics?</x:v>
      </x:c>
      <x:c r="H968" s="17" t="str">
        <x:v>https://www.strayer.edu/campus-locations/south-carolina/greenville</x:v>
      </x:c>
      <x:c r="I968" s="17" t="str">
        <x:v>not_sampled</x:v>
      </x:c>
      <x:c r="J968" s="17" t="str">
        <x:v>not_sampled</x:v>
      </x:c>
    </x:row>
    <x:row r="969" ht="46" customHeight="1">
      <x:c r="A969" s="17" t="str">
        <x:v>us</x:v>
      </x:c>
      <x:c r="B969" s="17" t="str">
        <x:v>Strayer University-South Carolina</x:v>
      </x:c>
      <x:c r="C969" s="17" t="str">
        <x:v>IPEDS discovery signal: Information Science/Studies (CIP 11.0401)</x:v>
      </x:c>
      <x:c r="D969" s="17" t="str">
        <x:v>Unclear</x:v>
      </x:c>
      <x:c r="E969" s="17" t="str">
        <x:v>stage2_screened_out</x:v>
      </x:c>
      <x:c r="F969" s="17" t="str">
        <x:v>Only one bounded registry/program-code signal was present; no independent topical, Calendar, current-faculty, or first-audit signal was recovered.</x:v>
      </x:c>
      <x:c r="G969" s="17" t="str">
        <x:v>Does the current official catalog contain a research graduate program matching the applicant's topics?</x:v>
      </x:c>
      <x:c r="H969" s="17" t="str">
        <x:v>https://www.strayer.edu/campus-locations/south-carolina/greenville</x:v>
      </x:c>
      <x:c r="I969" s="17" t="str">
        <x:v>not_sampled</x:v>
      </x:c>
      <x:c r="J969" s="17" t="str">
        <x:v>not_sampled</x:v>
      </x:c>
    </x:row>
    <x:row r="970" ht="46" customHeight="1">
      <x:c r="A970" s="17" t="str">
        <x:v>us</x:v>
      </x:c>
      <x:c r="B970" s="17" t="str">
        <x:v>Strayer University-Tennessee</x:v>
      </x:c>
      <x:c r="C970" s="17" t="str">
        <x:v>IPEDS discovery signal: Computer and Information Systems Security/Auditing/Information Assurance (CIP 11.1003)</x:v>
      </x:c>
      <x:c r="D970" s="17" t="str">
        <x:v>Unclear</x:v>
      </x:c>
      <x:c r="E970" s="17" t="str">
        <x:v>stage2_screened_out</x:v>
      </x:c>
      <x:c r="F970" s="17" t="str">
        <x:v>Only one bounded registry/program-code signal was present; no independent topical, Calendar, current-faculty, or first-audit signal was recovered.</x:v>
      </x:c>
      <x:c r="G970" s="17" t="str">
        <x:v>Does the current official catalog contain a research graduate program matching the applicant's topics?</x:v>
      </x:c>
      <x:c r="H970" s="17" t="str">
        <x:v>https://www.strayer.edu/campus-locations/tennessee/thousand-oaks</x:v>
      </x:c>
      <x:c r="I970" s="17" t="str">
        <x:v>not_sampled</x:v>
      </x:c>
      <x:c r="J970" s="17" t="str">
        <x:v>not_sampled</x:v>
      </x:c>
    </x:row>
    <x:row r="971" ht="46" customHeight="1">
      <x:c r="A971" s="17" t="str">
        <x:v>us</x:v>
      </x:c>
      <x:c r="B971" s="17" t="str">
        <x:v>Strayer University-Tennessee</x:v>
      </x:c>
      <x:c r="C971" s="17" t="str">
        <x:v>IPEDS discovery signal: Information Science/Studies (CIP 11.0401)</x:v>
      </x:c>
      <x:c r="D971" s="17" t="str">
        <x:v>Unclear</x:v>
      </x:c>
      <x:c r="E971" s="17" t="str">
        <x:v>stage2_screened_out</x:v>
      </x:c>
      <x:c r="F971" s="17" t="str">
        <x:v>Only one bounded registry/program-code signal was present; no independent topical, Calendar, current-faculty, or first-audit signal was recovered.</x:v>
      </x:c>
      <x:c r="G971" s="17" t="str">
        <x:v>Does the current official catalog contain a research graduate program matching the applicant's topics?</x:v>
      </x:c>
      <x:c r="H971" s="17" t="str">
        <x:v>https://www.strayer.edu/campus-locations/tennessee/thousand-oaks</x:v>
      </x:c>
      <x:c r="I971" s="17" t="str">
        <x:v>not_sampled</x:v>
      </x:c>
      <x:c r="J971" s="17" t="str">
        <x:v>not_sampled</x:v>
      </x:c>
    </x:row>
    <x:row r="972" ht="46" customHeight="1">
      <x:c r="A972" s="17" t="str">
        <x:v>us</x:v>
      </x:c>
      <x:c r="B972" s="17" t="str">
        <x:v>Strayer University-Texas</x:v>
      </x:c>
      <x:c r="C972" s="17" t="str">
        <x:v>IPEDS discovery signal: Computer and Information Systems Security/Auditing/Information Assurance (CIP 11.1003)</x:v>
      </x:c>
      <x:c r="D972" s="17" t="str">
        <x:v>Unclear</x:v>
      </x:c>
      <x:c r="E972" s="17" t="str">
        <x:v>stage2_screened_out</x:v>
      </x:c>
      <x:c r="F972" s="17" t="str">
        <x:v>Only one bounded registry/program-code signal was present; no independent topical, Calendar, current-faculty, or first-audit signal was recovered.</x:v>
      </x:c>
      <x:c r="G972" s="17" t="str">
        <x:v>Does the current official catalog contain a research graduate program matching the applicant's topics?</x:v>
      </x:c>
      <x:c r="H972" s="17" t="str">
        <x:v>https://www.strayer.edu/campus-locations</x:v>
      </x:c>
      <x:c r="I972" s="17" t="str">
        <x:v>not_sampled</x:v>
      </x:c>
      <x:c r="J972" s="17" t="str">
        <x:v>not_sampled</x:v>
      </x:c>
    </x:row>
    <x:row r="973" ht="46" customHeight="1">
      <x:c r="A973" s="17" t="str">
        <x:v>us</x:v>
      </x:c>
      <x:c r="B973" s="17" t="str">
        <x:v>Strayer University-Texas</x:v>
      </x:c>
      <x:c r="C973" s="17" t="str">
        <x:v>IPEDS discovery signal: Information Science/Studies (CIP 11.0401)</x:v>
      </x:c>
      <x:c r="D973" s="17" t="str">
        <x:v>Unclear</x:v>
      </x:c>
      <x:c r="E973" s="17" t="str">
        <x:v>stage2_screened_out</x:v>
      </x:c>
      <x:c r="F973" s="17" t="str">
        <x:v>Only one bounded registry/program-code signal was present; no independent topical, Calendar, current-faculty, or first-audit signal was recovered.</x:v>
      </x:c>
      <x:c r="G973" s="17" t="str">
        <x:v>Does the current official catalog contain a research graduate program matching the applicant's topics?</x:v>
      </x:c>
      <x:c r="H973" s="17" t="str">
        <x:v>https://www.strayer.edu/campus-locations</x:v>
      </x:c>
      <x:c r="I973" s="17" t="str">
        <x:v>not_sampled</x:v>
      </x:c>
      <x:c r="J973" s="17" t="str">
        <x:v>not_sampled</x:v>
      </x:c>
    </x:row>
    <x:row r="974" ht="46" customHeight="1">
      <x:c r="A974" s="17" t="str">
        <x:v>us</x:v>
      </x:c>
      <x:c r="B974" s="17" t="str">
        <x:v>Strayer University-Virginia</x:v>
      </x:c>
      <x:c r="C974" s="17" t="str">
        <x:v>IPEDS discovery signal: Computer and Information Systems Security/Auditing/Information Assurance (CIP 11.1003)</x:v>
      </x:c>
      <x:c r="D974" s="17" t="str">
        <x:v>Unclear</x:v>
      </x:c>
      <x:c r="E974" s="17" t="str">
        <x:v>stage2_screened_out</x:v>
      </x:c>
      <x:c r="F974" s="17" t="str">
        <x:v>Only one bounded registry/program-code signal was present; no independent topical, Calendar, current-faculty, or first-audit signal was recovered.</x:v>
      </x:c>
      <x:c r="G974" s="17" t="str">
        <x:v>Does the current official catalog contain a research graduate program matching the applicant's topics?</x:v>
      </x:c>
      <x:c r="H974" s="17" t="str">
        <x:v>https://www.strayer.edu/campus-locations/virginia/arlington</x:v>
      </x:c>
      <x:c r="I974" s="17" t="str">
        <x:v>not_sampled</x:v>
      </x:c>
      <x:c r="J974" s="17" t="str">
        <x:v>not_sampled</x:v>
      </x:c>
    </x:row>
    <x:row r="975" ht="46" customHeight="1">
      <x:c r="A975" s="17" t="str">
        <x:v>us</x:v>
      </x:c>
      <x:c r="B975" s="17" t="str">
        <x:v>Strayer University-Virginia</x:v>
      </x:c>
      <x:c r="C975" s="17" t="str">
        <x:v>IPEDS discovery signal: Information Science/Studies (CIP 11.0401)</x:v>
      </x:c>
      <x:c r="D975" s="17" t="str">
        <x:v>Unclear</x:v>
      </x:c>
      <x:c r="E975" s="17" t="str">
        <x:v>stage2_screened_out</x:v>
      </x:c>
      <x:c r="F975" s="17" t="str">
        <x:v>Only one bounded registry/program-code signal was present; no independent topical, Calendar, current-faculty, or first-audit signal was recovered.</x:v>
      </x:c>
      <x:c r="G975" s="17" t="str">
        <x:v>Does the current official catalog contain a research graduate program matching the applicant's topics?</x:v>
      </x:c>
      <x:c r="H975" s="17" t="str">
        <x:v>https://www.strayer.edu/campus-locations/virginia/arlington</x:v>
      </x:c>
      <x:c r="I975" s="17" t="str">
        <x:v>not_sampled</x:v>
      </x:c>
      <x:c r="J975" s="17" t="str">
        <x:v>not_sampled</x:v>
      </x:c>
    </x:row>
    <x:row r="976" ht="46" customHeight="1">
      <x:c r="A976" s="17" t="str">
        <x:v>us</x:v>
      </x:c>
      <x:c r="B976" s="17" t="str">
        <x:v>Strayer University-West Virginia</x:v>
      </x:c>
      <x:c r="C976" s="17" t="str">
        <x:v>IPEDS discovery signal: Computer and Information Systems Security/Auditing/Information Assurance (CIP 11.1003)</x:v>
      </x:c>
      <x:c r="D976" s="17" t="str">
        <x:v>Unclear</x:v>
      </x:c>
      <x:c r="E976" s="17" t="str">
        <x:v>stage2_screened_out</x:v>
      </x:c>
      <x:c r="F976" s="17" t="str">
        <x:v>Only one bounded registry/program-code signal was present; no independent topical, Calendar, current-faculty, or first-audit signal was recovered.</x:v>
      </x:c>
      <x:c r="G976" s="17" t="str">
        <x:v>Does the current official catalog contain a research graduate program matching the applicant's topics?</x:v>
      </x:c>
      <x:c r="H976" s="17" t="str">
        <x:v>https://www.strayer.edu/campus-locations/west-virginia/teays-valley</x:v>
      </x:c>
      <x:c r="I976" s="17" t="str">
        <x:v>not_sampled</x:v>
      </x:c>
      <x:c r="J976" s="17" t="str">
        <x:v>not_sampled</x:v>
      </x:c>
    </x:row>
    <x:row r="977" ht="46" customHeight="1">
      <x:c r="A977" s="17" t="str">
        <x:v>us</x:v>
      </x:c>
      <x:c r="B977" s="17" t="str">
        <x:v>Strayer University-West Virginia</x:v>
      </x:c>
      <x:c r="C977" s="17" t="str">
        <x:v>IPEDS discovery signal: Information Science/Studies (CIP 11.0401)</x:v>
      </x:c>
      <x:c r="D977" s="17" t="str">
        <x:v>Unclear</x:v>
      </x:c>
      <x:c r="E977" s="17" t="str">
        <x:v>stage2_screened_out</x:v>
      </x:c>
      <x:c r="F977" s="17" t="str">
        <x:v>Only one bounded registry/program-code signal was present; no independent topical, Calendar, current-faculty, or first-audit signal was recovered.</x:v>
      </x:c>
      <x:c r="G977" s="17" t="str">
        <x:v>Does the current official catalog contain a research graduate program matching the applicant's topics?</x:v>
      </x:c>
      <x:c r="H977" s="17" t="str">
        <x:v>https://www.strayer.edu/campus-locations/west-virginia/teays-valley</x:v>
      </x:c>
      <x:c r="I977" s="17" t="str">
        <x:v>not_sampled</x:v>
      </x:c>
      <x:c r="J977" s="17" t="str">
        <x:v>not_sampled</x:v>
      </x:c>
    </x:row>
    <x:row r="978" ht="46" customHeight="1">
      <x:c r="A978" s="17" t="str">
        <x:v>us</x:v>
      </x:c>
      <x:c r="B978" s="17" t="str">
        <x:v>SUNY Buffalo State University</x:v>
      </x:c>
      <x:c r="C978" s="17" t="str">
        <x:v>IPEDS discovery signal: Data Analytics, General (CIP 30.7101)</x:v>
      </x:c>
      <x:c r="D978" s="17" t="str">
        <x:v>Unclear</x:v>
      </x:c>
      <x:c r="E978" s="17" t="str">
        <x:v>stage2_screened_out</x:v>
      </x:c>
      <x:c r="F978" s="17" t="str">
        <x:v>Only one bounded registry/program-code signal was present; no independent topical, Calendar, current-faculty, or first-audit signal was recovered.</x:v>
      </x:c>
      <x:c r="G978" s="17" t="str">
        <x:v>Does the current official catalog contain a research graduate program matching the applicant's topics?</x:v>
      </x:c>
      <x:c r="H978" s="17" t="str">
        <x:v>https://suny.buffalostate.edu</x:v>
      </x:c>
      <x:c r="I978" s="17" t="str">
        <x:v>not_sampled</x:v>
      </x:c>
      <x:c r="J978" s="17" t="str">
        <x:v>not_sampled</x:v>
      </x:c>
    </x:row>
    <x:row r="979" ht="46" customHeight="1">
      <x:c r="A979" s="17" t="str">
        <x:v>us</x:v>
      </x:c>
      <x:c r="B979" s="17" t="str">
        <x:v>SUNY Old Westbury</x:v>
      </x:c>
      <x:c r="C979" s="17" t="str">
        <x:v>IPEDS discovery signal: Information Science/Studies (CIP 11.0401)</x:v>
      </x:c>
      <x:c r="D979" s="17" t="str">
        <x:v>Unclear</x:v>
      </x:c>
      <x:c r="E979" s="17" t="str">
        <x:v>stage2_screened_out</x:v>
      </x:c>
      <x:c r="F979" s="17" t="str">
        <x:v>Only one bounded registry/program-code signal was present; no independent topical, Calendar, current-faculty, or first-audit signal was recovered.</x:v>
      </x:c>
      <x:c r="G979" s="17" t="str">
        <x:v>Does the current official catalog contain a research graduate program matching the applicant's topics?</x:v>
      </x:c>
      <x:c r="H979" s="17" t="str">
        <x:v>https://www.oldwestbury.edu</x:v>
      </x:c>
      <x:c r="I979" s="17" t="str">
        <x:v>not_sampled</x:v>
      </x:c>
      <x:c r="J979" s="17" t="str">
        <x:v>not_sampled</x:v>
      </x:c>
    </x:row>
    <x:row r="980" ht="46" customHeight="1">
      <x:c r="A980" s="17" t="str">
        <x:v>us</x:v>
      </x:c>
      <x:c r="B980" s="17" t="str">
        <x:v>SUNY Polytechnic Institute</x:v>
      </x:c>
      <x:c r="C980" s="17" t="str">
        <x:v>IPEDS discovery signal: Computer and Information Sciences, General (CIP 11.0101)</x:v>
      </x:c>
      <x:c r="D980" s="17" t="str">
        <x:v>Unclear</x:v>
      </x:c>
      <x:c r="E980" s="17" t="str">
        <x:v>stage2_screened_out</x:v>
      </x:c>
      <x:c r="F980" s="17" t="str">
        <x:v>Only one bounded registry/program-code signal was present; no independent topical, Calendar, current-faculty, or first-audit signal was recovered.</x:v>
      </x:c>
      <x:c r="G980" s="17" t="str">
        <x:v>Does the current official catalog contain a research graduate program matching the applicant's topics?</x:v>
      </x:c>
      <x:c r="H980" s="17" t="str">
        <x:v>https://www.sunypoly.edu</x:v>
      </x:c>
      <x:c r="I980" s="17" t="str">
        <x:v>not_sampled</x:v>
      </x:c>
      <x:c r="J980" s="17" t="str">
        <x:v>not_sampled</x:v>
      </x:c>
    </x:row>
    <x:row r="981" ht="46" customHeight="1">
      <x:c r="A981" s="17" t="str">
        <x:v>us</x:v>
      </x:c>
      <x:c r="B981" s="17" t="str">
        <x:v>SUNY Polytechnic Institute</x:v>
      </x:c>
      <x:c r="C981" s="17" t="str">
        <x:v>IPEDS discovery signal: Computer and Information Systems Security/Auditing/Information Assurance (CIP 11.1003)</x:v>
      </x:c>
      <x:c r="D981" s="17" t="str">
        <x:v>Unclear</x:v>
      </x:c>
      <x:c r="E981" s="17" t="str">
        <x:v>stage2_screened_out</x:v>
      </x:c>
      <x:c r="F981" s="17" t="str">
        <x:v>Only one bounded registry/program-code signal was present; no independent topical, Calendar, current-faculty, or first-audit signal was recovered.</x:v>
      </x:c>
      <x:c r="G981" s="17" t="str">
        <x:v>Does the current official catalog contain a research graduate program matching the applicant's topics?</x:v>
      </x:c>
      <x:c r="H981" s="17" t="str">
        <x:v>https://www.sunypoly.edu</x:v>
      </x:c>
      <x:c r="I981" s="17" t="str">
        <x:v>not_sampled</x:v>
      </x:c>
      <x:c r="J981" s="17" t="str">
        <x:v>not_sampled</x:v>
      </x:c>
    </x:row>
    <x:row r="982" ht="46" customHeight="1">
      <x:c r="A982" s="17" t="str">
        <x:v>us</x:v>
      </x:c>
      <x:c r="B982" s="17" t="str">
        <x:v>SUNY Polytechnic Institute</x:v>
      </x:c>
      <x:c r="C982" s="17" t="str">
        <x:v>IPEDS discovery signal: Computer Science (CIP 11.0701)</x:v>
      </x:c>
      <x:c r="D982" s="17" t="str">
        <x:v>Unclear</x:v>
      </x:c>
      <x:c r="E982" s="17" t="str">
        <x:v>stage2_screened_out</x:v>
      </x:c>
      <x:c r="F982" s="17" t="str">
        <x:v>Only one bounded registry/program-code signal was present; no independent topical, Calendar, current-faculty, or first-audit signal was recovered.</x:v>
      </x:c>
      <x:c r="G982" s="17" t="str">
        <x:v>Does the current official catalog contain a research graduate program matching the applicant's topics?</x:v>
      </x:c>
      <x:c r="H982" s="17" t="str">
        <x:v>https://www.sunypoly.edu</x:v>
      </x:c>
      <x:c r="I982" s="17" t="str">
        <x:v>not_sampled</x:v>
      </x:c>
      <x:c r="J982" s="17" t="str">
        <x:v>not_sampled</x:v>
      </x:c>
    </x:row>
    <x:row r="983" ht="46" customHeight="1">
      <x:c r="A983" s="17" t="str">
        <x:v>us</x:v>
      </x:c>
      <x:c r="B983" s="17" t="str">
        <x:v>SUNY Polytechnic Institute</x:v>
      </x:c>
      <x:c r="C983" s="17" t="str">
        <x:v>IPEDS discovery signal: Information Science/Studies (CIP 11.0401)</x:v>
      </x:c>
      <x:c r="D983" s="17" t="str">
        <x:v>Unclear</x:v>
      </x:c>
      <x:c r="E983" s="17" t="str">
        <x:v>stage2_screened_out</x:v>
      </x:c>
      <x:c r="F983" s="17" t="str">
        <x:v>Only one bounded registry/program-code signal was present; no independent topical, Calendar, current-faculty, or first-audit signal was recovered.</x:v>
      </x:c>
      <x:c r="G983" s="17" t="str">
        <x:v>Does the current official catalog contain a research graduate program matching the applicant's topics?</x:v>
      </x:c>
      <x:c r="H983" s="17" t="str">
        <x:v>https://www.sunypoly.edu</x:v>
      </x:c>
      <x:c r="I983" s="17" t="str">
        <x:v>not_sampled</x:v>
      </x:c>
      <x:c r="J983" s="17" t="str">
        <x:v>not_sampled</x:v>
      </x:c>
    </x:row>
    <x:row r="984" ht="46" customHeight="1">
      <x:c r="A984" s="17" t="str">
        <x:v>us</x:v>
      </x:c>
      <x:c r="B984" s="17" t="str">
        <x:v>Syracuse University</x:v>
      </x:c>
      <x:c r="C984" s="17" t="str">
        <x:v>IPEDS discovery signal: Artificial Intelligence (CIP 11.0102)</x:v>
      </x:c>
      <x:c r="D984" s="17" t="str">
        <x:v>Unclear</x:v>
      </x:c>
      <x:c r="E984" s="17" t="str">
        <x:v>stage2_screened_out</x:v>
      </x:c>
      <x:c r="F984" s="17" t="str">
        <x:v>Only one bounded registry/program-code signal was present; no independent topical, Calendar, current-faculty, or first-audit signal was recovered.</x:v>
      </x:c>
      <x:c r="G984" s="17" t="str">
        <x:v>Does the current official catalog contain a research graduate program matching the applicant's topics?</x:v>
      </x:c>
      <x:c r="H984" s="17" t="str">
        <x:v>https://www.syracuse.edu</x:v>
      </x:c>
      <x:c r="I984" s="17" t="str">
        <x:v>not_sampled</x:v>
      </x:c>
      <x:c r="J984" s="17" t="str">
        <x:v>not_sampled</x:v>
      </x:c>
    </x:row>
    <x:row r="985" ht="46" customHeight="1">
      <x:c r="A985" s="17" t="str">
        <x:v>us</x:v>
      </x:c>
      <x:c r="B985" s="17" t="str">
        <x:v>Syracuse University</x:v>
      </x:c>
      <x:c r="C985" s="17" t="str">
        <x:v>IPEDS discovery signal: Computer and Information Sciences, General (CIP 11.0101)</x:v>
      </x:c>
      <x:c r="D985" s="17" t="str">
        <x:v>Unclear</x:v>
      </x:c>
      <x:c r="E985" s="17" t="str">
        <x:v>stage2_screened_out</x:v>
      </x:c>
      <x:c r="F985" s="17" t="str">
        <x:v>Only one bounded registry/program-code signal was present; no independent topical, Calendar, current-faculty, or first-audit signal was recovered.</x:v>
      </x:c>
      <x:c r="G985" s="17" t="str">
        <x:v>Does the current official catalog contain a research graduate program matching the applicant's topics?</x:v>
      </x:c>
      <x:c r="H985" s="17" t="str">
        <x:v>https://www.syracuse.edu</x:v>
      </x:c>
      <x:c r="I985" s="17" t="str">
        <x:v>not_sampled</x:v>
      </x:c>
      <x:c r="J985" s="17" t="str">
        <x:v>not_sampled</x:v>
      </x:c>
    </x:row>
    <x:row r="986" ht="46" customHeight="1">
      <x:c r="A986" s="17" t="str">
        <x:v>us</x:v>
      </x:c>
      <x:c r="B986" s="17" t="str">
        <x:v>Syracuse University</x:v>
      </x:c>
      <x:c r="C986" s="17" t="str">
        <x:v>IPEDS discovery signal: Computer and Information Systems Security/Auditing/Information Assurance (CIP 11.1003)</x:v>
      </x:c>
      <x:c r="D986" s="17" t="str">
        <x:v>Unclear</x:v>
      </x:c>
      <x:c r="E986" s="17" t="str">
        <x:v>stage2_screened_out</x:v>
      </x:c>
      <x:c r="F986" s="17" t="str">
        <x:v>Only one bounded registry/program-code signal was present; no independent topical, Calendar, current-faculty, or first-audit signal was recovered.</x:v>
      </x:c>
      <x:c r="G986" s="17" t="str">
        <x:v>Does the current official catalog contain a research graduate program matching the applicant's topics?</x:v>
      </x:c>
      <x:c r="H986" s="17" t="str">
        <x:v>https://www.syracuse.edu</x:v>
      </x:c>
      <x:c r="I986" s="17" t="str">
        <x:v>not_sampled</x:v>
      </x:c>
      <x:c r="J986" s="17" t="str">
        <x:v>not_sampled</x:v>
      </x:c>
    </x:row>
    <x:row r="987" ht="46" customHeight="1">
      <x:c r="A987" s="17" t="str">
        <x:v>us</x:v>
      </x:c>
      <x:c r="B987" s="17" t="str">
        <x:v>Syracuse University</x:v>
      </x:c>
      <x:c r="C987" s="17" t="str">
        <x:v>IPEDS discovery signal: Computer Engineering, General (CIP 14.0901)</x:v>
      </x:c>
      <x:c r="D987" s="17" t="str">
        <x:v>Unclear</x:v>
      </x:c>
      <x:c r="E987" s="17" t="str">
        <x:v>stage2_screened_out</x:v>
      </x:c>
      <x:c r="F987" s="17" t="str">
        <x:v>Only one bounded registry/program-code signal was present; no independent topical, Calendar, current-faculty, or first-audit signal was recovered.</x:v>
      </x:c>
      <x:c r="G987" s="17" t="str">
        <x:v>Does the current official catalog contain a research graduate program matching the applicant's topics?</x:v>
      </x:c>
      <x:c r="H987" s="17" t="str">
        <x:v>https://www.syracuse.edu</x:v>
      </x:c>
      <x:c r="I987" s="17" t="str">
        <x:v>not_sampled</x:v>
      </x:c>
      <x:c r="J987" s="17" t="str">
        <x:v>not_sampled</x:v>
      </x:c>
    </x:row>
    <x:row r="988" ht="46" customHeight="1">
      <x:c r="A988" s="17" t="str">
        <x:v>us</x:v>
      </x:c>
      <x:c r="B988" s="17" t="str">
        <x:v>Syracuse University</x:v>
      </x:c>
      <x:c r="C988" s="17" t="str">
        <x:v>IPEDS discovery signal: Computer Systems Networking and Telecommunications (CIP 11.0901)</x:v>
      </x:c>
      <x:c r="D988" s="17" t="str">
        <x:v>Unclear</x:v>
      </x:c>
      <x:c r="E988" s="17" t="str">
        <x:v>stage2_screened_out</x:v>
      </x:c>
      <x:c r="F988" s="17" t="str">
        <x:v>Only one bounded registry/program-code signal was present; no independent topical, Calendar, current-faculty, or first-audit signal was recovered.</x:v>
      </x:c>
      <x:c r="G988" s="17" t="str">
        <x:v>Does the current official catalog contain a research graduate program matching the applicant's topics?</x:v>
      </x:c>
      <x:c r="H988" s="17" t="str">
        <x:v>https://www.syracuse.edu</x:v>
      </x:c>
      <x:c r="I988" s="17" t="str">
        <x:v>not_sampled</x:v>
      </x:c>
      <x:c r="J988" s="17" t="str">
        <x:v>not_sampled</x:v>
      </x:c>
    </x:row>
    <x:row r="989" ht="46" customHeight="1">
      <x:c r="A989" s="17" t="str">
        <x:v>us</x:v>
      </x:c>
      <x:c r="B989" s="17" t="str">
        <x:v>Syracuse University</x:v>
      </x:c>
      <x:c r="C989" s="17" t="str">
        <x:v>IPEDS discovery signal: Electrical and Electronics Engineering (CIP 14.1001)</x:v>
      </x:c>
      <x:c r="D989" s="17" t="str">
        <x:v>Unclear</x:v>
      </x:c>
      <x:c r="E989" s="17" t="str">
        <x:v>stage2_screened_out</x:v>
      </x:c>
      <x:c r="F989" s="17" t="str">
        <x:v>Only one bounded registry/program-code signal was present; no independent topical, Calendar, current-faculty, or first-audit signal was recovered.</x:v>
      </x:c>
      <x:c r="G989" s="17" t="str">
        <x:v>Does the current official catalog contain a research graduate program matching the applicant's topics?</x:v>
      </x:c>
      <x:c r="H989" s="17" t="str">
        <x:v>https://www.syracuse.edu</x:v>
      </x:c>
      <x:c r="I989" s="17" t="str">
        <x:v>not_sampled</x:v>
      </x:c>
      <x:c r="J989" s="17" t="str">
        <x:v>not_sampled</x:v>
      </x:c>
    </x:row>
    <x:row r="990" ht="46" customHeight="1">
      <x:c r="A990" s="17" t="str">
        <x:v>us</x:v>
      </x:c>
      <x:c r="B990" s="17" t="str">
        <x:v>Syracuse University</x:v>
      </x:c>
      <x:c r="C990" s="17" t="str">
        <x:v>IPEDS discovery signal: Informatics (CIP 11.0104)</x:v>
      </x:c>
      <x:c r="D990" s="17" t="str">
        <x:v>Unclear</x:v>
      </x:c>
      <x:c r="E990" s="17" t="str">
        <x:v>stage2_screened_out</x:v>
      </x:c>
      <x:c r="F990" s="17" t="str">
        <x:v>Only one bounded registry/program-code signal was present; no independent topical, Calendar, current-faculty, or first-audit signal was recovered.</x:v>
      </x:c>
      <x:c r="G990" s="17" t="str">
        <x:v>Does the current official catalog contain a research graduate program matching the applicant's topics?</x:v>
      </x:c>
      <x:c r="H990" s="17" t="str">
        <x:v>https://www.syracuse.edu</x:v>
      </x:c>
      <x:c r="I990" s="17" t="str">
        <x:v>not_sampled</x:v>
      </x:c>
      <x:c r="J990" s="17" t="str">
        <x:v>not_sampled</x:v>
      </x:c>
    </x:row>
    <x:row r="991" ht="46" customHeight="1">
      <x:c r="A991" s="17" t="str">
        <x:v>us</x:v>
      </x:c>
      <x:c r="B991" s="17" t="str">
        <x:v>Syracuse University</x:v>
      </x:c>
      <x:c r="C991" s="17" t="str">
        <x:v>IPEDS discovery signal: Information Science/Studies (CIP 11.0401)</x:v>
      </x:c>
      <x:c r="D991" s="17" t="str">
        <x:v>Unclear</x:v>
      </x:c>
      <x:c r="E991" s="17" t="str">
        <x:v>stage2_screened_out</x:v>
      </x:c>
      <x:c r="F991" s="17" t="str">
        <x:v>Only one bounded registry/program-code signal was present; no independent topical, Calendar, current-faculty, or first-audit signal was recovered.</x:v>
      </x:c>
      <x:c r="G991" s="17" t="str">
        <x:v>Does the current official catalog contain a research graduate program matching the applicant's topics?</x:v>
      </x:c>
      <x:c r="H991" s="17" t="str">
        <x:v>https://www.syracuse.edu</x:v>
      </x:c>
      <x:c r="I991" s="17" t="str">
        <x:v>not_sampled</x:v>
      </x:c>
      <x:c r="J991" s="17" t="str">
        <x:v>not_sampled</x:v>
      </x:c>
    </x:row>
    <x:row r="992" ht="46" customHeight="1">
      <x:c r="A992" s="17" t="str">
        <x:v>us</x:v>
      </x:c>
      <x:c r="B992" s="17" t="str">
        <x:v>Talladega College</x:v>
      </x:c>
      <x:c r="C992" s="17" t="str">
        <x:v>IPEDS discovery signal: Computer and Information Systems Security/Auditing/Information Assurance (CIP 11.1003)</x:v>
      </x:c>
      <x:c r="D992" s="17" t="str">
        <x:v>Unclear</x:v>
      </x:c>
      <x:c r="E992" s="17" t="str">
        <x:v>stage2_screened_out</x:v>
      </x:c>
      <x:c r="F992" s="17" t="str">
        <x:v>Only one bounded registry/program-code signal was present; no independent topical, Calendar, current-faculty, or first-audit signal was recovered.</x:v>
      </x:c>
      <x:c r="G992" s="17" t="str">
        <x:v>Does the current official catalog contain a research graduate program matching the applicant's topics?</x:v>
      </x:c>
      <x:c r="H992" s="17" t="str">
        <x:v>https://www.talladega.edu</x:v>
      </x:c>
      <x:c r="I992" s="17" t="str">
        <x:v>not_sampled</x:v>
      </x:c>
      <x:c r="J992" s="17" t="str">
        <x:v>not_sampled</x:v>
      </x:c>
    </x:row>
    <x:row r="993" ht="46" customHeight="1">
      <x:c r="A993" s="17" t="str">
        <x:v>us</x:v>
      </x:c>
      <x:c r="B993" s="17" t="str">
        <x:v>Tarleton State University</x:v>
      </x:c>
      <x:c r="C993" s="17" t="str">
        <x:v>IPEDS discovery signal: Computer Engineering, General (CIP 14.0901)</x:v>
      </x:c>
      <x:c r="D993" s="17" t="str">
        <x:v>Unclear</x:v>
      </x:c>
      <x:c r="E993" s="17" t="str">
        <x:v>stage2_screened_out</x:v>
      </x:c>
      <x:c r="F993" s="17" t="str">
        <x:v>Only one bounded registry/program-code signal was present; no independent topical, Calendar, current-faculty, or first-audit signal was recovered.</x:v>
      </x:c>
      <x:c r="G993" s="17" t="str">
        <x:v>Does the current official catalog contain a research graduate program matching the applicant's topics?</x:v>
      </x:c>
      <x:c r="H993" s="17" t="str">
        <x:v>https://www.tarleton.edu</x:v>
      </x:c>
      <x:c r="I993" s="17" t="str">
        <x:v>not_sampled</x:v>
      </x:c>
      <x:c r="J993" s="17" t="str">
        <x:v>not_sampled</x:v>
      </x:c>
    </x:row>
    <x:row r="994" ht="46" customHeight="1">
      <x:c r="A994" s="17" t="str">
        <x:v>us</x:v>
      </x:c>
      <x:c r="B994" s="17" t="str">
        <x:v>Tarleton State University</x:v>
      </x:c>
      <x:c r="C994" s="17" t="str">
        <x:v>IPEDS discovery signal: Information Science/Studies (CIP 11.0401)</x:v>
      </x:c>
      <x:c r="D994" s="17" t="str">
        <x:v>Unclear</x:v>
      </x:c>
      <x:c r="E994" s="17" t="str">
        <x:v>stage2_screened_out</x:v>
      </x:c>
      <x:c r="F994" s="17" t="str">
        <x:v>Only one bounded registry/program-code signal was present; no independent topical, Calendar, current-faculty, or first-audit signal was recovered.</x:v>
      </x:c>
      <x:c r="G994" s="17" t="str">
        <x:v>Does the current official catalog contain a research graduate program matching the applicant's topics?</x:v>
      </x:c>
      <x:c r="H994" s="17" t="str">
        <x:v>https://www.tarleton.edu</x:v>
      </x:c>
      <x:c r="I994" s="17" t="str">
        <x:v>not_sampled</x:v>
      </x:c>
      <x:c r="J994" s="17" t="str">
        <x:v>not_sampled</x:v>
      </x:c>
    </x:row>
    <x:row r="995" ht="46" customHeight="1">
      <x:c r="A995" s="17" t="str">
        <x:v>us</x:v>
      </x:c>
      <x:c r="B995" s="17" t="str">
        <x:v>Temple University</x:v>
      </x:c>
      <x:c r="C995" s="17" t="str">
        <x:v>IPEDS discovery signal: Computer and Information Sciences, General (CIP 11.0101)</x:v>
      </x:c>
      <x:c r="D995" s="17" t="str">
        <x:v>Unclear</x:v>
      </x:c>
      <x:c r="E995" s="17" t="str">
        <x:v>stage2_screened_out</x:v>
      </x:c>
      <x:c r="F995" s="17" t="str">
        <x:v>Duplicate mechanical discovery signal consolidated into one institution-level catalog review candidate.</x:v>
      </x:c>
      <x:c r="G995" s="17" t="str">
        <x:v>Does the current official catalog contain a research graduate program matching the applicant's topics?</x:v>
      </x:c>
      <x:c r="H995" s="17" t="str">
        <x:v>https://www.temple.edu</x:v>
      </x:c>
      <x:c r="I995" s="17" t="str">
        <x:v>not_sampled</x:v>
      </x:c>
      <x:c r="J995" s="17" t="str">
        <x:v>not_sampled</x:v>
      </x:c>
    </x:row>
    <x:row r="996" ht="46" customHeight="1">
      <x:c r="A996" s="17" t="str">
        <x:v>us</x:v>
      </x:c>
      <x:c r="B996" s="17" t="str">
        <x:v>Temple University</x:v>
      </x:c>
      <x:c r="C996" s="17" t="str">
        <x:v>IPEDS discovery signal: Electrical and Electronics Engineering (CIP 14.1001)</x:v>
      </x:c>
      <x:c r="D996" s="17" t="str">
        <x:v>Unclear</x:v>
      </x:c>
      <x:c r="E996" s="17" t="str">
        <x:v>stage2_screened_out</x:v>
      </x:c>
      <x:c r="F996" s="17" t="str">
        <x:v>Duplicate mechanical discovery signal consolidated into one institution-level catalog review candidate.</x:v>
      </x:c>
      <x:c r="G996" s="17" t="str">
        <x:v>Does the current official catalog contain a research graduate program matching the applicant's topics?</x:v>
      </x:c>
      <x:c r="H996" s="17" t="str">
        <x:v>https://www.temple.edu</x:v>
      </x:c>
      <x:c r="I996" s="17" t="str">
        <x:v>not_sampled</x:v>
      </x:c>
      <x:c r="J996" s="17" t="str">
        <x:v>not_sampled</x:v>
      </x:c>
    </x:row>
    <x:row r="997" ht="46" customHeight="1">
      <x:c r="A997" s="17" t="str">
        <x:v>us</x:v>
      </x:c>
      <x:c r="B997" s="17" t="str">
        <x:v>Temple University</x:v>
      </x:c>
      <x:c r="C997" s="17" t="str">
        <x:v>IPEDS discovery signal: Information Technology (CIP 11.0103)</x:v>
      </x:c>
      <x:c r="D997" s="17" t="str">
        <x:v>Unclear</x:v>
      </x:c>
      <x:c r="E997" s="17" t="str">
        <x:v>stage2_screened_out</x:v>
      </x:c>
      <x:c r="F997" s="17" t="str">
        <x:v>Duplicate mechanical discovery signal consolidated into one institution-level catalog review candidate.</x:v>
      </x:c>
      <x:c r="G997" s="17" t="str">
        <x:v>Does the current official catalog contain a research graduate program matching the applicant's topics?</x:v>
      </x:c>
      <x:c r="H997" s="17" t="str">
        <x:v>https://www.temple.edu</x:v>
      </x:c>
      <x:c r="I997" s="17" t="str">
        <x:v>not_sampled</x:v>
      </x:c>
      <x:c r="J997" s="17" t="str">
        <x:v>not_sampled</x:v>
      </x:c>
    </x:row>
    <x:row r="998" ht="46" customHeight="1">
      <x:c r="A998" s="17" t="str">
        <x:v>us</x:v>
      </x:c>
      <x:c r="B998" s="17" t="str">
        <x:v>Tennessee State University</x:v>
      </x:c>
      <x:c r="C998" s="17" t="str">
        <x:v>IPEDS discovery signal: Computer Engineering, General (CIP 14.0901)</x:v>
      </x:c>
      <x:c r="D998" s="17" t="str">
        <x:v>Unclear</x:v>
      </x:c>
      <x:c r="E998" s="17" t="str">
        <x:v>stage2_screened_out</x:v>
      </x:c>
      <x:c r="F998" s="17" t="str">
        <x:v>Only one bounded registry/program-code signal was present; no independent topical, Calendar, current-faculty, or first-audit signal was recovered.</x:v>
      </x:c>
      <x:c r="G998" s="17" t="str">
        <x:v>Does the current official catalog contain a research graduate program matching the applicant's topics?</x:v>
      </x:c>
      <x:c r="H998" s="17" t="str">
        <x:v>https://www.tnstate.edu</x:v>
      </x:c>
      <x:c r="I998" s="17" t="str">
        <x:v>not_sampled</x:v>
      </x:c>
      <x:c r="J998" s="17" t="str">
        <x:v>not_sampled</x:v>
      </x:c>
    </x:row>
    <x:row r="999" ht="46" customHeight="1">
      <x:c r="A999" s="17" t="str">
        <x:v>us</x:v>
      </x:c>
      <x:c r="B999" s="17" t="str">
        <x:v>Tennessee State University</x:v>
      </x:c>
      <x:c r="C999" s="17" t="str">
        <x:v>IPEDS discovery signal: Computer Science (CIP 11.0701)</x:v>
      </x:c>
      <x:c r="D999" s="17" t="str">
        <x:v>Unclear</x:v>
      </x:c>
      <x:c r="E999" s="17" t="str">
        <x:v>stage2_screened_out</x:v>
      </x:c>
      <x:c r="F999" s="17" t="str">
        <x:v>Only one bounded registry/program-code signal was present; no independent topical, Calendar, current-faculty, or first-audit signal was recovered.</x:v>
      </x:c>
      <x:c r="G999" s="17" t="str">
        <x:v>Does the current official catalog contain a research graduate program matching the applicant's topics?</x:v>
      </x:c>
      <x:c r="H999" s="17" t="str">
        <x:v>https://www.tnstate.edu</x:v>
      </x:c>
      <x:c r="I999" s="17" t="str">
        <x:v>not_sampled</x:v>
      </x:c>
      <x:c r="J999" s="17" t="str">
        <x:v>not_sampled</x:v>
      </x:c>
    </x:row>
    <x:row r="1000" ht="46" customHeight="1">
      <x:c r="A1000" s="17" t="str">
        <x:v>us</x:v>
      </x:c>
      <x:c r="B1000" s="17" t="str">
        <x:v>Tennessee Technological University</x:v>
      </x:c>
      <x:c r="C1000" s="17" t="str">
        <x:v>IPEDS discovery signal: Electrical and Electronics Engineering (CIP 14.1001)</x:v>
      </x:c>
      <x:c r="D1000" s="17" t="str">
        <x:v>Unclear</x:v>
      </x:c>
      <x:c r="E1000" s="17" t="str">
        <x:v>stage2_screened_out</x:v>
      </x:c>
      <x:c r="F1000" s="17" t="str">
        <x:v>Duplicate mechanical discovery signal consolidated into one institution-level catalog review candidate.</x:v>
      </x:c>
      <x:c r="G1000" s="17" t="str">
        <x:v>Does the current official catalog contain a research graduate program matching the applicant's topics?</x:v>
      </x:c>
      <x:c r="H1000" s="17" t="str">
        <x:v>https://www.tntech.edu</x:v>
      </x:c>
      <x:c r="I1000" s="17" t="str">
        <x:v>not_sampled</x:v>
      </x:c>
      <x:c r="J1000" s="17" t="str">
        <x:v>not_sampled</x:v>
      </x:c>
    </x:row>
    <x:row r="1001" ht="46" customHeight="1">
      <x:c r="A1001" s="17" t="str">
        <x:v>us</x:v>
      </x:c>
      <x:c r="B1001" s="17" t="str">
        <x:v>Texas A &amp; M International University</x:v>
      </x:c>
      <x:c r="C1001" s="17" t="str">
        <x:v>IPEDS discovery signal: Information Science/Studies (CIP 11.0401)</x:v>
      </x:c>
      <x:c r="D1001" s="17" t="str">
        <x:v>Unclear</x:v>
      </x:c>
      <x:c r="E1001" s="17" t="str">
        <x:v>stage2_screened_out</x:v>
      </x:c>
      <x:c r="F1001" s="17" t="str">
        <x:v>Only one bounded registry/program-code signal was present; no independent topical, Calendar, current-faculty, or first-audit signal was recovered.</x:v>
      </x:c>
      <x:c r="G1001" s="17" t="str">
        <x:v>Does the current official catalog contain a research graduate program matching the applicant's topics?</x:v>
      </x:c>
      <x:c r="H1001" s="17" t="str">
        <x:v>https://www.tamiu.edu</x:v>
      </x:c>
      <x:c r="I1001" s="17" t="str">
        <x:v>not_sampled</x:v>
      </x:c>
      <x:c r="J1001" s="17" t="str">
        <x:v>not_sampled</x:v>
      </x:c>
    </x:row>
    <x:row r="1002" ht="46" customHeight="1">
      <x:c r="A1002" s="17" t="str">
        <x:v>us</x:v>
      </x:c>
      <x:c r="B1002" s="17" t="str">
        <x:v>Texas A&amp;M University-Central Texas</x:v>
      </x:c>
      <x:c r="C1002" s="17" t="str">
        <x:v>IPEDS discovery signal: Information Science/Studies (CIP 11.0401)</x:v>
      </x:c>
      <x:c r="D1002" s="17" t="str">
        <x:v>Unclear</x:v>
      </x:c>
      <x:c r="E1002" s="17" t="str">
        <x:v>stage2_screened_out</x:v>
      </x:c>
      <x:c r="F1002" s="17" t="str">
        <x:v>Only one bounded registry/program-code signal was present; no independent topical, Calendar, current-faculty, or first-audit signal was recovered.</x:v>
      </x:c>
      <x:c r="G1002" s="17" t="str">
        <x:v>Does the current official catalog contain a research graduate program matching the applicant's topics?</x:v>
      </x:c>
      <x:c r="H1002" s="17" t="str">
        <x:v>https://tamuct.edu</x:v>
      </x:c>
      <x:c r="I1002" s="17" t="str">
        <x:v>not_sampled</x:v>
      </x:c>
      <x:c r="J1002" s="17" t="str">
        <x:v>not_sampled</x:v>
      </x:c>
    </x:row>
    <x:row r="1003" ht="46" customHeight="1">
      <x:c r="A1003" s="17" t="str">
        <x:v>us</x:v>
      </x:c>
      <x:c r="B1003" s="17" t="str">
        <x:v>Texas A&amp;M University-College Station</x:v>
      </x:c>
      <x:c r="C1003" s="17" t="str">
        <x:v>IPEDS discovery signal: Computer Science (CIP 11.0701)</x:v>
      </x:c>
      <x:c r="D1003" s="17" t="str">
        <x:v>Unclear</x:v>
      </x:c>
      <x:c r="E1003" s="17" t="str">
        <x:v>stage2_screened_out</x:v>
      </x:c>
      <x:c r="F1003" s="17" t="str">
        <x:v>Duplicate mechanical discovery signal consolidated into one institution-level catalog review candidate.</x:v>
      </x:c>
      <x:c r="G1003" s="17" t="str">
        <x:v>Does the current official catalog contain a research graduate program matching the applicant's topics?</x:v>
      </x:c>
      <x:c r="H1003" s="17" t="str">
        <x:v>https://www.tamu.edu</x:v>
      </x:c>
      <x:c r="I1003" s="17" t="str">
        <x:v>not_sampled</x:v>
      </x:c>
      <x:c r="J1003" s="17" t="str">
        <x:v>not_sampled</x:v>
      </x:c>
    </x:row>
    <x:row r="1004" ht="46" customHeight="1">
      <x:c r="A1004" s="17" t="str">
        <x:v>us</x:v>
      </x:c>
      <x:c r="B1004" s="17" t="str">
        <x:v>Texas A&amp;M University-College Station</x:v>
      </x:c>
      <x:c r="C1004" s="17" t="str">
        <x:v>IPEDS discovery signal: Data Science, General (CIP 30.7001)</x:v>
      </x:c>
      <x:c r="D1004" s="17" t="str">
        <x:v>Unclear</x:v>
      </x:c>
      <x:c r="E1004" s="17" t="str">
        <x:v>stage2_screened_out</x:v>
      </x:c>
      <x:c r="F1004" s="17" t="str">
        <x:v>Duplicate mechanical discovery signal consolidated into one institution-level catalog review candidate.</x:v>
      </x:c>
      <x:c r="G1004" s="17" t="str">
        <x:v>Does the current official catalog contain a research graduate program matching the applicant's topics?</x:v>
      </x:c>
      <x:c r="H1004" s="17" t="str">
        <x:v>https://www.tamu.edu</x:v>
      </x:c>
      <x:c r="I1004" s="17" t="str">
        <x:v>not_sampled</x:v>
      </x:c>
      <x:c r="J1004" s="17" t="str">
        <x:v>not_sampled</x:v>
      </x:c>
    </x:row>
    <x:row r="1005" ht="46" customHeight="1">
      <x:c r="A1005" s="17" t="str">
        <x:v>us</x:v>
      </x:c>
      <x:c r="B1005" s="17" t="str">
        <x:v>Texas A&amp;M University-College Station</x:v>
      </x:c>
      <x:c r="C1005" s="17" t="str">
        <x:v>IPEDS discovery signal: Electrical and Electronics Engineering (CIP 14.1001)</x:v>
      </x:c>
      <x:c r="D1005" s="17" t="str">
        <x:v>Unclear</x:v>
      </x:c>
      <x:c r="E1005" s="17" t="str">
        <x:v>stage2_screened_out</x:v>
      </x:c>
      <x:c r="F1005" s="17" t="str">
        <x:v>Duplicate mechanical discovery signal consolidated into one institution-level catalog review candidate.</x:v>
      </x:c>
      <x:c r="G1005" s="17" t="str">
        <x:v>Does the current official catalog contain a research graduate program matching the applicant's topics?</x:v>
      </x:c>
      <x:c r="H1005" s="17" t="str">
        <x:v>https://www.tamu.edu</x:v>
      </x:c>
      <x:c r="I1005" s="17" t="str">
        <x:v>not_sampled</x:v>
      </x:c>
      <x:c r="J1005" s="17" t="str">
        <x:v>not_sampled</x:v>
      </x:c>
    </x:row>
    <x:row r="1006" ht="46" customHeight="1">
      <x:c r="A1006" s="17" t="str">
        <x:v>us</x:v>
      </x:c>
      <x:c r="B1006" s="17" t="str">
        <x:v>Texas A&amp;M University-College Station</x:v>
      </x:c>
      <x:c r="C1006" s="17" t="str">
        <x:v>IPEDS discovery signal: Information Science/Studies (CIP 11.0401)</x:v>
      </x:c>
      <x:c r="D1006" s="17" t="str">
        <x:v>Unclear</x:v>
      </x:c>
      <x:c r="E1006" s="17" t="str">
        <x:v>stage2_screened_out</x:v>
      </x:c>
      <x:c r="F1006" s="17" t="str">
        <x:v>Duplicate mechanical discovery signal consolidated into one institution-level catalog review candidate.</x:v>
      </x:c>
      <x:c r="G1006" s="17" t="str">
        <x:v>Does the current official catalog contain a research graduate program matching the applicant's topics?</x:v>
      </x:c>
      <x:c r="H1006" s="17" t="str">
        <x:v>https://www.tamu.edu</x:v>
      </x:c>
      <x:c r="I1006" s="17" t="str">
        <x:v>not_sampled</x:v>
      </x:c>
      <x:c r="J1006" s="17" t="str">
        <x:v>not_sampled</x:v>
      </x:c>
    </x:row>
    <x:row r="1007" ht="46" customHeight="1">
      <x:c r="A1007" s="17" t="str">
        <x:v>us</x:v>
      </x:c>
      <x:c r="B1007" s="17" t="str">
        <x:v>Texas A &amp; M University-Corpus Christi</x:v>
      </x:c>
      <x:c r="C1007" s="17" t="str">
        <x:v>IPEDS discovery signal: Computer and Information Sciences, General (CIP 11.0101)</x:v>
      </x:c>
      <x:c r="D1007" s="17" t="str">
        <x:v>Unclear</x:v>
      </x:c>
      <x:c r="E1007" s="17" t="str">
        <x:v>stage2_screened_out</x:v>
      </x:c>
      <x:c r="F1007" s="17" t="str">
        <x:v>Only one bounded registry/program-code signal was present; no independent topical, Calendar, current-faculty, or first-audit signal was recovered.</x:v>
      </x:c>
      <x:c r="G1007" s="17" t="str">
        <x:v>Does the current official catalog contain a research graduate program matching the applicant's topics?</x:v>
      </x:c>
      <x:c r="H1007" s="17" t="str">
        <x:v>https://www.tamucc.edu</x:v>
      </x:c>
      <x:c r="I1007" s="17" t="str">
        <x:v>not_sampled</x:v>
      </x:c>
      <x:c r="J1007" s="17" t="str">
        <x:v>not_sampled</x:v>
      </x:c>
    </x:row>
    <x:row r="1008" ht="46" customHeight="1">
      <x:c r="A1008" s="17" t="str">
        <x:v>us</x:v>
      </x:c>
      <x:c r="B1008" s="17" t="str">
        <x:v>Texas A&amp;M University-Kingsville</x:v>
      </x:c>
      <x:c r="C1008" s="17" t="str">
        <x:v>IPEDS discovery signal: Computer and Information Sciences, General (CIP 11.0101)</x:v>
      </x:c>
      <x:c r="D1008" s="17" t="str">
        <x:v>Unclear</x:v>
      </x:c>
      <x:c r="E1008" s="17" t="str">
        <x:v>stage2_screened_out</x:v>
      </x:c>
      <x:c r="F1008" s="17" t="str">
        <x:v>Only one bounded registry/program-code signal was present; no independent topical, Calendar, current-faculty, or first-audit signal was recovered.</x:v>
      </x:c>
      <x:c r="G1008" s="17" t="str">
        <x:v>Does the current official catalog contain a research graduate program matching the applicant's topics?</x:v>
      </x:c>
      <x:c r="H1008" s="17" t="str">
        <x:v>https://www.tamuk.edu</x:v>
      </x:c>
      <x:c r="I1008" s="17" t="str">
        <x:v>not_sampled</x:v>
      </x:c>
      <x:c r="J1008" s="17" t="str">
        <x:v>not_sampled</x:v>
      </x:c>
    </x:row>
    <x:row r="1009" ht="46" customHeight="1">
      <x:c r="A1009" s="17" t="str">
        <x:v>us</x:v>
      </x:c>
      <x:c r="B1009" s="17" t="str">
        <x:v>Texas A&amp;M University-Kingsville</x:v>
      </x:c>
      <x:c r="C1009" s="17" t="str">
        <x:v>IPEDS discovery signal: Electrical and Electronics Engineering (CIP 14.1001)</x:v>
      </x:c>
      <x:c r="D1009" s="17" t="str">
        <x:v>Unclear</x:v>
      </x:c>
      <x:c r="E1009" s="17" t="str">
        <x:v>stage2_screened_out</x:v>
      </x:c>
      <x:c r="F1009" s="17" t="str">
        <x:v>Only one bounded registry/program-code signal was present; no independent topical, Calendar, current-faculty, or first-audit signal was recovered.</x:v>
      </x:c>
      <x:c r="G1009" s="17" t="str">
        <x:v>Does the current official catalog contain a research graduate program matching the applicant's topics?</x:v>
      </x:c>
      <x:c r="H1009" s="17" t="str">
        <x:v>https://www.tamuk.edu</x:v>
      </x:c>
      <x:c r="I1009" s="17" t="str">
        <x:v>not_sampled</x:v>
      </x:c>
      <x:c r="J1009" s="17" t="str">
        <x:v>not_sampled</x:v>
      </x:c>
    </x:row>
    <x:row r="1010" ht="46" customHeight="1">
      <x:c r="A1010" s="17" t="str">
        <x:v>us</x:v>
      </x:c>
      <x:c r="B1010" s="17" t="str">
        <x:v>Texas A&amp;M University-Kingsville</x:v>
      </x:c>
      <x:c r="C1010" s="17" t="str">
        <x:v>IPEDS discovery signal: Mechatronics, Robotics, and Automation Engineering (CIP 14.4201)</x:v>
      </x:c>
      <x:c r="D1010" s="17" t="str">
        <x:v>Unclear</x:v>
      </x:c>
      <x:c r="E1010" s="17" t="str">
        <x:v>stage2_screened_out</x:v>
      </x:c>
      <x:c r="F1010" s="17" t="str">
        <x:v>Only one bounded registry/program-code signal was present; no independent topical, Calendar, current-faculty, or first-audit signal was recovered.</x:v>
      </x:c>
      <x:c r="G1010" s="17" t="str">
        <x:v>Does the current official catalog contain a research graduate program matching the applicant's topics?</x:v>
      </x:c>
      <x:c r="H1010" s="17" t="str">
        <x:v>https://www.tamuk.edu</x:v>
      </x:c>
      <x:c r="I1010" s="17" t="str">
        <x:v>not_sampled</x:v>
      </x:c>
      <x:c r="J1010" s="17" t="str">
        <x:v>not_sampled</x:v>
      </x:c>
    </x:row>
    <x:row r="1011" ht="46" customHeight="1">
      <x:c r="A1011" s="17" t="str">
        <x:v>us</x:v>
      </x:c>
      <x:c r="B1011" s="17" t="str">
        <x:v>Texas A&amp;M University-San Antonio</x:v>
      </x:c>
      <x:c r="C1011" s="17" t="str">
        <x:v>IPEDS discovery signal: Computer Science (CIP 11.0701)</x:v>
      </x:c>
      <x:c r="D1011" s="17" t="str">
        <x:v>Unclear</x:v>
      </x:c>
      <x:c r="E1011" s="17" t="str">
        <x:v>stage2_screened_out</x:v>
      </x:c>
      <x:c r="F1011" s="17" t="str">
        <x:v>Only one bounded registry/program-code signal was present; no independent topical, Calendar, current-faculty, or first-audit signal was recovered.</x:v>
      </x:c>
      <x:c r="G1011" s="17" t="str">
        <x:v>Does the current official catalog contain a research graduate program matching the applicant's topics?</x:v>
      </x:c>
      <x:c r="H1011" s="17" t="str">
        <x:v>https://www.tamusa.edu</x:v>
      </x:c>
      <x:c r="I1011" s="17" t="str">
        <x:v>not_sampled</x:v>
      </x:c>
      <x:c r="J1011" s="17" t="str">
        <x:v>not_sampled</x:v>
      </x:c>
    </x:row>
    <x:row r="1012" ht="46" customHeight="1">
      <x:c r="A1012" s="17" t="str">
        <x:v>us</x:v>
      </x:c>
      <x:c r="B1012" s="17" t="str">
        <x:v>Texas Southern University</x:v>
      </x:c>
      <x:c r="C1012" s="17" t="str">
        <x:v>IPEDS discovery signal: Computer Science (CIP 11.0701)</x:v>
      </x:c>
      <x:c r="D1012" s="17" t="str">
        <x:v>Unclear</x:v>
      </x:c>
      <x:c r="E1012" s="17" t="str">
        <x:v>stage2_screened_out</x:v>
      </x:c>
      <x:c r="F1012" s="17" t="str">
        <x:v>Only one bounded registry/program-code signal was present; no independent topical, Calendar, current-faculty, or first-audit signal was recovered.</x:v>
      </x:c>
      <x:c r="G1012" s="17" t="str">
        <x:v>Does the current official catalog contain a research graduate program matching the applicant's topics?</x:v>
      </x:c>
      <x:c r="H1012" s="17" t="str">
        <x:v>https://www.tsu.edu</x:v>
      </x:c>
      <x:c r="I1012" s="17" t="str">
        <x:v>not_sampled</x:v>
      </x:c>
      <x:c r="J1012" s="17" t="str">
        <x:v>not_sampled</x:v>
      </x:c>
    </x:row>
    <x:row r="1013" ht="46" customHeight="1">
      <x:c r="A1013" s="17" t="str">
        <x:v>us</x:v>
      </x:c>
      <x:c r="B1013" s="17" t="str">
        <x:v>Texas State University</x:v>
      </x:c>
      <x:c r="C1013" s="17" t="str">
        <x:v>IPEDS discovery signal: Computer Science (CIP 11.0701)</x:v>
      </x:c>
      <x:c r="D1013" s="17" t="str">
        <x:v>Unclear</x:v>
      </x:c>
      <x:c r="E1013" s="17" t="str">
        <x:v>stage2_screened_out</x:v>
      </x:c>
      <x:c r="F1013" s="17" t="str">
        <x:v>Duplicate mechanical discovery signal consolidated into one institution-level catalog review candidate.</x:v>
      </x:c>
      <x:c r="G1013" s="17" t="str">
        <x:v>Does the current official catalog contain a research graduate program matching the applicant's topics?</x:v>
      </x:c>
      <x:c r="H1013" s="17" t="str">
        <x:v>https://www.txst.edu</x:v>
      </x:c>
      <x:c r="I1013" s="17" t="str">
        <x:v>not_sampled</x:v>
      </x:c>
      <x:c r="J1013" s="17" t="str">
        <x:v>not_sampled</x:v>
      </x:c>
    </x:row>
    <x:row r="1014" ht="46" customHeight="1">
      <x:c r="A1014" s="17" t="str">
        <x:v>us</x:v>
      </x:c>
      <x:c r="B1014" s="17" t="str">
        <x:v>Texas State University</x:v>
      </x:c>
      <x:c r="C1014" s="17" t="str">
        <x:v>IPEDS discovery signal: Information Science/Studies (CIP 11.0401)</x:v>
      </x:c>
      <x:c r="D1014" s="17" t="str">
        <x:v>Unclear</x:v>
      </x:c>
      <x:c r="E1014" s="17" t="str">
        <x:v>stage2_screened_out</x:v>
      </x:c>
      <x:c r="F1014" s="17" t="str">
        <x:v>Duplicate mechanical discovery signal consolidated into one institution-level catalog review candidate.</x:v>
      </x:c>
      <x:c r="G1014" s="17" t="str">
        <x:v>Does the current official catalog contain a research graduate program matching the applicant's topics?</x:v>
      </x:c>
      <x:c r="H1014" s="17" t="str">
        <x:v>https://www.txst.edu</x:v>
      </x:c>
      <x:c r="I1014" s="17" t="str">
        <x:v>not_sampled</x:v>
      </x:c>
      <x:c r="J1014" s="17" t="str">
        <x:v>not_sampled</x:v>
      </x:c>
    </x:row>
    <x:row r="1015" ht="46" customHeight="1">
      <x:c r="A1015" s="17" t="str">
        <x:v>us</x:v>
      </x:c>
      <x:c r="B1015" s="17" t="str">
        <x:v>Texas Tech University</x:v>
      </x:c>
      <x:c r="C1015" s="17" t="str">
        <x:v>IPEDS discovery signal: Computer and Information Sciences, General (CIP 11.0101)</x:v>
      </x:c>
      <x:c r="D1015" s="17" t="str">
        <x:v>Unclear</x:v>
      </x:c>
      <x:c r="E1015" s="17" t="str">
        <x:v>stage2_screened_out</x:v>
      </x:c>
      <x:c r="F1015" s="17" t="str">
        <x:v>Duplicate mechanical discovery signal consolidated into one institution-level catalog review candidate.</x:v>
      </x:c>
      <x:c r="G1015" s="17" t="str">
        <x:v>Does the current official catalog contain a research graduate program matching the applicant's topics?</x:v>
      </x:c>
      <x:c r="H1015" s="17" t="str">
        <x:v>https://www.ttu.edu</x:v>
      </x:c>
      <x:c r="I1015" s="17" t="str">
        <x:v>not_sampled</x:v>
      </x:c>
      <x:c r="J1015" s="17" t="str">
        <x:v>not_sampled</x:v>
      </x:c>
    </x:row>
    <x:row r="1016" ht="46" customHeight="1">
      <x:c r="A1016" s="17" t="str">
        <x:v>us</x:v>
      </x:c>
      <x:c r="B1016" s="17" t="str">
        <x:v>Texas Tech University</x:v>
      </x:c>
      <x:c r="C1016" s="17" t="str">
        <x:v>IPEDS discovery signal: Data Science, General (CIP 30.7001)</x:v>
      </x:c>
      <x:c r="D1016" s="17" t="str">
        <x:v>Unclear</x:v>
      </x:c>
      <x:c r="E1016" s="17" t="str">
        <x:v>stage2_screened_out</x:v>
      </x:c>
      <x:c r="F1016" s="17" t="str">
        <x:v>Duplicate mechanical discovery signal consolidated into one institution-level catalog review candidate.</x:v>
      </x:c>
      <x:c r="G1016" s="17" t="str">
        <x:v>Does the current official catalog contain a research graduate program matching the applicant's topics?</x:v>
      </x:c>
      <x:c r="H1016" s="17" t="str">
        <x:v>https://www.ttu.edu</x:v>
      </x:c>
      <x:c r="I1016" s="17" t="str">
        <x:v>not_sampled</x:v>
      </x:c>
      <x:c r="J1016" s="17" t="str">
        <x:v>not_sampled</x:v>
      </x:c>
    </x:row>
    <x:row r="1017" ht="46" customHeight="1">
      <x:c r="A1017" s="17" t="str">
        <x:v>us</x:v>
      </x:c>
      <x:c r="B1017" s="17" t="str">
        <x:v>Texas Tech University</x:v>
      </x:c>
      <x:c r="C1017" s="17" t="str">
        <x:v>IPEDS discovery signal: Electrical and Electronics Engineering (CIP 14.1001)</x:v>
      </x:c>
      <x:c r="D1017" s="17" t="str">
        <x:v>Unclear</x:v>
      </x:c>
      <x:c r="E1017" s="17" t="str">
        <x:v>stage2_screened_out</x:v>
      </x:c>
      <x:c r="F1017" s="17" t="str">
        <x:v>Duplicate mechanical discovery signal consolidated into one institution-level catalog review candidate.</x:v>
      </x:c>
      <x:c r="G1017" s="17" t="str">
        <x:v>Does the current official catalog contain a research graduate program matching the applicant's topics?</x:v>
      </x:c>
      <x:c r="H1017" s="17" t="str">
        <x:v>https://www.ttu.edu</x:v>
      </x:c>
      <x:c r="I1017" s="17" t="str">
        <x:v>not_sampled</x:v>
      </x:c>
      <x:c r="J1017" s="17" t="str">
        <x:v>not_sampled</x:v>
      </x:c>
    </x:row>
    <x:row r="1018" ht="46" customHeight="1">
      <x:c r="A1018" s="17" t="str">
        <x:v>us</x:v>
      </x:c>
      <x:c r="B1018" s="17" t="str">
        <x:v>The Catholic University of America</x:v>
      </x:c>
      <x:c r="C1018" s="17" t="str">
        <x:v>IPEDS discovery signal: Computer Science (CIP 11.0701)</x:v>
      </x:c>
      <x:c r="D1018" s="17" t="str">
        <x:v>Unclear</x:v>
      </x:c>
      <x:c r="E1018" s="17" t="str">
        <x:v>stage2_screened_out</x:v>
      </x:c>
      <x:c r="F1018" s="17" t="str">
        <x:v>Only one bounded registry/program-code signal was present; no independent topical, Calendar, current-faculty, or first-audit signal was recovered.</x:v>
      </x:c>
      <x:c r="G1018" s="17" t="str">
        <x:v>Does the current official catalog contain a research graduate program matching the applicant's topics?</x:v>
      </x:c>
      <x:c r="H1018" s="17" t="str">
        <x:v>https://www.catholic.edu</x:v>
      </x:c>
      <x:c r="I1018" s="17" t="str">
        <x:v>not_sampled</x:v>
      </x:c>
      <x:c r="J1018" s="17" t="str">
        <x:v>not_sampled</x:v>
      </x:c>
    </x:row>
    <x:row r="1019" ht="46" customHeight="1">
      <x:c r="A1019" s="17" t="str">
        <x:v>us</x:v>
      </x:c>
      <x:c r="B1019" s="17" t="str">
        <x:v>The Catholic University of America</x:v>
      </x:c>
      <x:c r="C1019" s="17" t="str">
        <x:v>IPEDS discovery signal: Electrical and Electronics Engineering (CIP 14.1001)</x:v>
      </x:c>
      <x:c r="D1019" s="17" t="str">
        <x:v>Unclear</x:v>
      </x:c>
      <x:c r="E1019" s="17" t="str">
        <x:v>stage2_screened_out</x:v>
      </x:c>
      <x:c r="F1019" s="17" t="str">
        <x:v>Only one bounded registry/program-code signal was present; no independent topical, Calendar, current-faculty, or first-audit signal was recovered.</x:v>
      </x:c>
      <x:c r="G1019" s="17" t="str">
        <x:v>Does the current official catalog contain a research graduate program matching the applicant's topics?</x:v>
      </x:c>
      <x:c r="H1019" s="17" t="str">
        <x:v>https://www.catholic.edu</x:v>
      </x:c>
      <x:c r="I1019" s="17" t="str">
        <x:v>not_sampled</x:v>
      </x:c>
      <x:c r="J1019" s="17" t="str">
        <x:v>not_sampled</x:v>
      </x:c>
    </x:row>
    <x:row r="1020" ht="46" customHeight="1">
      <x:c r="A1020" s="17" t="str">
        <x:v>us</x:v>
      </x:c>
      <x:c r="B1020" s="17" t="str">
        <x:v>The Catholic University of America</x:v>
      </x:c>
      <x:c r="C1020" s="17" t="str">
        <x:v>IPEDS discovery signal: Information Science/Studies (CIP 11.0401)</x:v>
      </x:c>
      <x:c r="D1020" s="17" t="str">
        <x:v>Unclear</x:v>
      </x:c>
      <x:c r="E1020" s="17" t="str">
        <x:v>stage2_screened_out</x:v>
      </x:c>
      <x:c r="F1020" s="17" t="str">
        <x:v>Only one bounded registry/program-code signal was present; no independent topical, Calendar, current-faculty, or first-audit signal was recovered.</x:v>
      </x:c>
      <x:c r="G1020" s="17" t="str">
        <x:v>Does the current official catalog contain a research graduate program matching the applicant's topics?</x:v>
      </x:c>
      <x:c r="H1020" s="17" t="str">
        <x:v>https://www.catholic.edu</x:v>
      </x:c>
      <x:c r="I1020" s="17" t="str">
        <x:v>not_sampled</x:v>
      </x:c>
      <x:c r="J1020" s="17" t="str">
        <x:v>not_sampled</x:v>
      </x:c>
    </x:row>
    <x:row r="1021" ht="46" customHeight="1">
      <x:c r="A1021" s="17" t="str">
        <x:v>us</x:v>
      </x:c>
      <x:c r="B1021" s="17" t="str">
        <x:v>The College of Saint Rose</x:v>
      </x:c>
      <x:c r="C1021" s="17" t="str">
        <x:v>IPEDS discovery signal: Computer Science (CIP 11.0701)</x:v>
      </x:c>
      <x:c r="D1021" s="17" t="str">
        <x:v>Unclear</x:v>
      </x:c>
      <x:c r="E1021" s="17" t="str">
        <x:v>stage2_screened_out</x:v>
      </x:c>
      <x:c r="F1021" s="17" t="str">
        <x:v>Only one bounded registry/program-code signal was present; no independent topical, Calendar, current-faculty, or first-audit signal was recovered.</x:v>
      </x:c>
      <x:c r="G1021" s="17" t="str">
        <x:v>Does the current official catalog contain a research graduate program matching the applicant's topics?</x:v>
      </x:c>
      <x:c r="H1021" s="17" t="str">
        <x:v>https://www.strose.edu</x:v>
      </x:c>
      <x:c r="I1021" s="17" t="str">
        <x:v>not_sampled</x:v>
      </x:c>
      <x:c r="J1021" s="17" t="str">
        <x:v>not_sampled</x:v>
      </x:c>
    </x:row>
    <x:row r="1022" ht="46" customHeight="1">
      <x:c r="A1022" s="17" t="str">
        <x:v>us</x:v>
      </x:c>
      <x:c r="B1022" s="17" t="str">
        <x:v>The College of Saint Rose</x:v>
      </x:c>
      <x:c r="C1022" s="17" t="str">
        <x:v>IPEDS discovery signal: Information Technology (CIP 11.0103)</x:v>
      </x:c>
      <x:c r="D1022" s="17" t="str">
        <x:v>Unclear</x:v>
      </x:c>
      <x:c r="E1022" s="17" t="str">
        <x:v>stage2_screened_out</x:v>
      </x:c>
      <x:c r="F1022" s="17" t="str">
        <x:v>Only one bounded registry/program-code signal was present; no independent topical, Calendar, current-faculty, or first-audit signal was recovered.</x:v>
      </x:c>
      <x:c r="G1022" s="17" t="str">
        <x:v>Does the current official catalog contain a research graduate program matching the applicant's topics?</x:v>
      </x:c>
      <x:c r="H1022" s="17" t="str">
        <x:v>https://www.strose.edu</x:v>
      </x:c>
      <x:c r="I1022" s="17" t="str">
        <x:v>not_sampled</x:v>
      </x:c>
      <x:c r="J1022" s="17" t="str">
        <x:v>not_sampled</x:v>
      </x:c>
    </x:row>
    <x:row r="1023" ht="46" customHeight="1">
      <x:c r="A1023" s="17" t="str">
        <x:v>us</x:v>
      </x:c>
      <x:c r="B1023" s="17" t="str">
        <x:v>The Cooper Union for the Advancement of Science and Art</x:v>
      </x:c>
      <x:c r="C1023" s="17" t="str">
        <x:v>IPEDS discovery signal: Electrical and Electronics Engineering (CIP 14.1001)</x:v>
      </x:c>
      <x:c r="D1023" s="17" t="str">
        <x:v>Unclear</x:v>
      </x:c>
      <x:c r="E1023" s="17" t="str">
        <x:v>stage2_screened_out</x:v>
      </x:c>
      <x:c r="F1023" s="17" t="str">
        <x:v>Only one bounded registry/program-code signal was present; no independent topical, Calendar, current-faculty, or first-audit signal was recovered.</x:v>
      </x:c>
      <x:c r="G1023" s="17" t="str">
        <x:v>Does the current official catalog contain a research graduate program matching the applicant's topics?</x:v>
      </x:c>
      <x:c r="H1023" s="17" t="str">
        <x:v>https://www.cooper.edu</x:v>
      </x:c>
      <x:c r="I1023" s="17" t="str">
        <x:v>not_sampled</x:v>
      </x:c>
      <x:c r="J1023" s="17" t="str">
        <x:v>not_sampled</x:v>
      </x:c>
    </x:row>
    <x:row r="1024" ht="46" customHeight="1">
      <x:c r="A1024" s="17" t="str">
        <x:v>us</x:v>
      </x:c>
      <x:c r="B1024" s="17" t="str">
        <x:v>The University of Alabama</x:v>
      </x:c>
      <x:c r="C1024" s="17" t="str">
        <x:v>IPEDS discovery signal: Electrical and Electronics Engineering (CIP 14.1001)</x:v>
      </x:c>
      <x:c r="D1024" s="17" t="str">
        <x:v>Unclear</x:v>
      </x:c>
      <x:c r="E1024" s="17" t="str">
        <x:v>stage2_screened_out</x:v>
      </x:c>
      <x:c r="F1024" s="17" t="str">
        <x:v>Duplicate mechanical discovery signal consolidated into one institution-level catalog review candidate.</x:v>
      </x:c>
      <x:c r="G1024" s="17" t="str">
        <x:v>Does the current official catalog contain a research graduate program matching the applicant's topics?</x:v>
      </x:c>
      <x:c r="H1024" s="17" t="str">
        <x:v>https://www.ua.edu</x:v>
      </x:c>
      <x:c r="I1024" s="17" t="str">
        <x:v>not_sampled</x:v>
      </x:c>
      <x:c r="J1024" s="17" t="str">
        <x:v>not_sampled</x:v>
      </x:c>
    </x:row>
    <x:row r="1025" ht="46" customHeight="1">
      <x:c r="A1025" s="17" t="str">
        <x:v>us</x:v>
      </x:c>
      <x:c r="B1025" s="17" t="str">
        <x:v>The University of Findlay</x:v>
      </x:c>
      <x:c r="C1025" s="17" t="str">
        <x:v>IPEDS discovery signal: Computer and Information Systems Security/Auditing/Information Assurance (CIP 11.1003)</x:v>
      </x:c>
      <x:c r="D1025" s="17" t="str">
        <x:v>Unclear</x:v>
      </x:c>
      <x:c r="E1025" s="17" t="str">
        <x:v>stage2_screened_out</x:v>
      </x:c>
      <x:c r="F1025" s="17" t="str">
        <x:v>Only one bounded registry/program-code signal was present; no independent topical, Calendar, current-faculty, or first-audit signal was recovered.</x:v>
      </x:c>
      <x:c r="G1025" s="17" t="str">
        <x:v>Does the current official catalog contain a research graduate program matching the applicant's topics?</x:v>
      </x:c>
      <x:c r="H1025" s="17" t="str">
        <x:v>https://findlay.edu</x:v>
      </x:c>
      <x:c r="I1025" s="17" t="str">
        <x:v>not_sampled</x:v>
      </x:c>
      <x:c r="J1025" s="17" t="str">
        <x:v>not_sampled</x:v>
      </x:c>
    </x:row>
    <x:row r="1026" ht="46" customHeight="1">
      <x:c r="A1026" s="17" t="str">
        <x:v>us</x:v>
      </x:c>
      <x:c r="B1026" s="17" t="str">
        <x:v>The University of Montana</x:v>
      </x:c>
      <x:c r="C1026" s="17" t="str">
        <x:v>IPEDS discovery signal: Computer Science (CIP 11.0701)</x:v>
      </x:c>
      <x:c r="D1026" s="17" t="str">
        <x:v>Unclear</x:v>
      </x:c>
      <x:c r="E1026" s="17" t="str">
        <x:v>stage2_screened_out</x:v>
      </x:c>
      <x:c r="F1026" s="17" t="str">
        <x:v>Only one bounded registry/program-code signal was present; no independent topical, Calendar, current-faculty, or first-audit signal was recovered.</x:v>
      </x:c>
      <x:c r="G1026" s="17" t="str">
        <x:v>Does the current official catalog contain a research graduate program matching the applicant's topics?</x:v>
      </x:c>
      <x:c r="H1026" s="17" t="str">
        <x:v>https://www.umt.edu</x:v>
      </x:c>
      <x:c r="I1026" s="17" t="str">
        <x:v>not_sampled</x:v>
      </x:c>
      <x:c r="J1026" s="17" t="str">
        <x:v>not_sampled</x:v>
      </x:c>
    </x:row>
    <x:row r="1027" ht="46" customHeight="1">
      <x:c r="A1027" s="17" t="str">
        <x:v>us</x:v>
      </x:c>
      <x:c r="B1027" s="17" t="str">
        <x:v>The University of Tampa</x:v>
      </x:c>
      <x:c r="C1027" s="17" t="str">
        <x:v>IPEDS discovery signal: Computer and Information Systems Security/Auditing/Information Assurance (CIP 11.1003)</x:v>
      </x:c>
      <x:c r="D1027" s="17" t="str">
        <x:v>Unclear</x:v>
      </x:c>
      <x:c r="E1027" s="17" t="str">
        <x:v>stage2_screened_out</x:v>
      </x:c>
      <x:c r="F1027" s="17" t="str">
        <x:v>Only one bounded registry/program-code signal was present; no independent topical, Calendar, current-faculty, or first-audit signal was recovered.</x:v>
      </x:c>
      <x:c r="G1027" s="17" t="str">
        <x:v>Does the current official catalog contain a research graduate program matching the applicant's topics?</x:v>
      </x:c>
      <x:c r="H1027" s="17" t="str">
        <x:v>https://www.ut.edu</x:v>
      </x:c>
      <x:c r="I1027" s="17" t="str">
        <x:v>not_sampled</x:v>
      </x:c>
      <x:c r="J1027" s="17" t="str">
        <x:v>not_sampled</x:v>
      </x:c>
    </x:row>
    <x:row r="1028" ht="46" customHeight="1">
      <x:c r="A1028" s="17" t="str">
        <x:v>us</x:v>
      </x:c>
      <x:c r="B1028" s="17" t="str">
        <x:v>The University of Tampa</x:v>
      </x:c>
      <x:c r="C1028" s="17" t="str">
        <x:v>IPEDS discovery signal: Information Technology (CIP 11.0103)</x:v>
      </x:c>
      <x:c r="D1028" s="17" t="str">
        <x:v>Unclear</x:v>
      </x:c>
      <x:c r="E1028" s="17" t="str">
        <x:v>stage2_screened_out</x:v>
      </x:c>
      <x:c r="F1028" s="17" t="str">
        <x:v>Only one bounded registry/program-code signal was present; no independent topical, Calendar, current-faculty, or first-audit signal was recovered.</x:v>
      </x:c>
      <x:c r="G1028" s="17" t="str">
        <x:v>Does the current official catalog contain a research graduate program matching the applicant's topics?</x:v>
      </x:c>
      <x:c r="H1028" s="17" t="str">
        <x:v>https://www.ut.edu</x:v>
      </x:c>
      <x:c r="I1028" s="17" t="str">
        <x:v>not_sampled</x:v>
      </x:c>
      <x:c r="J1028" s="17" t="str">
        <x:v>not_sampled</x:v>
      </x:c>
    </x:row>
    <x:row r="1029" ht="46" customHeight="1">
      <x:c r="A1029" s="17" t="str">
        <x:v>us</x:v>
      </x:c>
      <x:c r="B1029" s="17" t="str">
        <x:v>The University of Tennessee-Chattanooga</x:v>
      </x:c>
      <x:c r="C1029" s="17" t="str">
        <x:v>IPEDS discovery signal: Computer Science (CIP 11.0701)</x:v>
      </x:c>
      <x:c r="D1029" s="17" t="str">
        <x:v>Unclear</x:v>
      </x:c>
      <x:c r="E1029" s="17" t="str">
        <x:v>stage2_screened_out</x:v>
      </x:c>
      <x:c r="F1029" s="17" t="str">
        <x:v>Only one bounded registry/program-code signal was present; no independent topical, Calendar, current-faculty, or first-audit signal was recovered.</x:v>
      </x:c>
      <x:c r="G1029" s="17" t="str">
        <x:v>Does the current official catalog contain a research graduate program matching the applicant's topics?</x:v>
      </x:c>
      <x:c r="H1029" s="17" t="str">
        <x:v>https://utc.edu</x:v>
      </x:c>
      <x:c r="I1029" s="17" t="str">
        <x:v>not_sampled</x:v>
      </x:c>
      <x:c r="J1029" s="17" t="str">
        <x:v>not_sampled</x:v>
      </x:c>
    </x:row>
    <x:row r="1030" ht="46" customHeight="1">
      <x:c r="A1030" s="17" t="str">
        <x:v>us</x:v>
      </x:c>
      <x:c r="B1030" s="17" t="str">
        <x:v>The University of Tennessee-Knoxville</x:v>
      </x:c>
      <x:c r="C1030" s="17" t="str">
        <x:v>IPEDS discovery signal: Computer Engineering, General (CIP 14.0901)</x:v>
      </x:c>
      <x:c r="D1030" s="17" t="str">
        <x:v>Unclear</x:v>
      </x:c>
      <x:c r="E1030" s="17" t="str">
        <x:v>stage2_screened_out</x:v>
      </x:c>
      <x:c r="F1030" s="17" t="str">
        <x:v>Only one bounded registry/program-code signal was present; no independent topical, Calendar, current-faculty, or first-audit signal was recovered.</x:v>
      </x:c>
      <x:c r="G1030" s="17" t="str">
        <x:v>Does the current official catalog contain a research graduate program matching the applicant's topics?</x:v>
      </x:c>
      <x:c r="H1030" s="17" t="str">
        <x:v>https://www.utk.edu</x:v>
      </x:c>
      <x:c r="I1030" s="17" t="str">
        <x:v>not_sampled</x:v>
      </x:c>
      <x:c r="J1030" s="17" t="str">
        <x:v>not_sampled</x:v>
      </x:c>
    </x:row>
    <x:row r="1031" ht="46" customHeight="1">
      <x:c r="A1031" s="17" t="str">
        <x:v>us</x:v>
      </x:c>
      <x:c r="B1031" s="17" t="str">
        <x:v>The University of Tennessee-Knoxville</x:v>
      </x:c>
      <x:c r="C1031" s="17" t="str">
        <x:v>IPEDS discovery signal: Computer Science (CIP 11.0701)</x:v>
      </x:c>
      <x:c r="D1031" s="17" t="str">
        <x:v>Unclear</x:v>
      </x:c>
      <x:c r="E1031" s="17" t="str">
        <x:v>stage2_screened_out</x:v>
      </x:c>
      <x:c r="F1031" s="17" t="str">
        <x:v>Only one bounded registry/program-code signal was present; no independent topical, Calendar, current-faculty, or first-audit signal was recovered.</x:v>
      </x:c>
      <x:c r="G1031" s="17" t="str">
        <x:v>Does the current official catalog contain a research graduate program matching the applicant's topics?</x:v>
      </x:c>
      <x:c r="H1031" s="17" t="str">
        <x:v>https://www.utk.edu</x:v>
      </x:c>
      <x:c r="I1031" s="17" t="str">
        <x:v>not_sampled</x:v>
      </x:c>
      <x:c r="J1031" s="17" t="str">
        <x:v>not_sampled</x:v>
      </x:c>
    </x:row>
    <x:row r="1032" ht="46" customHeight="1">
      <x:c r="A1032" s="17" t="str">
        <x:v>us</x:v>
      </x:c>
      <x:c r="B1032" s="17" t="str">
        <x:v>The University of Tennessee-Knoxville</x:v>
      </x:c>
      <x:c r="C1032" s="17" t="str">
        <x:v>IPEDS discovery signal: Electrical and Electronics Engineering (CIP 14.1001)</x:v>
      </x:c>
      <x:c r="D1032" s="17" t="str">
        <x:v>Unclear</x:v>
      </x:c>
      <x:c r="E1032" s="17" t="str">
        <x:v>stage2_screened_out</x:v>
      </x:c>
      <x:c r="F1032" s="17" t="str">
        <x:v>Only one bounded registry/program-code signal was present; no independent topical, Calendar, current-faculty, or first-audit signal was recovered.</x:v>
      </x:c>
      <x:c r="G1032" s="17" t="str">
        <x:v>Does the current official catalog contain a research graduate program matching the applicant's topics?</x:v>
      </x:c>
      <x:c r="H1032" s="17" t="str">
        <x:v>https://www.utk.edu</x:v>
      </x:c>
      <x:c r="I1032" s="17" t="str">
        <x:v>not_sampled</x:v>
      </x:c>
      <x:c r="J1032" s="17" t="str">
        <x:v>not_sampled</x:v>
      </x:c>
    </x:row>
    <x:row r="1033" ht="46" customHeight="1">
      <x:c r="A1033" s="17" t="str">
        <x:v>us</x:v>
      </x:c>
      <x:c r="B1033" s="17" t="str">
        <x:v>The University of Texas at Arlington</x:v>
      </x:c>
      <x:c r="C1033" s="17" t="str">
        <x:v>IPEDS discovery signal: Computer and Information Sciences, General (CIP 11.0101)</x:v>
      </x:c>
      <x:c r="D1033" s="17" t="str">
        <x:v>Unclear</x:v>
      </x:c>
      <x:c r="E1033" s="17" t="str">
        <x:v>stage2_screened_out</x:v>
      </x:c>
      <x:c r="F1033" s="17" t="str">
        <x:v>Duplicate mechanical discovery signal consolidated into one institution-level catalog review candidate.</x:v>
      </x:c>
      <x:c r="G1033" s="17" t="str">
        <x:v>Does the current official catalog contain a research graduate program matching the applicant's topics?</x:v>
      </x:c>
      <x:c r="H1033" s="17" t="str">
        <x:v>https://www.uta.edu</x:v>
      </x:c>
      <x:c r="I1033" s="17" t="str">
        <x:v>not_sampled</x:v>
      </x:c>
      <x:c r="J1033" s="17" t="str">
        <x:v>not_sampled</x:v>
      </x:c>
    </x:row>
    <x:row r="1034" ht="46" customHeight="1">
      <x:c r="A1034" s="17" t="str">
        <x:v>us</x:v>
      </x:c>
      <x:c r="B1034" s="17" t="str">
        <x:v>The University of Texas at Arlington</x:v>
      </x:c>
      <x:c r="C1034" s="17" t="str">
        <x:v>IPEDS discovery signal: Computer Engineering, General (CIP 14.0901)</x:v>
      </x:c>
      <x:c r="D1034" s="17" t="str">
        <x:v>Unclear</x:v>
      </x:c>
      <x:c r="E1034" s="17" t="str">
        <x:v>stage2_screened_out</x:v>
      </x:c>
      <x:c r="F1034" s="17" t="str">
        <x:v>Duplicate mechanical discovery signal consolidated into one institution-level catalog review candidate.</x:v>
      </x:c>
      <x:c r="G1034" s="17" t="str">
        <x:v>Does the current official catalog contain a research graduate program matching the applicant's topics?</x:v>
      </x:c>
      <x:c r="H1034" s="17" t="str">
        <x:v>https://www.uta.edu</x:v>
      </x:c>
      <x:c r="I1034" s="17" t="str">
        <x:v>not_sampled</x:v>
      </x:c>
      <x:c r="J1034" s="17" t="str">
        <x:v>not_sampled</x:v>
      </x:c>
    </x:row>
    <x:row r="1035" ht="46" customHeight="1">
      <x:c r="A1035" s="17" t="str">
        <x:v>us</x:v>
      </x:c>
      <x:c r="B1035" s="17" t="str">
        <x:v>The University of Texas at Arlington</x:v>
      </x:c>
      <x:c r="C1035" s="17" t="str">
        <x:v>IPEDS discovery signal: Data Analytics, General (CIP 30.7101)</x:v>
      </x:c>
      <x:c r="D1035" s="17" t="str">
        <x:v>Unclear</x:v>
      </x:c>
      <x:c r="E1035" s="17" t="str">
        <x:v>stage2_screened_out</x:v>
      </x:c>
      <x:c r="F1035" s="17" t="str">
        <x:v>Duplicate mechanical discovery signal consolidated into one institution-level catalog review candidate.</x:v>
      </x:c>
      <x:c r="G1035" s="17" t="str">
        <x:v>Does the current official catalog contain a research graduate program matching the applicant's topics?</x:v>
      </x:c>
      <x:c r="H1035" s="17" t="str">
        <x:v>https://www.uta.edu</x:v>
      </x:c>
      <x:c r="I1035" s="17" t="str">
        <x:v>not_sampled</x:v>
      </x:c>
      <x:c r="J1035" s="17" t="str">
        <x:v>not_sampled</x:v>
      </x:c>
    </x:row>
    <x:row r="1036" ht="46" customHeight="1">
      <x:c r="A1036" s="17" t="str">
        <x:v>us</x:v>
      </x:c>
      <x:c r="B1036" s="17" t="str">
        <x:v>The University of Texas at Arlington</x:v>
      </x:c>
      <x:c r="C1036" s="17" t="str">
        <x:v>IPEDS discovery signal: Electrical and Electronics Engineering (CIP 14.1001)</x:v>
      </x:c>
      <x:c r="D1036" s="17" t="str">
        <x:v>Unclear</x:v>
      </x:c>
      <x:c r="E1036" s="17" t="str">
        <x:v>stage2_screened_out</x:v>
      </x:c>
      <x:c r="F1036" s="17" t="str">
        <x:v>Duplicate mechanical discovery signal consolidated into one institution-level catalog review candidate.</x:v>
      </x:c>
      <x:c r="G1036" s="17" t="str">
        <x:v>Does the current official catalog contain a research graduate program matching the applicant's topics?</x:v>
      </x:c>
      <x:c r="H1036" s="17" t="str">
        <x:v>https://www.uta.edu</x:v>
      </x:c>
      <x:c r="I1036" s="17" t="str">
        <x:v>not_sampled</x:v>
      </x:c>
      <x:c r="J1036" s="17" t="str">
        <x:v>not_sampled</x:v>
      </x:c>
    </x:row>
    <x:row r="1037" ht="46" customHeight="1">
      <x:c r="A1037" s="17" t="str">
        <x:v>us</x:v>
      </x:c>
      <x:c r="B1037" s="17" t="str">
        <x:v>The University of Texas at Arlington</x:v>
      </x:c>
      <x:c r="C1037" s="17" t="str">
        <x:v>IPEDS discovery signal: Information Science/Studies (CIP 11.0401)</x:v>
      </x:c>
      <x:c r="D1037" s="17" t="str">
        <x:v>Unclear</x:v>
      </x:c>
      <x:c r="E1037" s="17" t="str">
        <x:v>stage2_screened_out</x:v>
      </x:c>
      <x:c r="F1037" s="17" t="str">
        <x:v>Duplicate mechanical discovery signal consolidated into one institution-level catalog review candidate.</x:v>
      </x:c>
      <x:c r="G1037" s="17" t="str">
        <x:v>Does the current official catalog contain a research graduate program matching the applicant's topics?</x:v>
      </x:c>
      <x:c r="H1037" s="17" t="str">
        <x:v>https://www.uta.edu</x:v>
      </x:c>
      <x:c r="I1037" s="17" t="str">
        <x:v>not_sampled</x:v>
      </x:c>
      <x:c r="J1037" s="17" t="str">
        <x:v>not_sampled</x:v>
      </x:c>
    </x:row>
    <x:row r="1038" ht="46" customHeight="1">
      <x:c r="A1038" s="17" t="str">
        <x:v>us</x:v>
      </x:c>
      <x:c r="B1038" s="17" t="str">
        <x:v>The University of Texas at Austin</x:v>
      </x:c>
      <x:c r="C1038" s="17" t="str">
        <x:v>IPEDS discovery signal: Computer and Information Sciences, General (CIP 11.0101)</x:v>
      </x:c>
      <x:c r="D1038" s="17" t="str">
        <x:v>Unclear</x:v>
      </x:c>
      <x:c r="E1038" s="17" t="str">
        <x:v>stage2_screened_out</x:v>
      </x:c>
      <x:c r="F1038" s="17" t="str">
        <x:v>Mechanical discovery placeholder is superseded by an exact official program record at the same institution.</x:v>
      </x:c>
      <x:c r="G1038" s="17" t="str">
        <x:v>Does the current official catalog contain a research graduate program matching the applicant's topics?</x:v>
      </x:c>
      <x:c r="H1038" s="17" t="str">
        <x:v>https://www.utexas.edu</x:v>
      </x:c>
      <x:c r="I1038" s="17" t="str">
        <x:v>not_sampled</x:v>
      </x:c>
      <x:c r="J1038" s="17" t="str">
        <x:v>not_sampled</x:v>
      </x:c>
    </x:row>
    <x:row r="1039" ht="46" customHeight="1">
      <x:c r="A1039" s="17" t="str">
        <x:v>us</x:v>
      </x:c>
      <x:c r="B1039" s="17" t="str">
        <x:v>The University of Texas at Austin</x:v>
      </x:c>
      <x:c r="C1039" s="17" t="str">
        <x:v>IPEDS discovery signal: Computer and Information Systems Security/Auditing/Information Assurance (CIP 11.1003)</x:v>
      </x:c>
      <x:c r="D1039" s="17" t="str">
        <x:v>Unclear</x:v>
      </x:c>
      <x:c r="E1039" s="17" t="str">
        <x:v>stage2_screened_out</x:v>
      </x:c>
      <x:c r="F1039" s="17" t="str">
        <x:v>Mechanical discovery placeholder is superseded by an exact official program record at the same institution.</x:v>
      </x:c>
      <x:c r="G1039" s="17" t="str">
        <x:v>Does the current official catalog contain a research graduate program matching the applicant's topics?</x:v>
      </x:c>
      <x:c r="H1039" s="17" t="str">
        <x:v>https://www.utexas.edu</x:v>
      </x:c>
      <x:c r="I1039" s="17" t="str">
        <x:v>not_sampled</x:v>
      </x:c>
      <x:c r="J1039" s="17" t="str">
        <x:v>not_sampled</x:v>
      </x:c>
    </x:row>
    <x:row r="1040" ht="46" customHeight="1">
      <x:c r="A1040" s="17" t="str">
        <x:v>us</x:v>
      </x:c>
      <x:c r="B1040" s="17" t="str">
        <x:v>The University of Texas at Austin</x:v>
      </x:c>
      <x:c r="C1040" s="17" t="str">
        <x:v>IPEDS discovery signal: Data Science, General (CIP 30.7001)</x:v>
      </x:c>
      <x:c r="D1040" s="17" t="str">
        <x:v>Unclear</x:v>
      </x:c>
      <x:c r="E1040" s="17" t="str">
        <x:v>stage2_screened_out</x:v>
      </x:c>
      <x:c r="F1040" s="17" t="str">
        <x:v>Mechanical discovery placeholder is superseded by an exact official program record at the same institution.</x:v>
      </x:c>
      <x:c r="G1040" s="17" t="str">
        <x:v>Does the current official catalog contain a research graduate program matching the applicant's topics?</x:v>
      </x:c>
      <x:c r="H1040" s="17" t="str">
        <x:v>https://www.utexas.edu</x:v>
      </x:c>
      <x:c r="I1040" s="17" t="str">
        <x:v>not_sampled</x:v>
      </x:c>
      <x:c r="J1040" s="17" t="str">
        <x:v>not_sampled</x:v>
      </x:c>
    </x:row>
    <x:row r="1041" ht="46" customHeight="1">
      <x:c r="A1041" s="17" t="str">
        <x:v>us</x:v>
      </x:c>
      <x:c r="B1041" s="17" t="str">
        <x:v>The University of Texas at Austin</x:v>
      </x:c>
      <x:c r="C1041" s="17" t="str">
        <x:v>IPEDS discovery signal: Information Science/Studies (CIP 11.0401)</x:v>
      </x:c>
      <x:c r="D1041" s="17" t="str">
        <x:v>Unclear</x:v>
      </x:c>
      <x:c r="E1041" s="17" t="str">
        <x:v>stage2_screened_out</x:v>
      </x:c>
      <x:c r="F1041" s="17" t="str">
        <x:v>Mechanical discovery placeholder is superseded by an exact official program record at the same institution.</x:v>
      </x:c>
      <x:c r="G1041" s="17" t="str">
        <x:v>Does the current official catalog contain a research graduate program matching the applicant's topics?</x:v>
      </x:c>
      <x:c r="H1041" s="17" t="str">
        <x:v>https://www.utexas.edu</x:v>
      </x:c>
      <x:c r="I1041" s="17" t="str">
        <x:v>not_sampled</x:v>
      </x:c>
      <x:c r="J1041" s="17" t="str">
        <x:v>not_sampled</x:v>
      </x:c>
    </x:row>
    <x:row r="1042" ht="46" customHeight="1">
      <x:c r="A1042" s="17" t="str">
        <x:v>us</x:v>
      </x:c>
      <x:c r="B1042" s="17" t="str">
        <x:v>The University of Texas at Austin</x:v>
      </x:c>
      <x:c r="C1042" s="17" t="str">
        <x:v>Ph.D. in Computer Science</x:v>
      </x:c>
      <x:c r="D1042" s="17" t="str">
        <x:v>PhD</x:v>
      </x:c>
      <x:c r="E1042" s="17" t="str">
        <x:v>duplicate_same_university_route</x:v>
      </x:c>
      <x:c r="F1042" s="17" t="str">
        <x:v>A fully verified research route of the same degree type at this university supersedes this duplicate preliminary record.</x:v>
      </x:c>
      <x:c r="G1042" s="17" t="str">
        <x:v>Which current supervisors match the applicant and are eligible/available to advise Fall 2027 entrants?</x:v>
      </x:c>
      <x:c r="H1042" s="17" t="str">
        <x:v>https://www.cs.utexas.edu/graduate/research-degrees</x:v>
      </x:c>
      <x:c r="I1042" s="17" t="str">
        <x:v>not_sampled</x:v>
      </x:c>
      <x:c r="J1042" s="17" t="str">
        <x:v>not_sampled</x:v>
      </x:c>
    </x:row>
    <x:row r="1043" ht="46" customHeight="1">
      <x:c r="A1043" s="17" t="str">
        <x:v>us</x:v>
      </x:c>
      <x:c r="B1043" s="17" t="str">
        <x:v>The University of Texas at Dallas</x:v>
      </x:c>
      <x:c r="C1043" s="17" t="str">
        <x:v>IPEDS discovery signal: Computer and Information Sciences, General (CIP 11.0101)</x:v>
      </x:c>
      <x:c r="D1043" s="17" t="str">
        <x:v>Unclear</x:v>
      </x:c>
      <x:c r="E1043" s="17" t="str">
        <x:v>stage2_screened_out</x:v>
      </x:c>
      <x:c r="F1043" s="17" t="str">
        <x:v>Mechanical discovery placeholder is superseded by an exact official program record at the same institution.</x:v>
      </x:c>
      <x:c r="G1043" s="17" t="str">
        <x:v>Does the current official catalog contain a research graduate program matching the applicant's topics?</x:v>
      </x:c>
      <x:c r="H1043" s="17" t="str">
        <x:v>https://www.utdallas.edu</x:v>
      </x:c>
      <x:c r="I1043" s="17" t="str">
        <x:v>not_sampled</x:v>
      </x:c>
      <x:c r="J1043" s="17" t="str">
        <x:v>not_sampled</x:v>
      </x:c>
    </x:row>
    <x:row r="1044" ht="46" customHeight="1">
      <x:c r="A1044" s="17" t="str">
        <x:v>us</x:v>
      </x:c>
      <x:c r="B1044" s="17" t="str">
        <x:v>The University of Texas at Dallas</x:v>
      </x:c>
      <x:c r="C1044" s="17" t="str">
        <x:v>IPEDS discovery signal: Computer and Information Systems Security/Auditing/Information Assurance (CIP 11.1003)</x:v>
      </x:c>
      <x:c r="D1044" s="17" t="str">
        <x:v>Unclear</x:v>
      </x:c>
      <x:c r="E1044" s="17" t="str">
        <x:v>stage2_screened_out</x:v>
      </x:c>
      <x:c r="F1044" s="17" t="str">
        <x:v>Mechanical discovery placeholder is superseded by an exact official program record at the same institution.</x:v>
      </x:c>
      <x:c r="G1044" s="17" t="str">
        <x:v>Does the current official catalog contain a research graduate program matching the applicant's topics?</x:v>
      </x:c>
      <x:c r="H1044" s="17" t="str">
        <x:v>https://www.utdallas.edu</x:v>
      </x:c>
      <x:c r="I1044" s="17" t="str">
        <x:v>not_sampled</x:v>
      </x:c>
      <x:c r="J1044" s="17" t="str">
        <x:v>not_sampled</x:v>
      </x:c>
    </x:row>
    <x:row r="1045" ht="46" customHeight="1">
      <x:c r="A1045" s="17" t="str">
        <x:v>us</x:v>
      </x:c>
      <x:c r="B1045" s="17" t="str">
        <x:v>The University of Texas at Dallas</x:v>
      </x:c>
      <x:c r="C1045" s="17" t="str">
        <x:v>IPEDS discovery signal: Computer Engineering, General (CIP 14.0901)</x:v>
      </x:c>
      <x:c r="D1045" s="17" t="str">
        <x:v>Unclear</x:v>
      </x:c>
      <x:c r="E1045" s="17" t="str">
        <x:v>stage2_screened_out</x:v>
      </x:c>
      <x:c r="F1045" s="17" t="str">
        <x:v>Mechanical discovery placeholder is superseded by an exact official program record at the same institution.</x:v>
      </x:c>
      <x:c r="G1045" s="17" t="str">
        <x:v>Does the current official catalog contain a research graduate program matching the applicant's topics?</x:v>
      </x:c>
      <x:c r="H1045" s="17" t="str">
        <x:v>https://www.utdallas.edu</x:v>
      </x:c>
      <x:c r="I1045" s="17" t="str">
        <x:v>not_sampled</x:v>
      </x:c>
      <x:c r="J1045" s="17" t="str">
        <x:v>not_sampled</x:v>
      </x:c>
    </x:row>
    <x:row r="1046" ht="46" customHeight="1">
      <x:c r="A1046" s="17" t="str">
        <x:v>us</x:v>
      </x:c>
      <x:c r="B1046" s="17" t="str">
        <x:v>The University of Texas at Dallas</x:v>
      </x:c>
      <x:c r="C1046" s="17" t="str">
        <x:v>IPEDS discovery signal: Computer Software Engineering (CIP 14.0903)</x:v>
      </x:c>
      <x:c r="D1046" s="17" t="str">
        <x:v>Unclear</x:v>
      </x:c>
      <x:c r="E1046" s="17" t="str">
        <x:v>stage2_screened_out</x:v>
      </x:c>
      <x:c r="F1046" s="17" t="str">
        <x:v>Mechanical discovery placeholder is superseded by an exact official program record at the same institution.</x:v>
      </x:c>
      <x:c r="G1046" s="17" t="str">
        <x:v>Does the current official catalog contain a research graduate program matching the applicant's topics?</x:v>
      </x:c>
      <x:c r="H1046" s="17" t="str">
        <x:v>https://www.utdallas.edu</x:v>
      </x:c>
      <x:c r="I1046" s="17" t="str">
        <x:v>not_sampled</x:v>
      </x:c>
      <x:c r="J1046" s="17" t="str">
        <x:v>not_sampled</x:v>
      </x:c>
    </x:row>
    <x:row r="1047" ht="46" customHeight="1">
      <x:c r="A1047" s="17" t="str">
        <x:v>us</x:v>
      </x:c>
      <x:c r="B1047" s="17" t="str">
        <x:v>The University of Texas at Dallas</x:v>
      </x:c>
      <x:c r="C1047" s="17" t="str">
        <x:v>IPEDS discovery signal: Electrical and Electronics Engineering (CIP 14.1001)</x:v>
      </x:c>
      <x:c r="D1047" s="17" t="str">
        <x:v>Unclear</x:v>
      </x:c>
      <x:c r="E1047" s="17" t="str">
        <x:v>stage2_screened_out</x:v>
      </x:c>
      <x:c r="F1047" s="17" t="str">
        <x:v>Mechanical discovery placeholder is superseded by an exact official program record at the same institution.</x:v>
      </x:c>
      <x:c r="G1047" s="17" t="str">
        <x:v>Does the current official catalog contain a research graduate program matching the applicant's topics?</x:v>
      </x:c>
      <x:c r="H1047" s="17" t="str">
        <x:v>https://www.utdallas.edu</x:v>
      </x:c>
      <x:c r="I1047" s="17" t="str">
        <x:v>not_sampled</x:v>
      </x:c>
      <x:c r="J1047" s="17" t="str">
        <x:v>not_sampled</x:v>
      </x:c>
    </x:row>
    <x:row r="1048" ht="46" customHeight="1">
      <x:c r="A1048" s="17" t="str">
        <x:v>us</x:v>
      </x:c>
      <x:c r="B1048" s="17" t="str">
        <x:v>The University of Texas at Dallas</x:v>
      </x:c>
      <x:c r="C1048" s="17" t="str">
        <x:v>IPEDS discovery signal: Information Science/Studies (CIP 11.0401)</x:v>
      </x:c>
      <x:c r="D1048" s="17" t="str">
        <x:v>Unclear</x:v>
      </x:c>
      <x:c r="E1048" s="17" t="str">
        <x:v>stage2_screened_out</x:v>
      </x:c>
      <x:c r="F1048" s="17" t="str">
        <x:v>Mechanical discovery placeholder is superseded by an exact official program record at the same institution.</x:v>
      </x:c>
      <x:c r="G1048" s="17" t="str">
        <x:v>Does the current official catalog contain a research graduate program matching the applicant's topics?</x:v>
      </x:c>
      <x:c r="H1048" s="17" t="str">
        <x:v>https://www.utdallas.edu</x:v>
      </x:c>
      <x:c r="I1048" s="17" t="str">
        <x:v>not_sampled</x:v>
      </x:c>
      <x:c r="J1048" s="17" t="str">
        <x:v>not_sampled</x:v>
      </x:c>
    </x:row>
    <x:row r="1049" ht="46" customHeight="1">
      <x:c r="A1049" s="17" t="str">
        <x:v>us</x:v>
      </x:c>
      <x:c r="B1049" s="17" t="str">
        <x:v>The University of Texas at El Paso</x:v>
      </x:c>
      <x:c r="C1049" s="17" t="str">
        <x:v>IPEDS discovery signal: Computer and Information Sciences, General (CIP 11.0101)</x:v>
      </x:c>
      <x:c r="D1049" s="17" t="str">
        <x:v>Unclear</x:v>
      </x:c>
      <x:c r="E1049" s="17" t="str">
        <x:v>stage2_screened_out</x:v>
      </x:c>
      <x:c r="F1049" s="17" t="str">
        <x:v>Duplicate mechanical discovery signal consolidated into one institution-level catalog review candidate.</x:v>
      </x:c>
      <x:c r="G1049" s="17" t="str">
        <x:v>Does the current official catalog contain a research graduate program matching the applicant's topics?</x:v>
      </x:c>
      <x:c r="H1049" s="17" t="str">
        <x:v>https://www.utep.edu</x:v>
      </x:c>
      <x:c r="I1049" s="17" t="str">
        <x:v>not_sampled</x:v>
      </x:c>
      <x:c r="J1049" s="17" t="str">
        <x:v>not_sampled</x:v>
      </x:c>
    </x:row>
    <x:row r="1050" ht="46" customHeight="1">
      <x:c r="A1050" s="17" t="str">
        <x:v>us</x:v>
      </x:c>
      <x:c r="B1050" s="17" t="str">
        <x:v>The University of Texas at El Paso</x:v>
      </x:c>
      <x:c r="C1050" s="17" t="str">
        <x:v>IPEDS discovery signal: Computer Engineering, General (CIP 14.0901)</x:v>
      </x:c>
      <x:c r="D1050" s="17" t="str">
        <x:v>Unclear</x:v>
      </x:c>
      <x:c r="E1050" s="17" t="str">
        <x:v>stage2_screened_out</x:v>
      </x:c>
      <x:c r="F1050" s="17" t="str">
        <x:v>Duplicate mechanical discovery signal consolidated into one institution-level catalog review candidate.</x:v>
      </x:c>
      <x:c r="G1050" s="17" t="str">
        <x:v>Does the current official catalog contain a research graduate program matching the applicant's topics?</x:v>
      </x:c>
      <x:c r="H1050" s="17" t="str">
        <x:v>https://www.utep.edu</x:v>
      </x:c>
      <x:c r="I1050" s="17" t="str">
        <x:v>not_sampled</x:v>
      </x:c>
      <x:c r="J1050" s="17" t="str">
        <x:v>not_sampled</x:v>
      </x:c>
    </x:row>
    <x:row r="1051" ht="46" customHeight="1">
      <x:c r="A1051" s="17" t="str">
        <x:v>us</x:v>
      </x:c>
      <x:c r="B1051" s="17" t="str">
        <x:v>The University of Texas at El Paso</x:v>
      </x:c>
      <x:c r="C1051" s="17" t="str">
        <x:v>IPEDS discovery signal: Computer Science (CIP 11.0701)</x:v>
      </x:c>
      <x:c r="D1051" s="17" t="str">
        <x:v>Unclear</x:v>
      </x:c>
      <x:c r="E1051" s="17" t="str">
        <x:v>stage2_screened_out</x:v>
      </x:c>
      <x:c r="F1051" s="17" t="str">
        <x:v>Duplicate mechanical discovery signal consolidated into one institution-level catalog review candidate.</x:v>
      </x:c>
      <x:c r="G1051" s="17" t="str">
        <x:v>Does the current official catalog contain a research graduate program matching the applicant's topics?</x:v>
      </x:c>
      <x:c r="H1051" s="17" t="str">
        <x:v>https://www.utep.edu</x:v>
      </x:c>
      <x:c r="I1051" s="17" t="str">
        <x:v>not_sampled</x:v>
      </x:c>
      <x:c r="J1051" s="17" t="str">
        <x:v>not_sampled</x:v>
      </x:c>
    </x:row>
    <x:row r="1052" ht="46" customHeight="1">
      <x:c r="A1052" s="17" t="str">
        <x:v>us</x:v>
      </x:c>
      <x:c r="B1052" s="17" t="str">
        <x:v>The University of Texas at El Paso</x:v>
      </x:c>
      <x:c r="C1052" s="17" t="str">
        <x:v>IPEDS discovery signal: Electrical and Electronics Engineering (CIP 14.1001)</x:v>
      </x:c>
      <x:c r="D1052" s="17" t="str">
        <x:v>Unclear</x:v>
      </x:c>
      <x:c r="E1052" s="17" t="str">
        <x:v>stage2_screened_out</x:v>
      </x:c>
      <x:c r="F1052" s="17" t="str">
        <x:v>Duplicate mechanical discovery signal consolidated into one institution-level catalog review candidate.</x:v>
      </x:c>
      <x:c r="G1052" s="17" t="str">
        <x:v>Does the current official catalog contain a research graduate program matching the applicant's topics?</x:v>
      </x:c>
      <x:c r="H1052" s="17" t="str">
        <x:v>https://www.utep.edu</x:v>
      </x:c>
      <x:c r="I1052" s="17" t="str">
        <x:v>not_sampled</x:v>
      </x:c>
      <x:c r="J1052" s="17" t="str">
        <x:v>not_sampled</x:v>
      </x:c>
    </x:row>
    <x:row r="1053" ht="46" customHeight="1">
      <x:c r="A1053" s="17" t="str">
        <x:v>us</x:v>
      </x:c>
      <x:c r="B1053" s="17" t="str">
        <x:v>The University of Texas at El Paso</x:v>
      </x:c>
      <x:c r="C1053" s="17" t="str">
        <x:v>IPEDS discovery signal: Information Science/Studies (CIP 11.0401)</x:v>
      </x:c>
      <x:c r="D1053" s="17" t="str">
        <x:v>Unclear</x:v>
      </x:c>
      <x:c r="E1053" s="17" t="str">
        <x:v>stage2_screened_out</x:v>
      </x:c>
      <x:c r="F1053" s="17" t="str">
        <x:v>Duplicate mechanical discovery signal consolidated into one institution-level catalog review candidate.</x:v>
      </x:c>
      <x:c r="G1053" s="17" t="str">
        <x:v>Does the current official catalog contain a research graduate program matching the applicant's topics?</x:v>
      </x:c>
      <x:c r="H1053" s="17" t="str">
        <x:v>https://www.utep.edu</x:v>
      </x:c>
      <x:c r="I1053" s="17" t="str">
        <x:v>not_sampled</x:v>
      </x:c>
      <x:c r="J1053" s="17" t="str">
        <x:v>not_sampled</x:v>
      </x:c>
    </x:row>
    <x:row r="1054" ht="46" customHeight="1">
      <x:c r="A1054" s="17" t="str">
        <x:v>us</x:v>
      </x:c>
      <x:c r="B1054" s="17" t="str">
        <x:v>The University of Texas at San Antonio</x:v>
      </x:c>
      <x:c r="C1054" s="17" t="str">
        <x:v>IPEDS discovery signal: Artificial Intelligence (CIP 11.0102)</x:v>
      </x:c>
      <x:c r="D1054" s="17" t="str">
        <x:v>Unclear</x:v>
      </x:c>
      <x:c r="E1054" s="17" t="str">
        <x:v>stage2_screened_out</x:v>
      </x:c>
      <x:c r="F1054" s="17" t="str">
        <x:v>Duplicate mechanical discovery signal consolidated into one institution-level catalog review candidate.</x:v>
      </x:c>
      <x:c r="G1054" s="17" t="str">
        <x:v>Does the current official catalog contain a research graduate program matching the applicant's topics?</x:v>
      </x:c>
      <x:c r="H1054" s="17" t="str">
        <x:v>https://www.utsa.edu</x:v>
      </x:c>
      <x:c r="I1054" s="17" t="str">
        <x:v>false_negative_corrected</x:v>
      </x:c>
      <x:c r="J1054" s="17" t="str">
        <x:v>confirmed</x:v>
      </x:c>
    </x:row>
    <x:row r="1055" ht="46" customHeight="1">
      <x:c r="A1055" s="17" t="str">
        <x:v>us</x:v>
      </x:c>
      <x:c r="B1055" s="17" t="str">
        <x:v>The University of Texas at San Antonio</x:v>
      </x:c>
      <x:c r="C1055" s="17" t="str">
        <x:v>IPEDS discovery signal: Computer and Information Sciences, General (CIP 11.0101)</x:v>
      </x:c>
      <x:c r="D1055" s="17" t="str">
        <x:v>Unclear</x:v>
      </x:c>
      <x:c r="E1055" s="17" t="str">
        <x:v>stage2_screened_out</x:v>
      </x:c>
      <x:c r="F1055" s="17" t="str">
        <x:v>Duplicate mechanical discovery signal consolidated into one institution-level catalog review candidate.</x:v>
      </x:c>
      <x:c r="G1055" s="17" t="str">
        <x:v>Does the current official catalog contain a research graduate program matching the applicant's topics?</x:v>
      </x:c>
      <x:c r="H1055" s="17" t="str">
        <x:v>https://www.utsa.edu</x:v>
      </x:c>
      <x:c r="I1055" s="17" t="str">
        <x:v>false_negative_corrected</x:v>
      </x:c>
      <x:c r="J1055" s="17" t="str">
        <x:v>confirmed</x:v>
      </x:c>
    </x:row>
    <x:row r="1056" ht="46" customHeight="1">
      <x:c r="A1056" s="17" t="str">
        <x:v>us</x:v>
      </x:c>
      <x:c r="B1056" s="17" t="str">
        <x:v>The University of Texas at San Antonio</x:v>
      </x:c>
      <x:c r="C1056" s="17" t="str">
        <x:v>IPEDS discovery signal: Computer Engineering, General (CIP 14.0901)</x:v>
      </x:c>
      <x:c r="D1056" s="17" t="str">
        <x:v>Unclear</x:v>
      </x:c>
      <x:c r="E1056" s="17" t="str">
        <x:v>stage2_screened_out</x:v>
      </x:c>
      <x:c r="F1056" s="17" t="str">
        <x:v>Duplicate mechanical discovery signal consolidated into one institution-level catalog review candidate.</x:v>
      </x:c>
      <x:c r="G1056" s="17" t="str">
        <x:v>Does the current official catalog contain a research graduate program matching the applicant's topics?</x:v>
      </x:c>
      <x:c r="H1056" s="17" t="str">
        <x:v>https://www.utsa.edu</x:v>
      </x:c>
      <x:c r="I1056" s="17" t="str">
        <x:v>false_negative_corrected</x:v>
      </x:c>
      <x:c r="J1056" s="17" t="str">
        <x:v>confirmed</x:v>
      </x:c>
    </x:row>
    <x:row r="1057" ht="46" customHeight="1">
      <x:c r="A1057" s="17" t="str">
        <x:v>us</x:v>
      </x:c>
      <x:c r="B1057" s="17" t="str">
        <x:v>The University of Texas at San Antonio</x:v>
      </x:c>
      <x:c r="C1057" s="17" t="str">
        <x:v>IPEDS discovery signal: Computer Science (CIP 11.0701)</x:v>
      </x:c>
      <x:c r="D1057" s="17" t="str">
        <x:v>Unclear</x:v>
      </x:c>
      <x:c r="E1057" s="17" t="str">
        <x:v>stage2_screened_out</x:v>
      </x:c>
      <x:c r="F1057" s="17" t="str">
        <x:v>Duplicate mechanical discovery signal consolidated into one institution-level catalog review candidate.</x:v>
      </x:c>
      <x:c r="G1057" s="17" t="str">
        <x:v>Does the current official catalog contain a research graduate program matching the applicant's topics?</x:v>
      </x:c>
      <x:c r="H1057" s="17" t="str">
        <x:v>https://www.utsa.edu</x:v>
      </x:c>
      <x:c r="I1057" s="17" t="str">
        <x:v>false_negative_corrected</x:v>
      </x:c>
      <x:c r="J1057" s="17" t="str">
        <x:v>confirmed</x:v>
      </x:c>
    </x:row>
    <x:row r="1058" ht="46" customHeight="1">
      <x:c r="A1058" s="17" t="str">
        <x:v>us</x:v>
      </x:c>
      <x:c r="B1058" s="17" t="str">
        <x:v>The University of Texas at San Antonio</x:v>
      </x:c>
      <x:c r="C1058" s="17" t="str">
        <x:v>IPEDS discovery signal: Data Analytics, General (CIP 30.7101)</x:v>
      </x:c>
      <x:c r="D1058" s="17" t="str">
        <x:v>Unclear</x:v>
      </x:c>
      <x:c r="E1058" s="17" t="str">
        <x:v>stage2_screened_out</x:v>
      </x:c>
      <x:c r="F1058" s="17" t="str">
        <x:v>Duplicate mechanical discovery signal consolidated into one institution-level catalog review candidate.</x:v>
      </x:c>
      <x:c r="G1058" s="17" t="str">
        <x:v>Does the current official catalog contain a research graduate program matching the applicant's topics?</x:v>
      </x:c>
      <x:c r="H1058" s="17" t="str">
        <x:v>https://www.utsa.edu</x:v>
      </x:c>
      <x:c r="I1058" s="17" t="str">
        <x:v>false_negative_corrected</x:v>
      </x:c>
      <x:c r="J1058" s="17" t="str">
        <x:v>confirmed</x:v>
      </x:c>
    </x:row>
    <x:row r="1059" ht="46" customHeight="1">
      <x:c r="A1059" s="17" t="str">
        <x:v>us</x:v>
      </x:c>
      <x:c r="B1059" s="17" t="str">
        <x:v>The University of Texas at San Antonio</x:v>
      </x:c>
      <x:c r="C1059" s="17" t="str">
        <x:v>IPEDS discovery signal: Electrical and Electronics Engineering (CIP 14.1001)</x:v>
      </x:c>
      <x:c r="D1059" s="17" t="str">
        <x:v>Unclear</x:v>
      </x:c>
      <x:c r="E1059" s="17" t="str">
        <x:v>stage2_screened_out</x:v>
      </x:c>
      <x:c r="F1059" s="17" t="str">
        <x:v>Duplicate mechanical discovery signal consolidated into one institution-level catalog review candidate.</x:v>
      </x:c>
      <x:c r="G1059" s="17" t="str">
        <x:v>Does the current official catalog contain a research graduate program matching the applicant's topics?</x:v>
      </x:c>
      <x:c r="H1059" s="17" t="str">
        <x:v>https://www.utsa.edu</x:v>
      </x:c>
      <x:c r="I1059" s="17" t="str">
        <x:v>false_negative_corrected</x:v>
      </x:c>
      <x:c r="J1059" s="17" t="str">
        <x:v>confirmed</x:v>
      </x:c>
    </x:row>
    <x:row r="1060" ht="46" customHeight="1">
      <x:c r="A1060" s="17" t="str">
        <x:v>us</x:v>
      </x:c>
      <x:c r="B1060" s="17" t="str">
        <x:v>The University of Texas at San Antonio</x:v>
      </x:c>
      <x:c r="C1060" s="17" t="str">
        <x:v>IPEDS discovery signal: Information Technology (CIP 11.0103)</x:v>
      </x:c>
      <x:c r="D1060" s="17" t="str">
        <x:v>Unclear</x:v>
      </x:c>
      <x:c r="E1060" s="17" t="str">
        <x:v>stage2_screened_out</x:v>
      </x:c>
      <x:c r="F1060" s="17" t="str">
        <x:v>Duplicate mechanical discovery signal consolidated into one institution-level catalog review candidate.</x:v>
      </x:c>
      <x:c r="G1060" s="17" t="str">
        <x:v>Does the current official catalog contain a research graduate program matching the applicant's topics?</x:v>
      </x:c>
      <x:c r="H1060" s="17" t="str">
        <x:v>https://www.utsa.edu</x:v>
      </x:c>
      <x:c r="I1060" s="17" t="str">
        <x:v>false_negative_corrected</x:v>
      </x:c>
      <x:c r="J1060" s="17" t="str">
        <x:v>confirmed</x:v>
      </x:c>
    </x:row>
    <x:row r="1061" ht="46" customHeight="1">
      <x:c r="A1061" s="17" t="str">
        <x:v>us</x:v>
      </x:c>
      <x:c r="B1061" s="17" t="str">
        <x:v>The University of Texas at Tyler</x:v>
      </x:c>
      <x:c r="C1061" s="17" t="str">
        <x:v>IPEDS discovery signal: Computer and Information Sciences, General (CIP 11.0101)</x:v>
      </x:c>
      <x:c r="D1061" s="17" t="str">
        <x:v>Unclear</x:v>
      </x:c>
      <x:c r="E1061" s="17" t="str">
        <x:v>stage2_screened_out</x:v>
      </x:c>
      <x:c r="F1061" s="17" t="str">
        <x:v>Only one bounded registry/program-code signal was present; no independent topical, Calendar, current-faculty, or first-audit signal was recovered.</x:v>
      </x:c>
      <x:c r="G1061" s="17" t="str">
        <x:v>Does the current official catalog contain a research graduate program matching the applicant's topics?</x:v>
      </x:c>
      <x:c r="H1061" s="17" t="str">
        <x:v>https://www.uttyler.edu</x:v>
      </x:c>
      <x:c r="I1061" s="17" t="str">
        <x:v>not_sampled</x:v>
      </x:c>
      <x:c r="J1061" s="17" t="str">
        <x:v>not_sampled</x:v>
      </x:c>
    </x:row>
    <x:row r="1062" ht="46" customHeight="1">
      <x:c r="A1062" s="17" t="str">
        <x:v>us</x:v>
      </x:c>
      <x:c r="B1062" s="17" t="str">
        <x:v>The University of Texas at Tyler</x:v>
      </x:c>
      <x:c r="C1062" s="17" t="str">
        <x:v>IPEDS discovery signal: Computer and Information Systems Security/Auditing/Information Assurance (CIP 11.1003)</x:v>
      </x:c>
      <x:c r="D1062" s="17" t="str">
        <x:v>Unclear</x:v>
      </x:c>
      <x:c r="E1062" s="17" t="str">
        <x:v>stage2_screened_out</x:v>
      </x:c>
      <x:c r="F1062" s="17" t="str">
        <x:v>Only one bounded registry/program-code signal was present; no independent topical, Calendar, current-faculty, or first-audit signal was recovered.</x:v>
      </x:c>
      <x:c r="G1062" s="17" t="str">
        <x:v>Does the current official catalog contain a research graduate program matching the applicant's topics?</x:v>
      </x:c>
      <x:c r="H1062" s="17" t="str">
        <x:v>https://www.uttyler.edu</x:v>
      </x:c>
      <x:c r="I1062" s="17" t="str">
        <x:v>not_sampled</x:v>
      </x:c>
      <x:c r="J1062" s="17" t="str">
        <x:v>not_sampled</x:v>
      </x:c>
    </x:row>
    <x:row r="1063" ht="46" customHeight="1">
      <x:c r="A1063" s="17" t="str">
        <x:v>us</x:v>
      </x:c>
      <x:c r="B1063" s="17" t="str">
        <x:v>The University of Texas at Tyler</x:v>
      </x:c>
      <x:c r="C1063" s="17" t="str">
        <x:v>IPEDS discovery signal: Electrical and Electronics Engineering (CIP 14.1001)</x:v>
      </x:c>
      <x:c r="D1063" s="17" t="str">
        <x:v>Unclear</x:v>
      </x:c>
      <x:c r="E1063" s="17" t="str">
        <x:v>stage2_screened_out</x:v>
      </x:c>
      <x:c r="F1063" s="17" t="str">
        <x:v>Only one bounded registry/program-code signal was present; no independent topical, Calendar, current-faculty, or first-audit signal was recovered.</x:v>
      </x:c>
      <x:c r="G1063" s="17" t="str">
        <x:v>Does the current official catalog contain a research graduate program matching the applicant's topics?</x:v>
      </x:c>
      <x:c r="H1063" s="17" t="str">
        <x:v>https://www.uttyler.edu</x:v>
      </x:c>
      <x:c r="I1063" s="17" t="str">
        <x:v>not_sampled</x:v>
      </x:c>
      <x:c r="J1063" s="17" t="str">
        <x:v>not_sampled</x:v>
      </x:c>
    </x:row>
    <x:row r="1064" ht="46" customHeight="1">
      <x:c r="A1064" s="17" t="str">
        <x:v>us</x:v>
      </x:c>
      <x:c r="B1064" s="17" t="str">
        <x:v>The University of Texas Permian Basin</x:v>
      </x:c>
      <x:c r="C1064" s="17" t="str">
        <x:v>IPEDS discovery signal: Computer and Information Sciences, General (CIP 11.0101)</x:v>
      </x:c>
      <x:c r="D1064" s="17" t="str">
        <x:v>Unclear</x:v>
      </x:c>
      <x:c r="E1064" s="17" t="str">
        <x:v>stage2_screened_out</x:v>
      </x:c>
      <x:c r="F1064" s="17" t="str">
        <x:v>Only one bounded registry/program-code signal was present; no independent topical, Calendar, current-faculty, or first-audit signal was recovered.</x:v>
      </x:c>
      <x:c r="G1064" s="17" t="str">
        <x:v>Does the current official catalog contain a research graduate program matching the applicant's topics?</x:v>
      </x:c>
      <x:c r="H1064" s="17" t="str">
        <x:v>https://www.utpb.edu</x:v>
      </x:c>
      <x:c r="I1064" s="17" t="str">
        <x:v>not_sampled</x:v>
      </x:c>
      <x:c r="J1064" s="17" t="str">
        <x:v>not_sampled</x:v>
      </x:c>
    </x:row>
    <x:row r="1065" ht="46" customHeight="1">
      <x:c r="A1065" s="17" t="str">
        <x:v>us</x:v>
      </x:c>
      <x:c r="B1065" s="17" t="str">
        <x:v>The University of Texas Rio Grande Valley</x:v>
      </x:c>
      <x:c r="C1065" s="17" t="str">
        <x:v>IPEDS discovery signal: Electrical and Electronics Engineering (CIP 14.1001)</x:v>
      </x:c>
      <x:c r="D1065" s="17" t="str">
        <x:v>Unclear</x:v>
      </x:c>
      <x:c r="E1065" s="17" t="str">
        <x:v>stage2_screened_out</x:v>
      </x:c>
      <x:c r="F1065" s="17" t="str">
        <x:v>Duplicate mechanical discovery signal consolidated into one institution-level catalog review candidate.</x:v>
      </x:c>
      <x:c r="G1065" s="17" t="str">
        <x:v>Does the current official catalog contain a research graduate program matching the applicant's topics?</x:v>
      </x:c>
      <x:c r="H1065" s="17" t="str">
        <x:v>https://www.utrgv.edu</x:v>
      </x:c>
      <x:c r="I1065" s="17" t="str">
        <x:v>not_sampled</x:v>
      </x:c>
      <x:c r="J1065" s="17" t="str">
        <x:v>not_sampled</x:v>
      </x:c>
    </x:row>
    <x:row r="1066" ht="46" customHeight="1">
      <x:c r="A1066" s="17" t="str">
        <x:v>us</x:v>
      </x:c>
      <x:c r="B1066" s="17" t="str">
        <x:v>The University of Texas Rio Grande Valley</x:v>
      </x:c>
      <x:c r="C1066" s="17" t="str">
        <x:v>IPEDS discovery signal: Information Technology (CIP 11.0103)</x:v>
      </x:c>
      <x:c r="D1066" s="17" t="str">
        <x:v>Unclear</x:v>
      </x:c>
      <x:c r="E1066" s="17" t="str">
        <x:v>stage2_screened_out</x:v>
      </x:c>
      <x:c r="F1066" s="17" t="str">
        <x:v>Duplicate mechanical discovery signal consolidated into one institution-level catalog review candidate.</x:v>
      </x:c>
      <x:c r="G1066" s="17" t="str">
        <x:v>Does the current official catalog contain a research graduate program matching the applicant's topics?</x:v>
      </x:c>
      <x:c r="H1066" s="17" t="str">
        <x:v>https://www.utrgv.edu</x:v>
      </x:c>
      <x:c r="I1066" s="17" t="str">
        <x:v>not_sampled</x:v>
      </x:c>
      <x:c r="J1066" s="17" t="str">
        <x:v>not_sampled</x:v>
      </x:c>
    </x:row>
    <x:row r="1067" ht="46" customHeight="1">
      <x:c r="A1067" s="17" t="str">
        <x:v>us</x:v>
      </x:c>
      <x:c r="B1067" s="17" t="str">
        <x:v>Thomas College</x:v>
      </x:c>
      <x:c r="C1067" s="17" t="str">
        <x:v>IPEDS discovery signal: Computer and Information Systems Security/Auditing/Information Assurance (CIP 11.1003)</x:v>
      </x:c>
      <x:c r="D1067" s="17" t="str">
        <x:v>Unclear</x:v>
      </x:c>
      <x:c r="E1067" s="17" t="str">
        <x:v>stage2_screened_out</x:v>
      </x:c>
      <x:c r="F1067" s="17" t="str">
        <x:v>Only one bounded registry/program-code signal was present; no independent topical, Calendar, current-faculty, or first-audit signal was recovered.</x:v>
      </x:c>
      <x:c r="G1067" s="17" t="str">
        <x:v>Does the current official catalog contain a research graduate program matching the applicant's topics?</x:v>
      </x:c>
      <x:c r="H1067" s="17" t="str">
        <x:v>https://www.thomas.edu</x:v>
      </x:c>
      <x:c r="I1067" s="17" t="str">
        <x:v>not_sampled</x:v>
      </x:c>
      <x:c r="J1067" s="17" t="str">
        <x:v>not_sampled</x:v>
      </x:c>
    </x:row>
    <x:row r="1068" ht="46" customHeight="1">
      <x:c r="A1068" s="17" t="str">
        <x:v>us</x:v>
      </x:c>
      <x:c r="B1068" s="17" t="str">
        <x:v>Thomas Edison State University</x:v>
      </x:c>
      <x:c r="C1068" s="17" t="str">
        <x:v>IPEDS discovery signal: Computer and Information Systems Security/Auditing/Information Assurance (CIP 11.1003)</x:v>
      </x:c>
      <x:c r="D1068" s="17" t="str">
        <x:v>Unclear</x:v>
      </x:c>
      <x:c r="E1068" s="17" t="str">
        <x:v>stage2_screened_out</x:v>
      </x:c>
      <x:c r="F1068" s="17" t="str">
        <x:v>Only one bounded registry/program-code signal was present; no independent topical, Calendar, current-faculty, or first-audit signal was recovered.</x:v>
      </x:c>
      <x:c r="G1068" s="17" t="str">
        <x:v>Does the current official catalog contain a research graduate program matching the applicant's topics?</x:v>
      </x:c>
      <x:c r="H1068" s="17" t="str">
        <x:v>https://www.tesu.edu</x:v>
      </x:c>
      <x:c r="I1068" s="17" t="str">
        <x:v>not_sampled</x:v>
      </x:c>
      <x:c r="J1068" s="17" t="str">
        <x:v>not_sampled</x:v>
      </x:c>
    </x:row>
    <x:row r="1069" ht="46" customHeight="1">
      <x:c r="A1069" s="17" t="str">
        <x:v>us</x:v>
      </x:c>
      <x:c r="B1069" s="17" t="str">
        <x:v>Thomas Edison State University</x:v>
      </x:c>
      <x:c r="C1069" s="17" t="str">
        <x:v>IPEDS discovery signal: Cyber/Computer Forensics and Counterterrorism (CIP 43.0403)</x:v>
      </x:c>
      <x:c r="D1069" s="17" t="str">
        <x:v>Unclear</x:v>
      </x:c>
      <x:c r="E1069" s="17" t="str">
        <x:v>stage2_screened_out</x:v>
      </x:c>
      <x:c r="F1069" s="17" t="str">
        <x:v>Only one bounded registry/program-code signal was present; no independent topical, Calendar, current-faculty, or first-audit signal was recovered.</x:v>
      </x:c>
      <x:c r="G1069" s="17" t="str">
        <x:v>Does the current official catalog contain a research graduate program matching the applicant's topics?</x:v>
      </x:c>
      <x:c r="H1069" s="17" t="str">
        <x:v>https://www.tesu.edu</x:v>
      </x:c>
      <x:c r="I1069" s="17" t="str">
        <x:v>not_sampled</x:v>
      </x:c>
      <x:c r="J1069" s="17" t="str">
        <x:v>not_sampled</x:v>
      </x:c>
    </x:row>
    <x:row r="1070" ht="46" customHeight="1">
      <x:c r="A1070" s="17" t="str">
        <x:v>us</x:v>
      </x:c>
      <x:c r="B1070" s="17" t="str">
        <x:v>Thomas Edison State University</x:v>
      </x:c>
      <x:c r="C1070" s="17" t="str">
        <x:v>IPEDS discovery signal: Information Technology (CIP 11.0103)</x:v>
      </x:c>
      <x:c r="D1070" s="17" t="str">
        <x:v>Unclear</x:v>
      </x:c>
      <x:c r="E1070" s="17" t="str">
        <x:v>stage2_screened_out</x:v>
      </x:c>
      <x:c r="F1070" s="17" t="str">
        <x:v>Only one bounded registry/program-code signal was present; no independent topical, Calendar, current-faculty, or first-audit signal was recovered.</x:v>
      </x:c>
      <x:c r="G1070" s="17" t="str">
        <x:v>Does the current official catalog contain a research graduate program matching the applicant's topics?</x:v>
      </x:c>
      <x:c r="H1070" s="17" t="str">
        <x:v>https://www.tesu.edu</x:v>
      </x:c>
      <x:c r="I1070" s="17" t="str">
        <x:v>not_sampled</x:v>
      </x:c>
      <x:c r="J1070" s="17" t="str">
        <x:v>not_sampled</x:v>
      </x:c>
    </x:row>
    <x:row r="1071" ht="46" customHeight="1">
      <x:c r="A1071" s="17" t="str">
        <x:v>us</x:v>
      </x:c>
      <x:c r="B1071" s="17" t="str">
        <x:v>Touro University</x:v>
      </x:c>
      <x:c r="C1071" s="17" t="str">
        <x:v>IPEDS discovery signal: Computer and Information Sciences, General (CIP 11.0101)</x:v>
      </x:c>
      <x:c r="D1071" s="17" t="str">
        <x:v>Unclear</x:v>
      </x:c>
      <x:c r="E1071" s="17" t="str">
        <x:v>stage2_screened_out</x:v>
      </x:c>
      <x:c r="F1071" s="17" t="str">
        <x:v>Only one bounded registry/program-code signal was present; no independent topical, Calendar, current-faculty, or first-audit signal was recovered.</x:v>
      </x:c>
      <x:c r="G1071" s="17" t="str">
        <x:v>Does the current official catalog contain a research graduate program matching the applicant's topics?</x:v>
      </x:c>
      <x:c r="H1071" s="17" t="str">
        <x:v>https://www.touro.edu</x:v>
      </x:c>
      <x:c r="I1071" s="17" t="str">
        <x:v>not_sampled</x:v>
      </x:c>
      <x:c r="J1071" s="17" t="str">
        <x:v>not_sampled</x:v>
      </x:c>
    </x:row>
    <x:row r="1072" ht="46" customHeight="1">
      <x:c r="A1072" s="17" t="str">
        <x:v>us</x:v>
      </x:c>
      <x:c r="B1072" s="17" t="str">
        <x:v>Towson University</x:v>
      </x:c>
      <x:c r="C1072" s="17" t="str">
        <x:v>IPEDS discovery signal: Computer Science (CIP 11.0701)</x:v>
      </x:c>
      <x:c r="D1072" s="17" t="str">
        <x:v>Unclear</x:v>
      </x:c>
      <x:c r="E1072" s="17" t="str">
        <x:v>stage2_screened_out</x:v>
      </x:c>
      <x:c r="F1072" s="17" t="str">
        <x:v>Only one bounded registry/program-code signal was present; no independent topical, Calendar, current-faculty, or first-audit signal was recovered.</x:v>
      </x:c>
      <x:c r="G1072" s="17" t="str">
        <x:v>Does the current official catalog contain a research graduate program matching the applicant's topics?</x:v>
      </x:c>
      <x:c r="H1072" s="17" t="str">
        <x:v>https://www.towson.edu</x:v>
      </x:c>
      <x:c r="I1072" s="17" t="str">
        <x:v>not_sampled</x:v>
      </x:c>
      <x:c r="J1072" s="17" t="str">
        <x:v>not_sampled</x:v>
      </x:c>
    </x:row>
    <x:row r="1073" ht="46" customHeight="1">
      <x:c r="A1073" s="17" t="str">
        <x:v>us</x:v>
      </x:c>
      <x:c r="B1073" s="17" t="str">
        <x:v>Towson University</x:v>
      </x:c>
      <x:c r="C1073" s="17" t="str">
        <x:v>IPEDS discovery signal: Information Technology (CIP 11.0103)</x:v>
      </x:c>
      <x:c r="D1073" s="17" t="str">
        <x:v>Unclear</x:v>
      </x:c>
      <x:c r="E1073" s="17" t="str">
        <x:v>stage2_screened_out</x:v>
      </x:c>
      <x:c r="F1073" s="17" t="str">
        <x:v>Only one bounded registry/program-code signal was present; no independent topical, Calendar, current-faculty, or first-audit signal was recovered.</x:v>
      </x:c>
      <x:c r="G1073" s="17" t="str">
        <x:v>Does the current official catalog contain a research graduate program matching the applicant's topics?</x:v>
      </x:c>
      <x:c r="H1073" s="17" t="str">
        <x:v>https://www.towson.edu</x:v>
      </x:c>
      <x:c r="I1073" s="17" t="str">
        <x:v>not_sampled</x:v>
      </x:c>
      <x:c r="J1073" s="17" t="str">
        <x:v>not_sampled</x:v>
      </x:c>
    </x:row>
    <x:row r="1074" ht="46" customHeight="1">
      <x:c r="A1074" s="17" t="str">
        <x:v>us</x:v>
      </x:c>
      <x:c r="B1074" s="17" t="str">
        <x:v>Toyota Technological Institute at Chicago</x:v>
      </x:c>
      <x:c r="C1074" s="17" t="str">
        <x:v>IPEDS discovery signal: Computer Science (CIP 11.0701)</x:v>
      </x:c>
      <x:c r="D1074" s="17" t="str">
        <x:v>Unclear</x:v>
      </x:c>
      <x:c r="E1074" s="17" t="str">
        <x:v>stage2_screened_out</x:v>
      </x:c>
      <x:c r="F1074" s="17" t="str">
        <x:v>Only one bounded registry/program-code signal was present; no independent topical, Calendar, current-faculty, or first-audit signal was recovered.</x:v>
      </x:c>
      <x:c r="G1074" s="17" t="str">
        <x:v>Does the current official catalog contain a research graduate program matching the applicant's topics?</x:v>
      </x:c>
      <x:c r="H1074" s="17" t="str">
        <x:v>https://www.ttic.edu</x:v>
      </x:c>
      <x:c r="I1074" s="17" t="str">
        <x:v>not_sampled</x:v>
      </x:c>
      <x:c r="J1074" s="17" t="str">
        <x:v>not_sampled</x:v>
      </x:c>
    </x:row>
    <x:row r="1075" ht="46" customHeight="1">
      <x:c r="A1075" s="17" t="str">
        <x:v>us</x:v>
      </x:c>
      <x:c r="B1075" s="17" t="str">
        <x:v>Trine University-Regional/Non-Traditional Campuses</x:v>
      </x:c>
      <x:c r="C1075" s="17" t="str">
        <x:v>IPEDS discovery signal: Information Science/Studies (CIP 11.0401)</x:v>
      </x:c>
      <x:c r="D1075" s="17" t="str">
        <x:v>Unclear</x:v>
      </x:c>
      <x:c r="E1075" s="17" t="str">
        <x:v>stage2_screened_out</x:v>
      </x:c>
      <x:c r="F1075" s="17" t="str">
        <x:v>Only one bounded registry/program-code signal was present; no independent topical, Calendar, current-faculty, or first-audit signal was recovered.</x:v>
      </x:c>
      <x:c r="G1075" s="17" t="str">
        <x:v>Does the current official catalog contain a research graduate program matching the applicant's topics?</x:v>
      </x:c>
      <x:c r="H1075" s="17" t="str">
        <x:v>https://trine.edu/online/index.aspx</x:v>
      </x:c>
      <x:c r="I1075" s="17" t="str">
        <x:v>not_sampled</x:v>
      </x:c>
      <x:c r="J1075" s="17" t="str">
        <x:v>not_sampled</x:v>
      </x:c>
    </x:row>
    <x:row r="1076" ht="46" customHeight="1">
      <x:c r="A1076" s="17" t="str">
        <x:v>us</x:v>
      </x:c>
      <x:c r="B1076" s="17" t="str">
        <x:v>Troy University</x:v>
      </x:c>
      <x:c r="C1076" s="17" t="str">
        <x:v>IPEDS discovery signal: Computer and Information Sciences, General (CIP 11.0101)</x:v>
      </x:c>
      <x:c r="D1076" s="17" t="str">
        <x:v>Unclear</x:v>
      </x:c>
      <x:c r="E1076" s="17" t="str">
        <x:v>stage2_screened_out</x:v>
      </x:c>
      <x:c r="F1076" s="17" t="str">
        <x:v>Only one bounded registry/program-code signal was present; no independent topical, Calendar, current-faculty, or first-audit signal was recovered.</x:v>
      </x:c>
      <x:c r="G1076" s="17" t="str">
        <x:v>Does the current official catalog contain a research graduate program matching the applicant's topics?</x:v>
      </x:c>
      <x:c r="H1076" s="17" t="str">
        <x:v>https://www.troy.edu</x:v>
      </x:c>
      <x:c r="I1076" s="17" t="str">
        <x:v>not_sampled</x:v>
      </x:c>
      <x:c r="J1076" s="17" t="str">
        <x:v>not_sampled</x:v>
      </x:c>
    </x:row>
    <x:row r="1077" ht="46" customHeight="1">
      <x:c r="A1077" s="17" t="str">
        <x:v>us</x:v>
      </x:c>
      <x:c r="B1077" s="17" t="str">
        <x:v>Truman State University</x:v>
      </x:c>
      <x:c r="C1077" s="17" t="str">
        <x:v>IPEDS discovery signal: Data Science, General (CIP 30.7001)</x:v>
      </x:c>
      <x:c r="D1077" s="17" t="str">
        <x:v>Unclear</x:v>
      </x:c>
      <x:c r="E1077" s="17" t="str">
        <x:v>stage2_screened_out</x:v>
      </x:c>
      <x:c r="F1077" s="17" t="str">
        <x:v>Only one bounded registry/program-code signal was present; no independent topical, Calendar, current-faculty, or first-audit signal was recovered.</x:v>
      </x:c>
      <x:c r="G1077" s="17" t="str">
        <x:v>Does the current official catalog contain a research graduate program matching the applicant's topics?</x:v>
      </x:c>
      <x:c r="H1077" s="17" t="str">
        <x:v>https://www.truman.edu</x:v>
      </x:c>
      <x:c r="I1077" s="17" t="str">
        <x:v>not_sampled</x:v>
      </x:c>
      <x:c r="J1077" s="17" t="str">
        <x:v>not_sampled</x:v>
      </x:c>
    </x:row>
    <x:row r="1078" ht="46" customHeight="1">
      <x:c r="A1078" s="17" t="str">
        <x:v>us</x:v>
      </x:c>
      <x:c r="B1078" s="17" t="str">
        <x:v>Tufts University</x:v>
      </x:c>
      <x:c r="C1078" s="17" t="str">
        <x:v>IPEDS discovery signal: Computer Engineering, General (CIP 14.0901)</x:v>
      </x:c>
      <x:c r="D1078" s="17" t="str">
        <x:v>Unclear</x:v>
      </x:c>
      <x:c r="E1078" s="17" t="str">
        <x:v>stage2_screened_out</x:v>
      </x:c>
      <x:c r="F1078" s="17" t="str">
        <x:v>Duplicate mechanical discovery signal consolidated into one institution-level catalog review candidate.</x:v>
      </x:c>
      <x:c r="G1078" s="17" t="str">
        <x:v>Does the current official catalog contain a research graduate program matching the applicant's topics?</x:v>
      </x:c>
      <x:c r="H1078" s="17" t="str">
        <x:v>https://www.tufts.edu</x:v>
      </x:c>
      <x:c r="I1078" s="17" t="str">
        <x:v>not_sampled</x:v>
      </x:c>
      <x:c r="J1078" s="17" t="str">
        <x:v>not_sampled</x:v>
      </x:c>
    </x:row>
    <x:row r="1079" ht="46" customHeight="1">
      <x:c r="A1079" s="17" t="str">
        <x:v>us</x:v>
      </x:c>
      <x:c r="B1079" s="17" t="str">
        <x:v>Tufts University</x:v>
      </x:c>
      <x:c r="C1079" s="17" t="str">
        <x:v>IPEDS discovery signal: Computer Science (CIP 11.0701)</x:v>
      </x:c>
      <x:c r="D1079" s="17" t="str">
        <x:v>Unclear</x:v>
      </x:c>
      <x:c r="E1079" s="17" t="str">
        <x:v>stage2_screened_out</x:v>
      </x:c>
      <x:c r="F1079" s="17" t="str">
        <x:v>Duplicate mechanical discovery signal consolidated into one institution-level catalog review candidate.</x:v>
      </x:c>
      <x:c r="G1079" s="17" t="str">
        <x:v>Does the current official catalog contain a research graduate program matching the applicant's topics?</x:v>
      </x:c>
      <x:c r="H1079" s="17" t="str">
        <x:v>https://www.tufts.edu</x:v>
      </x:c>
      <x:c r="I1079" s="17" t="str">
        <x:v>not_sampled</x:v>
      </x:c>
      <x:c r="J1079" s="17" t="str">
        <x:v>not_sampled</x:v>
      </x:c>
    </x:row>
    <x:row r="1080" ht="46" customHeight="1">
      <x:c r="A1080" s="17" t="str">
        <x:v>us</x:v>
      </x:c>
      <x:c r="B1080" s="17" t="str">
        <x:v>Tufts University</x:v>
      </x:c>
      <x:c r="C1080" s="17" t="str">
        <x:v>IPEDS discovery signal: Computer Software Engineering (CIP 14.0903)</x:v>
      </x:c>
      <x:c r="D1080" s="17" t="str">
        <x:v>Unclear</x:v>
      </x:c>
      <x:c r="E1080" s="17" t="str">
        <x:v>stage2_screened_out</x:v>
      </x:c>
      <x:c r="F1080" s="17" t="str">
        <x:v>Duplicate mechanical discovery signal consolidated into one institution-level catalog review candidate.</x:v>
      </x:c>
      <x:c r="G1080" s="17" t="str">
        <x:v>Does the current official catalog contain a research graduate program matching the applicant's topics?</x:v>
      </x:c>
      <x:c r="H1080" s="17" t="str">
        <x:v>https://www.tufts.edu</x:v>
      </x:c>
      <x:c r="I1080" s="17" t="str">
        <x:v>not_sampled</x:v>
      </x:c>
      <x:c r="J1080" s="17" t="str">
        <x:v>not_sampled</x:v>
      </x:c>
    </x:row>
    <x:row r="1081" ht="46" customHeight="1">
      <x:c r="A1081" s="17" t="str">
        <x:v>us</x:v>
      </x:c>
      <x:c r="B1081" s="17" t="str">
        <x:v>Tufts University</x:v>
      </x:c>
      <x:c r="C1081" s="17" t="str">
        <x:v>IPEDS discovery signal: Data Analytics, General (CIP 30.7101)</x:v>
      </x:c>
      <x:c r="D1081" s="17" t="str">
        <x:v>Unclear</x:v>
      </x:c>
      <x:c r="E1081" s="17" t="str">
        <x:v>stage2_screened_out</x:v>
      </x:c>
      <x:c r="F1081" s="17" t="str">
        <x:v>Duplicate mechanical discovery signal consolidated into one institution-level catalog review candidate.</x:v>
      </x:c>
      <x:c r="G1081" s="17" t="str">
        <x:v>Does the current official catalog contain a research graduate program matching the applicant's topics?</x:v>
      </x:c>
      <x:c r="H1081" s="17" t="str">
        <x:v>https://www.tufts.edu</x:v>
      </x:c>
      <x:c r="I1081" s="17" t="str">
        <x:v>not_sampled</x:v>
      </x:c>
      <x:c r="J1081" s="17" t="str">
        <x:v>not_sampled</x:v>
      </x:c>
    </x:row>
    <x:row r="1082" ht="46" customHeight="1">
      <x:c r="A1082" s="17" t="str">
        <x:v>us</x:v>
      </x:c>
      <x:c r="B1082" s="17" t="str">
        <x:v>Tufts University</x:v>
      </x:c>
      <x:c r="C1082" s="17" t="str">
        <x:v>IPEDS discovery signal: Data Science, General (CIP 30.7001)</x:v>
      </x:c>
      <x:c r="D1082" s="17" t="str">
        <x:v>Unclear</x:v>
      </x:c>
      <x:c r="E1082" s="17" t="str">
        <x:v>stage2_screened_out</x:v>
      </x:c>
      <x:c r="F1082" s="17" t="str">
        <x:v>Duplicate mechanical discovery signal consolidated into one institution-level catalog review candidate.</x:v>
      </x:c>
      <x:c r="G1082" s="17" t="str">
        <x:v>Does the current official catalog contain a research graduate program matching the applicant's topics?</x:v>
      </x:c>
      <x:c r="H1082" s="17" t="str">
        <x:v>https://www.tufts.edu</x:v>
      </x:c>
      <x:c r="I1082" s="17" t="str">
        <x:v>not_sampled</x:v>
      </x:c>
      <x:c r="J1082" s="17" t="str">
        <x:v>not_sampled</x:v>
      </x:c>
    </x:row>
    <x:row r="1083" ht="46" customHeight="1">
      <x:c r="A1083" s="17" t="str">
        <x:v>us</x:v>
      </x:c>
      <x:c r="B1083" s="17" t="str">
        <x:v>Tufts University</x:v>
      </x:c>
      <x:c r="C1083" s="17" t="str">
        <x:v>IPEDS discovery signal: Electrical and Electronics Engineering (CIP 14.1001)</x:v>
      </x:c>
      <x:c r="D1083" s="17" t="str">
        <x:v>Unclear</x:v>
      </x:c>
      <x:c r="E1083" s="17" t="str">
        <x:v>stage2_screened_out</x:v>
      </x:c>
      <x:c r="F1083" s="17" t="str">
        <x:v>Duplicate mechanical discovery signal consolidated into one institution-level catalog review candidate.</x:v>
      </x:c>
      <x:c r="G1083" s="17" t="str">
        <x:v>Does the current official catalog contain a research graduate program matching the applicant's topics?</x:v>
      </x:c>
      <x:c r="H1083" s="17" t="str">
        <x:v>https://www.tufts.edu</x:v>
      </x:c>
      <x:c r="I1083" s="17" t="str">
        <x:v>not_sampled</x:v>
      </x:c>
      <x:c r="J1083" s="17" t="str">
        <x:v>not_sampled</x:v>
      </x:c>
    </x:row>
    <x:row r="1084" ht="46" customHeight="1">
      <x:c r="A1084" s="17" t="str">
        <x:v>us</x:v>
      </x:c>
      <x:c r="B1084" s="17" t="str">
        <x:v>Tulane University of Louisiana</x:v>
      </x:c>
      <x:c r="C1084" s="17" t="str">
        <x:v>IPEDS discovery signal: Computer and Information Sciences, General (CIP 11.0101)</x:v>
      </x:c>
      <x:c r="D1084" s="17" t="str">
        <x:v>Unclear</x:v>
      </x:c>
      <x:c r="E1084" s="17" t="str">
        <x:v>stage2_screened_out</x:v>
      </x:c>
      <x:c r="F1084" s="17" t="str">
        <x:v>Duplicate mechanical discovery signal consolidated into one institution-level catalog review candidate.</x:v>
      </x:c>
      <x:c r="G1084" s="17" t="str">
        <x:v>Does the current official catalog contain a research graduate program matching the applicant's topics?</x:v>
      </x:c>
      <x:c r="H1084" s="17" t="str">
        <x:v>https://tulane.edu</x:v>
      </x:c>
      <x:c r="I1084" s="17" t="str">
        <x:v>not_sampled</x:v>
      </x:c>
      <x:c r="J1084" s="17" t="str">
        <x:v>not_sampled</x:v>
      </x:c>
    </x:row>
    <x:row r="1085" ht="46" customHeight="1">
      <x:c r="A1085" s="17" t="str">
        <x:v>us</x:v>
      </x:c>
      <x:c r="B1085" s="17" t="str">
        <x:v>Tulane University of Louisiana</x:v>
      </x:c>
      <x:c r="C1085" s="17" t="str">
        <x:v>IPEDS discovery signal: Computer Science (CIP 11.0701)</x:v>
      </x:c>
      <x:c r="D1085" s="17" t="str">
        <x:v>Unclear</x:v>
      </x:c>
      <x:c r="E1085" s="17" t="str">
        <x:v>stage2_screened_out</x:v>
      </x:c>
      <x:c r="F1085" s="17" t="str">
        <x:v>Duplicate mechanical discovery signal consolidated into one institution-level catalog review candidate.</x:v>
      </x:c>
      <x:c r="G1085" s="17" t="str">
        <x:v>Does the current official catalog contain a research graduate program matching the applicant's topics?</x:v>
      </x:c>
      <x:c r="H1085" s="17" t="str">
        <x:v>https://tulane.edu</x:v>
      </x:c>
      <x:c r="I1085" s="17" t="str">
        <x:v>not_sampled</x:v>
      </x:c>
      <x:c r="J1085" s="17" t="str">
        <x:v>not_sampled</x:v>
      </x:c>
    </x:row>
    <x:row r="1086" ht="46" customHeight="1">
      <x:c r="A1086" s="17" t="str">
        <x:v>us</x:v>
      </x:c>
      <x:c r="B1086" s="17" t="str">
        <x:v>Tuskegee University</x:v>
      </x:c>
      <x:c r="C1086" s="17" t="str">
        <x:v>IPEDS discovery signal: Electrical and Electronics Engineering (CIP 14.1001)</x:v>
      </x:c>
      <x:c r="D1086" s="17" t="str">
        <x:v>Unclear</x:v>
      </x:c>
      <x:c r="E1086" s="17" t="str">
        <x:v>stage2_screened_out</x:v>
      </x:c>
      <x:c r="F1086" s="17" t="str">
        <x:v>Only one bounded registry/program-code signal was present; no independent topical, Calendar, current-faculty, or first-audit signal was recovered.</x:v>
      </x:c>
      <x:c r="G1086" s="17" t="str">
        <x:v>Does the current official catalog contain a research graduate program matching the applicant's topics?</x:v>
      </x:c>
      <x:c r="H1086" s="17" t="str">
        <x:v>https://www.tuskegee.edu</x:v>
      </x:c>
      <x:c r="I1086" s="17" t="str">
        <x:v>not_sampled</x:v>
      </x:c>
      <x:c r="J1086" s="17" t="str">
        <x:v>not_sampled</x:v>
      </x:c>
    </x:row>
    <x:row r="1087" ht="46" customHeight="1">
      <x:c r="A1087" s="17" t="str">
        <x:v>us</x:v>
      </x:c>
      <x:c r="B1087" s="17" t="str">
        <x:v>Universidad Ana G. Mendez-Carolina Campus</x:v>
      </x:c>
      <x:c r="C1087" s="17" t="str">
        <x:v>IPEDS discovery signal: Computer and Information Systems Security/Auditing/Information Assurance (CIP 11.1003)</x:v>
      </x:c>
      <x:c r="D1087" s="17" t="str">
        <x:v>Unclear</x:v>
      </x:c>
      <x:c r="E1087" s="17" t="str">
        <x:v>stage2_screened_out</x:v>
      </x:c>
      <x:c r="F1087" s="17" t="str">
        <x:v>Only one bounded registry/program-code signal was present; no independent topical, Calendar, current-faculty, or first-audit signal was recovered.</x:v>
      </x:c>
      <x:c r="G1087" s="17" t="str">
        <x:v>Does the current official catalog contain a research graduate program matching the applicant's topics?</x:v>
      </x:c>
      <x:c r="H1087" s="17" t="str">
        <x:v>https://uagm.edu</x:v>
      </x:c>
      <x:c r="I1087" s="17" t="str">
        <x:v>not_sampled</x:v>
      </x:c>
      <x:c r="J1087" s="17" t="str">
        <x:v>not_sampled</x:v>
      </x:c>
    </x:row>
    <x:row r="1088" ht="46" customHeight="1">
      <x:c r="A1088" s="17" t="str">
        <x:v>us</x:v>
      </x:c>
      <x:c r="B1088" s="17" t="str">
        <x:v>Universidad Ana G. Mendez-Cupey Campus</x:v>
      </x:c>
      <x:c r="C1088" s="17" t="str">
        <x:v>IPEDS discovery signal: Computer and Information Systems Security/Auditing/Information Assurance (CIP 11.1003)</x:v>
      </x:c>
      <x:c r="D1088" s="17" t="str">
        <x:v>Unclear</x:v>
      </x:c>
      <x:c r="E1088" s="17" t="str">
        <x:v>stage2_screened_out</x:v>
      </x:c>
      <x:c r="F1088" s="17" t="str">
        <x:v>Only one bounded registry/program-code signal was present; no independent topical, Calendar, current-faculty, or first-audit signal was recovered.</x:v>
      </x:c>
      <x:c r="G1088" s="17" t="str">
        <x:v>Does the current official catalog contain a research graduate program matching the applicant's topics?</x:v>
      </x:c>
      <x:c r="H1088" s="17" t="str">
        <x:v>https://uagm.edu</x:v>
      </x:c>
      <x:c r="I1088" s="17" t="str">
        <x:v>not_sampled</x:v>
      </x:c>
      <x:c r="J1088" s="17" t="str">
        <x:v>not_sampled</x:v>
      </x:c>
    </x:row>
    <x:row r="1089" ht="46" customHeight="1">
      <x:c r="A1089" s="17" t="str">
        <x:v>us</x:v>
      </x:c>
      <x:c r="B1089" s="17" t="str">
        <x:v>Universidad Ana G. Mendez-Gurabo Campus</x:v>
      </x:c>
      <x:c r="C1089" s="17" t="str">
        <x:v>IPEDS discovery signal: Computer and Information Sciences, General (CIP 11.0101)</x:v>
      </x:c>
      <x:c r="D1089" s="17" t="str">
        <x:v>Unclear</x:v>
      </x:c>
      <x:c r="E1089" s="17" t="str">
        <x:v>stage2_screened_out</x:v>
      </x:c>
      <x:c r="F1089" s="17" t="str">
        <x:v>Only one bounded registry/program-code signal was present; no independent topical, Calendar, current-faculty, or first-audit signal was recovered.</x:v>
      </x:c>
      <x:c r="G1089" s="17" t="str">
        <x:v>Does the current official catalog contain a research graduate program matching the applicant's topics?</x:v>
      </x:c>
      <x:c r="H1089" s="17" t="str">
        <x:v>https://uagm.edu</x:v>
      </x:c>
      <x:c r="I1089" s="17" t="str">
        <x:v>not_sampled</x:v>
      </x:c>
      <x:c r="J1089" s="17" t="str">
        <x:v>not_sampled</x:v>
      </x:c>
    </x:row>
    <x:row r="1090" ht="46" customHeight="1">
      <x:c r="A1090" s="17" t="str">
        <x:v>us</x:v>
      </x:c>
      <x:c r="B1090" s="17" t="str">
        <x:v>Universidad Ana G. Mendez-Gurabo Campus</x:v>
      </x:c>
      <x:c r="C1090" s="17" t="str">
        <x:v>IPEDS discovery signal: Computer and Information Systems Security/Auditing/Information Assurance (CIP 11.1003)</x:v>
      </x:c>
      <x:c r="D1090" s="17" t="str">
        <x:v>Unclear</x:v>
      </x:c>
      <x:c r="E1090" s="17" t="str">
        <x:v>stage2_screened_out</x:v>
      </x:c>
      <x:c r="F1090" s="17" t="str">
        <x:v>Only one bounded registry/program-code signal was present; no independent topical, Calendar, current-faculty, or first-audit signal was recovered.</x:v>
      </x:c>
      <x:c r="G1090" s="17" t="str">
        <x:v>Does the current official catalog contain a research graduate program matching the applicant's topics?</x:v>
      </x:c>
      <x:c r="H1090" s="17" t="str">
        <x:v>https://uagm.edu</x:v>
      </x:c>
      <x:c r="I1090" s="17" t="str">
        <x:v>not_sampled</x:v>
      </x:c>
      <x:c r="J1090" s="17" t="str">
        <x:v>not_sampled</x:v>
      </x:c>
    </x:row>
    <x:row r="1091" ht="46" customHeight="1">
      <x:c r="A1091" s="17" t="str">
        <x:v>us</x:v>
      </x:c>
      <x:c r="B1091" s="17" t="str">
        <x:v>Universidad Politecnica de Puerto Rico</x:v>
      </x:c>
      <x:c r="C1091" s="17" t="str">
        <x:v>IPEDS discovery signal: Computer and Information Sciences, General (CIP 11.0101)</x:v>
      </x:c>
      <x:c r="D1091" s="17" t="str">
        <x:v>Unclear</x:v>
      </x:c>
      <x:c r="E1091" s="17" t="str">
        <x:v>stage2_screened_out</x:v>
      </x:c>
      <x:c r="F1091" s="17" t="str">
        <x:v>Only one bounded registry/program-code signal was present; no independent topical, Calendar, current-faculty, or first-audit signal was recovered.</x:v>
      </x:c>
      <x:c r="G1091" s="17" t="str">
        <x:v>Does the current official catalog contain a research graduate program matching the applicant's topics?</x:v>
      </x:c>
      <x:c r="H1091" s="17" t="str">
        <x:v>https://www.pupr.edu</x:v>
      </x:c>
      <x:c r="I1091" s="17" t="str">
        <x:v>not_sampled</x:v>
      </x:c>
      <x:c r="J1091" s="17" t="str">
        <x:v>not_sampled</x:v>
      </x:c>
    </x:row>
    <x:row r="1092" ht="46" customHeight="1">
      <x:c r="A1092" s="17" t="str">
        <x:v>us</x:v>
      </x:c>
      <x:c r="B1092" s="17" t="str">
        <x:v>Universidad Politecnica de Puerto Rico</x:v>
      </x:c>
      <x:c r="C1092" s="17" t="str">
        <x:v>IPEDS discovery signal: Computer Engineering, General (CIP 14.0901)</x:v>
      </x:c>
      <x:c r="D1092" s="17" t="str">
        <x:v>Unclear</x:v>
      </x:c>
      <x:c r="E1092" s="17" t="str">
        <x:v>stage2_screened_out</x:v>
      </x:c>
      <x:c r="F1092" s="17" t="str">
        <x:v>Only one bounded registry/program-code signal was present; no independent topical, Calendar, current-faculty, or first-audit signal was recovered.</x:v>
      </x:c>
      <x:c r="G1092" s="17" t="str">
        <x:v>Does the current official catalog contain a research graduate program matching the applicant's topics?</x:v>
      </x:c>
      <x:c r="H1092" s="17" t="str">
        <x:v>https://www.pupr.edu</x:v>
      </x:c>
      <x:c r="I1092" s="17" t="str">
        <x:v>not_sampled</x:v>
      </x:c>
      <x:c r="J1092" s="17" t="str">
        <x:v>not_sampled</x:v>
      </x:c>
    </x:row>
    <x:row r="1093" ht="46" customHeight="1">
      <x:c r="A1093" s="17" t="str">
        <x:v>us</x:v>
      </x:c>
      <x:c r="B1093" s="17" t="str">
        <x:v>Universidad Politecnica de Puerto Rico</x:v>
      </x:c>
      <x:c r="C1093" s="17" t="str">
        <x:v>IPEDS discovery signal: Electrical and Electronics Engineering (CIP 14.1001)</x:v>
      </x:c>
      <x:c r="D1093" s="17" t="str">
        <x:v>Unclear</x:v>
      </x:c>
      <x:c r="E1093" s="17" t="str">
        <x:v>stage2_screened_out</x:v>
      </x:c>
      <x:c r="F1093" s="17" t="str">
        <x:v>Only one bounded registry/program-code signal was present; no independent topical, Calendar, current-faculty, or first-audit signal was recovered.</x:v>
      </x:c>
      <x:c r="G1093" s="17" t="str">
        <x:v>Does the current official catalog contain a research graduate program matching the applicant's topics?</x:v>
      </x:c>
      <x:c r="H1093" s="17" t="str">
        <x:v>https://www.pupr.edu</x:v>
      </x:c>
      <x:c r="I1093" s="17" t="str">
        <x:v>not_sampled</x:v>
      </x:c>
      <x:c r="J1093" s="17" t="str">
        <x:v>not_sampled</x:v>
      </x:c>
    </x:row>
    <x:row r="1094" ht="46" customHeight="1">
      <x:c r="A1094" s="17" t="str">
        <x:v>us</x:v>
      </x:c>
      <x:c r="B1094" s="17" t="str">
        <x:v>University at Albany</x:v>
      </x:c>
      <x:c r="C1094" s="17" t="str">
        <x:v>IPEDS discovery signal: Computer and Information Systems Security/Auditing/Information Assurance (CIP 11.1003)</x:v>
      </x:c>
      <x:c r="D1094" s="17" t="str">
        <x:v>Unclear</x:v>
      </x:c>
      <x:c r="E1094" s="17" t="str">
        <x:v>stage2_screened_out</x:v>
      </x:c>
      <x:c r="F1094" s="17" t="str">
        <x:v>Only one bounded registry/program-code signal was present; no independent topical, Calendar, current-faculty, or first-audit signal was recovered.</x:v>
      </x:c>
      <x:c r="G1094" s="17" t="str">
        <x:v>Does the current official catalog contain a research graduate program matching the applicant's topics?</x:v>
      </x:c>
      <x:c r="H1094" s="17" t="str">
        <x:v>https://www.albany.edu</x:v>
      </x:c>
      <x:c r="I1094" s="17" t="str">
        <x:v>not_sampled</x:v>
      </x:c>
      <x:c r="J1094" s="17" t="str">
        <x:v>not_sampled</x:v>
      </x:c>
    </x:row>
    <x:row r="1095" ht="46" customHeight="1">
      <x:c r="A1095" s="17" t="str">
        <x:v>us</x:v>
      </x:c>
      <x:c r="B1095" s="17" t="str">
        <x:v>University at Albany</x:v>
      </x:c>
      <x:c r="C1095" s="17" t="str">
        <x:v>IPEDS discovery signal: Computer Science (CIP 11.0701)</x:v>
      </x:c>
      <x:c r="D1095" s="17" t="str">
        <x:v>Unclear</x:v>
      </x:c>
      <x:c r="E1095" s="17" t="str">
        <x:v>stage2_screened_out</x:v>
      </x:c>
      <x:c r="F1095" s="17" t="str">
        <x:v>Only one bounded registry/program-code signal was present; no independent topical, Calendar, current-faculty, or first-audit signal was recovered.</x:v>
      </x:c>
      <x:c r="G1095" s="17" t="str">
        <x:v>Does the current official catalog contain a research graduate program matching the applicant's topics?</x:v>
      </x:c>
      <x:c r="H1095" s="17" t="str">
        <x:v>https://www.albany.edu</x:v>
      </x:c>
      <x:c r="I1095" s="17" t="str">
        <x:v>not_sampled</x:v>
      </x:c>
      <x:c r="J1095" s="17" t="str">
        <x:v>not_sampled</x:v>
      </x:c>
    </x:row>
    <x:row r="1096" ht="46" customHeight="1">
      <x:c r="A1096" s="17" t="str">
        <x:v>us</x:v>
      </x:c>
      <x:c r="B1096" s="17" t="str">
        <x:v>University at Albany</x:v>
      </x:c>
      <x:c r="C1096" s="17" t="str">
        <x:v>IPEDS discovery signal: Information Science/Studies (CIP 11.0401)</x:v>
      </x:c>
      <x:c r="D1096" s="17" t="str">
        <x:v>Unclear</x:v>
      </x:c>
      <x:c r="E1096" s="17" t="str">
        <x:v>stage2_screened_out</x:v>
      </x:c>
      <x:c r="F1096" s="17" t="str">
        <x:v>Only one bounded registry/program-code signal was present; no independent topical, Calendar, current-faculty, or first-audit signal was recovered.</x:v>
      </x:c>
      <x:c r="G1096" s="17" t="str">
        <x:v>Does the current official catalog contain a research graduate program matching the applicant's topics?</x:v>
      </x:c>
      <x:c r="H1096" s="17" t="str">
        <x:v>https://www.albany.edu</x:v>
      </x:c>
      <x:c r="I1096" s="17" t="str">
        <x:v>not_sampled</x:v>
      </x:c>
      <x:c r="J1096" s="17" t="str">
        <x:v>not_sampled</x:v>
      </x:c>
    </x:row>
    <x:row r="1097" ht="46" customHeight="1">
      <x:c r="A1097" s="17" t="str">
        <x:v>us</x:v>
      </x:c>
      <x:c r="B1097" s="17" t="str">
        <x:v>University at Buffalo</x:v>
      </x:c>
      <x:c r="C1097" s="17" t="str">
        <x:v>IPEDS discovery signal: Computer and Information Sciences, General (CIP 11.0101)</x:v>
      </x:c>
      <x:c r="D1097" s="17" t="str">
        <x:v>Unclear</x:v>
      </x:c>
      <x:c r="E1097" s="17" t="str">
        <x:v>stage2_screened_out</x:v>
      </x:c>
      <x:c r="F1097" s="17" t="str">
        <x:v>Only one bounded registry/program-code signal was present; no independent topical, Calendar, current-faculty, or first-audit signal was recovered.</x:v>
      </x:c>
      <x:c r="G1097" s="17" t="str">
        <x:v>Does the current official catalog contain a research graduate program matching the applicant's topics?</x:v>
      </x:c>
      <x:c r="H1097" s="17" t="str">
        <x:v>https://www.buffalo.edu</x:v>
      </x:c>
      <x:c r="I1097" s="17" t="str">
        <x:v>not_sampled</x:v>
      </x:c>
      <x:c r="J1097" s="17" t="str">
        <x:v>not_sampled</x:v>
      </x:c>
    </x:row>
    <x:row r="1098" ht="46" customHeight="1">
      <x:c r="A1098" s="17" t="str">
        <x:v>us</x:v>
      </x:c>
      <x:c r="B1098" s="17" t="str">
        <x:v>University at Buffalo</x:v>
      </x:c>
      <x:c r="C1098" s="17" t="str">
        <x:v>IPEDS discovery signal: Data Science, General (CIP 30.7001)</x:v>
      </x:c>
      <x:c r="D1098" s="17" t="str">
        <x:v>Unclear</x:v>
      </x:c>
      <x:c r="E1098" s="17" t="str">
        <x:v>stage2_screened_out</x:v>
      </x:c>
      <x:c r="F1098" s="17" t="str">
        <x:v>Only one bounded registry/program-code signal was present; no independent topical, Calendar, current-faculty, or first-audit signal was recovered.</x:v>
      </x:c>
      <x:c r="G1098" s="17" t="str">
        <x:v>Does the current official catalog contain a research graduate program matching the applicant's topics?</x:v>
      </x:c>
      <x:c r="H1098" s="17" t="str">
        <x:v>https://www.buffalo.edu</x:v>
      </x:c>
      <x:c r="I1098" s="17" t="str">
        <x:v>not_sampled</x:v>
      </x:c>
      <x:c r="J1098" s="17" t="str">
        <x:v>not_sampled</x:v>
      </x:c>
    </x:row>
    <x:row r="1099" ht="46" customHeight="1">
      <x:c r="A1099" s="17" t="str">
        <x:v>us</x:v>
      </x:c>
      <x:c r="B1099" s="17" t="str">
        <x:v>University at Buffalo</x:v>
      </x:c>
      <x:c r="C1099" s="17" t="str">
        <x:v>IPEDS discovery signal: Electrical and Electronics Engineering (CIP 14.1001)</x:v>
      </x:c>
      <x:c r="D1099" s="17" t="str">
        <x:v>Unclear</x:v>
      </x:c>
      <x:c r="E1099" s="17" t="str">
        <x:v>stage2_screened_out</x:v>
      </x:c>
      <x:c r="F1099" s="17" t="str">
        <x:v>Only one bounded registry/program-code signal was present; no independent topical, Calendar, current-faculty, or first-audit signal was recovered.</x:v>
      </x:c>
      <x:c r="G1099" s="17" t="str">
        <x:v>Does the current official catalog contain a research graduate program matching the applicant's topics?</x:v>
      </x:c>
      <x:c r="H1099" s="17" t="str">
        <x:v>https://www.buffalo.edu</x:v>
      </x:c>
      <x:c r="I1099" s="17" t="str">
        <x:v>not_sampled</x:v>
      </x:c>
      <x:c r="J1099" s="17" t="str">
        <x:v>not_sampled</x:v>
      </x:c>
    </x:row>
    <x:row r="1100" ht="46" customHeight="1">
      <x:c r="A1100" s="17" t="str">
        <x:v>us</x:v>
      </x:c>
      <x:c r="B1100" s="17" t="str">
        <x:v>University at Buffalo</x:v>
      </x:c>
      <x:c r="C1100" s="17" t="str">
        <x:v>IPEDS discovery signal: Information Science/Studies (CIP 11.0401)</x:v>
      </x:c>
      <x:c r="D1100" s="17" t="str">
        <x:v>Unclear</x:v>
      </x:c>
      <x:c r="E1100" s="17" t="str">
        <x:v>stage2_screened_out</x:v>
      </x:c>
      <x:c r="F1100" s="17" t="str">
        <x:v>Only one bounded registry/program-code signal was present; no independent topical, Calendar, current-faculty, or first-audit signal was recovered.</x:v>
      </x:c>
      <x:c r="G1100" s="17" t="str">
        <x:v>Does the current official catalog contain a research graduate program matching the applicant's topics?</x:v>
      </x:c>
      <x:c r="H1100" s="17" t="str">
        <x:v>https://www.buffalo.edu</x:v>
      </x:c>
      <x:c r="I1100" s="17" t="str">
        <x:v>not_sampled</x:v>
      </x:c>
      <x:c r="J1100" s="17" t="str">
        <x:v>not_sampled</x:v>
      </x:c>
    </x:row>
    <x:row r="1101" ht="46" customHeight="1">
      <x:c r="A1101" s="17" t="str">
        <x:v>us</x:v>
      </x:c>
      <x:c r="B1101" s="17" t="str">
        <x:v>University of Advancing Technology</x:v>
      </x:c>
      <x:c r="C1101" s="17" t="str">
        <x:v>IPEDS discovery signal: Computer and Information Sciences, Other (CIP 11.0199)</x:v>
      </x:c>
      <x:c r="D1101" s="17" t="str">
        <x:v>Unclear</x:v>
      </x:c>
      <x:c r="E1101" s="17" t="str">
        <x:v>stage2_screened_out</x:v>
      </x:c>
      <x:c r="F1101" s="17" t="str">
        <x:v>Only one bounded registry/program-code signal was present; no independent topical, Calendar, current-faculty, or first-audit signal was recovered.</x:v>
      </x:c>
      <x:c r="G1101" s="17" t="str">
        <x:v>Does the current official catalog contain a research graduate program matching the applicant's topics?</x:v>
      </x:c>
      <x:c r="H1101" s="17" t="str">
        <x:v>https://www.uat.edu</x:v>
      </x:c>
      <x:c r="I1101" s="17" t="str">
        <x:v>not_sampled</x:v>
      </x:c>
      <x:c r="J1101" s="17" t="str">
        <x:v>not_sampled</x:v>
      </x:c>
    </x:row>
    <x:row r="1102" ht="46" customHeight="1">
      <x:c r="A1102" s="17" t="str">
        <x:v>us</x:v>
      </x:c>
      <x:c r="B1102" s="17" t="str">
        <x:v>University of Advancing Technology</x:v>
      </x:c>
      <x:c r="C1102" s="17" t="str">
        <x:v>IPEDS discovery signal: Computer Software Engineering (CIP 14.0903)</x:v>
      </x:c>
      <x:c r="D1102" s="17" t="str">
        <x:v>Unclear</x:v>
      </x:c>
      <x:c r="E1102" s="17" t="str">
        <x:v>stage2_screened_out</x:v>
      </x:c>
      <x:c r="F1102" s="17" t="str">
        <x:v>Only one bounded registry/program-code signal was present; no independent topical, Calendar, current-faculty, or first-audit signal was recovered.</x:v>
      </x:c>
      <x:c r="G1102" s="17" t="str">
        <x:v>Does the current official catalog contain a research graduate program matching the applicant's topics?</x:v>
      </x:c>
      <x:c r="H1102" s="17" t="str">
        <x:v>https://www.uat.edu</x:v>
      </x:c>
      <x:c r="I1102" s="17" t="str">
        <x:v>not_sampled</x:v>
      </x:c>
      <x:c r="J1102" s="17" t="str">
        <x:v>not_sampled</x:v>
      </x:c>
    </x:row>
    <x:row r="1103" ht="46" customHeight="1">
      <x:c r="A1103" s="17" t="str">
        <x:v>us</x:v>
      </x:c>
      <x:c r="B1103" s="17" t="str">
        <x:v>University of Advancing Technology</x:v>
      </x:c>
      <x:c r="C1103" s="17" t="str">
        <x:v>IPEDS discovery signal: Cyber/Computer Forensics and Counterterrorism (CIP 43.0403)</x:v>
      </x:c>
      <x:c r="D1103" s="17" t="str">
        <x:v>Unclear</x:v>
      </x:c>
      <x:c r="E1103" s="17" t="str">
        <x:v>stage2_screened_out</x:v>
      </x:c>
      <x:c r="F1103" s="17" t="str">
        <x:v>Only one bounded registry/program-code signal was present; no independent topical, Calendar, current-faculty, or first-audit signal was recovered.</x:v>
      </x:c>
      <x:c r="G1103" s="17" t="str">
        <x:v>Does the current official catalog contain a research graduate program matching the applicant's topics?</x:v>
      </x:c>
      <x:c r="H1103" s="17" t="str">
        <x:v>https://www.uat.edu</x:v>
      </x:c>
      <x:c r="I1103" s="17" t="str">
        <x:v>not_sampled</x:v>
      </x:c>
      <x:c r="J1103" s="17" t="str">
        <x:v>not_sampled</x:v>
      </x:c>
    </x:row>
    <x:row r="1104" ht="46" customHeight="1">
      <x:c r="A1104" s="17" t="str">
        <x:v>us</x:v>
      </x:c>
      <x:c r="B1104" s="17" t="str">
        <x:v>University of Akron Main Campus</x:v>
      </x:c>
      <x:c r="C1104" s="17" t="str">
        <x:v>IPEDS discovery signal: Computer Science (CIP 11.0701)</x:v>
      </x:c>
      <x:c r="D1104" s="17" t="str">
        <x:v>Unclear</x:v>
      </x:c>
      <x:c r="E1104" s="17" t="str">
        <x:v>stage2_screened_out</x:v>
      </x:c>
      <x:c r="F1104" s="17" t="str">
        <x:v>Only one bounded registry/program-code signal was present; no independent topical, Calendar, current-faculty, or first-audit signal was recovered.</x:v>
      </x:c>
      <x:c r="G1104" s="17" t="str">
        <x:v>Does the current official catalog contain a research graduate program matching the applicant's topics?</x:v>
      </x:c>
      <x:c r="H1104" s="17" t="str">
        <x:v>https://www.uakron.edu</x:v>
      </x:c>
      <x:c r="I1104" s="17" t="str">
        <x:v>not_sampled</x:v>
      </x:c>
      <x:c r="J1104" s="17" t="str">
        <x:v>not_sampled</x:v>
      </x:c>
    </x:row>
    <x:row r="1105" ht="46" customHeight="1">
      <x:c r="A1105" s="17" t="str">
        <x:v>us</x:v>
      </x:c>
      <x:c r="B1105" s="17" t="str">
        <x:v>University of Akron Main Campus</x:v>
      </x:c>
      <x:c r="C1105" s="17" t="str">
        <x:v>IPEDS discovery signal: Electrical and Electronics Engineering (CIP 14.1001)</x:v>
      </x:c>
      <x:c r="D1105" s="17" t="str">
        <x:v>Unclear</x:v>
      </x:c>
      <x:c r="E1105" s="17" t="str">
        <x:v>stage2_screened_out</x:v>
      </x:c>
      <x:c r="F1105" s="17" t="str">
        <x:v>Only one bounded registry/program-code signal was present; no independent topical, Calendar, current-faculty, or first-audit signal was recovered.</x:v>
      </x:c>
      <x:c r="G1105" s="17" t="str">
        <x:v>Does the current official catalog contain a research graduate program matching the applicant's topics?</x:v>
      </x:c>
      <x:c r="H1105" s="17" t="str">
        <x:v>https://www.uakron.edu</x:v>
      </x:c>
      <x:c r="I1105" s="17" t="str">
        <x:v>not_sampled</x:v>
      </x:c>
      <x:c r="J1105" s="17" t="str">
        <x:v>not_sampled</x:v>
      </x:c>
    </x:row>
    <x:row r="1106" ht="46" customHeight="1">
      <x:c r="A1106" s="17" t="str">
        <x:v>us</x:v>
      </x:c>
      <x:c r="B1106" s="17" t="str">
        <x:v>University of Akron Main Campus</x:v>
      </x:c>
      <x:c r="C1106" s="17" t="str">
        <x:v>IPEDS discovery signal: Information Science/Studies (CIP 11.0401)</x:v>
      </x:c>
      <x:c r="D1106" s="17" t="str">
        <x:v>Unclear</x:v>
      </x:c>
      <x:c r="E1106" s="17" t="str">
        <x:v>stage2_screened_out</x:v>
      </x:c>
      <x:c r="F1106" s="17" t="str">
        <x:v>Only one bounded registry/program-code signal was present; no independent topical, Calendar, current-faculty, or first-audit signal was recovered.</x:v>
      </x:c>
      <x:c r="G1106" s="17" t="str">
        <x:v>Does the current official catalog contain a research graduate program matching the applicant's topics?</x:v>
      </x:c>
      <x:c r="H1106" s="17" t="str">
        <x:v>https://www.uakron.edu</x:v>
      </x:c>
      <x:c r="I1106" s="17" t="str">
        <x:v>not_sampled</x:v>
      </x:c>
      <x:c r="J1106" s="17" t="str">
        <x:v>not_sampled</x:v>
      </x:c>
    </x:row>
    <x:row r="1107" ht="46" customHeight="1">
      <x:c r="A1107" s="17" t="str">
        <x:v>us</x:v>
      </x:c>
      <x:c r="B1107" s="17" t="str">
        <x:v>University of Alabama at Birmingham</x:v>
      </x:c>
      <x:c r="C1107" s="17" t="str">
        <x:v>IPEDS discovery signal: Computer and Information Sciences, General (CIP 11.0101)</x:v>
      </x:c>
      <x:c r="D1107" s="17" t="str">
        <x:v>Unclear</x:v>
      </x:c>
      <x:c r="E1107" s="17" t="str">
        <x:v>stage2_screened_out</x:v>
      </x:c>
      <x:c r="F1107" s="17" t="str">
        <x:v>Duplicate mechanical discovery signal consolidated into one institution-level catalog review candidate.</x:v>
      </x:c>
      <x:c r="G1107" s="17" t="str">
        <x:v>Does the current official catalog contain a research graduate program matching the applicant's topics?</x:v>
      </x:c>
      <x:c r="H1107" s="17" t="str">
        <x:v>https://www.uab.edu</x:v>
      </x:c>
      <x:c r="I1107" s="17" t="str">
        <x:v>false_negative_corrected</x:v>
      </x:c>
      <x:c r="J1107" s="17" t="str">
        <x:v>confirmed</x:v>
      </x:c>
    </x:row>
    <x:row r="1108" ht="46" customHeight="1">
      <x:c r="A1108" s="17" t="str">
        <x:v>us</x:v>
      </x:c>
      <x:c r="B1108" s="17" t="str">
        <x:v>University of Alabama at Birmingham</x:v>
      </x:c>
      <x:c r="C1108" s="17" t="str">
        <x:v>IPEDS discovery signal: Computer Engineering, General (CIP 14.0901)</x:v>
      </x:c>
      <x:c r="D1108" s="17" t="str">
        <x:v>Unclear</x:v>
      </x:c>
      <x:c r="E1108" s="17" t="str">
        <x:v>stage2_screened_out</x:v>
      </x:c>
      <x:c r="F1108" s="17" t="str">
        <x:v>Duplicate mechanical discovery signal consolidated into one institution-level catalog review candidate.</x:v>
      </x:c>
      <x:c r="G1108" s="17" t="str">
        <x:v>Does the current official catalog contain a research graduate program matching the applicant's topics?</x:v>
      </x:c>
      <x:c r="H1108" s="17" t="str">
        <x:v>https://www.uab.edu</x:v>
      </x:c>
      <x:c r="I1108" s="17" t="str">
        <x:v>false_negative_corrected</x:v>
      </x:c>
      <x:c r="J1108" s="17" t="str">
        <x:v>confirmed</x:v>
      </x:c>
    </x:row>
    <x:row r="1109" ht="46" customHeight="1">
      <x:c r="A1109" s="17" t="str">
        <x:v>us</x:v>
      </x:c>
      <x:c r="B1109" s="17" t="str">
        <x:v>University of Alabama at Birmingham</x:v>
      </x:c>
      <x:c r="C1109" s="17" t="str">
        <x:v>IPEDS discovery signal: Information Science/Studies (CIP 11.0401)</x:v>
      </x:c>
      <x:c r="D1109" s="17" t="str">
        <x:v>Unclear</x:v>
      </x:c>
      <x:c r="E1109" s="17" t="str">
        <x:v>stage2_screened_out</x:v>
      </x:c>
      <x:c r="F1109" s="17" t="str">
        <x:v>Duplicate mechanical discovery signal consolidated into one institution-level catalog review candidate.</x:v>
      </x:c>
      <x:c r="G1109" s="17" t="str">
        <x:v>Does the current official catalog contain a research graduate program matching the applicant's topics?</x:v>
      </x:c>
      <x:c r="H1109" s="17" t="str">
        <x:v>https://www.uab.edu</x:v>
      </x:c>
      <x:c r="I1109" s="17" t="str">
        <x:v>false_negative_corrected</x:v>
      </x:c>
      <x:c r="J1109" s="17" t="str">
        <x:v>confirmed</x:v>
      </x:c>
    </x:row>
    <x:row r="1110" ht="46" customHeight="1">
      <x:c r="A1110" s="17" t="str">
        <x:v>us</x:v>
      </x:c>
      <x:c r="B1110" s="17" t="str">
        <x:v>University of Alabama in Huntsville</x:v>
      </x:c>
      <x:c r="C1110" s="17" t="str">
        <x:v>IPEDS discovery signal: Computer and Information Systems Security/Auditing/Information Assurance (CIP 11.1003)</x:v>
      </x:c>
      <x:c r="D1110" s="17" t="str">
        <x:v>Unclear</x:v>
      </x:c>
      <x:c r="E1110" s="17" t="str">
        <x:v>stage2_screened_out</x:v>
      </x:c>
      <x:c r="F1110" s="17" t="str">
        <x:v>Duplicate mechanical discovery signal consolidated into one institution-level catalog review candidate.</x:v>
      </x:c>
      <x:c r="G1110" s="17" t="str">
        <x:v>Does the current official catalog contain a research graduate program matching the applicant's topics?</x:v>
      </x:c>
      <x:c r="H1110" s="17" t="str">
        <x:v>https://www.uah.edu</x:v>
      </x:c>
      <x:c r="I1110" s="17" t="str">
        <x:v>false_negative_corrected</x:v>
      </x:c>
      <x:c r="J1110" s="17" t="str">
        <x:v>confirmed</x:v>
      </x:c>
    </x:row>
    <x:row r="1111" ht="46" customHeight="1">
      <x:c r="A1111" s="17" t="str">
        <x:v>us</x:v>
      </x:c>
      <x:c r="B1111" s="17" t="str">
        <x:v>University of Alabama in Huntsville</x:v>
      </x:c>
      <x:c r="C1111" s="17" t="str">
        <x:v>IPEDS discovery signal: Computer Engineering, General (CIP 14.0901)</x:v>
      </x:c>
      <x:c r="D1111" s="17" t="str">
        <x:v>Unclear</x:v>
      </x:c>
      <x:c r="E1111" s="17" t="str">
        <x:v>stage2_screened_out</x:v>
      </x:c>
      <x:c r="F1111" s="17" t="str">
        <x:v>Duplicate mechanical discovery signal consolidated into one institution-level catalog review candidate.</x:v>
      </x:c>
      <x:c r="G1111" s="17" t="str">
        <x:v>Does the current official catalog contain a research graduate program matching the applicant's topics?</x:v>
      </x:c>
      <x:c r="H1111" s="17" t="str">
        <x:v>https://www.uah.edu</x:v>
      </x:c>
      <x:c r="I1111" s="17" t="str">
        <x:v>false_negative_corrected</x:v>
      </x:c>
      <x:c r="J1111" s="17" t="str">
        <x:v>confirmed</x:v>
      </x:c>
    </x:row>
    <x:row r="1112" ht="46" customHeight="1">
      <x:c r="A1112" s="17" t="str">
        <x:v>us</x:v>
      </x:c>
      <x:c r="B1112" s="17" t="str">
        <x:v>University of Alabama in Huntsville</x:v>
      </x:c>
      <x:c r="C1112" s="17" t="str">
        <x:v>IPEDS discovery signal: Computer Science (CIP 11.0701)</x:v>
      </x:c>
      <x:c r="D1112" s="17" t="str">
        <x:v>Unclear</x:v>
      </x:c>
      <x:c r="E1112" s="17" t="str">
        <x:v>stage2_screened_out</x:v>
      </x:c>
      <x:c r="F1112" s="17" t="str">
        <x:v>Duplicate mechanical discovery signal consolidated into one institution-level catalog review candidate.</x:v>
      </x:c>
      <x:c r="G1112" s="17" t="str">
        <x:v>Does the current official catalog contain a research graduate program matching the applicant's topics?</x:v>
      </x:c>
      <x:c r="H1112" s="17" t="str">
        <x:v>https://www.uah.edu</x:v>
      </x:c>
      <x:c r="I1112" s="17" t="str">
        <x:v>false_negative_corrected</x:v>
      </x:c>
      <x:c r="J1112" s="17" t="str">
        <x:v>confirmed</x:v>
      </x:c>
    </x:row>
    <x:row r="1113" ht="46" customHeight="1">
      <x:c r="A1113" s="17" t="str">
        <x:v>us</x:v>
      </x:c>
      <x:c r="B1113" s="17" t="str">
        <x:v>University of Alabama in Huntsville</x:v>
      </x:c>
      <x:c r="C1113" s="17" t="str">
        <x:v>IPEDS discovery signal: Electrical and Electronics Engineering (CIP 14.1001)</x:v>
      </x:c>
      <x:c r="D1113" s="17" t="str">
        <x:v>Unclear</x:v>
      </x:c>
      <x:c r="E1113" s="17" t="str">
        <x:v>stage2_screened_out</x:v>
      </x:c>
      <x:c r="F1113" s="17" t="str">
        <x:v>Duplicate mechanical discovery signal consolidated into one institution-level catalog review candidate.</x:v>
      </x:c>
      <x:c r="G1113" s="17" t="str">
        <x:v>Does the current official catalog contain a research graduate program matching the applicant's topics?</x:v>
      </x:c>
      <x:c r="H1113" s="17" t="str">
        <x:v>https://www.uah.edu</x:v>
      </x:c>
      <x:c r="I1113" s="17" t="str">
        <x:v>false_negative_corrected</x:v>
      </x:c>
      <x:c r="J1113" s="17" t="str">
        <x:v>confirmed</x:v>
      </x:c>
    </x:row>
    <x:row r="1114" ht="46" customHeight="1">
      <x:c r="A1114" s="17" t="str">
        <x:v>us</x:v>
      </x:c>
      <x:c r="B1114" s="17" t="str">
        <x:v>University of Alaska Fairbanks</x:v>
      </x:c>
      <x:c r="C1114" s="17" t="str">
        <x:v>IPEDS discovery signal: Computer Science (CIP 11.0701)</x:v>
      </x:c>
      <x:c r="D1114" s="17" t="str">
        <x:v>Unclear</x:v>
      </x:c>
      <x:c r="E1114" s="17" t="str">
        <x:v>stage2_screened_out</x:v>
      </x:c>
      <x:c r="F1114" s="17" t="str">
        <x:v>Only one bounded registry/program-code signal was present; no independent topical, Calendar, current-faculty, or first-audit signal was recovered.</x:v>
      </x:c>
      <x:c r="G1114" s="17" t="str">
        <x:v>Does the current official catalog contain a research graduate program matching the applicant's topics?</x:v>
      </x:c>
      <x:c r="H1114" s="17" t="str">
        <x:v>https://www.uaf.edu</x:v>
      </x:c>
      <x:c r="I1114" s="17" t="str">
        <x:v>not_sampled</x:v>
      </x:c>
      <x:c r="J1114" s="17" t="str">
        <x:v>not_sampled</x:v>
      </x:c>
    </x:row>
    <x:row r="1115" ht="46" customHeight="1">
      <x:c r="A1115" s="17" t="str">
        <x:v>us</x:v>
      </x:c>
      <x:c r="B1115" s="17" t="str">
        <x:v>University of Alaska Fairbanks</x:v>
      </x:c>
      <x:c r="C1115" s="17" t="str">
        <x:v>IPEDS discovery signal: Electrical and Electronics Engineering (CIP 14.1001)</x:v>
      </x:c>
      <x:c r="D1115" s="17" t="str">
        <x:v>Unclear</x:v>
      </x:c>
      <x:c r="E1115" s="17" t="str">
        <x:v>stage2_screened_out</x:v>
      </x:c>
      <x:c r="F1115" s="17" t="str">
        <x:v>Only one bounded registry/program-code signal was present; no independent topical, Calendar, current-faculty, or first-audit signal was recovered.</x:v>
      </x:c>
      <x:c r="G1115" s="17" t="str">
        <x:v>Does the current official catalog contain a research graduate program matching the applicant's topics?</x:v>
      </x:c>
      <x:c r="H1115" s="17" t="str">
        <x:v>https://www.uaf.edu</x:v>
      </x:c>
      <x:c r="I1115" s="17" t="str">
        <x:v>not_sampled</x:v>
      </x:c>
      <x:c r="J1115" s="17" t="str">
        <x:v>not_sampled</x:v>
      </x:c>
    </x:row>
    <x:row r="1116" ht="46" customHeight="1">
      <x:c r="A1116" s="17" t="str">
        <x:v>us</x:v>
      </x:c>
      <x:c r="B1116" s="17" t="str">
        <x:v>University of Arizona</x:v>
      </x:c>
      <x:c r="C1116" s="17" t="str">
        <x:v>IPEDS discovery signal: Computer Science (CIP 11.0701)</x:v>
      </x:c>
      <x:c r="D1116" s="17" t="str">
        <x:v>Unclear</x:v>
      </x:c>
      <x:c r="E1116" s="17" t="str">
        <x:v>stage2_screened_out</x:v>
      </x:c>
      <x:c r="F1116" s="17" t="str">
        <x:v>Duplicate mechanical discovery signal consolidated into one institution-level catalog review candidate.</x:v>
      </x:c>
      <x:c r="G1116" s="17" t="str">
        <x:v>Does the current official catalog contain a research graduate program matching the applicant's topics?</x:v>
      </x:c>
      <x:c r="H1116" s="17" t="str">
        <x:v>https://www.arizona.edu</x:v>
      </x:c>
      <x:c r="I1116" s="17" t="str">
        <x:v>not_sampled</x:v>
      </x:c>
      <x:c r="J1116" s="17" t="str">
        <x:v>not_sampled</x:v>
      </x:c>
    </x:row>
    <x:row r="1117" ht="46" customHeight="1">
      <x:c r="A1117" s="17" t="str">
        <x:v>us</x:v>
      </x:c>
      <x:c r="B1117" s="17" t="str">
        <x:v>University of Arizona</x:v>
      </x:c>
      <x:c r="C1117" s="17" t="str">
        <x:v>IPEDS discovery signal: Cyber/Computer Forensics and Counterterrorism (CIP 43.0403)</x:v>
      </x:c>
      <x:c r="D1117" s="17" t="str">
        <x:v>Unclear</x:v>
      </x:c>
      <x:c r="E1117" s="17" t="str">
        <x:v>stage2_screened_out</x:v>
      </x:c>
      <x:c r="F1117" s="17" t="str">
        <x:v>Duplicate mechanical discovery signal consolidated into one institution-level catalog review candidate.</x:v>
      </x:c>
      <x:c r="G1117" s="17" t="str">
        <x:v>Does the current official catalog contain a research graduate program matching the applicant's topics?</x:v>
      </x:c>
      <x:c r="H1117" s="17" t="str">
        <x:v>https://www.arizona.edu</x:v>
      </x:c>
      <x:c r="I1117" s="17" t="str">
        <x:v>not_sampled</x:v>
      </x:c>
      <x:c r="J1117" s="17" t="str">
        <x:v>not_sampled</x:v>
      </x:c>
    </x:row>
    <x:row r="1118" ht="46" customHeight="1">
      <x:c r="A1118" s="17" t="str">
        <x:v>us</x:v>
      </x:c>
      <x:c r="B1118" s="17" t="str">
        <x:v>University of Arizona</x:v>
      </x:c>
      <x:c r="C1118" s="17" t="str">
        <x:v>IPEDS discovery signal: Data Science, General (CIP 30.7001)</x:v>
      </x:c>
      <x:c r="D1118" s="17" t="str">
        <x:v>Unclear</x:v>
      </x:c>
      <x:c r="E1118" s="17" t="str">
        <x:v>stage2_screened_out</x:v>
      </x:c>
      <x:c r="F1118" s="17" t="str">
        <x:v>Duplicate mechanical discovery signal consolidated into one institution-level catalog review candidate.</x:v>
      </x:c>
      <x:c r="G1118" s="17" t="str">
        <x:v>Does the current official catalog contain a research graduate program matching the applicant's topics?</x:v>
      </x:c>
      <x:c r="H1118" s="17" t="str">
        <x:v>https://www.arizona.edu</x:v>
      </x:c>
      <x:c r="I1118" s="17" t="str">
        <x:v>not_sampled</x:v>
      </x:c>
      <x:c r="J1118" s="17" t="str">
        <x:v>not_sampled</x:v>
      </x:c>
    </x:row>
    <x:row r="1119" ht="46" customHeight="1">
      <x:c r="A1119" s="17" t="str">
        <x:v>us</x:v>
      </x:c>
      <x:c r="B1119" s="17" t="str">
        <x:v>University of Arizona</x:v>
      </x:c>
      <x:c r="C1119" s="17" t="str">
        <x:v>IPEDS discovery signal: Information Science/Studies (CIP 11.0401)</x:v>
      </x:c>
      <x:c r="D1119" s="17" t="str">
        <x:v>Unclear</x:v>
      </x:c>
      <x:c r="E1119" s="17" t="str">
        <x:v>stage2_screened_out</x:v>
      </x:c>
      <x:c r="F1119" s="17" t="str">
        <x:v>Duplicate mechanical discovery signal consolidated into one institution-level catalog review candidate.</x:v>
      </x:c>
      <x:c r="G1119" s="17" t="str">
        <x:v>Does the current official catalog contain a research graduate program matching the applicant's topics?</x:v>
      </x:c>
      <x:c r="H1119" s="17" t="str">
        <x:v>https://www.arizona.edu</x:v>
      </x:c>
      <x:c r="I1119" s="17" t="str">
        <x:v>not_sampled</x:v>
      </x:c>
      <x:c r="J1119" s="17" t="str">
        <x:v>not_sampled</x:v>
      </x:c>
    </x:row>
    <x:row r="1120" ht="46" customHeight="1">
      <x:c r="A1120" s="17" t="str">
        <x:v>us</x:v>
      </x:c>
      <x:c r="B1120" s="17" t="str">
        <x:v>University of Arizona</x:v>
      </x:c>
      <x:c r="C1120" s="17" t="str">
        <x:v>IPEDS discovery signal: Information Technology (CIP 11.0103)</x:v>
      </x:c>
      <x:c r="D1120" s="17" t="str">
        <x:v>Unclear</x:v>
      </x:c>
      <x:c r="E1120" s="17" t="str">
        <x:v>stage2_screened_out</x:v>
      </x:c>
      <x:c r="F1120" s="17" t="str">
        <x:v>Duplicate mechanical discovery signal consolidated into one institution-level catalog review candidate.</x:v>
      </x:c>
      <x:c r="G1120" s="17" t="str">
        <x:v>Does the current official catalog contain a research graduate program matching the applicant's topics?</x:v>
      </x:c>
      <x:c r="H1120" s="17" t="str">
        <x:v>https://www.arizona.edu</x:v>
      </x:c>
      <x:c r="I1120" s="17" t="str">
        <x:v>not_sampled</x:v>
      </x:c>
      <x:c r="J1120" s="17" t="str">
        <x:v>not_sampled</x:v>
      </x:c>
    </x:row>
    <x:row r="1121" ht="46" customHeight="1">
      <x:c r="A1121" s="17" t="str">
        <x:v>us</x:v>
      </x:c>
      <x:c r="B1121" s="17" t="str">
        <x:v>University of Arkansas</x:v>
      </x:c>
      <x:c r="C1121" s="17" t="str">
        <x:v>IPEDS discovery signal: Computer Engineering, General (CIP 14.0901)</x:v>
      </x:c>
      <x:c r="D1121" s="17" t="str">
        <x:v>Unclear</x:v>
      </x:c>
      <x:c r="E1121" s="17" t="str">
        <x:v>stage2_screened_out</x:v>
      </x:c>
      <x:c r="F1121" s="17" t="str">
        <x:v>Only one bounded registry/program-code signal was present; no independent topical, Calendar, current-faculty, or first-audit signal was recovered.</x:v>
      </x:c>
      <x:c r="G1121" s="17" t="str">
        <x:v>Does the current official catalog contain a research graduate program matching the applicant's topics?</x:v>
      </x:c>
      <x:c r="H1121" s="17" t="str">
        <x:v>https://www.uark.edu</x:v>
      </x:c>
      <x:c r="I1121" s="17" t="str">
        <x:v>not_sampled</x:v>
      </x:c>
      <x:c r="J1121" s="17" t="str">
        <x:v>not_sampled</x:v>
      </x:c>
    </x:row>
    <x:row r="1122" ht="46" customHeight="1">
      <x:c r="A1122" s="17" t="str">
        <x:v>us</x:v>
      </x:c>
      <x:c r="B1122" s="17" t="str">
        <x:v>University of Arkansas</x:v>
      </x:c>
      <x:c r="C1122" s="17" t="str">
        <x:v>IPEDS discovery signal: Computer Science (CIP 11.0701)</x:v>
      </x:c>
      <x:c r="D1122" s="17" t="str">
        <x:v>Unclear</x:v>
      </x:c>
      <x:c r="E1122" s="17" t="str">
        <x:v>stage2_screened_out</x:v>
      </x:c>
      <x:c r="F1122" s="17" t="str">
        <x:v>Only one bounded registry/program-code signal was present; no independent topical, Calendar, current-faculty, or first-audit signal was recovered.</x:v>
      </x:c>
      <x:c r="G1122" s="17" t="str">
        <x:v>Does the current official catalog contain a research graduate program matching the applicant's topics?</x:v>
      </x:c>
      <x:c r="H1122" s="17" t="str">
        <x:v>https://www.uark.edu</x:v>
      </x:c>
      <x:c r="I1122" s="17" t="str">
        <x:v>not_sampled</x:v>
      </x:c>
      <x:c r="J1122" s="17" t="str">
        <x:v>not_sampled</x:v>
      </x:c>
    </x:row>
    <x:row r="1123" ht="46" customHeight="1">
      <x:c r="A1123" s="17" t="str">
        <x:v>us</x:v>
      </x:c>
      <x:c r="B1123" s="17" t="str">
        <x:v>University of Arkansas</x:v>
      </x:c>
      <x:c r="C1123" s="17" t="str">
        <x:v>IPEDS discovery signal: Electrical and Electronics Engineering (CIP 14.1001)</x:v>
      </x:c>
      <x:c r="D1123" s="17" t="str">
        <x:v>Unclear</x:v>
      </x:c>
      <x:c r="E1123" s="17" t="str">
        <x:v>stage2_screened_out</x:v>
      </x:c>
      <x:c r="F1123" s="17" t="str">
        <x:v>Only one bounded registry/program-code signal was present; no independent topical, Calendar, current-faculty, or first-audit signal was recovered.</x:v>
      </x:c>
      <x:c r="G1123" s="17" t="str">
        <x:v>Does the current official catalog contain a research graduate program matching the applicant's topics?</x:v>
      </x:c>
      <x:c r="H1123" s="17" t="str">
        <x:v>https://www.uark.edu</x:v>
      </x:c>
      <x:c r="I1123" s="17" t="str">
        <x:v>not_sampled</x:v>
      </x:c>
      <x:c r="J1123" s="17" t="str">
        <x:v>not_sampled</x:v>
      </x:c>
    </x:row>
    <x:row r="1124" ht="46" customHeight="1">
      <x:c r="A1124" s="17" t="str">
        <x:v>us</x:v>
      </x:c>
      <x:c r="B1124" s="17" t="str">
        <x:v>University of Arkansas at Little Rock</x:v>
      </x:c>
      <x:c r="C1124" s="17" t="str">
        <x:v>IPEDS discovery signal: Computer and Information Sciences, General (CIP 11.0101)</x:v>
      </x:c>
      <x:c r="D1124" s="17" t="str">
        <x:v>Unclear</x:v>
      </x:c>
      <x:c r="E1124" s="17" t="str">
        <x:v>stage2_screened_out</x:v>
      </x:c>
      <x:c r="F1124" s="17" t="str">
        <x:v>Only one bounded registry/program-code signal was present; no independent topical, Calendar, current-faculty, or first-audit signal was recovered.</x:v>
      </x:c>
      <x:c r="G1124" s="17" t="str">
        <x:v>Does the current official catalog contain a research graduate program matching the applicant's topics?</x:v>
      </x:c>
      <x:c r="H1124" s="17" t="str">
        <x:v>https://ualr.edu/www</x:v>
      </x:c>
      <x:c r="I1124" s="17" t="str">
        <x:v>not_sampled</x:v>
      </x:c>
      <x:c r="J1124" s="17" t="str">
        <x:v>not_sampled</x:v>
      </x:c>
    </x:row>
    <x:row r="1125" ht="46" customHeight="1">
      <x:c r="A1125" s="17" t="str">
        <x:v>us</x:v>
      </x:c>
      <x:c r="B1125" s="17" t="str">
        <x:v>University of Arkansas at Little Rock</x:v>
      </x:c>
      <x:c r="C1125" s="17" t="str">
        <x:v>IPEDS discovery signal: Computer and Information Sciences, Other (CIP 11.0199)</x:v>
      </x:c>
      <x:c r="D1125" s="17" t="str">
        <x:v>Unclear</x:v>
      </x:c>
      <x:c r="E1125" s="17" t="str">
        <x:v>stage2_screened_out</x:v>
      </x:c>
      <x:c r="F1125" s="17" t="str">
        <x:v>Only one bounded registry/program-code signal was present; no independent topical, Calendar, current-faculty, or first-audit signal was recovered.</x:v>
      </x:c>
      <x:c r="G1125" s="17" t="str">
        <x:v>Does the current official catalog contain a research graduate program matching the applicant's topics?</x:v>
      </x:c>
      <x:c r="H1125" s="17" t="str">
        <x:v>https://ualr.edu/www</x:v>
      </x:c>
      <x:c r="I1125" s="17" t="str">
        <x:v>not_sampled</x:v>
      </x:c>
      <x:c r="J1125" s="17" t="str">
        <x:v>not_sampled</x:v>
      </x:c>
    </x:row>
    <x:row r="1126" ht="46" customHeight="1">
      <x:c r="A1126" s="17" t="str">
        <x:v>us</x:v>
      </x:c>
      <x:c r="B1126" s="17" t="str">
        <x:v>University of Arkansas at Little Rock</x:v>
      </x:c>
      <x:c r="C1126" s="17" t="str">
        <x:v>IPEDS discovery signal: Information Science/Studies (CIP 11.0401)</x:v>
      </x:c>
      <x:c r="D1126" s="17" t="str">
        <x:v>Unclear</x:v>
      </x:c>
      <x:c r="E1126" s="17" t="str">
        <x:v>stage2_screened_out</x:v>
      </x:c>
      <x:c r="F1126" s="17" t="str">
        <x:v>Only one bounded registry/program-code signal was present; no independent topical, Calendar, current-faculty, or first-audit signal was recovered.</x:v>
      </x:c>
      <x:c r="G1126" s="17" t="str">
        <x:v>Does the current official catalog contain a research graduate program matching the applicant's topics?</x:v>
      </x:c>
      <x:c r="H1126" s="17" t="str">
        <x:v>https://ualr.edu/www</x:v>
      </x:c>
      <x:c r="I1126" s="17" t="str">
        <x:v>not_sampled</x:v>
      </x:c>
      <x:c r="J1126" s="17" t="str">
        <x:v>not_sampled</x:v>
      </x:c>
    </x:row>
    <x:row r="1127" ht="46" customHeight="1">
      <x:c r="A1127" s="17" t="str">
        <x:v>us</x:v>
      </x:c>
      <x:c r="B1127" s="17" t="str">
        <x:v>University of Arkansas at Little Rock</x:v>
      </x:c>
      <x:c r="C1127" s="17" t="str">
        <x:v>IPEDS discovery signal: Mechatronics, Robotics, and Automation Engineering (CIP 14.4201)</x:v>
      </x:c>
      <x:c r="D1127" s="17" t="str">
        <x:v>Unclear</x:v>
      </x:c>
      <x:c r="E1127" s="17" t="str">
        <x:v>stage2_screened_out</x:v>
      </x:c>
      <x:c r="F1127" s="17" t="str">
        <x:v>Only one bounded registry/program-code signal was present; no independent topical, Calendar, current-faculty, or first-audit signal was recovered.</x:v>
      </x:c>
      <x:c r="G1127" s="17" t="str">
        <x:v>Does the current official catalog contain a research graduate program matching the applicant's topics?</x:v>
      </x:c>
      <x:c r="H1127" s="17" t="str">
        <x:v>https://ualr.edu/www</x:v>
      </x:c>
      <x:c r="I1127" s="17" t="str">
        <x:v>not_sampled</x:v>
      </x:c>
      <x:c r="J1127" s="17" t="str">
        <x:v>not_sampled</x:v>
      </x:c>
    </x:row>
    <x:row r="1128" ht="46" customHeight="1">
      <x:c r="A1128" s="17" t="str">
        <x:v>us</x:v>
      </x:c>
      <x:c r="B1128" s="17" t="str">
        <x:v>University of Arkansas at Pine Bluff</x:v>
      </x:c>
      <x:c r="C1128" s="17" t="str">
        <x:v>IPEDS discovery signal: Computer and Information Sciences, General (CIP 11.0101)</x:v>
      </x:c>
      <x:c r="D1128" s="17" t="str">
        <x:v>Unclear</x:v>
      </x:c>
      <x:c r="E1128" s="17" t="str">
        <x:v>stage2_screened_out</x:v>
      </x:c>
      <x:c r="F1128" s="17" t="str">
        <x:v>Only one bounded registry/program-code signal was present; no independent topical, Calendar, current-faculty, or first-audit signal was recovered.</x:v>
      </x:c>
      <x:c r="G1128" s="17" t="str">
        <x:v>Does the current official catalog contain a research graduate program matching the applicant's topics?</x:v>
      </x:c>
      <x:c r="H1128" s="17" t="str">
        <x:v>https://www.uapb.edu</x:v>
      </x:c>
      <x:c r="I1128" s="17" t="str">
        <x:v>not_sampled</x:v>
      </x:c>
      <x:c r="J1128" s="17" t="str">
        <x:v>not_sampled</x:v>
      </x:c>
    </x:row>
    <x:row r="1129" ht="46" customHeight="1">
      <x:c r="A1129" s="17" t="str">
        <x:v>us</x:v>
      </x:c>
      <x:c r="B1129" s="17" t="str">
        <x:v>University of Arkansas Grantham</x:v>
      </x:c>
      <x:c r="C1129" s="17" t="str">
        <x:v>IPEDS discovery signal: Information Technology (CIP 11.0103)</x:v>
      </x:c>
      <x:c r="D1129" s="17" t="str">
        <x:v>Unclear</x:v>
      </x:c>
      <x:c r="E1129" s="17" t="str">
        <x:v>stage2_screened_out</x:v>
      </x:c>
      <x:c r="F1129" s="17" t="str">
        <x:v>Only one bounded registry/program-code signal was present; no independent topical, Calendar, current-faculty, or first-audit signal was recovered.</x:v>
      </x:c>
      <x:c r="G1129" s="17" t="str">
        <x:v>Does the current official catalog contain a research graduate program matching the applicant's topics?</x:v>
      </x:c>
      <x:c r="H1129" s="17" t="str">
        <x:v>https://www.uagrantham.edu</x:v>
      </x:c>
      <x:c r="I1129" s="17" t="str">
        <x:v>not_sampled</x:v>
      </x:c>
      <x:c r="J1129" s="17" t="str">
        <x:v>not_sampled</x:v>
      </x:c>
    </x:row>
    <x:row r="1130" ht="46" customHeight="1">
      <x:c r="A1130" s="17" t="str">
        <x:v>us</x:v>
      </x:c>
      <x:c r="B1130" s="17" t="str">
        <x:v>University of Baltimore</x:v>
      </x:c>
      <x:c r="C1130" s="17" t="str">
        <x:v>IPEDS discovery signal: Cyber/Computer Forensics and Counterterrorism (CIP 43.0403)</x:v>
      </x:c>
      <x:c r="D1130" s="17" t="str">
        <x:v>Unclear</x:v>
      </x:c>
      <x:c r="E1130" s="17" t="str">
        <x:v>stage2_screened_out</x:v>
      </x:c>
      <x:c r="F1130" s="17" t="str">
        <x:v>Duplicate mechanical discovery signal consolidated into one institution-level catalog review candidate.</x:v>
      </x:c>
      <x:c r="G1130" s="17" t="str">
        <x:v>Does the current official catalog contain a research graduate program matching the applicant's topics?</x:v>
      </x:c>
      <x:c r="H1130" s="17" t="str">
        <x:v>https://www.ubalt.edu</x:v>
      </x:c>
      <x:c r="I1130" s="17" t="str">
        <x:v>not_sampled</x:v>
      </x:c>
      <x:c r="J1130" s="17" t="str">
        <x:v>not_sampled</x:v>
      </x:c>
    </x:row>
    <x:row r="1131" ht="46" customHeight="1">
      <x:c r="A1131" s="17" t="str">
        <x:v>us</x:v>
      </x:c>
      <x:c r="B1131" s="17" t="str">
        <x:v>University of Bridgeport</x:v>
      </x:c>
      <x:c r="C1131" s="17" t="str">
        <x:v>IPEDS discovery signal: Artificial Intelligence (CIP 11.0102)</x:v>
      </x:c>
      <x:c r="D1131" s="17" t="str">
        <x:v>Unclear</x:v>
      </x:c>
      <x:c r="E1131" s="17" t="str">
        <x:v>stage2_screened_out</x:v>
      </x:c>
      <x:c r="F1131" s="17" t="str">
        <x:v>Only one bounded registry/program-code signal was present; no independent topical, Calendar, current-faculty, or first-audit signal was recovered.</x:v>
      </x:c>
      <x:c r="G1131" s="17" t="str">
        <x:v>Does the current official catalog contain a research graduate program matching the applicant's topics?</x:v>
      </x:c>
      <x:c r="H1131" s="17" t="str">
        <x:v>https://www.bridgeport.edu</x:v>
      </x:c>
      <x:c r="I1131" s="17" t="str">
        <x:v>not_sampled</x:v>
      </x:c>
      <x:c r="J1131" s="17" t="str">
        <x:v>not_sampled</x:v>
      </x:c>
    </x:row>
    <x:row r="1132" ht="46" customHeight="1">
      <x:c r="A1132" s="17" t="str">
        <x:v>us</x:v>
      </x:c>
      <x:c r="B1132" s="17" t="str">
        <x:v>University of Bridgeport</x:v>
      </x:c>
      <x:c r="C1132" s="17" t="str">
        <x:v>IPEDS discovery signal: Computer Engineering, General (CIP 14.0901)</x:v>
      </x:c>
      <x:c r="D1132" s="17" t="str">
        <x:v>Unclear</x:v>
      </x:c>
      <x:c r="E1132" s="17" t="str">
        <x:v>stage2_screened_out</x:v>
      </x:c>
      <x:c r="F1132" s="17" t="str">
        <x:v>Only one bounded registry/program-code signal was present; no independent topical, Calendar, current-faculty, or first-audit signal was recovered.</x:v>
      </x:c>
      <x:c r="G1132" s="17" t="str">
        <x:v>Does the current official catalog contain a research graduate program matching the applicant's topics?</x:v>
      </x:c>
      <x:c r="H1132" s="17" t="str">
        <x:v>https://www.bridgeport.edu</x:v>
      </x:c>
      <x:c r="I1132" s="17" t="str">
        <x:v>not_sampled</x:v>
      </x:c>
      <x:c r="J1132" s="17" t="str">
        <x:v>not_sampled</x:v>
      </x:c>
    </x:row>
    <x:row r="1133" ht="46" customHeight="1">
      <x:c r="A1133" s="17" t="str">
        <x:v>us</x:v>
      </x:c>
      <x:c r="B1133" s="17" t="str">
        <x:v>University of Bridgeport</x:v>
      </x:c>
      <x:c r="C1133" s="17" t="str">
        <x:v>IPEDS discovery signal: Computer Science (CIP 11.0701)</x:v>
      </x:c>
      <x:c r="D1133" s="17" t="str">
        <x:v>Unclear</x:v>
      </x:c>
      <x:c r="E1133" s="17" t="str">
        <x:v>stage2_screened_out</x:v>
      </x:c>
      <x:c r="F1133" s="17" t="str">
        <x:v>Only one bounded registry/program-code signal was present; no independent topical, Calendar, current-faculty, or first-audit signal was recovered.</x:v>
      </x:c>
      <x:c r="G1133" s="17" t="str">
        <x:v>Does the current official catalog contain a research graduate program matching the applicant's topics?</x:v>
      </x:c>
      <x:c r="H1133" s="17" t="str">
        <x:v>https://www.bridgeport.edu</x:v>
      </x:c>
      <x:c r="I1133" s="17" t="str">
        <x:v>not_sampled</x:v>
      </x:c>
      <x:c r="J1133" s="17" t="str">
        <x:v>not_sampled</x:v>
      </x:c>
    </x:row>
    <x:row r="1134" ht="46" customHeight="1">
      <x:c r="A1134" s="17" t="str">
        <x:v>us</x:v>
      </x:c>
      <x:c r="B1134" s="17" t="str">
        <x:v>University of Bridgeport</x:v>
      </x:c>
      <x:c r="C1134" s="17" t="str">
        <x:v>IPEDS discovery signal: Electrical and Electronics Engineering (CIP 14.1001)</x:v>
      </x:c>
      <x:c r="D1134" s="17" t="str">
        <x:v>Unclear</x:v>
      </x:c>
      <x:c r="E1134" s="17" t="str">
        <x:v>stage2_screened_out</x:v>
      </x:c>
      <x:c r="F1134" s="17" t="str">
        <x:v>Only one bounded registry/program-code signal was present; no independent topical, Calendar, current-faculty, or first-audit signal was recovered.</x:v>
      </x:c>
      <x:c r="G1134" s="17" t="str">
        <x:v>Does the current official catalog contain a research graduate program matching the applicant's topics?</x:v>
      </x:c>
      <x:c r="H1134" s="17" t="str">
        <x:v>https://www.bridgeport.edu</x:v>
      </x:c>
      <x:c r="I1134" s="17" t="str">
        <x:v>not_sampled</x:v>
      </x:c>
      <x:c r="J1134" s="17" t="str">
        <x:v>not_sampled</x:v>
      </x:c>
    </x:row>
    <x:row r="1135" ht="46" customHeight="1">
      <x:c r="A1135" s="17" t="str">
        <x:v>us</x:v>
      </x:c>
      <x:c r="B1135" s="17" t="str">
        <x:v>University of California-Berkeley</x:v>
      </x:c>
      <x:c r="C1135" s="17" t="str">
        <x:v>IPEDS discovery signal: Computer Science (CIP 11.0701)</x:v>
      </x:c>
      <x:c r="D1135" s="17" t="str">
        <x:v>Unclear</x:v>
      </x:c>
      <x:c r="E1135" s="17" t="str">
        <x:v>stage2_screened_out</x:v>
      </x:c>
      <x:c r="F1135" s="17" t="str">
        <x:v>Duplicate mechanical discovery signal consolidated into one institution-level catalog review candidate.</x:v>
      </x:c>
      <x:c r="G1135" s="17" t="str">
        <x:v>Does the current official catalog contain a research graduate program matching the applicant's topics?</x:v>
      </x:c>
      <x:c r="H1135" s="17" t="str">
        <x:v>https://www.berkeley.edu</x:v>
      </x:c>
      <x:c r="I1135" s="17" t="str">
        <x:v>not_sampled</x:v>
      </x:c>
      <x:c r="J1135" s="17" t="str">
        <x:v>not_sampled</x:v>
      </x:c>
    </x:row>
    <x:row r="1136" ht="46" customHeight="1">
      <x:c r="A1136" s="17" t="str">
        <x:v>us</x:v>
      </x:c>
      <x:c r="B1136" s="17" t="str">
        <x:v>University of California-Berkeley</x:v>
      </x:c>
      <x:c r="C1136" s="17" t="str">
        <x:v>IPEDS discovery signal: Electrical and Electronics Engineering (CIP 14.1001)</x:v>
      </x:c>
      <x:c r="D1136" s="17" t="str">
        <x:v>Unclear</x:v>
      </x:c>
      <x:c r="E1136" s="17" t="str">
        <x:v>stage2_screened_out</x:v>
      </x:c>
      <x:c r="F1136" s="17" t="str">
        <x:v>Duplicate mechanical discovery signal consolidated into one institution-level catalog review candidate.</x:v>
      </x:c>
      <x:c r="G1136" s="17" t="str">
        <x:v>Does the current official catalog contain a research graduate program matching the applicant's topics?</x:v>
      </x:c>
      <x:c r="H1136" s="17" t="str">
        <x:v>https://www.berkeley.edu</x:v>
      </x:c>
      <x:c r="I1136" s="17" t="str">
        <x:v>not_sampled</x:v>
      </x:c>
      <x:c r="J1136" s="17" t="str">
        <x:v>not_sampled</x:v>
      </x:c>
    </x:row>
    <x:row r="1137" ht="46" customHeight="1">
      <x:c r="A1137" s="17" t="str">
        <x:v>us</x:v>
      </x:c>
      <x:c r="B1137" s="17" t="str">
        <x:v>University of California-Berkeley</x:v>
      </x:c>
      <x:c r="C1137" s="17" t="str">
        <x:v>IPEDS discovery signal: Information Science/Studies (CIP 11.0401)</x:v>
      </x:c>
      <x:c r="D1137" s="17" t="str">
        <x:v>Unclear</x:v>
      </x:c>
      <x:c r="E1137" s="17" t="str">
        <x:v>stage2_screened_out</x:v>
      </x:c>
      <x:c r="F1137" s="17" t="str">
        <x:v>Duplicate mechanical discovery signal consolidated into one institution-level catalog review candidate.</x:v>
      </x:c>
      <x:c r="G1137" s="17" t="str">
        <x:v>Does the current official catalog contain a research graduate program matching the applicant's topics?</x:v>
      </x:c>
      <x:c r="H1137" s="17" t="str">
        <x:v>https://www.berkeley.edu</x:v>
      </x:c>
      <x:c r="I1137" s="17" t="str">
        <x:v>not_sampled</x:v>
      </x:c>
      <x:c r="J1137" s="17" t="str">
        <x:v>not_sampled</x:v>
      </x:c>
    </x:row>
    <x:row r="1138" ht="46" customHeight="1">
      <x:c r="A1138" s="17" t="str">
        <x:v>us</x:v>
      </x:c>
      <x:c r="B1138" s="17" t="str">
        <x:v>University of California-Davis</x:v>
      </x:c>
      <x:c r="C1138" s="17" t="str">
        <x:v>IPEDS discovery signal: Computer Science (CIP 11.0701)</x:v>
      </x:c>
      <x:c r="D1138" s="17" t="str">
        <x:v>Unclear</x:v>
      </x:c>
      <x:c r="E1138" s="17" t="str">
        <x:v>stage2_screened_out</x:v>
      </x:c>
      <x:c r="F1138" s="17" t="str">
        <x:v>Mechanical discovery placeholder is superseded by an exact official program record at the same institution.</x:v>
      </x:c>
      <x:c r="G1138" s="17" t="str">
        <x:v>Does the current official catalog contain a research graduate program matching the applicant's topics?</x:v>
      </x:c>
      <x:c r="H1138" s="17" t="str">
        <x:v>https://ucdavis.edu</x:v>
      </x:c>
      <x:c r="I1138" s="17" t="str">
        <x:v>not_sampled</x:v>
      </x:c>
      <x:c r="J1138" s="17" t="str">
        <x:v>not_sampled</x:v>
      </x:c>
    </x:row>
    <x:row r="1139" ht="46" customHeight="1">
      <x:c r="A1139" s="17" t="str">
        <x:v>us</x:v>
      </x:c>
      <x:c r="B1139" s="17" t="str">
        <x:v>University of California-Davis</x:v>
      </x:c>
      <x:c r="C1139" s="17" t="str">
        <x:v>IPEDS discovery signal: Electrical and Electronics Engineering (CIP 14.1001)</x:v>
      </x:c>
      <x:c r="D1139" s="17" t="str">
        <x:v>Unclear</x:v>
      </x:c>
      <x:c r="E1139" s="17" t="str">
        <x:v>stage2_screened_out</x:v>
      </x:c>
      <x:c r="F1139" s="17" t="str">
        <x:v>Mechanical discovery placeholder is superseded by an exact official program record at the same institution.</x:v>
      </x:c>
      <x:c r="G1139" s="17" t="str">
        <x:v>Does the current official catalog contain a research graduate program matching the applicant's topics?</x:v>
      </x:c>
      <x:c r="H1139" s="17" t="str">
        <x:v>https://ucdavis.edu</x:v>
      </x:c>
      <x:c r="I1139" s="17" t="str">
        <x:v>not_sampled</x:v>
      </x:c>
      <x:c r="J1139" s="17" t="str">
        <x:v>not_sampled</x:v>
      </x:c>
    </x:row>
    <x:row r="1140" ht="46" customHeight="1">
      <x:c r="A1140" s="17" t="str">
        <x:v>us</x:v>
      </x:c>
      <x:c r="B1140" s="17" t="str">
        <x:v>University of California-Irvine</x:v>
      </x:c>
      <x:c r="C1140" s="17" t="str">
        <x:v>IPEDS discovery signal: Computer Engineering, General (CIP 14.0901)</x:v>
      </x:c>
      <x:c r="D1140" s="17" t="str">
        <x:v>Unclear</x:v>
      </x:c>
      <x:c r="E1140" s="17" t="str">
        <x:v>stage2_screened_out</x:v>
      </x:c>
      <x:c r="F1140" s="17" t="str">
        <x:v>Mechanical discovery placeholder is superseded by an exact official program record at the same institution.</x:v>
      </x:c>
      <x:c r="G1140" s="17" t="str">
        <x:v>Does the current official catalog contain a research graduate program matching the applicant's topics?</x:v>
      </x:c>
      <x:c r="H1140" s="17" t="str">
        <x:v>https://www.uci.edu</x:v>
      </x:c>
      <x:c r="I1140" s="17" t="str">
        <x:v>not_sampled</x:v>
      </x:c>
      <x:c r="J1140" s="17" t="str">
        <x:v>not_sampled</x:v>
      </x:c>
    </x:row>
    <x:row r="1141" ht="46" customHeight="1">
      <x:c r="A1141" s="17" t="str">
        <x:v>us</x:v>
      </x:c>
      <x:c r="B1141" s="17" t="str">
        <x:v>University of California-Irvine</x:v>
      </x:c>
      <x:c r="C1141" s="17" t="str">
        <x:v>IPEDS discovery signal: Computer Engineering, Other (CIP 14.0999)</x:v>
      </x:c>
      <x:c r="D1141" s="17" t="str">
        <x:v>Unclear</x:v>
      </x:c>
      <x:c r="E1141" s="17" t="str">
        <x:v>stage2_screened_out</x:v>
      </x:c>
      <x:c r="F1141" s="17" t="str">
        <x:v>Mechanical discovery placeholder is superseded by an exact official program record at the same institution.</x:v>
      </x:c>
      <x:c r="G1141" s="17" t="str">
        <x:v>Does the current official catalog contain a research graduate program matching the applicant's topics?</x:v>
      </x:c>
      <x:c r="H1141" s="17" t="str">
        <x:v>https://www.uci.edu</x:v>
      </x:c>
      <x:c r="I1141" s="17" t="str">
        <x:v>not_sampled</x:v>
      </x:c>
      <x:c r="J1141" s="17" t="str">
        <x:v>not_sampled</x:v>
      </x:c>
    </x:row>
    <x:row r="1142" ht="46" customHeight="1">
      <x:c r="A1142" s="17" t="str">
        <x:v>us</x:v>
      </x:c>
      <x:c r="B1142" s="17" t="str">
        <x:v>University of California-Irvine</x:v>
      </x:c>
      <x:c r="C1142" s="17" t="str">
        <x:v>IPEDS discovery signal: Computer Science (CIP 11.0701)</x:v>
      </x:c>
      <x:c r="D1142" s="17" t="str">
        <x:v>Unclear</x:v>
      </x:c>
      <x:c r="E1142" s="17" t="str">
        <x:v>stage2_screened_out</x:v>
      </x:c>
      <x:c r="F1142" s="17" t="str">
        <x:v>Mechanical discovery placeholder is superseded by an exact official program record at the same institution.</x:v>
      </x:c>
      <x:c r="G1142" s="17" t="str">
        <x:v>Does the current official catalog contain a research graduate program matching the applicant's topics?</x:v>
      </x:c>
      <x:c r="H1142" s="17" t="str">
        <x:v>https://www.uci.edu</x:v>
      </x:c>
      <x:c r="I1142" s="17" t="str">
        <x:v>not_sampled</x:v>
      </x:c>
      <x:c r="J1142" s="17" t="str">
        <x:v>not_sampled</x:v>
      </x:c>
    </x:row>
    <x:row r="1143" ht="46" customHeight="1">
      <x:c r="A1143" s="17" t="str">
        <x:v>us</x:v>
      </x:c>
      <x:c r="B1143" s="17" t="str">
        <x:v>University of California-Irvine</x:v>
      </x:c>
      <x:c r="C1143" s="17" t="str">
        <x:v>IPEDS discovery signal: Computer Software Engineering (CIP 14.0903)</x:v>
      </x:c>
      <x:c r="D1143" s="17" t="str">
        <x:v>Unclear</x:v>
      </x:c>
      <x:c r="E1143" s="17" t="str">
        <x:v>stage2_screened_out</x:v>
      </x:c>
      <x:c r="F1143" s="17" t="str">
        <x:v>Mechanical discovery placeholder is superseded by an exact official program record at the same institution.</x:v>
      </x:c>
      <x:c r="G1143" s="17" t="str">
        <x:v>Does the current official catalog contain a research graduate program matching the applicant's topics?</x:v>
      </x:c>
      <x:c r="H1143" s="17" t="str">
        <x:v>https://www.uci.edu</x:v>
      </x:c>
      <x:c r="I1143" s="17" t="str">
        <x:v>not_sampled</x:v>
      </x:c>
      <x:c r="J1143" s="17" t="str">
        <x:v>not_sampled</x:v>
      </x:c>
    </x:row>
    <x:row r="1144" ht="46" customHeight="1">
      <x:c r="A1144" s="17" t="str">
        <x:v>us</x:v>
      </x:c>
      <x:c r="B1144" s="17" t="str">
        <x:v>University of California-Irvine</x:v>
      </x:c>
      <x:c r="C1144" s="17" t="str">
        <x:v>IPEDS discovery signal: Computer Systems Networking and Telecommunications (CIP 11.0901)</x:v>
      </x:c>
      <x:c r="D1144" s="17" t="str">
        <x:v>Unclear</x:v>
      </x:c>
      <x:c r="E1144" s="17" t="str">
        <x:v>stage2_screened_out</x:v>
      </x:c>
      <x:c r="F1144" s="17" t="str">
        <x:v>Mechanical discovery placeholder is superseded by an exact official program record at the same institution.</x:v>
      </x:c>
      <x:c r="G1144" s="17" t="str">
        <x:v>Does the current official catalog contain a research graduate program matching the applicant's topics?</x:v>
      </x:c>
      <x:c r="H1144" s="17" t="str">
        <x:v>https://www.uci.edu</x:v>
      </x:c>
      <x:c r="I1144" s="17" t="str">
        <x:v>not_sampled</x:v>
      </x:c>
      <x:c r="J1144" s="17" t="str">
        <x:v>not_sampled</x:v>
      </x:c>
    </x:row>
    <x:row r="1145" ht="46" customHeight="1">
      <x:c r="A1145" s="17" t="str">
        <x:v>us</x:v>
      </x:c>
      <x:c r="B1145" s="17" t="str">
        <x:v>University of California-Irvine</x:v>
      </x:c>
      <x:c r="C1145" s="17" t="str">
        <x:v>IPEDS discovery signal: Electrical and Electronics Engineering (CIP 14.1001)</x:v>
      </x:c>
      <x:c r="D1145" s="17" t="str">
        <x:v>Unclear</x:v>
      </x:c>
      <x:c r="E1145" s="17" t="str">
        <x:v>stage2_screened_out</x:v>
      </x:c>
      <x:c r="F1145" s="17" t="str">
        <x:v>Mechanical discovery placeholder is superseded by an exact official program record at the same institution.</x:v>
      </x:c>
      <x:c r="G1145" s="17" t="str">
        <x:v>Does the current official catalog contain a research graduate program matching the applicant's topics?</x:v>
      </x:c>
      <x:c r="H1145" s="17" t="str">
        <x:v>https://www.uci.edu</x:v>
      </x:c>
      <x:c r="I1145" s="17" t="str">
        <x:v>not_sampled</x:v>
      </x:c>
      <x:c r="J1145" s="17" t="str">
        <x:v>not_sampled</x:v>
      </x:c>
    </x:row>
    <x:row r="1146" ht="46" customHeight="1">
      <x:c r="A1146" s="17" t="str">
        <x:v>us</x:v>
      </x:c>
      <x:c r="B1146" s="17" t="str">
        <x:v>University of California-Irvine</x:v>
      </x:c>
      <x:c r="C1146" s="17" t="str">
        <x:v>IPEDS discovery signal: Informatics (CIP 11.0104)</x:v>
      </x:c>
      <x:c r="D1146" s="17" t="str">
        <x:v>Unclear</x:v>
      </x:c>
      <x:c r="E1146" s="17" t="str">
        <x:v>stage2_screened_out</x:v>
      </x:c>
      <x:c r="F1146" s="17" t="str">
        <x:v>Mechanical discovery placeholder is superseded by an exact official program record at the same institution.</x:v>
      </x:c>
      <x:c r="G1146" s="17" t="str">
        <x:v>Does the current official catalog contain a research graduate program matching the applicant's topics?</x:v>
      </x:c>
      <x:c r="H1146" s="17" t="str">
        <x:v>https://www.uci.edu</x:v>
      </x:c>
      <x:c r="I1146" s="17" t="str">
        <x:v>not_sampled</x:v>
      </x:c>
      <x:c r="J1146" s="17" t="str">
        <x:v>not_sampled</x:v>
      </x:c>
    </x:row>
    <x:row r="1147" ht="46" customHeight="1">
      <x:c r="A1147" s="17" t="str">
        <x:v>us</x:v>
      </x:c>
      <x:c r="B1147" s="17" t="str">
        <x:v>University of California-Irvine</x:v>
      </x:c>
      <x:c r="C1147" s="17" t="str">
        <x:v>Ph.D. in Software Engineering</x:v>
      </x:c>
      <x:c r="D1147" s="17" t="str">
        <x:v>PhD</x:v>
      </x:c>
      <x:c r="E1147" s="17" t="str">
        <x:v>stage2_screened_out</x:v>
      </x:c>
      <x:c r="F1147" s="17" t="str">
        <x:v>Duplicate exact program record shares the same canonical official URL; the first-audit or canonical row is retained.</x:v>
      </x:c>
      <x:c r="G1147" s="17" t="str">
        <x:v>Which current supervisors match the applicant and are eligible/available to advise Fall 2027 entrants?</x:v>
      </x:c>
      <x:c r="H1147" s="17" t="str">
        <x:v>https://informatics.ics.uci.edu/phd-software-engineering/</x:v>
      </x:c>
      <x:c r="I1147" s="17" t="str">
        <x:v>not_sampled</x:v>
      </x:c>
      <x:c r="J1147" s="17" t="str">
        <x:v>not_sampled</x:v>
      </x:c>
    </x:row>
    <x:row r="1148" ht="46" customHeight="1">
      <x:c r="A1148" s="17" t="str">
        <x:v>us</x:v>
      </x:c>
      <x:c r="B1148" s="17" t="str">
        <x:v>University of California-Los Angeles</x:v>
      </x:c>
      <x:c r="C1148" s="17" t="str">
        <x:v>IPEDS discovery signal: Computer Engineering, Other (CIP 14.0999)</x:v>
      </x:c>
      <x:c r="D1148" s="17" t="str">
        <x:v>Unclear</x:v>
      </x:c>
      <x:c r="E1148" s="17" t="str">
        <x:v>stage2_screened_out</x:v>
      </x:c>
      <x:c r="F1148" s="17" t="str">
        <x:v>Duplicate mechanical discovery signal consolidated into one institution-level catalog review candidate.</x:v>
      </x:c>
      <x:c r="G1148" s="17" t="str">
        <x:v>Does the current official catalog contain a research graduate program matching the applicant's topics?</x:v>
      </x:c>
      <x:c r="H1148" s="17" t="str">
        <x:v>https://www.ucla.edu</x:v>
      </x:c>
      <x:c r="I1148" s="17" t="str">
        <x:v>not_sampled</x:v>
      </x:c>
      <x:c r="J1148" s="17" t="str">
        <x:v>not_sampled</x:v>
      </x:c>
    </x:row>
    <x:row r="1149" ht="46" customHeight="1">
      <x:c r="A1149" s="17" t="str">
        <x:v>us</x:v>
      </x:c>
      <x:c r="B1149" s="17" t="str">
        <x:v>University of California-Los Angeles</x:v>
      </x:c>
      <x:c r="C1149" s="17" t="str">
        <x:v>IPEDS discovery signal: Electrical and Electronics Engineering (CIP 14.1001)</x:v>
      </x:c>
      <x:c r="D1149" s="17" t="str">
        <x:v>Unclear</x:v>
      </x:c>
      <x:c r="E1149" s="17" t="str">
        <x:v>stage2_screened_out</x:v>
      </x:c>
      <x:c r="F1149" s="17" t="str">
        <x:v>Duplicate mechanical discovery signal consolidated into one institution-level catalog review candidate.</x:v>
      </x:c>
      <x:c r="G1149" s="17" t="str">
        <x:v>Does the current official catalog contain a research graduate program matching the applicant's topics?</x:v>
      </x:c>
      <x:c r="H1149" s="17" t="str">
        <x:v>https://www.ucla.edu</x:v>
      </x:c>
      <x:c r="I1149" s="17" t="str">
        <x:v>not_sampled</x:v>
      </x:c>
      <x:c r="J1149" s="17" t="str">
        <x:v>not_sampled</x:v>
      </x:c>
    </x:row>
    <x:row r="1150" ht="46" customHeight="1">
      <x:c r="A1150" s="17" t="str">
        <x:v>us</x:v>
      </x:c>
      <x:c r="B1150" s="17" t="str">
        <x:v>University of California-Los Angeles</x:v>
      </x:c>
      <x:c r="C1150" s="17" t="str">
        <x:v>IPEDS discovery signal: Information Science/Studies (CIP 11.0401)</x:v>
      </x:c>
      <x:c r="D1150" s="17" t="str">
        <x:v>Unclear</x:v>
      </x:c>
      <x:c r="E1150" s="17" t="str">
        <x:v>stage2_screened_out</x:v>
      </x:c>
      <x:c r="F1150" s="17" t="str">
        <x:v>Duplicate mechanical discovery signal consolidated into one institution-level catalog review candidate.</x:v>
      </x:c>
      <x:c r="G1150" s="17" t="str">
        <x:v>Does the current official catalog contain a research graduate program matching the applicant's topics?</x:v>
      </x:c>
      <x:c r="H1150" s="17" t="str">
        <x:v>https://www.ucla.edu</x:v>
      </x:c>
      <x:c r="I1150" s="17" t="str">
        <x:v>not_sampled</x:v>
      </x:c>
      <x:c r="J1150" s="17" t="str">
        <x:v>not_sampled</x:v>
      </x:c>
    </x:row>
    <x:row r="1151" ht="46" customHeight="1">
      <x:c r="A1151" s="17" t="str">
        <x:v>us</x:v>
      </x:c>
      <x:c r="B1151" s="17" t="str">
        <x:v>University of California-Merced</x:v>
      </x:c>
      <x:c r="C1151" s="17" t="str">
        <x:v>IPEDS discovery signal: Computer Software Engineering (CIP 14.0903)</x:v>
      </x:c>
      <x:c r="D1151" s="17" t="str">
        <x:v>Unclear</x:v>
      </x:c>
      <x:c r="E1151" s="17" t="str">
        <x:v>stage2_screened_out</x:v>
      </x:c>
      <x:c r="F1151" s="17" t="str">
        <x:v>Only one bounded registry/program-code signal was present; no independent topical, Calendar, current-faculty, or first-audit signal was recovered.</x:v>
      </x:c>
      <x:c r="G1151" s="17" t="str">
        <x:v>Does the current official catalog contain a research graduate program matching the applicant's topics?</x:v>
      </x:c>
      <x:c r="H1151" s="17" t="str">
        <x:v>https://ucmerced.edu</x:v>
      </x:c>
      <x:c r="I1151" s="17" t="str">
        <x:v>not_sampled</x:v>
      </x:c>
      <x:c r="J1151" s="17" t="str">
        <x:v>not_sampled</x:v>
      </x:c>
    </x:row>
    <x:row r="1152" ht="46" customHeight="1">
      <x:c r="A1152" s="17" t="str">
        <x:v>us</x:v>
      </x:c>
      <x:c r="B1152" s="17" t="str">
        <x:v>University of California-Riverside</x:v>
      </x:c>
      <x:c r="C1152" s="17" t="str">
        <x:v>IPEDS discovery signal: Computer Engineering, General (CIP 14.0901)</x:v>
      </x:c>
      <x:c r="D1152" s="17" t="str">
        <x:v>Unclear</x:v>
      </x:c>
      <x:c r="E1152" s="17" t="str">
        <x:v>stage2_screened_out</x:v>
      </x:c>
      <x:c r="F1152" s="17" t="str">
        <x:v>Only one bounded registry/program-code signal was present; no independent topical, Calendar, current-faculty, or first-audit signal was recovered.</x:v>
      </x:c>
      <x:c r="G1152" s="17" t="str">
        <x:v>Does the current official catalog contain a research graduate program matching the applicant's topics?</x:v>
      </x:c>
      <x:c r="H1152" s="17" t="str">
        <x:v>https://www.ucr.edu</x:v>
      </x:c>
      <x:c r="I1152" s="17" t="str">
        <x:v>not_sampled</x:v>
      </x:c>
      <x:c r="J1152" s="17" t="str">
        <x:v>not_sampled</x:v>
      </x:c>
    </x:row>
    <x:row r="1153" ht="46" customHeight="1">
      <x:c r="A1153" s="17" t="str">
        <x:v>us</x:v>
      </x:c>
      <x:c r="B1153" s="17" t="str">
        <x:v>University of California-Riverside</x:v>
      </x:c>
      <x:c r="C1153" s="17" t="str">
        <x:v>IPEDS discovery signal: Computer Science (CIP 11.0701)</x:v>
      </x:c>
      <x:c r="D1153" s="17" t="str">
        <x:v>Unclear</x:v>
      </x:c>
      <x:c r="E1153" s="17" t="str">
        <x:v>stage2_screened_out</x:v>
      </x:c>
      <x:c r="F1153" s="17" t="str">
        <x:v>Only one bounded registry/program-code signal was present; no independent topical, Calendar, current-faculty, or first-audit signal was recovered.</x:v>
      </x:c>
      <x:c r="G1153" s="17" t="str">
        <x:v>Does the current official catalog contain a research graduate program matching the applicant's topics?</x:v>
      </x:c>
      <x:c r="H1153" s="17" t="str">
        <x:v>https://www.ucr.edu</x:v>
      </x:c>
      <x:c r="I1153" s="17" t="str">
        <x:v>not_sampled</x:v>
      </x:c>
      <x:c r="J1153" s="17" t="str">
        <x:v>not_sampled</x:v>
      </x:c>
    </x:row>
    <x:row r="1154" ht="46" customHeight="1">
      <x:c r="A1154" s="17" t="str">
        <x:v>us</x:v>
      </x:c>
      <x:c r="B1154" s="17" t="str">
        <x:v>University of California-Riverside</x:v>
      </x:c>
      <x:c r="C1154" s="17" t="str">
        <x:v>IPEDS discovery signal: Electrical and Electronics Engineering (CIP 14.1001)</x:v>
      </x:c>
      <x:c r="D1154" s="17" t="str">
        <x:v>Unclear</x:v>
      </x:c>
      <x:c r="E1154" s="17" t="str">
        <x:v>stage2_screened_out</x:v>
      </x:c>
      <x:c r="F1154" s="17" t="str">
        <x:v>Only one bounded registry/program-code signal was present; no independent topical, Calendar, current-faculty, or first-audit signal was recovered.</x:v>
      </x:c>
      <x:c r="G1154" s="17" t="str">
        <x:v>Does the current official catalog contain a research graduate program matching the applicant's topics?</x:v>
      </x:c>
      <x:c r="H1154" s="17" t="str">
        <x:v>https://www.ucr.edu</x:v>
      </x:c>
      <x:c r="I1154" s="17" t="str">
        <x:v>not_sampled</x:v>
      </x:c>
      <x:c r="J1154" s="17" t="str">
        <x:v>not_sampled</x:v>
      </x:c>
    </x:row>
    <x:row r="1155" ht="46" customHeight="1">
      <x:c r="A1155" s="17" t="str">
        <x:v>us</x:v>
      </x:c>
      <x:c r="B1155" s="17" t="str">
        <x:v>University of California-Riverside</x:v>
      </x:c>
      <x:c r="C1155" s="17" t="str">
        <x:v>IPEDS discovery signal: Mechatronics, Robotics, and Automation Engineering (CIP 14.4201)</x:v>
      </x:c>
      <x:c r="D1155" s="17" t="str">
        <x:v>Unclear</x:v>
      </x:c>
      <x:c r="E1155" s="17" t="str">
        <x:v>stage2_screened_out</x:v>
      </x:c>
      <x:c r="F1155" s="17" t="str">
        <x:v>Only one bounded registry/program-code signal was present; no independent topical, Calendar, current-faculty, or first-audit signal was recovered.</x:v>
      </x:c>
      <x:c r="G1155" s="17" t="str">
        <x:v>Does the current official catalog contain a research graduate program matching the applicant's topics?</x:v>
      </x:c>
      <x:c r="H1155" s="17" t="str">
        <x:v>https://www.ucr.edu</x:v>
      </x:c>
      <x:c r="I1155" s="17" t="str">
        <x:v>not_sampled</x:v>
      </x:c>
      <x:c r="J1155" s="17" t="str">
        <x:v>not_sampled</x:v>
      </x:c>
    </x:row>
    <x:row r="1156" ht="46" customHeight="1">
      <x:c r="A1156" s="17" t="str">
        <x:v>us</x:v>
      </x:c>
      <x:c r="B1156" s="17" t="str">
        <x:v>University of California-San Diego</x:v>
      </x:c>
      <x:c r="C1156" s="17" t="str">
        <x:v>IPEDS discovery signal: Computer and Information Sciences, Other (CIP 11.0199)</x:v>
      </x:c>
      <x:c r="D1156" s="17" t="str">
        <x:v>Unclear</x:v>
      </x:c>
      <x:c r="E1156" s="17" t="str">
        <x:v>stage2_screened_out</x:v>
      </x:c>
      <x:c r="F1156" s="17" t="str">
        <x:v>Duplicate mechanical discovery signal consolidated into one institution-level catalog review candidate.</x:v>
      </x:c>
      <x:c r="G1156" s="17" t="str">
        <x:v>Does the current official catalog contain a research graduate program matching the applicant's topics?</x:v>
      </x:c>
      <x:c r="H1156" s="17" t="str">
        <x:v>https://www.ucsd.edu</x:v>
      </x:c>
      <x:c r="I1156" s="17" t="str">
        <x:v>not_sampled</x:v>
      </x:c>
      <x:c r="J1156" s="17" t="str">
        <x:v>not_sampled</x:v>
      </x:c>
    </x:row>
    <x:row r="1157" ht="46" customHeight="1">
      <x:c r="A1157" s="17" t="str">
        <x:v>us</x:v>
      </x:c>
      <x:c r="B1157" s="17" t="str">
        <x:v>University of California-San Diego</x:v>
      </x:c>
      <x:c r="C1157" s="17" t="str">
        <x:v>IPEDS discovery signal: Computer Hardware Engineering (CIP 14.0902)</x:v>
      </x:c>
      <x:c r="D1157" s="17" t="str">
        <x:v>Unclear</x:v>
      </x:c>
      <x:c r="E1157" s="17" t="str">
        <x:v>stage2_screened_out</x:v>
      </x:c>
      <x:c r="F1157" s="17" t="str">
        <x:v>Duplicate mechanical discovery signal consolidated into one institution-level catalog review candidate.</x:v>
      </x:c>
      <x:c r="G1157" s="17" t="str">
        <x:v>Does the current official catalog contain a research graduate program matching the applicant's topics?</x:v>
      </x:c>
      <x:c r="H1157" s="17" t="str">
        <x:v>https://www.ucsd.edu</x:v>
      </x:c>
      <x:c r="I1157" s="17" t="str">
        <x:v>not_sampled</x:v>
      </x:c>
      <x:c r="J1157" s="17" t="str">
        <x:v>not_sampled</x:v>
      </x:c>
    </x:row>
    <x:row r="1158" ht="46" customHeight="1">
      <x:c r="A1158" s="17" t="str">
        <x:v>us</x:v>
      </x:c>
      <x:c r="B1158" s="17" t="str">
        <x:v>University of California-San Diego</x:v>
      </x:c>
      <x:c r="C1158" s="17" t="str">
        <x:v>IPEDS discovery signal: Computer Science (CIP 11.0701)</x:v>
      </x:c>
      <x:c r="D1158" s="17" t="str">
        <x:v>Unclear</x:v>
      </x:c>
      <x:c r="E1158" s="17" t="str">
        <x:v>stage2_screened_out</x:v>
      </x:c>
      <x:c r="F1158" s="17" t="str">
        <x:v>Duplicate mechanical discovery signal consolidated into one institution-level catalog review candidate.</x:v>
      </x:c>
      <x:c r="G1158" s="17" t="str">
        <x:v>Does the current official catalog contain a research graduate program matching the applicant's topics?</x:v>
      </x:c>
      <x:c r="H1158" s="17" t="str">
        <x:v>https://www.ucsd.edu</x:v>
      </x:c>
      <x:c r="I1158" s="17" t="str">
        <x:v>not_sampled</x:v>
      </x:c>
      <x:c r="J1158" s="17" t="str">
        <x:v>not_sampled</x:v>
      </x:c>
    </x:row>
    <x:row r="1159" ht="46" customHeight="1">
      <x:c r="A1159" s="17" t="str">
        <x:v>us</x:v>
      </x:c>
      <x:c r="B1159" s="17" t="str">
        <x:v>University of California-San Diego</x:v>
      </x:c>
      <x:c r="C1159" s="17" t="str">
        <x:v>IPEDS discovery signal: Data Science, General (CIP 30.7001)</x:v>
      </x:c>
      <x:c r="D1159" s="17" t="str">
        <x:v>Unclear</x:v>
      </x:c>
      <x:c r="E1159" s="17" t="str">
        <x:v>stage2_screened_out</x:v>
      </x:c>
      <x:c r="F1159" s="17" t="str">
        <x:v>Duplicate mechanical discovery signal consolidated into one institution-level catalog review candidate.</x:v>
      </x:c>
      <x:c r="G1159" s="17" t="str">
        <x:v>Does the current official catalog contain a research graduate program matching the applicant's topics?</x:v>
      </x:c>
      <x:c r="H1159" s="17" t="str">
        <x:v>https://www.ucsd.edu</x:v>
      </x:c>
      <x:c r="I1159" s="17" t="str">
        <x:v>not_sampled</x:v>
      </x:c>
      <x:c r="J1159" s="17" t="str">
        <x:v>not_sampled</x:v>
      </x:c>
    </x:row>
    <x:row r="1160" ht="46" customHeight="1">
      <x:c r="A1160" s="17" t="str">
        <x:v>us</x:v>
      </x:c>
      <x:c r="B1160" s="17" t="str">
        <x:v>University of California-San Diego</x:v>
      </x:c>
      <x:c r="C1160" s="17" t="str">
        <x:v>IPEDS discovery signal: Electrical and Electronics Engineering (CIP 14.1001)</x:v>
      </x:c>
      <x:c r="D1160" s="17" t="str">
        <x:v>Unclear</x:v>
      </x:c>
      <x:c r="E1160" s="17" t="str">
        <x:v>stage2_screened_out</x:v>
      </x:c>
      <x:c r="F1160" s="17" t="str">
        <x:v>Duplicate mechanical discovery signal consolidated into one institution-level catalog review candidate.</x:v>
      </x:c>
      <x:c r="G1160" s="17" t="str">
        <x:v>Does the current official catalog contain a research graduate program matching the applicant's topics?</x:v>
      </x:c>
      <x:c r="H1160" s="17" t="str">
        <x:v>https://www.ucsd.edu</x:v>
      </x:c>
      <x:c r="I1160" s="17" t="str">
        <x:v>not_sampled</x:v>
      </x:c>
      <x:c r="J1160" s="17" t="str">
        <x:v>not_sampled</x:v>
      </x:c>
    </x:row>
    <x:row r="1161" ht="46" customHeight="1">
      <x:c r="A1161" s="17" t="str">
        <x:v>us</x:v>
      </x:c>
      <x:c r="B1161" s="17" t="str">
        <x:v>University of California-Santa Barbara</x:v>
      </x:c>
      <x:c r="C1161" s="17" t="str">
        <x:v>IPEDS discovery signal: Data Science, General (CIP 30.7001)</x:v>
      </x:c>
      <x:c r="D1161" s="17" t="str">
        <x:v>Unclear</x:v>
      </x:c>
      <x:c r="E1161" s="17" t="str">
        <x:v>stage2_screened_out</x:v>
      </x:c>
      <x:c r="F1161" s="17" t="str">
        <x:v>Duplicate mechanical discovery signal consolidated into one institution-level catalog review candidate.</x:v>
      </x:c>
      <x:c r="G1161" s="17" t="str">
        <x:v>Does the current official catalog contain a research graduate program matching the applicant's topics?</x:v>
      </x:c>
      <x:c r="H1161" s="17" t="str">
        <x:v>https://www.ucsb.edu</x:v>
      </x:c>
      <x:c r="I1161" s="17" t="str">
        <x:v>not_sampled</x:v>
      </x:c>
      <x:c r="J1161" s="17" t="str">
        <x:v>not_sampled</x:v>
      </x:c>
    </x:row>
    <x:row r="1162" ht="46" customHeight="1">
      <x:c r="A1162" s="17" t="str">
        <x:v>us</x:v>
      </x:c>
      <x:c r="B1162" s="17" t="str">
        <x:v>University of California-Santa Barbara</x:v>
      </x:c>
      <x:c r="C1162" s="17" t="str">
        <x:v>IPEDS discovery signal: Electrical and Electronics Engineering (CIP 14.1001)</x:v>
      </x:c>
      <x:c r="D1162" s="17" t="str">
        <x:v>Unclear</x:v>
      </x:c>
      <x:c r="E1162" s="17" t="str">
        <x:v>stage2_screened_out</x:v>
      </x:c>
      <x:c r="F1162" s="17" t="str">
        <x:v>Duplicate mechanical discovery signal consolidated into one institution-level catalog review candidate.</x:v>
      </x:c>
      <x:c r="G1162" s="17" t="str">
        <x:v>Does the current official catalog contain a research graduate program matching the applicant's topics?</x:v>
      </x:c>
      <x:c r="H1162" s="17" t="str">
        <x:v>https://www.ucsb.edu</x:v>
      </x:c>
      <x:c r="I1162" s="17" t="str">
        <x:v>not_sampled</x:v>
      </x:c>
      <x:c r="J1162" s="17" t="str">
        <x:v>not_sampled</x:v>
      </x:c>
    </x:row>
    <x:row r="1163" ht="46" customHeight="1">
      <x:c r="A1163" s="17" t="str">
        <x:v>us</x:v>
      </x:c>
      <x:c r="B1163" s="17" t="str">
        <x:v>University of California-Santa Cruz</x:v>
      </x:c>
      <x:c r="C1163" s="17" t="str">
        <x:v>IPEDS discovery signal: Computer and Information Sciences, Other (CIP 11.0199)</x:v>
      </x:c>
      <x:c r="D1163" s="17" t="str">
        <x:v>Unclear</x:v>
      </x:c>
      <x:c r="E1163" s="17" t="str">
        <x:v>stage2_screened_out</x:v>
      </x:c>
      <x:c r="F1163" s="17" t="str">
        <x:v>Duplicate mechanical discovery signal consolidated into one institution-level catalog review candidate.</x:v>
      </x:c>
      <x:c r="G1163" s="17" t="str">
        <x:v>Does the current official catalog contain a research graduate program matching the applicant's topics?</x:v>
      </x:c>
      <x:c r="H1163" s="17" t="str">
        <x:v>https://www.ucsc.edu</x:v>
      </x:c>
      <x:c r="I1163" s="17" t="str">
        <x:v>not_sampled</x:v>
      </x:c>
      <x:c r="J1163" s="17" t="str">
        <x:v>not_sampled</x:v>
      </x:c>
    </x:row>
    <x:row r="1164" ht="46" customHeight="1">
      <x:c r="A1164" s="17" t="str">
        <x:v>us</x:v>
      </x:c>
      <x:c r="B1164" s="17" t="str">
        <x:v>University of California-Santa Cruz</x:v>
      </x:c>
      <x:c r="C1164" s="17" t="str">
        <x:v>IPEDS discovery signal: Computer Engineering, General (CIP 14.0901)</x:v>
      </x:c>
      <x:c r="D1164" s="17" t="str">
        <x:v>Unclear</x:v>
      </x:c>
      <x:c r="E1164" s="17" t="str">
        <x:v>stage2_screened_out</x:v>
      </x:c>
      <x:c r="F1164" s="17" t="str">
        <x:v>Duplicate mechanical discovery signal consolidated into one institution-level catalog review candidate.</x:v>
      </x:c>
      <x:c r="G1164" s="17" t="str">
        <x:v>Does the current official catalog contain a research graduate program matching the applicant's topics?</x:v>
      </x:c>
      <x:c r="H1164" s="17" t="str">
        <x:v>https://www.ucsc.edu</x:v>
      </x:c>
      <x:c r="I1164" s="17" t="str">
        <x:v>not_sampled</x:v>
      </x:c>
      <x:c r="J1164" s="17" t="str">
        <x:v>not_sampled</x:v>
      </x:c>
    </x:row>
    <x:row r="1165" ht="46" customHeight="1">
      <x:c r="A1165" s="17" t="str">
        <x:v>us</x:v>
      </x:c>
      <x:c r="B1165" s="17" t="str">
        <x:v>University of California-Santa Cruz</x:v>
      </x:c>
      <x:c r="C1165" s="17" t="str">
        <x:v>IPEDS discovery signal: Computer Science (CIP 11.0701)</x:v>
      </x:c>
      <x:c r="D1165" s="17" t="str">
        <x:v>Unclear</x:v>
      </x:c>
      <x:c r="E1165" s="17" t="str">
        <x:v>stage2_screened_out</x:v>
      </x:c>
      <x:c r="F1165" s="17" t="str">
        <x:v>Duplicate mechanical discovery signal consolidated into one institution-level catalog review candidate.</x:v>
      </x:c>
      <x:c r="G1165" s="17" t="str">
        <x:v>Does the current official catalog contain a research graduate program matching the applicant's topics?</x:v>
      </x:c>
      <x:c r="H1165" s="17" t="str">
        <x:v>https://www.ucsc.edu</x:v>
      </x:c>
      <x:c r="I1165" s="17" t="str">
        <x:v>not_sampled</x:v>
      </x:c>
      <x:c r="J1165" s="17" t="str">
        <x:v>not_sampled</x:v>
      </x:c>
    </x:row>
    <x:row r="1166" ht="46" customHeight="1">
      <x:c r="A1166" s="17" t="str">
        <x:v>us</x:v>
      </x:c>
      <x:c r="B1166" s="17" t="str">
        <x:v>University of California-Santa Cruz</x:v>
      </x:c>
      <x:c r="C1166" s="17" t="str">
        <x:v>IPEDS discovery signal: Electrical and Electronics Engineering (CIP 14.1001)</x:v>
      </x:c>
      <x:c r="D1166" s="17" t="str">
        <x:v>Unclear</x:v>
      </x:c>
      <x:c r="E1166" s="17" t="str">
        <x:v>stage2_screened_out</x:v>
      </x:c>
      <x:c r="F1166" s="17" t="str">
        <x:v>Duplicate mechanical discovery signal consolidated into one institution-level catalog review candidate.</x:v>
      </x:c>
      <x:c r="G1166" s="17" t="str">
        <x:v>Does the current official catalog contain a research graduate program matching the applicant's topics?</x:v>
      </x:c>
      <x:c r="H1166" s="17" t="str">
        <x:v>https://www.ucsc.edu</x:v>
      </x:c>
      <x:c r="I1166" s="17" t="str">
        <x:v>not_sampled</x:v>
      </x:c>
      <x:c r="J1166" s="17" t="str">
        <x:v>not_sampled</x:v>
      </x:c>
    </x:row>
    <x:row r="1167" ht="46" customHeight="1">
      <x:c r="A1167" s="17" t="str">
        <x:v>us</x:v>
      </x:c>
      <x:c r="B1167" s="17" t="str">
        <x:v>University of Central Arkansas</x:v>
      </x:c>
      <x:c r="C1167" s="17" t="str">
        <x:v>IPEDS discovery signal: Computer Science (CIP 11.0701)</x:v>
      </x:c>
      <x:c r="D1167" s="17" t="str">
        <x:v>Unclear</x:v>
      </x:c>
      <x:c r="E1167" s="17" t="str">
        <x:v>stage2_screened_out</x:v>
      </x:c>
      <x:c r="F1167" s="17" t="str">
        <x:v>Only one bounded registry/program-code signal was present; no independent topical, Calendar, current-faculty, or first-audit signal was recovered.</x:v>
      </x:c>
      <x:c r="G1167" s="17" t="str">
        <x:v>Does the current official catalog contain a research graduate program matching the applicant's topics?</x:v>
      </x:c>
      <x:c r="H1167" s="17" t="str">
        <x:v>https://www.uca.edu</x:v>
      </x:c>
      <x:c r="I1167" s="17" t="str">
        <x:v>not_sampled</x:v>
      </x:c>
      <x:c r="J1167" s="17" t="str">
        <x:v>not_sampled</x:v>
      </x:c>
    </x:row>
    <x:row r="1168" ht="46" customHeight="1">
      <x:c r="A1168" s="17" t="str">
        <x:v>us</x:v>
      </x:c>
      <x:c r="B1168" s="17" t="str">
        <x:v>University of Central Florida</x:v>
      </x:c>
      <x:c r="C1168" s="17" t="str">
        <x:v>IPEDS discovery signal: Artificial Intelligence (CIP 11.0102)</x:v>
      </x:c>
      <x:c r="D1168" s="17" t="str">
        <x:v>Unclear</x:v>
      </x:c>
      <x:c r="E1168" s="17" t="str">
        <x:v>stage2_screened_out</x:v>
      </x:c>
      <x:c r="F1168" s="17" t="str">
        <x:v>Duplicate mechanical discovery signal consolidated into one institution-level catalog review candidate.</x:v>
      </x:c>
      <x:c r="G1168" s="17" t="str">
        <x:v>Does the current official catalog contain a research graduate program matching the applicant's topics?</x:v>
      </x:c>
      <x:c r="H1168" s="17" t="str">
        <x:v>https://www.ucf.edu</x:v>
      </x:c>
      <x:c r="I1168" s="17" t="str">
        <x:v>not_sampled</x:v>
      </x:c>
      <x:c r="J1168" s="17" t="str">
        <x:v>not_sampled</x:v>
      </x:c>
    </x:row>
    <x:row r="1169" ht="46" customHeight="1">
      <x:c r="A1169" s="17" t="str">
        <x:v>us</x:v>
      </x:c>
      <x:c r="B1169" s="17" t="str">
        <x:v>University of Central Florida</x:v>
      </x:c>
      <x:c r="C1169" s="17" t="str">
        <x:v>IPEDS discovery signal: Computer and Information Sciences, General (CIP 11.0101)</x:v>
      </x:c>
      <x:c r="D1169" s="17" t="str">
        <x:v>Unclear</x:v>
      </x:c>
      <x:c r="E1169" s="17" t="str">
        <x:v>stage2_screened_out</x:v>
      </x:c>
      <x:c r="F1169" s="17" t="str">
        <x:v>Duplicate mechanical discovery signal consolidated into one institution-level catalog review candidate.</x:v>
      </x:c>
      <x:c r="G1169" s="17" t="str">
        <x:v>Does the current official catalog contain a research graduate program matching the applicant's topics?</x:v>
      </x:c>
      <x:c r="H1169" s="17" t="str">
        <x:v>https://www.ucf.edu</x:v>
      </x:c>
      <x:c r="I1169" s="17" t="str">
        <x:v>not_sampled</x:v>
      </x:c>
      <x:c r="J1169" s="17" t="str">
        <x:v>not_sampled</x:v>
      </x:c>
    </x:row>
    <x:row r="1170" ht="46" customHeight="1">
      <x:c r="A1170" s="17" t="str">
        <x:v>us</x:v>
      </x:c>
      <x:c r="B1170" s="17" t="str">
        <x:v>University of Central Florida</x:v>
      </x:c>
      <x:c r="C1170" s="17" t="str">
        <x:v>IPEDS discovery signal: Computer and Information Sciences, Other (CIP 11.0199)</x:v>
      </x:c>
      <x:c r="D1170" s="17" t="str">
        <x:v>Unclear</x:v>
      </x:c>
      <x:c r="E1170" s="17" t="str">
        <x:v>stage2_screened_out</x:v>
      </x:c>
      <x:c r="F1170" s="17" t="str">
        <x:v>Duplicate mechanical discovery signal consolidated into one institution-level catalog review candidate.</x:v>
      </x:c>
      <x:c r="G1170" s="17" t="str">
        <x:v>Does the current official catalog contain a research graduate program matching the applicant's topics?</x:v>
      </x:c>
      <x:c r="H1170" s="17" t="str">
        <x:v>https://www.ucf.edu</x:v>
      </x:c>
      <x:c r="I1170" s="17" t="str">
        <x:v>not_sampled</x:v>
      </x:c>
      <x:c r="J1170" s="17" t="str">
        <x:v>not_sampled</x:v>
      </x:c>
    </x:row>
    <x:row r="1171" ht="46" customHeight="1">
      <x:c r="A1171" s="17" t="str">
        <x:v>us</x:v>
      </x:c>
      <x:c r="B1171" s="17" t="str">
        <x:v>University of Central Florida</x:v>
      </x:c>
      <x:c r="C1171" s="17" t="str">
        <x:v>IPEDS discovery signal: Computer Engineering, General (CIP 14.0901)</x:v>
      </x:c>
      <x:c r="D1171" s="17" t="str">
        <x:v>Unclear</x:v>
      </x:c>
      <x:c r="E1171" s="17" t="str">
        <x:v>stage2_screened_out</x:v>
      </x:c>
      <x:c r="F1171" s="17" t="str">
        <x:v>Duplicate mechanical discovery signal consolidated into one institution-level catalog review candidate.</x:v>
      </x:c>
      <x:c r="G1171" s="17" t="str">
        <x:v>Does the current official catalog contain a research graduate program matching the applicant's topics?</x:v>
      </x:c>
      <x:c r="H1171" s="17" t="str">
        <x:v>https://www.ucf.edu</x:v>
      </x:c>
      <x:c r="I1171" s="17" t="str">
        <x:v>not_sampled</x:v>
      </x:c>
      <x:c r="J1171" s="17" t="str">
        <x:v>not_sampled</x:v>
      </x:c>
    </x:row>
    <x:row r="1172" ht="46" customHeight="1">
      <x:c r="A1172" s="17" t="str">
        <x:v>us</x:v>
      </x:c>
      <x:c r="B1172" s="17" t="str">
        <x:v>University of Central Florida</x:v>
      </x:c>
      <x:c r="C1172" s="17" t="str">
        <x:v>IPEDS discovery signal: Electrical and Electronics Engineering (CIP 14.1001)</x:v>
      </x:c>
      <x:c r="D1172" s="17" t="str">
        <x:v>Unclear</x:v>
      </x:c>
      <x:c r="E1172" s="17" t="str">
        <x:v>stage2_screened_out</x:v>
      </x:c>
      <x:c r="F1172" s="17" t="str">
        <x:v>Duplicate mechanical discovery signal consolidated into one institution-level catalog review candidate.</x:v>
      </x:c>
      <x:c r="G1172" s="17" t="str">
        <x:v>Does the current official catalog contain a research graduate program matching the applicant's topics?</x:v>
      </x:c>
      <x:c r="H1172" s="17" t="str">
        <x:v>https://www.ucf.edu</x:v>
      </x:c>
      <x:c r="I1172" s="17" t="str">
        <x:v>not_sampled</x:v>
      </x:c>
      <x:c r="J1172" s="17" t="str">
        <x:v>not_sampled</x:v>
      </x:c>
    </x:row>
    <x:row r="1173" ht="46" customHeight="1">
      <x:c r="A1173" s="17" t="str">
        <x:v>us</x:v>
      </x:c>
      <x:c r="B1173" s="17" t="str">
        <x:v>University of Central Missouri</x:v>
      </x:c>
      <x:c r="C1173" s="17" t="str">
        <x:v>IPEDS discovery signal: Computer and Information Systems Security/Auditing/Information Assurance (CIP 11.1003)</x:v>
      </x:c>
      <x:c r="D1173" s="17" t="str">
        <x:v>Unclear</x:v>
      </x:c>
      <x:c r="E1173" s="17" t="str">
        <x:v>stage2_screened_out</x:v>
      </x:c>
      <x:c r="F1173" s="17" t="str">
        <x:v>Only one bounded registry/program-code signal was present; no independent topical, Calendar, current-faculty, or first-audit signal was recovered.</x:v>
      </x:c>
      <x:c r="G1173" s="17" t="str">
        <x:v>Does the current official catalog contain a research graduate program matching the applicant's topics?</x:v>
      </x:c>
      <x:c r="H1173" s="17" t="str">
        <x:v>https://www.ucmo.edu</x:v>
      </x:c>
      <x:c r="I1173" s="17" t="str">
        <x:v>not_sampled</x:v>
      </x:c>
      <x:c r="J1173" s="17" t="str">
        <x:v>not_sampled</x:v>
      </x:c>
    </x:row>
    <x:row r="1174" ht="46" customHeight="1">
      <x:c r="A1174" s="17" t="str">
        <x:v>us</x:v>
      </x:c>
      <x:c r="B1174" s="17" t="str">
        <x:v>University of Central Missouri</x:v>
      </x:c>
      <x:c r="C1174" s="17" t="str">
        <x:v>IPEDS discovery signal: Computer Science (CIP 11.0701)</x:v>
      </x:c>
      <x:c r="D1174" s="17" t="str">
        <x:v>Unclear</x:v>
      </x:c>
      <x:c r="E1174" s="17" t="str">
        <x:v>stage2_screened_out</x:v>
      </x:c>
      <x:c r="F1174" s="17" t="str">
        <x:v>Only one bounded registry/program-code signal was present; no independent topical, Calendar, current-faculty, or first-audit signal was recovered.</x:v>
      </x:c>
      <x:c r="G1174" s="17" t="str">
        <x:v>Does the current official catalog contain a research graduate program matching the applicant's topics?</x:v>
      </x:c>
      <x:c r="H1174" s="17" t="str">
        <x:v>https://www.ucmo.edu</x:v>
      </x:c>
      <x:c r="I1174" s="17" t="str">
        <x:v>not_sampled</x:v>
      </x:c>
      <x:c r="J1174" s="17" t="str">
        <x:v>not_sampled</x:v>
      </x:c>
    </x:row>
    <x:row r="1175" ht="46" customHeight="1">
      <x:c r="A1175" s="17" t="str">
        <x:v>us</x:v>
      </x:c>
      <x:c r="B1175" s="17" t="str">
        <x:v>University of Central Missouri</x:v>
      </x:c>
      <x:c r="C1175" s="17" t="str">
        <x:v>IPEDS discovery signal: Information Technology (CIP 11.0103)</x:v>
      </x:c>
      <x:c r="D1175" s="17" t="str">
        <x:v>Unclear</x:v>
      </x:c>
      <x:c r="E1175" s="17" t="str">
        <x:v>stage2_screened_out</x:v>
      </x:c>
      <x:c r="F1175" s="17" t="str">
        <x:v>Only one bounded registry/program-code signal was present; no independent topical, Calendar, current-faculty, or first-audit signal was recovered.</x:v>
      </x:c>
      <x:c r="G1175" s="17" t="str">
        <x:v>Does the current official catalog contain a research graduate program matching the applicant's topics?</x:v>
      </x:c>
      <x:c r="H1175" s="17" t="str">
        <x:v>https://www.ucmo.edu</x:v>
      </x:c>
      <x:c r="I1175" s="17" t="str">
        <x:v>not_sampled</x:v>
      </x:c>
      <x:c r="J1175" s="17" t="str">
        <x:v>not_sampled</x:v>
      </x:c>
    </x:row>
    <x:row r="1176" ht="46" customHeight="1">
      <x:c r="A1176" s="17" t="str">
        <x:v>us</x:v>
      </x:c>
      <x:c r="B1176" s="17" t="str">
        <x:v>University of Central Oklahoma</x:v>
      </x:c>
      <x:c r="C1176" s="17" t="str">
        <x:v>IPEDS discovery signal: Computer Science (CIP 11.0701)</x:v>
      </x:c>
      <x:c r="D1176" s="17" t="str">
        <x:v>Unclear</x:v>
      </x:c>
      <x:c r="E1176" s="17" t="str">
        <x:v>stage2_screened_out</x:v>
      </x:c>
      <x:c r="F1176" s="17" t="str">
        <x:v>Only one bounded registry/program-code signal was present; no independent topical, Calendar, current-faculty, or first-audit signal was recovered.</x:v>
      </x:c>
      <x:c r="G1176" s="17" t="str">
        <x:v>Does the current official catalog contain a research graduate program matching the applicant's topics?</x:v>
      </x:c>
      <x:c r="H1176" s="17" t="str">
        <x:v>https://www.uco.edu</x:v>
      </x:c>
      <x:c r="I1176" s="17" t="str">
        <x:v>not_sampled</x:v>
      </x:c>
      <x:c r="J1176" s="17" t="str">
        <x:v>not_sampled</x:v>
      </x:c>
    </x:row>
    <x:row r="1177" ht="46" customHeight="1">
      <x:c r="A1177" s="17" t="str">
        <x:v>us</x:v>
      </x:c>
      <x:c r="B1177" s="17" t="str">
        <x:v>University of Central Oklahoma</x:v>
      </x:c>
      <x:c r="C1177" s="17" t="str">
        <x:v>IPEDS discovery signal: Cyber/Computer Forensics and Counterterrorism (CIP 43.0403)</x:v>
      </x:c>
      <x:c r="D1177" s="17" t="str">
        <x:v>Unclear</x:v>
      </x:c>
      <x:c r="E1177" s="17" t="str">
        <x:v>stage2_screened_out</x:v>
      </x:c>
      <x:c r="F1177" s="17" t="str">
        <x:v>Only one bounded registry/program-code signal was present; no independent topical, Calendar, current-faculty, or first-audit signal was recovered.</x:v>
      </x:c>
      <x:c r="G1177" s="17" t="str">
        <x:v>Does the current official catalog contain a research graduate program matching the applicant's topics?</x:v>
      </x:c>
      <x:c r="H1177" s="17" t="str">
        <x:v>https://www.uco.edu</x:v>
      </x:c>
      <x:c r="I1177" s="17" t="str">
        <x:v>not_sampled</x:v>
      </x:c>
      <x:c r="J1177" s="17" t="str">
        <x:v>not_sampled</x:v>
      </x:c>
    </x:row>
    <x:row r="1178" ht="46" customHeight="1">
      <x:c r="A1178" s="17" t="str">
        <x:v>us</x:v>
      </x:c>
      <x:c r="B1178" s="17" t="str">
        <x:v>University of Central Oklahoma</x:v>
      </x:c>
      <x:c r="C1178" s="17" t="str">
        <x:v>IPEDS discovery signal: Electrical and Electronics Engineering (CIP 14.1001)</x:v>
      </x:c>
      <x:c r="D1178" s="17" t="str">
        <x:v>Unclear</x:v>
      </x:c>
      <x:c r="E1178" s="17" t="str">
        <x:v>stage2_screened_out</x:v>
      </x:c>
      <x:c r="F1178" s="17" t="str">
        <x:v>Only one bounded registry/program-code signal was present; no independent topical, Calendar, current-faculty, or first-audit signal was recovered.</x:v>
      </x:c>
      <x:c r="G1178" s="17" t="str">
        <x:v>Does the current official catalog contain a research graduate program matching the applicant's topics?</x:v>
      </x:c>
      <x:c r="H1178" s="17" t="str">
        <x:v>https://www.uco.edu</x:v>
      </x:c>
      <x:c r="I1178" s="17" t="str">
        <x:v>not_sampled</x:v>
      </x:c>
      <x:c r="J1178" s="17" t="str">
        <x:v>not_sampled</x:v>
      </x:c>
    </x:row>
    <x:row r="1179" ht="46" customHeight="1">
      <x:c r="A1179" s="17" t="str">
        <x:v>us</x:v>
      </x:c>
      <x:c r="B1179" s="17" t="str">
        <x:v>University of Charleston</x:v>
      </x:c>
      <x:c r="C1179" s="17" t="str">
        <x:v>IPEDS discovery signal: Cyber/Computer Forensics and Counterterrorism (CIP 43.0403)</x:v>
      </x:c>
      <x:c r="D1179" s="17" t="str">
        <x:v>Unclear</x:v>
      </x:c>
      <x:c r="E1179" s="17" t="str">
        <x:v>stage2_screened_out</x:v>
      </x:c>
      <x:c r="F1179" s="17" t="str">
        <x:v>Only one bounded registry/program-code signal was present; no independent topical, Calendar, current-faculty, or first-audit signal was recovered.</x:v>
      </x:c>
      <x:c r="G1179" s="17" t="str">
        <x:v>Does the current official catalog contain a research graduate program matching the applicant's topics?</x:v>
      </x:c>
      <x:c r="H1179" s="17" t="str">
        <x:v>https://www.ucwv.edu</x:v>
      </x:c>
      <x:c r="I1179" s="17" t="str">
        <x:v>not_sampled</x:v>
      </x:c>
      <x:c r="J1179" s="17" t="str">
        <x:v>not_sampled</x:v>
      </x:c>
    </x:row>
    <x:row r="1180" ht="46" customHeight="1">
      <x:c r="A1180" s="17" t="str">
        <x:v>us</x:v>
      </x:c>
      <x:c r="B1180" s="17" t="str">
        <x:v>University of Chicago</x:v>
      </x:c>
      <x:c r="C1180" s="17" t="str">
        <x:v>IPEDS discovery signal: Computer and Information Sciences, Other (CIP 11.0199)</x:v>
      </x:c>
      <x:c r="D1180" s="17" t="str">
        <x:v>Unclear</x:v>
      </x:c>
      <x:c r="E1180" s="17" t="str">
        <x:v>stage2_screened_out</x:v>
      </x:c>
      <x:c r="F1180" s="17" t="str">
        <x:v>Duplicate mechanical discovery signal consolidated into one institution-level catalog review candidate.</x:v>
      </x:c>
      <x:c r="G1180" s="17" t="str">
        <x:v>Does the current official catalog contain a research graduate program matching the applicant's topics?</x:v>
      </x:c>
      <x:c r="H1180" s="17" t="str">
        <x:v>https://www.uchicago.edu</x:v>
      </x:c>
      <x:c r="I1180" s="17" t="str">
        <x:v>not_sampled</x:v>
      </x:c>
      <x:c r="J1180" s="17" t="str">
        <x:v>not_sampled</x:v>
      </x:c>
    </x:row>
    <x:row r="1181" ht="46" customHeight="1">
      <x:c r="A1181" s="17" t="str">
        <x:v>us</x:v>
      </x:c>
      <x:c r="B1181" s="17" t="str">
        <x:v>University of Chicago</x:v>
      </x:c>
      <x:c r="C1181" s="17" t="str">
        <x:v>IPEDS discovery signal: Data Analytics, General (CIP 30.7101)</x:v>
      </x:c>
      <x:c r="D1181" s="17" t="str">
        <x:v>Unclear</x:v>
      </x:c>
      <x:c r="E1181" s="17" t="str">
        <x:v>stage2_screened_out</x:v>
      </x:c>
      <x:c r="F1181" s="17" t="str">
        <x:v>Duplicate mechanical discovery signal consolidated into one institution-level catalog review candidate.</x:v>
      </x:c>
      <x:c r="G1181" s="17" t="str">
        <x:v>Does the current official catalog contain a research graduate program matching the applicant's topics?</x:v>
      </x:c>
      <x:c r="H1181" s="17" t="str">
        <x:v>https://www.uchicago.edu</x:v>
      </x:c>
      <x:c r="I1181" s="17" t="str">
        <x:v>not_sampled</x:v>
      </x:c>
      <x:c r="J1181" s="17" t="str">
        <x:v>not_sampled</x:v>
      </x:c>
    </x:row>
    <x:row r="1182" ht="46" customHeight="1">
      <x:c r="A1182" s="17" t="str">
        <x:v>us</x:v>
      </x:c>
      <x:c r="B1182" s="17" t="str">
        <x:v>University of Chicago</x:v>
      </x:c>
      <x:c r="C1182" s="17" t="str">
        <x:v>IPEDS discovery signal: Information Science/Studies (CIP 11.0401)</x:v>
      </x:c>
      <x:c r="D1182" s="17" t="str">
        <x:v>Unclear</x:v>
      </x:c>
      <x:c r="E1182" s="17" t="str">
        <x:v>stage2_screened_out</x:v>
      </x:c>
      <x:c r="F1182" s="17" t="str">
        <x:v>Duplicate mechanical discovery signal consolidated into one institution-level catalog review candidate.</x:v>
      </x:c>
      <x:c r="G1182" s="17" t="str">
        <x:v>Does the current official catalog contain a research graduate program matching the applicant's topics?</x:v>
      </x:c>
      <x:c r="H1182" s="17" t="str">
        <x:v>https://www.uchicago.edu</x:v>
      </x:c>
      <x:c r="I1182" s="17" t="str">
        <x:v>not_sampled</x:v>
      </x:c>
      <x:c r="J1182" s="17" t="str">
        <x:v>not_sampled</x:v>
      </x:c>
    </x:row>
    <x:row r="1183" ht="46" customHeight="1">
      <x:c r="A1183" s="17" t="str">
        <x:v>us</x:v>
      </x:c>
      <x:c r="B1183" s="17" t="str">
        <x:v>University of Cincinnati-Main Campus</x:v>
      </x:c>
      <x:c r="C1183" s="17" t="str">
        <x:v>IPEDS discovery signal: Computer and Information Sciences, General (CIP 11.0101)</x:v>
      </x:c>
      <x:c r="D1183" s="17" t="str">
        <x:v>Unclear</x:v>
      </x:c>
      <x:c r="E1183" s="17" t="str">
        <x:v>stage2_screened_out</x:v>
      </x:c>
      <x:c r="F1183" s="17" t="str">
        <x:v>Duplicate mechanical discovery signal consolidated into one institution-level catalog review candidate.</x:v>
      </x:c>
      <x:c r="G1183" s="17" t="str">
        <x:v>Does the current official catalog contain a research graduate program matching the applicant's topics?</x:v>
      </x:c>
      <x:c r="H1183" s="17" t="str">
        <x:v>https://www.uc.edu</x:v>
      </x:c>
      <x:c r="I1183" s="17" t="str">
        <x:v>false_negative_corrected</x:v>
      </x:c>
      <x:c r="J1183" s="17" t="str">
        <x:v>confirmed</x:v>
      </x:c>
    </x:row>
    <x:row r="1184" ht="46" customHeight="1">
      <x:c r="A1184" s="17" t="str">
        <x:v>us</x:v>
      </x:c>
      <x:c r="B1184" s="17" t="str">
        <x:v>University of Cincinnati-Main Campus</x:v>
      </x:c>
      <x:c r="C1184" s="17" t="str">
        <x:v>IPEDS discovery signal: Computer Engineering, General (CIP 14.0901)</x:v>
      </x:c>
      <x:c r="D1184" s="17" t="str">
        <x:v>Unclear</x:v>
      </x:c>
      <x:c r="E1184" s="17" t="str">
        <x:v>stage2_screened_out</x:v>
      </x:c>
      <x:c r="F1184" s="17" t="str">
        <x:v>Duplicate mechanical discovery signal consolidated into one institution-level catalog review candidate.</x:v>
      </x:c>
      <x:c r="G1184" s="17" t="str">
        <x:v>Does the current official catalog contain a research graduate program matching the applicant's topics?</x:v>
      </x:c>
      <x:c r="H1184" s="17" t="str">
        <x:v>https://www.uc.edu</x:v>
      </x:c>
      <x:c r="I1184" s="17" t="str">
        <x:v>false_negative_corrected</x:v>
      </x:c>
      <x:c r="J1184" s="17" t="str">
        <x:v>confirmed</x:v>
      </x:c>
    </x:row>
    <x:row r="1185" ht="46" customHeight="1">
      <x:c r="A1185" s="17" t="str">
        <x:v>us</x:v>
      </x:c>
      <x:c r="B1185" s="17" t="str">
        <x:v>University of Cincinnati-Main Campus</x:v>
      </x:c>
      <x:c r="C1185" s="17" t="str">
        <x:v>IPEDS discovery signal: Computer Software Engineering (CIP 14.0903)</x:v>
      </x:c>
      <x:c r="D1185" s="17" t="str">
        <x:v>Unclear</x:v>
      </x:c>
      <x:c r="E1185" s="17" t="str">
        <x:v>stage2_screened_out</x:v>
      </x:c>
      <x:c r="F1185" s="17" t="str">
        <x:v>Duplicate mechanical discovery signal consolidated into one institution-level catalog review candidate.</x:v>
      </x:c>
      <x:c r="G1185" s="17" t="str">
        <x:v>Does the current official catalog contain a research graduate program matching the applicant's topics?</x:v>
      </x:c>
      <x:c r="H1185" s="17" t="str">
        <x:v>https://www.uc.edu</x:v>
      </x:c>
      <x:c r="I1185" s="17" t="str">
        <x:v>false_negative_corrected</x:v>
      </x:c>
      <x:c r="J1185" s="17" t="str">
        <x:v>confirmed</x:v>
      </x:c>
    </x:row>
    <x:row r="1186" ht="46" customHeight="1">
      <x:c r="A1186" s="17" t="str">
        <x:v>us</x:v>
      </x:c>
      <x:c r="B1186" s="17" t="str">
        <x:v>University of Cincinnati-Main Campus</x:v>
      </x:c>
      <x:c r="C1186" s="17" t="str">
        <x:v>IPEDS discovery signal: Electrical and Electronics Engineering (CIP 14.1001)</x:v>
      </x:c>
      <x:c r="D1186" s="17" t="str">
        <x:v>Unclear</x:v>
      </x:c>
      <x:c r="E1186" s="17" t="str">
        <x:v>stage2_screened_out</x:v>
      </x:c>
      <x:c r="F1186" s="17" t="str">
        <x:v>Duplicate mechanical discovery signal consolidated into one institution-level catalog review candidate.</x:v>
      </x:c>
      <x:c r="G1186" s="17" t="str">
        <x:v>Does the current official catalog contain a research graduate program matching the applicant's topics?</x:v>
      </x:c>
      <x:c r="H1186" s="17" t="str">
        <x:v>https://www.uc.edu</x:v>
      </x:c>
      <x:c r="I1186" s="17" t="str">
        <x:v>false_negative_corrected</x:v>
      </x:c>
      <x:c r="J1186" s="17" t="str">
        <x:v>confirmed</x:v>
      </x:c>
    </x:row>
    <x:row r="1187" ht="46" customHeight="1">
      <x:c r="A1187" s="17" t="str">
        <x:v>us</x:v>
      </x:c>
      <x:c r="B1187" s="17" t="str">
        <x:v>University of Cincinnati-Main Campus</x:v>
      </x:c>
      <x:c r="C1187" s="17" t="str">
        <x:v>IPEDS discovery signal: Human-Centered Technology Design (CIP 11.0105)</x:v>
      </x:c>
      <x:c r="D1187" s="17" t="str">
        <x:v>Unclear</x:v>
      </x:c>
      <x:c r="E1187" s="17" t="str">
        <x:v>stage2_screened_out</x:v>
      </x:c>
      <x:c r="F1187" s="17" t="str">
        <x:v>Duplicate mechanical discovery signal consolidated into one institution-level catalog review candidate.</x:v>
      </x:c>
      <x:c r="G1187" s="17" t="str">
        <x:v>Does the current official catalog contain a research graduate program matching the applicant's topics?</x:v>
      </x:c>
      <x:c r="H1187" s="17" t="str">
        <x:v>https://www.uc.edu</x:v>
      </x:c>
      <x:c r="I1187" s="17" t="str">
        <x:v>false_negative_corrected</x:v>
      </x:c>
      <x:c r="J1187" s="17" t="str">
        <x:v>confirmed</x:v>
      </x:c>
    </x:row>
    <x:row r="1188" ht="46" customHeight="1">
      <x:c r="A1188" s="17" t="str">
        <x:v>us</x:v>
      </x:c>
      <x:c r="B1188" s="17" t="str">
        <x:v>University of Cincinnati-Main Campus</x:v>
      </x:c>
      <x:c r="C1188" s="17" t="str">
        <x:v>IPEDS discovery signal: Information Technology (CIP 11.0103)</x:v>
      </x:c>
      <x:c r="D1188" s="17" t="str">
        <x:v>Unclear</x:v>
      </x:c>
      <x:c r="E1188" s="17" t="str">
        <x:v>stage2_screened_out</x:v>
      </x:c>
      <x:c r="F1188" s="17" t="str">
        <x:v>Duplicate mechanical discovery signal consolidated into one institution-level catalog review candidate.</x:v>
      </x:c>
      <x:c r="G1188" s="17" t="str">
        <x:v>Does the current official catalog contain a research graduate program matching the applicant's topics?</x:v>
      </x:c>
      <x:c r="H1188" s="17" t="str">
        <x:v>https://www.uc.edu</x:v>
      </x:c>
      <x:c r="I1188" s="17" t="str">
        <x:v>false_negative_corrected</x:v>
      </x:c>
      <x:c r="J1188" s="17" t="str">
        <x:v>confirmed</x:v>
      </x:c>
    </x:row>
    <x:row r="1189" ht="46" customHeight="1">
      <x:c r="A1189" s="17" t="str">
        <x:v>us</x:v>
      </x:c>
      <x:c r="B1189" s="17" t="str">
        <x:v>University of Cincinnati-Main Campus</x:v>
      </x:c>
      <x:c r="C1189" s="17" t="str">
        <x:v>IPEDS discovery signal: Mechatronics, Robotics, and Automation Engineering (CIP 14.4201)</x:v>
      </x:c>
      <x:c r="D1189" s="17" t="str">
        <x:v>Unclear</x:v>
      </x:c>
      <x:c r="E1189" s="17" t="str">
        <x:v>stage2_screened_out</x:v>
      </x:c>
      <x:c r="F1189" s="17" t="str">
        <x:v>Duplicate mechanical discovery signal consolidated into one institution-level catalog review candidate.</x:v>
      </x:c>
      <x:c r="G1189" s="17" t="str">
        <x:v>Does the current official catalog contain a research graduate program matching the applicant's topics?</x:v>
      </x:c>
      <x:c r="H1189" s="17" t="str">
        <x:v>https://www.uc.edu</x:v>
      </x:c>
      <x:c r="I1189" s="17" t="str">
        <x:v>false_negative_corrected</x:v>
      </x:c>
      <x:c r="J1189" s="17" t="str">
        <x:v>confirmed</x:v>
      </x:c>
    </x:row>
    <x:row r="1190" ht="46" customHeight="1">
      <x:c r="A1190" s="17" t="str">
        <x:v>us</x:v>
      </x:c>
      <x:c r="B1190" s="17" t="str">
        <x:v>University of Colorado Boulder</x:v>
      </x:c>
      <x:c r="C1190" s="17" t="str">
        <x:v>IPEDS discovery signal: Computer Science (CIP 11.0701)</x:v>
      </x:c>
      <x:c r="D1190" s="17" t="str">
        <x:v>Unclear</x:v>
      </x:c>
      <x:c r="E1190" s="17" t="str">
        <x:v>stage2_screened_out</x:v>
      </x:c>
      <x:c r="F1190" s="17" t="str">
        <x:v>Duplicate mechanical discovery signal consolidated into one institution-level catalog review candidate.</x:v>
      </x:c>
      <x:c r="G1190" s="17" t="str">
        <x:v>Does the current official catalog contain a research graduate program matching the applicant's topics?</x:v>
      </x:c>
      <x:c r="H1190" s="17" t="str">
        <x:v>https://www.colorado.edu</x:v>
      </x:c>
      <x:c r="I1190" s="17" t="str">
        <x:v>not_sampled</x:v>
      </x:c>
      <x:c r="J1190" s="17" t="str">
        <x:v>not_sampled</x:v>
      </x:c>
    </x:row>
    <x:row r="1191" ht="46" customHeight="1">
      <x:c r="A1191" s="17" t="str">
        <x:v>us</x:v>
      </x:c>
      <x:c r="B1191" s="17" t="str">
        <x:v>University of Colorado Boulder</x:v>
      </x:c>
      <x:c r="C1191" s="17" t="str">
        <x:v>IPEDS discovery signal: Electrical and Electronics Engineering (CIP 14.1001)</x:v>
      </x:c>
      <x:c r="D1191" s="17" t="str">
        <x:v>Unclear</x:v>
      </x:c>
      <x:c r="E1191" s="17" t="str">
        <x:v>stage2_screened_out</x:v>
      </x:c>
      <x:c r="F1191" s="17" t="str">
        <x:v>Duplicate mechanical discovery signal consolidated into one institution-level catalog review candidate.</x:v>
      </x:c>
      <x:c r="G1191" s="17" t="str">
        <x:v>Does the current official catalog contain a research graduate program matching the applicant's topics?</x:v>
      </x:c>
      <x:c r="H1191" s="17" t="str">
        <x:v>https://www.colorado.edu</x:v>
      </x:c>
      <x:c r="I1191" s="17" t="str">
        <x:v>not_sampled</x:v>
      </x:c>
      <x:c r="J1191" s="17" t="str">
        <x:v>not_sampled</x:v>
      </x:c>
    </x:row>
    <x:row r="1192" ht="46" customHeight="1">
      <x:c r="A1192" s="17" t="str">
        <x:v>us</x:v>
      </x:c>
      <x:c r="B1192" s="17" t="str">
        <x:v>University of Colorado Boulder</x:v>
      </x:c>
      <x:c r="C1192" s="17" t="str">
        <x:v>IPEDS discovery signal: Information Science/Studies (CIP 11.0401)</x:v>
      </x:c>
      <x:c r="D1192" s="17" t="str">
        <x:v>Unclear</x:v>
      </x:c>
      <x:c r="E1192" s="17" t="str">
        <x:v>stage2_screened_out</x:v>
      </x:c>
      <x:c r="F1192" s="17" t="str">
        <x:v>Duplicate mechanical discovery signal consolidated into one institution-level catalog review candidate.</x:v>
      </x:c>
      <x:c r="G1192" s="17" t="str">
        <x:v>Does the current official catalog contain a research graduate program matching the applicant's topics?</x:v>
      </x:c>
      <x:c r="H1192" s="17" t="str">
        <x:v>https://www.colorado.edu</x:v>
      </x:c>
      <x:c r="I1192" s="17" t="str">
        <x:v>not_sampled</x:v>
      </x:c>
      <x:c r="J1192" s="17" t="str">
        <x:v>not_sampled</x:v>
      </x:c>
    </x:row>
    <x:row r="1193" ht="46" customHeight="1">
      <x:c r="A1193" s="17" t="str">
        <x:v>us</x:v>
      </x:c>
      <x:c r="B1193" s="17" t="str">
        <x:v>University of Colorado Boulder</x:v>
      </x:c>
      <x:c r="C1193" s="17" t="str">
        <x:v>IPEDS discovery signal: Mechatronics, Robotics, and Automation Engineering (CIP 14.4201)</x:v>
      </x:c>
      <x:c r="D1193" s="17" t="str">
        <x:v>Unclear</x:v>
      </x:c>
      <x:c r="E1193" s="17" t="str">
        <x:v>stage2_screened_out</x:v>
      </x:c>
      <x:c r="F1193" s="17" t="str">
        <x:v>Duplicate mechanical discovery signal consolidated into one institution-level catalog review candidate.</x:v>
      </x:c>
      <x:c r="G1193" s="17" t="str">
        <x:v>Does the current official catalog contain a research graduate program matching the applicant's topics?</x:v>
      </x:c>
      <x:c r="H1193" s="17" t="str">
        <x:v>https://www.colorado.edu</x:v>
      </x:c>
      <x:c r="I1193" s="17" t="str">
        <x:v>not_sampled</x:v>
      </x:c>
      <x:c r="J1193" s="17" t="str">
        <x:v>not_sampled</x:v>
      </x:c>
    </x:row>
    <x:row r="1194" ht="46" customHeight="1">
      <x:c r="A1194" s="17" t="str">
        <x:v>us</x:v>
      </x:c>
      <x:c r="B1194" s="17" t="str">
        <x:v>University of Colorado Colorado Springs</x:v>
      </x:c>
      <x:c r="C1194" s="17" t="str">
        <x:v>IPEDS discovery signal: Computer and Information Sciences, General (CIP 11.0101)</x:v>
      </x:c>
      <x:c r="D1194" s="17" t="str">
        <x:v>Unclear</x:v>
      </x:c>
      <x:c r="E1194" s="17" t="str">
        <x:v>stage2_screened_out</x:v>
      </x:c>
      <x:c r="F1194" s="17" t="str">
        <x:v>Duplicate mechanical discovery signal consolidated into one institution-level catalog review candidate.</x:v>
      </x:c>
      <x:c r="G1194" s="17" t="str">
        <x:v>Does the current official catalog contain a research graduate program matching the applicant's topics?</x:v>
      </x:c>
      <x:c r="H1194" s="17" t="str">
        <x:v>https://www.uccs.edu</x:v>
      </x:c>
      <x:c r="I1194" s="17" t="str">
        <x:v>not_sampled</x:v>
      </x:c>
      <x:c r="J1194" s="17" t="str">
        <x:v>not_sampled</x:v>
      </x:c>
    </x:row>
    <x:row r="1195" ht="46" customHeight="1">
      <x:c r="A1195" s="17" t="str">
        <x:v>us</x:v>
      </x:c>
      <x:c r="B1195" s="17" t="str">
        <x:v>University of Colorado Colorado Springs</x:v>
      </x:c>
      <x:c r="C1195" s="17" t="str">
        <x:v>IPEDS discovery signal: Computer Science (CIP 11.0701)</x:v>
      </x:c>
      <x:c r="D1195" s="17" t="str">
        <x:v>Unclear</x:v>
      </x:c>
      <x:c r="E1195" s="17" t="str">
        <x:v>stage2_screened_out</x:v>
      </x:c>
      <x:c r="F1195" s="17" t="str">
        <x:v>Duplicate mechanical discovery signal consolidated into one institution-level catalog review candidate.</x:v>
      </x:c>
      <x:c r="G1195" s="17" t="str">
        <x:v>Does the current official catalog contain a research graduate program matching the applicant's topics?</x:v>
      </x:c>
      <x:c r="H1195" s="17" t="str">
        <x:v>https://www.uccs.edu</x:v>
      </x:c>
      <x:c r="I1195" s="17" t="str">
        <x:v>not_sampled</x:v>
      </x:c>
      <x:c r="J1195" s="17" t="str">
        <x:v>not_sampled</x:v>
      </x:c>
    </x:row>
    <x:row r="1196" ht="46" customHeight="1">
      <x:c r="A1196" s="17" t="str">
        <x:v>us</x:v>
      </x:c>
      <x:c r="B1196" s="17" t="str">
        <x:v>University of Colorado Colorado Springs</x:v>
      </x:c>
      <x:c r="C1196" s="17" t="str">
        <x:v>IPEDS discovery signal: Electrical and Electronics Engineering (CIP 14.1001)</x:v>
      </x:c>
      <x:c r="D1196" s="17" t="str">
        <x:v>Unclear</x:v>
      </x:c>
      <x:c r="E1196" s="17" t="str">
        <x:v>stage2_screened_out</x:v>
      </x:c>
      <x:c r="F1196" s="17" t="str">
        <x:v>Duplicate mechanical discovery signal consolidated into one institution-level catalog review candidate.</x:v>
      </x:c>
      <x:c r="G1196" s="17" t="str">
        <x:v>Does the current official catalog contain a research graduate program matching the applicant's topics?</x:v>
      </x:c>
      <x:c r="H1196" s="17" t="str">
        <x:v>https://www.uccs.edu</x:v>
      </x:c>
      <x:c r="I1196" s="17" t="str">
        <x:v>not_sampled</x:v>
      </x:c>
      <x:c r="J1196" s="17" t="str">
        <x:v>not_sampled</x:v>
      </x:c>
    </x:row>
    <x:row r="1197" ht="46" customHeight="1">
      <x:c r="A1197" s="17" t="str">
        <x:v>us</x:v>
      </x:c>
      <x:c r="B1197" s="17" t="str">
        <x:v>University of Colorado Denver/Anschutz Medical Campus</x:v>
      </x:c>
      <x:c r="C1197" s="17" t="str">
        <x:v>IPEDS discovery signal: Computer and Information Sciences, General (CIP 11.0101)</x:v>
      </x:c>
      <x:c r="D1197" s="17" t="str">
        <x:v>Unclear</x:v>
      </x:c>
      <x:c r="E1197" s="17" t="str">
        <x:v>stage2_screened_out</x:v>
      </x:c>
      <x:c r="F1197" s="17" t="str">
        <x:v>Only one bounded registry/program-code signal was present; no independent topical, Calendar, current-faculty, or first-audit signal was recovered.</x:v>
      </x:c>
      <x:c r="G1197" s="17" t="str">
        <x:v>Does the current official catalog contain a research graduate program matching the applicant's topics?</x:v>
      </x:c>
      <x:c r="H1197" s="17" t="str">
        <x:v>https://www.ucdenver.edu</x:v>
      </x:c>
      <x:c r="I1197" s="17" t="str">
        <x:v>not_sampled</x:v>
      </x:c>
      <x:c r="J1197" s="17" t="str">
        <x:v>not_sampled</x:v>
      </x:c>
    </x:row>
    <x:row r="1198" ht="46" customHeight="1">
      <x:c r="A1198" s="17" t="str">
        <x:v>us</x:v>
      </x:c>
      <x:c r="B1198" s="17" t="str">
        <x:v>University of Colorado Denver/Anschutz Medical Campus</x:v>
      </x:c>
      <x:c r="C1198" s="17" t="str">
        <x:v>IPEDS discovery signal: Cyber/Computer Forensics and Counterterrorism (CIP 43.0403)</x:v>
      </x:c>
      <x:c r="D1198" s="17" t="str">
        <x:v>Unclear</x:v>
      </x:c>
      <x:c r="E1198" s="17" t="str">
        <x:v>stage2_screened_out</x:v>
      </x:c>
      <x:c r="F1198" s="17" t="str">
        <x:v>Only one bounded registry/program-code signal was present; no independent topical, Calendar, current-faculty, or first-audit signal was recovered.</x:v>
      </x:c>
      <x:c r="G1198" s="17" t="str">
        <x:v>Does the current official catalog contain a research graduate program matching the applicant's topics?</x:v>
      </x:c>
      <x:c r="H1198" s="17" t="str">
        <x:v>https://www.ucdenver.edu</x:v>
      </x:c>
      <x:c r="I1198" s="17" t="str">
        <x:v>not_sampled</x:v>
      </x:c>
      <x:c r="J1198" s="17" t="str">
        <x:v>not_sampled</x:v>
      </x:c>
    </x:row>
    <x:row r="1199" ht="46" customHeight="1">
      <x:c r="A1199" s="17" t="str">
        <x:v>us</x:v>
      </x:c>
      <x:c r="B1199" s="17" t="str">
        <x:v>University of Colorado Denver/Anschutz Medical Campus</x:v>
      </x:c>
      <x:c r="C1199" s="17" t="str">
        <x:v>IPEDS discovery signal: Electrical and Electronics Engineering (CIP 14.1001)</x:v>
      </x:c>
      <x:c r="D1199" s="17" t="str">
        <x:v>Unclear</x:v>
      </x:c>
      <x:c r="E1199" s="17" t="str">
        <x:v>stage2_screened_out</x:v>
      </x:c>
      <x:c r="F1199" s="17" t="str">
        <x:v>Only one bounded registry/program-code signal was present; no independent topical, Calendar, current-faculty, or first-audit signal was recovered.</x:v>
      </x:c>
      <x:c r="G1199" s="17" t="str">
        <x:v>Does the current official catalog contain a research graduate program matching the applicant's topics?</x:v>
      </x:c>
      <x:c r="H1199" s="17" t="str">
        <x:v>https://www.ucdenver.edu</x:v>
      </x:c>
      <x:c r="I1199" s="17" t="str">
        <x:v>not_sampled</x:v>
      </x:c>
      <x:c r="J1199" s="17" t="str">
        <x:v>not_sampled</x:v>
      </x:c>
    </x:row>
    <x:row r="1200" ht="46" customHeight="1">
      <x:c r="A1200" s="17" t="str">
        <x:v>us</x:v>
      </x:c>
      <x:c r="B1200" s="17" t="str">
        <x:v>University of Colorado Denver/Anschutz Medical Campus</x:v>
      </x:c>
      <x:c r="C1200" s="17" t="str">
        <x:v>IPEDS discovery signal: Information Science/Studies (CIP 11.0401)</x:v>
      </x:c>
      <x:c r="D1200" s="17" t="str">
        <x:v>Unclear</x:v>
      </x:c>
      <x:c r="E1200" s="17" t="str">
        <x:v>stage2_screened_out</x:v>
      </x:c>
      <x:c r="F1200" s="17" t="str">
        <x:v>Only one bounded registry/program-code signal was present; no independent topical, Calendar, current-faculty, or first-audit signal was recovered.</x:v>
      </x:c>
      <x:c r="G1200" s="17" t="str">
        <x:v>Does the current official catalog contain a research graduate program matching the applicant's topics?</x:v>
      </x:c>
      <x:c r="H1200" s="17" t="str">
        <x:v>https://www.ucdenver.edu</x:v>
      </x:c>
      <x:c r="I1200" s="17" t="str">
        <x:v>not_sampled</x:v>
      </x:c>
      <x:c r="J1200" s="17" t="str">
        <x:v>not_sampled</x:v>
      </x:c>
    </x:row>
    <x:row r="1201" ht="46" customHeight="1">
      <x:c r="A1201" s="17" t="str">
        <x:v>us</x:v>
      </x:c>
      <x:c r="B1201" s="17" t="str">
        <x:v>University of Connecticut</x:v>
      </x:c>
      <x:c r="C1201" s="17" t="str">
        <x:v>IPEDS discovery signal: Data Science, General (CIP 30.7001)</x:v>
      </x:c>
      <x:c r="D1201" s="17" t="str">
        <x:v>Unclear</x:v>
      </x:c>
      <x:c r="E1201" s="17" t="str">
        <x:v>stage2_screened_out</x:v>
      </x:c>
      <x:c r="F1201" s="17" t="str">
        <x:v>Duplicate mechanical discovery signal consolidated into one institution-level catalog review candidate.</x:v>
      </x:c>
      <x:c r="G1201" s="17" t="str">
        <x:v>Does the current official catalog contain a research graduate program matching the applicant's topics?</x:v>
      </x:c>
      <x:c r="H1201" s="17" t="str">
        <x:v>https://uconn.edu</x:v>
      </x:c>
      <x:c r="I1201" s="17" t="str">
        <x:v>not_sampled</x:v>
      </x:c>
      <x:c r="J1201" s="17" t="str">
        <x:v>not_sampled</x:v>
      </x:c>
    </x:row>
    <x:row r="1202" ht="46" customHeight="1">
      <x:c r="A1202" s="17" t="str">
        <x:v>us</x:v>
      </x:c>
      <x:c r="B1202" s="17" t="str">
        <x:v>University of Connecticut</x:v>
      </x:c>
      <x:c r="C1202" s="17" t="str">
        <x:v>IPEDS discovery signal: Electrical and Electronics Engineering (CIP 14.1001)</x:v>
      </x:c>
      <x:c r="D1202" s="17" t="str">
        <x:v>Unclear</x:v>
      </x:c>
      <x:c r="E1202" s="17" t="str">
        <x:v>stage2_screened_out</x:v>
      </x:c>
      <x:c r="F1202" s="17" t="str">
        <x:v>Duplicate mechanical discovery signal consolidated into one institution-level catalog review candidate.</x:v>
      </x:c>
      <x:c r="G1202" s="17" t="str">
        <x:v>Does the current official catalog contain a research graduate program matching the applicant's topics?</x:v>
      </x:c>
      <x:c r="H1202" s="17" t="str">
        <x:v>https://uconn.edu</x:v>
      </x:c>
      <x:c r="I1202" s="17" t="str">
        <x:v>not_sampled</x:v>
      </x:c>
      <x:c r="J1202" s="17" t="str">
        <x:v>not_sampled</x:v>
      </x:c>
    </x:row>
    <x:row r="1203" ht="46" customHeight="1">
      <x:c r="A1203" s="17" t="str">
        <x:v>us</x:v>
      </x:c>
      <x:c r="B1203" s="17" t="str">
        <x:v>University of Dallas</x:v>
      </x:c>
      <x:c r="C1203" s="17" t="str">
        <x:v>IPEDS discovery signal: Computer and Information Systems Security/Auditing/Information Assurance (CIP 11.1003)</x:v>
      </x:c>
      <x:c r="D1203" s="17" t="str">
        <x:v>Unclear</x:v>
      </x:c>
      <x:c r="E1203" s="17" t="str">
        <x:v>stage2_screened_out</x:v>
      </x:c>
      <x:c r="F1203" s="17" t="str">
        <x:v>Only one bounded registry/program-code signal was present; no independent topical, Calendar, current-faculty, or first-audit signal was recovered.</x:v>
      </x:c>
      <x:c r="G1203" s="17" t="str">
        <x:v>Does the current official catalog contain a research graduate program matching the applicant's topics?</x:v>
      </x:c>
      <x:c r="H1203" s="17" t="str">
        <x:v>https://udallas.edu</x:v>
      </x:c>
      <x:c r="I1203" s="17" t="str">
        <x:v>not_sampled</x:v>
      </x:c>
      <x:c r="J1203" s="17" t="str">
        <x:v>not_sampled</x:v>
      </x:c>
    </x:row>
    <x:row r="1204" ht="46" customHeight="1">
      <x:c r="A1204" s="17" t="str">
        <x:v>us</x:v>
      </x:c>
      <x:c r="B1204" s="17" t="str">
        <x:v>University of Dayton</x:v>
      </x:c>
      <x:c r="C1204" s="17" t="str">
        <x:v>IPEDS discovery signal: Computer Engineering, General (CIP 14.0901)</x:v>
      </x:c>
      <x:c r="D1204" s="17" t="str">
        <x:v>Unclear</x:v>
      </x:c>
      <x:c r="E1204" s="17" t="str">
        <x:v>stage2_screened_out</x:v>
      </x:c>
      <x:c r="F1204" s="17" t="str">
        <x:v>Only one bounded registry/program-code signal was present; no independent topical, Calendar, current-faculty, or first-audit signal was recovered.</x:v>
      </x:c>
      <x:c r="G1204" s="17" t="str">
        <x:v>Does the current official catalog contain a research graduate program matching the applicant's topics?</x:v>
      </x:c>
      <x:c r="H1204" s="17" t="str">
        <x:v>https://udayton.edu</x:v>
      </x:c>
      <x:c r="I1204" s="17" t="str">
        <x:v>not_sampled</x:v>
      </x:c>
      <x:c r="J1204" s="17" t="str">
        <x:v>not_sampled</x:v>
      </x:c>
    </x:row>
    <x:row r="1205" ht="46" customHeight="1">
      <x:c r="A1205" s="17" t="str">
        <x:v>us</x:v>
      </x:c>
      <x:c r="B1205" s="17" t="str">
        <x:v>University of Dayton</x:v>
      </x:c>
      <x:c r="C1205" s="17" t="str">
        <x:v>IPEDS discovery signal: Computer Science (CIP 11.0701)</x:v>
      </x:c>
      <x:c r="D1205" s="17" t="str">
        <x:v>Unclear</x:v>
      </x:c>
      <x:c r="E1205" s="17" t="str">
        <x:v>stage2_screened_out</x:v>
      </x:c>
      <x:c r="F1205" s="17" t="str">
        <x:v>Only one bounded registry/program-code signal was present; no independent topical, Calendar, current-faculty, or first-audit signal was recovered.</x:v>
      </x:c>
      <x:c r="G1205" s="17" t="str">
        <x:v>Does the current official catalog contain a research graduate program matching the applicant's topics?</x:v>
      </x:c>
      <x:c r="H1205" s="17" t="str">
        <x:v>https://udayton.edu</x:v>
      </x:c>
      <x:c r="I1205" s="17" t="str">
        <x:v>not_sampled</x:v>
      </x:c>
      <x:c r="J1205" s="17" t="str">
        <x:v>not_sampled</x:v>
      </x:c>
    </x:row>
    <x:row r="1206" ht="46" customHeight="1">
      <x:c r="A1206" s="17" t="str">
        <x:v>us</x:v>
      </x:c>
      <x:c r="B1206" s="17" t="str">
        <x:v>University of Dayton</x:v>
      </x:c>
      <x:c r="C1206" s="17" t="str">
        <x:v>IPEDS discovery signal: Electrical and Electronics Engineering (CIP 14.1001)</x:v>
      </x:c>
      <x:c r="D1206" s="17" t="str">
        <x:v>Unclear</x:v>
      </x:c>
      <x:c r="E1206" s="17" t="str">
        <x:v>stage2_screened_out</x:v>
      </x:c>
      <x:c r="F1206" s="17" t="str">
        <x:v>Only one bounded registry/program-code signal was present; no independent topical, Calendar, current-faculty, or first-audit signal was recovered.</x:v>
      </x:c>
      <x:c r="G1206" s="17" t="str">
        <x:v>Does the current official catalog contain a research graduate program matching the applicant's topics?</x:v>
      </x:c>
      <x:c r="H1206" s="17" t="str">
        <x:v>https://udayton.edu</x:v>
      </x:c>
      <x:c r="I1206" s="17" t="str">
        <x:v>not_sampled</x:v>
      </x:c>
      <x:c r="J1206" s="17" t="str">
        <x:v>not_sampled</x:v>
      </x:c>
    </x:row>
    <x:row r="1207" ht="46" customHeight="1">
      <x:c r="A1207" s="17" t="str">
        <x:v>us</x:v>
      </x:c>
      <x:c r="B1207" s="17" t="str">
        <x:v>University of Delaware</x:v>
      </x:c>
      <x:c r="C1207" s="17" t="str">
        <x:v>IPEDS discovery signal: Computer and Information Systems Security/Auditing/Information Assurance (CIP 11.1003)</x:v>
      </x:c>
      <x:c r="D1207" s="17" t="str">
        <x:v>Unclear</x:v>
      </x:c>
      <x:c r="E1207" s="17" t="str">
        <x:v>stage2_screened_out</x:v>
      </x:c>
      <x:c r="F1207" s="17" t="str">
        <x:v>Duplicate mechanical discovery signal consolidated into one institution-level catalog review candidate.</x:v>
      </x:c>
      <x:c r="G1207" s="17" t="str">
        <x:v>Does the current official catalog contain a research graduate program matching the applicant's topics?</x:v>
      </x:c>
      <x:c r="H1207" s="17" t="str">
        <x:v>https://www.udel.edu</x:v>
      </x:c>
      <x:c r="I1207" s="17" t="str">
        <x:v>not_sampled</x:v>
      </x:c>
      <x:c r="J1207" s="17" t="str">
        <x:v>not_sampled</x:v>
      </x:c>
    </x:row>
    <x:row r="1208" ht="46" customHeight="1">
      <x:c r="A1208" s="17" t="str">
        <x:v>us</x:v>
      </x:c>
      <x:c r="B1208" s="17" t="str">
        <x:v>University of Delaware</x:v>
      </x:c>
      <x:c r="C1208" s="17" t="str">
        <x:v>IPEDS discovery signal: Computer Engineering, General (CIP 14.0901)</x:v>
      </x:c>
      <x:c r="D1208" s="17" t="str">
        <x:v>Unclear</x:v>
      </x:c>
      <x:c r="E1208" s="17" t="str">
        <x:v>stage2_screened_out</x:v>
      </x:c>
      <x:c r="F1208" s="17" t="str">
        <x:v>Duplicate mechanical discovery signal consolidated into one institution-level catalog review candidate.</x:v>
      </x:c>
      <x:c r="G1208" s="17" t="str">
        <x:v>Does the current official catalog contain a research graduate program matching the applicant's topics?</x:v>
      </x:c>
      <x:c r="H1208" s="17" t="str">
        <x:v>https://www.udel.edu</x:v>
      </x:c>
      <x:c r="I1208" s="17" t="str">
        <x:v>not_sampled</x:v>
      </x:c>
      <x:c r="J1208" s="17" t="str">
        <x:v>not_sampled</x:v>
      </x:c>
    </x:row>
    <x:row r="1209" ht="46" customHeight="1">
      <x:c r="A1209" s="17" t="str">
        <x:v>us</x:v>
      </x:c>
      <x:c r="B1209" s="17" t="str">
        <x:v>University of Delaware</x:v>
      </x:c>
      <x:c r="C1209" s="17" t="str">
        <x:v>IPEDS discovery signal: Data Science, General (CIP 30.7001)</x:v>
      </x:c>
      <x:c r="D1209" s="17" t="str">
        <x:v>Unclear</x:v>
      </x:c>
      <x:c r="E1209" s="17" t="str">
        <x:v>stage2_screened_out</x:v>
      </x:c>
      <x:c r="F1209" s="17" t="str">
        <x:v>Duplicate mechanical discovery signal consolidated into one institution-level catalog review candidate.</x:v>
      </x:c>
      <x:c r="G1209" s="17" t="str">
        <x:v>Does the current official catalog contain a research graduate program matching the applicant's topics?</x:v>
      </x:c>
      <x:c r="H1209" s="17" t="str">
        <x:v>https://www.udel.edu</x:v>
      </x:c>
      <x:c r="I1209" s="17" t="str">
        <x:v>not_sampled</x:v>
      </x:c>
      <x:c r="J1209" s="17" t="str">
        <x:v>not_sampled</x:v>
      </x:c>
    </x:row>
    <x:row r="1210" ht="46" customHeight="1">
      <x:c r="A1210" s="17" t="str">
        <x:v>us</x:v>
      </x:c>
      <x:c r="B1210" s="17" t="str">
        <x:v>University of Delaware</x:v>
      </x:c>
      <x:c r="C1210" s="17" t="str">
        <x:v>IPEDS discovery signal: Information Science/Studies (CIP 11.0401)</x:v>
      </x:c>
      <x:c r="D1210" s="17" t="str">
        <x:v>Unclear</x:v>
      </x:c>
      <x:c r="E1210" s="17" t="str">
        <x:v>stage2_screened_out</x:v>
      </x:c>
      <x:c r="F1210" s="17" t="str">
        <x:v>Duplicate mechanical discovery signal consolidated into one institution-level catalog review candidate.</x:v>
      </x:c>
      <x:c r="G1210" s="17" t="str">
        <x:v>Does the current official catalog contain a research graduate program matching the applicant's topics?</x:v>
      </x:c>
      <x:c r="H1210" s="17" t="str">
        <x:v>https://www.udel.edu</x:v>
      </x:c>
      <x:c r="I1210" s="17" t="str">
        <x:v>not_sampled</x:v>
      </x:c>
      <x:c r="J1210" s="17" t="str">
        <x:v>not_sampled</x:v>
      </x:c>
    </x:row>
    <x:row r="1211" ht="46" customHeight="1">
      <x:c r="A1211" s="17" t="str">
        <x:v>us</x:v>
      </x:c>
      <x:c r="B1211" s="17" t="str">
        <x:v>University of Delaware</x:v>
      </x:c>
      <x:c r="C1211" s="17" t="str">
        <x:v>IPEDS discovery signal: Mechatronics, Robotics, and Automation Engineering (CIP 14.4201)</x:v>
      </x:c>
      <x:c r="D1211" s="17" t="str">
        <x:v>Unclear</x:v>
      </x:c>
      <x:c r="E1211" s="17" t="str">
        <x:v>stage2_screened_out</x:v>
      </x:c>
      <x:c r="F1211" s="17" t="str">
        <x:v>Duplicate mechanical discovery signal consolidated into one institution-level catalog review candidate.</x:v>
      </x:c>
      <x:c r="G1211" s="17" t="str">
        <x:v>Does the current official catalog contain a research graduate program matching the applicant's topics?</x:v>
      </x:c>
      <x:c r="H1211" s="17" t="str">
        <x:v>https://www.udel.edu</x:v>
      </x:c>
      <x:c r="I1211" s="17" t="str">
        <x:v>not_sampled</x:v>
      </x:c>
      <x:c r="J1211" s="17" t="str">
        <x:v>not_sampled</x:v>
      </x:c>
    </x:row>
    <x:row r="1212" ht="46" customHeight="1">
      <x:c r="A1212" s="17" t="str">
        <x:v>us</x:v>
      </x:c>
      <x:c r="B1212" s="17" t="str">
        <x:v>University of Denver</x:v>
      </x:c>
      <x:c r="C1212" s="17" t="str">
        <x:v>IPEDS discovery signal: Computer and Information Systems Security/Auditing/Information Assurance (CIP 11.1003)</x:v>
      </x:c>
      <x:c r="D1212" s="17" t="str">
        <x:v>Unclear</x:v>
      </x:c>
      <x:c r="E1212" s="17" t="str">
        <x:v>stage2_screened_out</x:v>
      </x:c>
      <x:c r="F1212" s="17" t="str">
        <x:v>Only one bounded registry/program-code signal was present; no independent topical, Calendar, current-faculty, or first-audit signal was recovered.</x:v>
      </x:c>
      <x:c r="G1212" s="17" t="str">
        <x:v>Does the current official catalog contain a research graduate program matching the applicant's topics?</x:v>
      </x:c>
      <x:c r="H1212" s="17" t="str">
        <x:v>https://www.du.edu</x:v>
      </x:c>
      <x:c r="I1212" s="17" t="str">
        <x:v>not_sampled</x:v>
      </x:c>
      <x:c r="J1212" s="17" t="str">
        <x:v>not_sampled</x:v>
      </x:c>
    </x:row>
    <x:row r="1213" ht="46" customHeight="1">
      <x:c r="A1213" s="17" t="str">
        <x:v>us</x:v>
      </x:c>
      <x:c r="B1213" s="17" t="str">
        <x:v>University of Denver</x:v>
      </x:c>
      <x:c r="C1213" s="17" t="str">
        <x:v>IPEDS discovery signal: Computer Engineering, General (CIP 14.0901)</x:v>
      </x:c>
      <x:c r="D1213" s="17" t="str">
        <x:v>Unclear</x:v>
      </x:c>
      <x:c r="E1213" s="17" t="str">
        <x:v>stage2_screened_out</x:v>
      </x:c>
      <x:c r="F1213" s="17" t="str">
        <x:v>Only one bounded registry/program-code signal was present; no independent topical, Calendar, current-faculty, or first-audit signal was recovered.</x:v>
      </x:c>
      <x:c r="G1213" s="17" t="str">
        <x:v>Does the current official catalog contain a research graduate program matching the applicant's topics?</x:v>
      </x:c>
      <x:c r="H1213" s="17" t="str">
        <x:v>https://www.du.edu</x:v>
      </x:c>
      <x:c r="I1213" s="17" t="str">
        <x:v>not_sampled</x:v>
      </x:c>
      <x:c r="J1213" s="17" t="str">
        <x:v>not_sampled</x:v>
      </x:c>
    </x:row>
    <x:row r="1214" ht="46" customHeight="1">
      <x:c r="A1214" s="17" t="str">
        <x:v>us</x:v>
      </x:c>
      <x:c r="B1214" s="17" t="str">
        <x:v>University of Denver</x:v>
      </x:c>
      <x:c r="C1214" s="17" t="str">
        <x:v>IPEDS discovery signal: Computer Science (CIP 11.0701)</x:v>
      </x:c>
      <x:c r="D1214" s="17" t="str">
        <x:v>Unclear</x:v>
      </x:c>
      <x:c r="E1214" s="17" t="str">
        <x:v>stage2_screened_out</x:v>
      </x:c>
      <x:c r="F1214" s="17" t="str">
        <x:v>Only one bounded registry/program-code signal was present; no independent topical, Calendar, current-faculty, or first-audit signal was recovered.</x:v>
      </x:c>
      <x:c r="G1214" s="17" t="str">
        <x:v>Does the current official catalog contain a research graduate program matching the applicant's topics?</x:v>
      </x:c>
      <x:c r="H1214" s="17" t="str">
        <x:v>https://www.du.edu</x:v>
      </x:c>
      <x:c r="I1214" s="17" t="str">
        <x:v>not_sampled</x:v>
      </x:c>
      <x:c r="J1214" s="17" t="str">
        <x:v>not_sampled</x:v>
      </x:c>
    </x:row>
    <x:row r="1215" ht="46" customHeight="1">
      <x:c r="A1215" s="17" t="str">
        <x:v>us</x:v>
      </x:c>
      <x:c r="B1215" s="17" t="str">
        <x:v>University of Denver</x:v>
      </x:c>
      <x:c r="C1215" s="17" t="str">
        <x:v>IPEDS discovery signal: Electrical and Electronics Engineering (CIP 14.1001)</x:v>
      </x:c>
      <x:c r="D1215" s="17" t="str">
        <x:v>Unclear</x:v>
      </x:c>
      <x:c r="E1215" s="17" t="str">
        <x:v>stage2_screened_out</x:v>
      </x:c>
      <x:c r="F1215" s="17" t="str">
        <x:v>Only one bounded registry/program-code signal was present; no independent topical, Calendar, current-faculty, or first-audit signal was recovered.</x:v>
      </x:c>
      <x:c r="G1215" s="17" t="str">
        <x:v>Does the current official catalog contain a research graduate program matching the applicant's topics?</x:v>
      </x:c>
      <x:c r="H1215" s="17" t="str">
        <x:v>https://www.du.edu</x:v>
      </x:c>
      <x:c r="I1215" s="17" t="str">
        <x:v>not_sampled</x:v>
      </x:c>
      <x:c r="J1215" s="17" t="str">
        <x:v>not_sampled</x:v>
      </x:c>
    </x:row>
    <x:row r="1216" ht="46" customHeight="1">
      <x:c r="A1216" s="17" t="str">
        <x:v>us</x:v>
      </x:c>
      <x:c r="B1216" s="17" t="str">
        <x:v>University of Denver</x:v>
      </x:c>
      <x:c r="C1216" s="17" t="str">
        <x:v>IPEDS discovery signal: Information Science/Studies (CIP 11.0401)</x:v>
      </x:c>
      <x:c r="D1216" s="17" t="str">
        <x:v>Unclear</x:v>
      </x:c>
      <x:c r="E1216" s="17" t="str">
        <x:v>stage2_screened_out</x:v>
      </x:c>
      <x:c r="F1216" s="17" t="str">
        <x:v>Only one bounded registry/program-code signal was present; no independent topical, Calendar, current-faculty, or first-audit signal was recovered.</x:v>
      </x:c>
      <x:c r="G1216" s="17" t="str">
        <x:v>Does the current official catalog contain a research graduate program matching the applicant's topics?</x:v>
      </x:c>
      <x:c r="H1216" s="17" t="str">
        <x:v>https://www.du.edu</x:v>
      </x:c>
      <x:c r="I1216" s="17" t="str">
        <x:v>not_sampled</x:v>
      </x:c>
      <x:c r="J1216" s="17" t="str">
        <x:v>not_sampled</x:v>
      </x:c>
    </x:row>
    <x:row r="1217" ht="46" customHeight="1">
      <x:c r="A1217" s="17" t="str">
        <x:v>us</x:v>
      </x:c>
      <x:c r="B1217" s="17" t="str">
        <x:v>University of Denver</x:v>
      </x:c>
      <x:c r="C1217" s="17" t="str">
        <x:v>IPEDS discovery signal: Information Technology (CIP 11.0103)</x:v>
      </x:c>
      <x:c r="D1217" s="17" t="str">
        <x:v>Unclear</x:v>
      </x:c>
      <x:c r="E1217" s="17" t="str">
        <x:v>stage2_screened_out</x:v>
      </x:c>
      <x:c r="F1217" s="17" t="str">
        <x:v>Only one bounded registry/program-code signal was present; no independent topical, Calendar, current-faculty, or first-audit signal was recovered.</x:v>
      </x:c>
      <x:c r="G1217" s="17" t="str">
        <x:v>Does the current official catalog contain a research graduate program matching the applicant's topics?</x:v>
      </x:c>
      <x:c r="H1217" s="17" t="str">
        <x:v>https://www.du.edu</x:v>
      </x:c>
      <x:c r="I1217" s="17" t="str">
        <x:v>not_sampled</x:v>
      </x:c>
      <x:c r="J1217" s="17" t="str">
        <x:v>not_sampled</x:v>
      </x:c>
    </x:row>
    <x:row r="1218" ht="46" customHeight="1">
      <x:c r="A1218" s="17" t="str">
        <x:v>us</x:v>
      </x:c>
      <x:c r="B1218" s="17" t="str">
        <x:v>University of Detroit Mercy</x:v>
      </x:c>
      <x:c r="C1218" s="17" t="str">
        <x:v>IPEDS discovery signal: Computer and Information Systems Security/Auditing/Information Assurance (CIP 11.1003)</x:v>
      </x:c>
      <x:c r="D1218" s="17" t="str">
        <x:v>Unclear</x:v>
      </x:c>
      <x:c r="E1218" s="17" t="str">
        <x:v>stage2_screened_out</x:v>
      </x:c>
      <x:c r="F1218" s="17" t="str">
        <x:v>Only one bounded registry/program-code signal was present; no independent topical, Calendar, current-faculty, or first-audit signal was recovered.</x:v>
      </x:c>
      <x:c r="G1218" s="17" t="str">
        <x:v>Does the current official catalog contain a research graduate program matching the applicant's topics?</x:v>
      </x:c>
      <x:c r="H1218" s="17" t="str">
        <x:v>https://www.udmercy.edu</x:v>
      </x:c>
      <x:c r="I1218" s="17" t="str">
        <x:v>not_sampled</x:v>
      </x:c>
      <x:c r="J1218" s="17" t="str">
        <x:v>not_sampled</x:v>
      </x:c>
    </x:row>
    <x:row r="1219" ht="46" customHeight="1">
      <x:c r="A1219" s="17" t="str">
        <x:v>us</x:v>
      </x:c>
      <x:c r="B1219" s="17" t="str">
        <x:v>University of Detroit Mercy</x:v>
      </x:c>
      <x:c r="C1219" s="17" t="str">
        <x:v>IPEDS discovery signal: Computer Software Engineering (CIP 14.0903)</x:v>
      </x:c>
      <x:c r="D1219" s="17" t="str">
        <x:v>Unclear</x:v>
      </x:c>
      <x:c r="E1219" s="17" t="str">
        <x:v>stage2_screened_out</x:v>
      </x:c>
      <x:c r="F1219" s="17" t="str">
        <x:v>Only one bounded registry/program-code signal was present; no independent topical, Calendar, current-faculty, or first-audit signal was recovered.</x:v>
      </x:c>
      <x:c r="G1219" s="17" t="str">
        <x:v>Does the current official catalog contain a research graduate program matching the applicant's topics?</x:v>
      </x:c>
      <x:c r="H1219" s="17" t="str">
        <x:v>https://www.udmercy.edu</x:v>
      </x:c>
      <x:c r="I1219" s="17" t="str">
        <x:v>not_sampled</x:v>
      </x:c>
      <x:c r="J1219" s="17" t="str">
        <x:v>not_sampled</x:v>
      </x:c>
    </x:row>
    <x:row r="1220" ht="46" customHeight="1">
      <x:c r="A1220" s="17" t="str">
        <x:v>us</x:v>
      </x:c>
      <x:c r="B1220" s="17" t="str">
        <x:v>University of Florida</x:v>
      </x:c>
      <x:c r="C1220" s="17" t="str">
        <x:v>IPEDS discovery signal: Computer Engineering, General (CIP 14.0901)</x:v>
      </x:c>
      <x:c r="D1220" s="17" t="str">
        <x:v>Unclear</x:v>
      </x:c>
      <x:c r="E1220" s="17" t="str">
        <x:v>stage2_screened_out</x:v>
      </x:c>
      <x:c r="F1220" s="17" t="str">
        <x:v>Duplicate mechanical discovery signal consolidated into one institution-level catalog review candidate.</x:v>
      </x:c>
      <x:c r="G1220" s="17" t="str">
        <x:v>Does the current official catalog contain a research graduate program matching the applicant's topics?</x:v>
      </x:c>
      <x:c r="H1220" s="17" t="str">
        <x:v>https://www.ufl.edu</x:v>
      </x:c>
      <x:c r="I1220" s="17" t="str">
        <x:v>not_sampled</x:v>
      </x:c>
      <x:c r="J1220" s="17" t="str">
        <x:v>not_sampled</x:v>
      </x:c>
    </x:row>
    <x:row r="1221" ht="46" customHeight="1">
      <x:c r="A1221" s="17" t="str">
        <x:v>us</x:v>
      </x:c>
      <x:c r="B1221" s="17" t="str">
        <x:v>University of Florida</x:v>
      </x:c>
      <x:c r="C1221" s="17" t="str">
        <x:v>IPEDS discovery signal: Electrical and Electronics Engineering (CIP 14.1001)</x:v>
      </x:c>
      <x:c r="D1221" s="17" t="str">
        <x:v>Unclear</x:v>
      </x:c>
      <x:c r="E1221" s="17" t="str">
        <x:v>stage2_screened_out</x:v>
      </x:c>
      <x:c r="F1221" s="17" t="str">
        <x:v>Duplicate mechanical discovery signal consolidated into one institution-level catalog review candidate.</x:v>
      </x:c>
      <x:c r="G1221" s="17" t="str">
        <x:v>Does the current official catalog contain a research graduate program matching the applicant's topics?</x:v>
      </x:c>
      <x:c r="H1221" s="17" t="str">
        <x:v>https://www.ufl.edu</x:v>
      </x:c>
      <x:c r="I1221" s="17" t="str">
        <x:v>not_sampled</x:v>
      </x:c>
      <x:c r="J1221" s="17" t="str">
        <x:v>not_sampled</x:v>
      </x:c>
    </x:row>
    <x:row r="1222" ht="46" customHeight="1">
      <x:c r="A1222" s="17" t="str">
        <x:v>us</x:v>
      </x:c>
      <x:c r="B1222" s="17" t="str">
        <x:v>University of Florida</x:v>
      </x:c>
      <x:c r="C1222" s="17" t="str">
        <x:v>IPEDS discovery signal: Informatics (CIP 11.0104)</x:v>
      </x:c>
      <x:c r="D1222" s="17" t="str">
        <x:v>Unclear</x:v>
      </x:c>
      <x:c r="E1222" s="17" t="str">
        <x:v>stage2_screened_out</x:v>
      </x:c>
      <x:c r="F1222" s="17" t="str">
        <x:v>Duplicate mechanical discovery signal consolidated into one institution-level catalog review candidate.</x:v>
      </x:c>
      <x:c r="G1222" s="17" t="str">
        <x:v>Does the current official catalog contain a research graduate program matching the applicant's topics?</x:v>
      </x:c>
      <x:c r="H1222" s="17" t="str">
        <x:v>https://www.ufl.edu</x:v>
      </x:c>
      <x:c r="I1222" s="17" t="str">
        <x:v>not_sampled</x:v>
      </x:c>
      <x:c r="J1222" s="17" t="str">
        <x:v>not_sampled</x:v>
      </x:c>
    </x:row>
    <x:row r="1223" ht="46" customHeight="1">
      <x:c r="A1223" s="17" t="str">
        <x:v>us</x:v>
      </x:c>
      <x:c r="B1223" s="17" t="str">
        <x:v>University of Georgia</x:v>
      </x:c>
      <x:c r="C1223" s="17" t="str">
        <x:v>IPEDS discovery signal: Computer and Information Systems Security/Auditing/Information Assurance (CIP 11.1003)</x:v>
      </x:c>
      <x:c r="D1223" s="17" t="str">
        <x:v>Unclear</x:v>
      </x:c>
      <x:c r="E1223" s="17" t="str">
        <x:v>stage2_screened_out</x:v>
      </x:c>
      <x:c r="F1223" s="17" t="str">
        <x:v>Duplicate mechanical discovery signal consolidated into one institution-level catalog review candidate.</x:v>
      </x:c>
      <x:c r="G1223" s="17" t="str">
        <x:v>Does the current official catalog contain a research graduate program matching the applicant's topics?</x:v>
      </x:c>
      <x:c r="H1223" s="17" t="str">
        <x:v>https://www.uga.edu</x:v>
      </x:c>
      <x:c r="I1223" s="17" t="str">
        <x:v>not_sampled</x:v>
      </x:c>
      <x:c r="J1223" s="17" t="str">
        <x:v>not_sampled</x:v>
      </x:c>
    </x:row>
    <x:row r="1224" ht="46" customHeight="1">
      <x:c r="A1224" s="17" t="str">
        <x:v>us</x:v>
      </x:c>
      <x:c r="B1224" s="17" t="str">
        <x:v>University of Georgia</x:v>
      </x:c>
      <x:c r="C1224" s="17" t="str">
        <x:v>IPEDS discovery signal: Computer Science (CIP 11.0701)</x:v>
      </x:c>
      <x:c r="D1224" s="17" t="str">
        <x:v>Unclear</x:v>
      </x:c>
      <x:c r="E1224" s="17" t="str">
        <x:v>stage2_screened_out</x:v>
      </x:c>
      <x:c r="F1224" s="17" t="str">
        <x:v>Duplicate mechanical discovery signal consolidated into one institution-level catalog review candidate.</x:v>
      </x:c>
      <x:c r="G1224" s="17" t="str">
        <x:v>Does the current official catalog contain a research graduate program matching the applicant's topics?</x:v>
      </x:c>
      <x:c r="H1224" s="17" t="str">
        <x:v>https://www.uga.edu</x:v>
      </x:c>
      <x:c r="I1224" s="17" t="str">
        <x:v>not_sampled</x:v>
      </x:c>
      <x:c r="J1224" s="17" t="str">
        <x:v>not_sampled</x:v>
      </x:c>
    </x:row>
    <x:row r="1225" ht="46" customHeight="1">
      <x:c r="A1225" s="17" t="str">
        <x:v>us</x:v>
      </x:c>
      <x:c r="B1225" s="17" t="str">
        <x:v>University of Hartford</x:v>
      </x:c>
      <x:c r="C1225" s="17" t="str">
        <x:v>IPEDS discovery signal: Electrical and Electronics Engineering (CIP 14.1001)</x:v>
      </x:c>
      <x:c r="D1225" s="17" t="str">
        <x:v>Unclear</x:v>
      </x:c>
      <x:c r="E1225" s="17" t="str">
        <x:v>stage2_screened_out</x:v>
      </x:c>
      <x:c r="F1225" s="17" t="str">
        <x:v>Only one bounded registry/program-code signal was present; no independent topical, Calendar, current-faculty, or first-audit signal was recovered.</x:v>
      </x:c>
      <x:c r="G1225" s="17" t="str">
        <x:v>Does the current official catalog contain a research graduate program matching the applicant's topics?</x:v>
      </x:c>
      <x:c r="H1225" s="17" t="str">
        <x:v>https://www.hartford.edu</x:v>
      </x:c>
      <x:c r="I1225" s="17" t="str">
        <x:v>not_sampled</x:v>
      </x:c>
      <x:c r="J1225" s="17" t="str">
        <x:v>not_sampled</x:v>
      </x:c>
    </x:row>
    <x:row r="1226" ht="46" customHeight="1">
      <x:c r="A1226" s="17" t="str">
        <x:v>us</x:v>
      </x:c>
      <x:c r="B1226" s="17" t="str">
        <x:v>University of Hawaii at Manoa</x:v>
      </x:c>
      <x:c r="C1226" s="17" t="str">
        <x:v>IPEDS discovery signal: Computer Science (CIP 11.0701)</x:v>
      </x:c>
      <x:c r="D1226" s="17" t="str">
        <x:v>Unclear</x:v>
      </x:c>
      <x:c r="E1226" s="17" t="str">
        <x:v>stage2_screened_out</x:v>
      </x:c>
      <x:c r="F1226" s="17" t="str">
        <x:v>Only one bounded registry/program-code signal was present; no independent topical, Calendar, current-faculty, or first-audit signal was recovered.</x:v>
      </x:c>
      <x:c r="G1226" s="17" t="str">
        <x:v>Does the current official catalog contain a research graduate program matching the applicant's topics?</x:v>
      </x:c>
      <x:c r="H1226" s="17" t="str">
        <x:v>https://manoa.hawaii.edu</x:v>
      </x:c>
      <x:c r="I1226" s="17" t="str">
        <x:v>not_sampled</x:v>
      </x:c>
      <x:c r="J1226" s="17" t="str">
        <x:v>not_sampled</x:v>
      </x:c>
    </x:row>
    <x:row r="1227" ht="46" customHeight="1">
      <x:c r="A1227" s="17" t="str">
        <x:v>us</x:v>
      </x:c>
      <x:c r="B1227" s="17" t="str">
        <x:v>University of Hawaii at Manoa</x:v>
      </x:c>
      <x:c r="C1227" s="17" t="str">
        <x:v>IPEDS discovery signal: Electrical and Electronics Engineering (CIP 14.1001)</x:v>
      </x:c>
      <x:c r="D1227" s="17" t="str">
        <x:v>Unclear</x:v>
      </x:c>
      <x:c r="E1227" s="17" t="str">
        <x:v>stage2_screened_out</x:v>
      </x:c>
      <x:c r="F1227" s="17" t="str">
        <x:v>Only one bounded registry/program-code signal was present; no independent topical, Calendar, current-faculty, or first-audit signal was recovered.</x:v>
      </x:c>
      <x:c r="G1227" s="17" t="str">
        <x:v>Does the current official catalog contain a research graduate program matching the applicant's topics?</x:v>
      </x:c>
      <x:c r="H1227" s="17" t="str">
        <x:v>https://manoa.hawaii.edu</x:v>
      </x:c>
      <x:c r="I1227" s="17" t="str">
        <x:v>not_sampled</x:v>
      </x:c>
      <x:c r="J1227" s="17" t="str">
        <x:v>not_sampled</x:v>
      </x:c>
    </x:row>
    <x:row r="1228" ht="46" customHeight="1">
      <x:c r="A1228" s="17" t="str">
        <x:v>us</x:v>
      </x:c>
      <x:c r="B1228" s="17" t="str">
        <x:v>University of Hawaii at Manoa</x:v>
      </x:c>
      <x:c r="C1228" s="17" t="str">
        <x:v>IPEDS discovery signal: Information Science/Studies (CIP 11.0401)</x:v>
      </x:c>
      <x:c r="D1228" s="17" t="str">
        <x:v>Unclear</x:v>
      </x:c>
      <x:c r="E1228" s="17" t="str">
        <x:v>stage2_screened_out</x:v>
      </x:c>
      <x:c r="F1228" s="17" t="str">
        <x:v>Only one bounded registry/program-code signal was present; no independent topical, Calendar, current-faculty, or first-audit signal was recovered.</x:v>
      </x:c>
      <x:c r="G1228" s="17" t="str">
        <x:v>Does the current official catalog contain a research graduate program matching the applicant's topics?</x:v>
      </x:c>
      <x:c r="H1228" s="17" t="str">
        <x:v>https://manoa.hawaii.edu</x:v>
      </x:c>
      <x:c r="I1228" s="17" t="str">
        <x:v>not_sampled</x:v>
      </x:c>
      <x:c r="J1228" s="17" t="str">
        <x:v>not_sampled</x:v>
      </x:c>
    </x:row>
    <x:row r="1229" ht="46" customHeight="1">
      <x:c r="A1229" s="17" t="str">
        <x:v>us</x:v>
      </x:c>
      <x:c r="B1229" s="17" t="str">
        <x:v>University of Hawaii at Manoa</x:v>
      </x:c>
      <x:c r="C1229" s="17" t="str">
        <x:v>IPEDS discovery signal: Information Technology (CIP 11.0103)</x:v>
      </x:c>
      <x:c r="D1229" s="17" t="str">
        <x:v>Unclear</x:v>
      </x:c>
      <x:c r="E1229" s="17" t="str">
        <x:v>stage2_screened_out</x:v>
      </x:c>
      <x:c r="F1229" s="17" t="str">
        <x:v>Only one bounded registry/program-code signal was present; no independent topical, Calendar, current-faculty, or first-audit signal was recovered.</x:v>
      </x:c>
      <x:c r="G1229" s="17" t="str">
        <x:v>Does the current official catalog contain a research graduate program matching the applicant's topics?</x:v>
      </x:c>
      <x:c r="H1229" s="17" t="str">
        <x:v>https://manoa.hawaii.edu</x:v>
      </x:c>
      <x:c r="I1229" s="17" t="str">
        <x:v>not_sampled</x:v>
      </x:c>
      <x:c r="J1229" s="17" t="str">
        <x:v>not_sampled</x:v>
      </x:c>
    </x:row>
    <x:row r="1230" ht="46" customHeight="1">
      <x:c r="A1230" s="17" t="str">
        <x:v>us</x:v>
      </x:c>
      <x:c r="B1230" s="17" t="str">
        <x:v>University of Houston</x:v>
      </x:c>
      <x:c r="C1230" s="17" t="str">
        <x:v>IPEDS discovery signal: Computer and Information Sciences, General (CIP 11.0101)</x:v>
      </x:c>
      <x:c r="D1230" s="17" t="str">
        <x:v>Unclear</x:v>
      </x:c>
      <x:c r="E1230" s="17" t="str">
        <x:v>stage2_screened_out</x:v>
      </x:c>
      <x:c r="F1230" s="17" t="str">
        <x:v>Duplicate mechanical discovery signal consolidated into one institution-level catalog review candidate.</x:v>
      </x:c>
      <x:c r="G1230" s="17" t="str">
        <x:v>Does the current official catalog contain a research graduate program matching the applicant's topics?</x:v>
      </x:c>
      <x:c r="H1230" s="17" t="str">
        <x:v>https://www.uh.edu</x:v>
      </x:c>
      <x:c r="I1230" s="17" t="str">
        <x:v>not_sampled</x:v>
      </x:c>
      <x:c r="J1230" s="17" t="str">
        <x:v>not_sampled</x:v>
      </x:c>
    </x:row>
    <x:row r="1231" ht="46" customHeight="1">
      <x:c r="A1231" s="17" t="str">
        <x:v>us</x:v>
      </x:c>
      <x:c r="B1231" s="17" t="str">
        <x:v>University of Houston</x:v>
      </x:c>
      <x:c r="C1231" s="17" t="str">
        <x:v>IPEDS discovery signal: Computer Engineering, General (CIP 14.0901)</x:v>
      </x:c>
      <x:c r="D1231" s="17" t="str">
        <x:v>Unclear</x:v>
      </x:c>
      <x:c r="E1231" s="17" t="str">
        <x:v>stage2_screened_out</x:v>
      </x:c>
      <x:c r="F1231" s="17" t="str">
        <x:v>Duplicate mechanical discovery signal consolidated into one institution-level catalog review candidate.</x:v>
      </x:c>
      <x:c r="G1231" s="17" t="str">
        <x:v>Does the current official catalog contain a research graduate program matching the applicant's topics?</x:v>
      </x:c>
      <x:c r="H1231" s="17" t="str">
        <x:v>https://www.uh.edu</x:v>
      </x:c>
      <x:c r="I1231" s="17" t="str">
        <x:v>not_sampled</x:v>
      </x:c>
      <x:c r="J1231" s="17" t="str">
        <x:v>not_sampled</x:v>
      </x:c>
    </x:row>
    <x:row r="1232" ht="46" customHeight="1">
      <x:c r="A1232" s="17" t="str">
        <x:v>us</x:v>
      </x:c>
      <x:c r="B1232" s="17" t="str">
        <x:v>University of Houston</x:v>
      </x:c>
      <x:c r="C1232" s="17" t="str">
        <x:v>IPEDS discovery signal: Electrical and Electronics Engineering (CIP 14.1001)</x:v>
      </x:c>
      <x:c r="D1232" s="17" t="str">
        <x:v>Unclear</x:v>
      </x:c>
      <x:c r="E1232" s="17" t="str">
        <x:v>stage2_screened_out</x:v>
      </x:c>
      <x:c r="F1232" s="17" t="str">
        <x:v>Duplicate mechanical discovery signal consolidated into one institution-level catalog review candidate.</x:v>
      </x:c>
      <x:c r="G1232" s="17" t="str">
        <x:v>Does the current official catalog contain a research graduate program matching the applicant's topics?</x:v>
      </x:c>
      <x:c r="H1232" s="17" t="str">
        <x:v>https://www.uh.edu</x:v>
      </x:c>
      <x:c r="I1232" s="17" t="str">
        <x:v>not_sampled</x:v>
      </x:c>
      <x:c r="J1232" s="17" t="str">
        <x:v>not_sampled</x:v>
      </x:c>
    </x:row>
    <x:row r="1233" ht="46" customHeight="1">
      <x:c r="A1233" s="17" t="str">
        <x:v>us</x:v>
      </x:c>
      <x:c r="B1233" s="17" t="str">
        <x:v>University of Houston</x:v>
      </x:c>
      <x:c r="C1233" s="17" t="str">
        <x:v>IPEDS discovery signal: Information Science/Studies (CIP 11.0401)</x:v>
      </x:c>
      <x:c r="D1233" s="17" t="str">
        <x:v>Unclear</x:v>
      </x:c>
      <x:c r="E1233" s="17" t="str">
        <x:v>stage2_screened_out</x:v>
      </x:c>
      <x:c r="F1233" s="17" t="str">
        <x:v>Duplicate mechanical discovery signal consolidated into one institution-level catalog review candidate.</x:v>
      </x:c>
      <x:c r="G1233" s="17" t="str">
        <x:v>Does the current official catalog contain a research graduate program matching the applicant's topics?</x:v>
      </x:c>
      <x:c r="H1233" s="17" t="str">
        <x:v>https://www.uh.edu</x:v>
      </x:c>
      <x:c r="I1233" s="17" t="str">
        <x:v>not_sampled</x:v>
      </x:c>
      <x:c r="J1233" s="17" t="str">
        <x:v>not_sampled</x:v>
      </x:c>
    </x:row>
    <x:row r="1234" ht="46" customHeight="1">
      <x:c r="A1234" s="17" t="str">
        <x:v>us</x:v>
      </x:c>
      <x:c r="B1234" s="17" t="str">
        <x:v>University of Houston-Clear Lake</x:v>
      </x:c>
      <x:c r="C1234" s="17" t="str">
        <x:v>IPEDS discovery signal: Computer and Information Sciences, General (CIP 11.0101)</x:v>
      </x:c>
      <x:c r="D1234" s="17" t="str">
        <x:v>Unclear</x:v>
      </x:c>
      <x:c r="E1234" s="17" t="str">
        <x:v>stage2_screened_out</x:v>
      </x:c>
      <x:c r="F1234" s="17" t="str">
        <x:v>Only one bounded registry/program-code signal was present; no independent topical, Calendar, current-faculty, or first-audit signal was recovered.</x:v>
      </x:c>
      <x:c r="G1234" s="17" t="str">
        <x:v>Does the current official catalog contain a research graduate program matching the applicant's topics?</x:v>
      </x:c>
      <x:c r="H1234" s="17" t="str">
        <x:v>https://www.uhcl.edu</x:v>
      </x:c>
      <x:c r="I1234" s="17" t="str">
        <x:v>not_sampled</x:v>
      </x:c>
      <x:c r="J1234" s="17" t="str">
        <x:v>not_sampled</x:v>
      </x:c>
    </x:row>
    <x:row r="1235" ht="46" customHeight="1">
      <x:c r="A1235" s="17" t="str">
        <x:v>us</x:v>
      </x:c>
      <x:c r="B1235" s="17" t="str">
        <x:v>University of Houston-Clear Lake</x:v>
      </x:c>
      <x:c r="C1235" s="17" t="str">
        <x:v>IPEDS discovery signal: Computer Engineering, General (CIP 14.0901)</x:v>
      </x:c>
      <x:c r="D1235" s="17" t="str">
        <x:v>Unclear</x:v>
      </x:c>
      <x:c r="E1235" s="17" t="str">
        <x:v>stage2_screened_out</x:v>
      </x:c>
      <x:c r="F1235" s="17" t="str">
        <x:v>Only one bounded registry/program-code signal was present; no independent topical, Calendar, current-faculty, or first-audit signal was recovered.</x:v>
      </x:c>
      <x:c r="G1235" s="17" t="str">
        <x:v>Does the current official catalog contain a research graduate program matching the applicant's topics?</x:v>
      </x:c>
      <x:c r="H1235" s="17" t="str">
        <x:v>https://www.uhcl.edu</x:v>
      </x:c>
      <x:c r="I1235" s="17" t="str">
        <x:v>not_sampled</x:v>
      </x:c>
      <x:c r="J1235" s="17" t="str">
        <x:v>not_sampled</x:v>
      </x:c>
    </x:row>
    <x:row r="1236" ht="46" customHeight="1">
      <x:c r="A1236" s="17" t="str">
        <x:v>us</x:v>
      </x:c>
      <x:c r="B1236" s="17" t="str">
        <x:v>University of Houston-Clear Lake</x:v>
      </x:c>
      <x:c r="C1236" s="17" t="str">
        <x:v>IPEDS discovery signal: Computer Science (CIP 11.0701)</x:v>
      </x:c>
      <x:c r="D1236" s="17" t="str">
        <x:v>Unclear</x:v>
      </x:c>
      <x:c r="E1236" s="17" t="str">
        <x:v>stage2_screened_out</x:v>
      </x:c>
      <x:c r="F1236" s="17" t="str">
        <x:v>Only one bounded registry/program-code signal was present; no independent topical, Calendar, current-faculty, or first-audit signal was recovered.</x:v>
      </x:c>
      <x:c r="G1236" s="17" t="str">
        <x:v>Does the current official catalog contain a research graduate program matching the applicant's topics?</x:v>
      </x:c>
      <x:c r="H1236" s="17" t="str">
        <x:v>https://www.uhcl.edu</x:v>
      </x:c>
      <x:c r="I1236" s="17" t="str">
        <x:v>not_sampled</x:v>
      </x:c>
      <x:c r="J1236" s="17" t="str">
        <x:v>not_sampled</x:v>
      </x:c>
    </x:row>
    <x:row r="1237" ht="46" customHeight="1">
      <x:c r="A1237" s="17" t="str">
        <x:v>us</x:v>
      </x:c>
      <x:c r="B1237" s="17" t="str">
        <x:v>University of Houston-Clear Lake</x:v>
      </x:c>
      <x:c r="C1237" s="17" t="str">
        <x:v>IPEDS discovery signal: Computer Software Engineering (CIP 14.0903)</x:v>
      </x:c>
      <x:c r="D1237" s="17" t="str">
        <x:v>Unclear</x:v>
      </x:c>
      <x:c r="E1237" s="17" t="str">
        <x:v>stage2_screened_out</x:v>
      </x:c>
      <x:c r="F1237" s="17" t="str">
        <x:v>Only one bounded registry/program-code signal was present; no independent topical, Calendar, current-faculty, or first-audit signal was recovered.</x:v>
      </x:c>
      <x:c r="G1237" s="17" t="str">
        <x:v>Does the current official catalog contain a research graduate program matching the applicant's topics?</x:v>
      </x:c>
      <x:c r="H1237" s="17" t="str">
        <x:v>https://www.uhcl.edu</x:v>
      </x:c>
      <x:c r="I1237" s="17" t="str">
        <x:v>not_sampled</x:v>
      </x:c>
      <x:c r="J1237" s="17" t="str">
        <x:v>not_sampled</x:v>
      </x:c>
    </x:row>
    <x:row r="1238" ht="46" customHeight="1">
      <x:c r="A1238" s="17" t="str">
        <x:v>us</x:v>
      </x:c>
      <x:c r="B1238" s="17" t="str">
        <x:v>University of Houston-Clear Lake</x:v>
      </x:c>
      <x:c r="C1238" s="17" t="str">
        <x:v>IPEDS discovery signal: Information Science/Studies (CIP 11.0401)</x:v>
      </x:c>
      <x:c r="D1238" s="17" t="str">
        <x:v>Unclear</x:v>
      </x:c>
      <x:c r="E1238" s="17" t="str">
        <x:v>stage2_screened_out</x:v>
      </x:c>
      <x:c r="F1238" s="17" t="str">
        <x:v>Only one bounded registry/program-code signal was present; no independent topical, Calendar, current-faculty, or first-audit signal was recovered.</x:v>
      </x:c>
      <x:c r="G1238" s="17" t="str">
        <x:v>Does the current official catalog contain a research graduate program matching the applicant's topics?</x:v>
      </x:c>
      <x:c r="H1238" s="17" t="str">
        <x:v>https://www.uhcl.edu</x:v>
      </x:c>
      <x:c r="I1238" s="17" t="str">
        <x:v>not_sampled</x:v>
      </x:c>
      <x:c r="J1238" s="17" t="str">
        <x:v>not_sampled</x:v>
      </x:c>
    </x:row>
    <x:row r="1239" ht="46" customHeight="1">
      <x:c r="A1239" s="17" t="str">
        <x:v>us</x:v>
      </x:c>
      <x:c r="B1239" s="17" t="str">
        <x:v>University of Houston-Downtown</x:v>
      </x:c>
      <x:c r="C1239" s="17" t="str">
        <x:v>IPEDS discovery signal: Artificial Intelligence (CIP 11.0102)</x:v>
      </x:c>
      <x:c r="D1239" s="17" t="str">
        <x:v>Unclear</x:v>
      </x:c>
      <x:c r="E1239" s="17" t="str">
        <x:v>stage2_screened_out</x:v>
      </x:c>
      <x:c r="F1239" s="17" t="str">
        <x:v>Only one bounded registry/program-code signal was present; no independent topical, Calendar, current-faculty, or first-audit signal was recovered.</x:v>
      </x:c>
      <x:c r="G1239" s="17" t="str">
        <x:v>Does the current official catalog contain a research graduate program matching the applicant's topics?</x:v>
      </x:c>
      <x:c r="H1239" s="17" t="str">
        <x:v>https://www.uhd.edu</x:v>
      </x:c>
      <x:c r="I1239" s="17" t="str">
        <x:v>not_sampled</x:v>
      </x:c>
      <x:c r="J1239" s="17" t="str">
        <x:v>not_sampled</x:v>
      </x:c>
    </x:row>
    <x:row r="1240" ht="46" customHeight="1">
      <x:c r="A1240" s="17" t="str">
        <x:v>us</x:v>
      </x:c>
      <x:c r="B1240" s="17" t="str">
        <x:v>University of Houston-Downtown</x:v>
      </x:c>
      <x:c r="C1240" s="17" t="str">
        <x:v>IPEDS discovery signal: Data Analytics, General (CIP 30.7101)</x:v>
      </x:c>
      <x:c r="D1240" s="17" t="str">
        <x:v>Unclear</x:v>
      </x:c>
      <x:c r="E1240" s="17" t="str">
        <x:v>stage2_screened_out</x:v>
      </x:c>
      <x:c r="F1240" s="17" t="str">
        <x:v>Only one bounded registry/program-code signal was present; no independent topical, Calendar, current-faculty, or first-audit signal was recovered.</x:v>
      </x:c>
      <x:c r="G1240" s="17" t="str">
        <x:v>Does the current official catalog contain a research graduate program matching the applicant's topics?</x:v>
      </x:c>
      <x:c r="H1240" s="17" t="str">
        <x:v>https://www.uhd.edu</x:v>
      </x:c>
      <x:c r="I1240" s="17" t="str">
        <x:v>not_sampled</x:v>
      </x:c>
      <x:c r="J1240" s="17" t="str">
        <x:v>not_sampled</x:v>
      </x:c>
    </x:row>
    <x:row r="1241" ht="46" customHeight="1">
      <x:c r="A1241" s="17" t="str">
        <x:v>us</x:v>
      </x:c>
      <x:c r="B1241" s="17" t="str">
        <x:v>University of Houston-Victoria</x:v>
      </x:c>
      <x:c r="C1241" s="17" t="str">
        <x:v>IPEDS discovery signal: Computer Science (CIP 11.0701)</x:v>
      </x:c>
      <x:c r="D1241" s="17" t="str">
        <x:v>Unclear</x:v>
      </x:c>
      <x:c r="E1241" s="17" t="str">
        <x:v>stage2_screened_out</x:v>
      </x:c>
      <x:c r="F1241" s="17" t="str">
        <x:v>Only one bounded registry/program-code signal was present; no independent topical, Calendar, current-faculty, or first-audit signal was recovered.</x:v>
      </x:c>
      <x:c r="G1241" s="17" t="str">
        <x:v>Does the current official catalog contain a research graduate program matching the applicant's topics?</x:v>
      </x:c>
      <x:c r="H1241" s="17" t="str">
        <x:v>https://uhv.edu</x:v>
      </x:c>
      <x:c r="I1241" s="17" t="str">
        <x:v>not_sampled</x:v>
      </x:c>
      <x:c r="J1241" s="17" t="str">
        <x:v>not_sampled</x:v>
      </x:c>
    </x:row>
    <x:row r="1242" ht="46" customHeight="1">
      <x:c r="A1242" s="17" t="str">
        <x:v>us</x:v>
      </x:c>
      <x:c r="B1242" s="17" t="str">
        <x:v>University of Houston-Victoria</x:v>
      </x:c>
      <x:c r="C1242" s="17" t="str">
        <x:v>IPEDS discovery signal: Information Science/Studies (CIP 11.0401)</x:v>
      </x:c>
      <x:c r="D1242" s="17" t="str">
        <x:v>Unclear</x:v>
      </x:c>
      <x:c r="E1242" s="17" t="str">
        <x:v>stage2_screened_out</x:v>
      </x:c>
      <x:c r="F1242" s="17" t="str">
        <x:v>Only one bounded registry/program-code signal was present; no independent topical, Calendar, current-faculty, or first-audit signal was recovered.</x:v>
      </x:c>
      <x:c r="G1242" s="17" t="str">
        <x:v>Does the current official catalog contain a research graduate program matching the applicant's topics?</x:v>
      </x:c>
      <x:c r="H1242" s="17" t="str">
        <x:v>https://uhv.edu</x:v>
      </x:c>
      <x:c r="I1242" s="17" t="str">
        <x:v>not_sampled</x:v>
      </x:c>
      <x:c r="J1242" s="17" t="str">
        <x:v>not_sampled</x:v>
      </x:c>
    </x:row>
    <x:row r="1243" ht="46" customHeight="1">
      <x:c r="A1243" s="17" t="str">
        <x:v>us</x:v>
      </x:c>
      <x:c r="B1243" s="17" t="str">
        <x:v>University of Idaho</x:v>
      </x:c>
      <x:c r="C1243" s="17" t="str">
        <x:v>IPEDS discovery signal: Computer and Information Systems Security/Auditing/Information Assurance (CIP 11.1003)</x:v>
      </x:c>
      <x:c r="D1243" s="17" t="str">
        <x:v>Unclear</x:v>
      </x:c>
      <x:c r="E1243" s="17" t="str">
        <x:v>stage2_screened_out</x:v>
      </x:c>
      <x:c r="F1243" s="17" t="str">
        <x:v>Only one bounded registry/program-code signal was present; no independent topical, Calendar, current-faculty, or first-audit signal was recovered.</x:v>
      </x:c>
      <x:c r="G1243" s="17" t="str">
        <x:v>Does the current official catalog contain a research graduate program matching the applicant's topics?</x:v>
      </x:c>
      <x:c r="H1243" s="17" t="str">
        <x:v>https://www.uidaho.edu</x:v>
      </x:c>
      <x:c r="I1243" s="17" t="str">
        <x:v>false_negative_corrected</x:v>
      </x:c>
      <x:c r="J1243" s="17" t="str">
        <x:v>confirmed</x:v>
      </x:c>
    </x:row>
    <x:row r="1244" ht="46" customHeight="1">
      <x:c r="A1244" s="17" t="str">
        <x:v>us</x:v>
      </x:c>
      <x:c r="B1244" s="17" t="str">
        <x:v>University of Idaho</x:v>
      </x:c>
      <x:c r="C1244" s="17" t="str">
        <x:v>IPEDS discovery signal: Computer Engineering, General (CIP 14.0901)</x:v>
      </x:c>
      <x:c r="D1244" s="17" t="str">
        <x:v>Unclear</x:v>
      </x:c>
      <x:c r="E1244" s="17" t="str">
        <x:v>stage2_screened_out</x:v>
      </x:c>
      <x:c r="F1244" s="17" t="str">
        <x:v>Only one bounded registry/program-code signal was present; no independent topical, Calendar, current-faculty, or first-audit signal was recovered.</x:v>
      </x:c>
      <x:c r="G1244" s="17" t="str">
        <x:v>Does the current official catalog contain a research graduate program matching the applicant's topics?</x:v>
      </x:c>
      <x:c r="H1244" s="17" t="str">
        <x:v>https://www.uidaho.edu</x:v>
      </x:c>
      <x:c r="I1244" s="17" t="str">
        <x:v>false_negative_corrected</x:v>
      </x:c>
      <x:c r="J1244" s="17" t="str">
        <x:v>confirmed</x:v>
      </x:c>
    </x:row>
    <x:row r="1245" ht="46" customHeight="1">
      <x:c r="A1245" s="17" t="str">
        <x:v>us</x:v>
      </x:c>
      <x:c r="B1245" s="17" t="str">
        <x:v>University of Idaho</x:v>
      </x:c>
      <x:c r="C1245" s="17" t="str">
        <x:v>IPEDS discovery signal: Computer Science (CIP 11.0701)</x:v>
      </x:c>
      <x:c r="D1245" s="17" t="str">
        <x:v>Unclear</x:v>
      </x:c>
      <x:c r="E1245" s="17" t="str">
        <x:v>stage2_screened_out</x:v>
      </x:c>
      <x:c r="F1245" s="17" t="str">
        <x:v>Only one bounded registry/program-code signal was present; no independent topical, Calendar, current-faculty, or first-audit signal was recovered.</x:v>
      </x:c>
      <x:c r="G1245" s="17" t="str">
        <x:v>Does the current official catalog contain a research graduate program matching the applicant's topics?</x:v>
      </x:c>
      <x:c r="H1245" s="17" t="str">
        <x:v>https://www.uidaho.edu</x:v>
      </x:c>
      <x:c r="I1245" s="17" t="str">
        <x:v>false_negative_corrected</x:v>
      </x:c>
      <x:c r="J1245" s="17" t="str">
        <x:v>confirmed</x:v>
      </x:c>
    </x:row>
    <x:row r="1246" ht="46" customHeight="1">
      <x:c r="A1246" s="17" t="str">
        <x:v>us</x:v>
      </x:c>
      <x:c r="B1246" s="17" t="str">
        <x:v>University of Idaho</x:v>
      </x:c>
      <x:c r="C1246" s="17" t="str">
        <x:v>IPEDS discovery signal: Electrical and Electronics Engineering (CIP 14.1001)</x:v>
      </x:c>
      <x:c r="D1246" s="17" t="str">
        <x:v>Unclear</x:v>
      </x:c>
      <x:c r="E1246" s="17" t="str">
        <x:v>stage2_screened_out</x:v>
      </x:c>
      <x:c r="F1246" s="17" t="str">
        <x:v>Only one bounded registry/program-code signal was present; no independent topical, Calendar, current-faculty, or first-audit signal was recovered.</x:v>
      </x:c>
      <x:c r="G1246" s="17" t="str">
        <x:v>Does the current official catalog contain a research graduate program matching the applicant's topics?</x:v>
      </x:c>
      <x:c r="H1246" s="17" t="str">
        <x:v>https://www.uidaho.edu</x:v>
      </x:c>
      <x:c r="I1246" s="17" t="str">
        <x:v>false_negative_corrected</x:v>
      </x:c>
      <x:c r="J1246" s="17" t="str">
        <x:v>confirmed</x:v>
      </x:c>
    </x:row>
    <x:row r="1247" ht="46" customHeight="1">
      <x:c r="A1247" s="17" t="str">
        <x:v>us</x:v>
      </x:c>
      <x:c r="B1247" s="17" t="str">
        <x:v>University of Illinois Chicago</x:v>
      </x:c>
      <x:c r="C1247" s="17" t="str">
        <x:v>IPEDS discovery signal: Computer and Information Sciences, Other (CIP 11.0199)</x:v>
      </x:c>
      <x:c r="D1247" s="17" t="str">
        <x:v>Unclear</x:v>
      </x:c>
      <x:c r="E1247" s="17" t="str">
        <x:v>stage2_screened_out</x:v>
      </x:c>
      <x:c r="F1247" s="17" t="str">
        <x:v>Duplicate mechanical discovery signal consolidated into one institution-level catalog review candidate.</x:v>
      </x:c>
      <x:c r="G1247" s="17" t="str">
        <x:v>Does the current official catalog contain a research graduate program matching the applicant's topics?</x:v>
      </x:c>
      <x:c r="H1247" s="17" t="str">
        <x:v>https://www.uic.edu</x:v>
      </x:c>
      <x:c r="I1247" s="17" t="str">
        <x:v>false_negative_corrected</x:v>
      </x:c>
      <x:c r="J1247" s="17" t="str">
        <x:v>confirmed</x:v>
      </x:c>
    </x:row>
    <x:row r="1248" ht="46" customHeight="1">
      <x:c r="A1248" s="17" t="str">
        <x:v>us</x:v>
      </x:c>
      <x:c r="B1248" s="17" t="str">
        <x:v>University of Illinois Chicago</x:v>
      </x:c>
      <x:c r="C1248" s="17" t="str">
        <x:v>IPEDS discovery signal: Electrical and Electronics Engineering (CIP 14.1001)</x:v>
      </x:c>
      <x:c r="D1248" s="17" t="str">
        <x:v>Unclear</x:v>
      </x:c>
      <x:c r="E1248" s="17" t="str">
        <x:v>stage2_screened_out</x:v>
      </x:c>
      <x:c r="F1248" s="17" t="str">
        <x:v>Duplicate mechanical discovery signal consolidated into one institution-level catalog review candidate.</x:v>
      </x:c>
      <x:c r="G1248" s="17" t="str">
        <x:v>Does the current official catalog contain a research graduate program matching the applicant's topics?</x:v>
      </x:c>
      <x:c r="H1248" s="17" t="str">
        <x:v>https://www.uic.edu</x:v>
      </x:c>
      <x:c r="I1248" s="17" t="str">
        <x:v>false_negative_corrected</x:v>
      </x:c>
      <x:c r="J1248" s="17" t="str">
        <x:v>confirmed</x:v>
      </x:c>
    </x:row>
    <x:row r="1249" ht="46" customHeight="1">
      <x:c r="A1249" s="17" t="str">
        <x:v>us</x:v>
      </x:c>
      <x:c r="B1249" s="17" t="str">
        <x:v>University of Illinois Springfield</x:v>
      </x:c>
      <x:c r="C1249" s="17" t="str">
        <x:v>IPEDS discovery signal: Computer and Information Systems Security/Auditing/Information Assurance (CIP 11.1003)</x:v>
      </x:c>
      <x:c r="D1249" s="17" t="str">
        <x:v>Unclear</x:v>
      </x:c>
      <x:c r="E1249" s="17" t="str">
        <x:v>stage2_screened_out</x:v>
      </x:c>
      <x:c r="F1249" s="17" t="str">
        <x:v>Only one bounded registry/program-code signal was present; no independent topical, Calendar, current-faculty, or first-audit signal was recovered.</x:v>
      </x:c>
      <x:c r="G1249" s="17" t="str">
        <x:v>Does the current official catalog contain a research graduate program matching the applicant's topics?</x:v>
      </x:c>
      <x:c r="H1249" s="17" t="str">
        <x:v>https://www.uis.edu</x:v>
      </x:c>
      <x:c r="I1249" s="17" t="str">
        <x:v>not_sampled</x:v>
      </x:c>
      <x:c r="J1249" s="17" t="str">
        <x:v>not_sampled</x:v>
      </x:c>
    </x:row>
    <x:row r="1250" ht="46" customHeight="1">
      <x:c r="A1250" s="17" t="str">
        <x:v>us</x:v>
      </x:c>
      <x:c r="B1250" s="17" t="str">
        <x:v>University of Illinois Springfield</x:v>
      </x:c>
      <x:c r="C1250" s="17" t="str">
        <x:v>IPEDS discovery signal: Computer Science (CIP 11.0701)</x:v>
      </x:c>
      <x:c r="D1250" s="17" t="str">
        <x:v>Unclear</x:v>
      </x:c>
      <x:c r="E1250" s="17" t="str">
        <x:v>stage2_screened_out</x:v>
      </x:c>
      <x:c r="F1250" s="17" t="str">
        <x:v>Only one bounded registry/program-code signal was present; no independent topical, Calendar, current-faculty, or first-audit signal was recovered.</x:v>
      </x:c>
      <x:c r="G1250" s="17" t="str">
        <x:v>Does the current official catalog contain a research graduate program matching the applicant's topics?</x:v>
      </x:c>
      <x:c r="H1250" s="17" t="str">
        <x:v>https://www.uis.edu</x:v>
      </x:c>
      <x:c r="I1250" s="17" t="str">
        <x:v>not_sampled</x:v>
      </x:c>
      <x:c r="J1250" s="17" t="str">
        <x:v>not_sampled</x:v>
      </x:c>
    </x:row>
    <x:row r="1251" ht="46" customHeight="1">
      <x:c r="A1251" s="17" t="str">
        <x:v>us</x:v>
      </x:c>
      <x:c r="B1251" s="17" t="str">
        <x:v>University of Illinois Urbana-Champaign</x:v>
      </x:c>
      <x:c r="C1251" s="17" t="str">
        <x:v>IPEDS discovery signal: Computer Science (CIP 11.0701)</x:v>
      </x:c>
      <x:c r="D1251" s="17" t="str">
        <x:v>Unclear</x:v>
      </x:c>
      <x:c r="E1251" s="17" t="str">
        <x:v>stage2_screened_out</x:v>
      </x:c>
      <x:c r="F1251" s="17" t="str">
        <x:v>Mechanical discovery placeholder is superseded by an exact official program record at the same institution.</x:v>
      </x:c>
      <x:c r="G1251" s="17" t="str">
        <x:v>Does the current official catalog contain a research graduate program matching the applicant's topics?</x:v>
      </x:c>
      <x:c r="H1251" s="17" t="str">
        <x:v>https://www.illinois.edu</x:v>
      </x:c>
      <x:c r="I1251" s="17" t="str">
        <x:v>not_sampled</x:v>
      </x:c>
      <x:c r="J1251" s="17" t="str">
        <x:v>not_sampled</x:v>
      </x:c>
    </x:row>
    <x:row r="1252" ht="46" customHeight="1">
      <x:c r="A1252" s="17" t="str">
        <x:v>us</x:v>
      </x:c>
      <x:c r="B1252" s="17" t="str">
        <x:v>University of Illinois Urbana-Champaign</x:v>
      </x:c>
      <x:c r="C1252" s="17" t="str">
        <x:v>IPEDS discovery signal: Data Science, General (CIP 30.7001)</x:v>
      </x:c>
      <x:c r="D1252" s="17" t="str">
        <x:v>Unclear</x:v>
      </x:c>
      <x:c r="E1252" s="17" t="str">
        <x:v>stage2_screened_out</x:v>
      </x:c>
      <x:c r="F1252" s="17" t="str">
        <x:v>Mechanical discovery placeholder is superseded by an exact official program record at the same institution.</x:v>
      </x:c>
      <x:c r="G1252" s="17" t="str">
        <x:v>Does the current official catalog contain a research graduate program matching the applicant's topics?</x:v>
      </x:c>
      <x:c r="H1252" s="17" t="str">
        <x:v>https://www.illinois.edu</x:v>
      </x:c>
      <x:c r="I1252" s="17" t="str">
        <x:v>not_sampled</x:v>
      </x:c>
      <x:c r="J1252" s="17" t="str">
        <x:v>not_sampled</x:v>
      </x:c>
    </x:row>
    <x:row r="1253" ht="46" customHeight="1">
      <x:c r="A1253" s="17" t="str">
        <x:v>us</x:v>
      </x:c>
      <x:c r="B1253" s="17" t="str">
        <x:v>University of Illinois Urbana-Champaign</x:v>
      </x:c>
      <x:c r="C1253" s="17" t="str">
        <x:v>IPEDS discovery signal: Electrical and Electronics Engineering (CIP 14.1001)</x:v>
      </x:c>
      <x:c r="D1253" s="17" t="str">
        <x:v>Unclear</x:v>
      </x:c>
      <x:c r="E1253" s="17" t="str">
        <x:v>stage2_screened_out</x:v>
      </x:c>
      <x:c r="F1253" s="17" t="str">
        <x:v>Mechanical discovery placeholder is superseded by an exact official program record at the same institution.</x:v>
      </x:c>
      <x:c r="G1253" s="17" t="str">
        <x:v>Does the current official catalog contain a research graduate program matching the applicant's topics?</x:v>
      </x:c>
      <x:c r="H1253" s="17" t="str">
        <x:v>https://www.illinois.edu</x:v>
      </x:c>
      <x:c r="I1253" s="17" t="str">
        <x:v>not_sampled</x:v>
      </x:c>
      <x:c r="J1253" s="17" t="str">
        <x:v>not_sampled</x:v>
      </x:c>
    </x:row>
    <x:row r="1254" ht="46" customHeight="1">
      <x:c r="A1254" s="17" t="str">
        <x:v>us</x:v>
      </x:c>
      <x:c r="B1254" s="17" t="str">
        <x:v>University of Illinois Urbana-Champaign</x:v>
      </x:c>
      <x:c r="C1254" s="17" t="str">
        <x:v>IPEDS discovery signal: Information Science/Studies (CIP 11.0401)</x:v>
      </x:c>
      <x:c r="D1254" s="17" t="str">
        <x:v>Unclear</x:v>
      </x:c>
      <x:c r="E1254" s="17" t="str">
        <x:v>stage2_screened_out</x:v>
      </x:c>
      <x:c r="F1254" s="17" t="str">
        <x:v>Mechanical discovery placeholder is superseded by an exact official program record at the same institution.</x:v>
      </x:c>
      <x:c r="G1254" s="17" t="str">
        <x:v>Does the current official catalog contain a research graduate program matching the applicant's topics?</x:v>
      </x:c>
      <x:c r="H1254" s="17" t="str">
        <x:v>https://www.illinois.edu</x:v>
      </x:c>
      <x:c r="I1254" s="17" t="str">
        <x:v>not_sampled</x:v>
      </x:c>
      <x:c r="J1254" s="17" t="str">
        <x:v>not_sampled</x:v>
      </x:c>
    </x:row>
    <x:row r="1255" ht="46" customHeight="1">
      <x:c r="A1255" s="17" t="str">
        <x:v>us</x:v>
      </x:c>
      <x:c r="B1255" s="17" t="str">
        <x:v>University of Iowa</x:v>
      </x:c>
      <x:c r="C1255" s="17" t="str">
        <x:v>IPEDS discovery signal: Computer Engineering, General (CIP 14.0901)</x:v>
      </x:c>
      <x:c r="D1255" s="17" t="str">
        <x:v>Unclear</x:v>
      </x:c>
      <x:c r="E1255" s="17" t="str">
        <x:v>stage2_screened_out</x:v>
      </x:c>
      <x:c r="F1255" s="17" t="str">
        <x:v>Duplicate mechanical discovery signal consolidated into one institution-level catalog review candidate.</x:v>
      </x:c>
      <x:c r="G1255" s="17" t="str">
        <x:v>Does the current official catalog contain a research graduate program matching the applicant's topics?</x:v>
      </x:c>
      <x:c r="H1255" s="17" t="str">
        <x:v>https://uiowa.edu</x:v>
      </x:c>
      <x:c r="I1255" s="17" t="str">
        <x:v>not_sampled</x:v>
      </x:c>
      <x:c r="J1255" s="17" t="str">
        <x:v>not_sampled</x:v>
      </x:c>
    </x:row>
    <x:row r="1256" ht="46" customHeight="1">
      <x:c r="A1256" s="17" t="str">
        <x:v>us</x:v>
      </x:c>
      <x:c r="B1256" s="17" t="str">
        <x:v>University of Iowa</x:v>
      </x:c>
      <x:c r="C1256" s="17" t="str">
        <x:v>IPEDS discovery signal: Data Science, General (CIP 30.7001)</x:v>
      </x:c>
      <x:c r="D1256" s="17" t="str">
        <x:v>Unclear</x:v>
      </x:c>
      <x:c r="E1256" s="17" t="str">
        <x:v>stage2_screened_out</x:v>
      </x:c>
      <x:c r="F1256" s="17" t="str">
        <x:v>Duplicate mechanical discovery signal consolidated into one institution-level catalog review candidate.</x:v>
      </x:c>
      <x:c r="G1256" s="17" t="str">
        <x:v>Does the current official catalog contain a research graduate program matching the applicant's topics?</x:v>
      </x:c>
      <x:c r="H1256" s="17" t="str">
        <x:v>https://uiowa.edu</x:v>
      </x:c>
      <x:c r="I1256" s="17" t="str">
        <x:v>not_sampled</x:v>
      </x:c>
      <x:c r="J1256" s="17" t="str">
        <x:v>not_sampled</x:v>
      </x:c>
    </x:row>
    <x:row r="1257" ht="46" customHeight="1">
      <x:c r="A1257" s="17" t="str">
        <x:v>us</x:v>
      </x:c>
      <x:c r="B1257" s="17" t="str">
        <x:v>University of Iowa</x:v>
      </x:c>
      <x:c r="C1257" s="17" t="str">
        <x:v>IPEDS discovery signal: Informatics (CIP 11.0104)</x:v>
      </x:c>
      <x:c r="D1257" s="17" t="str">
        <x:v>Unclear</x:v>
      </x:c>
      <x:c r="E1257" s="17" t="str">
        <x:v>stage2_screened_out</x:v>
      </x:c>
      <x:c r="F1257" s="17" t="str">
        <x:v>Duplicate mechanical discovery signal consolidated into one institution-level catalog review candidate.</x:v>
      </x:c>
      <x:c r="G1257" s="17" t="str">
        <x:v>Does the current official catalog contain a research graduate program matching the applicant's topics?</x:v>
      </x:c>
      <x:c r="H1257" s="17" t="str">
        <x:v>https://uiowa.edu</x:v>
      </x:c>
      <x:c r="I1257" s="17" t="str">
        <x:v>not_sampled</x:v>
      </x:c>
      <x:c r="J1257" s="17" t="str">
        <x:v>not_sampled</x:v>
      </x:c>
    </x:row>
    <x:row r="1258" ht="46" customHeight="1">
      <x:c r="A1258" s="17" t="str">
        <x:v>us</x:v>
      </x:c>
      <x:c r="B1258" s="17" t="str">
        <x:v>University of Kansas</x:v>
      </x:c>
      <x:c r="C1258" s="17" t="str">
        <x:v>IPEDS discovery signal: Computer and Information Sciences, General (CIP 11.0101)</x:v>
      </x:c>
      <x:c r="D1258" s="17" t="str">
        <x:v>Unclear</x:v>
      </x:c>
      <x:c r="E1258" s="17" t="str">
        <x:v>stage2_screened_out</x:v>
      </x:c>
      <x:c r="F1258" s="17" t="str">
        <x:v>Only one bounded registry/program-code signal was present; no independent topical, Calendar, current-faculty, or first-audit signal was recovered.</x:v>
      </x:c>
      <x:c r="G1258" s="17" t="str">
        <x:v>Does the current official catalog contain a research graduate program matching the applicant's topics?</x:v>
      </x:c>
      <x:c r="H1258" s="17" t="str">
        <x:v>https://ku.edu</x:v>
      </x:c>
      <x:c r="I1258" s="17" t="str">
        <x:v>not_sampled</x:v>
      </x:c>
      <x:c r="J1258" s="17" t="str">
        <x:v>not_sampled</x:v>
      </x:c>
    </x:row>
    <x:row r="1259" ht="46" customHeight="1">
      <x:c r="A1259" s="17" t="str">
        <x:v>us</x:v>
      </x:c>
      <x:c r="B1259" s="17" t="str">
        <x:v>University of Kansas</x:v>
      </x:c>
      <x:c r="C1259" s="17" t="str">
        <x:v>IPEDS discovery signal: Computer Engineering, General (CIP 14.0901)</x:v>
      </x:c>
      <x:c r="D1259" s="17" t="str">
        <x:v>Unclear</x:v>
      </x:c>
      <x:c r="E1259" s="17" t="str">
        <x:v>stage2_screened_out</x:v>
      </x:c>
      <x:c r="F1259" s="17" t="str">
        <x:v>Only one bounded registry/program-code signal was present; no independent topical, Calendar, current-faculty, or first-audit signal was recovered.</x:v>
      </x:c>
      <x:c r="G1259" s="17" t="str">
        <x:v>Does the current official catalog contain a research graduate program matching the applicant's topics?</x:v>
      </x:c>
      <x:c r="H1259" s="17" t="str">
        <x:v>https://ku.edu</x:v>
      </x:c>
      <x:c r="I1259" s="17" t="str">
        <x:v>not_sampled</x:v>
      </x:c>
      <x:c r="J1259" s="17" t="str">
        <x:v>not_sampled</x:v>
      </x:c>
    </x:row>
    <x:row r="1260" ht="46" customHeight="1">
      <x:c r="A1260" s="17" t="str">
        <x:v>us</x:v>
      </x:c>
      <x:c r="B1260" s="17" t="str">
        <x:v>University of Kansas</x:v>
      </x:c>
      <x:c r="C1260" s="17" t="str">
        <x:v>IPEDS discovery signal: Data Science, General (CIP 30.7001)</x:v>
      </x:c>
      <x:c r="D1260" s="17" t="str">
        <x:v>Unclear</x:v>
      </x:c>
      <x:c r="E1260" s="17" t="str">
        <x:v>stage2_screened_out</x:v>
      </x:c>
      <x:c r="F1260" s="17" t="str">
        <x:v>Only one bounded registry/program-code signal was present; no independent topical, Calendar, current-faculty, or first-audit signal was recovered.</x:v>
      </x:c>
      <x:c r="G1260" s="17" t="str">
        <x:v>Does the current official catalog contain a research graduate program matching the applicant's topics?</x:v>
      </x:c>
      <x:c r="H1260" s="17" t="str">
        <x:v>https://ku.edu</x:v>
      </x:c>
      <x:c r="I1260" s="17" t="str">
        <x:v>not_sampled</x:v>
      </x:c>
      <x:c r="J1260" s="17" t="str">
        <x:v>not_sampled</x:v>
      </x:c>
    </x:row>
    <x:row r="1261" ht="46" customHeight="1">
      <x:c r="A1261" s="17" t="str">
        <x:v>us</x:v>
      </x:c>
      <x:c r="B1261" s="17" t="str">
        <x:v>University of Kansas</x:v>
      </x:c>
      <x:c r="C1261" s="17" t="str">
        <x:v>IPEDS discovery signal: Electrical and Electronics Engineering (CIP 14.1001)</x:v>
      </x:c>
      <x:c r="D1261" s="17" t="str">
        <x:v>Unclear</x:v>
      </x:c>
      <x:c r="E1261" s="17" t="str">
        <x:v>stage2_screened_out</x:v>
      </x:c>
      <x:c r="F1261" s="17" t="str">
        <x:v>Only one bounded registry/program-code signal was present; no independent topical, Calendar, current-faculty, or first-audit signal was recovered.</x:v>
      </x:c>
      <x:c r="G1261" s="17" t="str">
        <x:v>Does the current official catalog contain a research graduate program matching the applicant's topics?</x:v>
      </x:c>
      <x:c r="H1261" s="17" t="str">
        <x:v>https://ku.edu</x:v>
      </x:c>
      <x:c r="I1261" s="17" t="str">
        <x:v>not_sampled</x:v>
      </x:c>
      <x:c r="J1261" s="17" t="str">
        <x:v>not_sampled</x:v>
      </x:c>
    </x:row>
    <x:row r="1262" ht="46" customHeight="1">
      <x:c r="A1262" s="17" t="str">
        <x:v>us</x:v>
      </x:c>
      <x:c r="B1262" s="17" t="str">
        <x:v>University of Kansas</x:v>
      </x:c>
      <x:c r="C1262" s="17" t="str">
        <x:v>IPEDS discovery signal: Information Technology (CIP 11.0103)</x:v>
      </x:c>
      <x:c r="D1262" s="17" t="str">
        <x:v>Unclear</x:v>
      </x:c>
      <x:c r="E1262" s="17" t="str">
        <x:v>stage2_screened_out</x:v>
      </x:c>
      <x:c r="F1262" s="17" t="str">
        <x:v>Only one bounded registry/program-code signal was present; no independent topical, Calendar, current-faculty, or first-audit signal was recovered.</x:v>
      </x:c>
      <x:c r="G1262" s="17" t="str">
        <x:v>Does the current official catalog contain a research graduate program matching the applicant's topics?</x:v>
      </x:c>
      <x:c r="H1262" s="17" t="str">
        <x:v>https://ku.edu</x:v>
      </x:c>
      <x:c r="I1262" s="17" t="str">
        <x:v>not_sampled</x:v>
      </x:c>
      <x:c r="J1262" s="17" t="str">
        <x:v>not_sampled</x:v>
      </x:c>
    </x:row>
    <x:row r="1263" ht="46" customHeight="1">
      <x:c r="A1263" s="17" t="str">
        <x:v>us</x:v>
      </x:c>
      <x:c r="B1263" s="17" t="str">
        <x:v>University of Kentucky</x:v>
      </x:c>
      <x:c r="C1263" s="17" t="str">
        <x:v>IPEDS discovery signal: Computer Engineering, General (CIP 14.0901)</x:v>
      </x:c>
      <x:c r="D1263" s="17" t="str">
        <x:v>Unclear</x:v>
      </x:c>
      <x:c r="E1263" s="17" t="str">
        <x:v>stage2_screened_out</x:v>
      </x:c>
      <x:c r="F1263" s="17" t="str">
        <x:v>Duplicate mechanical discovery signal consolidated into one institution-level catalog review candidate.</x:v>
      </x:c>
      <x:c r="G1263" s="17" t="str">
        <x:v>Does the current official catalog contain a research graduate program matching the applicant's topics?</x:v>
      </x:c>
      <x:c r="H1263" s="17" t="str">
        <x:v>https://www.uky.edu</x:v>
      </x:c>
      <x:c r="I1263" s="17" t="str">
        <x:v>not_sampled</x:v>
      </x:c>
      <x:c r="J1263" s="17" t="str">
        <x:v>not_sampled</x:v>
      </x:c>
    </x:row>
    <x:row r="1264" ht="46" customHeight="1">
      <x:c r="A1264" s="17" t="str">
        <x:v>us</x:v>
      </x:c>
      <x:c r="B1264" s="17" t="str">
        <x:v>University of Kentucky</x:v>
      </x:c>
      <x:c r="C1264" s="17" t="str">
        <x:v>IPEDS discovery signal: Data Science, General (CIP 30.7001)</x:v>
      </x:c>
      <x:c r="D1264" s="17" t="str">
        <x:v>Unclear</x:v>
      </x:c>
      <x:c r="E1264" s="17" t="str">
        <x:v>stage2_screened_out</x:v>
      </x:c>
      <x:c r="F1264" s="17" t="str">
        <x:v>Duplicate mechanical discovery signal consolidated into one institution-level catalog review candidate.</x:v>
      </x:c>
      <x:c r="G1264" s="17" t="str">
        <x:v>Does the current official catalog contain a research graduate program matching the applicant's topics?</x:v>
      </x:c>
      <x:c r="H1264" s="17" t="str">
        <x:v>https://www.uky.edu</x:v>
      </x:c>
      <x:c r="I1264" s="17" t="str">
        <x:v>not_sampled</x:v>
      </x:c>
      <x:c r="J1264" s="17" t="str">
        <x:v>not_sampled</x:v>
      </x:c>
    </x:row>
    <x:row r="1265" ht="46" customHeight="1">
      <x:c r="A1265" s="17" t="str">
        <x:v>us</x:v>
      </x:c>
      <x:c r="B1265" s="17" t="str">
        <x:v>University of Kentucky</x:v>
      </x:c>
      <x:c r="C1265" s="17" t="str">
        <x:v>IPEDS discovery signal: Electrical and Electronics Engineering (CIP 14.1001)</x:v>
      </x:c>
      <x:c r="D1265" s="17" t="str">
        <x:v>Unclear</x:v>
      </x:c>
      <x:c r="E1265" s="17" t="str">
        <x:v>stage2_screened_out</x:v>
      </x:c>
      <x:c r="F1265" s="17" t="str">
        <x:v>Duplicate mechanical discovery signal consolidated into one institution-level catalog review candidate.</x:v>
      </x:c>
      <x:c r="G1265" s="17" t="str">
        <x:v>Does the current official catalog contain a research graduate program matching the applicant's topics?</x:v>
      </x:c>
      <x:c r="H1265" s="17" t="str">
        <x:v>https://www.uky.edu</x:v>
      </x:c>
      <x:c r="I1265" s="17" t="str">
        <x:v>not_sampled</x:v>
      </x:c>
      <x:c r="J1265" s="17" t="str">
        <x:v>not_sampled</x:v>
      </x:c>
    </x:row>
    <x:row r="1266" ht="46" customHeight="1">
      <x:c r="A1266" s="17" t="str">
        <x:v>us</x:v>
      </x:c>
      <x:c r="B1266" s="17" t="str">
        <x:v>University of La Verne</x:v>
      </x:c>
      <x:c r="C1266" s="17" t="str">
        <x:v>IPEDS discovery signal: Data Analytics, General (CIP 30.7101)</x:v>
      </x:c>
      <x:c r="D1266" s="17" t="str">
        <x:v>Unclear</x:v>
      </x:c>
      <x:c r="E1266" s="17" t="str">
        <x:v>stage2_screened_out</x:v>
      </x:c>
      <x:c r="F1266" s="17" t="str">
        <x:v>Only one bounded registry/program-code signal was present; no independent topical, Calendar, current-faculty, or first-audit signal was recovered.</x:v>
      </x:c>
      <x:c r="G1266" s="17" t="str">
        <x:v>Does the current official catalog contain a research graduate program matching the applicant's topics?</x:v>
      </x:c>
      <x:c r="H1266" s="17" t="str">
        <x:v>https://www.laverne.edu</x:v>
      </x:c>
      <x:c r="I1266" s="17" t="str">
        <x:v>not_sampled</x:v>
      </x:c>
      <x:c r="J1266" s="17" t="str">
        <x:v>not_sampled</x:v>
      </x:c>
    </x:row>
    <x:row r="1267" ht="46" customHeight="1">
      <x:c r="A1267" s="17" t="str">
        <x:v>us</x:v>
      </x:c>
      <x:c r="B1267" s="17" t="str">
        <x:v>University of Louisiana at Lafayette</x:v>
      </x:c>
      <x:c r="C1267" s="17" t="str">
        <x:v>IPEDS discovery signal: Computer Science (CIP 11.0701)</x:v>
      </x:c>
      <x:c r="D1267" s="17" t="str">
        <x:v>Unclear</x:v>
      </x:c>
      <x:c r="E1267" s="17" t="str">
        <x:v>stage2_screened_out</x:v>
      </x:c>
      <x:c r="F1267" s="17" t="str">
        <x:v>Duplicate mechanical discovery signal consolidated into one institution-level catalog review candidate.</x:v>
      </x:c>
      <x:c r="G1267" s="17" t="str">
        <x:v>Does the current official catalog contain a research graduate program matching the applicant's topics?</x:v>
      </x:c>
      <x:c r="H1267" s="17" t="str">
        <x:v>https://www.louisiana.edu</x:v>
      </x:c>
      <x:c r="I1267" s="17" t="str">
        <x:v>false_negative_corrected</x:v>
      </x:c>
      <x:c r="J1267" s="17" t="str">
        <x:v>confirmed</x:v>
      </x:c>
    </x:row>
    <x:row r="1268" ht="46" customHeight="1">
      <x:c r="A1268" s="17" t="str">
        <x:v>us</x:v>
      </x:c>
      <x:c r="B1268" s="17" t="str">
        <x:v>University of Louisiana at Lafayette</x:v>
      </x:c>
      <x:c r="C1268" s="17" t="str">
        <x:v>IPEDS discovery signal: Informatics (CIP 11.0104)</x:v>
      </x:c>
      <x:c r="D1268" s="17" t="str">
        <x:v>Unclear</x:v>
      </x:c>
      <x:c r="E1268" s="17" t="str">
        <x:v>stage2_screened_out</x:v>
      </x:c>
      <x:c r="F1268" s="17" t="str">
        <x:v>Duplicate mechanical discovery signal consolidated into one institution-level catalog review candidate.</x:v>
      </x:c>
      <x:c r="G1268" s="17" t="str">
        <x:v>Does the current official catalog contain a research graduate program matching the applicant's topics?</x:v>
      </x:c>
      <x:c r="H1268" s="17" t="str">
        <x:v>https://www.louisiana.edu</x:v>
      </x:c>
      <x:c r="I1268" s="17" t="str">
        <x:v>false_negative_corrected</x:v>
      </x:c>
      <x:c r="J1268" s="17" t="str">
        <x:v>confirmed</x:v>
      </x:c>
    </x:row>
    <x:row r="1269" ht="46" customHeight="1">
      <x:c r="A1269" s="17" t="str">
        <x:v>us</x:v>
      </x:c>
      <x:c r="B1269" s="17" t="str">
        <x:v>University of Louisville</x:v>
      </x:c>
      <x:c r="C1269" s="17" t="str">
        <x:v>IPEDS discovery signal: Electrical and Electronics Engineering (CIP 14.1001)</x:v>
      </x:c>
      <x:c r="D1269" s="17" t="str">
        <x:v>Unclear</x:v>
      </x:c>
      <x:c r="E1269" s="17" t="str">
        <x:v>stage2_screened_out</x:v>
      </x:c>
      <x:c r="F1269" s="17" t="str">
        <x:v>Duplicate mechanical discovery signal consolidated into one institution-level catalog review candidate.</x:v>
      </x:c>
      <x:c r="G1269" s="17" t="str">
        <x:v>Does the current official catalog contain a research graduate program matching the applicant's topics?</x:v>
      </x:c>
      <x:c r="H1269" s="17" t="str">
        <x:v>https://www.louisville.edu</x:v>
      </x:c>
      <x:c r="I1269" s="17" t="str">
        <x:v>not_sampled</x:v>
      </x:c>
      <x:c r="J1269" s="17" t="str">
        <x:v>not_sampled</x:v>
      </x:c>
    </x:row>
    <x:row r="1270" ht="46" customHeight="1">
      <x:c r="A1270" s="17" t="str">
        <x:v>us</x:v>
      </x:c>
      <x:c r="B1270" s="17" t="str">
        <x:v>University of Maine</x:v>
      </x:c>
      <x:c r="C1270" s="17" t="str">
        <x:v>IPEDS discovery signal: Computer Engineering, General (CIP 14.0901)</x:v>
      </x:c>
      <x:c r="D1270" s="17" t="str">
        <x:v>Unclear</x:v>
      </x:c>
      <x:c r="E1270" s="17" t="str">
        <x:v>stage2_screened_out</x:v>
      </x:c>
      <x:c r="F1270" s="17" t="str">
        <x:v>Only one bounded registry/program-code signal was present; no independent topical, Calendar, current-faculty, or first-audit signal was recovered.</x:v>
      </x:c>
      <x:c r="G1270" s="17" t="str">
        <x:v>Does the current official catalog contain a research graduate program matching the applicant's topics?</x:v>
      </x:c>
      <x:c r="H1270" s="17" t="str">
        <x:v>https://www.umaine.edu</x:v>
      </x:c>
      <x:c r="I1270" s="17" t="str">
        <x:v>not_sampled</x:v>
      </x:c>
      <x:c r="J1270" s="17" t="str">
        <x:v>not_sampled</x:v>
      </x:c>
    </x:row>
    <x:row r="1271" ht="46" customHeight="1">
      <x:c r="A1271" s="17" t="str">
        <x:v>us</x:v>
      </x:c>
      <x:c r="B1271" s="17" t="str">
        <x:v>University of Maine</x:v>
      </x:c>
      <x:c r="C1271" s="17" t="str">
        <x:v>IPEDS discovery signal: Computer Science (CIP 11.0701)</x:v>
      </x:c>
      <x:c r="D1271" s="17" t="str">
        <x:v>Unclear</x:v>
      </x:c>
      <x:c r="E1271" s="17" t="str">
        <x:v>stage2_screened_out</x:v>
      </x:c>
      <x:c r="F1271" s="17" t="str">
        <x:v>Only one bounded registry/program-code signal was present; no independent topical, Calendar, current-faculty, or first-audit signal was recovered.</x:v>
      </x:c>
      <x:c r="G1271" s="17" t="str">
        <x:v>Does the current official catalog contain a research graduate program matching the applicant's topics?</x:v>
      </x:c>
      <x:c r="H1271" s="17" t="str">
        <x:v>https://www.umaine.edu</x:v>
      </x:c>
      <x:c r="I1271" s="17" t="str">
        <x:v>not_sampled</x:v>
      </x:c>
      <x:c r="J1271" s="17" t="str">
        <x:v>not_sampled</x:v>
      </x:c>
    </x:row>
    <x:row r="1272" ht="46" customHeight="1">
      <x:c r="A1272" s="17" t="str">
        <x:v>us</x:v>
      </x:c>
      <x:c r="B1272" s="17" t="str">
        <x:v>University of Maine</x:v>
      </x:c>
      <x:c r="C1272" s="17" t="str">
        <x:v>IPEDS discovery signal: Electrical and Electronics Engineering (CIP 14.1001)</x:v>
      </x:c>
      <x:c r="D1272" s="17" t="str">
        <x:v>Unclear</x:v>
      </x:c>
      <x:c r="E1272" s="17" t="str">
        <x:v>stage2_screened_out</x:v>
      </x:c>
      <x:c r="F1272" s="17" t="str">
        <x:v>Only one bounded registry/program-code signal was present; no independent topical, Calendar, current-faculty, or first-audit signal was recovered.</x:v>
      </x:c>
      <x:c r="G1272" s="17" t="str">
        <x:v>Does the current official catalog contain a research graduate program matching the applicant's topics?</x:v>
      </x:c>
      <x:c r="H1272" s="17" t="str">
        <x:v>https://www.umaine.edu</x:v>
      </x:c>
      <x:c r="I1272" s="17" t="str">
        <x:v>not_sampled</x:v>
      </x:c>
      <x:c r="J1272" s="17" t="str">
        <x:v>not_sampled</x:v>
      </x:c>
    </x:row>
    <x:row r="1273" ht="46" customHeight="1">
      <x:c r="A1273" s="17" t="str">
        <x:v>us</x:v>
      </x:c>
      <x:c r="B1273" s="17" t="str">
        <x:v>University of Maine</x:v>
      </x:c>
      <x:c r="C1273" s="17" t="str">
        <x:v>IPEDS discovery signal: Informatics (CIP 11.0104)</x:v>
      </x:c>
      <x:c r="D1273" s="17" t="str">
        <x:v>Unclear</x:v>
      </x:c>
      <x:c r="E1273" s="17" t="str">
        <x:v>stage2_screened_out</x:v>
      </x:c>
      <x:c r="F1273" s="17" t="str">
        <x:v>Only one bounded registry/program-code signal was present; no independent topical, Calendar, current-faculty, or first-audit signal was recovered.</x:v>
      </x:c>
      <x:c r="G1273" s="17" t="str">
        <x:v>Does the current official catalog contain a research graduate program matching the applicant's topics?</x:v>
      </x:c>
      <x:c r="H1273" s="17" t="str">
        <x:v>https://www.umaine.edu</x:v>
      </x:c>
      <x:c r="I1273" s="17" t="str">
        <x:v>not_sampled</x:v>
      </x:c>
      <x:c r="J1273" s="17" t="str">
        <x:v>not_sampled</x:v>
      </x:c>
    </x:row>
    <x:row r="1274" ht="46" customHeight="1">
      <x:c r="A1274" s="17" t="str">
        <x:v>us</x:v>
      </x:c>
      <x:c r="B1274" s="17" t="str">
        <x:v>University of Maine</x:v>
      </x:c>
      <x:c r="C1274" s="17" t="str">
        <x:v>IPEDS discovery signal: Information Technology (CIP 11.0103)</x:v>
      </x:c>
      <x:c r="D1274" s="17" t="str">
        <x:v>Unclear</x:v>
      </x:c>
      <x:c r="E1274" s="17" t="str">
        <x:v>stage2_screened_out</x:v>
      </x:c>
      <x:c r="F1274" s="17" t="str">
        <x:v>Only one bounded registry/program-code signal was present; no independent topical, Calendar, current-faculty, or first-audit signal was recovered.</x:v>
      </x:c>
      <x:c r="G1274" s="17" t="str">
        <x:v>Does the current official catalog contain a research graduate program matching the applicant's topics?</x:v>
      </x:c>
      <x:c r="H1274" s="17" t="str">
        <x:v>https://www.umaine.edu</x:v>
      </x:c>
      <x:c r="I1274" s="17" t="str">
        <x:v>not_sampled</x:v>
      </x:c>
      <x:c r="J1274" s="17" t="str">
        <x:v>not_sampled</x:v>
      </x:c>
    </x:row>
    <x:row r="1275" ht="46" customHeight="1">
      <x:c r="A1275" s="17" t="str">
        <x:v>us</x:v>
      </x:c>
      <x:c r="B1275" s="17" t="str">
        <x:v>University of Maine at Augusta</x:v>
      </x:c>
      <x:c r="C1275" s="17" t="str">
        <x:v>IPEDS discovery signal: Computer and Information Systems Security/Auditing/Information Assurance (CIP 11.1003)</x:v>
      </x:c>
      <x:c r="D1275" s="17" t="str">
        <x:v>Unclear</x:v>
      </x:c>
      <x:c r="E1275" s="17" t="str">
        <x:v>stage2_screened_out</x:v>
      </x:c>
      <x:c r="F1275" s="17" t="str">
        <x:v>Only one bounded registry/program-code signal was present; no independent topical, Calendar, current-faculty, or first-audit signal was recovered.</x:v>
      </x:c>
      <x:c r="G1275" s="17" t="str">
        <x:v>Does the current official catalog contain a research graduate program matching the applicant's topics?</x:v>
      </x:c>
      <x:c r="H1275" s="17" t="str">
        <x:v>https://www.uma.edu</x:v>
      </x:c>
      <x:c r="I1275" s="17" t="str">
        <x:v>not_sampled</x:v>
      </x:c>
      <x:c r="J1275" s="17" t="str">
        <x:v>not_sampled</x:v>
      </x:c>
    </x:row>
    <x:row r="1276" ht="46" customHeight="1">
      <x:c r="A1276" s="17" t="str">
        <x:v>us</x:v>
      </x:c>
      <x:c r="B1276" s="17" t="str">
        <x:v>University of Management and Technology</x:v>
      </x:c>
      <x:c r="C1276" s="17" t="str">
        <x:v>IPEDS discovery signal: Computer Science (CIP 11.0701)</x:v>
      </x:c>
      <x:c r="D1276" s="17" t="str">
        <x:v>Unclear</x:v>
      </x:c>
      <x:c r="E1276" s="17" t="str">
        <x:v>stage2_screened_out</x:v>
      </x:c>
      <x:c r="F1276" s="17" t="str">
        <x:v>Only one bounded registry/program-code signal was present; no independent topical, Calendar, current-faculty, or first-audit signal was recovered.</x:v>
      </x:c>
      <x:c r="G1276" s="17" t="str">
        <x:v>Does the current official catalog contain a research graduate program matching the applicant's topics?</x:v>
      </x:c>
      <x:c r="H1276" s="17" t="str">
        <x:v>https://www.umtweb.edu</x:v>
      </x:c>
      <x:c r="I1276" s="17" t="str">
        <x:v>not_sampled</x:v>
      </x:c>
      <x:c r="J1276" s="17" t="str">
        <x:v>not_sampled</x:v>
      </x:c>
    </x:row>
    <x:row r="1277" ht="46" customHeight="1">
      <x:c r="A1277" s="17" t="str">
        <x:v>us</x:v>
      </x:c>
      <x:c r="B1277" s="17" t="str">
        <x:v>University of Management and Technology</x:v>
      </x:c>
      <x:c r="C1277" s="17" t="str">
        <x:v>IPEDS discovery signal: Information Technology (CIP 11.0103)</x:v>
      </x:c>
      <x:c r="D1277" s="17" t="str">
        <x:v>Unclear</x:v>
      </x:c>
      <x:c r="E1277" s="17" t="str">
        <x:v>stage2_screened_out</x:v>
      </x:c>
      <x:c r="F1277" s="17" t="str">
        <x:v>Only one bounded registry/program-code signal was present; no independent topical, Calendar, current-faculty, or first-audit signal was recovered.</x:v>
      </x:c>
      <x:c r="G1277" s="17" t="str">
        <x:v>Does the current official catalog contain a research graduate program matching the applicant's topics?</x:v>
      </x:c>
      <x:c r="H1277" s="17" t="str">
        <x:v>https://www.umtweb.edu</x:v>
      </x:c>
      <x:c r="I1277" s="17" t="str">
        <x:v>not_sampled</x:v>
      </x:c>
      <x:c r="J1277" s="17" t="str">
        <x:v>not_sampled</x:v>
      </x:c>
    </x:row>
    <x:row r="1278" ht="46" customHeight="1">
      <x:c r="A1278" s="17" t="str">
        <x:v>us</x:v>
      </x:c>
      <x:c r="B1278" s="17" t="str">
        <x:v>University of Mary Hardin-Baylor</x:v>
      </x:c>
      <x:c r="C1278" s="17" t="str">
        <x:v>IPEDS discovery signal: Information Science/Studies (CIP 11.0401)</x:v>
      </x:c>
      <x:c r="D1278" s="17" t="str">
        <x:v>Unclear</x:v>
      </x:c>
      <x:c r="E1278" s="17" t="str">
        <x:v>stage2_screened_out</x:v>
      </x:c>
      <x:c r="F1278" s="17" t="str">
        <x:v>Only one bounded registry/program-code signal was present; no independent topical, Calendar, current-faculty, or first-audit signal was recovered.</x:v>
      </x:c>
      <x:c r="G1278" s="17" t="str">
        <x:v>Does the current official catalog contain a research graduate program matching the applicant's topics?</x:v>
      </x:c>
      <x:c r="H1278" s="17" t="str">
        <x:v>https://go.umhb.edu</x:v>
      </x:c>
      <x:c r="I1278" s="17" t="str">
        <x:v>not_sampled</x:v>
      </x:c>
      <x:c r="J1278" s="17" t="str">
        <x:v>not_sampled</x:v>
      </x:c>
    </x:row>
    <x:row r="1279" ht="46" customHeight="1">
      <x:c r="A1279" s="17" t="str">
        <x:v>us</x:v>
      </x:c>
      <x:c r="B1279" s="17" t="str">
        <x:v>University of Maryland-Baltimore County</x:v>
      </x:c>
      <x:c r="C1279" s="17" t="str">
        <x:v>IPEDS discovery signal: Computer Science (CIP 11.0701)</x:v>
      </x:c>
      <x:c r="D1279" s="17" t="str">
        <x:v>Unclear</x:v>
      </x:c>
      <x:c r="E1279" s="17" t="str">
        <x:v>stage2_screened_out</x:v>
      </x:c>
      <x:c r="F1279" s="17" t="str">
        <x:v>Duplicate mechanical discovery signal consolidated into one institution-level catalog review candidate.</x:v>
      </x:c>
      <x:c r="G1279" s="17" t="str">
        <x:v>Does the current official catalog contain a research graduate program matching the applicant's topics?</x:v>
      </x:c>
      <x:c r="H1279" s="17" t="str">
        <x:v>https://umbc.edu</x:v>
      </x:c>
      <x:c r="I1279" s="17" t="str">
        <x:v>not_sampled</x:v>
      </x:c>
      <x:c r="J1279" s="17" t="str">
        <x:v>not_sampled</x:v>
      </x:c>
    </x:row>
    <x:row r="1280" ht="46" customHeight="1">
      <x:c r="A1280" s="17" t="str">
        <x:v>us</x:v>
      </x:c>
      <x:c r="B1280" s="17" t="str">
        <x:v>University of Maryland-Baltimore County</x:v>
      </x:c>
      <x:c r="C1280" s="17" t="str">
        <x:v>IPEDS discovery signal: Electrical and Electronics Engineering (CIP 14.1001)</x:v>
      </x:c>
      <x:c r="D1280" s="17" t="str">
        <x:v>Unclear</x:v>
      </x:c>
      <x:c r="E1280" s="17" t="str">
        <x:v>stage2_screened_out</x:v>
      </x:c>
      <x:c r="F1280" s="17" t="str">
        <x:v>Duplicate mechanical discovery signal consolidated into one institution-level catalog review candidate.</x:v>
      </x:c>
      <x:c r="G1280" s="17" t="str">
        <x:v>Does the current official catalog contain a research graduate program matching the applicant's topics?</x:v>
      </x:c>
      <x:c r="H1280" s="17" t="str">
        <x:v>https://umbc.edu</x:v>
      </x:c>
      <x:c r="I1280" s="17" t="str">
        <x:v>not_sampled</x:v>
      </x:c>
      <x:c r="J1280" s="17" t="str">
        <x:v>not_sampled</x:v>
      </x:c>
    </x:row>
    <x:row r="1281" ht="46" customHeight="1">
      <x:c r="A1281" s="17" t="str">
        <x:v>us</x:v>
      </x:c>
      <x:c r="B1281" s="17" t="str">
        <x:v>University of Maryland-Baltimore County</x:v>
      </x:c>
      <x:c r="C1281" s="17" t="str">
        <x:v>IPEDS discovery signal: Information Science/Studies (CIP 11.0401)</x:v>
      </x:c>
      <x:c r="D1281" s="17" t="str">
        <x:v>Unclear</x:v>
      </x:c>
      <x:c r="E1281" s="17" t="str">
        <x:v>stage2_screened_out</x:v>
      </x:c>
      <x:c r="F1281" s="17" t="str">
        <x:v>Duplicate mechanical discovery signal consolidated into one institution-level catalog review candidate.</x:v>
      </x:c>
      <x:c r="G1281" s="17" t="str">
        <x:v>Does the current official catalog contain a research graduate program matching the applicant's topics?</x:v>
      </x:c>
      <x:c r="H1281" s="17" t="str">
        <x:v>https://umbc.edu</x:v>
      </x:c>
      <x:c r="I1281" s="17" t="str">
        <x:v>not_sampled</x:v>
      </x:c>
      <x:c r="J1281" s="17" t="str">
        <x:v>not_sampled</x:v>
      </x:c>
    </x:row>
    <x:row r="1282" ht="46" customHeight="1">
      <x:c r="A1282" s="17" t="str">
        <x:v>us</x:v>
      </x:c>
      <x:c r="B1282" s="17" t="str">
        <x:v>University of Maryland-College Park</x:v>
      </x:c>
      <x:c r="C1282" s="17" t="str">
        <x:v>IPEDS discovery signal: Computer Science (CIP 11.0701)</x:v>
      </x:c>
      <x:c r="D1282" s="17" t="str">
        <x:v>Unclear</x:v>
      </x:c>
      <x:c r="E1282" s="17" t="str">
        <x:v>stage2_screened_out</x:v>
      </x:c>
      <x:c r="F1282" s="17" t="str">
        <x:v>Mechanical discovery placeholder is superseded by an exact official program record at the same institution.</x:v>
      </x:c>
      <x:c r="G1282" s="17" t="str">
        <x:v>Does the current official catalog contain a research graduate program matching the applicant's topics?</x:v>
      </x:c>
      <x:c r="H1282" s="17" t="str">
        <x:v>https://www.umd.edu</x:v>
      </x:c>
      <x:c r="I1282" s="17" t="str">
        <x:v>not_sampled</x:v>
      </x:c>
      <x:c r="J1282" s="17" t="str">
        <x:v>not_sampled</x:v>
      </x:c>
    </x:row>
    <x:row r="1283" ht="46" customHeight="1">
      <x:c r="A1283" s="17" t="str">
        <x:v>us</x:v>
      </x:c>
      <x:c r="B1283" s="17" t="str">
        <x:v>University of Maryland-College Park</x:v>
      </x:c>
      <x:c r="C1283" s="17" t="str">
        <x:v>IPEDS discovery signal: Electrical and Electronics Engineering (CIP 14.1001)</x:v>
      </x:c>
      <x:c r="D1283" s="17" t="str">
        <x:v>Unclear</x:v>
      </x:c>
      <x:c r="E1283" s="17" t="str">
        <x:v>stage2_screened_out</x:v>
      </x:c>
      <x:c r="F1283" s="17" t="str">
        <x:v>Mechanical discovery placeholder is superseded by an exact official program record at the same institution.</x:v>
      </x:c>
      <x:c r="G1283" s="17" t="str">
        <x:v>Does the current official catalog contain a research graduate program matching the applicant's topics?</x:v>
      </x:c>
      <x:c r="H1283" s="17" t="str">
        <x:v>https://www.umd.edu</x:v>
      </x:c>
      <x:c r="I1283" s="17" t="str">
        <x:v>not_sampled</x:v>
      </x:c>
      <x:c r="J1283" s="17" t="str">
        <x:v>not_sampled</x:v>
      </x:c>
    </x:row>
    <x:row r="1284" ht="46" customHeight="1">
      <x:c r="A1284" s="17" t="str">
        <x:v>us</x:v>
      </x:c>
      <x:c r="B1284" s="17" t="str">
        <x:v>University of Maryland-College Park</x:v>
      </x:c>
      <x:c r="C1284" s="17" t="str">
        <x:v>IPEDS discovery signal: Information Science/Studies (CIP 11.0401)</x:v>
      </x:c>
      <x:c r="D1284" s="17" t="str">
        <x:v>Unclear</x:v>
      </x:c>
      <x:c r="E1284" s="17" t="str">
        <x:v>stage2_screened_out</x:v>
      </x:c>
      <x:c r="F1284" s="17" t="str">
        <x:v>Mechanical discovery placeholder is superseded by an exact official program record at the same institution.</x:v>
      </x:c>
      <x:c r="G1284" s="17" t="str">
        <x:v>Does the current official catalog contain a research graduate program matching the applicant's topics?</x:v>
      </x:c>
      <x:c r="H1284" s="17" t="str">
        <x:v>https://www.umd.edu</x:v>
      </x:c>
      <x:c r="I1284" s="17" t="str">
        <x:v>not_sampled</x:v>
      </x:c>
      <x:c r="J1284" s="17" t="str">
        <x:v>not_sampled</x:v>
      </x:c>
    </x:row>
    <x:row r="1285" ht="46" customHeight="1">
      <x:c r="A1285" s="17" t="str">
        <x:v>us</x:v>
      </x:c>
      <x:c r="B1285" s="17" t="str">
        <x:v>University of Maryland-College Park</x:v>
      </x:c>
      <x:c r="C1285" s="17" t="str">
        <x:v>IPEDS discovery signal: Information Technology (CIP 11.0103)</x:v>
      </x:c>
      <x:c r="D1285" s="17" t="str">
        <x:v>Unclear</x:v>
      </x:c>
      <x:c r="E1285" s="17" t="str">
        <x:v>stage2_screened_out</x:v>
      </x:c>
      <x:c r="F1285" s="17" t="str">
        <x:v>Mechanical discovery placeholder is superseded by an exact official program record at the same institution.</x:v>
      </x:c>
      <x:c r="G1285" s="17" t="str">
        <x:v>Does the current official catalog contain a research graduate program matching the applicant's topics?</x:v>
      </x:c>
      <x:c r="H1285" s="17" t="str">
        <x:v>https://www.umd.edu</x:v>
      </x:c>
      <x:c r="I1285" s="17" t="str">
        <x:v>not_sampled</x:v>
      </x:c>
      <x:c r="J1285" s="17" t="str">
        <x:v>not_sampled</x:v>
      </x:c>
    </x:row>
    <x:row r="1286" ht="46" customHeight="1">
      <x:c r="A1286" s="17" t="str">
        <x:v>us</x:v>
      </x:c>
      <x:c r="B1286" s="17" t="str">
        <x:v>University of Maryland Eastern Shore</x:v>
      </x:c>
      <x:c r="C1286" s="17" t="str">
        <x:v>IPEDS discovery signal: Computer and Information Sciences, General (CIP 11.0101)</x:v>
      </x:c>
      <x:c r="D1286" s="17" t="str">
        <x:v>Unclear</x:v>
      </x:c>
      <x:c r="E1286" s="17" t="str">
        <x:v>stage2_screened_out</x:v>
      </x:c>
      <x:c r="F1286" s="17" t="str">
        <x:v>Only one bounded registry/program-code signal was present; no independent topical, Calendar, current-faculty, or first-audit signal was recovered.</x:v>
      </x:c>
      <x:c r="G1286" s="17" t="str">
        <x:v>Does the current official catalog contain a research graduate program matching the applicant's topics?</x:v>
      </x:c>
      <x:c r="H1286" s="17" t="str">
        <x:v>https://wwwcp.umes.edu</x:v>
      </x:c>
      <x:c r="I1286" s="17" t="str">
        <x:v>not_sampled</x:v>
      </x:c>
      <x:c r="J1286" s="17" t="str">
        <x:v>not_sampled</x:v>
      </x:c>
    </x:row>
    <x:row r="1287" ht="46" customHeight="1">
      <x:c r="A1287" s="17" t="str">
        <x:v>us</x:v>
      </x:c>
      <x:c r="B1287" s="17" t="str">
        <x:v>University of Maryland Eastern Shore</x:v>
      </x:c>
      <x:c r="C1287" s="17" t="str">
        <x:v>IPEDS discovery signal: Computer and Information Systems Security/Auditing/Information Assurance (CIP 11.1003)</x:v>
      </x:c>
      <x:c r="D1287" s="17" t="str">
        <x:v>Unclear</x:v>
      </x:c>
      <x:c r="E1287" s="17" t="str">
        <x:v>stage2_screened_out</x:v>
      </x:c>
      <x:c r="F1287" s="17" t="str">
        <x:v>Only one bounded registry/program-code signal was present; no independent topical, Calendar, current-faculty, or first-audit signal was recovered.</x:v>
      </x:c>
      <x:c r="G1287" s="17" t="str">
        <x:v>Does the current official catalog contain a research graduate program matching the applicant's topics?</x:v>
      </x:c>
      <x:c r="H1287" s="17" t="str">
        <x:v>https://wwwcp.umes.edu</x:v>
      </x:c>
      <x:c r="I1287" s="17" t="str">
        <x:v>not_sampled</x:v>
      </x:c>
      <x:c r="J1287" s="17" t="str">
        <x:v>not_sampled</x:v>
      </x:c>
    </x:row>
    <x:row r="1288" ht="46" customHeight="1">
      <x:c r="A1288" s="17" t="str">
        <x:v>us</x:v>
      </x:c>
      <x:c r="B1288" s="17" t="str">
        <x:v>University of Maryland Global Campus</x:v>
      </x:c>
      <x:c r="C1288" s="17" t="str">
        <x:v>IPEDS discovery signal: Computer and Information Systems Security/Auditing/Information Assurance (CIP 11.1003)</x:v>
      </x:c>
      <x:c r="D1288" s="17" t="str">
        <x:v>Unclear</x:v>
      </x:c>
      <x:c r="E1288" s="17" t="str">
        <x:v>stage2_screened_out</x:v>
      </x:c>
      <x:c r="F1288" s="17" t="str">
        <x:v>Only one bounded registry/program-code signal was present; no independent topical, Calendar, current-faculty, or first-audit signal was recovered.</x:v>
      </x:c>
      <x:c r="G1288" s="17" t="str">
        <x:v>Does the current official catalog contain a research graduate program matching the applicant's topics?</x:v>
      </x:c>
      <x:c r="H1288" s="17" t="str">
        <x:v>https://www.umgc.edu</x:v>
      </x:c>
      <x:c r="I1288" s="17" t="str">
        <x:v>not_sampled</x:v>
      </x:c>
      <x:c r="J1288" s="17" t="str">
        <x:v>not_sampled</x:v>
      </x:c>
    </x:row>
    <x:row r="1289" ht="46" customHeight="1">
      <x:c r="A1289" s="17" t="str">
        <x:v>us</x:v>
      </x:c>
      <x:c r="B1289" s="17" t="str">
        <x:v>University of Maryland Global Campus</x:v>
      </x:c>
      <x:c r="C1289" s="17" t="str">
        <x:v>IPEDS discovery signal: Cyber/Computer Forensics and Counterterrorism (CIP 43.0403)</x:v>
      </x:c>
      <x:c r="D1289" s="17" t="str">
        <x:v>Unclear</x:v>
      </x:c>
      <x:c r="E1289" s="17" t="str">
        <x:v>stage2_screened_out</x:v>
      </x:c>
      <x:c r="F1289" s="17" t="str">
        <x:v>Only one bounded registry/program-code signal was present; no independent topical, Calendar, current-faculty, or first-audit signal was recovered.</x:v>
      </x:c>
      <x:c r="G1289" s="17" t="str">
        <x:v>Does the current official catalog contain a research graduate program matching the applicant's topics?</x:v>
      </x:c>
      <x:c r="H1289" s="17" t="str">
        <x:v>https://www.umgc.edu</x:v>
      </x:c>
      <x:c r="I1289" s="17" t="str">
        <x:v>not_sampled</x:v>
      </x:c>
      <x:c r="J1289" s="17" t="str">
        <x:v>not_sampled</x:v>
      </x:c>
    </x:row>
    <x:row r="1290" ht="46" customHeight="1">
      <x:c r="A1290" s="17" t="str">
        <x:v>us</x:v>
      </x:c>
      <x:c r="B1290" s="17" t="str">
        <x:v>University of Maryland Global Campus</x:v>
      </x:c>
      <x:c r="C1290" s="17" t="str">
        <x:v>IPEDS discovery signal: Information Science/Studies (CIP 11.0401)</x:v>
      </x:c>
      <x:c r="D1290" s="17" t="str">
        <x:v>Unclear</x:v>
      </x:c>
      <x:c r="E1290" s="17" t="str">
        <x:v>stage2_screened_out</x:v>
      </x:c>
      <x:c r="F1290" s="17" t="str">
        <x:v>Only one bounded registry/program-code signal was present; no independent topical, Calendar, current-faculty, or first-audit signal was recovered.</x:v>
      </x:c>
      <x:c r="G1290" s="17" t="str">
        <x:v>Does the current official catalog contain a research graduate program matching the applicant's topics?</x:v>
      </x:c>
      <x:c r="H1290" s="17" t="str">
        <x:v>https://www.umgc.edu</x:v>
      </x:c>
      <x:c r="I1290" s="17" t="str">
        <x:v>not_sampled</x:v>
      </x:c>
      <x:c r="J1290" s="17" t="str">
        <x:v>not_sampled</x:v>
      </x:c>
    </x:row>
    <x:row r="1291" ht="46" customHeight="1">
      <x:c r="A1291" s="17" t="str">
        <x:v>us</x:v>
      </x:c>
      <x:c r="B1291" s="17" t="str">
        <x:v>University of Massachusetts-Amherst</x:v>
      </x:c>
      <x:c r="C1291" s="17" t="str">
        <x:v>IPEDS discovery signal: Computer Science (CIP 11.0701)</x:v>
      </x:c>
      <x:c r="D1291" s="17" t="str">
        <x:v>Unclear</x:v>
      </x:c>
      <x:c r="E1291" s="17" t="str">
        <x:v>stage2_screened_out</x:v>
      </x:c>
      <x:c r="F1291" s="17" t="str">
        <x:v>Mechanical discovery placeholder is superseded by an exact official program record at the same institution.</x:v>
      </x:c>
      <x:c r="G1291" s="17" t="str">
        <x:v>Does the current official catalog contain a research graduate program matching the applicant's topics?</x:v>
      </x:c>
      <x:c r="H1291" s="17" t="str">
        <x:v>https://www.umass.edu</x:v>
      </x:c>
      <x:c r="I1291" s="17" t="str">
        <x:v>not_sampled</x:v>
      </x:c>
      <x:c r="J1291" s="17" t="str">
        <x:v>not_sampled</x:v>
      </x:c>
    </x:row>
    <x:row r="1292" ht="46" customHeight="1">
      <x:c r="A1292" s="17" t="str">
        <x:v>us</x:v>
      </x:c>
      <x:c r="B1292" s="17" t="str">
        <x:v>University of Massachusetts-Amherst</x:v>
      </x:c>
      <x:c r="C1292" s="17" t="str">
        <x:v>IPEDS discovery signal: Data Science, General (CIP 30.7001)</x:v>
      </x:c>
      <x:c r="D1292" s="17" t="str">
        <x:v>Unclear</x:v>
      </x:c>
      <x:c r="E1292" s="17" t="str">
        <x:v>stage2_screened_out</x:v>
      </x:c>
      <x:c r="F1292" s="17" t="str">
        <x:v>Mechanical discovery placeholder is superseded by an exact official program record at the same institution.</x:v>
      </x:c>
      <x:c r="G1292" s="17" t="str">
        <x:v>Does the current official catalog contain a research graduate program matching the applicant's topics?</x:v>
      </x:c>
      <x:c r="H1292" s="17" t="str">
        <x:v>https://www.umass.edu</x:v>
      </x:c>
      <x:c r="I1292" s="17" t="str">
        <x:v>not_sampled</x:v>
      </x:c>
      <x:c r="J1292" s="17" t="str">
        <x:v>not_sampled</x:v>
      </x:c>
    </x:row>
    <x:row r="1293" ht="46" customHeight="1">
      <x:c r="A1293" s="17" t="str">
        <x:v>us</x:v>
      </x:c>
      <x:c r="B1293" s="17" t="str">
        <x:v>University of Massachusetts-Amherst</x:v>
      </x:c>
      <x:c r="C1293" s="17" t="str">
        <x:v>IPEDS discovery signal: Electrical and Electronics Engineering (CIP 14.1001)</x:v>
      </x:c>
      <x:c r="D1293" s="17" t="str">
        <x:v>Unclear</x:v>
      </x:c>
      <x:c r="E1293" s="17" t="str">
        <x:v>stage2_screened_out</x:v>
      </x:c>
      <x:c r="F1293" s="17" t="str">
        <x:v>Mechanical discovery placeholder is superseded by an exact official program record at the same institution.</x:v>
      </x:c>
      <x:c r="G1293" s="17" t="str">
        <x:v>Does the current official catalog contain a research graduate program matching the applicant's topics?</x:v>
      </x:c>
      <x:c r="H1293" s="17" t="str">
        <x:v>https://www.umass.edu</x:v>
      </x:c>
      <x:c r="I1293" s="17" t="str">
        <x:v>not_sampled</x:v>
      </x:c>
      <x:c r="J1293" s="17" t="str">
        <x:v>not_sampled</x:v>
      </x:c>
    </x:row>
    <x:row r="1294" ht="46" customHeight="1">
      <x:c r="A1294" s="17" t="str">
        <x:v>us</x:v>
      </x:c>
      <x:c r="B1294" s="17" t="str">
        <x:v>University of Massachusetts-Boston</x:v>
      </x:c>
      <x:c r="C1294" s="17" t="str">
        <x:v>IPEDS discovery signal: Information Science/Studies (CIP 11.0401)</x:v>
      </x:c>
      <x:c r="D1294" s="17" t="str">
        <x:v>Unclear</x:v>
      </x:c>
      <x:c r="E1294" s="17" t="str">
        <x:v>stage2_screened_out</x:v>
      </x:c>
      <x:c r="F1294" s="17" t="str">
        <x:v>Duplicate mechanical discovery signal consolidated into one institution-level catalog review candidate.</x:v>
      </x:c>
      <x:c r="G1294" s="17" t="str">
        <x:v>Does the current official catalog contain a research graduate program matching the applicant's topics?</x:v>
      </x:c>
      <x:c r="H1294" s="17" t="str">
        <x:v>https://www.umb.edu</x:v>
      </x:c>
      <x:c r="I1294" s="17" t="str">
        <x:v>not_sampled</x:v>
      </x:c>
      <x:c r="J1294" s="17" t="str">
        <x:v>not_sampled</x:v>
      </x:c>
    </x:row>
    <x:row r="1295" ht="46" customHeight="1">
      <x:c r="A1295" s="17" t="str">
        <x:v>us</x:v>
      </x:c>
      <x:c r="B1295" s="17" t="str">
        <x:v>University of Massachusetts-Boston</x:v>
      </x:c>
      <x:c r="C1295" s="17" t="str">
        <x:v>IPEDS discovery signal: Information Technology (CIP 11.0103)</x:v>
      </x:c>
      <x:c r="D1295" s="17" t="str">
        <x:v>Unclear</x:v>
      </x:c>
      <x:c r="E1295" s="17" t="str">
        <x:v>stage2_screened_out</x:v>
      </x:c>
      <x:c r="F1295" s="17" t="str">
        <x:v>Duplicate mechanical discovery signal consolidated into one institution-level catalog review candidate.</x:v>
      </x:c>
      <x:c r="G1295" s="17" t="str">
        <x:v>Does the current official catalog contain a research graduate program matching the applicant's topics?</x:v>
      </x:c>
      <x:c r="H1295" s="17" t="str">
        <x:v>https://www.umb.edu</x:v>
      </x:c>
      <x:c r="I1295" s="17" t="str">
        <x:v>not_sampled</x:v>
      </x:c>
      <x:c r="J1295" s="17" t="str">
        <x:v>not_sampled</x:v>
      </x:c>
    </x:row>
    <x:row r="1296" ht="46" customHeight="1">
      <x:c r="A1296" s="17" t="str">
        <x:v>us</x:v>
      </x:c>
      <x:c r="B1296" s="17" t="str">
        <x:v>University of Massachusetts-Dartmouth</x:v>
      </x:c>
      <x:c r="C1296" s="17" t="str">
        <x:v>IPEDS discovery signal: Computer and Information Sciences, General (CIP 11.0101)</x:v>
      </x:c>
      <x:c r="D1296" s="17" t="str">
        <x:v>Unclear</x:v>
      </x:c>
      <x:c r="E1296" s="17" t="str">
        <x:v>stage2_screened_out</x:v>
      </x:c>
      <x:c r="F1296" s="17" t="str">
        <x:v>Only one bounded registry/program-code signal was present; no independent topical, Calendar, current-faculty, or first-audit signal was recovered.</x:v>
      </x:c>
      <x:c r="G1296" s="17" t="str">
        <x:v>Does the current official catalog contain a research graduate program matching the applicant's topics?</x:v>
      </x:c>
      <x:c r="H1296" s="17" t="str">
        <x:v>https://www.umassd.edu</x:v>
      </x:c>
      <x:c r="I1296" s="17" t="str">
        <x:v>not_sampled</x:v>
      </x:c>
      <x:c r="J1296" s="17" t="str">
        <x:v>not_sampled</x:v>
      </x:c>
    </x:row>
    <x:row r="1297" ht="46" customHeight="1">
      <x:c r="A1297" s="17" t="str">
        <x:v>us</x:v>
      </x:c>
      <x:c r="B1297" s="17" t="str">
        <x:v>University of Massachusetts-Dartmouth</x:v>
      </x:c>
      <x:c r="C1297" s="17" t="str">
        <x:v>IPEDS discovery signal: Computer Engineering, General (CIP 14.0901)</x:v>
      </x:c>
      <x:c r="D1297" s="17" t="str">
        <x:v>Unclear</x:v>
      </x:c>
      <x:c r="E1297" s="17" t="str">
        <x:v>stage2_screened_out</x:v>
      </x:c>
      <x:c r="F1297" s="17" t="str">
        <x:v>Only one bounded registry/program-code signal was present; no independent topical, Calendar, current-faculty, or first-audit signal was recovered.</x:v>
      </x:c>
      <x:c r="G1297" s="17" t="str">
        <x:v>Does the current official catalog contain a research graduate program matching the applicant's topics?</x:v>
      </x:c>
      <x:c r="H1297" s="17" t="str">
        <x:v>https://www.umassd.edu</x:v>
      </x:c>
      <x:c r="I1297" s="17" t="str">
        <x:v>not_sampled</x:v>
      </x:c>
      <x:c r="J1297" s="17" t="str">
        <x:v>not_sampled</x:v>
      </x:c>
    </x:row>
    <x:row r="1298" ht="46" customHeight="1">
      <x:c r="A1298" s="17" t="str">
        <x:v>us</x:v>
      </x:c>
      <x:c r="B1298" s="17" t="str">
        <x:v>University of Massachusetts-Dartmouth</x:v>
      </x:c>
      <x:c r="C1298" s="17" t="str">
        <x:v>IPEDS discovery signal: Data Analytics, General (CIP 30.7101)</x:v>
      </x:c>
      <x:c r="D1298" s="17" t="str">
        <x:v>Unclear</x:v>
      </x:c>
      <x:c r="E1298" s="17" t="str">
        <x:v>stage2_screened_out</x:v>
      </x:c>
      <x:c r="F1298" s="17" t="str">
        <x:v>Only one bounded registry/program-code signal was present; no independent topical, Calendar, current-faculty, or first-audit signal was recovered.</x:v>
      </x:c>
      <x:c r="G1298" s="17" t="str">
        <x:v>Does the current official catalog contain a research graduate program matching the applicant's topics?</x:v>
      </x:c>
      <x:c r="H1298" s="17" t="str">
        <x:v>https://www.umassd.edu</x:v>
      </x:c>
      <x:c r="I1298" s="17" t="str">
        <x:v>not_sampled</x:v>
      </x:c>
      <x:c r="J1298" s="17" t="str">
        <x:v>not_sampled</x:v>
      </x:c>
    </x:row>
    <x:row r="1299" ht="46" customHeight="1">
      <x:c r="A1299" s="17" t="str">
        <x:v>us</x:v>
      </x:c>
      <x:c r="B1299" s="17" t="str">
        <x:v>University of Massachusetts-Dartmouth</x:v>
      </x:c>
      <x:c r="C1299" s="17" t="str">
        <x:v>IPEDS discovery signal: Electrical and Electronics Engineering (CIP 14.1001)</x:v>
      </x:c>
      <x:c r="D1299" s="17" t="str">
        <x:v>Unclear</x:v>
      </x:c>
      <x:c r="E1299" s="17" t="str">
        <x:v>stage2_screened_out</x:v>
      </x:c>
      <x:c r="F1299" s="17" t="str">
        <x:v>Only one bounded registry/program-code signal was present; no independent topical, Calendar, current-faculty, or first-audit signal was recovered.</x:v>
      </x:c>
      <x:c r="G1299" s="17" t="str">
        <x:v>Does the current official catalog contain a research graduate program matching the applicant's topics?</x:v>
      </x:c>
      <x:c r="H1299" s="17" t="str">
        <x:v>https://www.umassd.edu</x:v>
      </x:c>
      <x:c r="I1299" s="17" t="str">
        <x:v>not_sampled</x:v>
      </x:c>
      <x:c r="J1299" s="17" t="str">
        <x:v>not_sampled</x:v>
      </x:c>
    </x:row>
    <x:row r="1300" ht="46" customHeight="1">
      <x:c r="A1300" s="17" t="str">
        <x:v>us</x:v>
      </x:c>
      <x:c r="B1300" s="17" t="str">
        <x:v>University of Massachusetts-Lowell</x:v>
      </x:c>
      <x:c r="C1300" s="17" t="str">
        <x:v>IPEDS discovery signal: Computer Science (CIP 11.0701)</x:v>
      </x:c>
      <x:c r="D1300" s="17" t="str">
        <x:v>Unclear</x:v>
      </x:c>
      <x:c r="E1300" s="17" t="str">
        <x:v>stage2_screened_out</x:v>
      </x:c>
      <x:c r="F1300" s="17" t="str">
        <x:v>Duplicate mechanical discovery signal consolidated into one institution-level catalog review candidate.</x:v>
      </x:c>
      <x:c r="G1300" s="17" t="str">
        <x:v>Does the current official catalog contain a research graduate program matching the applicant's topics?</x:v>
      </x:c>
      <x:c r="H1300" s="17" t="str">
        <x:v>https://www.uml.edu</x:v>
      </x:c>
      <x:c r="I1300" s="17" t="str">
        <x:v>not_sampled</x:v>
      </x:c>
      <x:c r="J1300" s="17" t="str">
        <x:v>not_sampled</x:v>
      </x:c>
    </x:row>
    <x:row r="1301" ht="46" customHeight="1">
      <x:c r="A1301" s="17" t="str">
        <x:v>us</x:v>
      </x:c>
      <x:c r="B1301" s="17" t="str">
        <x:v>University of Massachusetts-Lowell</x:v>
      </x:c>
      <x:c r="C1301" s="17" t="str">
        <x:v>IPEDS discovery signal: Electrical and Electronics Engineering (CIP 14.1001)</x:v>
      </x:c>
      <x:c r="D1301" s="17" t="str">
        <x:v>Unclear</x:v>
      </x:c>
      <x:c r="E1301" s="17" t="str">
        <x:v>stage2_screened_out</x:v>
      </x:c>
      <x:c r="F1301" s="17" t="str">
        <x:v>Duplicate mechanical discovery signal consolidated into one institution-level catalog review candidate.</x:v>
      </x:c>
      <x:c r="G1301" s="17" t="str">
        <x:v>Does the current official catalog contain a research graduate program matching the applicant's topics?</x:v>
      </x:c>
      <x:c r="H1301" s="17" t="str">
        <x:v>https://www.uml.edu</x:v>
      </x:c>
      <x:c r="I1301" s="17" t="str">
        <x:v>not_sampled</x:v>
      </x:c>
      <x:c r="J1301" s="17" t="str">
        <x:v>not_sampled</x:v>
      </x:c>
    </x:row>
    <x:row r="1302" ht="46" customHeight="1">
      <x:c r="A1302" s="17" t="str">
        <x:v>us</x:v>
      </x:c>
      <x:c r="B1302" s="17" t="str">
        <x:v>University of Massachusetts-Lowell</x:v>
      </x:c>
      <x:c r="C1302" s="17" t="str">
        <x:v>IPEDS discovery signal: Information Technology (CIP 11.0103)</x:v>
      </x:c>
      <x:c r="D1302" s="17" t="str">
        <x:v>Unclear</x:v>
      </x:c>
      <x:c r="E1302" s="17" t="str">
        <x:v>stage2_screened_out</x:v>
      </x:c>
      <x:c r="F1302" s="17" t="str">
        <x:v>Duplicate mechanical discovery signal consolidated into one institution-level catalog review candidate.</x:v>
      </x:c>
      <x:c r="G1302" s="17" t="str">
        <x:v>Does the current official catalog contain a research graduate program matching the applicant's topics?</x:v>
      </x:c>
      <x:c r="H1302" s="17" t="str">
        <x:v>https://www.uml.edu</x:v>
      </x:c>
      <x:c r="I1302" s="17" t="str">
        <x:v>not_sampled</x:v>
      </x:c>
      <x:c r="J1302" s="17" t="str">
        <x:v>not_sampled</x:v>
      </x:c>
    </x:row>
    <x:row r="1303" ht="46" customHeight="1">
      <x:c r="A1303" s="17" t="str">
        <x:v>us</x:v>
      </x:c>
      <x:c r="B1303" s="17" t="str">
        <x:v>University of Memphis</x:v>
      </x:c>
      <x:c r="C1303" s="17" t="str">
        <x:v>IPEDS discovery signal: Data Science, General (CIP 30.7001)</x:v>
      </x:c>
      <x:c r="D1303" s="17" t="str">
        <x:v>Unclear</x:v>
      </x:c>
      <x:c r="E1303" s="17" t="str">
        <x:v>stage2_screened_out</x:v>
      </x:c>
      <x:c r="F1303" s="17" t="str">
        <x:v>Duplicate mechanical discovery signal consolidated into one institution-level catalog review candidate.</x:v>
      </x:c>
      <x:c r="G1303" s="17" t="str">
        <x:v>Does the current official catalog contain a research graduate program matching the applicant's topics?</x:v>
      </x:c>
      <x:c r="H1303" s="17" t="str">
        <x:v>https://www.memphis.edu</x:v>
      </x:c>
      <x:c r="I1303" s="17" t="str">
        <x:v>not_sampled</x:v>
      </x:c>
      <x:c r="J1303" s="17" t="str">
        <x:v>not_sampled</x:v>
      </x:c>
    </x:row>
    <x:row r="1304" ht="46" customHeight="1">
      <x:c r="A1304" s="17" t="str">
        <x:v>us</x:v>
      </x:c>
      <x:c r="B1304" s="17" t="str">
        <x:v>University of Memphis</x:v>
      </x:c>
      <x:c r="C1304" s="17" t="str">
        <x:v>IPEDS discovery signal: Electrical and Electronics Engineering (CIP 14.1001)</x:v>
      </x:c>
      <x:c r="D1304" s="17" t="str">
        <x:v>Unclear</x:v>
      </x:c>
      <x:c r="E1304" s="17" t="str">
        <x:v>stage2_screened_out</x:v>
      </x:c>
      <x:c r="F1304" s="17" t="str">
        <x:v>Duplicate mechanical discovery signal consolidated into one institution-level catalog review candidate.</x:v>
      </x:c>
      <x:c r="G1304" s="17" t="str">
        <x:v>Does the current official catalog contain a research graduate program matching the applicant's topics?</x:v>
      </x:c>
      <x:c r="H1304" s="17" t="str">
        <x:v>https://www.memphis.edu</x:v>
      </x:c>
      <x:c r="I1304" s="17" t="str">
        <x:v>not_sampled</x:v>
      </x:c>
      <x:c r="J1304" s="17" t="str">
        <x:v>not_sampled</x:v>
      </x:c>
    </x:row>
    <x:row r="1305" ht="46" customHeight="1">
      <x:c r="A1305" s="17" t="str">
        <x:v>us</x:v>
      </x:c>
      <x:c r="B1305" s="17" t="str">
        <x:v>University of Memphis</x:v>
      </x:c>
      <x:c r="C1305" s="17" t="str">
        <x:v>IPEDS discovery signal: Information Technology (CIP 11.0103)</x:v>
      </x:c>
      <x:c r="D1305" s="17" t="str">
        <x:v>Unclear</x:v>
      </x:c>
      <x:c r="E1305" s="17" t="str">
        <x:v>stage2_screened_out</x:v>
      </x:c>
      <x:c r="F1305" s="17" t="str">
        <x:v>Duplicate mechanical discovery signal consolidated into one institution-level catalog review candidate.</x:v>
      </x:c>
      <x:c r="G1305" s="17" t="str">
        <x:v>Does the current official catalog contain a research graduate program matching the applicant's topics?</x:v>
      </x:c>
      <x:c r="H1305" s="17" t="str">
        <x:v>https://www.memphis.edu</x:v>
      </x:c>
      <x:c r="I1305" s="17" t="str">
        <x:v>not_sampled</x:v>
      </x:c>
      <x:c r="J1305" s="17" t="str">
        <x:v>not_sampled</x:v>
      </x:c>
    </x:row>
    <x:row r="1306" ht="46" customHeight="1">
      <x:c r="A1306" s="17" t="str">
        <x:v>us</x:v>
      </x:c>
      <x:c r="B1306" s="17" t="str">
        <x:v>University of Miami</x:v>
      </x:c>
      <x:c r="C1306" s="17" t="str">
        <x:v>IPEDS discovery signal: Electrical and Electronics Engineering (CIP 14.1001)</x:v>
      </x:c>
      <x:c r="D1306" s="17" t="str">
        <x:v>Unclear</x:v>
      </x:c>
      <x:c r="E1306" s="17" t="str">
        <x:v>stage2_screened_out</x:v>
      </x:c>
      <x:c r="F1306" s="17" t="str">
        <x:v>Duplicate mechanical discovery signal consolidated into one institution-level catalog review candidate.</x:v>
      </x:c>
      <x:c r="G1306" s="17" t="str">
        <x:v>Does the current official catalog contain a research graduate program matching the applicant's topics?</x:v>
      </x:c>
      <x:c r="H1306" s="17" t="str">
        <x:v>https://www.miami.edu</x:v>
      </x:c>
      <x:c r="I1306" s="17" t="str">
        <x:v>not_sampled</x:v>
      </x:c>
      <x:c r="J1306" s="17" t="str">
        <x:v>not_sampled</x:v>
      </x:c>
    </x:row>
    <x:row r="1307" ht="46" customHeight="1">
      <x:c r="A1307" s="17" t="str">
        <x:v>us</x:v>
      </x:c>
      <x:c r="B1307" s="17" t="str">
        <x:v>University of Michigan-Ann Arbor</x:v>
      </x:c>
      <x:c r="C1307" s="17" t="str">
        <x:v>IPEDS discovery signal: Computer and Information Sciences, General (CIP 11.0101)</x:v>
      </x:c>
      <x:c r="D1307" s="17" t="str">
        <x:v>Unclear</x:v>
      </x:c>
      <x:c r="E1307" s="17" t="str">
        <x:v>stage2_screened_out</x:v>
      </x:c>
      <x:c r="F1307" s="17" t="str">
        <x:v>Only one bounded registry/program-code signal was present; no independent topical, Calendar, current-faculty, or first-audit signal was recovered.</x:v>
      </x:c>
      <x:c r="G1307" s="17" t="str">
        <x:v>Does the current official catalog contain a research graduate program matching the applicant's topics?</x:v>
      </x:c>
      <x:c r="H1307" s="17" t="str">
        <x:v>https://umich.edu</x:v>
      </x:c>
      <x:c r="I1307" s="17" t="str">
        <x:v>not_sampled</x:v>
      </x:c>
      <x:c r="J1307" s="17" t="str">
        <x:v>not_sampled</x:v>
      </x:c>
    </x:row>
    <x:row r="1308" ht="46" customHeight="1">
      <x:c r="A1308" s="17" t="str">
        <x:v>us</x:v>
      </x:c>
      <x:c r="B1308" s="17" t="str">
        <x:v>University of Michigan-Ann Arbor</x:v>
      </x:c>
      <x:c r="C1308" s="17" t="str">
        <x:v>IPEDS discovery signal: Computer Engineering, General (CIP 14.0901)</x:v>
      </x:c>
      <x:c r="D1308" s="17" t="str">
        <x:v>Unclear</x:v>
      </x:c>
      <x:c r="E1308" s="17" t="str">
        <x:v>stage2_screened_out</x:v>
      </x:c>
      <x:c r="F1308" s="17" t="str">
        <x:v>Only one bounded registry/program-code signal was present; no independent topical, Calendar, current-faculty, or first-audit signal was recovered.</x:v>
      </x:c>
      <x:c r="G1308" s="17" t="str">
        <x:v>Does the current official catalog contain a research graduate program matching the applicant's topics?</x:v>
      </x:c>
      <x:c r="H1308" s="17" t="str">
        <x:v>https://umich.edu</x:v>
      </x:c>
      <x:c r="I1308" s="17" t="str">
        <x:v>not_sampled</x:v>
      </x:c>
      <x:c r="J1308" s="17" t="str">
        <x:v>not_sampled</x:v>
      </x:c>
    </x:row>
    <x:row r="1309" ht="46" customHeight="1">
      <x:c r="A1309" s="17" t="str">
        <x:v>us</x:v>
      </x:c>
      <x:c r="B1309" s="17" t="str">
        <x:v>University of Michigan-Ann Arbor</x:v>
      </x:c>
      <x:c r="C1309" s="17" t="str">
        <x:v>IPEDS discovery signal: Data Science, General (CIP 30.7001)</x:v>
      </x:c>
      <x:c r="D1309" s="17" t="str">
        <x:v>Unclear</x:v>
      </x:c>
      <x:c r="E1309" s="17" t="str">
        <x:v>stage2_screened_out</x:v>
      </x:c>
      <x:c r="F1309" s="17" t="str">
        <x:v>Only one bounded registry/program-code signal was present; no independent topical, Calendar, current-faculty, or first-audit signal was recovered.</x:v>
      </x:c>
      <x:c r="G1309" s="17" t="str">
        <x:v>Does the current official catalog contain a research graduate program matching the applicant's topics?</x:v>
      </x:c>
      <x:c r="H1309" s="17" t="str">
        <x:v>https://umich.edu</x:v>
      </x:c>
      <x:c r="I1309" s="17" t="str">
        <x:v>not_sampled</x:v>
      </x:c>
      <x:c r="J1309" s="17" t="str">
        <x:v>not_sampled</x:v>
      </x:c>
    </x:row>
    <x:row r="1310" ht="46" customHeight="1">
      <x:c r="A1310" s="17" t="str">
        <x:v>us</x:v>
      </x:c>
      <x:c r="B1310" s="17" t="str">
        <x:v>University of Michigan-Ann Arbor</x:v>
      </x:c>
      <x:c r="C1310" s="17" t="str">
        <x:v>IPEDS discovery signal: Electrical and Electronics Engineering (CIP 14.1001)</x:v>
      </x:c>
      <x:c r="D1310" s="17" t="str">
        <x:v>Unclear</x:v>
      </x:c>
      <x:c r="E1310" s="17" t="str">
        <x:v>stage2_screened_out</x:v>
      </x:c>
      <x:c r="F1310" s="17" t="str">
        <x:v>Only one bounded registry/program-code signal was present; no independent topical, Calendar, current-faculty, or first-audit signal was recovered.</x:v>
      </x:c>
      <x:c r="G1310" s="17" t="str">
        <x:v>Does the current official catalog contain a research graduate program matching the applicant's topics?</x:v>
      </x:c>
      <x:c r="H1310" s="17" t="str">
        <x:v>https://umich.edu</x:v>
      </x:c>
      <x:c r="I1310" s="17" t="str">
        <x:v>not_sampled</x:v>
      </x:c>
      <x:c r="J1310" s="17" t="str">
        <x:v>not_sampled</x:v>
      </x:c>
    </x:row>
    <x:row r="1311" ht="46" customHeight="1">
      <x:c r="A1311" s="17" t="str">
        <x:v>us</x:v>
      </x:c>
      <x:c r="B1311" s="17" t="str">
        <x:v>University of Michigan-Ann Arbor</x:v>
      </x:c>
      <x:c r="C1311" s="17" t="str">
        <x:v>IPEDS discovery signal: Information Science/Studies (CIP 11.0401)</x:v>
      </x:c>
      <x:c r="D1311" s="17" t="str">
        <x:v>Unclear</x:v>
      </x:c>
      <x:c r="E1311" s="17" t="str">
        <x:v>stage2_screened_out</x:v>
      </x:c>
      <x:c r="F1311" s="17" t="str">
        <x:v>Only one bounded registry/program-code signal was present; no independent topical, Calendar, current-faculty, or first-audit signal was recovered.</x:v>
      </x:c>
      <x:c r="G1311" s="17" t="str">
        <x:v>Does the current official catalog contain a research graduate program matching the applicant's topics?</x:v>
      </x:c>
      <x:c r="H1311" s="17" t="str">
        <x:v>https://umich.edu</x:v>
      </x:c>
      <x:c r="I1311" s="17" t="str">
        <x:v>not_sampled</x:v>
      </x:c>
      <x:c r="J1311" s="17" t="str">
        <x:v>not_sampled</x:v>
      </x:c>
    </x:row>
    <x:row r="1312" ht="46" customHeight="1">
      <x:c r="A1312" s="17" t="str">
        <x:v>us</x:v>
      </x:c>
      <x:c r="B1312" s="17" t="str">
        <x:v>University of Michigan-Ann Arbor</x:v>
      </x:c>
      <x:c r="C1312" s="17" t="str">
        <x:v>IPEDS discovery signal: Mechatronics, Robotics, and Automation Engineering (CIP 14.4201)</x:v>
      </x:c>
      <x:c r="D1312" s="17" t="str">
        <x:v>Unclear</x:v>
      </x:c>
      <x:c r="E1312" s="17" t="str">
        <x:v>stage2_screened_out</x:v>
      </x:c>
      <x:c r="F1312" s="17" t="str">
        <x:v>Only one bounded registry/program-code signal was present; no independent topical, Calendar, current-faculty, or first-audit signal was recovered.</x:v>
      </x:c>
      <x:c r="G1312" s="17" t="str">
        <x:v>Does the current official catalog contain a research graduate program matching the applicant's topics?</x:v>
      </x:c>
      <x:c r="H1312" s="17" t="str">
        <x:v>https://umich.edu</x:v>
      </x:c>
      <x:c r="I1312" s="17" t="str">
        <x:v>not_sampled</x:v>
      </x:c>
      <x:c r="J1312" s="17" t="str">
        <x:v>not_sampled</x:v>
      </x:c>
    </x:row>
    <x:row r="1313" ht="46" customHeight="1">
      <x:c r="A1313" s="17" t="str">
        <x:v>us</x:v>
      </x:c>
      <x:c r="B1313" s="17" t="str">
        <x:v>University of Michigan-Dearborn</x:v>
      </x:c>
      <x:c r="C1313" s="17" t="str">
        <x:v>IPEDS discovery signal: Artificial Intelligence (CIP 11.0102)</x:v>
      </x:c>
      <x:c r="D1313" s="17" t="str">
        <x:v>Unclear</x:v>
      </x:c>
      <x:c r="E1313" s="17" t="str">
        <x:v>stage2_screened_out</x:v>
      </x:c>
      <x:c r="F1313" s="17" t="str">
        <x:v>Only one bounded registry/program-code signal was present; no independent topical, Calendar, current-faculty, or first-audit signal was recovered.</x:v>
      </x:c>
      <x:c r="G1313" s="17" t="str">
        <x:v>Does the current official catalog contain a research graduate program matching the applicant's topics?</x:v>
      </x:c>
      <x:c r="H1313" s="17" t="str">
        <x:v>https://umdearborn.edu</x:v>
      </x:c>
      <x:c r="I1313" s="17" t="str">
        <x:v>not_sampled</x:v>
      </x:c>
      <x:c r="J1313" s="17" t="str">
        <x:v>not_sampled</x:v>
      </x:c>
    </x:row>
    <x:row r="1314" ht="46" customHeight="1">
      <x:c r="A1314" s="17" t="str">
        <x:v>us</x:v>
      </x:c>
      <x:c r="B1314" s="17" t="str">
        <x:v>University of Michigan-Dearborn</x:v>
      </x:c>
      <x:c r="C1314" s="17" t="str">
        <x:v>IPEDS discovery signal: Computer and Information Sciences, General (CIP 11.0101)</x:v>
      </x:c>
      <x:c r="D1314" s="17" t="str">
        <x:v>Unclear</x:v>
      </x:c>
      <x:c r="E1314" s="17" t="str">
        <x:v>stage2_screened_out</x:v>
      </x:c>
      <x:c r="F1314" s="17" t="str">
        <x:v>Only one bounded registry/program-code signal was present; no independent topical, Calendar, current-faculty, or first-audit signal was recovered.</x:v>
      </x:c>
      <x:c r="G1314" s="17" t="str">
        <x:v>Does the current official catalog contain a research graduate program matching the applicant's topics?</x:v>
      </x:c>
      <x:c r="H1314" s="17" t="str">
        <x:v>https://umdearborn.edu</x:v>
      </x:c>
      <x:c r="I1314" s="17" t="str">
        <x:v>not_sampled</x:v>
      </x:c>
      <x:c r="J1314" s="17" t="str">
        <x:v>not_sampled</x:v>
      </x:c>
    </x:row>
    <x:row r="1315" ht="46" customHeight="1">
      <x:c r="A1315" s="17" t="str">
        <x:v>us</x:v>
      </x:c>
      <x:c r="B1315" s="17" t="str">
        <x:v>University of Michigan-Dearborn</x:v>
      </x:c>
      <x:c r="C1315" s="17" t="str">
        <x:v>IPEDS discovery signal: Computer and Information Systems Security/Auditing/Information Assurance (CIP 11.1003)</x:v>
      </x:c>
      <x:c r="D1315" s="17" t="str">
        <x:v>Unclear</x:v>
      </x:c>
      <x:c r="E1315" s="17" t="str">
        <x:v>stage2_screened_out</x:v>
      </x:c>
      <x:c r="F1315" s="17" t="str">
        <x:v>Only one bounded registry/program-code signal was present; no independent topical, Calendar, current-faculty, or first-audit signal was recovered.</x:v>
      </x:c>
      <x:c r="G1315" s="17" t="str">
        <x:v>Does the current official catalog contain a research graduate program matching the applicant's topics?</x:v>
      </x:c>
      <x:c r="H1315" s="17" t="str">
        <x:v>https://umdearborn.edu</x:v>
      </x:c>
      <x:c r="I1315" s="17" t="str">
        <x:v>not_sampled</x:v>
      </x:c>
      <x:c r="J1315" s="17" t="str">
        <x:v>not_sampled</x:v>
      </x:c>
    </x:row>
    <x:row r="1316" ht="46" customHeight="1">
      <x:c r="A1316" s="17" t="str">
        <x:v>us</x:v>
      </x:c>
      <x:c r="B1316" s="17" t="str">
        <x:v>University of Michigan-Dearborn</x:v>
      </x:c>
      <x:c r="C1316" s="17" t="str">
        <x:v>IPEDS discovery signal: Computer Engineering, General (CIP 14.0901)</x:v>
      </x:c>
      <x:c r="D1316" s="17" t="str">
        <x:v>Unclear</x:v>
      </x:c>
      <x:c r="E1316" s="17" t="str">
        <x:v>stage2_screened_out</x:v>
      </x:c>
      <x:c r="F1316" s="17" t="str">
        <x:v>Only one bounded registry/program-code signal was present; no independent topical, Calendar, current-faculty, or first-audit signal was recovered.</x:v>
      </x:c>
      <x:c r="G1316" s="17" t="str">
        <x:v>Does the current official catalog contain a research graduate program matching the applicant's topics?</x:v>
      </x:c>
      <x:c r="H1316" s="17" t="str">
        <x:v>https://umdearborn.edu</x:v>
      </x:c>
      <x:c r="I1316" s="17" t="str">
        <x:v>not_sampled</x:v>
      </x:c>
      <x:c r="J1316" s="17" t="str">
        <x:v>not_sampled</x:v>
      </x:c>
    </x:row>
    <x:row r="1317" ht="46" customHeight="1">
      <x:c r="A1317" s="17" t="str">
        <x:v>us</x:v>
      </x:c>
      <x:c r="B1317" s="17" t="str">
        <x:v>University of Michigan-Dearborn</x:v>
      </x:c>
      <x:c r="C1317" s="17" t="str">
        <x:v>IPEDS discovery signal: Computer Engineering, Other (CIP 14.0999)</x:v>
      </x:c>
      <x:c r="D1317" s="17" t="str">
        <x:v>Unclear</x:v>
      </x:c>
      <x:c r="E1317" s="17" t="str">
        <x:v>stage2_screened_out</x:v>
      </x:c>
      <x:c r="F1317" s="17" t="str">
        <x:v>Only one bounded registry/program-code signal was present; no independent topical, Calendar, current-faculty, or first-audit signal was recovered.</x:v>
      </x:c>
      <x:c r="G1317" s="17" t="str">
        <x:v>Does the current official catalog contain a research graduate program matching the applicant's topics?</x:v>
      </x:c>
      <x:c r="H1317" s="17" t="str">
        <x:v>https://umdearborn.edu</x:v>
      </x:c>
      <x:c r="I1317" s="17" t="str">
        <x:v>not_sampled</x:v>
      </x:c>
      <x:c r="J1317" s="17" t="str">
        <x:v>not_sampled</x:v>
      </x:c>
    </x:row>
    <x:row r="1318" ht="46" customHeight="1">
      <x:c r="A1318" s="17" t="str">
        <x:v>us</x:v>
      </x:c>
      <x:c r="B1318" s="17" t="str">
        <x:v>University of Michigan-Dearborn</x:v>
      </x:c>
      <x:c r="C1318" s="17" t="str">
        <x:v>IPEDS discovery signal: Electrical and Electronics Engineering (CIP 14.1001)</x:v>
      </x:c>
      <x:c r="D1318" s="17" t="str">
        <x:v>Unclear</x:v>
      </x:c>
      <x:c r="E1318" s="17" t="str">
        <x:v>stage2_screened_out</x:v>
      </x:c>
      <x:c r="F1318" s="17" t="str">
        <x:v>Only one bounded registry/program-code signal was present; no independent topical, Calendar, current-faculty, or first-audit signal was recovered.</x:v>
      </x:c>
      <x:c r="G1318" s="17" t="str">
        <x:v>Does the current official catalog contain a research graduate program matching the applicant's topics?</x:v>
      </x:c>
      <x:c r="H1318" s="17" t="str">
        <x:v>https://umdearborn.edu</x:v>
      </x:c>
      <x:c r="I1318" s="17" t="str">
        <x:v>not_sampled</x:v>
      </x:c>
      <x:c r="J1318" s="17" t="str">
        <x:v>not_sampled</x:v>
      </x:c>
    </x:row>
    <x:row r="1319" ht="46" customHeight="1">
      <x:c r="A1319" s="17" t="str">
        <x:v>us</x:v>
      </x:c>
      <x:c r="B1319" s="17" t="str">
        <x:v>University of Michigan-Dearborn</x:v>
      </x:c>
      <x:c r="C1319" s="17" t="str">
        <x:v>IPEDS discovery signal: Information Science/Studies (CIP 11.0401)</x:v>
      </x:c>
      <x:c r="D1319" s="17" t="str">
        <x:v>Unclear</x:v>
      </x:c>
      <x:c r="E1319" s="17" t="str">
        <x:v>stage2_screened_out</x:v>
      </x:c>
      <x:c r="F1319" s="17" t="str">
        <x:v>Only one bounded registry/program-code signal was present; no independent topical, Calendar, current-faculty, or first-audit signal was recovered.</x:v>
      </x:c>
      <x:c r="G1319" s="17" t="str">
        <x:v>Does the current official catalog contain a research graduate program matching the applicant's topics?</x:v>
      </x:c>
      <x:c r="H1319" s="17" t="str">
        <x:v>https://umdearborn.edu</x:v>
      </x:c>
      <x:c r="I1319" s="17" t="str">
        <x:v>not_sampled</x:v>
      </x:c>
      <x:c r="J1319" s="17" t="str">
        <x:v>not_sampled</x:v>
      </x:c>
    </x:row>
    <x:row r="1320" ht="46" customHeight="1">
      <x:c r="A1320" s="17" t="str">
        <x:v>us</x:v>
      </x:c>
      <x:c r="B1320" s="17" t="str">
        <x:v>University of Michigan-Dearborn</x:v>
      </x:c>
      <x:c r="C1320" s="17" t="str">
        <x:v>IPEDS discovery signal: Information Technology (CIP 11.0103)</x:v>
      </x:c>
      <x:c r="D1320" s="17" t="str">
        <x:v>Unclear</x:v>
      </x:c>
      <x:c r="E1320" s="17" t="str">
        <x:v>stage2_screened_out</x:v>
      </x:c>
      <x:c r="F1320" s="17" t="str">
        <x:v>Only one bounded registry/program-code signal was present; no independent topical, Calendar, current-faculty, or first-audit signal was recovered.</x:v>
      </x:c>
      <x:c r="G1320" s="17" t="str">
        <x:v>Does the current official catalog contain a research graduate program matching the applicant's topics?</x:v>
      </x:c>
      <x:c r="H1320" s="17" t="str">
        <x:v>https://umdearborn.edu</x:v>
      </x:c>
      <x:c r="I1320" s="17" t="str">
        <x:v>not_sampled</x:v>
      </x:c>
      <x:c r="J1320" s="17" t="str">
        <x:v>not_sampled</x:v>
      </x:c>
    </x:row>
    <x:row r="1321" ht="46" customHeight="1">
      <x:c r="A1321" s="17" t="str">
        <x:v>us</x:v>
      </x:c>
      <x:c r="B1321" s="17" t="str">
        <x:v>University of Michigan-Dearborn</x:v>
      </x:c>
      <x:c r="C1321" s="17" t="str">
        <x:v>IPEDS discovery signal: Mechatronics, Robotics, and Automation Engineering (CIP 14.4201)</x:v>
      </x:c>
      <x:c r="D1321" s="17" t="str">
        <x:v>Unclear</x:v>
      </x:c>
      <x:c r="E1321" s="17" t="str">
        <x:v>stage2_screened_out</x:v>
      </x:c>
      <x:c r="F1321" s="17" t="str">
        <x:v>Only one bounded registry/program-code signal was present; no independent topical, Calendar, current-faculty, or first-audit signal was recovered.</x:v>
      </x:c>
      <x:c r="G1321" s="17" t="str">
        <x:v>Does the current official catalog contain a research graduate program matching the applicant's topics?</x:v>
      </x:c>
      <x:c r="H1321" s="17" t="str">
        <x:v>https://umdearborn.edu</x:v>
      </x:c>
      <x:c r="I1321" s="17" t="str">
        <x:v>not_sampled</x:v>
      </x:c>
      <x:c r="J1321" s="17" t="str">
        <x:v>not_sampled</x:v>
      </x:c>
    </x:row>
    <x:row r="1322" ht="46" customHeight="1">
      <x:c r="A1322" s="17" t="str">
        <x:v>us</x:v>
      </x:c>
      <x:c r="B1322" s="17" t="str">
        <x:v>University of Michigan-Flint</x:v>
      </x:c>
      <x:c r="C1322" s="17" t="str">
        <x:v>IPEDS discovery signal: Computer and Information Sciences, General (CIP 11.0101)</x:v>
      </x:c>
      <x:c r="D1322" s="17" t="str">
        <x:v>Unclear</x:v>
      </x:c>
      <x:c r="E1322" s="17" t="str">
        <x:v>stage2_screened_out</x:v>
      </x:c>
      <x:c r="F1322" s="17" t="str">
        <x:v>Only one bounded registry/program-code signal was present; no independent topical, Calendar, current-faculty, or first-audit signal was recovered.</x:v>
      </x:c>
      <x:c r="G1322" s="17" t="str">
        <x:v>Does the current official catalog contain a research graduate program matching the applicant's topics?</x:v>
      </x:c>
      <x:c r="H1322" s="17" t="str">
        <x:v>https://www.umflint.edu</x:v>
      </x:c>
      <x:c r="I1322" s="17" t="str">
        <x:v>not_sampled</x:v>
      </x:c>
      <x:c r="J1322" s="17" t="str">
        <x:v>not_sampled</x:v>
      </x:c>
    </x:row>
    <x:row r="1323" ht="46" customHeight="1">
      <x:c r="A1323" s="17" t="str">
        <x:v>us</x:v>
      </x:c>
      <x:c r="B1323" s="17" t="str">
        <x:v>University of Minnesota-Duluth</x:v>
      </x:c>
      <x:c r="C1323" s="17" t="str">
        <x:v>IPEDS discovery signal: Computer Science (CIP 11.0701)</x:v>
      </x:c>
      <x:c r="D1323" s="17" t="str">
        <x:v>Unclear</x:v>
      </x:c>
      <x:c r="E1323" s="17" t="str">
        <x:v>stage2_screened_out</x:v>
      </x:c>
      <x:c r="F1323" s="17" t="str">
        <x:v>Only one bounded registry/program-code signal was present; no independent topical, Calendar, current-faculty, or first-audit signal was recovered.</x:v>
      </x:c>
      <x:c r="G1323" s="17" t="str">
        <x:v>Does the current official catalog contain a research graduate program matching the applicant's topics?</x:v>
      </x:c>
      <x:c r="H1323" s="17" t="str">
        <x:v>https://d.umn.edu</x:v>
      </x:c>
      <x:c r="I1323" s="17" t="str">
        <x:v>not_sampled</x:v>
      </x:c>
      <x:c r="J1323" s="17" t="str">
        <x:v>not_sampled</x:v>
      </x:c>
    </x:row>
    <x:row r="1324" ht="46" customHeight="1">
      <x:c r="A1324" s="17" t="str">
        <x:v>us</x:v>
      </x:c>
      <x:c r="B1324" s="17" t="str">
        <x:v>University of Minnesota-Duluth</x:v>
      </x:c>
      <x:c r="C1324" s="17" t="str">
        <x:v>IPEDS discovery signal: Electrical and Electronics Engineering (CIP 14.1001)</x:v>
      </x:c>
      <x:c r="D1324" s="17" t="str">
        <x:v>Unclear</x:v>
      </x:c>
      <x:c r="E1324" s="17" t="str">
        <x:v>stage2_screened_out</x:v>
      </x:c>
      <x:c r="F1324" s="17" t="str">
        <x:v>Only one bounded registry/program-code signal was present; no independent topical, Calendar, current-faculty, or first-audit signal was recovered.</x:v>
      </x:c>
      <x:c r="G1324" s="17" t="str">
        <x:v>Does the current official catalog contain a research graduate program matching the applicant's topics?</x:v>
      </x:c>
      <x:c r="H1324" s="17" t="str">
        <x:v>https://d.umn.edu</x:v>
      </x:c>
      <x:c r="I1324" s="17" t="str">
        <x:v>not_sampled</x:v>
      </x:c>
      <x:c r="J1324" s="17" t="str">
        <x:v>not_sampled</x:v>
      </x:c>
    </x:row>
    <x:row r="1325" ht="46" customHeight="1">
      <x:c r="A1325" s="17" t="str">
        <x:v>us</x:v>
      </x:c>
      <x:c r="B1325" s="17" t="str">
        <x:v>University of Minnesota-Twin Cities</x:v>
      </x:c>
      <x:c r="C1325" s="17" t="str">
        <x:v>IPEDS discovery signal: Computer Science (CIP 11.0701)</x:v>
      </x:c>
      <x:c r="D1325" s="17" t="str">
        <x:v>Unclear</x:v>
      </x:c>
      <x:c r="E1325" s="17" t="str">
        <x:v>stage2_screened_out</x:v>
      </x:c>
      <x:c r="F1325" s="17" t="str">
        <x:v>Only one bounded registry/program-code signal was present; no independent topical, Calendar, current-faculty, or first-audit signal was recovered.</x:v>
      </x:c>
      <x:c r="G1325" s="17" t="str">
        <x:v>Does the current official catalog contain a research graduate program matching the applicant's topics?</x:v>
      </x:c>
      <x:c r="H1325" s="17" t="str">
        <x:v>https://twin-cities.umn.edu</x:v>
      </x:c>
      <x:c r="I1325" s="17" t="str">
        <x:v>not_sampled</x:v>
      </x:c>
      <x:c r="J1325" s="17" t="str">
        <x:v>not_sampled</x:v>
      </x:c>
    </x:row>
    <x:row r="1326" ht="46" customHeight="1">
      <x:c r="A1326" s="17" t="str">
        <x:v>us</x:v>
      </x:c>
      <x:c r="B1326" s="17" t="str">
        <x:v>University of Minnesota-Twin Cities</x:v>
      </x:c>
      <x:c r="C1326" s="17" t="str">
        <x:v>IPEDS discovery signal: Computer Software Engineering (CIP 14.0903)</x:v>
      </x:c>
      <x:c r="D1326" s="17" t="str">
        <x:v>Unclear</x:v>
      </x:c>
      <x:c r="E1326" s="17" t="str">
        <x:v>stage2_screened_out</x:v>
      </x:c>
      <x:c r="F1326" s="17" t="str">
        <x:v>Only one bounded registry/program-code signal was present; no independent topical, Calendar, current-faculty, or first-audit signal was recovered.</x:v>
      </x:c>
      <x:c r="G1326" s="17" t="str">
        <x:v>Does the current official catalog contain a research graduate program matching the applicant's topics?</x:v>
      </x:c>
      <x:c r="H1326" s="17" t="str">
        <x:v>https://twin-cities.umn.edu</x:v>
      </x:c>
      <x:c r="I1326" s="17" t="str">
        <x:v>not_sampled</x:v>
      </x:c>
      <x:c r="J1326" s="17" t="str">
        <x:v>not_sampled</x:v>
      </x:c>
    </x:row>
    <x:row r="1327" ht="46" customHeight="1">
      <x:c r="A1327" s="17" t="str">
        <x:v>us</x:v>
      </x:c>
      <x:c r="B1327" s="17" t="str">
        <x:v>University of Minnesota-Twin Cities</x:v>
      </x:c>
      <x:c r="C1327" s="17" t="str">
        <x:v>IPEDS discovery signal: Data Science, General (CIP 30.7001)</x:v>
      </x:c>
      <x:c r="D1327" s="17" t="str">
        <x:v>Unclear</x:v>
      </x:c>
      <x:c r="E1327" s="17" t="str">
        <x:v>stage2_screened_out</x:v>
      </x:c>
      <x:c r="F1327" s="17" t="str">
        <x:v>Only one bounded registry/program-code signal was present; no independent topical, Calendar, current-faculty, or first-audit signal was recovered.</x:v>
      </x:c>
      <x:c r="G1327" s="17" t="str">
        <x:v>Does the current official catalog contain a research graduate program matching the applicant's topics?</x:v>
      </x:c>
      <x:c r="H1327" s="17" t="str">
        <x:v>https://twin-cities.umn.edu</x:v>
      </x:c>
      <x:c r="I1327" s="17" t="str">
        <x:v>not_sampled</x:v>
      </x:c>
      <x:c r="J1327" s="17" t="str">
        <x:v>not_sampled</x:v>
      </x:c>
    </x:row>
    <x:row r="1328" ht="46" customHeight="1">
      <x:c r="A1328" s="17" t="str">
        <x:v>us</x:v>
      </x:c>
      <x:c r="B1328" s="17" t="str">
        <x:v>University of Minnesota-Twin Cities</x:v>
      </x:c>
      <x:c r="C1328" s="17" t="str">
        <x:v>IPEDS discovery signal: Electrical and Electronics Engineering (CIP 14.1001)</x:v>
      </x:c>
      <x:c r="D1328" s="17" t="str">
        <x:v>Unclear</x:v>
      </x:c>
      <x:c r="E1328" s="17" t="str">
        <x:v>stage2_screened_out</x:v>
      </x:c>
      <x:c r="F1328" s="17" t="str">
        <x:v>Only one bounded registry/program-code signal was present; no independent topical, Calendar, current-faculty, or first-audit signal was recovered.</x:v>
      </x:c>
      <x:c r="G1328" s="17" t="str">
        <x:v>Does the current official catalog contain a research graduate program matching the applicant's topics?</x:v>
      </x:c>
      <x:c r="H1328" s="17" t="str">
        <x:v>https://twin-cities.umn.edu</x:v>
      </x:c>
      <x:c r="I1328" s="17" t="str">
        <x:v>not_sampled</x:v>
      </x:c>
      <x:c r="J1328" s="17" t="str">
        <x:v>not_sampled</x:v>
      </x:c>
    </x:row>
    <x:row r="1329" ht="46" customHeight="1">
      <x:c r="A1329" s="17" t="str">
        <x:v>us</x:v>
      </x:c>
      <x:c r="B1329" s="17" t="str">
        <x:v>University of Missouri-Columbia</x:v>
      </x:c>
      <x:c r="C1329" s="17" t="str">
        <x:v>IPEDS discovery signal: Computer and Information Sciences, General (CIP 11.0101)</x:v>
      </x:c>
      <x:c r="D1329" s="17" t="str">
        <x:v>Unclear</x:v>
      </x:c>
      <x:c r="E1329" s="17" t="str">
        <x:v>stage2_screened_out</x:v>
      </x:c>
      <x:c r="F1329" s="17" t="str">
        <x:v>Only one bounded registry/program-code signal was present; no independent topical, Calendar, current-faculty, or first-audit signal was recovered.</x:v>
      </x:c>
      <x:c r="G1329" s="17" t="str">
        <x:v>Does the current official catalog contain a research graduate program matching the applicant's topics?</x:v>
      </x:c>
      <x:c r="H1329" s="17" t="str">
        <x:v>https://missouri.edu</x:v>
      </x:c>
      <x:c r="I1329" s="17" t="str">
        <x:v>not_sampled</x:v>
      </x:c>
      <x:c r="J1329" s="17" t="str">
        <x:v>not_sampled</x:v>
      </x:c>
    </x:row>
    <x:row r="1330" ht="46" customHeight="1">
      <x:c r="A1330" s="17" t="str">
        <x:v>us</x:v>
      </x:c>
      <x:c r="B1330" s="17" t="str">
        <x:v>University of Missouri-Columbia</x:v>
      </x:c>
      <x:c r="C1330" s="17" t="str">
        <x:v>IPEDS discovery signal: Computer and Information Sciences, Other (CIP 11.0199)</x:v>
      </x:c>
      <x:c r="D1330" s="17" t="str">
        <x:v>Unclear</x:v>
      </x:c>
      <x:c r="E1330" s="17" t="str">
        <x:v>stage2_screened_out</x:v>
      </x:c>
      <x:c r="F1330" s="17" t="str">
        <x:v>Only one bounded registry/program-code signal was present; no independent topical, Calendar, current-faculty, or first-audit signal was recovered.</x:v>
      </x:c>
      <x:c r="G1330" s="17" t="str">
        <x:v>Does the current official catalog contain a research graduate program matching the applicant's topics?</x:v>
      </x:c>
      <x:c r="H1330" s="17" t="str">
        <x:v>https://missouri.edu</x:v>
      </x:c>
      <x:c r="I1330" s="17" t="str">
        <x:v>not_sampled</x:v>
      </x:c>
      <x:c r="J1330" s="17" t="str">
        <x:v>not_sampled</x:v>
      </x:c>
    </x:row>
    <x:row r="1331" ht="46" customHeight="1">
      <x:c r="A1331" s="17" t="str">
        <x:v>us</x:v>
      </x:c>
      <x:c r="B1331" s="17" t="str">
        <x:v>University of Missouri-Columbia</x:v>
      </x:c>
      <x:c r="C1331" s="17" t="str">
        <x:v>IPEDS discovery signal: Computer Engineering, General (CIP 14.0901)</x:v>
      </x:c>
      <x:c r="D1331" s="17" t="str">
        <x:v>Unclear</x:v>
      </x:c>
      <x:c r="E1331" s="17" t="str">
        <x:v>stage2_screened_out</x:v>
      </x:c>
      <x:c r="F1331" s="17" t="str">
        <x:v>Only one bounded registry/program-code signal was present; no independent topical, Calendar, current-faculty, or first-audit signal was recovered.</x:v>
      </x:c>
      <x:c r="G1331" s="17" t="str">
        <x:v>Does the current official catalog contain a research graduate program matching the applicant's topics?</x:v>
      </x:c>
      <x:c r="H1331" s="17" t="str">
        <x:v>https://missouri.edu</x:v>
      </x:c>
      <x:c r="I1331" s="17" t="str">
        <x:v>not_sampled</x:v>
      </x:c>
      <x:c r="J1331" s="17" t="str">
        <x:v>not_sampled</x:v>
      </x:c>
    </x:row>
    <x:row r="1332" ht="46" customHeight="1">
      <x:c r="A1332" s="17" t="str">
        <x:v>us</x:v>
      </x:c>
      <x:c r="B1332" s="17" t="str">
        <x:v>University of Missouri-Columbia</x:v>
      </x:c>
      <x:c r="C1332" s="17" t="str">
        <x:v>IPEDS discovery signal: Electrical and Electronics Engineering (CIP 14.1001)</x:v>
      </x:c>
      <x:c r="D1332" s="17" t="str">
        <x:v>Unclear</x:v>
      </x:c>
      <x:c r="E1332" s="17" t="str">
        <x:v>stage2_screened_out</x:v>
      </x:c>
      <x:c r="F1332" s="17" t="str">
        <x:v>Only one bounded registry/program-code signal was present; no independent topical, Calendar, current-faculty, or first-audit signal was recovered.</x:v>
      </x:c>
      <x:c r="G1332" s="17" t="str">
        <x:v>Does the current official catalog contain a research graduate program matching the applicant's topics?</x:v>
      </x:c>
      <x:c r="H1332" s="17" t="str">
        <x:v>https://missouri.edu</x:v>
      </x:c>
      <x:c r="I1332" s="17" t="str">
        <x:v>not_sampled</x:v>
      </x:c>
      <x:c r="J1332" s="17" t="str">
        <x:v>not_sampled</x:v>
      </x:c>
    </x:row>
    <x:row r="1333" ht="46" customHeight="1">
      <x:c r="A1333" s="17" t="str">
        <x:v>us</x:v>
      </x:c>
      <x:c r="B1333" s="17" t="str">
        <x:v>University of Missouri-Kansas City</x:v>
      </x:c>
      <x:c r="C1333" s="17" t="str">
        <x:v>IPEDS discovery signal: Computer Science (CIP 11.0701)</x:v>
      </x:c>
      <x:c r="D1333" s="17" t="str">
        <x:v>Unclear</x:v>
      </x:c>
      <x:c r="E1333" s="17" t="str">
        <x:v>stage2_screened_out</x:v>
      </x:c>
      <x:c r="F1333" s="17" t="str">
        <x:v>Only one bounded registry/program-code signal was present; no independent topical, Calendar, current-faculty, or first-audit signal was recovered.</x:v>
      </x:c>
      <x:c r="G1333" s="17" t="str">
        <x:v>Does the current official catalog contain a research graduate program matching the applicant's topics?</x:v>
      </x:c>
      <x:c r="H1333" s="17" t="str">
        <x:v>https://www.umkc.edu</x:v>
      </x:c>
      <x:c r="I1333" s="17" t="str">
        <x:v>not_sampled</x:v>
      </x:c>
      <x:c r="J1333" s="17" t="str">
        <x:v>not_sampled</x:v>
      </x:c>
    </x:row>
    <x:row r="1334" ht="46" customHeight="1">
      <x:c r="A1334" s="17" t="str">
        <x:v>us</x:v>
      </x:c>
      <x:c r="B1334" s="17" t="str">
        <x:v>University of Missouri-Kansas City</x:v>
      </x:c>
      <x:c r="C1334" s="17" t="str">
        <x:v>IPEDS discovery signal: Data Science, General (CIP 30.7001)</x:v>
      </x:c>
      <x:c r="D1334" s="17" t="str">
        <x:v>Unclear</x:v>
      </x:c>
      <x:c r="E1334" s="17" t="str">
        <x:v>stage2_screened_out</x:v>
      </x:c>
      <x:c r="F1334" s="17" t="str">
        <x:v>Only one bounded registry/program-code signal was present; no independent topical, Calendar, current-faculty, or first-audit signal was recovered.</x:v>
      </x:c>
      <x:c r="G1334" s="17" t="str">
        <x:v>Does the current official catalog contain a research graduate program matching the applicant's topics?</x:v>
      </x:c>
      <x:c r="H1334" s="17" t="str">
        <x:v>https://www.umkc.edu</x:v>
      </x:c>
      <x:c r="I1334" s="17" t="str">
        <x:v>not_sampled</x:v>
      </x:c>
      <x:c r="J1334" s="17" t="str">
        <x:v>not_sampled</x:v>
      </x:c>
    </x:row>
    <x:row r="1335" ht="46" customHeight="1">
      <x:c r="A1335" s="17" t="str">
        <x:v>us</x:v>
      </x:c>
      <x:c r="B1335" s="17" t="str">
        <x:v>University of Missouri-St Louis</x:v>
      </x:c>
      <x:c r="C1335" s="17" t="str">
        <x:v>IPEDS discovery signal: Computer and Information Systems Security/Auditing/Information Assurance (CIP 11.1003)</x:v>
      </x:c>
      <x:c r="D1335" s="17" t="str">
        <x:v>Unclear</x:v>
      </x:c>
      <x:c r="E1335" s="17" t="str">
        <x:v>stage2_screened_out</x:v>
      </x:c>
      <x:c r="F1335" s="17" t="str">
        <x:v>Only one bounded registry/program-code signal was present; no independent topical, Calendar, current-faculty, or first-audit signal was recovered.</x:v>
      </x:c>
      <x:c r="G1335" s="17" t="str">
        <x:v>Does the current official catalog contain a research graduate program matching the applicant's topics?</x:v>
      </x:c>
      <x:c r="H1335" s="17" t="str">
        <x:v>https://www.umsl.edu</x:v>
      </x:c>
      <x:c r="I1335" s="17" t="str">
        <x:v>not_sampled</x:v>
      </x:c>
      <x:c r="J1335" s="17" t="str">
        <x:v>not_sampled</x:v>
      </x:c>
    </x:row>
    <x:row r="1336" ht="46" customHeight="1">
      <x:c r="A1336" s="17" t="str">
        <x:v>us</x:v>
      </x:c>
      <x:c r="B1336" s="17" t="str">
        <x:v>University of Missouri-St Louis</x:v>
      </x:c>
      <x:c r="C1336" s="17" t="str">
        <x:v>IPEDS discovery signal: Computer Science (CIP 11.0701)</x:v>
      </x:c>
      <x:c r="D1336" s="17" t="str">
        <x:v>Unclear</x:v>
      </x:c>
      <x:c r="E1336" s="17" t="str">
        <x:v>stage2_screened_out</x:v>
      </x:c>
      <x:c r="F1336" s="17" t="str">
        <x:v>Only one bounded registry/program-code signal was present; no independent topical, Calendar, current-faculty, or first-audit signal was recovered.</x:v>
      </x:c>
      <x:c r="G1336" s="17" t="str">
        <x:v>Does the current official catalog contain a research graduate program matching the applicant's topics?</x:v>
      </x:c>
      <x:c r="H1336" s="17" t="str">
        <x:v>https://www.umsl.edu</x:v>
      </x:c>
      <x:c r="I1336" s="17" t="str">
        <x:v>not_sampled</x:v>
      </x:c>
      <x:c r="J1336" s="17" t="str">
        <x:v>not_sampled</x:v>
      </x:c>
    </x:row>
    <x:row r="1337" ht="46" customHeight="1">
      <x:c r="A1337" s="17" t="str">
        <x:v>us</x:v>
      </x:c>
      <x:c r="B1337" s="17" t="str">
        <x:v>University of Missouri-St Louis</x:v>
      </x:c>
      <x:c r="C1337" s="17" t="str">
        <x:v>IPEDS discovery signal: Information Technology (CIP 11.0103)</x:v>
      </x:c>
      <x:c r="D1337" s="17" t="str">
        <x:v>Unclear</x:v>
      </x:c>
      <x:c r="E1337" s="17" t="str">
        <x:v>stage2_screened_out</x:v>
      </x:c>
      <x:c r="F1337" s="17" t="str">
        <x:v>Only one bounded registry/program-code signal was present; no independent topical, Calendar, current-faculty, or first-audit signal was recovered.</x:v>
      </x:c>
      <x:c r="G1337" s="17" t="str">
        <x:v>Does the current official catalog contain a research graduate program matching the applicant's topics?</x:v>
      </x:c>
      <x:c r="H1337" s="17" t="str">
        <x:v>https://www.umsl.edu</x:v>
      </x:c>
      <x:c r="I1337" s="17" t="str">
        <x:v>not_sampled</x:v>
      </x:c>
      <x:c r="J1337" s="17" t="str">
        <x:v>not_sampled</x:v>
      </x:c>
    </x:row>
    <x:row r="1338" ht="46" customHeight="1">
      <x:c r="A1338" s="17" t="str">
        <x:v>us</x:v>
      </x:c>
      <x:c r="B1338" s="17" t="str">
        <x:v>University of Nebraska at Omaha</x:v>
      </x:c>
      <x:c r="C1338" s="17" t="str">
        <x:v>IPEDS discovery signal: Computer and Information Sciences, General (CIP 11.0101)</x:v>
      </x:c>
      <x:c r="D1338" s="17" t="str">
        <x:v>Unclear</x:v>
      </x:c>
      <x:c r="E1338" s="17" t="str">
        <x:v>stage2_screened_out</x:v>
      </x:c>
      <x:c r="F1338" s="17" t="str">
        <x:v>Duplicate mechanical discovery signal consolidated into one institution-level catalog review candidate.</x:v>
      </x:c>
      <x:c r="G1338" s="17" t="str">
        <x:v>Does the current official catalog contain a research graduate program matching the applicant's topics?</x:v>
      </x:c>
      <x:c r="H1338" s="17" t="str">
        <x:v>https://www.unomaha.edu</x:v>
      </x:c>
      <x:c r="I1338" s="17" t="str">
        <x:v>not_sampled</x:v>
      </x:c>
      <x:c r="J1338" s="17" t="str">
        <x:v>not_sampled</x:v>
      </x:c>
    </x:row>
    <x:row r="1339" ht="46" customHeight="1">
      <x:c r="A1339" s="17" t="str">
        <x:v>us</x:v>
      </x:c>
      <x:c r="B1339" s="17" t="str">
        <x:v>University of Nebraska at Omaha</x:v>
      </x:c>
      <x:c r="C1339" s="17" t="str">
        <x:v>IPEDS discovery signal: Computer and Information Sciences, Other (CIP 11.0199)</x:v>
      </x:c>
      <x:c r="D1339" s="17" t="str">
        <x:v>Unclear</x:v>
      </x:c>
      <x:c r="E1339" s="17" t="str">
        <x:v>stage2_screened_out</x:v>
      </x:c>
      <x:c r="F1339" s="17" t="str">
        <x:v>Duplicate mechanical discovery signal consolidated into one institution-level catalog review candidate.</x:v>
      </x:c>
      <x:c r="G1339" s="17" t="str">
        <x:v>Does the current official catalog contain a research graduate program matching the applicant's topics?</x:v>
      </x:c>
      <x:c r="H1339" s="17" t="str">
        <x:v>https://www.unomaha.edu</x:v>
      </x:c>
      <x:c r="I1339" s="17" t="str">
        <x:v>not_sampled</x:v>
      </x:c>
      <x:c r="J1339" s="17" t="str">
        <x:v>not_sampled</x:v>
      </x:c>
    </x:row>
    <x:row r="1340" ht="46" customHeight="1">
      <x:c r="A1340" s="17" t="str">
        <x:v>us</x:v>
      </x:c>
      <x:c r="B1340" s="17" t="str">
        <x:v>University of Nebraska at Omaha</x:v>
      </x:c>
      <x:c r="C1340" s="17" t="str">
        <x:v>IPEDS discovery signal: Computer Science (CIP 11.0701)</x:v>
      </x:c>
      <x:c r="D1340" s="17" t="str">
        <x:v>Unclear</x:v>
      </x:c>
      <x:c r="E1340" s="17" t="str">
        <x:v>stage2_screened_out</x:v>
      </x:c>
      <x:c r="F1340" s="17" t="str">
        <x:v>Duplicate mechanical discovery signal consolidated into one institution-level catalog review candidate.</x:v>
      </x:c>
      <x:c r="G1340" s="17" t="str">
        <x:v>Does the current official catalog contain a research graduate program matching the applicant's topics?</x:v>
      </x:c>
      <x:c r="H1340" s="17" t="str">
        <x:v>https://www.unomaha.edu</x:v>
      </x:c>
      <x:c r="I1340" s="17" t="str">
        <x:v>not_sampled</x:v>
      </x:c>
      <x:c r="J1340" s="17" t="str">
        <x:v>not_sampled</x:v>
      </x:c>
    </x:row>
    <x:row r="1341" ht="46" customHeight="1">
      <x:c r="A1341" s="17" t="str">
        <x:v>us</x:v>
      </x:c>
      <x:c r="B1341" s="17" t="str">
        <x:v>University of Nebraska at Omaha</x:v>
      </x:c>
      <x:c r="C1341" s="17" t="str">
        <x:v>IPEDS discovery signal: Informatics (CIP 11.0104)</x:v>
      </x:c>
      <x:c r="D1341" s="17" t="str">
        <x:v>Unclear</x:v>
      </x:c>
      <x:c r="E1341" s="17" t="str">
        <x:v>stage2_screened_out</x:v>
      </x:c>
      <x:c r="F1341" s="17" t="str">
        <x:v>Duplicate mechanical discovery signal consolidated into one institution-level catalog review candidate.</x:v>
      </x:c>
      <x:c r="G1341" s="17" t="str">
        <x:v>Does the current official catalog contain a research graduate program matching the applicant's topics?</x:v>
      </x:c>
      <x:c r="H1341" s="17" t="str">
        <x:v>https://www.unomaha.edu</x:v>
      </x:c>
      <x:c r="I1341" s="17" t="str">
        <x:v>not_sampled</x:v>
      </x:c>
      <x:c r="J1341" s="17" t="str">
        <x:v>not_sampled</x:v>
      </x:c>
    </x:row>
    <x:row r="1342" ht="46" customHeight="1">
      <x:c r="A1342" s="17" t="str">
        <x:v>us</x:v>
      </x:c>
      <x:c r="B1342" s="17" t="str">
        <x:v>University of Nebraska at Omaha</x:v>
      </x:c>
      <x:c r="C1342" s="17" t="str">
        <x:v>IPEDS discovery signal: Information Science/Studies (CIP 11.0401)</x:v>
      </x:c>
      <x:c r="D1342" s="17" t="str">
        <x:v>Unclear</x:v>
      </x:c>
      <x:c r="E1342" s="17" t="str">
        <x:v>stage2_screened_out</x:v>
      </x:c>
      <x:c r="F1342" s="17" t="str">
        <x:v>Duplicate mechanical discovery signal consolidated into one institution-level catalog review candidate.</x:v>
      </x:c>
      <x:c r="G1342" s="17" t="str">
        <x:v>Does the current official catalog contain a research graduate program matching the applicant's topics?</x:v>
      </x:c>
      <x:c r="H1342" s="17" t="str">
        <x:v>https://www.unomaha.edu</x:v>
      </x:c>
      <x:c r="I1342" s="17" t="str">
        <x:v>not_sampled</x:v>
      </x:c>
      <x:c r="J1342" s="17" t="str">
        <x:v>not_sampled</x:v>
      </x:c>
    </x:row>
    <x:row r="1343" ht="46" customHeight="1">
      <x:c r="A1343" s="17" t="str">
        <x:v>us</x:v>
      </x:c>
      <x:c r="B1343" s="17" t="str">
        <x:v>University of Nebraska at Omaha</x:v>
      </x:c>
      <x:c r="C1343" s="17" t="str">
        <x:v>IPEDS discovery signal: Information Technology (CIP 11.0103)</x:v>
      </x:c>
      <x:c r="D1343" s="17" t="str">
        <x:v>Unclear</x:v>
      </x:c>
      <x:c r="E1343" s="17" t="str">
        <x:v>stage2_screened_out</x:v>
      </x:c>
      <x:c r="F1343" s="17" t="str">
        <x:v>Duplicate mechanical discovery signal consolidated into one institution-level catalog review candidate.</x:v>
      </x:c>
      <x:c r="G1343" s="17" t="str">
        <x:v>Does the current official catalog contain a research graduate program matching the applicant's topics?</x:v>
      </x:c>
      <x:c r="H1343" s="17" t="str">
        <x:v>https://www.unomaha.edu</x:v>
      </x:c>
      <x:c r="I1343" s="17" t="str">
        <x:v>not_sampled</x:v>
      </x:c>
      <x:c r="J1343" s="17" t="str">
        <x:v>not_sampled</x:v>
      </x:c>
    </x:row>
    <x:row r="1344" ht="46" customHeight="1">
      <x:c r="A1344" s="17" t="str">
        <x:v>us</x:v>
      </x:c>
      <x:c r="B1344" s="17" t="str">
        <x:v>University of Nebraska-Lincoln</x:v>
      </x:c>
      <x:c r="C1344" s="17" t="str">
        <x:v>IPEDS discovery signal: Computer and Information Sciences, General (CIP 11.0101)</x:v>
      </x:c>
      <x:c r="D1344" s="17" t="str">
        <x:v>Unclear</x:v>
      </x:c>
      <x:c r="E1344" s="17" t="str">
        <x:v>stage2_screened_out</x:v>
      </x:c>
      <x:c r="F1344" s="17" t="str">
        <x:v>Mechanical discovery placeholder is superseded by an exact official program record at the same institution.</x:v>
      </x:c>
      <x:c r="G1344" s="17" t="str">
        <x:v>Does the current official catalog contain a research graduate program matching the applicant's topics?</x:v>
      </x:c>
      <x:c r="H1344" s="17" t="str">
        <x:v>https://www.unl.edu</x:v>
      </x:c>
      <x:c r="I1344" s="17" t="str">
        <x:v>not_sampled</x:v>
      </x:c>
      <x:c r="J1344" s="17" t="str">
        <x:v>not_sampled</x:v>
      </x:c>
    </x:row>
    <x:row r="1345" ht="46" customHeight="1">
      <x:c r="A1345" s="17" t="str">
        <x:v>us</x:v>
      </x:c>
      <x:c r="B1345" s="17" t="str">
        <x:v>University of Nebraska-Lincoln</x:v>
      </x:c>
      <x:c r="C1345" s="17" t="str">
        <x:v>IPEDS discovery signal: Computer Science (CIP 11.0701)</x:v>
      </x:c>
      <x:c r="D1345" s="17" t="str">
        <x:v>Unclear</x:v>
      </x:c>
      <x:c r="E1345" s="17" t="str">
        <x:v>stage2_screened_out</x:v>
      </x:c>
      <x:c r="F1345" s="17" t="str">
        <x:v>Mechanical discovery placeholder is superseded by an exact official program record at the same institution.</x:v>
      </x:c>
      <x:c r="G1345" s="17" t="str">
        <x:v>Does the current official catalog contain a research graduate program matching the applicant's topics?</x:v>
      </x:c>
      <x:c r="H1345" s="17" t="str">
        <x:v>https://www.unl.edu</x:v>
      </x:c>
      <x:c r="I1345" s="17" t="str">
        <x:v>not_sampled</x:v>
      </x:c>
      <x:c r="J1345" s="17" t="str">
        <x:v>not_sampled</x:v>
      </x:c>
    </x:row>
    <x:row r="1346" ht="46" customHeight="1">
      <x:c r="A1346" s="17" t="str">
        <x:v>us</x:v>
      </x:c>
      <x:c r="B1346" s="17" t="str">
        <x:v>University of Nebraska-Lincoln</x:v>
      </x:c>
      <x:c r="C1346" s="17" t="str">
        <x:v>IPEDS discovery signal: Electrical and Electronics Engineering (CIP 14.1001)</x:v>
      </x:c>
      <x:c r="D1346" s="17" t="str">
        <x:v>Unclear</x:v>
      </x:c>
      <x:c r="E1346" s="17" t="str">
        <x:v>stage2_screened_out</x:v>
      </x:c>
      <x:c r="F1346" s="17" t="str">
        <x:v>Mechanical discovery placeholder is superseded by an exact official program record at the same institution.</x:v>
      </x:c>
      <x:c r="G1346" s="17" t="str">
        <x:v>Does the current official catalog contain a research graduate program matching the applicant's topics?</x:v>
      </x:c>
      <x:c r="H1346" s="17" t="str">
        <x:v>https://www.unl.edu</x:v>
      </x:c>
      <x:c r="I1346" s="17" t="str">
        <x:v>not_sampled</x:v>
      </x:c>
      <x:c r="J1346" s="17" t="str">
        <x:v>not_sampled</x:v>
      </x:c>
    </x:row>
    <x:row r="1347" ht="46" customHeight="1">
      <x:c r="A1347" s="17" t="str">
        <x:v>us</x:v>
      </x:c>
      <x:c r="B1347" s="17" t="str">
        <x:v>University of Nevada-Las Vegas</x:v>
      </x:c>
      <x:c r="C1347" s="17" t="str">
        <x:v>IPEDS discovery signal: Computer and Information Systems Security/Auditing/Information Assurance (CIP 11.1003)</x:v>
      </x:c>
      <x:c r="D1347" s="17" t="str">
        <x:v>Unclear</x:v>
      </x:c>
      <x:c r="E1347" s="17" t="str">
        <x:v>stage2_screened_out</x:v>
      </x:c>
      <x:c r="F1347" s="17" t="str">
        <x:v>Only one bounded registry/program-code signal was present; no independent topical, Calendar, current-faculty, or first-audit signal was recovered.</x:v>
      </x:c>
      <x:c r="G1347" s="17" t="str">
        <x:v>Does the current official catalog contain a research graduate program matching the applicant's topics?</x:v>
      </x:c>
      <x:c r="H1347" s="17" t="str">
        <x:v>https://www.unlv.edu</x:v>
      </x:c>
      <x:c r="I1347" s="17" t="str">
        <x:v>not_sampled</x:v>
      </x:c>
      <x:c r="J1347" s="17" t="str">
        <x:v>not_sampled</x:v>
      </x:c>
    </x:row>
    <x:row r="1348" ht="46" customHeight="1">
      <x:c r="A1348" s="17" t="str">
        <x:v>us</x:v>
      </x:c>
      <x:c r="B1348" s="17" t="str">
        <x:v>University of Nevada-Las Vegas</x:v>
      </x:c>
      <x:c r="C1348" s="17" t="str">
        <x:v>IPEDS discovery signal: Computer Science (CIP 11.0701)</x:v>
      </x:c>
      <x:c r="D1348" s="17" t="str">
        <x:v>Unclear</x:v>
      </x:c>
      <x:c r="E1348" s="17" t="str">
        <x:v>stage2_screened_out</x:v>
      </x:c>
      <x:c r="F1348" s="17" t="str">
        <x:v>Only one bounded registry/program-code signal was present; no independent topical, Calendar, current-faculty, or first-audit signal was recovered.</x:v>
      </x:c>
      <x:c r="G1348" s="17" t="str">
        <x:v>Does the current official catalog contain a research graduate program matching the applicant's topics?</x:v>
      </x:c>
      <x:c r="H1348" s="17" t="str">
        <x:v>https://www.unlv.edu</x:v>
      </x:c>
      <x:c r="I1348" s="17" t="str">
        <x:v>not_sampled</x:v>
      </x:c>
      <x:c r="J1348" s="17" t="str">
        <x:v>not_sampled</x:v>
      </x:c>
    </x:row>
    <x:row r="1349" ht="46" customHeight="1">
      <x:c r="A1349" s="17" t="str">
        <x:v>us</x:v>
      </x:c>
      <x:c r="B1349" s="17" t="str">
        <x:v>University of Nevada-Las Vegas</x:v>
      </x:c>
      <x:c r="C1349" s="17" t="str">
        <x:v>IPEDS discovery signal: Data Analytics, General (CIP 30.7101)</x:v>
      </x:c>
      <x:c r="D1349" s="17" t="str">
        <x:v>Unclear</x:v>
      </x:c>
      <x:c r="E1349" s="17" t="str">
        <x:v>stage2_screened_out</x:v>
      </x:c>
      <x:c r="F1349" s="17" t="str">
        <x:v>Only one bounded registry/program-code signal was present; no independent topical, Calendar, current-faculty, or first-audit signal was recovered.</x:v>
      </x:c>
      <x:c r="G1349" s="17" t="str">
        <x:v>Does the current official catalog contain a research graduate program matching the applicant's topics?</x:v>
      </x:c>
      <x:c r="H1349" s="17" t="str">
        <x:v>https://www.unlv.edu</x:v>
      </x:c>
      <x:c r="I1349" s="17" t="str">
        <x:v>not_sampled</x:v>
      </x:c>
      <x:c r="J1349" s="17" t="str">
        <x:v>not_sampled</x:v>
      </x:c>
    </x:row>
    <x:row r="1350" ht="46" customHeight="1">
      <x:c r="A1350" s="17" t="str">
        <x:v>us</x:v>
      </x:c>
      <x:c r="B1350" s="17" t="str">
        <x:v>University of Nevada-Las Vegas</x:v>
      </x:c>
      <x:c r="C1350" s="17" t="str">
        <x:v>IPEDS discovery signal: Electrical and Electronics Engineering (CIP 14.1001)</x:v>
      </x:c>
      <x:c r="D1350" s="17" t="str">
        <x:v>Unclear</x:v>
      </x:c>
      <x:c r="E1350" s="17" t="str">
        <x:v>stage2_screened_out</x:v>
      </x:c>
      <x:c r="F1350" s="17" t="str">
        <x:v>Only one bounded registry/program-code signal was present; no independent topical, Calendar, current-faculty, or first-audit signal was recovered.</x:v>
      </x:c>
      <x:c r="G1350" s="17" t="str">
        <x:v>Does the current official catalog contain a research graduate program matching the applicant's topics?</x:v>
      </x:c>
      <x:c r="H1350" s="17" t="str">
        <x:v>https://www.unlv.edu</x:v>
      </x:c>
      <x:c r="I1350" s="17" t="str">
        <x:v>not_sampled</x:v>
      </x:c>
      <x:c r="J1350" s="17" t="str">
        <x:v>not_sampled</x:v>
      </x:c>
    </x:row>
    <x:row r="1351" ht="46" customHeight="1">
      <x:c r="A1351" s="17" t="str">
        <x:v>us</x:v>
      </x:c>
      <x:c r="B1351" s="17" t="str">
        <x:v>University of Nevada-Reno</x:v>
      </x:c>
      <x:c r="C1351" s="17" t="str">
        <x:v>IPEDS discovery signal: Computer and Information Sciences, General (CIP 11.0101)</x:v>
      </x:c>
      <x:c r="D1351" s="17" t="str">
        <x:v>Unclear</x:v>
      </x:c>
      <x:c r="E1351" s="17" t="str">
        <x:v>stage2_screened_out</x:v>
      </x:c>
      <x:c r="F1351" s="17" t="str">
        <x:v>Only one bounded registry/program-code signal was present; no independent topical, Calendar, current-faculty, or first-audit signal was recovered.</x:v>
      </x:c>
      <x:c r="G1351" s="17" t="str">
        <x:v>Does the current official catalog contain a research graduate program matching the applicant's topics?</x:v>
      </x:c>
      <x:c r="H1351" s="17" t="str">
        <x:v>https://www.unr.edu</x:v>
      </x:c>
      <x:c r="I1351" s="17" t="str">
        <x:v>not_sampled</x:v>
      </x:c>
      <x:c r="J1351" s="17" t="str">
        <x:v>not_sampled</x:v>
      </x:c>
    </x:row>
    <x:row r="1352" ht="46" customHeight="1">
      <x:c r="A1352" s="17" t="str">
        <x:v>us</x:v>
      </x:c>
      <x:c r="B1352" s="17" t="str">
        <x:v>University of Nevada-Reno</x:v>
      </x:c>
      <x:c r="C1352" s="17" t="str">
        <x:v>IPEDS discovery signal: Computer Engineering, General (CIP 14.0901)</x:v>
      </x:c>
      <x:c r="D1352" s="17" t="str">
        <x:v>Unclear</x:v>
      </x:c>
      <x:c r="E1352" s="17" t="str">
        <x:v>stage2_screened_out</x:v>
      </x:c>
      <x:c r="F1352" s="17" t="str">
        <x:v>Only one bounded registry/program-code signal was present; no independent topical, Calendar, current-faculty, or first-audit signal was recovered.</x:v>
      </x:c>
      <x:c r="G1352" s="17" t="str">
        <x:v>Does the current official catalog contain a research graduate program matching the applicant's topics?</x:v>
      </x:c>
      <x:c r="H1352" s="17" t="str">
        <x:v>https://www.unr.edu</x:v>
      </x:c>
      <x:c r="I1352" s="17" t="str">
        <x:v>not_sampled</x:v>
      </x:c>
      <x:c r="J1352" s="17" t="str">
        <x:v>not_sampled</x:v>
      </x:c>
    </x:row>
    <x:row r="1353" ht="46" customHeight="1">
      <x:c r="A1353" s="17" t="str">
        <x:v>us</x:v>
      </x:c>
      <x:c r="B1353" s="17" t="str">
        <x:v>University of Nevada-Reno</x:v>
      </x:c>
      <x:c r="C1353" s="17" t="str">
        <x:v>IPEDS discovery signal: Computer Science (CIP 11.0701)</x:v>
      </x:c>
      <x:c r="D1353" s="17" t="str">
        <x:v>Unclear</x:v>
      </x:c>
      <x:c r="E1353" s="17" t="str">
        <x:v>stage2_screened_out</x:v>
      </x:c>
      <x:c r="F1353" s="17" t="str">
        <x:v>Only one bounded registry/program-code signal was present; no independent topical, Calendar, current-faculty, or first-audit signal was recovered.</x:v>
      </x:c>
      <x:c r="G1353" s="17" t="str">
        <x:v>Does the current official catalog contain a research graduate program matching the applicant's topics?</x:v>
      </x:c>
      <x:c r="H1353" s="17" t="str">
        <x:v>https://www.unr.edu</x:v>
      </x:c>
      <x:c r="I1353" s="17" t="str">
        <x:v>not_sampled</x:v>
      </x:c>
      <x:c r="J1353" s="17" t="str">
        <x:v>not_sampled</x:v>
      </x:c>
    </x:row>
    <x:row r="1354" ht="46" customHeight="1">
      <x:c r="A1354" s="17" t="str">
        <x:v>us</x:v>
      </x:c>
      <x:c r="B1354" s="17" t="str">
        <x:v>University of Nevada-Reno</x:v>
      </x:c>
      <x:c r="C1354" s="17" t="str">
        <x:v>IPEDS discovery signal: Electrical and Electronics Engineering (CIP 14.1001)</x:v>
      </x:c>
      <x:c r="D1354" s="17" t="str">
        <x:v>Unclear</x:v>
      </x:c>
      <x:c r="E1354" s="17" t="str">
        <x:v>stage2_screened_out</x:v>
      </x:c>
      <x:c r="F1354" s="17" t="str">
        <x:v>Only one bounded registry/program-code signal was present; no independent topical, Calendar, current-faculty, or first-audit signal was recovered.</x:v>
      </x:c>
      <x:c r="G1354" s="17" t="str">
        <x:v>Does the current official catalog contain a research graduate program matching the applicant's topics?</x:v>
      </x:c>
      <x:c r="H1354" s="17" t="str">
        <x:v>https://www.unr.edu</x:v>
      </x:c>
      <x:c r="I1354" s="17" t="str">
        <x:v>not_sampled</x:v>
      </x:c>
      <x:c r="J1354" s="17" t="str">
        <x:v>not_sampled</x:v>
      </x:c>
    </x:row>
    <x:row r="1355" ht="46" customHeight="1">
      <x:c r="A1355" s="17" t="str">
        <x:v>us</x:v>
      </x:c>
      <x:c r="B1355" s="17" t="str">
        <x:v>University of New Hampshire at Manchester</x:v>
      </x:c>
      <x:c r="C1355" s="17" t="str">
        <x:v>IPEDS discovery signal: Computer and Information Systems Security/Auditing/Information Assurance (CIP 11.1003)</x:v>
      </x:c>
      <x:c r="D1355" s="17" t="str">
        <x:v>Unclear</x:v>
      </x:c>
      <x:c r="E1355" s="17" t="str">
        <x:v>stage2_screened_out</x:v>
      </x:c>
      <x:c r="F1355" s="17" t="str">
        <x:v>Only one bounded registry/program-code signal was present; no independent topical, Calendar, current-faculty, or first-audit signal was recovered.</x:v>
      </x:c>
      <x:c r="G1355" s="17" t="str">
        <x:v>Does the current official catalog contain a research graduate program matching the applicant's topics?</x:v>
      </x:c>
      <x:c r="H1355" s="17" t="str">
        <x:v>https://manchester.unh.edu</x:v>
      </x:c>
      <x:c r="I1355" s="17" t="str">
        <x:v>not_sampled</x:v>
      </x:c>
      <x:c r="J1355" s="17" t="str">
        <x:v>not_sampled</x:v>
      </x:c>
    </x:row>
    <x:row r="1356" ht="46" customHeight="1">
      <x:c r="A1356" s="17" t="str">
        <x:v>us</x:v>
      </x:c>
      <x:c r="B1356" s="17" t="str">
        <x:v>University of New Hampshire at Manchester</x:v>
      </x:c>
      <x:c r="C1356" s="17" t="str">
        <x:v>IPEDS discovery signal: Information Technology (CIP 11.0103)</x:v>
      </x:c>
      <x:c r="D1356" s="17" t="str">
        <x:v>Unclear</x:v>
      </x:c>
      <x:c r="E1356" s="17" t="str">
        <x:v>stage2_screened_out</x:v>
      </x:c>
      <x:c r="F1356" s="17" t="str">
        <x:v>Only one bounded registry/program-code signal was present; no independent topical, Calendar, current-faculty, or first-audit signal was recovered.</x:v>
      </x:c>
      <x:c r="G1356" s="17" t="str">
        <x:v>Does the current official catalog contain a research graduate program matching the applicant's topics?</x:v>
      </x:c>
      <x:c r="H1356" s="17" t="str">
        <x:v>https://manchester.unh.edu</x:v>
      </x:c>
      <x:c r="I1356" s="17" t="str">
        <x:v>not_sampled</x:v>
      </x:c>
      <x:c r="J1356" s="17" t="str">
        <x:v>not_sampled</x:v>
      </x:c>
    </x:row>
    <x:row r="1357" ht="46" customHeight="1">
      <x:c r="A1357" s="17" t="str">
        <x:v>us</x:v>
      </x:c>
      <x:c r="B1357" s="17" t="str">
        <x:v>University of New Hampshire-Main Campus</x:v>
      </x:c>
      <x:c r="C1357" s="17" t="str">
        <x:v>IPEDS discovery signal: Computer and Information Sciences, General (CIP 11.0101)</x:v>
      </x:c>
      <x:c r="D1357" s="17" t="str">
        <x:v>Unclear</x:v>
      </x:c>
      <x:c r="E1357" s="17" t="str">
        <x:v>stage2_screened_out</x:v>
      </x:c>
      <x:c r="F1357" s="17" t="str">
        <x:v>Duplicate mechanical discovery signal consolidated into one institution-level catalog review candidate.</x:v>
      </x:c>
      <x:c r="G1357" s="17" t="str">
        <x:v>Does the current official catalog contain a research graduate program matching the applicant's topics?</x:v>
      </x:c>
      <x:c r="H1357" s="17" t="str">
        <x:v>https://www.unh.edu</x:v>
      </x:c>
      <x:c r="I1357" s="17" t="str">
        <x:v>not_sampled</x:v>
      </x:c>
      <x:c r="J1357" s="17" t="str">
        <x:v>not_sampled</x:v>
      </x:c>
    </x:row>
    <x:row r="1358" ht="46" customHeight="1">
      <x:c r="A1358" s="17" t="str">
        <x:v>us</x:v>
      </x:c>
      <x:c r="B1358" s="17" t="str">
        <x:v>University of New Hampshire-Main Campus</x:v>
      </x:c>
      <x:c r="C1358" s="17" t="str">
        <x:v>IPEDS discovery signal: Electrical and Electronics Engineering (CIP 14.1001)</x:v>
      </x:c>
      <x:c r="D1358" s="17" t="str">
        <x:v>Unclear</x:v>
      </x:c>
      <x:c r="E1358" s="17" t="str">
        <x:v>stage2_screened_out</x:v>
      </x:c>
      <x:c r="F1358" s="17" t="str">
        <x:v>Duplicate mechanical discovery signal consolidated into one institution-level catalog review candidate.</x:v>
      </x:c>
      <x:c r="G1358" s="17" t="str">
        <x:v>Does the current official catalog contain a research graduate program matching the applicant's topics?</x:v>
      </x:c>
      <x:c r="H1358" s="17" t="str">
        <x:v>https://www.unh.edu</x:v>
      </x:c>
      <x:c r="I1358" s="17" t="str">
        <x:v>not_sampled</x:v>
      </x:c>
      <x:c r="J1358" s="17" t="str">
        <x:v>not_sampled</x:v>
      </x:c>
    </x:row>
    <x:row r="1359" ht="46" customHeight="1">
      <x:c r="A1359" s="17" t="str">
        <x:v>us</x:v>
      </x:c>
      <x:c r="B1359" s="17" t="str">
        <x:v>University of New Hampshire-Main Campus</x:v>
      </x:c>
      <x:c r="C1359" s="17" t="str">
        <x:v>IPEDS discovery signal: Information Technology (CIP 11.0103)</x:v>
      </x:c>
      <x:c r="D1359" s="17" t="str">
        <x:v>Unclear</x:v>
      </x:c>
      <x:c r="E1359" s="17" t="str">
        <x:v>stage2_screened_out</x:v>
      </x:c>
      <x:c r="F1359" s="17" t="str">
        <x:v>Duplicate mechanical discovery signal consolidated into one institution-level catalog review candidate.</x:v>
      </x:c>
      <x:c r="G1359" s="17" t="str">
        <x:v>Does the current official catalog contain a research graduate program matching the applicant's topics?</x:v>
      </x:c>
      <x:c r="H1359" s="17" t="str">
        <x:v>https://www.unh.edu</x:v>
      </x:c>
      <x:c r="I1359" s="17" t="str">
        <x:v>not_sampled</x:v>
      </x:c>
      <x:c r="J1359" s="17" t="str">
        <x:v>not_sampled</x:v>
      </x:c>
    </x:row>
    <x:row r="1360" ht="46" customHeight="1">
      <x:c r="A1360" s="17" t="str">
        <x:v>us</x:v>
      </x:c>
      <x:c r="B1360" s="17" t="str">
        <x:v>University of New Haven</x:v>
      </x:c>
      <x:c r="C1360" s="17" t="str">
        <x:v>IPEDS discovery signal: Computer and Information Sciences, Other (CIP 11.0199)</x:v>
      </x:c>
      <x:c r="D1360" s="17" t="str">
        <x:v>Unclear</x:v>
      </x:c>
      <x:c r="E1360" s="17" t="str">
        <x:v>stage2_screened_out</x:v>
      </x:c>
      <x:c r="F1360" s="17" t="str">
        <x:v>Duplicate mechanical discovery signal consolidated into one institution-level catalog review candidate.</x:v>
      </x:c>
      <x:c r="G1360" s="17" t="str">
        <x:v>Does the current official catalog contain a research graduate program matching the applicant's topics?</x:v>
      </x:c>
      <x:c r="H1360" s="17" t="str">
        <x:v>https://www.newhaven.edu</x:v>
      </x:c>
      <x:c r="I1360" s="17" t="str">
        <x:v>not_sampled</x:v>
      </x:c>
      <x:c r="J1360" s="17" t="str">
        <x:v>not_sampled</x:v>
      </x:c>
    </x:row>
    <x:row r="1361" ht="46" customHeight="1">
      <x:c r="A1361" s="17" t="str">
        <x:v>us</x:v>
      </x:c>
      <x:c r="B1361" s="17" t="str">
        <x:v>University of New Haven</x:v>
      </x:c>
      <x:c r="C1361" s="17" t="str">
        <x:v>IPEDS discovery signal: Computer and Information Systems Security/Auditing/Information Assurance (CIP 11.1003)</x:v>
      </x:c>
      <x:c r="D1361" s="17" t="str">
        <x:v>Unclear</x:v>
      </x:c>
      <x:c r="E1361" s="17" t="str">
        <x:v>stage2_screened_out</x:v>
      </x:c>
      <x:c r="F1361" s="17" t="str">
        <x:v>Duplicate mechanical discovery signal consolidated into one institution-level catalog review candidate.</x:v>
      </x:c>
      <x:c r="G1361" s="17" t="str">
        <x:v>Does the current official catalog contain a research graduate program matching the applicant's topics?</x:v>
      </x:c>
      <x:c r="H1361" s="17" t="str">
        <x:v>https://www.newhaven.edu</x:v>
      </x:c>
      <x:c r="I1361" s="17" t="str">
        <x:v>not_sampled</x:v>
      </x:c>
      <x:c r="J1361" s="17" t="str">
        <x:v>not_sampled</x:v>
      </x:c>
    </x:row>
    <x:row r="1362" ht="46" customHeight="1">
      <x:c r="A1362" s="17" t="str">
        <x:v>us</x:v>
      </x:c>
      <x:c r="B1362" s="17" t="str">
        <x:v>University of New Haven</x:v>
      </x:c>
      <x:c r="C1362" s="17" t="str">
        <x:v>IPEDS discovery signal: Computer Engineering, Other (CIP 14.0999)</x:v>
      </x:c>
      <x:c r="D1362" s="17" t="str">
        <x:v>Unclear</x:v>
      </x:c>
      <x:c r="E1362" s="17" t="str">
        <x:v>stage2_screened_out</x:v>
      </x:c>
      <x:c r="F1362" s="17" t="str">
        <x:v>Duplicate mechanical discovery signal consolidated into one institution-level catalog review candidate.</x:v>
      </x:c>
      <x:c r="G1362" s="17" t="str">
        <x:v>Does the current official catalog contain a research graduate program matching the applicant's topics?</x:v>
      </x:c>
      <x:c r="H1362" s="17" t="str">
        <x:v>https://www.newhaven.edu</x:v>
      </x:c>
      <x:c r="I1362" s="17" t="str">
        <x:v>not_sampled</x:v>
      </x:c>
      <x:c r="J1362" s="17" t="str">
        <x:v>not_sampled</x:v>
      </x:c>
    </x:row>
    <x:row r="1363" ht="46" customHeight="1">
      <x:c r="A1363" s="17" t="str">
        <x:v>us</x:v>
      </x:c>
      <x:c r="B1363" s="17" t="str">
        <x:v>University of New Haven</x:v>
      </x:c>
      <x:c r="C1363" s="17" t="str">
        <x:v>IPEDS discovery signal: Computer Science (CIP 11.0701)</x:v>
      </x:c>
      <x:c r="D1363" s="17" t="str">
        <x:v>Unclear</x:v>
      </x:c>
      <x:c r="E1363" s="17" t="str">
        <x:v>stage2_screened_out</x:v>
      </x:c>
      <x:c r="F1363" s="17" t="str">
        <x:v>Duplicate mechanical discovery signal consolidated into one institution-level catalog review candidate.</x:v>
      </x:c>
      <x:c r="G1363" s="17" t="str">
        <x:v>Does the current official catalog contain a research graduate program matching the applicant's topics?</x:v>
      </x:c>
      <x:c r="H1363" s="17" t="str">
        <x:v>https://www.newhaven.edu</x:v>
      </x:c>
      <x:c r="I1363" s="17" t="str">
        <x:v>not_sampled</x:v>
      </x:c>
      <x:c r="J1363" s="17" t="str">
        <x:v>not_sampled</x:v>
      </x:c>
    </x:row>
    <x:row r="1364" ht="46" customHeight="1">
      <x:c r="A1364" s="17" t="str">
        <x:v>us</x:v>
      </x:c>
      <x:c r="B1364" s="17" t="str">
        <x:v>University of New Haven</x:v>
      </x:c>
      <x:c r="C1364" s="17" t="str">
        <x:v>IPEDS discovery signal: Cyber/Computer Forensics and Counterterrorism (CIP 43.0403)</x:v>
      </x:c>
      <x:c r="D1364" s="17" t="str">
        <x:v>Unclear</x:v>
      </x:c>
      <x:c r="E1364" s="17" t="str">
        <x:v>stage2_screened_out</x:v>
      </x:c>
      <x:c r="F1364" s="17" t="str">
        <x:v>Duplicate mechanical discovery signal consolidated into one institution-level catalog review candidate.</x:v>
      </x:c>
      <x:c r="G1364" s="17" t="str">
        <x:v>Does the current official catalog contain a research graduate program matching the applicant's topics?</x:v>
      </x:c>
      <x:c r="H1364" s="17" t="str">
        <x:v>https://www.newhaven.edu</x:v>
      </x:c>
      <x:c r="I1364" s="17" t="str">
        <x:v>not_sampled</x:v>
      </x:c>
      <x:c r="J1364" s="17" t="str">
        <x:v>not_sampled</x:v>
      </x:c>
    </x:row>
    <x:row r="1365" ht="46" customHeight="1">
      <x:c r="A1365" s="17" t="str">
        <x:v>us</x:v>
      </x:c>
      <x:c r="B1365" s="17" t="str">
        <x:v>University of New Haven</x:v>
      </x:c>
      <x:c r="C1365" s="17" t="str">
        <x:v>IPEDS discovery signal: Electrical and Electronics Engineering (CIP 14.1001)</x:v>
      </x:c>
      <x:c r="D1365" s="17" t="str">
        <x:v>Unclear</x:v>
      </x:c>
      <x:c r="E1365" s="17" t="str">
        <x:v>stage2_screened_out</x:v>
      </x:c>
      <x:c r="F1365" s="17" t="str">
        <x:v>Duplicate mechanical discovery signal consolidated into one institution-level catalog review candidate.</x:v>
      </x:c>
      <x:c r="G1365" s="17" t="str">
        <x:v>Does the current official catalog contain a research graduate program matching the applicant's topics?</x:v>
      </x:c>
      <x:c r="H1365" s="17" t="str">
        <x:v>https://www.newhaven.edu</x:v>
      </x:c>
      <x:c r="I1365" s="17" t="str">
        <x:v>not_sampled</x:v>
      </x:c>
      <x:c r="J1365" s="17" t="str">
        <x:v>not_sampled</x:v>
      </x:c>
    </x:row>
    <x:row r="1366" ht="46" customHeight="1">
      <x:c r="A1366" s="17" t="str">
        <x:v>us</x:v>
      </x:c>
      <x:c r="B1366" s="17" t="str">
        <x:v>University of New Mexico-Main Campus</x:v>
      </x:c>
      <x:c r="C1366" s="17" t="str">
        <x:v>IPEDS discovery signal: Computer and Information Sciences, General (CIP 11.0101)</x:v>
      </x:c>
      <x:c r="D1366" s="17" t="str">
        <x:v>Unclear</x:v>
      </x:c>
      <x:c r="E1366" s="17" t="str">
        <x:v>stage2_screened_out</x:v>
      </x:c>
      <x:c r="F1366" s="17" t="str">
        <x:v>Only one bounded registry/program-code signal was present; no independent topical, Calendar, current-faculty, or first-audit signal was recovered.</x:v>
      </x:c>
      <x:c r="G1366" s="17" t="str">
        <x:v>Does the current official catalog contain a research graduate program matching the applicant's topics?</x:v>
      </x:c>
      <x:c r="H1366" s="17" t="str">
        <x:v>https://www.unm.edu</x:v>
      </x:c>
      <x:c r="I1366" s="17" t="str">
        <x:v>not_sampled</x:v>
      </x:c>
      <x:c r="J1366" s="17" t="str">
        <x:v>not_sampled</x:v>
      </x:c>
    </x:row>
    <x:row r="1367" ht="46" customHeight="1">
      <x:c r="A1367" s="17" t="str">
        <x:v>us</x:v>
      </x:c>
      <x:c r="B1367" s="17" t="str">
        <x:v>University of New Mexico-Main Campus</x:v>
      </x:c>
      <x:c r="C1367" s="17" t="str">
        <x:v>IPEDS discovery signal: Computer and Information Systems Security/Auditing/Information Assurance (CIP 11.1003)</x:v>
      </x:c>
      <x:c r="D1367" s="17" t="str">
        <x:v>Unclear</x:v>
      </x:c>
      <x:c r="E1367" s="17" t="str">
        <x:v>stage2_screened_out</x:v>
      </x:c>
      <x:c r="F1367" s="17" t="str">
        <x:v>Only one bounded registry/program-code signal was present; no independent topical, Calendar, current-faculty, or first-audit signal was recovered.</x:v>
      </x:c>
      <x:c r="G1367" s="17" t="str">
        <x:v>Does the current official catalog contain a research graduate program matching the applicant's topics?</x:v>
      </x:c>
      <x:c r="H1367" s="17" t="str">
        <x:v>https://www.unm.edu</x:v>
      </x:c>
      <x:c r="I1367" s="17" t="str">
        <x:v>not_sampled</x:v>
      </x:c>
      <x:c r="J1367" s="17" t="str">
        <x:v>not_sampled</x:v>
      </x:c>
    </x:row>
    <x:row r="1368" ht="46" customHeight="1">
      <x:c r="A1368" s="17" t="str">
        <x:v>us</x:v>
      </x:c>
      <x:c r="B1368" s="17" t="str">
        <x:v>University of New Mexico-Main Campus</x:v>
      </x:c>
      <x:c r="C1368" s="17" t="str">
        <x:v>IPEDS discovery signal: Computer Engineering, General (CIP 14.0901)</x:v>
      </x:c>
      <x:c r="D1368" s="17" t="str">
        <x:v>Unclear</x:v>
      </x:c>
      <x:c r="E1368" s="17" t="str">
        <x:v>stage2_screened_out</x:v>
      </x:c>
      <x:c r="F1368" s="17" t="str">
        <x:v>Only one bounded registry/program-code signal was present; no independent topical, Calendar, current-faculty, or first-audit signal was recovered.</x:v>
      </x:c>
      <x:c r="G1368" s="17" t="str">
        <x:v>Does the current official catalog contain a research graduate program matching the applicant's topics?</x:v>
      </x:c>
      <x:c r="H1368" s="17" t="str">
        <x:v>https://www.unm.edu</x:v>
      </x:c>
      <x:c r="I1368" s="17" t="str">
        <x:v>not_sampled</x:v>
      </x:c>
      <x:c r="J1368" s="17" t="str">
        <x:v>not_sampled</x:v>
      </x:c>
    </x:row>
    <x:row r="1369" ht="46" customHeight="1">
      <x:c r="A1369" s="17" t="str">
        <x:v>us</x:v>
      </x:c>
      <x:c r="B1369" s="17" t="str">
        <x:v>University of New Mexico-Main Campus</x:v>
      </x:c>
      <x:c r="C1369" s="17" t="str">
        <x:v>IPEDS discovery signal: Electrical and Electronics Engineering (CIP 14.1001)</x:v>
      </x:c>
      <x:c r="D1369" s="17" t="str">
        <x:v>Unclear</x:v>
      </x:c>
      <x:c r="E1369" s="17" t="str">
        <x:v>stage2_screened_out</x:v>
      </x:c>
      <x:c r="F1369" s="17" t="str">
        <x:v>Only one bounded registry/program-code signal was present; no independent topical, Calendar, current-faculty, or first-audit signal was recovered.</x:v>
      </x:c>
      <x:c r="G1369" s="17" t="str">
        <x:v>Does the current official catalog contain a research graduate program matching the applicant's topics?</x:v>
      </x:c>
      <x:c r="H1369" s="17" t="str">
        <x:v>https://www.unm.edu</x:v>
      </x:c>
      <x:c r="I1369" s="17" t="str">
        <x:v>not_sampled</x:v>
      </x:c>
      <x:c r="J1369" s="17" t="str">
        <x:v>not_sampled</x:v>
      </x:c>
    </x:row>
    <x:row r="1370" ht="46" customHeight="1">
      <x:c r="A1370" s="17" t="str">
        <x:v>us</x:v>
      </x:c>
      <x:c r="B1370" s="17" t="str">
        <x:v>University of New Orleans</x:v>
      </x:c>
      <x:c r="C1370" s="17" t="str">
        <x:v>IPEDS discovery signal: Computer and Information Systems Security/Auditing/Information Assurance (CIP 11.1003)</x:v>
      </x:c>
      <x:c r="D1370" s="17" t="str">
        <x:v>Unclear</x:v>
      </x:c>
      <x:c r="E1370" s="17" t="str">
        <x:v>stage2_screened_out</x:v>
      </x:c>
      <x:c r="F1370" s="17" t="str">
        <x:v>Only one bounded registry/program-code signal was present; no independent topical, Calendar, current-faculty, or first-audit signal was recovered.</x:v>
      </x:c>
      <x:c r="G1370" s="17" t="str">
        <x:v>Does the current official catalog contain a research graduate program matching the applicant's topics?</x:v>
      </x:c>
      <x:c r="H1370" s="17" t="str">
        <x:v>https://new.uno.edu</x:v>
      </x:c>
      <x:c r="I1370" s="17" t="str">
        <x:v>not_sampled</x:v>
      </x:c>
      <x:c r="J1370" s="17" t="str">
        <x:v>not_sampled</x:v>
      </x:c>
    </x:row>
    <x:row r="1371" ht="46" customHeight="1">
      <x:c r="A1371" s="17" t="str">
        <x:v>us</x:v>
      </x:c>
      <x:c r="B1371" s="17" t="str">
        <x:v>University of New Orleans</x:v>
      </x:c>
      <x:c r="C1371" s="17" t="str">
        <x:v>IPEDS discovery signal: Computer Science (CIP 11.0701)</x:v>
      </x:c>
      <x:c r="D1371" s="17" t="str">
        <x:v>Unclear</x:v>
      </x:c>
      <x:c r="E1371" s="17" t="str">
        <x:v>stage2_screened_out</x:v>
      </x:c>
      <x:c r="F1371" s="17" t="str">
        <x:v>Only one bounded registry/program-code signal was present; no independent topical, Calendar, current-faculty, or first-audit signal was recovered.</x:v>
      </x:c>
      <x:c r="G1371" s="17" t="str">
        <x:v>Does the current official catalog contain a research graduate program matching the applicant's topics?</x:v>
      </x:c>
      <x:c r="H1371" s="17" t="str">
        <x:v>https://new.uno.edu</x:v>
      </x:c>
      <x:c r="I1371" s="17" t="str">
        <x:v>not_sampled</x:v>
      </x:c>
      <x:c r="J1371" s="17" t="str">
        <x:v>not_sampled</x:v>
      </x:c>
    </x:row>
    <x:row r="1372" ht="46" customHeight="1">
      <x:c r="A1372" s="17" t="str">
        <x:v>us</x:v>
      </x:c>
      <x:c r="B1372" s="17" t="str">
        <x:v>University of North Carolina at Chapel Hill</x:v>
      </x:c>
      <x:c r="C1372" s="17" t="str">
        <x:v>IPEDS discovery signal: Information Science/Studies (CIP 11.0401)</x:v>
      </x:c>
      <x:c r="D1372" s="17" t="str">
        <x:v>Unclear</x:v>
      </x:c>
      <x:c r="E1372" s="17" t="str">
        <x:v>stage2_screened_out</x:v>
      </x:c>
      <x:c r="F1372" s="17" t="str">
        <x:v>Duplicate mechanical discovery signal consolidated into one institution-level catalog review candidate.</x:v>
      </x:c>
      <x:c r="G1372" s="17" t="str">
        <x:v>Does the current official catalog contain a research graduate program matching the applicant's topics?</x:v>
      </x:c>
      <x:c r="H1372" s="17" t="str">
        <x:v>https://www.unc.edu</x:v>
      </x:c>
      <x:c r="I1372" s="17" t="str">
        <x:v>not_sampled</x:v>
      </x:c>
      <x:c r="J1372" s="17" t="str">
        <x:v>not_sampled</x:v>
      </x:c>
    </x:row>
    <x:row r="1373" ht="46" customHeight="1">
      <x:c r="A1373" s="17" t="str">
        <x:v>us</x:v>
      </x:c>
      <x:c r="B1373" s="17" t="str">
        <x:v>University of North Carolina at Charlotte</x:v>
      </x:c>
      <x:c r="C1373" s="17" t="str">
        <x:v>IPEDS discovery signal: Computer and Information Systems Security/Auditing/Information Assurance (CIP 11.1003)</x:v>
      </x:c>
      <x:c r="D1373" s="17" t="str">
        <x:v>Unclear</x:v>
      </x:c>
      <x:c r="E1373" s="17" t="str">
        <x:v>stage2_screened_out</x:v>
      </x:c>
      <x:c r="F1373" s="17" t="str">
        <x:v>Duplicate mechanical discovery signal consolidated into one institution-level catalog review candidate.</x:v>
      </x:c>
      <x:c r="G1373" s="17" t="str">
        <x:v>Does the current official catalog contain a research graduate program matching the applicant's topics?</x:v>
      </x:c>
      <x:c r="H1373" s="17" t="str">
        <x:v>https://www.charlotte.edu</x:v>
      </x:c>
      <x:c r="I1373" s="17" t="str">
        <x:v>not_sampled</x:v>
      </x:c>
      <x:c r="J1373" s="17" t="str">
        <x:v>not_sampled</x:v>
      </x:c>
    </x:row>
    <x:row r="1374" ht="46" customHeight="1">
      <x:c r="A1374" s="17" t="str">
        <x:v>us</x:v>
      </x:c>
      <x:c r="B1374" s="17" t="str">
        <x:v>University of North Carolina at Charlotte</x:v>
      </x:c>
      <x:c r="C1374" s="17" t="str">
        <x:v>IPEDS discovery signal: Computer Engineering, General (CIP 14.0901)</x:v>
      </x:c>
      <x:c r="D1374" s="17" t="str">
        <x:v>Unclear</x:v>
      </x:c>
      <x:c r="E1374" s="17" t="str">
        <x:v>stage2_screened_out</x:v>
      </x:c>
      <x:c r="F1374" s="17" t="str">
        <x:v>Duplicate mechanical discovery signal consolidated into one institution-level catalog review candidate.</x:v>
      </x:c>
      <x:c r="G1374" s="17" t="str">
        <x:v>Does the current official catalog contain a research graduate program matching the applicant's topics?</x:v>
      </x:c>
      <x:c r="H1374" s="17" t="str">
        <x:v>https://www.charlotte.edu</x:v>
      </x:c>
      <x:c r="I1374" s="17" t="str">
        <x:v>not_sampled</x:v>
      </x:c>
      <x:c r="J1374" s="17" t="str">
        <x:v>not_sampled</x:v>
      </x:c>
    </x:row>
    <x:row r="1375" ht="46" customHeight="1">
      <x:c r="A1375" s="17" t="str">
        <x:v>us</x:v>
      </x:c>
      <x:c r="B1375" s="17" t="str">
        <x:v>University of North Carolina at Charlotte</x:v>
      </x:c>
      <x:c r="C1375" s="17" t="str">
        <x:v>IPEDS discovery signal: Computer Science (CIP 11.0701)</x:v>
      </x:c>
      <x:c r="D1375" s="17" t="str">
        <x:v>Unclear</x:v>
      </x:c>
      <x:c r="E1375" s="17" t="str">
        <x:v>stage2_screened_out</x:v>
      </x:c>
      <x:c r="F1375" s="17" t="str">
        <x:v>Duplicate mechanical discovery signal consolidated into one institution-level catalog review candidate.</x:v>
      </x:c>
      <x:c r="G1375" s="17" t="str">
        <x:v>Does the current official catalog contain a research graduate program matching the applicant's topics?</x:v>
      </x:c>
      <x:c r="H1375" s="17" t="str">
        <x:v>https://www.charlotte.edu</x:v>
      </x:c>
      <x:c r="I1375" s="17" t="str">
        <x:v>not_sampled</x:v>
      </x:c>
      <x:c r="J1375" s="17" t="str">
        <x:v>not_sampled</x:v>
      </x:c>
    </x:row>
    <x:row r="1376" ht="46" customHeight="1">
      <x:c r="A1376" s="17" t="str">
        <x:v>us</x:v>
      </x:c>
      <x:c r="B1376" s="17" t="str">
        <x:v>University of North Carolina at Charlotte</x:v>
      </x:c>
      <x:c r="C1376" s="17" t="str">
        <x:v>IPEDS discovery signal: Electrical and Electronics Engineering (CIP 14.1001)</x:v>
      </x:c>
      <x:c r="D1376" s="17" t="str">
        <x:v>Unclear</x:v>
      </x:c>
      <x:c r="E1376" s="17" t="str">
        <x:v>stage2_screened_out</x:v>
      </x:c>
      <x:c r="F1376" s="17" t="str">
        <x:v>Duplicate mechanical discovery signal consolidated into one institution-level catalog review candidate.</x:v>
      </x:c>
      <x:c r="G1376" s="17" t="str">
        <x:v>Does the current official catalog contain a research graduate program matching the applicant's topics?</x:v>
      </x:c>
      <x:c r="H1376" s="17" t="str">
        <x:v>https://www.charlotte.edu</x:v>
      </x:c>
      <x:c r="I1376" s="17" t="str">
        <x:v>not_sampled</x:v>
      </x:c>
      <x:c r="J1376" s="17" t="str">
        <x:v>not_sampled</x:v>
      </x:c>
    </x:row>
    <x:row r="1377" ht="46" customHeight="1">
      <x:c r="A1377" s="17" t="str">
        <x:v>us</x:v>
      </x:c>
      <x:c r="B1377" s="17" t="str">
        <x:v>University of North Carolina at Charlotte</x:v>
      </x:c>
      <x:c r="C1377" s="17" t="str">
        <x:v>IPEDS discovery signal: Information Technology (CIP 11.0103)</x:v>
      </x:c>
      <x:c r="D1377" s="17" t="str">
        <x:v>Unclear</x:v>
      </x:c>
      <x:c r="E1377" s="17" t="str">
        <x:v>stage2_screened_out</x:v>
      </x:c>
      <x:c r="F1377" s="17" t="str">
        <x:v>Duplicate mechanical discovery signal consolidated into one institution-level catalog review candidate.</x:v>
      </x:c>
      <x:c r="G1377" s="17" t="str">
        <x:v>Does the current official catalog contain a research graduate program matching the applicant's topics?</x:v>
      </x:c>
      <x:c r="H1377" s="17" t="str">
        <x:v>https://www.charlotte.edu</x:v>
      </x:c>
      <x:c r="I1377" s="17" t="str">
        <x:v>not_sampled</x:v>
      </x:c>
      <x:c r="J1377" s="17" t="str">
        <x:v>not_sampled</x:v>
      </x:c>
    </x:row>
    <x:row r="1378" ht="46" customHeight="1">
      <x:c r="A1378" s="17" t="str">
        <x:v>us</x:v>
      </x:c>
      <x:c r="B1378" s="17" t="str">
        <x:v>University of North Carolina at Greensboro</x:v>
      </x:c>
      <x:c r="C1378" s="17" t="str">
        <x:v>IPEDS discovery signal: Computer Systems Networking and Telecommunications (CIP 11.0901)</x:v>
      </x:c>
      <x:c r="D1378" s="17" t="str">
        <x:v>Unclear</x:v>
      </x:c>
      <x:c r="E1378" s="17" t="str">
        <x:v>stage2_screened_out</x:v>
      </x:c>
      <x:c r="F1378" s="17" t="str">
        <x:v>Duplicate mechanical discovery signal consolidated into one institution-level catalog review candidate.</x:v>
      </x:c>
      <x:c r="G1378" s="17" t="str">
        <x:v>Does the current official catalog contain a research graduate program matching the applicant's topics?</x:v>
      </x:c>
      <x:c r="H1378" s="17" t="str">
        <x:v>https://www.uncg.edu</x:v>
      </x:c>
      <x:c r="I1378" s="17" t="str">
        <x:v>not_sampled</x:v>
      </x:c>
      <x:c r="J1378" s="17" t="str">
        <x:v>not_sampled</x:v>
      </x:c>
    </x:row>
    <x:row r="1379" ht="46" customHeight="1">
      <x:c r="A1379" s="17" t="str">
        <x:v>us</x:v>
      </x:c>
      <x:c r="B1379" s="17" t="str">
        <x:v>University of North Carolina at Greensboro</x:v>
      </x:c>
      <x:c r="C1379" s="17" t="str">
        <x:v>IPEDS discovery signal: Informatics (CIP 11.0104)</x:v>
      </x:c>
      <x:c r="D1379" s="17" t="str">
        <x:v>Unclear</x:v>
      </x:c>
      <x:c r="E1379" s="17" t="str">
        <x:v>stage2_screened_out</x:v>
      </x:c>
      <x:c r="F1379" s="17" t="str">
        <x:v>Duplicate mechanical discovery signal consolidated into one institution-level catalog review candidate.</x:v>
      </x:c>
      <x:c r="G1379" s="17" t="str">
        <x:v>Does the current official catalog contain a research graduate program matching the applicant's topics?</x:v>
      </x:c>
      <x:c r="H1379" s="17" t="str">
        <x:v>https://www.uncg.edu</x:v>
      </x:c>
      <x:c r="I1379" s="17" t="str">
        <x:v>not_sampled</x:v>
      </x:c>
      <x:c r="J1379" s="17" t="str">
        <x:v>not_sampled</x:v>
      </x:c>
    </x:row>
    <x:row r="1380" ht="46" customHeight="1">
      <x:c r="A1380" s="17" t="str">
        <x:v>us</x:v>
      </x:c>
      <x:c r="B1380" s="17" t="str">
        <x:v>University of North Carolina at Greensboro</x:v>
      </x:c>
      <x:c r="C1380" s="17" t="str">
        <x:v>IPEDS discovery signal: Information Technology (CIP 11.0103)</x:v>
      </x:c>
      <x:c r="D1380" s="17" t="str">
        <x:v>Unclear</x:v>
      </x:c>
      <x:c r="E1380" s="17" t="str">
        <x:v>stage2_screened_out</x:v>
      </x:c>
      <x:c r="F1380" s="17" t="str">
        <x:v>Duplicate mechanical discovery signal consolidated into one institution-level catalog review candidate.</x:v>
      </x:c>
      <x:c r="G1380" s="17" t="str">
        <x:v>Does the current official catalog contain a research graduate program matching the applicant's topics?</x:v>
      </x:c>
      <x:c r="H1380" s="17" t="str">
        <x:v>https://www.uncg.edu</x:v>
      </x:c>
      <x:c r="I1380" s="17" t="str">
        <x:v>not_sampled</x:v>
      </x:c>
      <x:c r="J1380" s="17" t="str">
        <x:v>not_sampled</x:v>
      </x:c>
    </x:row>
    <x:row r="1381" ht="46" customHeight="1">
      <x:c r="A1381" s="17" t="str">
        <x:v>us</x:v>
      </x:c>
      <x:c r="B1381" s="17" t="str">
        <x:v>University of North Dakota</x:v>
      </x:c>
      <x:c r="C1381" s="17" t="str">
        <x:v>IPEDS discovery signal: Computer and Information Systems Security/Auditing/Information Assurance (CIP 11.1003)</x:v>
      </x:c>
      <x:c r="D1381" s="17" t="str">
        <x:v>Unclear</x:v>
      </x:c>
      <x:c r="E1381" s="17" t="str">
        <x:v>stage2_screened_out</x:v>
      </x:c>
      <x:c r="F1381" s="17" t="str">
        <x:v>Only one bounded registry/program-code signal was present; no independent topical, Calendar, current-faculty, or first-audit signal was recovered.</x:v>
      </x:c>
      <x:c r="G1381" s="17" t="str">
        <x:v>Does the current official catalog contain a research graduate program matching the applicant's topics?</x:v>
      </x:c>
      <x:c r="H1381" s="17" t="str">
        <x:v>https://und.edu</x:v>
      </x:c>
      <x:c r="I1381" s="17" t="str">
        <x:v>not_sampled</x:v>
      </x:c>
      <x:c r="J1381" s="17" t="str">
        <x:v>not_sampled</x:v>
      </x:c>
    </x:row>
    <x:row r="1382" ht="46" customHeight="1">
      <x:c r="A1382" s="17" t="str">
        <x:v>us</x:v>
      </x:c>
      <x:c r="B1382" s="17" t="str">
        <x:v>University of North Dakota</x:v>
      </x:c>
      <x:c r="C1382" s="17" t="str">
        <x:v>IPEDS discovery signal: Computer Science (CIP 11.0701)</x:v>
      </x:c>
      <x:c r="D1382" s="17" t="str">
        <x:v>Unclear</x:v>
      </x:c>
      <x:c r="E1382" s="17" t="str">
        <x:v>stage2_screened_out</x:v>
      </x:c>
      <x:c r="F1382" s="17" t="str">
        <x:v>Only one bounded registry/program-code signal was present; no independent topical, Calendar, current-faculty, or first-audit signal was recovered.</x:v>
      </x:c>
      <x:c r="G1382" s="17" t="str">
        <x:v>Does the current official catalog contain a research graduate program matching the applicant's topics?</x:v>
      </x:c>
      <x:c r="H1382" s="17" t="str">
        <x:v>https://und.edu</x:v>
      </x:c>
      <x:c r="I1382" s="17" t="str">
        <x:v>not_sampled</x:v>
      </x:c>
      <x:c r="J1382" s="17" t="str">
        <x:v>not_sampled</x:v>
      </x:c>
    </x:row>
    <x:row r="1383" ht="46" customHeight="1">
      <x:c r="A1383" s="17" t="str">
        <x:v>us</x:v>
      </x:c>
      <x:c r="B1383" s="17" t="str">
        <x:v>University of North Dakota</x:v>
      </x:c>
      <x:c r="C1383" s="17" t="str">
        <x:v>IPEDS discovery signal: Data Science, General (CIP 30.7001)</x:v>
      </x:c>
      <x:c r="D1383" s="17" t="str">
        <x:v>Unclear</x:v>
      </x:c>
      <x:c r="E1383" s="17" t="str">
        <x:v>stage2_screened_out</x:v>
      </x:c>
      <x:c r="F1383" s="17" t="str">
        <x:v>Only one bounded registry/program-code signal was present; no independent topical, Calendar, current-faculty, or first-audit signal was recovered.</x:v>
      </x:c>
      <x:c r="G1383" s="17" t="str">
        <x:v>Does the current official catalog contain a research graduate program matching the applicant's topics?</x:v>
      </x:c>
      <x:c r="H1383" s="17" t="str">
        <x:v>https://und.edu</x:v>
      </x:c>
      <x:c r="I1383" s="17" t="str">
        <x:v>not_sampled</x:v>
      </x:c>
      <x:c r="J1383" s="17" t="str">
        <x:v>not_sampled</x:v>
      </x:c>
    </x:row>
    <x:row r="1384" ht="46" customHeight="1">
      <x:c r="A1384" s="17" t="str">
        <x:v>us</x:v>
      </x:c>
      <x:c r="B1384" s="17" t="str">
        <x:v>University of North Dakota</x:v>
      </x:c>
      <x:c r="C1384" s="17" t="str">
        <x:v>IPEDS discovery signal: Electrical and Electronics Engineering (CIP 14.1001)</x:v>
      </x:c>
      <x:c r="D1384" s="17" t="str">
        <x:v>Unclear</x:v>
      </x:c>
      <x:c r="E1384" s="17" t="str">
        <x:v>stage2_screened_out</x:v>
      </x:c>
      <x:c r="F1384" s="17" t="str">
        <x:v>Only one bounded registry/program-code signal was present; no independent topical, Calendar, current-faculty, or first-audit signal was recovered.</x:v>
      </x:c>
      <x:c r="G1384" s="17" t="str">
        <x:v>Does the current official catalog contain a research graduate program matching the applicant's topics?</x:v>
      </x:c>
      <x:c r="H1384" s="17" t="str">
        <x:v>https://und.edu</x:v>
      </x:c>
      <x:c r="I1384" s="17" t="str">
        <x:v>not_sampled</x:v>
      </x:c>
      <x:c r="J1384" s="17" t="str">
        <x:v>not_sampled</x:v>
      </x:c>
    </x:row>
    <x:row r="1385" ht="46" customHeight="1">
      <x:c r="A1385" s="17" t="str">
        <x:v>us</x:v>
      </x:c>
      <x:c r="B1385" s="17" t="str">
        <x:v>University of North Florida</x:v>
      </x:c>
      <x:c r="C1385" s="17" t="str">
        <x:v>IPEDS discovery signal: Electrical and Electronics Engineering (CIP 14.1001)</x:v>
      </x:c>
      <x:c r="D1385" s="17" t="str">
        <x:v>Unclear</x:v>
      </x:c>
      <x:c r="E1385" s="17" t="str">
        <x:v>stage2_screened_out</x:v>
      </x:c>
      <x:c r="F1385" s="17" t="str">
        <x:v>Duplicate mechanical discovery signal consolidated into one institution-level catalog review candidate.</x:v>
      </x:c>
      <x:c r="G1385" s="17" t="str">
        <x:v>Does the current official catalog contain a research graduate program matching the applicant's topics?</x:v>
      </x:c>
      <x:c r="H1385" s="17" t="str">
        <x:v>https://www.unf.edu</x:v>
      </x:c>
      <x:c r="I1385" s="17" t="str">
        <x:v>not_sampled</x:v>
      </x:c>
      <x:c r="J1385" s="17" t="str">
        <x:v>not_sampled</x:v>
      </x:c>
    </x:row>
    <x:row r="1386" ht="46" customHeight="1">
      <x:c r="A1386" s="17" t="str">
        <x:v>us</x:v>
      </x:c>
      <x:c r="B1386" s="17" t="str">
        <x:v>University of North Texas</x:v>
      </x:c>
      <x:c r="C1386" s="17" t="str">
        <x:v>IPEDS discovery signal: Computer and Information Sciences, General (CIP 11.0101)</x:v>
      </x:c>
      <x:c r="D1386" s="17" t="str">
        <x:v>Unclear</x:v>
      </x:c>
      <x:c r="E1386" s="17" t="str">
        <x:v>stage2_screened_out</x:v>
      </x:c>
      <x:c r="F1386" s="17" t="str">
        <x:v>Duplicate mechanical discovery signal consolidated into one institution-level catalog review candidate.</x:v>
      </x:c>
      <x:c r="G1386" s="17" t="str">
        <x:v>Does the current official catalog contain a research graduate program matching the applicant's topics?</x:v>
      </x:c>
      <x:c r="H1386" s="17" t="str">
        <x:v>https://www.unt.edu</x:v>
      </x:c>
      <x:c r="I1386" s="17" t="str">
        <x:v>not_sampled</x:v>
      </x:c>
      <x:c r="J1386" s="17" t="str">
        <x:v>not_sampled</x:v>
      </x:c>
    </x:row>
    <x:row r="1387" ht="46" customHeight="1">
      <x:c r="A1387" s="17" t="str">
        <x:v>us</x:v>
      </x:c>
      <x:c r="B1387" s="17" t="str">
        <x:v>University of North Texas</x:v>
      </x:c>
      <x:c r="C1387" s="17" t="str">
        <x:v>IPEDS discovery signal: Computer and Information Systems Security/Auditing/Information Assurance (CIP 11.1003)</x:v>
      </x:c>
      <x:c r="D1387" s="17" t="str">
        <x:v>Unclear</x:v>
      </x:c>
      <x:c r="E1387" s="17" t="str">
        <x:v>stage2_screened_out</x:v>
      </x:c>
      <x:c r="F1387" s="17" t="str">
        <x:v>Duplicate mechanical discovery signal consolidated into one institution-level catalog review candidate.</x:v>
      </x:c>
      <x:c r="G1387" s="17" t="str">
        <x:v>Does the current official catalog contain a research graduate program matching the applicant's topics?</x:v>
      </x:c>
      <x:c r="H1387" s="17" t="str">
        <x:v>https://www.unt.edu</x:v>
      </x:c>
      <x:c r="I1387" s="17" t="str">
        <x:v>not_sampled</x:v>
      </x:c>
      <x:c r="J1387" s="17" t="str">
        <x:v>not_sampled</x:v>
      </x:c>
    </x:row>
    <x:row r="1388" ht="46" customHeight="1">
      <x:c r="A1388" s="17" t="str">
        <x:v>us</x:v>
      </x:c>
      <x:c r="B1388" s="17" t="str">
        <x:v>University of North Texas</x:v>
      </x:c>
      <x:c r="C1388" s="17" t="str">
        <x:v>IPEDS discovery signal: Computer Engineering, General (CIP 14.0901)</x:v>
      </x:c>
      <x:c r="D1388" s="17" t="str">
        <x:v>Unclear</x:v>
      </x:c>
      <x:c r="E1388" s="17" t="str">
        <x:v>stage2_screened_out</x:v>
      </x:c>
      <x:c r="F1388" s="17" t="str">
        <x:v>Duplicate mechanical discovery signal consolidated into one institution-level catalog review candidate.</x:v>
      </x:c>
      <x:c r="G1388" s="17" t="str">
        <x:v>Does the current official catalog contain a research graduate program matching the applicant's topics?</x:v>
      </x:c>
      <x:c r="H1388" s="17" t="str">
        <x:v>https://www.unt.edu</x:v>
      </x:c>
      <x:c r="I1388" s="17" t="str">
        <x:v>not_sampled</x:v>
      </x:c>
      <x:c r="J1388" s="17" t="str">
        <x:v>not_sampled</x:v>
      </x:c>
    </x:row>
    <x:row r="1389" ht="46" customHeight="1">
      <x:c r="A1389" s="17" t="str">
        <x:v>us</x:v>
      </x:c>
      <x:c r="B1389" s="17" t="str">
        <x:v>University of North Texas</x:v>
      </x:c>
      <x:c r="C1389" s="17" t="str">
        <x:v>IPEDS discovery signal: Data Science, General (CIP 30.7001)</x:v>
      </x:c>
      <x:c r="D1389" s="17" t="str">
        <x:v>Unclear</x:v>
      </x:c>
      <x:c r="E1389" s="17" t="str">
        <x:v>stage2_screened_out</x:v>
      </x:c>
      <x:c r="F1389" s="17" t="str">
        <x:v>Duplicate mechanical discovery signal consolidated into one institution-level catalog review candidate.</x:v>
      </x:c>
      <x:c r="G1389" s="17" t="str">
        <x:v>Does the current official catalog contain a research graduate program matching the applicant's topics?</x:v>
      </x:c>
      <x:c r="H1389" s="17" t="str">
        <x:v>https://www.unt.edu</x:v>
      </x:c>
      <x:c r="I1389" s="17" t="str">
        <x:v>not_sampled</x:v>
      </x:c>
      <x:c r="J1389" s="17" t="str">
        <x:v>not_sampled</x:v>
      </x:c>
    </x:row>
    <x:row r="1390" ht="46" customHeight="1">
      <x:c r="A1390" s="17" t="str">
        <x:v>us</x:v>
      </x:c>
      <x:c r="B1390" s="17" t="str">
        <x:v>University of North Texas</x:v>
      </x:c>
      <x:c r="C1390" s="17" t="str">
        <x:v>IPEDS discovery signal: Electrical and Electronics Engineering (CIP 14.1001)</x:v>
      </x:c>
      <x:c r="D1390" s="17" t="str">
        <x:v>Unclear</x:v>
      </x:c>
      <x:c r="E1390" s="17" t="str">
        <x:v>stage2_screened_out</x:v>
      </x:c>
      <x:c r="F1390" s="17" t="str">
        <x:v>Duplicate mechanical discovery signal consolidated into one institution-level catalog review candidate.</x:v>
      </x:c>
      <x:c r="G1390" s="17" t="str">
        <x:v>Does the current official catalog contain a research graduate program matching the applicant's topics?</x:v>
      </x:c>
      <x:c r="H1390" s="17" t="str">
        <x:v>https://www.unt.edu</x:v>
      </x:c>
      <x:c r="I1390" s="17" t="str">
        <x:v>not_sampled</x:v>
      </x:c>
      <x:c r="J1390" s="17" t="str">
        <x:v>not_sampled</x:v>
      </x:c>
    </x:row>
    <x:row r="1391" ht="46" customHeight="1">
      <x:c r="A1391" s="17" t="str">
        <x:v>us</x:v>
      </x:c>
      <x:c r="B1391" s="17" t="str">
        <x:v>University of North Texas</x:v>
      </x:c>
      <x:c r="C1391" s="17" t="str">
        <x:v>IPEDS discovery signal: Information Science/Studies (CIP 11.0401)</x:v>
      </x:c>
      <x:c r="D1391" s="17" t="str">
        <x:v>Unclear</x:v>
      </x:c>
      <x:c r="E1391" s="17" t="str">
        <x:v>stage2_screened_out</x:v>
      </x:c>
      <x:c r="F1391" s="17" t="str">
        <x:v>Duplicate mechanical discovery signal consolidated into one institution-level catalog review candidate.</x:v>
      </x:c>
      <x:c r="G1391" s="17" t="str">
        <x:v>Does the current official catalog contain a research graduate program matching the applicant's topics?</x:v>
      </x:c>
      <x:c r="H1391" s="17" t="str">
        <x:v>https://www.unt.edu</x:v>
      </x:c>
      <x:c r="I1391" s="17" t="str">
        <x:v>not_sampled</x:v>
      </x:c>
      <x:c r="J1391" s="17" t="str">
        <x:v>not_sampled</x:v>
      </x:c>
    </x:row>
    <x:row r="1392" ht="46" customHeight="1">
      <x:c r="A1392" s="17" t="str">
        <x:v>us</x:v>
      </x:c>
      <x:c r="B1392" s="17" t="str">
        <x:v>University of North Texas</x:v>
      </x:c>
      <x:c r="C1392" s="17" t="str">
        <x:v>IPEDS discovery signal: Information Technology (CIP 11.0103)</x:v>
      </x:c>
      <x:c r="D1392" s="17" t="str">
        <x:v>Unclear</x:v>
      </x:c>
      <x:c r="E1392" s="17" t="str">
        <x:v>stage2_screened_out</x:v>
      </x:c>
      <x:c r="F1392" s="17" t="str">
        <x:v>Duplicate mechanical discovery signal consolidated into one institution-level catalog review candidate.</x:v>
      </x:c>
      <x:c r="G1392" s="17" t="str">
        <x:v>Does the current official catalog contain a research graduate program matching the applicant's topics?</x:v>
      </x:c>
      <x:c r="H1392" s="17" t="str">
        <x:v>https://www.unt.edu</x:v>
      </x:c>
      <x:c r="I1392" s="17" t="str">
        <x:v>not_sampled</x:v>
      </x:c>
      <x:c r="J1392" s="17" t="str">
        <x:v>not_sampled</x:v>
      </x:c>
    </x:row>
    <x:row r="1393" ht="46" customHeight="1">
      <x:c r="A1393" s="17" t="str">
        <x:v>us</x:v>
      </x:c>
      <x:c r="B1393" s="17" t="str">
        <x:v>University of Notre Dame</x:v>
      </x:c>
      <x:c r="C1393" s="17" t="str">
        <x:v>IPEDS discovery signal: Computer Engineering, General (CIP 14.0901)</x:v>
      </x:c>
      <x:c r="D1393" s="17" t="str">
        <x:v>Unclear</x:v>
      </x:c>
      <x:c r="E1393" s="17" t="str">
        <x:v>stage2_screened_out</x:v>
      </x:c>
      <x:c r="F1393" s="17" t="str">
        <x:v>Mechanical discovery placeholder is superseded by an exact official program record at the same institution.</x:v>
      </x:c>
      <x:c r="G1393" s="17" t="str">
        <x:v>Does the current official catalog contain a research graduate program matching the applicant's topics?</x:v>
      </x:c>
      <x:c r="H1393" s="17" t="str">
        <x:v>https://www.nd.edu</x:v>
      </x:c>
      <x:c r="I1393" s="17" t="str">
        <x:v>not_sampled</x:v>
      </x:c>
      <x:c r="J1393" s="17" t="str">
        <x:v>not_sampled</x:v>
      </x:c>
    </x:row>
    <x:row r="1394" ht="46" customHeight="1">
      <x:c r="A1394" s="17" t="str">
        <x:v>us</x:v>
      </x:c>
      <x:c r="B1394" s="17" t="str">
        <x:v>University of Notre Dame</x:v>
      </x:c>
      <x:c r="C1394" s="17" t="str">
        <x:v>IPEDS discovery signal: Electrical and Electronics Engineering (CIP 14.1001)</x:v>
      </x:c>
      <x:c r="D1394" s="17" t="str">
        <x:v>Unclear</x:v>
      </x:c>
      <x:c r="E1394" s="17" t="str">
        <x:v>stage2_screened_out</x:v>
      </x:c>
      <x:c r="F1394" s="17" t="str">
        <x:v>Mechanical discovery placeholder is superseded by an exact official program record at the same institution.</x:v>
      </x:c>
      <x:c r="G1394" s="17" t="str">
        <x:v>Does the current official catalog contain a research graduate program matching the applicant's topics?</x:v>
      </x:c>
      <x:c r="H1394" s="17" t="str">
        <x:v>https://www.nd.edu</x:v>
      </x:c>
      <x:c r="I1394" s="17" t="str">
        <x:v>not_sampled</x:v>
      </x:c>
      <x:c r="J1394" s="17" t="str">
        <x:v>not_sampled</x:v>
      </x:c>
    </x:row>
    <x:row r="1395" ht="46" customHeight="1">
      <x:c r="A1395" s="17" t="str">
        <x:v>us</x:v>
      </x:c>
      <x:c r="B1395" s="17" t="str">
        <x:v>University of Oklahoma-Norman Campus</x:v>
      </x:c>
      <x:c r="C1395" s="17" t="str">
        <x:v>IPEDS discovery signal: Computer Science (CIP 11.0701)</x:v>
      </x:c>
      <x:c r="D1395" s="17" t="str">
        <x:v>Unclear</x:v>
      </x:c>
      <x:c r="E1395" s="17" t="str">
        <x:v>stage2_screened_out</x:v>
      </x:c>
      <x:c r="F1395" s="17" t="str">
        <x:v>Only one bounded registry/program-code signal was present; no independent topical, Calendar, current-faculty, or first-audit signal was recovered.</x:v>
      </x:c>
      <x:c r="G1395" s="17" t="str">
        <x:v>Does the current official catalog contain a research graduate program matching the applicant's topics?</x:v>
      </x:c>
      <x:c r="H1395" s="17" t="str">
        <x:v>https://www.ou.edu</x:v>
      </x:c>
      <x:c r="I1395" s="17" t="str">
        <x:v>not_sampled</x:v>
      </x:c>
      <x:c r="J1395" s="17" t="str">
        <x:v>not_sampled</x:v>
      </x:c>
    </x:row>
    <x:row r="1396" ht="46" customHeight="1">
      <x:c r="A1396" s="17" t="str">
        <x:v>us</x:v>
      </x:c>
      <x:c r="B1396" s="17" t="str">
        <x:v>University of Oklahoma-Norman Campus</x:v>
      </x:c>
      <x:c r="C1396" s="17" t="str">
        <x:v>IPEDS discovery signal: Electrical and Electronics Engineering (CIP 14.1001)</x:v>
      </x:c>
      <x:c r="D1396" s="17" t="str">
        <x:v>Unclear</x:v>
      </x:c>
      <x:c r="E1396" s="17" t="str">
        <x:v>stage2_screened_out</x:v>
      </x:c>
      <x:c r="F1396" s="17" t="str">
        <x:v>Only one bounded registry/program-code signal was present; no independent topical, Calendar, current-faculty, or first-audit signal was recovered.</x:v>
      </x:c>
      <x:c r="G1396" s="17" t="str">
        <x:v>Does the current official catalog contain a research graduate program matching the applicant's topics?</x:v>
      </x:c>
      <x:c r="H1396" s="17" t="str">
        <x:v>https://www.ou.edu</x:v>
      </x:c>
      <x:c r="I1396" s="17" t="str">
        <x:v>not_sampled</x:v>
      </x:c>
      <x:c r="J1396" s="17" t="str">
        <x:v>not_sampled</x:v>
      </x:c>
    </x:row>
    <x:row r="1397" ht="46" customHeight="1">
      <x:c r="A1397" s="17" t="str">
        <x:v>us</x:v>
      </x:c>
      <x:c r="B1397" s="17" t="str">
        <x:v>University of Oregon</x:v>
      </x:c>
      <x:c r="C1397" s="17" t="str">
        <x:v>IPEDS discovery signal: Computer and Information Sciences, General (CIP 11.0101)</x:v>
      </x:c>
      <x:c r="D1397" s="17" t="str">
        <x:v>Unclear</x:v>
      </x:c>
      <x:c r="E1397" s="17" t="str">
        <x:v>stage2_screened_out</x:v>
      </x:c>
      <x:c r="F1397" s="17" t="str">
        <x:v>Only one bounded registry/program-code signal was present; no independent topical, Calendar, current-faculty, or first-audit signal was recovered.</x:v>
      </x:c>
      <x:c r="G1397" s="17" t="str">
        <x:v>Does the current official catalog contain a research graduate program matching the applicant's topics?</x:v>
      </x:c>
      <x:c r="H1397" s="17" t="str">
        <x:v>https://www.uoregon.edu</x:v>
      </x:c>
      <x:c r="I1397" s="17" t="str">
        <x:v>not_sampled</x:v>
      </x:c>
      <x:c r="J1397" s="17" t="str">
        <x:v>not_sampled</x:v>
      </x:c>
    </x:row>
    <x:row r="1398" ht="46" customHeight="1">
      <x:c r="A1398" s="17" t="str">
        <x:v>us</x:v>
      </x:c>
      <x:c r="B1398" s="17" t="str">
        <x:v>University of Pennsylvania</x:v>
      </x:c>
      <x:c r="C1398" s="17" t="str">
        <x:v>IPEDS discovery signal: Computer and Information Sciences, General (CIP 11.0101)</x:v>
      </x:c>
      <x:c r="D1398" s="17" t="str">
        <x:v>Unclear</x:v>
      </x:c>
      <x:c r="E1398" s="17" t="str">
        <x:v>stage2_screened_out</x:v>
      </x:c>
      <x:c r="F1398" s="17" t="str">
        <x:v>Duplicate mechanical discovery signal consolidated into one institution-level catalog review candidate.</x:v>
      </x:c>
      <x:c r="G1398" s="17" t="str">
        <x:v>Does the current official catalog contain a research graduate program matching the applicant's topics?</x:v>
      </x:c>
      <x:c r="H1398" s="17" t="str">
        <x:v>https://www.upenn.edu</x:v>
      </x:c>
      <x:c r="I1398" s="17" t="str">
        <x:v>not_sampled</x:v>
      </x:c>
      <x:c r="J1398" s="17" t="str">
        <x:v>not_sampled</x:v>
      </x:c>
    </x:row>
    <x:row r="1399" ht="46" customHeight="1">
      <x:c r="A1399" s="17" t="str">
        <x:v>us</x:v>
      </x:c>
      <x:c r="B1399" s="17" t="str">
        <x:v>University of Pennsylvania</x:v>
      </x:c>
      <x:c r="C1399" s="17" t="str">
        <x:v>IPEDS discovery signal: Computer Science (CIP 11.0701)</x:v>
      </x:c>
      <x:c r="D1399" s="17" t="str">
        <x:v>Unclear</x:v>
      </x:c>
      <x:c r="E1399" s="17" t="str">
        <x:v>stage2_screened_out</x:v>
      </x:c>
      <x:c r="F1399" s="17" t="str">
        <x:v>Duplicate mechanical discovery signal consolidated into one institution-level catalog review candidate.</x:v>
      </x:c>
      <x:c r="G1399" s="17" t="str">
        <x:v>Does the current official catalog contain a research graduate program matching the applicant's topics?</x:v>
      </x:c>
      <x:c r="H1399" s="17" t="str">
        <x:v>https://www.upenn.edu</x:v>
      </x:c>
      <x:c r="I1399" s="17" t="str">
        <x:v>not_sampled</x:v>
      </x:c>
      <x:c r="J1399" s="17" t="str">
        <x:v>not_sampled</x:v>
      </x:c>
    </x:row>
    <x:row r="1400" ht="46" customHeight="1">
      <x:c r="A1400" s="17" t="str">
        <x:v>us</x:v>
      </x:c>
      <x:c r="B1400" s="17" t="str">
        <x:v>University of Pennsylvania</x:v>
      </x:c>
      <x:c r="C1400" s="17" t="str">
        <x:v>IPEDS discovery signal: Electrical and Electronics Engineering (CIP 14.1001)</x:v>
      </x:c>
      <x:c r="D1400" s="17" t="str">
        <x:v>Unclear</x:v>
      </x:c>
      <x:c r="E1400" s="17" t="str">
        <x:v>stage2_screened_out</x:v>
      </x:c>
      <x:c r="F1400" s="17" t="str">
        <x:v>Duplicate mechanical discovery signal consolidated into one institution-level catalog review candidate.</x:v>
      </x:c>
      <x:c r="G1400" s="17" t="str">
        <x:v>Does the current official catalog contain a research graduate program matching the applicant's topics?</x:v>
      </x:c>
      <x:c r="H1400" s="17" t="str">
        <x:v>https://www.upenn.edu</x:v>
      </x:c>
      <x:c r="I1400" s="17" t="str">
        <x:v>not_sampled</x:v>
      </x:c>
      <x:c r="J1400" s="17" t="str">
        <x:v>not_sampled</x:v>
      </x:c>
    </x:row>
    <x:row r="1401" ht="46" customHeight="1">
      <x:c r="A1401" s="17" t="str">
        <x:v>us</x:v>
      </x:c>
      <x:c r="B1401" s="17" t="str">
        <x:v>University of Phoenix-Arizona</x:v>
      </x:c>
      <x:c r="C1401" s="17" t="str">
        <x:v>IPEDS discovery signal: Cyber/Computer Forensics and Counterterrorism (CIP 43.0403)</x:v>
      </x:c>
      <x:c r="D1401" s="17" t="str">
        <x:v>Unclear</x:v>
      </x:c>
      <x:c r="E1401" s="17" t="str">
        <x:v>stage2_screened_out</x:v>
      </x:c>
      <x:c r="F1401" s="17" t="str">
        <x:v>Only one bounded registry/program-code signal was present; no independent topical, Calendar, current-faculty, or first-audit signal was recovered.</x:v>
      </x:c>
      <x:c r="G1401" s="17" t="str">
        <x:v>Does the current official catalog contain a research graduate program matching the applicant's topics?</x:v>
      </x:c>
      <x:c r="H1401" s="17" t="str">
        <x:v>https://www.phoenix.edu</x:v>
      </x:c>
      <x:c r="I1401" s="17" t="str">
        <x:v>not_sampled</x:v>
      </x:c>
      <x:c r="J1401" s="17" t="str">
        <x:v>not_sampled</x:v>
      </x:c>
    </x:row>
    <x:row r="1402" ht="46" customHeight="1">
      <x:c r="A1402" s="17" t="str">
        <x:v>us</x:v>
      </x:c>
      <x:c r="B1402" s="17" t="str">
        <x:v>University of Phoenix-Arizona</x:v>
      </x:c>
      <x:c r="C1402" s="17" t="str">
        <x:v>IPEDS discovery signal: Data Science, General (CIP 30.7001)</x:v>
      </x:c>
      <x:c r="D1402" s="17" t="str">
        <x:v>Unclear</x:v>
      </x:c>
      <x:c r="E1402" s="17" t="str">
        <x:v>stage2_screened_out</x:v>
      </x:c>
      <x:c r="F1402" s="17" t="str">
        <x:v>Only one bounded registry/program-code signal was present; no independent topical, Calendar, current-faculty, or first-audit signal was recovered.</x:v>
      </x:c>
      <x:c r="G1402" s="17" t="str">
        <x:v>Does the current official catalog contain a research graduate program matching the applicant's topics?</x:v>
      </x:c>
      <x:c r="H1402" s="17" t="str">
        <x:v>https://www.phoenix.edu</x:v>
      </x:c>
      <x:c r="I1402" s="17" t="str">
        <x:v>not_sampled</x:v>
      </x:c>
      <x:c r="J1402" s="17" t="str">
        <x:v>not_sampled</x:v>
      </x:c>
    </x:row>
    <x:row r="1403" ht="46" customHeight="1">
      <x:c r="A1403" s="17" t="str">
        <x:v>us</x:v>
      </x:c>
      <x:c r="B1403" s="17" t="str">
        <x:v>University of Phoenix-Arizona</x:v>
      </x:c>
      <x:c r="C1403" s="17" t="str">
        <x:v>IPEDS discovery signal: Informatics (CIP 11.0104)</x:v>
      </x:c>
      <x:c r="D1403" s="17" t="str">
        <x:v>Unclear</x:v>
      </x:c>
      <x:c r="E1403" s="17" t="str">
        <x:v>stage2_screened_out</x:v>
      </x:c>
      <x:c r="F1403" s="17" t="str">
        <x:v>Only one bounded registry/program-code signal was present; no independent topical, Calendar, current-faculty, or first-audit signal was recovered.</x:v>
      </x:c>
      <x:c r="G1403" s="17" t="str">
        <x:v>Does the current official catalog contain a research graduate program matching the applicant's topics?</x:v>
      </x:c>
      <x:c r="H1403" s="17" t="str">
        <x:v>https://www.phoenix.edu</x:v>
      </x:c>
      <x:c r="I1403" s="17" t="str">
        <x:v>not_sampled</x:v>
      </x:c>
      <x:c r="J1403" s="17" t="str">
        <x:v>not_sampled</x:v>
      </x:c>
    </x:row>
    <x:row r="1404" ht="46" customHeight="1">
      <x:c r="A1404" s="17" t="str">
        <x:v>us</x:v>
      </x:c>
      <x:c r="B1404" s="17" t="str">
        <x:v>University of Pittsburgh-Pittsburgh Campus</x:v>
      </x:c>
      <x:c r="C1404" s="17" t="str">
        <x:v>IPEDS discovery signal: Artificial Intelligence (CIP 11.0102)</x:v>
      </x:c>
      <x:c r="D1404" s="17" t="str">
        <x:v>Unclear</x:v>
      </x:c>
      <x:c r="E1404" s="17" t="str">
        <x:v>stage2_screened_out</x:v>
      </x:c>
      <x:c r="F1404" s="17" t="str">
        <x:v>Only one bounded registry/program-code signal was present; no independent topical, Calendar, current-faculty, or first-audit signal was recovered.</x:v>
      </x:c>
      <x:c r="G1404" s="17" t="str">
        <x:v>Does the current official catalog contain a research graduate program matching the applicant's topics?</x:v>
      </x:c>
      <x:c r="H1404" s="17" t="str">
        <x:v>https://www.pitt.edu</x:v>
      </x:c>
      <x:c r="I1404" s="17" t="str">
        <x:v>not_sampled</x:v>
      </x:c>
      <x:c r="J1404" s="17" t="str">
        <x:v>not_sampled</x:v>
      </x:c>
    </x:row>
    <x:row r="1405" ht="46" customHeight="1">
      <x:c r="A1405" s="17" t="str">
        <x:v>us</x:v>
      </x:c>
      <x:c r="B1405" s="17" t="str">
        <x:v>University of Pittsburgh-Pittsburgh Campus</x:v>
      </x:c>
      <x:c r="C1405" s="17" t="str">
        <x:v>IPEDS discovery signal: Computer Science (CIP 11.0701)</x:v>
      </x:c>
      <x:c r="D1405" s="17" t="str">
        <x:v>Unclear</x:v>
      </x:c>
      <x:c r="E1405" s="17" t="str">
        <x:v>stage2_screened_out</x:v>
      </x:c>
      <x:c r="F1405" s="17" t="str">
        <x:v>Only one bounded registry/program-code signal was present; no independent topical, Calendar, current-faculty, or first-audit signal was recovered.</x:v>
      </x:c>
      <x:c r="G1405" s="17" t="str">
        <x:v>Does the current official catalog contain a research graduate program matching the applicant's topics?</x:v>
      </x:c>
      <x:c r="H1405" s="17" t="str">
        <x:v>https://www.pitt.edu</x:v>
      </x:c>
      <x:c r="I1405" s="17" t="str">
        <x:v>not_sampled</x:v>
      </x:c>
      <x:c r="J1405" s="17" t="str">
        <x:v>not_sampled</x:v>
      </x:c>
    </x:row>
    <x:row r="1406" ht="46" customHeight="1">
      <x:c r="A1406" s="17" t="str">
        <x:v>us</x:v>
      </x:c>
      <x:c r="B1406" s="17" t="str">
        <x:v>University of Pittsburgh-Pittsburgh Campus</x:v>
      </x:c>
      <x:c r="C1406" s="17" t="str">
        <x:v>IPEDS discovery signal: Computer Systems Networking and Telecommunications (CIP 11.0901)</x:v>
      </x:c>
      <x:c r="D1406" s="17" t="str">
        <x:v>Unclear</x:v>
      </x:c>
      <x:c r="E1406" s="17" t="str">
        <x:v>stage2_screened_out</x:v>
      </x:c>
      <x:c r="F1406" s="17" t="str">
        <x:v>Only one bounded registry/program-code signal was present; no independent topical, Calendar, current-faculty, or first-audit signal was recovered.</x:v>
      </x:c>
      <x:c r="G1406" s="17" t="str">
        <x:v>Does the current official catalog contain a research graduate program matching the applicant's topics?</x:v>
      </x:c>
      <x:c r="H1406" s="17" t="str">
        <x:v>https://www.pitt.edu</x:v>
      </x:c>
      <x:c r="I1406" s="17" t="str">
        <x:v>not_sampled</x:v>
      </x:c>
      <x:c r="J1406" s="17" t="str">
        <x:v>not_sampled</x:v>
      </x:c>
    </x:row>
    <x:row r="1407" ht="46" customHeight="1">
      <x:c r="A1407" s="17" t="str">
        <x:v>us</x:v>
      </x:c>
      <x:c r="B1407" s="17" t="str">
        <x:v>University of Pittsburgh-Pittsburgh Campus</x:v>
      </x:c>
      <x:c r="C1407" s="17" t="str">
        <x:v>IPEDS discovery signal: Electrical and Electronics Engineering (CIP 14.1001)</x:v>
      </x:c>
      <x:c r="D1407" s="17" t="str">
        <x:v>Unclear</x:v>
      </x:c>
      <x:c r="E1407" s="17" t="str">
        <x:v>stage2_screened_out</x:v>
      </x:c>
      <x:c r="F1407" s="17" t="str">
        <x:v>Only one bounded registry/program-code signal was present; no independent topical, Calendar, current-faculty, or first-audit signal was recovered.</x:v>
      </x:c>
      <x:c r="G1407" s="17" t="str">
        <x:v>Does the current official catalog contain a research graduate program matching the applicant's topics?</x:v>
      </x:c>
      <x:c r="H1407" s="17" t="str">
        <x:v>https://www.pitt.edu</x:v>
      </x:c>
      <x:c r="I1407" s="17" t="str">
        <x:v>not_sampled</x:v>
      </x:c>
      <x:c r="J1407" s="17" t="str">
        <x:v>not_sampled</x:v>
      </x:c>
    </x:row>
    <x:row r="1408" ht="46" customHeight="1">
      <x:c r="A1408" s="17" t="str">
        <x:v>us</x:v>
      </x:c>
      <x:c r="B1408" s="17" t="str">
        <x:v>University of Pittsburgh-Pittsburgh Campus</x:v>
      </x:c>
      <x:c r="C1408" s="17" t="str">
        <x:v>IPEDS discovery signal: Informatics (CIP 11.0104)</x:v>
      </x:c>
      <x:c r="D1408" s="17" t="str">
        <x:v>Unclear</x:v>
      </x:c>
      <x:c r="E1408" s="17" t="str">
        <x:v>stage2_screened_out</x:v>
      </x:c>
      <x:c r="F1408" s="17" t="str">
        <x:v>Only one bounded registry/program-code signal was present; no independent topical, Calendar, current-faculty, or first-audit signal was recovered.</x:v>
      </x:c>
      <x:c r="G1408" s="17" t="str">
        <x:v>Does the current official catalog contain a research graduate program matching the applicant's topics?</x:v>
      </x:c>
      <x:c r="H1408" s="17" t="str">
        <x:v>https://www.pitt.edu</x:v>
      </x:c>
      <x:c r="I1408" s="17" t="str">
        <x:v>not_sampled</x:v>
      </x:c>
      <x:c r="J1408" s="17" t="str">
        <x:v>not_sampled</x:v>
      </x:c>
    </x:row>
    <x:row r="1409" ht="46" customHeight="1">
      <x:c r="A1409" s="17" t="str">
        <x:v>us</x:v>
      </x:c>
      <x:c r="B1409" s="17" t="str">
        <x:v>University of Pittsburgh-Pittsburgh Campus</x:v>
      </x:c>
      <x:c r="C1409" s="17" t="str">
        <x:v>IPEDS discovery signal: Information Science/Studies (CIP 11.0401)</x:v>
      </x:c>
      <x:c r="D1409" s="17" t="str">
        <x:v>Unclear</x:v>
      </x:c>
      <x:c r="E1409" s="17" t="str">
        <x:v>stage2_screened_out</x:v>
      </x:c>
      <x:c r="F1409" s="17" t="str">
        <x:v>Only one bounded registry/program-code signal was present; no independent topical, Calendar, current-faculty, or first-audit signal was recovered.</x:v>
      </x:c>
      <x:c r="G1409" s="17" t="str">
        <x:v>Does the current official catalog contain a research graduate program matching the applicant's topics?</x:v>
      </x:c>
      <x:c r="H1409" s="17" t="str">
        <x:v>https://www.pitt.edu</x:v>
      </x:c>
      <x:c r="I1409" s="17" t="str">
        <x:v>not_sampled</x:v>
      </x:c>
      <x:c r="J1409" s="17" t="str">
        <x:v>not_sampled</x:v>
      </x:c>
    </x:row>
    <x:row r="1410" ht="46" customHeight="1">
      <x:c r="A1410" s="17" t="str">
        <x:v>us</x:v>
      </x:c>
      <x:c r="B1410" s="17" t="str">
        <x:v>University of Puerto Rico-Mayaguez</x:v>
      </x:c>
      <x:c r="C1410" s="17" t="str">
        <x:v>IPEDS discovery signal: Computer and Information Sciences, General (CIP 11.0101)</x:v>
      </x:c>
      <x:c r="D1410" s="17" t="str">
        <x:v>Unclear</x:v>
      </x:c>
      <x:c r="E1410" s="17" t="str">
        <x:v>stage2_screened_out</x:v>
      </x:c>
      <x:c r="F1410" s="17" t="str">
        <x:v>Only one bounded registry/program-code signal was present; no independent topical, Calendar, current-faculty, or first-audit signal was recovered.</x:v>
      </x:c>
      <x:c r="G1410" s="17" t="str">
        <x:v>Does the current official catalog contain a research graduate program matching the applicant's topics?</x:v>
      </x:c>
      <x:c r="H1410" s="17" t="str">
        <x:v>https://www.uprm.edu</x:v>
      </x:c>
      <x:c r="I1410" s="17" t="str">
        <x:v>not_sampled</x:v>
      </x:c>
      <x:c r="J1410" s="17" t="str">
        <x:v>not_sampled</x:v>
      </x:c>
    </x:row>
    <x:row r="1411" ht="46" customHeight="1">
      <x:c r="A1411" s="17" t="str">
        <x:v>us</x:v>
      </x:c>
      <x:c r="B1411" s="17" t="str">
        <x:v>University of Puerto Rico-Mayaguez</x:v>
      </x:c>
      <x:c r="C1411" s="17" t="str">
        <x:v>IPEDS discovery signal: Computer Engineering, General (CIP 14.0901)</x:v>
      </x:c>
      <x:c r="D1411" s="17" t="str">
        <x:v>Unclear</x:v>
      </x:c>
      <x:c r="E1411" s="17" t="str">
        <x:v>stage2_screened_out</x:v>
      </x:c>
      <x:c r="F1411" s="17" t="str">
        <x:v>Only one bounded registry/program-code signal was present; no independent topical, Calendar, current-faculty, or first-audit signal was recovered.</x:v>
      </x:c>
      <x:c r="G1411" s="17" t="str">
        <x:v>Does the current official catalog contain a research graduate program matching the applicant's topics?</x:v>
      </x:c>
      <x:c r="H1411" s="17" t="str">
        <x:v>https://www.uprm.edu</x:v>
      </x:c>
      <x:c r="I1411" s="17" t="str">
        <x:v>not_sampled</x:v>
      </x:c>
      <x:c r="J1411" s="17" t="str">
        <x:v>not_sampled</x:v>
      </x:c>
    </x:row>
    <x:row r="1412" ht="46" customHeight="1">
      <x:c r="A1412" s="17" t="str">
        <x:v>us</x:v>
      </x:c>
      <x:c r="B1412" s="17" t="str">
        <x:v>University of Puerto Rico-Mayaguez</x:v>
      </x:c>
      <x:c r="C1412" s="17" t="str">
        <x:v>IPEDS discovery signal: Computer Science (CIP 11.0701)</x:v>
      </x:c>
      <x:c r="D1412" s="17" t="str">
        <x:v>Unclear</x:v>
      </x:c>
      <x:c r="E1412" s="17" t="str">
        <x:v>stage2_screened_out</x:v>
      </x:c>
      <x:c r="F1412" s="17" t="str">
        <x:v>Only one bounded registry/program-code signal was present; no independent topical, Calendar, current-faculty, or first-audit signal was recovered.</x:v>
      </x:c>
      <x:c r="G1412" s="17" t="str">
        <x:v>Does the current official catalog contain a research graduate program matching the applicant's topics?</x:v>
      </x:c>
      <x:c r="H1412" s="17" t="str">
        <x:v>https://www.uprm.edu</x:v>
      </x:c>
      <x:c r="I1412" s="17" t="str">
        <x:v>not_sampled</x:v>
      </x:c>
      <x:c r="J1412" s="17" t="str">
        <x:v>not_sampled</x:v>
      </x:c>
    </x:row>
    <x:row r="1413" ht="46" customHeight="1">
      <x:c r="A1413" s="17" t="str">
        <x:v>us</x:v>
      </x:c>
      <x:c r="B1413" s="17" t="str">
        <x:v>University of Puerto Rico-Mayaguez</x:v>
      </x:c>
      <x:c r="C1413" s="17" t="str">
        <x:v>IPEDS discovery signal: Electrical and Electronics Engineering (CIP 14.1001)</x:v>
      </x:c>
      <x:c r="D1413" s="17" t="str">
        <x:v>Unclear</x:v>
      </x:c>
      <x:c r="E1413" s="17" t="str">
        <x:v>stage2_screened_out</x:v>
      </x:c>
      <x:c r="F1413" s="17" t="str">
        <x:v>Only one bounded registry/program-code signal was present; no independent topical, Calendar, current-faculty, or first-audit signal was recovered.</x:v>
      </x:c>
      <x:c r="G1413" s="17" t="str">
        <x:v>Does the current official catalog contain a research graduate program matching the applicant's topics?</x:v>
      </x:c>
      <x:c r="H1413" s="17" t="str">
        <x:v>https://www.uprm.edu</x:v>
      </x:c>
      <x:c r="I1413" s="17" t="str">
        <x:v>not_sampled</x:v>
      </x:c>
      <x:c r="J1413" s="17" t="str">
        <x:v>not_sampled</x:v>
      </x:c>
    </x:row>
    <x:row r="1414" ht="46" customHeight="1">
      <x:c r="A1414" s="17" t="str">
        <x:v>us</x:v>
      </x:c>
      <x:c r="B1414" s="17" t="str">
        <x:v>University of Puerto Rico-Rio Piedras</x:v>
      </x:c>
      <x:c r="C1414" s="17" t="str">
        <x:v>IPEDS discovery signal: Information Science/Studies (CIP 11.0401)</x:v>
      </x:c>
      <x:c r="D1414" s="17" t="str">
        <x:v>Unclear</x:v>
      </x:c>
      <x:c r="E1414" s="17" t="str">
        <x:v>stage2_screened_out</x:v>
      </x:c>
      <x:c r="F1414" s="17" t="str">
        <x:v>Only one bounded registry/program-code signal was present; no independent topical, Calendar, current-faculty, or first-audit signal was recovered.</x:v>
      </x:c>
      <x:c r="G1414" s="17" t="str">
        <x:v>Does the current official catalog contain a research graduate program matching the applicant's topics?</x:v>
      </x:c>
      <x:c r="H1414" s="17" t="str">
        <x:v>https://www.uprrp.edu</x:v>
      </x:c>
      <x:c r="I1414" s="17" t="str">
        <x:v>not_sampled</x:v>
      </x:c>
      <x:c r="J1414" s="17" t="str">
        <x:v>not_sampled</x:v>
      </x:c>
    </x:row>
    <x:row r="1415" ht="46" customHeight="1">
      <x:c r="A1415" s="17" t="str">
        <x:v>us</x:v>
      </x:c>
      <x:c r="B1415" s="17" t="str">
        <x:v>University of Redlands</x:v>
      </x:c>
      <x:c r="C1415" s="17" t="str">
        <x:v>IPEDS discovery signal: Information Science/Studies (CIP 11.0401)</x:v>
      </x:c>
      <x:c r="D1415" s="17" t="str">
        <x:v>Unclear</x:v>
      </x:c>
      <x:c r="E1415" s="17" t="str">
        <x:v>stage2_screened_out</x:v>
      </x:c>
      <x:c r="F1415" s="17" t="str">
        <x:v>Only one bounded registry/program-code signal was present; no independent topical, Calendar, current-faculty, or first-audit signal was recovered.</x:v>
      </x:c>
      <x:c r="G1415" s="17" t="str">
        <x:v>Does the current official catalog contain a research graduate program matching the applicant's topics?</x:v>
      </x:c>
      <x:c r="H1415" s="17" t="str">
        <x:v>https://www.redlands.edu</x:v>
      </x:c>
      <x:c r="I1415" s="17" t="str">
        <x:v>not_sampled</x:v>
      </x:c>
      <x:c r="J1415" s="17" t="str">
        <x:v>not_sampled</x:v>
      </x:c>
    </x:row>
    <x:row r="1416" ht="46" customHeight="1">
      <x:c r="A1416" s="17" t="str">
        <x:v>us</x:v>
      </x:c>
      <x:c r="B1416" s="17" t="str">
        <x:v>University of Rhode Island</x:v>
      </x:c>
      <x:c r="C1416" s="17" t="str">
        <x:v>IPEDS discovery signal: Computer and Information Sciences, General (CIP 11.0101)</x:v>
      </x:c>
      <x:c r="D1416" s="17" t="str">
        <x:v>Unclear</x:v>
      </x:c>
      <x:c r="E1416" s="17" t="str">
        <x:v>stage2_screened_out</x:v>
      </x:c>
      <x:c r="F1416" s="17" t="str">
        <x:v>Only one bounded registry/program-code signal was present; no independent topical, Calendar, current-faculty, or first-audit signal was recovered.</x:v>
      </x:c>
      <x:c r="G1416" s="17" t="str">
        <x:v>Does the current official catalog contain a research graduate program matching the applicant's topics?</x:v>
      </x:c>
      <x:c r="H1416" s="17" t="str">
        <x:v>https://web.uri.edu</x:v>
      </x:c>
      <x:c r="I1416" s="17" t="str">
        <x:v>not_sampled</x:v>
      </x:c>
      <x:c r="J1416" s="17" t="str">
        <x:v>not_sampled</x:v>
      </x:c>
    </x:row>
    <x:row r="1417" ht="46" customHeight="1">
      <x:c r="A1417" s="17" t="str">
        <x:v>us</x:v>
      </x:c>
      <x:c r="B1417" s="17" t="str">
        <x:v>University of Rhode Island</x:v>
      </x:c>
      <x:c r="C1417" s="17" t="str">
        <x:v>IPEDS discovery signal: Computer and Information Systems Security/Auditing/Information Assurance (CIP 11.1003)</x:v>
      </x:c>
      <x:c r="D1417" s="17" t="str">
        <x:v>Unclear</x:v>
      </x:c>
      <x:c r="E1417" s="17" t="str">
        <x:v>stage2_screened_out</x:v>
      </x:c>
      <x:c r="F1417" s="17" t="str">
        <x:v>Only one bounded registry/program-code signal was present; no independent topical, Calendar, current-faculty, or first-audit signal was recovered.</x:v>
      </x:c>
      <x:c r="G1417" s="17" t="str">
        <x:v>Does the current official catalog contain a research graduate program matching the applicant's topics?</x:v>
      </x:c>
      <x:c r="H1417" s="17" t="str">
        <x:v>https://web.uri.edu</x:v>
      </x:c>
      <x:c r="I1417" s="17" t="str">
        <x:v>not_sampled</x:v>
      </x:c>
      <x:c r="J1417" s="17" t="str">
        <x:v>not_sampled</x:v>
      </x:c>
    </x:row>
    <x:row r="1418" ht="46" customHeight="1">
      <x:c r="A1418" s="17" t="str">
        <x:v>us</x:v>
      </x:c>
      <x:c r="B1418" s="17" t="str">
        <x:v>University of Rhode Island</x:v>
      </x:c>
      <x:c r="C1418" s="17" t="str">
        <x:v>IPEDS discovery signal: Computer Science (CIP 11.0701)</x:v>
      </x:c>
      <x:c r="D1418" s="17" t="str">
        <x:v>Unclear</x:v>
      </x:c>
      <x:c r="E1418" s="17" t="str">
        <x:v>stage2_screened_out</x:v>
      </x:c>
      <x:c r="F1418" s="17" t="str">
        <x:v>Only one bounded registry/program-code signal was present; no independent topical, Calendar, current-faculty, or first-audit signal was recovered.</x:v>
      </x:c>
      <x:c r="G1418" s="17" t="str">
        <x:v>Does the current official catalog contain a research graduate program matching the applicant's topics?</x:v>
      </x:c>
      <x:c r="H1418" s="17" t="str">
        <x:v>https://web.uri.edu</x:v>
      </x:c>
      <x:c r="I1418" s="17" t="str">
        <x:v>not_sampled</x:v>
      </x:c>
      <x:c r="J1418" s="17" t="str">
        <x:v>not_sampled</x:v>
      </x:c>
    </x:row>
    <x:row r="1419" ht="46" customHeight="1">
      <x:c r="A1419" s="17" t="str">
        <x:v>us</x:v>
      </x:c>
      <x:c r="B1419" s="17" t="str">
        <x:v>University of Rhode Island</x:v>
      </x:c>
      <x:c r="C1419" s="17" t="str">
        <x:v>IPEDS discovery signal: Electrical and Electronics Engineering (CIP 14.1001)</x:v>
      </x:c>
      <x:c r="D1419" s="17" t="str">
        <x:v>Unclear</x:v>
      </x:c>
      <x:c r="E1419" s="17" t="str">
        <x:v>stage2_screened_out</x:v>
      </x:c>
      <x:c r="F1419" s="17" t="str">
        <x:v>Only one bounded registry/program-code signal was present; no independent topical, Calendar, current-faculty, or first-audit signal was recovered.</x:v>
      </x:c>
      <x:c r="G1419" s="17" t="str">
        <x:v>Does the current official catalog contain a research graduate program matching the applicant's topics?</x:v>
      </x:c>
      <x:c r="H1419" s="17" t="str">
        <x:v>https://web.uri.edu</x:v>
      </x:c>
      <x:c r="I1419" s="17" t="str">
        <x:v>not_sampled</x:v>
      </x:c>
      <x:c r="J1419" s="17" t="str">
        <x:v>not_sampled</x:v>
      </x:c>
    </x:row>
    <x:row r="1420" ht="46" customHeight="1">
      <x:c r="A1420" s="17" t="str">
        <x:v>us</x:v>
      </x:c>
      <x:c r="B1420" s="17" t="str">
        <x:v>University of Rochester</x:v>
      </x:c>
      <x:c r="C1420" s="17" t="str">
        <x:v>IPEDS discovery signal: Computer Science (CIP 11.0701)</x:v>
      </x:c>
      <x:c r="D1420" s="17" t="str">
        <x:v>Unclear</x:v>
      </x:c>
      <x:c r="E1420" s="17" t="str">
        <x:v>stage2_screened_out</x:v>
      </x:c>
      <x:c r="F1420" s="17" t="str">
        <x:v>Duplicate mechanical discovery signal consolidated into one institution-level catalog review candidate.</x:v>
      </x:c>
      <x:c r="G1420" s="17" t="str">
        <x:v>Does the current official catalog contain a research graduate program matching the applicant's topics?</x:v>
      </x:c>
      <x:c r="H1420" s="17" t="str">
        <x:v>https://www.rochester.edu</x:v>
      </x:c>
      <x:c r="I1420" s="17" t="str">
        <x:v>not_sampled</x:v>
      </x:c>
      <x:c r="J1420" s="17" t="str">
        <x:v>not_sampled</x:v>
      </x:c>
    </x:row>
    <x:row r="1421" ht="46" customHeight="1">
      <x:c r="A1421" s="17" t="str">
        <x:v>us</x:v>
      </x:c>
      <x:c r="B1421" s="17" t="str">
        <x:v>University of Rochester</x:v>
      </x:c>
      <x:c r="C1421" s="17" t="str">
        <x:v>IPEDS discovery signal: Electrical and Electronics Engineering (CIP 14.1001)</x:v>
      </x:c>
      <x:c r="D1421" s="17" t="str">
        <x:v>Unclear</x:v>
      </x:c>
      <x:c r="E1421" s="17" t="str">
        <x:v>stage2_screened_out</x:v>
      </x:c>
      <x:c r="F1421" s="17" t="str">
        <x:v>Duplicate mechanical discovery signal consolidated into one institution-level catalog review candidate.</x:v>
      </x:c>
      <x:c r="G1421" s="17" t="str">
        <x:v>Does the current official catalog contain a research graduate program matching the applicant's topics?</x:v>
      </x:c>
      <x:c r="H1421" s="17" t="str">
        <x:v>https://www.rochester.edu</x:v>
      </x:c>
      <x:c r="I1421" s="17" t="str">
        <x:v>not_sampled</x:v>
      </x:c>
      <x:c r="J1421" s="17" t="str">
        <x:v>not_sampled</x:v>
      </x:c>
    </x:row>
    <x:row r="1422" ht="46" customHeight="1">
      <x:c r="A1422" s="17" t="str">
        <x:v>us</x:v>
      </x:c>
      <x:c r="B1422" s="17" t="str">
        <x:v>University of San Diego</x:v>
      </x:c>
      <x:c r="C1422" s="17" t="str">
        <x:v>IPEDS discovery signal: Artificial Intelligence (CIP 11.0102)</x:v>
      </x:c>
      <x:c r="D1422" s="17" t="str">
        <x:v>Unclear</x:v>
      </x:c>
      <x:c r="E1422" s="17" t="str">
        <x:v>stage2_screened_out</x:v>
      </x:c>
      <x:c r="F1422" s="17" t="str">
        <x:v>Duplicate mechanical discovery signal consolidated into one institution-level catalog review candidate.</x:v>
      </x:c>
      <x:c r="G1422" s="17" t="str">
        <x:v>Does the current official catalog contain a research graduate program matching the applicant's topics?</x:v>
      </x:c>
      <x:c r="H1422" s="17" t="str">
        <x:v>https://www.sandiego.edu</x:v>
      </x:c>
      <x:c r="I1422" s="17" t="str">
        <x:v>not_sampled</x:v>
      </x:c>
      <x:c r="J1422" s="17" t="str">
        <x:v>not_sampled</x:v>
      </x:c>
    </x:row>
    <x:row r="1423" ht="46" customHeight="1">
      <x:c r="A1423" s="17" t="str">
        <x:v>us</x:v>
      </x:c>
      <x:c r="B1423" s="17" t="str">
        <x:v>University of San Diego</x:v>
      </x:c>
      <x:c r="C1423" s="17" t="str">
        <x:v>IPEDS discovery signal: Cyber/Computer Forensics and Counterterrorism (CIP 43.0403)</x:v>
      </x:c>
      <x:c r="D1423" s="17" t="str">
        <x:v>Unclear</x:v>
      </x:c>
      <x:c r="E1423" s="17" t="str">
        <x:v>stage2_screened_out</x:v>
      </x:c>
      <x:c r="F1423" s="17" t="str">
        <x:v>Duplicate mechanical discovery signal consolidated into one institution-level catalog review candidate.</x:v>
      </x:c>
      <x:c r="G1423" s="17" t="str">
        <x:v>Does the current official catalog contain a research graduate program matching the applicant's topics?</x:v>
      </x:c>
      <x:c r="H1423" s="17" t="str">
        <x:v>https://www.sandiego.edu</x:v>
      </x:c>
      <x:c r="I1423" s="17" t="str">
        <x:v>not_sampled</x:v>
      </x:c>
      <x:c r="J1423" s="17" t="str">
        <x:v>not_sampled</x:v>
      </x:c>
    </x:row>
    <x:row r="1424" ht="46" customHeight="1">
      <x:c r="A1424" s="17" t="str">
        <x:v>us</x:v>
      </x:c>
      <x:c r="B1424" s="17" t="str">
        <x:v>University of San Diego</x:v>
      </x:c>
      <x:c r="C1424" s="17" t="str">
        <x:v>IPEDS discovery signal: Data Science, General (CIP 30.7001)</x:v>
      </x:c>
      <x:c r="D1424" s="17" t="str">
        <x:v>Unclear</x:v>
      </x:c>
      <x:c r="E1424" s="17" t="str">
        <x:v>stage2_screened_out</x:v>
      </x:c>
      <x:c r="F1424" s="17" t="str">
        <x:v>Duplicate mechanical discovery signal consolidated into one institution-level catalog review candidate.</x:v>
      </x:c>
      <x:c r="G1424" s="17" t="str">
        <x:v>Does the current official catalog contain a research graduate program matching the applicant's topics?</x:v>
      </x:c>
      <x:c r="H1424" s="17" t="str">
        <x:v>https://www.sandiego.edu</x:v>
      </x:c>
      <x:c r="I1424" s="17" t="str">
        <x:v>not_sampled</x:v>
      </x:c>
      <x:c r="J1424" s="17" t="str">
        <x:v>not_sampled</x:v>
      </x:c>
    </x:row>
    <x:row r="1425" ht="46" customHeight="1">
      <x:c r="A1425" s="17" t="str">
        <x:v>us</x:v>
      </x:c>
      <x:c r="B1425" s="17" t="str">
        <x:v>University of San Francisco</x:v>
      </x:c>
      <x:c r="C1425" s="17" t="str">
        <x:v>IPEDS discovery signal: Information Technology (CIP 11.0103)</x:v>
      </x:c>
      <x:c r="D1425" s="17" t="str">
        <x:v>Unclear</x:v>
      </x:c>
      <x:c r="E1425" s="17" t="str">
        <x:v>stage2_screened_out</x:v>
      </x:c>
      <x:c r="F1425" s="17" t="str">
        <x:v>Duplicate mechanical discovery signal consolidated into one institution-level catalog review candidate.</x:v>
      </x:c>
      <x:c r="G1425" s="17" t="str">
        <x:v>Does the current official catalog contain a research graduate program matching the applicant's topics?</x:v>
      </x:c>
      <x:c r="H1425" s="17" t="str">
        <x:v>https://www.usfca.edu</x:v>
      </x:c>
      <x:c r="I1425" s="17" t="str">
        <x:v>not_sampled</x:v>
      </x:c>
      <x:c r="J1425" s="17" t="str">
        <x:v>not_sampled</x:v>
      </x:c>
    </x:row>
    <x:row r="1426" ht="46" customHeight="1">
      <x:c r="A1426" s="17" t="str">
        <x:v>us</x:v>
      </x:c>
      <x:c r="B1426" s="17" t="str">
        <x:v>University of Scranton</x:v>
      </x:c>
      <x:c r="C1426" s="17" t="str">
        <x:v>IPEDS discovery signal: Computer Software Engineering (CIP 14.0903)</x:v>
      </x:c>
      <x:c r="D1426" s="17" t="str">
        <x:v>Unclear</x:v>
      </x:c>
      <x:c r="E1426" s="17" t="str">
        <x:v>stage2_screened_out</x:v>
      </x:c>
      <x:c r="F1426" s="17" t="str">
        <x:v>Only one bounded registry/program-code signal was present; no independent topical, Calendar, current-faculty, or first-audit signal was recovered.</x:v>
      </x:c>
      <x:c r="G1426" s="17" t="str">
        <x:v>Does the current official catalog contain a research graduate program matching the applicant's topics?</x:v>
      </x:c>
      <x:c r="H1426" s="17" t="str">
        <x:v>https://www.scranton.edu</x:v>
      </x:c>
      <x:c r="I1426" s="17" t="str">
        <x:v>not_sampled</x:v>
      </x:c>
      <x:c r="J1426" s="17" t="str">
        <x:v>not_sampled</x:v>
      </x:c>
    </x:row>
    <x:row r="1427" ht="46" customHeight="1">
      <x:c r="A1427" s="17" t="str">
        <x:v>us</x:v>
      </x:c>
      <x:c r="B1427" s="17" t="str">
        <x:v>University of Scranton</x:v>
      </x:c>
      <x:c r="C1427" s="17" t="str">
        <x:v>IPEDS discovery signal: Cyber/Computer Forensics and Counterterrorism (CIP 43.0403)</x:v>
      </x:c>
      <x:c r="D1427" s="17" t="str">
        <x:v>Unclear</x:v>
      </x:c>
      <x:c r="E1427" s="17" t="str">
        <x:v>stage2_screened_out</x:v>
      </x:c>
      <x:c r="F1427" s="17" t="str">
        <x:v>Only one bounded registry/program-code signal was present; no independent topical, Calendar, current-faculty, or first-audit signal was recovered.</x:v>
      </x:c>
      <x:c r="G1427" s="17" t="str">
        <x:v>Does the current official catalog contain a research graduate program matching the applicant's topics?</x:v>
      </x:c>
      <x:c r="H1427" s="17" t="str">
        <x:v>https://www.scranton.edu</x:v>
      </x:c>
      <x:c r="I1427" s="17" t="str">
        <x:v>not_sampled</x:v>
      </x:c>
      <x:c r="J1427" s="17" t="str">
        <x:v>not_sampled</x:v>
      </x:c>
    </x:row>
    <x:row r="1428" ht="46" customHeight="1">
      <x:c r="A1428" s="17" t="str">
        <x:v>us</x:v>
      </x:c>
      <x:c r="B1428" s="17" t="str">
        <x:v>University of South Alabama</x:v>
      </x:c>
      <x:c r="C1428" s="17" t="str">
        <x:v>IPEDS discovery signal: Computer and Information Sciences, General (CIP 11.0101)</x:v>
      </x:c>
      <x:c r="D1428" s="17" t="str">
        <x:v>Unclear</x:v>
      </x:c>
      <x:c r="E1428" s="17" t="str">
        <x:v>stage2_screened_out</x:v>
      </x:c>
      <x:c r="F1428" s="17" t="str">
        <x:v>Only one bounded registry/program-code signal was present; no independent topical, Calendar, current-faculty, or first-audit signal was recovered.</x:v>
      </x:c>
      <x:c r="G1428" s="17" t="str">
        <x:v>Does the current official catalog contain a research graduate program matching the applicant's topics?</x:v>
      </x:c>
      <x:c r="H1428" s="17" t="str">
        <x:v>https://www.southalabama.edu</x:v>
      </x:c>
      <x:c r="I1428" s="17" t="str">
        <x:v>not_sampled</x:v>
      </x:c>
      <x:c r="J1428" s="17" t="str">
        <x:v>not_sampled</x:v>
      </x:c>
    </x:row>
    <x:row r="1429" ht="46" customHeight="1">
      <x:c r="A1429" s="17" t="str">
        <x:v>us</x:v>
      </x:c>
      <x:c r="B1429" s="17" t="str">
        <x:v>University of South Alabama</x:v>
      </x:c>
      <x:c r="C1429" s="17" t="str">
        <x:v>IPEDS discovery signal: Computer and Information Systems Security/Auditing/Information Assurance (CIP 11.1003)</x:v>
      </x:c>
      <x:c r="D1429" s="17" t="str">
        <x:v>Unclear</x:v>
      </x:c>
      <x:c r="E1429" s="17" t="str">
        <x:v>stage2_screened_out</x:v>
      </x:c>
      <x:c r="F1429" s="17" t="str">
        <x:v>Only one bounded registry/program-code signal was present; no independent topical, Calendar, current-faculty, or first-audit signal was recovered.</x:v>
      </x:c>
      <x:c r="G1429" s="17" t="str">
        <x:v>Does the current official catalog contain a research graduate program matching the applicant's topics?</x:v>
      </x:c>
      <x:c r="H1429" s="17" t="str">
        <x:v>https://www.southalabama.edu</x:v>
      </x:c>
      <x:c r="I1429" s="17" t="str">
        <x:v>not_sampled</x:v>
      </x:c>
      <x:c r="J1429" s="17" t="str">
        <x:v>not_sampled</x:v>
      </x:c>
    </x:row>
    <x:row r="1430" ht="46" customHeight="1">
      <x:c r="A1430" s="17" t="str">
        <x:v>us</x:v>
      </x:c>
      <x:c r="B1430" s="17" t="str">
        <x:v>University of South Alabama</x:v>
      </x:c>
      <x:c r="C1430" s="17" t="str">
        <x:v>IPEDS discovery signal: Computer Science (CIP 11.0701)</x:v>
      </x:c>
      <x:c r="D1430" s="17" t="str">
        <x:v>Unclear</x:v>
      </x:c>
      <x:c r="E1430" s="17" t="str">
        <x:v>stage2_screened_out</x:v>
      </x:c>
      <x:c r="F1430" s="17" t="str">
        <x:v>Only one bounded registry/program-code signal was present; no independent topical, Calendar, current-faculty, or first-audit signal was recovered.</x:v>
      </x:c>
      <x:c r="G1430" s="17" t="str">
        <x:v>Does the current official catalog contain a research graduate program matching the applicant's topics?</x:v>
      </x:c>
      <x:c r="H1430" s="17" t="str">
        <x:v>https://www.southalabama.edu</x:v>
      </x:c>
      <x:c r="I1430" s="17" t="str">
        <x:v>not_sampled</x:v>
      </x:c>
      <x:c r="J1430" s="17" t="str">
        <x:v>not_sampled</x:v>
      </x:c>
    </x:row>
    <x:row r="1431" ht="46" customHeight="1">
      <x:c r="A1431" s="17" t="str">
        <x:v>us</x:v>
      </x:c>
      <x:c r="B1431" s="17" t="str">
        <x:v>University of South Alabama</x:v>
      </x:c>
      <x:c r="C1431" s="17" t="str">
        <x:v>IPEDS discovery signal: Electrical and Electronics Engineering (CIP 14.1001)</x:v>
      </x:c>
      <x:c r="D1431" s="17" t="str">
        <x:v>Unclear</x:v>
      </x:c>
      <x:c r="E1431" s="17" t="str">
        <x:v>stage2_screened_out</x:v>
      </x:c>
      <x:c r="F1431" s="17" t="str">
        <x:v>Only one bounded registry/program-code signal was present; no independent topical, Calendar, current-faculty, or first-audit signal was recovered.</x:v>
      </x:c>
      <x:c r="G1431" s="17" t="str">
        <x:v>Does the current official catalog contain a research graduate program matching the applicant's topics?</x:v>
      </x:c>
      <x:c r="H1431" s="17" t="str">
        <x:v>https://www.southalabama.edu</x:v>
      </x:c>
      <x:c r="I1431" s="17" t="str">
        <x:v>not_sampled</x:v>
      </x:c>
      <x:c r="J1431" s="17" t="str">
        <x:v>not_sampled</x:v>
      </x:c>
    </x:row>
    <x:row r="1432" ht="46" customHeight="1">
      <x:c r="A1432" s="17" t="str">
        <x:v>us</x:v>
      </x:c>
      <x:c r="B1432" s="17" t="str">
        <x:v>University of South Alabama</x:v>
      </x:c>
      <x:c r="C1432" s="17" t="str">
        <x:v>IPEDS discovery signal: Information Science/Studies (CIP 11.0401)</x:v>
      </x:c>
      <x:c r="D1432" s="17" t="str">
        <x:v>Unclear</x:v>
      </x:c>
      <x:c r="E1432" s="17" t="str">
        <x:v>stage2_screened_out</x:v>
      </x:c>
      <x:c r="F1432" s="17" t="str">
        <x:v>Only one bounded registry/program-code signal was present; no independent topical, Calendar, current-faculty, or first-audit signal was recovered.</x:v>
      </x:c>
      <x:c r="G1432" s="17" t="str">
        <x:v>Does the current official catalog contain a research graduate program matching the applicant's topics?</x:v>
      </x:c>
      <x:c r="H1432" s="17" t="str">
        <x:v>https://www.southalabama.edu</x:v>
      </x:c>
      <x:c r="I1432" s="17" t="str">
        <x:v>not_sampled</x:v>
      </x:c>
      <x:c r="J1432" s="17" t="str">
        <x:v>not_sampled</x:v>
      </x:c>
    </x:row>
    <x:row r="1433" ht="46" customHeight="1">
      <x:c r="A1433" s="17" t="str">
        <x:v>us</x:v>
      </x:c>
      <x:c r="B1433" s="17" t="str">
        <x:v>University of South Carolina-Columbia</x:v>
      </x:c>
      <x:c r="C1433" s="17" t="str">
        <x:v>IPEDS discovery signal: Computer Engineering, General (CIP 14.0901)</x:v>
      </x:c>
      <x:c r="D1433" s="17" t="str">
        <x:v>Unclear</x:v>
      </x:c>
      <x:c r="E1433" s="17" t="str">
        <x:v>stage2_screened_out</x:v>
      </x:c>
      <x:c r="F1433" s="17" t="str">
        <x:v>Only one bounded registry/program-code signal was present; no independent topical, Calendar, current-faculty, or first-audit signal was recovered.</x:v>
      </x:c>
      <x:c r="G1433" s="17" t="str">
        <x:v>Does the current official catalog contain a research graduate program matching the applicant's topics?</x:v>
      </x:c>
      <x:c r="H1433" s="17" t="str">
        <x:v>https://www.sc.edu</x:v>
      </x:c>
      <x:c r="I1433" s="17" t="str">
        <x:v>not_sampled</x:v>
      </x:c>
      <x:c r="J1433" s="17" t="str">
        <x:v>not_sampled</x:v>
      </x:c>
    </x:row>
    <x:row r="1434" ht="46" customHeight="1">
      <x:c r="A1434" s="17" t="str">
        <x:v>us</x:v>
      </x:c>
      <x:c r="B1434" s="17" t="str">
        <x:v>University of South Carolina-Columbia</x:v>
      </x:c>
      <x:c r="C1434" s="17" t="str">
        <x:v>IPEDS discovery signal: Computer Science (CIP 11.0701)</x:v>
      </x:c>
      <x:c r="D1434" s="17" t="str">
        <x:v>Unclear</x:v>
      </x:c>
      <x:c r="E1434" s="17" t="str">
        <x:v>stage2_screened_out</x:v>
      </x:c>
      <x:c r="F1434" s="17" t="str">
        <x:v>Only one bounded registry/program-code signal was present; no independent topical, Calendar, current-faculty, or first-audit signal was recovered.</x:v>
      </x:c>
      <x:c r="G1434" s="17" t="str">
        <x:v>Does the current official catalog contain a research graduate program matching the applicant's topics?</x:v>
      </x:c>
      <x:c r="H1434" s="17" t="str">
        <x:v>https://www.sc.edu</x:v>
      </x:c>
      <x:c r="I1434" s="17" t="str">
        <x:v>not_sampled</x:v>
      </x:c>
      <x:c r="J1434" s="17" t="str">
        <x:v>not_sampled</x:v>
      </x:c>
    </x:row>
    <x:row r="1435" ht="46" customHeight="1">
      <x:c r="A1435" s="17" t="str">
        <x:v>us</x:v>
      </x:c>
      <x:c r="B1435" s="17" t="str">
        <x:v>University of South Carolina-Columbia</x:v>
      </x:c>
      <x:c r="C1435" s="17" t="str">
        <x:v>IPEDS discovery signal: Electrical and Electronics Engineering (CIP 14.1001)</x:v>
      </x:c>
      <x:c r="D1435" s="17" t="str">
        <x:v>Unclear</x:v>
      </x:c>
      <x:c r="E1435" s="17" t="str">
        <x:v>stage2_screened_out</x:v>
      </x:c>
      <x:c r="F1435" s="17" t="str">
        <x:v>Only one bounded registry/program-code signal was present; no independent topical, Calendar, current-faculty, or first-audit signal was recovered.</x:v>
      </x:c>
      <x:c r="G1435" s="17" t="str">
        <x:v>Does the current official catalog contain a research graduate program matching the applicant's topics?</x:v>
      </x:c>
      <x:c r="H1435" s="17" t="str">
        <x:v>https://www.sc.edu</x:v>
      </x:c>
      <x:c r="I1435" s="17" t="str">
        <x:v>not_sampled</x:v>
      </x:c>
      <x:c r="J1435" s="17" t="str">
        <x:v>not_sampled</x:v>
      </x:c>
    </x:row>
    <x:row r="1436" ht="46" customHeight="1">
      <x:c r="A1436" s="17" t="str">
        <x:v>us</x:v>
      </x:c>
      <x:c r="B1436" s="17" t="str">
        <x:v>University of South Carolina-Columbia</x:v>
      </x:c>
      <x:c r="C1436" s="17" t="str">
        <x:v>IPEDS discovery signal: Informatics (CIP 11.0104)</x:v>
      </x:c>
      <x:c r="D1436" s="17" t="str">
        <x:v>Unclear</x:v>
      </x:c>
      <x:c r="E1436" s="17" t="str">
        <x:v>stage2_screened_out</x:v>
      </x:c>
      <x:c r="F1436" s="17" t="str">
        <x:v>Only one bounded registry/program-code signal was present; no independent topical, Calendar, current-faculty, or first-audit signal was recovered.</x:v>
      </x:c>
      <x:c r="G1436" s="17" t="str">
        <x:v>Does the current official catalog contain a research graduate program matching the applicant's topics?</x:v>
      </x:c>
      <x:c r="H1436" s="17" t="str">
        <x:v>https://www.sc.edu</x:v>
      </x:c>
      <x:c r="I1436" s="17" t="str">
        <x:v>not_sampled</x:v>
      </x:c>
      <x:c r="J1436" s="17" t="str">
        <x:v>not_sampled</x:v>
      </x:c>
    </x:row>
    <x:row r="1437" ht="46" customHeight="1">
      <x:c r="A1437" s="17" t="str">
        <x:v>us</x:v>
      </x:c>
      <x:c r="B1437" s="17" t="str">
        <x:v>University of South Carolina-Columbia</x:v>
      </x:c>
      <x:c r="C1437" s="17" t="str">
        <x:v>IPEDS discovery signal: Information Technology (CIP 11.0103)</x:v>
      </x:c>
      <x:c r="D1437" s="17" t="str">
        <x:v>Unclear</x:v>
      </x:c>
      <x:c r="E1437" s="17" t="str">
        <x:v>stage2_screened_out</x:v>
      </x:c>
      <x:c r="F1437" s="17" t="str">
        <x:v>Only one bounded registry/program-code signal was present; no independent topical, Calendar, current-faculty, or first-audit signal was recovered.</x:v>
      </x:c>
      <x:c r="G1437" s="17" t="str">
        <x:v>Does the current official catalog contain a research graduate program matching the applicant's topics?</x:v>
      </x:c>
      <x:c r="H1437" s="17" t="str">
        <x:v>https://www.sc.edu</x:v>
      </x:c>
      <x:c r="I1437" s="17" t="str">
        <x:v>not_sampled</x:v>
      </x:c>
      <x:c r="J1437" s="17" t="str">
        <x:v>not_sampled</x:v>
      </x:c>
    </x:row>
    <x:row r="1438" ht="46" customHeight="1">
      <x:c r="A1438" s="17" t="str">
        <x:v>us</x:v>
      </x:c>
      <x:c r="B1438" s="17" t="str">
        <x:v>University of South Dakota</x:v>
      </x:c>
      <x:c r="C1438" s="17" t="str">
        <x:v>IPEDS discovery signal: Computer and Information Sciences, General (CIP 11.0101)</x:v>
      </x:c>
      <x:c r="D1438" s="17" t="str">
        <x:v>Unclear</x:v>
      </x:c>
      <x:c r="E1438" s="17" t="str">
        <x:v>stage2_screened_out</x:v>
      </x:c>
      <x:c r="F1438" s="17" t="str">
        <x:v>Only one bounded registry/program-code signal was present; no independent topical, Calendar, current-faculty, or first-audit signal was recovered.</x:v>
      </x:c>
      <x:c r="G1438" s="17" t="str">
        <x:v>Does the current official catalog contain a research graduate program matching the applicant's topics?</x:v>
      </x:c>
      <x:c r="H1438" s="17" t="str">
        <x:v>https://www.usd.edu</x:v>
      </x:c>
      <x:c r="I1438" s="17" t="str">
        <x:v>not_sampled</x:v>
      </x:c>
      <x:c r="J1438" s="17" t="str">
        <x:v>not_sampled</x:v>
      </x:c>
    </x:row>
    <x:row r="1439" ht="46" customHeight="1">
      <x:c r="A1439" s="17" t="str">
        <x:v>us</x:v>
      </x:c>
      <x:c r="B1439" s="17" t="str">
        <x:v>University of South Florida</x:v>
      </x:c>
      <x:c r="C1439" s="17" t="str">
        <x:v>IPEDS discovery signal: Computer Science (CIP 11.0701)</x:v>
      </x:c>
      <x:c r="D1439" s="17" t="str">
        <x:v>Unclear</x:v>
      </x:c>
      <x:c r="E1439" s="17" t="str">
        <x:v>stage2_screened_out</x:v>
      </x:c>
      <x:c r="F1439" s="17" t="str">
        <x:v>Duplicate mechanical discovery signal consolidated into one institution-level catalog review candidate.</x:v>
      </x:c>
      <x:c r="G1439" s="17" t="str">
        <x:v>Does the current official catalog contain a research graduate program matching the applicant's topics?</x:v>
      </x:c>
      <x:c r="H1439" s="17" t="str">
        <x:v>https://www.usf.edu</x:v>
      </x:c>
      <x:c r="I1439" s="17" t="str">
        <x:v>not_sampled</x:v>
      </x:c>
      <x:c r="J1439" s="17" t="str">
        <x:v>not_sampled</x:v>
      </x:c>
    </x:row>
    <x:row r="1440" ht="46" customHeight="1">
      <x:c r="A1440" s="17" t="str">
        <x:v>us</x:v>
      </x:c>
      <x:c r="B1440" s="17" t="str">
        <x:v>University of South Florida</x:v>
      </x:c>
      <x:c r="C1440" s="17" t="str">
        <x:v>IPEDS discovery signal: Electrical and Electronics Engineering (CIP 14.1001)</x:v>
      </x:c>
      <x:c r="D1440" s="17" t="str">
        <x:v>Unclear</x:v>
      </x:c>
      <x:c r="E1440" s="17" t="str">
        <x:v>stage2_screened_out</x:v>
      </x:c>
      <x:c r="F1440" s="17" t="str">
        <x:v>Duplicate mechanical discovery signal consolidated into one institution-level catalog review candidate.</x:v>
      </x:c>
      <x:c r="G1440" s="17" t="str">
        <x:v>Does the current official catalog contain a research graduate program matching the applicant's topics?</x:v>
      </x:c>
      <x:c r="H1440" s="17" t="str">
        <x:v>https://www.usf.edu</x:v>
      </x:c>
      <x:c r="I1440" s="17" t="str">
        <x:v>not_sampled</x:v>
      </x:c>
      <x:c r="J1440" s="17" t="str">
        <x:v>not_sampled</x:v>
      </x:c>
    </x:row>
    <x:row r="1441" ht="46" customHeight="1">
      <x:c r="A1441" s="17" t="str">
        <x:v>us</x:v>
      </x:c>
      <x:c r="B1441" s="17" t="str">
        <x:v>University of South Florida</x:v>
      </x:c>
      <x:c r="C1441" s="17" t="str">
        <x:v>IPEDS discovery signal: Informatics (CIP 11.0104)</x:v>
      </x:c>
      <x:c r="D1441" s="17" t="str">
        <x:v>Unclear</x:v>
      </x:c>
      <x:c r="E1441" s="17" t="str">
        <x:v>stage2_screened_out</x:v>
      </x:c>
      <x:c r="F1441" s="17" t="str">
        <x:v>Duplicate mechanical discovery signal consolidated into one institution-level catalog review candidate.</x:v>
      </x:c>
      <x:c r="G1441" s="17" t="str">
        <x:v>Does the current official catalog contain a research graduate program matching the applicant's topics?</x:v>
      </x:c>
      <x:c r="H1441" s="17" t="str">
        <x:v>https://www.usf.edu</x:v>
      </x:c>
      <x:c r="I1441" s="17" t="str">
        <x:v>not_sampled</x:v>
      </x:c>
      <x:c r="J1441" s="17" t="str">
        <x:v>not_sampled</x:v>
      </x:c>
    </x:row>
    <x:row r="1442" ht="46" customHeight="1">
      <x:c r="A1442" s="17" t="str">
        <x:v>us</x:v>
      </x:c>
      <x:c r="B1442" s="17" t="str">
        <x:v>University of South Florida</x:v>
      </x:c>
      <x:c r="C1442" s="17" t="str">
        <x:v>IPEDS discovery signal: Information Science/Studies (CIP 11.0401)</x:v>
      </x:c>
      <x:c r="D1442" s="17" t="str">
        <x:v>Unclear</x:v>
      </x:c>
      <x:c r="E1442" s="17" t="str">
        <x:v>stage2_screened_out</x:v>
      </x:c>
      <x:c r="F1442" s="17" t="str">
        <x:v>Duplicate mechanical discovery signal consolidated into one institution-level catalog review candidate.</x:v>
      </x:c>
      <x:c r="G1442" s="17" t="str">
        <x:v>Does the current official catalog contain a research graduate program matching the applicant's topics?</x:v>
      </x:c>
      <x:c r="H1442" s="17" t="str">
        <x:v>https://www.usf.edu</x:v>
      </x:c>
      <x:c r="I1442" s="17" t="str">
        <x:v>not_sampled</x:v>
      </x:c>
      <x:c r="J1442" s="17" t="str">
        <x:v>not_sampled</x:v>
      </x:c>
    </x:row>
    <x:row r="1443" ht="46" customHeight="1">
      <x:c r="A1443" s="17" t="str">
        <x:v>us</x:v>
      </x:c>
      <x:c r="B1443" s="17" t="str">
        <x:v>University of South Florida</x:v>
      </x:c>
      <x:c r="C1443" s="17" t="str">
        <x:v>IPEDS discovery signal: Information Technology (CIP 11.0103)</x:v>
      </x:c>
      <x:c r="D1443" s="17" t="str">
        <x:v>Unclear</x:v>
      </x:c>
      <x:c r="E1443" s="17" t="str">
        <x:v>stage2_screened_out</x:v>
      </x:c>
      <x:c r="F1443" s="17" t="str">
        <x:v>Duplicate mechanical discovery signal consolidated into one institution-level catalog review candidate.</x:v>
      </x:c>
      <x:c r="G1443" s="17" t="str">
        <x:v>Does the current official catalog contain a research graduate program matching the applicant's topics?</x:v>
      </x:c>
      <x:c r="H1443" s="17" t="str">
        <x:v>https://www.usf.edu</x:v>
      </x:c>
      <x:c r="I1443" s="17" t="str">
        <x:v>not_sampled</x:v>
      </x:c>
      <x:c r="J1443" s="17" t="str">
        <x:v>not_sampled</x:v>
      </x:c>
    </x:row>
    <x:row r="1444" ht="46" customHeight="1">
      <x:c r="A1444" s="17" t="str">
        <x:v>us</x:v>
      </x:c>
      <x:c r="B1444" s="17" t="str">
        <x:v>University of Southern California</x:v>
      </x:c>
      <x:c r="C1444" s="17" t="str">
        <x:v>IPEDS discovery signal: Artificial Intelligence (CIP 11.0102)</x:v>
      </x:c>
      <x:c r="D1444" s="17" t="str">
        <x:v>Unclear</x:v>
      </x:c>
      <x:c r="E1444" s="17" t="str">
        <x:v>stage2_screened_out</x:v>
      </x:c>
      <x:c r="F1444" s="17" t="str">
        <x:v>Duplicate mechanical discovery signal consolidated into one institution-level catalog review candidate.</x:v>
      </x:c>
      <x:c r="G1444" s="17" t="str">
        <x:v>Does the current official catalog contain a research graduate program matching the applicant's topics?</x:v>
      </x:c>
      <x:c r="H1444" s="17" t="str">
        <x:v>https://www.usc.edu</x:v>
      </x:c>
      <x:c r="I1444" s="17" t="str">
        <x:v>not_sampled</x:v>
      </x:c>
      <x:c r="J1444" s="17" t="str">
        <x:v>not_sampled</x:v>
      </x:c>
    </x:row>
    <x:row r="1445" ht="46" customHeight="1">
      <x:c r="A1445" s="17" t="str">
        <x:v>us</x:v>
      </x:c>
      <x:c r="B1445" s="17" t="str">
        <x:v>University of Southern California</x:v>
      </x:c>
      <x:c r="C1445" s="17" t="str">
        <x:v>IPEDS discovery signal: Computer Engineering, General (CIP 14.0901)</x:v>
      </x:c>
      <x:c r="D1445" s="17" t="str">
        <x:v>Unclear</x:v>
      </x:c>
      <x:c r="E1445" s="17" t="str">
        <x:v>stage2_screened_out</x:v>
      </x:c>
      <x:c r="F1445" s="17" t="str">
        <x:v>Duplicate mechanical discovery signal consolidated into one institution-level catalog review candidate.</x:v>
      </x:c>
      <x:c r="G1445" s="17" t="str">
        <x:v>Does the current official catalog contain a research graduate program matching the applicant's topics?</x:v>
      </x:c>
      <x:c r="H1445" s="17" t="str">
        <x:v>https://www.usc.edu</x:v>
      </x:c>
      <x:c r="I1445" s="17" t="str">
        <x:v>not_sampled</x:v>
      </x:c>
      <x:c r="J1445" s="17" t="str">
        <x:v>not_sampled</x:v>
      </x:c>
    </x:row>
    <x:row r="1446" ht="46" customHeight="1">
      <x:c r="A1446" s="17" t="str">
        <x:v>us</x:v>
      </x:c>
      <x:c r="B1446" s="17" t="str">
        <x:v>University of Southern California</x:v>
      </x:c>
      <x:c r="C1446" s="17" t="str">
        <x:v>IPEDS discovery signal: Computer Science (CIP 11.0701)</x:v>
      </x:c>
      <x:c r="D1446" s="17" t="str">
        <x:v>Unclear</x:v>
      </x:c>
      <x:c r="E1446" s="17" t="str">
        <x:v>stage2_screened_out</x:v>
      </x:c>
      <x:c r="F1446" s="17" t="str">
        <x:v>Duplicate mechanical discovery signal consolidated into one institution-level catalog review candidate.</x:v>
      </x:c>
      <x:c r="G1446" s="17" t="str">
        <x:v>Does the current official catalog contain a research graduate program matching the applicant's topics?</x:v>
      </x:c>
      <x:c r="H1446" s="17" t="str">
        <x:v>https://www.usc.edu</x:v>
      </x:c>
      <x:c r="I1446" s="17" t="str">
        <x:v>not_sampled</x:v>
      </x:c>
      <x:c r="J1446" s="17" t="str">
        <x:v>not_sampled</x:v>
      </x:c>
    </x:row>
    <x:row r="1447" ht="46" customHeight="1">
      <x:c r="A1447" s="17" t="str">
        <x:v>us</x:v>
      </x:c>
      <x:c r="B1447" s="17" t="str">
        <x:v>University of Southern California</x:v>
      </x:c>
      <x:c r="C1447" s="17" t="str">
        <x:v>IPEDS discovery signal: Computer Systems Networking and Telecommunications (CIP 11.0901)</x:v>
      </x:c>
      <x:c r="D1447" s="17" t="str">
        <x:v>Unclear</x:v>
      </x:c>
      <x:c r="E1447" s="17" t="str">
        <x:v>stage2_screened_out</x:v>
      </x:c>
      <x:c r="F1447" s="17" t="str">
        <x:v>Duplicate mechanical discovery signal consolidated into one institution-level catalog review candidate.</x:v>
      </x:c>
      <x:c r="G1447" s="17" t="str">
        <x:v>Does the current official catalog contain a research graduate program matching the applicant's topics?</x:v>
      </x:c>
      <x:c r="H1447" s="17" t="str">
        <x:v>https://www.usc.edu</x:v>
      </x:c>
      <x:c r="I1447" s="17" t="str">
        <x:v>not_sampled</x:v>
      </x:c>
      <x:c r="J1447" s="17" t="str">
        <x:v>not_sampled</x:v>
      </x:c>
    </x:row>
    <x:row r="1448" ht="46" customHeight="1">
      <x:c r="A1448" s="17" t="str">
        <x:v>us</x:v>
      </x:c>
      <x:c r="B1448" s="17" t="str">
        <x:v>University of Southern California</x:v>
      </x:c>
      <x:c r="C1448" s="17" t="str">
        <x:v>IPEDS discovery signal: Electrical and Electronics Engineering (CIP 14.1001)</x:v>
      </x:c>
      <x:c r="D1448" s="17" t="str">
        <x:v>Unclear</x:v>
      </x:c>
      <x:c r="E1448" s="17" t="str">
        <x:v>stage2_screened_out</x:v>
      </x:c>
      <x:c r="F1448" s="17" t="str">
        <x:v>Duplicate mechanical discovery signal consolidated into one institution-level catalog review candidate.</x:v>
      </x:c>
      <x:c r="G1448" s="17" t="str">
        <x:v>Does the current official catalog contain a research graduate program matching the applicant's topics?</x:v>
      </x:c>
      <x:c r="H1448" s="17" t="str">
        <x:v>https://www.usc.edu</x:v>
      </x:c>
      <x:c r="I1448" s="17" t="str">
        <x:v>not_sampled</x:v>
      </x:c>
      <x:c r="J1448" s="17" t="str">
        <x:v>not_sampled</x:v>
      </x:c>
    </x:row>
    <x:row r="1449" ht="46" customHeight="1">
      <x:c r="A1449" s="17" t="str">
        <x:v>us</x:v>
      </x:c>
      <x:c r="B1449" s="17" t="str">
        <x:v>University of Southern California</x:v>
      </x:c>
      <x:c r="C1449" s="17" t="str">
        <x:v>IPEDS discovery signal: Informatics (CIP 11.0104)</x:v>
      </x:c>
      <x:c r="D1449" s="17" t="str">
        <x:v>Unclear</x:v>
      </x:c>
      <x:c r="E1449" s="17" t="str">
        <x:v>stage2_screened_out</x:v>
      </x:c>
      <x:c r="F1449" s="17" t="str">
        <x:v>Duplicate mechanical discovery signal consolidated into one institution-level catalog review candidate.</x:v>
      </x:c>
      <x:c r="G1449" s="17" t="str">
        <x:v>Does the current official catalog contain a research graduate program matching the applicant's topics?</x:v>
      </x:c>
      <x:c r="H1449" s="17" t="str">
        <x:v>https://www.usc.edu</x:v>
      </x:c>
      <x:c r="I1449" s="17" t="str">
        <x:v>not_sampled</x:v>
      </x:c>
      <x:c r="J1449" s="17" t="str">
        <x:v>not_sampled</x:v>
      </x:c>
    </x:row>
    <x:row r="1450" ht="46" customHeight="1">
      <x:c r="A1450" s="17" t="str">
        <x:v>us</x:v>
      </x:c>
      <x:c r="B1450" s="17" t="str">
        <x:v>University of Southern California</x:v>
      </x:c>
      <x:c r="C1450" s="17" t="str">
        <x:v>IPEDS discovery signal: Information Science/Studies (CIP 11.0401)</x:v>
      </x:c>
      <x:c r="D1450" s="17" t="str">
        <x:v>Unclear</x:v>
      </x:c>
      <x:c r="E1450" s="17" t="str">
        <x:v>stage2_screened_out</x:v>
      </x:c>
      <x:c r="F1450" s="17" t="str">
        <x:v>Duplicate mechanical discovery signal consolidated into one institution-level catalog review candidate.</x:v>
      </x:c>
      <x:c r="G1450" s="17" t="str">
        <x:v>Does the current official catalog contain a research graduate program matching the applicant's topics?</x:v>
      </x:c>
      <x:c r="H1450" s="17" t="str">
        <x:v>https://www.usc.edu</x:v>
      </x:c>
      <x:c r="I1450" s="17" t="str">
        <x:v>not_sampled</x:v>
      </x:c>
      <x:c r="J1450" s="17" t="str">
        <x:v>not_sampled</x:v>
      </x:c>
    </x:row>
    <x:row r="1451" ht="46" customHeight="1">
      <x:c r="A1451" s="17" t="str">
        <x:v>us</x:v>
      </x:c>
      <x:c r="B1451" s="17" t="str">
        <x:v>University of Southern Maine</x:v>
      </x:c>
      <x:c r="C1451" s="17" t="str">
        <x:v>IPEDS discovery signal: Cyber/Computer Forensics and Counterterrorism (CIP 43.0403)</x:v>
      </x:c>
      <x:c r="D1451" s="17" t="str">
        <x:v>Unclear</x:v>
      </x:c>
      <x:c r="E1451" s="17" t="str">
        <x:v>stage2_screened_out</x:v>
      </x:c>
      <x:c r="F1451" s="17" t="str">
        <x:v>Only one bounded registry/program-code signal was present; no independent topical, Calendar, current-faculty, or first-audit signal was recovered.</x:v>
      </x:c>
      <x:c r="G1451" s="17" t="str">
        <x:v>Does the current official catalog contain a research graduate program matching the applicant's topics?</x:v>
      </x:c>
      <x:c r="H1451" s="17" t="str">
        <x:v>https://usm.maine.edu</x:v>
      </x:c>
      <x:c r="I1451" s="17" t="str">
        <x:v>not_sampled</x:v>
      </x:c>
      <x:c r="J1451" s="17" t="str">
        <x:v>not_sampled</x:v>
      </x:c>
    </x:row>
    <x:row r="1452" ht="46" customHeight="1">
      <x:c r="A1452" s="17" t="str">
        <x:v>us</x:v>
      </x:c>
      <x:c r="B1452" s="17" t="str">
        <x:v>University of St Thomas</x:v>
      </x:c>
      <x:c r="C1452" s="17" t="str">
        <x:v>IPEDS discovery signal: Electrical and Electronics Engineering (CIP 14.1001)</x:v>
      </x:c>
      <x:c r="D1452" s="17" t="str">
        <x:v>Unclear</x:v>
      </x:c>
      <x:c r="E1452" s="17" t="str">
        <x:v>stage2_screened_out</x:v>
      </x:c>
      <x:c r="F1452" s="17" t="str">
        <x:v>Only one bounded registry/program-code signal was present; no independent topical, Calendar, current-faculty, or first-audit signal was recovered.</x:v>
      </x:c>
      <x:c r="G1452" s="17" t="str">
        <x:v>Does the current official catalog contain a research graduate program matching the applicant's topics?</x:v>
      </x:c>
      <x:c r="H1452" s="17" t="str">
        <x:v>https://www.stthomas.edu</x:v>
      </x:c>
      <x:c r="I1452" s="17" t="str">
        <x:v>not_sampled</x:v>
      </x:c>
      <x:c r="J1452" s="17" t="str">
        <x:v>not_sampled</x:v>
      </x:c>
    </x:row>
    <x:row r="1453" ht="46" customHeight="1">
      <x:c r="A1453" s="17" t="str">
        <x:v>us</x:v>
      </x:c>
      <x:c r="B1453" s="17" t="str">
        <x:v>University of St Thomas</x:v>
      </x:c>
      <x:c r="C1453" s="17" t="str">
        <x:v>IPEDS discovery signal: Information Technology (CIP 11.0103)</x:v>
      </x:c>
      <x:c r="D1453" s="17" t="str">
        <x:v>Unclear</x:v>
      </x:c>
      <x:c r="E1453" s="17" t="str">
        <x:v>stage2_screened_out</x:v>
      </x:c>
      <x:c r="F1453" s="17" t="str">
        <x:v>Only one bounded registry/program-code signal was present; no independent topical, Calendar, current-faculty, or first-audit signal was recovered.</x:v>
      </x:c>
      <x:c r="G1453" s="17" t="str">
        <x:v>Does the current official catalog contain a research graduate program matching the applicant's topics?</x:v>
      </x:c>
      <x:c r="H1453" s="17" t="str">
        <x:v>https://www.stthomas.edu</x:v>
      </x:c>
      <x:c r="I1453" s="17" t="str">
        <x:v>not_sampled</x:v>
      </x:c>
      <x:c r="J1453" s="17" t="str">
        <x:v>not_sampled</x:v>
      </x:c>
    </x:row>
    <x:row r="1454" ht="46" customHeight="1">
      <x:c r="A1454" s="17" t="str">
        <x:v>us</x:v>
      </x:c>
      <x:c r="B1454" s="17" t="str">
        <x:v>University of the Cumberlands</x:v>
      </x:c>
      <x:c r="C1454" s="17" t="str">
        <x:v>IPEDS discovery signal: Cyber/Computer Forensics and Counterterrorism (CIP 43.0403)</x:v>
      </x:c>
      <x:c r="D1454" s="17" t="str">
        <x:v>Unclear</x:v>
      </x:c>
      <x:c r="E1454" s="17" t="str">
        <x:v>stage2_screened_out</x:v>
      </x:c>
      <x:c r="F1454" s="17" t="str">
        <x:v>Duplicate mechanical discovery signal consolidated into one institution-level catalog review candidate.</x:v>
      </x:c>
      <x:c r="G1454" s="17" t="str">
        <x:v>Does the current official catalog contain a research graduate program matching the applicant's topics?</x:v>
      </x:c>
      <x:c r="H1454" s="17" t="str">
        <x:v>https://www.ucumberlands.edu</x:v>
      </x:c>
      <x:c r="I1454" s="17" t="str">
        <x:v>not_sampled</x:v>
      </x:c>
      <x:c r="J1454" s="17" t="str">
        <x:v>not_sampled</x:v>
      </x:c>
    </x:row>
    <x:row r="1455" ht="46" customHeight="1">
      <x:c r="A1455" s="17" t="str">
        <x:v>us</x:v>
      </x:c>
      <x:c r="B1455" s="17" t="str">
        <x:v>University of the Cumberlands</x:v>
      </x:c>
      <x:c r="C1455" s="17" t="str">
        <x:v>IPEDS discovery signal: Information Science/Studies (CIP 11.0401)</x:v>
      </x:c>
      <x:c r="D1455" s="17" t="str">
        <x:v>Unclear</x:v>
      </x:c>
      <x:c r="E1455" s="17" t="str">
        <x:v>stage2_screened_out</x:v>
      </x:c>
      <x:c r="F1455" s="17" t="str">
        <x:v>Duplicate mechanical discovery signal consolidated into one institution-level catalog review candidate.</x:v>
      </x:c>
      <x:c r="G1455" s="17" t="str">
        <x:v>Does the current official catalog contain a research graduate program matching the applicant's topics?</x:v>
      </x:c>
      <x:c r="H1455" s="17" t="str">
        <x:v>https://www.ucumberlands.edu</x:v>
      </x:c>
      <x:c r="I1455" s="17" t="str">
        <x:v>not_sampled</x:v>
      </x:c>
      <x:c r="J1455" s="17" t="str">
        <x:v>not_sampled</x:v>
      </x:c>
    </x:row>
    <x:row r="1456" ht="46" customHeight="1">
      <x:c r="A1456" s="17" t="str">
        <x:v>us</x:v>
      </x:c>
      <x:c r="B1456" s="17" t="str">
        <x:v>University of the Cumberlands</x:v>
      </x:c>
      <x:c r="C1456" s="17" t="str">
        <x:v>IPEDS discovery signal: Information Technology (CIP 11.0103)</x:v>
      </x:c>
      <x:c r="D1456" s="17" t="str">
        <x:v>Unclear</x:v>
      </x:c>
      <x:c r="E1456" s="17" t="str">
        <x:v>stage2_screened_out</x:v>
      </x:c>
      <x:c r="F1456" s="17" t="str">
        <x:v>Duplicate mechanical discovery signal consolidated into one institution-level catalog review candidate.</x:v>
      </x:c>
      <x:c r="G1456" s="17" t="str">
        <x:v>Does the current official catalog contain a research graduate program matching the applicant's topics?</x:v>
      </x:c>
      <x:c r="H1456" s="17" t="str">
        <x:v>https://www.ucumberlands.edu</x:v>
      </x:c>
      <x:c r="I1456" s="17" t="str">
        <x:v>not_sampled</x:v>
      </x:c>
      <x:c r="J1456" s="17" t="str">
        <x:v>not_sampled</x:v>
      </x:c>
    </x:row>
    <x:row r="1457" ht="46" customHeight="1">
      <x:c r="A1457" s="17" t="str">
        <x:v>us</x:v>
      </x:c>
      <x:c r="B1457" s="17" t="str">
        <x:v>University of the District of Columbia</x:v>
      </x:c>
      <x:c r="C1457" s="17" t="str">
        <x:v>IPEDS discovery signal: Computer Science (CIP 11.0701)</x:v>
      </x:c>
      <x:c r="D1457" s="17" t="str">
        <x:v>Unclear</x:v>
      </x:c>
      <x:c r="E1457" s="17" t="str">
        <x:v>stage2_screened_out</x:v>
      </x:c>
      <x:c r="F1457" s="17" t="str">
        <x:v>Only one bounded registry/program-code signal was present; no independent topical, Calendar, current-faculty, or first-audit signal was recovered.</x:v>
      </x:c>
      <x:c r="G1457" s="17" t="str">
        <x:v>Does the current official catalog contain a research graduate program matching the applicant's topics?</x:v>
      </x:c>
      <x:c r="H1457" s="17" t="str">
        <x:v>https://www.udc.edu</x:v>
      </x:c>
      <x:c r="I1457" s="17" t="str">
        <x:v>not_sampled</x:v>
      </x:c>
      <x:c r="J1457" s="17" t="str">
        <x:v>not_sampled</x:v>
      </x:c>
    </x:row>
    <x:row r="1458" ht="46" customHeight="1">
      <x:c r="A1458" s="17" t="str">
        <x:v>us</x:v>
      </x:c>
      <x:c r="B1458" s="17" t="str">
        <x:v>University of the District of Columbia</x:v>
      </x:c>
      <x:c r="C1458" s="17" t="str">
        <x:v>IPEDS discovery signal: Computer Software Engineering (CIP 14.0903)</x:v>
      </x:c>
      <x:c r="D1458" s="17" t="str">
        <x:v>Unclear</x:v>
      </x:c>
      <x:c r="E1458" s="17" t="str">
        <x:v>stage2_screened_out</x:v>
      </x:c>
      <x:c r="F1458" s="17" t="str">
        <x:v>Only one bounded registry/program-code signal was present; no independent topical, Calendar, current-faculty, or first-audit signal was recovered.</x:v>
      </x:c>
      <x:c r="G1458" s="17" t="str">
        <x:v>Does the current official catalog contain a research graduate program matching the applicant's topics?</x:v>
      </x:c>
      <x:c r="H1458" s="17" t="str">
        <x:v>https://www.udc.edu</x:v>
      </x:c>
      <x:c r="I1458" s="17" t="str">
        <x:v>not_sampled</x:v>
      </x:c>
      <x:c r="J1458" s="17" t="str">
        <x:v>not_sampled</x:v>
      </x:c>
    </x:row>
    <x:row r="1459" ht="46" customHeight="1">
      <x:c r="A1459" s="17" t="str">
        <x:v>us</x:v>
      </x:c>
      <x:c r="B1459" s="17" t="str">
        <x:v>University of the Pacific</x:v>
      </x:c>
      <x:c r="C1459" s="17" t="str">
        <x:v>IPEDS discovery signal: Computer Science (CIP 11.0701)</x:v>
      </x:c>
      <x:c r="D1459" s="17" t="str">
        <x:v>Unclear</x:v>
      </x:c>
      <x:c r="E1459" s="17" t="str">
        <x:v>stage2_screened_out</x:v>
      </x:c>
      <x:c r="F1459" s="17" t="str">
        <x:v>Only one bounded registry/program-code signal was present; no independent topical, Calendar, current-faculty, or first-audit signal was recovered.</x:v>
      </x:c>
      <x:c r="G1459" s="17" t="str">
        <x:v>Does the current official catalog contain a research graduate program matching the applicant's topics?</x:v>
      </x:c>
      <x:c r="H1459" s="17" t="str">
        <x:v>https://www.pacific.edu</x:v>
      </x:c>
      <x:c r="I1459" s="17" t="str">
        <x:v>not_sampled</x:v>
      </x:c>
      <x:c r="J1459" s="17" t="str">
        <x:v>not_sampled</x:v>
      </x:c>
    </x:row>
    <x:row r="1460" ht="46" customHeight="1">
      <x:c r="A1460" s="17" t="str">
        <x:v>us</x:v>
      </x:c>
      <x:c r="B1460" s="17" t="str">
        <x:v>University of the Pacific</x:v>
      </x:c>
      <x:c r="C1460" s="17" t="str">
        <x:v>IPEDS discovery signal: Data Science, General (CIP 30.7001)</x:v>
      </x:c>
      <x:c r="D1460" s="17" t="str">
        <x:v>Unclear</x:v>
      </x:c>
      <x:c r="E1460" s="17" t="str">
        <x:v>stage2_screened_out</x:v>
      </x:c>
      <x:c r="F1460" s="17" t="str">
        <x:v>Only one bounded registry/program-code signal was present; no independent topical, Calendar, current-faculty, or first-audit signal was recovered.</x:v>
      </x:c>
      <x:c r="G1460" s="17" t="str">
        <x:v>Does the current official catalog contain a research graduate program matching the applicant's topics?</x:v>
      </x:c>
      <x:c r="H1460" s="17" t="str">
        <x:v>https://www.pacific.edu</x:v>
      </x:c>
      <x:c r="I1460" s="17" t="str">
        <x:v>not_sampled</x:v>
      </x:c>
      <x:c r="J1460" s="17" t="str">
        <x:v>not_sampled</x:v>
      </x:c>
    </x:row>
    <x:row r="1461" ht="46" customHeight="1">
      <x:c r="A1461" s="17" t="str">
        <x:v>us</x:v>
      </x:c>
      <x:c r="B1461" s="17" t="str">
        <x:v>University of the People</x:v>
      </x:c>
      <x:c r="C1461" s="17" t="str">
        <x:v>IPEDS discovery signal: Information Technology (CIP 11.0103)</x:v>
      </x:c>
      <x:c r="D1461" s="17" t="str">
        <x:v>Unclear</x:v>
      </x:c>
      <x:c r="E1461" s="17" t="str">
        <x:v>stage2_screened_out</x:v>
      </x:c>
      <x:c r="F1461" s="17" t="str">
        <x:v>Only one bounded registry/program-code signal was present; no independent topical, Calendar, current-faculty, or first-audit signal was recovered.</x:v>
      </x:c>
      <x:c r="G1461" s="17" t="str">
        <x:v>Does the current official catalog contain a research graduate program matching the applicant's topics?</x:v>
      </x:c>
      <x:c r="H1461" s="17" t="str">
        <x:v>https://www.uopeople.edu</x:v>
      </x:c>
      <x:c r="I1461" s="17" t="str">
        <x:v>not_sampled</x:v>
      </x:c>
      <x:c r="J1461" s="17" t="str">
        <x:v>not_sampled</x:v>
      </x:c>
    </x:row>
    <x:row r="1462" ht="46" customHeight="1">
      <x:c r="A1462" s="17" t="str">
        <x:v>us</x:v>
      </x:c>
      <x:c r="B1462" s="17" t="str">
        <x:v>University of the West</x:v>
      </x:c>
      <x:c r="C1462" s="17" t="str">
        <x:v>IPEDS discovery signal: Information Science/Studies (CIP 11.0401)</x:v>
      </x:c>
      <x:c r="D1462" s="17" t="str">
        <x:v>Unclear</x:v>
      </x:c>
      <x:c r="E1462" s="17" t="str">
        <x:v>stage2_screened_out</x:v>
      </x:c>
      <x:c r="F1462" s="17" t="str">
        <x:v>Only one bounded registry/program-code signal was present; no independent topical, Calendar, current-faculty, or first-audit signal was recovered.</x:v>
      </x:c>
      <x:c r="G1462" s="17" t="str">
        <x:v>Does the current official catalog contain a research graduate program matching the applicant's topics?</x:v>
      </x:c>
      <x:c r="H1462" s="17" t="str">
        <x:v>https://www.uwest.edu</x:v>
      </x:c>
      <x:c r="I1462" s="17" t="str">
        <x:v>not_sampled</x:v>
      </x:c>
      <x:c r="J1462" s="17" t="str">
        <x:v>not_sampled</x:v>
      </x:c>
    </x:row>
    <x:row r="1463" ht="46" customHeight="1">
      <x:c r="A1463" s="17" t="str">
        <x:v>us</x:v>
      </x:c>
      <x:c r="B1463" s="17" t="str">
        <x:v>University of Toledo</x:v>
      </x:c>
      <x:c r="C1463" s="17" t="str">
        <x:v>IPEDS discovery signal: Electrical and Electronics Engineering (CIP 14.1001)</x:v>
      </x:c>
      <x:c r="D1463" s="17" t="str">
        <x:v>Unclear</x:v>
      </x:c>
      <x:c r="E1463" s="17" t="str">
        <x:v>stage2_screened_out</x:v>
      </x:c>
      <x:c r="F1463" s="17" t="str">
        <x:v>Duplicate mechanical discovery signal consolidated into one institution-level catalog review candidate.</x:v>
      </x:c>
      <x:c r="G1463" s="17" t="str">
        <x:v>Does the current official catalog contain a research graduate program matching the applicant's topics?</x:v>
      </x:c>
      <x:c r="H1463" s="17" t="str">
        <x:v>https://www.utoledo.edu</x:v>
      </x:c>
      <x:c r="I1463" s="17" t="str">
        <x:v>not_sampled</x:v>
      </x:c>
      <x:c r="J1463" s="17" t="str">
        <x:v>not_sampled</x:v>
      </x:c>
    </x:row>
    <x:row r="1464" ht="46" customHeight="1">
      <x:c r="A1464" s="17" t="str">
        <x:v>us</x:v>
      </x:c>
      <x:c r="B1464" s="17" t="str">
        <x:v>University of Toledo</x:v>
      </x:c>
      <x:c r="C1464" s="17" t="str">
        <x:v>IPEDS discovery signal: Information Science/Studies (CIP 11.0401)</x:v>
      </x:c>
      <x:c r="D1464" s="17" t="str">
        <x:v>Unclear</x:v>
      </x:c>
      <x:c r="E1464" s="17" t="str">
        <x:v>stage2_screened_out</x:v>
      </x:c>
      <x:c r="F1464" s="17" t="str">
        <x:v>Duplicate mechanical discovery signal consolidated into one institution-level catalog review candidate.</x:v>
      </x:c>
      <x:c r="G1464" s="17" t="str">
        <x:v>Does the current official catalog contain a research graduate program matching the applicant's topics?</x:v>
      </x:c>
      <x:c r="H1464" s="17" t="str">
        <x:v>https://www.utoledo.edu</x:v>
      </x:c>
      <x:c r="I1464" s="17" t="str">
        <x:v>not_sampled</x:v>
      </x:c>
      <x:c r="J1464" s="17" t="str">
        <x:v>not_sampled</x:v>
      </x:c>
    </x:row>
    <x:row r="1465" ht="46" customHeight="1">
      <x:c r="A1465" s="17" t="str">
        <x:v>us</x:v>
      </x:c>
      <x:c r="B1465" s="17" t="str">
        <x:v>University of Tulsa</x:v>
      </x:c>
      <x:c r="C1465" s="17" t="str">
        <x:v>IPEDS discovery signal: Computer Engineering, General (CIP 14.0901)</x:v>
      </x:c>
      <x:c r="D1465" s="17" t="str">
        <x:v>Unclear</x:v>
      </x:c>
      <x:c r="E1465" s="17" t="str">
        <x:v>stage2_screened_out</x:v>
      </x:c>
      <x:c r="F1465" s="17" t="str">
        <x:v>Duplicate mechanical discovery signal consolidated into one institution-level catalog review candidate.</x:v>
      </x:c>
      <x:c r="G1465" s="17" t="str">
        <x:v>Does the current official catalog contain a research graduate program matching the applicant's topics?</x:v>
      </x:c>
      <x:c r="H1465" s="17" t="str">
        <x:v>https://utulsa.edu</x:v>
      </x:c>
      <x:c r="I1465" s="17" t="str">
        <x:v>not_sampled</x:v>
      </x:c>
      <x:c r="J1465" s="17" t="str">
        <x:v>not_sampled</x:v>
      </x:c>
    </x:row>
    <x:row r="1466" ht="46" customHeight="1">
      <x:c r="A1466" s="17" t="str">
        <x:v>us</x:v>
      </x:c>
      <x:c r="B1466" s="17" t="str">
        <x:v>University of Tulsa</x:v>
      </x:c>
      <x:c r="C1466" s="17" t="str">
        <x:v>IPEDS discovery signal: Computer Science (CIP 11.0701)</x:v>
      </x:c>
      <x:c r="D1466" s="17" t="str">
        <x:v>Unclear</x:v>
      </x:c>
      <x:c r="E1466" s="17" t="str">
        <x:v>stage2_screened_out</x:v>
      </x:c>
      <x:c r="F1466" s="17" t="str">
        <x:v>Duplicate mechanical discovery signal consolidated into one institution-level catalog review candidate.</x:v>
      </x:c>
      <x:c r="G1466" s="17" t="str">
        <x:v>Does the current official catalog contain a research graduate program matching the applicant's topics?</x:v>
      </x:c>
      <x:c r="H1466" s="17" t="str">
        <x:v>https://utulsa.edu</x:v>
      </x:c>
      <x:c r="I1466" s="17" t="str">
        <x:v>not_sampled</x:v>
      </x:c>
      <x:c r="J1466" s="17" t="str">
        <x:v>not_sampled</x:v>
      </x:c>
    </x:row>
    <x:row r="1467" ht="46" customHeight="1">
      <x:c r="A1467" s="17" t="str">
        <x:v>us</x:v>
      </x:c>
      <x:c r="B1467" s="17" t="str">
        <x:v>University of Tulsa</x:v>
      </x:c>
      <x:c r="C1467" s="17" t="str">
        <x:v>IPEDS discovery signal: Electrical and Electronics Engineering (CIP 14.1001)</x:v>
      </x:c>
      <x:c r="D1467" s="17" t="str">
        <x:v>Unclear</x:v>
      </x:c>
      <x:c r="E1467" s="17" t="str">
        <x:v>stage2_screened_out</x:v>
      </x:c>
      <x:c r="F1467" s="17" t="str">
        <x:v>Duplicate mechanical discovery signal consolidated into one institution-level catalog review candidate.</x:v>
      </x:c>
      <x:c r="G1467" s="17" t="str">
        <x:v>Does the current official catalog contain a research graduate program matching the applicant's topics?</x:v>
      </x:c>
      <x:c r="H1467" s="17" t="str">
        <x:v>https://utulsa.edu</x:v>
      </x:c>
      <x:c r="I1467" s="17" t="str">
        <x:v>not_sampled</x:v>
      </x:c>
      <x:c r="J1467" s="17" t="str">
        <x:v>not_sampled</x:v>
      </x:c>
    </x:row>
    <x:row r="1468" ht="46" customHeight="1">
      <x:c r="A1468" s="17" t="str">
        <x:v>us</x:v>
      </x:c>
      <x:c r="B1468" s="17" t="str">
        <x:v>University of Utah</x:v>
      </x:c>
      <x:c r="C1468" s="17" t="str">
        <x:v>IPEDS discovery signal: Computer and Information Sciences, General (CIP 11.0101)</x:v>
      </x:c>
      <x:c r="D1468" s="17" t="str">
        <x:v>Unclear</x:v>
      </x:c>
      <x:c r="E1468" s="17" t="str">
        <x:v>stage2_screened_out</x:v>
      </x:c>
      <x:c r="F1468" s="17" t="str">
        <x:v>Duplicate mechanical discovery signal consolidated into one institution-level catalog review candidate.</x:v>
      </x:c>
      <x:c r="G1468" s="17" t="str">
        <x:v>Does the current official catalog contain a research graduate program matching the applicant's topics?</x:v>
      </x:c>
      <x:c r="H1468" s="17" t="str">
        <x:v>https://www.utah.edu</x:v>
      </x:c>
      <x:c r="I1468" s="17" t="str">
        <x:v>not_sampled</x:v>
      </x:c>
      <x:c r="J1468" s="17" t="str">
        <x:v>not_sampled</x:v>
      </x:c>
    </x:row>
    <x:row r="1469" ht="46" customHeight="1">
      <x:c r="A1469" s="17" t="str">
        <x:v>us</x:v>
      </x:c>
      <x:c r="B1469" s="17" t="str">
        <x:v>University of Utah</x:v>
      </x:c>
      <x:c r="C1469" s="17" t="str">
        <x:v>IPEDS discovery signal: Computer Science (CIP 11.0701)</x:v>
      </x:c>
      <x:c r="D1469" s="17" t="str">
        <x:v>Unclear</x:v>
      </x:c>
      <x:c r="E1469" s="17" t="str">
        <x:v>stage2_screened_out</x:v>
      </x:c>
      <x:c r="F1469" s="17" t="str">
        <x:v>Duplicate mechanical discovery signal consolidated into one institution-level catalog review candidate.</x:v>
      </x:c>
      <x:c r="G1469" s="17" t="str">
        <x:v>Does the current official catalog contain a research graduate program matching the applicant's topics?</x:v>
      </x:c>
      <x:c r="H1469" s="17" t="str">
        <x:v>https://www.utah.edu</x:v>
      </x:c>
      <x:c r="I1469" s="17" t="str">
        <x:v>not_sampled</x:v>
      </x:c>
      <x:c r="J1469" s="17" t="str">
        <x:v>not_sampled</x:v>
      </x:c>
    </x:row>
    <x:row r="1470" ht="46" customHeight="1">
      <x:c r="A1470" s="17" t="str">
        <x:v>us</x:v>
      </x:c>
      <x:c r="B1470" s="17" t="str">
        <x:v>University of Utah</x:v>
      </x:c>
      <x:c r="C1470" s="17" t="str">
        <x:v>IPEDS discovery signal: Computer Software Engineering (CIP 14.0903)</x:v>
      </x:c>
      <x:c r="D1470" s="17" t="str">
        <x:v>Unclear</x:v>
      </x:c>
      <x:c r="E1470" s="17" t="str">
        <x:v>stage2_screened_out</x:v>
      </x:c>
      <x:c r="F1470" s="17" t="str">
        <x:v>Duplicate mechanical discovery signal consolidated into one institution-level catalog review candidate.</x:v>
      </x:c>
      <x:c r="G1470" s="17" t="str">
        <x:v>Does the current official catalog contain a research graduate program matching the applicant's topics?</x:v>
      </x:c>
      <x:c r="H1470" s="17" t="str">
        <x:v>https://www.utah.edu</x:v>
      </x:c>
      <x:c r="I1470" s="17" t="str">
        <x:v>not_sampled</x:v>
      </x:c>
      <x:c r="J1470" s="17" t="str">
        <x:v>not_sampled</x:v>
      </x:c>
    </x:row>
    <x:row r="1471" ht="46" customHeight="1">
      <x:c r="A1471" s="17" t="str">
        <x:v>us</x:v>
      </x:c>
      <x:c r="B1471" s="17" t="str">
        <x:v>University of Utah</x:v>
      </x:c>
      <x:c r="C1471" s="17" t="str">
        <x:v>IPEDS discovery signal: Electrical and Electronics Engineering (CIP 14.1001)</x:v>
      </x:c>
      <x:c r="D1471" s="17" t="str">
        <x:v>Unclear</x:v>
      </x:c>
      <x:c r="E1471" s="17" t="str">
        <x:v>stage2_screened_out</x:v>
      </x:c>
      <x:c r="F1471" s="17" t="str">
        <x:v>Duplicate mechanical discovery signal consolidated into one institution-level catalog review candidate.</x:v>
      </x:c>
      <x:c r="G1471" s="17" t="str">
        <x:v>Does the current official catalog contain a research graduate program matching the applicant's topics?</x:v>
      </x:c>
      <x:c r="H1471" s="17" t="str">
        <x:v>https://www.utah.edu</x:v>
      </x:c>
      <x:c r="I1471" s="17" t="str">
        <x:v>not_sampled</x:v>
      </x:c>
      <x:c r="J1471" s="17" t="str">
        <x:v>not_sampled</x:v>
      </x:c>
    </x:row>
    <x:row r="1472" ht="46" customHeight="1">
      <x:c r="A1472" s="17" t="str">
        <x:v>us</x:v>
      </x:c>
      <x:c r="B1472" s="17" t="str">
        <x:v>University of Utah</x:v>
      </x:c>
      <x:c r="C1472" s="17" t="str">
        <x:v>IPEDS discovery signal: Information Science/Studies (CIP 11.0401)</x:v>
      </x:c>
      <x:c r="D1472" s="17" t="str">
        <x:v>Unclear</x:v>
      </x:c>
      <x:c r="E1472" s="17" t="str">
        <x:v>stage2_screened_out</x:v>
      </x:c>
      <x:c r="F1472" s="17" t="str">
        <x:v>Duplicate mechanical discovery signal consolidated into one institution-level catalog review candidate.</x:v>
      </x:c>
      <x:c r="G1472" s="17" t="str">
        <x:v>Does the current official catalog contain a research graduate program matching the applicant's topics?</x:v>
      </x:c>
      <x:c r="H1472" s="17" t="str">
        <x:v>https://www.utah.edu</x:v>
      </x:c>
      <x:c r="I1472" s="17" t="str">
        <x:v>not_sampled</x:v>
      </x:c>
      <x:c r="J1472" s="17" t="str">
        <x:v>not_sampled</x:v>
      </x:c>
    </x:row>
    <x:row r="1473" ht="46" customHeight="1">
      <x:c r="A1473" s="17" t="str">
        <x:v>us</x:v>
      </x:c>
      <x:c r="B1473" s="17" t="str">
        <x:v>University of Vermont</x:v>
      </x:c>
      <x:c r="C1473" s="17" t="str">
        <x:v>IPEDS discovery signal: Computer Science (CIP 11.0701)</x:v>
      </x:c>
      <x:c r="D1473" s="17" t="str">
        <x:v>Unclear</x:v>
      </x:c>
      <x:c r="E1473" s="17" t="str">
        <x:v>stage2_screened_out</x:v>
      </x:c>
      <x:c r="F1473" s="17" t="str">
        <x:v>Only one bounded registry/program-code signal was present; no independent topical, Calendar, current-faculty, or first-audit signal was recovered.</x:v>
      </x:c>
      <x:c r="G1473" s="17" t="str">
        <x:v>Does the current official catalog contain a research graduate program matching the applicant's topics?</x:v>
      </x:c>
      <x:c r="H1473" s="17" t="str">
        <x:v>https://www.uvm.edu</x:v>
      </x:c>
      <x:c r="I1473" s="17" t="str">
        <x:v>not_sampled</x:v>
      </x:c>
      <x:c r="J1473" s="17" t="str">
        <x:v>not_sampled</x:v>
      </x:c>
    </x:row>
    <x:row r="1474" ht="46" customHeight="1">
      <x:c r="A1474" s="17" t="str">
        <x:v>us</x:v>
      </x:c>
      <x:c r="B1474" s="17" t="str">
        <x:v>University of Vermont</x:v>
      </x:c>
      <x:c r="C1474" s="17" t="str">
        <x:v>IPEDS discovery signal: Electrical and Electronics Engineering (CIP 14.1001)</x:v>
      </x:c>
      <x:c r="D1474" s="17" t="str">
        <x:v>Unclear</x:v>
      </x:c>
      <x:c r="E1474" s="17" t="str">
        <x:v>stage2_screened_out</x:v>
      </x:c>
      <x:c r="F1474" s="17" t="str">
        <x:v>Only one bounded registry/program-code signal was present; no independent topical, Calendar, current-faculty, or first-audit signal was recovered.</x:v>
      </x:c>
      <x:c r="G1474" s="17" t="str">
        <x:v>Does the current official catalog contain a research graduate program matching the applicant's topics?</x:v>
      </x:c>
      <x:c r="H1474" s="17" t="str">
        <x:v>https://www.uvm.edu</x:v>
      </x:c>
      <x:c r="I1474" s="17" t="str">
        <x:v>not_sampled</x:v>
      </x:c>
      <x:c r="J1474" s="17" t="str">
        <x:v>not_sampled</x:v>
      </x:c>
    </x:row>
    <x:row r="1475" ht="46" customHeight="1">
      <x:c r="A1475" s="17" t="str">
        <x:v>us</x:v>
      </x:c>
      <x:c r="B1475" s="17" t="str">
        <x:v>University of Virginia-Main Campus</x:v>
      </x:c>
      <x:c r="C1475" s="17" t="str">
        <x:v>IPEDS discovery signal: Computer Engineering, General (CIP 14.0901)</x:v>
      </x:c>
      <x:c r="D1475" s="17" t="str">
        <x:v>Unclear</x:v>
      </x:c>
      <x:c r="E1475" s="17" t="str">
        <x:v>stage2_screened_out</x:v>
      </x:c>
      <x:c r="F1475" s="17" t="str">
        <x:v>Duplicate mechanical discovery signal consolidated into one institution-level catalog review candidate.</x:v>
      </x:c>
      <x:c r="G1475" s="17" t="str">
        <x:v>Does the current official catalog contain a research graduate program matching the applicant's topics?</x:v>
      </x:c>
      <x:c r="H1475" s="17" t="str">
        <x:v>https://www.virginia.edu</x:v>
      </x:c>
      <x:c r="I1475" s="17" t="str">
        <x:v>not_sampled</x:v>
      </x:c>
      <x:c r="J1475" s="17" t="str">
        <x:v>not_sampled</x:v>
      </x:c>
    </x:row>
    <x:row r="1476" ht="46" customHeight="1">
      <x:c r="A1476" s="17" t="str">
        <x:v>us</x:v>
      </x:c>
      <x:c r="B1476" s="17" t="str">
        <x:v>University of Virginia-Main Campus</x:v>
      </x:c>
      <x:c r="C1476" s="17" t="str">
        <x:v>IPEDS discovery signal: Data Science, General (CIP 30.7001)</x:v>
      </x:c>
      <x:c r="D1476" s="17" t="str">
        <x:v>Unclear</x:v>
      </x:c>
      <x:c r="E1476" s="17" t="str">
        <x:v>stage2_screened_out</x:v>
      </x:c>
      <x:c r="F1476" s="17" t="str">
        <x:v>Duplicate mechanical discovery signal consolidated into one institution-level catalog review candidate.</x:v>
      </x:c>
      <x:c r="G1476" s="17" t="str">
        <x:v>Does the current official catalog contain a research graduate program matching the applicant's topics?</x:v>
      </x:c>
      <x:c r="H1476" s="17" t="str">
        <x:v>https://www.virginia.edu</x:v>
      </x:c>
      <x:c r="I1476" s="17" t="str">
        <x:v>not_sampled</x:v>
      </x:c>
      <x:c r="J1476" s="17" t="str">
        <x:v>not_sampled</x:v>
      </x:c>
    </x:row>
    <x:row r="1477" ht="46" customHeight="1">
      <x:c r="A1477" s="17" t="str">
        <x:v>us</x:v>
      </x:c>
      <x:c r="B1477" s="17" t="str">
        <x:v>University of Virginia-Main Campus</x:v>
      </x:c>
      <x:c r="C1477" s="17" t="str">
        <x:v>IPEDS discovery signal: Electrical and Electronics Engineering (CIP 14.1001)</x:v>
      </x:c>
      <x:c r="D1477" s="17" t="str">
        <x:v>Unclear</x:v>
      </x:c>
      <x:c r="E1477" s="17" t="str">
        <x:v>stage2_screened_out</x:v>
      </x:c>
      <x:c r="F1477" s="17" t="str">
        <x:v>Duplicate mechanical discovery signal consolidated into one institution-level catalog review candidate.</x:v>
      </x:c>
      <x:c r="G1477" s="17" t="str">
        <x:v>Does the current official catalog contain a research graduate program matching the applicant's topics?</x:v>
      </x:c>
      <x:c r="H1477" s="17" t="str">
        <x:v>https://www.virginia.edu</x:v>
      </x:c>
      <x:c r="I1477" s="17" t="str">
        <x:v>not_sampled</x:v>
      </x:c>
      <x:c r="J1477" s="17" t="str">
        <x:v>not_sampled</x:v>
      </x:c>
    </x:row>
    <x:row r="1478" ht="46" customHeight="1">
      <x:c r="A1478" s="17" t="str">
        <x:v>us</x:v>
      </x:c>
      <x:c r="B1478" s="17" t="str">
        <x:v>University of Washington-Bothell Campus</x:v>
      </x:c>
      <x:c r="C1478" s="17" t="str">
        <x:v>IPEDS discovery signal: Computer and Information Systems Security/Auditing/Information Assurance (CIP 11.1003)</x:v>
      </x:c>
      <x:c r="D1478" s="17" t="str">
        <x:v>Unclear</x:v>
      </x:c>
      <x:c r="E1478" s="17" t="str">
        <x:v>stage2_screened_out</x:v>
      </x:c>
      <x:c r="F1478" s="17" t="str">
        <x:v>Only one bounded registry/program-code signal was present; no independent topical, Calendar, current-faculty, or first-audit signal was recovered.</x:v>
      </x:c>
      <x:c r="G1478" s="17" t="str">
        <x:v>Does the current official catalog contain a research graduate program matching the applicant's topics?</x:v>
      </x:c>
      <x:c r="H1478" s="17" t="str">
        <x:v>https://www.uwb.edu</x:v>
      </x:c>
      <x:c r="I1478" s="17" t="str">
        <x:v>not_sampled</x:v>
      </x:c>
      <x:c r="J1478" s="17" t="str">
        <x:v>not_sampled</x:v>
      </x:c>
    </x:row>
    <x:row r="1479" ht="46" customHeight="1">
      <x:c r="A1479" s="17" t="str">
        <x:v>us</x:v>
      </x:c>
      <x:c r="B1479" s="17" t="str">
        <x:v>University of Washington-Bothell Campus</x:v>
      </x:c>
      <x:c r="C1479" s="17" t="str">
        <x:v>IPEDS discovery signal: Computer Science (CIP 11.0701)</x:v>
      </x:c>
      <x:c r="D1479" s="17" t="str">
        <x:v>Unclear</x:v>
      </x:c>
      <x:c r="E1479" s="17" t="str">
        <x:v>stage2_screened_out</x:v>
      </x:c>
      <x:c r="F1479" s="17" t="str">
        <x:v>Only one bounded registry/program-code signal was present; no independent topical, Calendar, current-faculty, or first-audit signal was recovered.</x:v>
      </x:c>
      <x:c r="G1479" s="17" t="str">
        <x:v>Does the current official catalog contain a research graduate program matching the applicant's topics?</x:v>
      </x:c>
      <x:c r="H1479" s="17" t="str">
        <x:v>https://www.uwb.edu</x:v>
      </x:c>
      <x:c r="I1479" s="17" t="str">
        <x:v>not_sampled</x:v>
      </x:c>
      <x:c r="J1479" s="17" t="str">
        <x:v>not_sampled</x:v>
      </x:c>
    </x:row>
    <x:row r="1480" ht="46" customHeight="1">
      <x:c r="A1480" s="17" t="str">
        <x:v>us</x:v>
      </x:c>
      <x:c r="B1480" s="17" t="str">
        <x:v>University of Washington-Bothell Campus</x:v>
      </x:c>
      <x:c r="C1480" s="17" t="str">
        <x:v>IPEDS discovery signal: Electrical and Electronics Engineering (CIP 14.1001)</x:v>
      </x:c>
      <x:c r="D1480" s="17" t="str">
        <x:v>Unclear</x:v>
      </x:c>
      <x:c r="E1480" s="17" t="str">
        <x:v>stage2_screened_out</x:v>
      </x:c>
      <x:c r="F1480" s="17" t="str">
        <x:v>Only one bounded registry/program-code signal was present; no independent topical, Calendar, current-faculty, or first-audit signal was recovered.</x:v>
      </x:c>
      <x:c r="G1480" s="17" t="str">
        <x:v>Does the current official catalog contain a research graduate program matching the applicant's topics?</x:v>
      </x:c>
      <x:c r="H1480" s="17" t="str">
        <x:v>https://www.uwb.edu</x:v>
      </x:c>
      <x:c r="I1480" s="17" t="str">
        <x:v>not_sampled</x:v>
      </x:c>
      <x:c r="J1480" s="17" t="str">
        <x:v>not_sampled</x:v>
      </x:c>
    </x:row>
    <x:row r="1481" ht="46" customHeight="1">
      <x:c r="A1481" s="17" t="str">
        <x:v>us</x:v>
      </x:c>
      <x:c r="B1481" s="17" t="str">
        <x:v>University of Washington-Seattle Campus</x:v>
      </x:c>
      <x:c r="C1481" s="17" t="str">
        <x:v>IPEDS discovery signal: Artificial Intelligence (CIP 11.0102)</x:v>
      </x:c>
      <x:c r="D1481" s="17" t="str">
        <x:v>Unclear</x:v>
      </x:c>
      <x:c r="E1481" s="17" t="str">
        <x:v>stage2_screened_out</x:v>
      </x:c>
      <x:c r="F1481" s="17" t="str">
        <x:v>Only one bounded registry/program-code signal was present; no independent topical, Calendar, current-faculty, or first-audit signal was recovered.</x:v>
      </x:c>
      <x:c r="G1481" s="17" t="str">
        <x:v>Does the current official catalog contain a research graduate program matching the applicant's topics?</x:v>
      </x:c>
      <x:c r="H1481" s="17" t="str">
        <x:v>https://www.washington.edu</x:v>
      </x:c>
      <x:c r="I1481" s="17" t="str">
        <x:v>not_sampled</x:v>
      </x:c>
      <x:c r="J1481" s="17" t="str">
        <x:v>not_sampled</x:v>
      </x:c>
    </x:row>
    <x:row r="1482" ht="46" customHeight="1">
      <x:c r="A1482" s="17" t="str">
        <x:v>us</x:v>
      </x:c>
      <x:c r="B1482" s="17" t="str">
        <x:v>University of Washington-Seattle Campus</x:v>
      </x:c>
      <x:c r="C1482" s="17" t="str">
        <x:v>IPEDS discovery signal: Computer and Information Sciences, General (CIP 11.0101)</x:v>
      </x:c>
      <x:c r="D1482" s="17" t="str">
        <x:v>Unclear</x:v>
      </x:c>
      <x:c r="E1482" s="17" t="str">
        <x:v>stage2_screened_out</x:v>
      </x:c>
      <x:c r="F1482" s="17" t="str">
        <x:v>Only one bounded registry/program-code signal was present; no independent topical, Calendar, current-faculty, or first-audit signal was recovered.</x:v>
      </x:c>
      <x:c r="G1482" s="17" t="str">
        <x:v>Does the current official catalog contain a research graduate program matching the applicant's topics?</x:v>
      </x:c>
      <x:c r="H1482" s="17" t="str">
        <x:v>https://www.washington.edu</x:v>
      </x:c>
      <x:c r="I1482" s="17" t="str">
        <x:v>not_sampled</x:v>
      </x:c>
      <x:c r="J1482" s="17" t="str">
        <x:v>not_sampled</x:v>
      </x:c>
    </x:row>
    <x:row r="1483" ht="46" customHeight="1">
      <x:c r="A1483" s="17" t="str">
        <x:v>us</x:v>
      </x:c>
      <x:c r="B1483" s="17" t="str">
        <x:v>University of Washington-Seattle Campus</x:v>
      </x:c>
      <x:c r="C1483" s="17" t="str">
        <x:v>IPEDS discovery signal: Computer Science (CIP 11.0701)</x:v>
      </x:c>
      <x:c r="D1483" s="17" t="str">
        <x:v>Unclear</x:v>
      </x:c>
      <x:c r="E1483" s="17" t="str">
        <x:v>stage2_screened_out</x:v>
      </x:c>
      <x:c r="F1483" s="17" t="str">
        <x:v>Only one bounded registry/program-code signal was present; no independent topical, Calendar, current-faculty, or first-audit signal was recovered.</x:v>
      </x:c>
      <x:c r="G1483" s="17" t="str">
        <x:v>Does the current official catalog contain a research graduate program matching the applicant's topics?</x:v>
      </x:c>
      <x:c r="H1483" s="17" t="str">
        <x:v>https://www.washington.edu</x:v>
      </x:c>
      <x:c r="I1483" s="17" t="str">
        <x:v>not_sampled</x:v>
      </x:c>
      <x:c r="J1483" s="17" t="str">
        <x:v>not_sampled</x:v>
      </x:c>
    </x:row>
    <x:row r="1484" ht="46" customHeight="1">
      <x:c r="A1484" s="17" t="str">
        <x:v>us</x:v>
      </x:c>
      <x:c r="B1484" s="17" t="str">
        <x:v>University of Washington-Seattle Campus</x:v>
      </x:c>
      <x:c r="C1484" s="17" t="str">
        <x:v>IPEDS discovery signal: Electrical and Electronics Engineering (CIP 14.1001)</x:v>
      </x:c>
      <x:c r="D1484" s="17" t="str">
        <x:v>Unclear</x:v>
      </x:c>
      <x:c r="E1484" s="17" t="str">
        <x:v>stage2_screened_out</x:v>
      </x:c>
      <x:c r="F1484" s="17" t="str">
        <x:v>Only one bounded registry/program-code signal was present; no independent topical, Calendar, current-faculty, or first-audit signal was recovered.</x:v>
      </x:c>
      <x:c r="G1484" s="17" t="str">
        <x:v>Does the current official catalog contain a research graduate program matching the applicant's topics?</x:v>
      </x:c>
      <x:c r="H1484" s="17" t="str">
        <x:v>https://www.washington.edu</x:v>
      </x:c>
      <x:c r="I1484" s="17" t="str">
        <x:v>not_sampled</x:v>
      </x:c>
      <x:c r="J1484" s="17" t="str">
        <x:v>not_sampled</x:v>
      </x:c>
    </x:row>
    <x:row r="1485" ht="46" customHeight="1">
      <x:c r="A1485" s="17" t="str">
        <x:v>us</x:v>
      </x:c>
      <x:c r="B1485" s="17" t="str">
        <x:v>University of Washington-Seattle Campus</x:v>
      </x:c>
      <x:c r="C1485" s="17" t="str">
        <x:v>IPEDS discovery signal: Human-Centered Technology Design (CIP 11.0105)</x:v>
      </x:c>
      <x:c r="D1485" s="17" t="str">
        <x:v>Unclear</x:v>
      </x:c>
      <x:c r="E1485" s="17" t="str">
        <x:v>stage2_screened_out</x:v>
      </x:c>
      <x:c r="F1485" s="17" t="str">
        <x:v>Only one bounded registry/program-code signal was present; no independent topical, Calendar, current-faculty, or first-audit signal was recovered.</x:v>
      </x:c>
      <x:c r="G1485" s="17" t="str">
        <x:v>Does the current official catalog contain a research graduate program matching the applicant's topics?</x:v>
      </x:c>
      <x:c r="H1485" s="17" t="str">
        <x:v>https://www.washington.edu</x:v>
      </x:c>
      <x:c r="I1485" s="17" t="str">
        <x:v>not_sampled</x:v>
      </x:c>
      <x:c r="J1485" s="17" t="str">
        <x:v>not_sampled</x:v>
      </x:c>
    </x:row>
    <x:row r="1486" ht="46" customHeight="1">
      <x:c r="A1486" s="17" t="str">
        <x:v>us</x:v>
      </x:c>
      <x:c r="B1486" s="17" t="str">
        <x:v>University of Washington-Seattle Campus</x:v>
      </x:c>
      <x:c r="C1486" s="17" t="str">
        <x:v>IPEDS discovery signal: Information Science/Studies (CIP 11.0401)</x:v>
      </x:c>
      <x:c r="D1486" s="17" t="str">
        <x:v>Unclear</x:v>
      </x:c>
      <x:c r="E1486" s="17" t="str">
        <x:v>stage2_screened_out</x:v>
      </x:c>
      <x:c r="F1486" s="17" t="str">
        <x:v>Only one bounded registry/program-code signal was present; no independent topical, Calendar, current-faculty, or first-audit signal was recovered.</x:v>
      </x:c>
      <x:c r="G1486" s="17" t="str">
        <x:v>Does the current official catalog contain a research graduate program matching the applicant's topics?</x:v>
      </x:c>
      <x:c r="H1486" s="17" t="str">
        <x:v>https://www.washington.edu</x:v>
      </x:c>
      <x:c r="I1486" s="17" t="str">
        <x:v>not_sampled</x:v>
      </x:c>
      <x:c r="J1486" s="17" t="str">
        <x:v>not_sampled</x:v>
      </x:c>
    </x:row>
    <x:row r="1487" ht="46" customHeight="1">
      <x:c r="A1487" s="17" t="str">
        <x:v>us</x:v>
      </x:c>
      <x:c r="B1487" s="17" t="str">
        <x:v>University of Washington-Seattle Campus</x:v>
      </x:c>
      <x:c r="C1487" s="17" t="str">
        <x:v>IPEDS discovery signal: Information Technology (CIP 11.0103)</x:v>
      </x:c>
      <x:c r="D1487" s="17" t="str">
        <x:v>Unclear</x:v>
      </x:c>
      <x:c r="E1487" s="17" t="str">
        <x:v>stage2_screened_out</x:v>
      </x:c>
      <x:c r="F1487" s="17" t="str">
        <x:v>Only one bounded registry/program-code signal was present; no independent topical, Calendar, current-faculty, or first-audit signal was recovered.</x:v>
      </x:c>
      <x:c r="G1487" s="17" t="str">
        <x:v>Does the current official catalog contain a research graduate program matching the applicant's topics?</x:v>
      </x:c>
      <x:c r="H1487" s="17" t="str">
        <x:v>https://www.washington.edu</x:v>
      </x:c>
      <x:c r="I1487" s="17" t="str">
        <x:v>not_sampled</x:v>
      </x:c>
      <x:c r="J1487" s="17" t="str">
        <x:v>not_sampled</x:v>
      </x:c>
    </x:row>
    <x:row r="1488" ht="46" customHeight="1">
      <x:c r="A1488" s="17" t="str">
        <x:v>us</x:v>
      </x:c>
      <x:c r="B1488" s="17" t="str">
        <x:v>University of Washington-Tacoma Campus</x:v>
      </x:c>
      <x:c r="C1488" s="17" t="str">
        <x:v>IPEDS discovery signal: Computer and Information Sciences, General (CIP 11.0101)</x:v>
      </x:c>
      <x:c r="D1488" s="17" t="str">
        <x:v>Unclear</x:v>
      </x:c>
      <x:c r="E1488" s="17" t="str">
        <x:v>stage2_screened_out</x:v>
      </x:c>
      <x:c r="F1488" s="17" t="str">
        <x:v>Only one bounded registry/program-code signal was present; no independent topical, Calendar, current-faculty, or first-audit signal was recovered.</x:v>
      </x:c>
      <x:c r="G1488" s="17" t="str">
        <x:v>Does the current official catalog contain a research graduate program matching the applicant's topics?</x:v>
      </x:c>
      <x:c r="H1488" s="17" t="str">
        <x:v>https://www.tacoma.uw.edu</x:v>
      </x:c>
      <x:c r="I1488" s="17" t="str">
        <x:v>not_sampled</x:v>
      </x:c>
      <x:c r="J1488" s="17" t="str">
        <x:v>not_sampled</x:v>
      </x:c>
    </x:row>
    <x:row r="1489" ht="46" customHeight="1">
      <x:c r="A1489" s="17" t="str">
        <x:v>us</x:v>
      </x:c>
      <x:c r="B1489" s="17" t="str">
        <x:v>University of Washington-Tacoma Campus</x:v>
      </x:c>
      <x:c r="C1489" s="17" t="str">
        <x:v>IPEDS discovery signal: Computer and Information Systems Security/Auditing/Information Assurance (CIP 11.1003)</x:v>
      </x:c>
      <x:c r="D1489" s="17" t="str">
        <x:v>Unclear</x:v>
      </x:c>
      <x:c r="E1489" s="17" t="str">
        <x:v>stage2_screened_out</x:v>
      </x:c>
      <x:c r="F1489" s="17" t="str">
        <x:v>Only one bounded registry/program-code signal was present; no independent topical, Calendar, current-faculty, or first-audit signal was recovered.</x:v>
      </x:c>
      <x:c r="G1489" s="17" t="str">
        <x:v>Does the current official catalog contain a research graduate program matching the applicant's topics?</x:v>
      </x:c>
      <x:c r="H1489" s="17" t="str">
        <x:v>https://www.tacoma.uw.edu</x:v>
      </x:c>
      <x:c r="I1489" s="17" t="str">
        <x:v>not_sampled</x:v>
      </x:c>
      <x:c r="J1489" s="17" t="str">
        <x:v>not_sampled</x:v>
      </x:c>
    </x:row>
    <x:row r="1490" ht="46" customHeight="1">
      <x:c r="A1490" s="17" t="str">
        <x:v>us</x:v>
      </x:c>
      <x:c r="B1490" s="17" t="str">
        <x:v>University of Washington-Tacoma Campus</x:v>
      </x:c>
      <x:c r="C1490" s="17" t="str">
        <x:v>IPEDS discovery signal: Computer Science (CIP 11.0701)</x:v>
      </x:c>
      <x:c r="D1490" s="17" t="str">
        <x:v>Unclear</x:v>
      </x:c>
      <x:c r="E1490" s="17" t="str">
        <x:v>stage2_screened_out</x:v>
      </x:c>
      <x:c r="F1490" s="17" t="str">
        <x:v>Only one bounded registry/program-code signal was present; no independent topical, Calendar, current-faculty, or first-audit signal was recovered.</x:v>
      </x:c>
      <x:c r="G1490" s="17" t="str">
        <x:v>Does the current official catalog contain a research graduate program matching the applicant's topics?</x:v>
      </x:c>
      <x:c r="H1490" s="17" t="str">
        <x:v>https://www.tacoma.uw.edu</x:v>
      </x:c>
      <x:c r="I1490" s="17" t="str">
        <x:v>not_sampled</x:v>
      </x:c>
      <x:c r="J1490" s="17" t="str">
        <x:v>not_sampled</x:v>
      </x:c>
    </x:row>
    <x:row r="1491" ht="46" customHeight="1">
      <x:c r="A1491" s="17" t="str">
        <x:v>us</x:v>
      </x:c>
      <x:c r="B1491" s="17" t="str">
        <x:v>University of Washington-Tacoma Campus</x:v>
      </x:c>
      <x:c r="C1491" s="17" t="str">
        <x:v>IPEDS discovery signal: Information Technology (CIP 11.0103)</x:v>
      </x:c>
      <x:c r="D1491" s="17" t="str">
        <x:v>Unclear</x:v>
      </x:c>
      <x:c r="E1491" s="17" t="str">
        <x:v>stage2_screened_out</x:v>
      </x:c>
      <x:c r="F1491" s="17" t="str">
        <x:v>Only one bounded registry/program-code signal was present; no independent topical, Calendar, current-faculty, or first-audit signal was recovered.</x:v>
      </x:c>
      <x:c r="G1491" s="17" t="str">
        <x:v>Does the current official catalog contain a research graduate program matching the applicant's topics?</x:v>
      </x:c>
      <x:c r="H1491" s="17" t="str">
        <x:v>https://www.tacoma.uw.edu</x:v>
      </x:c>
      <x:c r="I1491" s="17" t="str">
        <x:v>not_sampled</x:v>
      </x:c>
      <x:c r="J1491" s="17" t="str">
        <x:v>not_sampled</x:v>
      </x:c>
    </x:row>
    <x:row r="1492" ht="46" customHeight="1">
      <x:c r="A1492" s="17" t="str">
        <x:v>us</x:v>
      </x:c>
      <x:c r="B1492" s="17" t="str">
        <x:v>University of West Florida</x:v>
      </x:c>
      <x:c r="C1492" s="17" t="str">
        <x:v>IPEDS discovery signal: Artificial Intelligence (CIP 11.0102)</x:v>
      </x:c>
      <x:c r="D1492" s="17" t="str">
        <x:v>Unclear</x:v>
      </x:c>
      <x:c r="E1492" s="17" t="str">
        <x:v>stage2_screened_out</x:v>
      </x:c>
      <x:c r="F1492" s="17" t="str">
        <x:v>Only one bounded registry/program-code signal was present; no independent topical, Calendar, current-faculty, or first-audit signal was recovered.</x:v>
      </x:c>
      <x:c r="G1492" s="17" t="str">
        <x:v>Does the current official catalog contain a research graduate program matching the applicant's topics?</x:v>
      </x:c>
      <x:c r="H1492" s="17" t="str">
        <x:v>https://uwf.edu</x:v>
      </x:c>
      <x:c r="I1492" s="17" t="str">
        <x:v>not_sampled</x:v>
      </x:c>
      <x:c r="J1492" s="17" t="str">
        <x:v>not_sampled</x:v>
      </x:c>
    </x:row>
    <x:row r="1493" ht="46" customHeight="1">
      <x:c r="A1493" s="17" t="str">
        <x:v>us</x:v>
      </x:c>
      <x:c r="B1493" s="17" t="str">
        <x:v>University of West Florida</x:v>
      </x:c>
      <x:c r="C1493" s="17" t="str">
        <x:v>IPEDS discovery signal: Computer and Information Sciences, General (CIP 11.0101)</x:v>
      </x:c>
      <x:c r="D1493" s="17" t="str">
        <x:v>Unclear</x:v>
      </x:c>
      <x:c r="E1493" s="17" t="str">
        <x:v>stage2_screened_out</x:v>
      </x:c>
      <x:c r="F1493" s="17" t="str">
        <x:v>Only one bounded registry/program-code signal was present; no independent topical, Calendar, current-faculty, or first-audit signal was recovered.</x:v>
      </x:c>
      <x:c r="G1493" s="17" t="str">
        <x:v>Does the current official catalog contain a research graduate program matching the applicant's topics?</x:v>
      </x:c>
      <x:c r="H1493" s="17" t="str">
        <x:v>https://uwf.edu</x:v>
      </x:c>
      <x:c r="I1493" s="17" t="str">
        <x:v>not_sampled</x:v>
      </x:c>
      <x:c r="J1493" s="17" t="str">
        <x:v>not_sampled</x:v>
      </x:c>
    </x:row>
    <x:row r="1494" ht="46" customHeight="1">
      <x:c r="A1494" s="17" t="str">
        <x:v>us</x:v>
      </x:c>
      <x:c r="B1494" s="17" t="str">
        <x:v>University of West Florida</x:v>
      </x:c>
      <x:c r="C1494" s="17" t="str">
        <x:v>IPEDS discovery signal: Computer and Information Systems Security/Auditing/Information Assurance (CIP 11.1003)</x:v>
      </x:c>
      <x:c r="D1494" s="17" t="str">
        <x:v>Unclear</x:v>
      </x:c>
      <x:c r="E1494" s="17" t="str">
        <x:v>stage2_screened_out</x:v>
      </x:c>
      <x:c r="F1494" s="17" t="str">
        <x:v>Only one bounded registry/program-code signal was present; no independent topical, Calendar, current-faculty, or first-audit signal was recovered.</x:v>
      </x:c>
      <x:c r="G1494" s="17" t="str">
        <x:v>Does the current official catalog contain a research graduate program matching the applicant's topics?</x:v>
      </x:c>
      <x:c r="H1494" s="17" t="str">
        <x:v>https://uwf.edu</x:v>
      </x:c>
      <x:c r="I1494" s="17" t="str">
        <x:v>not_sampled</x:v>
      </x:c>
      <x:c r="J1494" s="17" t="str">
        <x:v>not_sampled</x:v>
      </x:c>
    </x:row>
    <x:row r="1495" ht="46" customHeight="1">
      <x:c r="A1495" s="17" t="str">
        <x:v>us</x:v>
      </x:c>
      <x:c r="B1495" s="17" t="str">
        <x:v>University of West Florida</x:v>
      </x:c>
      <x:c r="C1495" s="17" t="str">
        <x:v>IPEDS discovery signal: Information Technology (CIP 11.0103)</x:v>
      </x:c>
      <x:c r="D1495" s="17" t="str">
        <x:v>Unclear</x:v>
      </x:c>
      <x:c r="E1495" s="17" t="str">
        <x:v>stage2_screened_out</x:v>
      </x:c>
      <x:c r="F1495" s="17" t="str">
        <x:v>Only one bounded registry/program-code signal was present; no independent topical, Calendar, current-faculty, or first-audit signal was recovered.</x:v>
      </x:c>
      <x:c r="G1495" s="17" t="str">
        <x:v>Does the current official catalog contain a research graduate program matching the applicant's topics?</x:v>
      </x:c>
      <x:c r="H1495" s="17" t="str">
        <x:v>https://uwf.edu</x:v>
      </x:c>
      <x:c r="I1495" s="17" t="str">
        <x:v>not_sampled</x:v>
      </x:c>
      <x:c r="J1495" s="17" t="str">
        <x:v>not_sampled</x:v>
      </x:c>
    </x:row>
    <x:row r="1496" ht="46" customHeight="1">
      <x:c r="A1496" s="17" t="str">
        <x:v>us</x:v>
      </x:c>
      <x:c r="B1496" s="17" t="str">
        <x:v>University of West Georgia</x:v>
      </x:c>
      <x:c r="C1496" s="17" t="str">
        <x:v>IPEDS discovery signal: Computer Science (CIP 11.0701)</x:v>
      </x:c>
      <x:c r="D1496" s="17" t="str">
        <x:v>Unclear</x:v>
      </x:c>
      <x:c r="E1496" s="17" t="str">
        <x:v>stage2_screened_out</x:v>
      </x:c>
      <x:c r="F1496" s="17" t="str">
        <x:v>Only one bounded registry/program-code signal was present; no independent topical, Calendar, current-faculty, or first-audit signal was recovered.</x:v>
      </x:c>
      <x:c r="G1496" s="17" t="str">
        <x:v>Does the current official catalog contain a research graduate program matching the applicant's topics?</x:v>
      </x:c>
      <x:c r="H1496" s="17" t="str">
        <x:v>https://www.westga.edu</x:v>
      </x:c>
      <x:c r="I1496" s="17" t="str">
        <x:v>not_sampled</x:v>
      </x:c>
      <x:c r="J1496" s="17" t="str">
        <x:v>not_sampled</x:v>
      </x:c>
    </x:row>
    <x:row r="1497" ht="46" customHeight="1">
      <x:c r="A1497" s="17" t="str">
        <x:v>us</x:v>
      </x:c>
      <x:c r="B1497" s="17" t="str">
        <x:v>University of Wisconsin-Eau Claire</x:v>
      </x:c>
      <x:c r="C1497" s="17" t="str">
        <x:v>IPEDS discovery signal: Data Science, General (CIP 30.7001)</x:v>
      </x:c>
      <x:c r="D1497" s="17" t="str">
        <x:v>Unclear</x:v>
      </x:c>
      <x:c r="E1497" s="17" t="str">
        <x:v>stage2_screened_out</x:v>
      </x:c>
      <x:c r="F1497" s="17" t="str">
        <x:v>Only one bounded registry/program-code signal was present; no independent topical, Calendar, current-faculty, or first-audit signal was recovered.</x:v>
      </x:c>
      <x:c r="G1497" s="17" t="str">
        <x:v>Does the current official catalog contain a research graduate program matching the applicant's topics?</x:v>
      </x:c>
      <x:c r="H1497" s="17" t="str">
        <x:v>https://www.uwec.edu</x:v>
      </x:c>
      <x:c r="I1497" s="17" t="str">
        <x:v>not_sampled</x:v>
      </x:c>
      <x:c r="J1497" s="17" t="str">
        <x:v>not_sampled</x:v>
      </x:c>
    </x:row>
    <x:row r="1498" ht="46" customHeight="1">
      <x:c r="A1498" s="17" t="str">
        <x:v>us</x:v>
      </x:c>
      <x:c r="B1498" s="17" t="str">
        <x:v>University of Wisconsin-Green Bay</x:v>
      </x:c>
      <x:c r="C1498" s="17" t="str">
        <x:v>IPEDS discovery signal: Computer and Information Systems Security/Auditing/Information Assurance (CIP 11.1003)</x:v>
      </x:c>
      <x:c r="D1498" s="17" t="str">
        <x:v>Unclear</x:v>
      </x:c>
      <x:c r="E1498" s="17" t="str">
        <x:v>stage2_screened_out</x:v>
      </x:c>
      <x:c r="F1498" s="17" t="str">
        <x:v>Only one bounded registry/program-code signal was present; no independent topical, Calendar, current-faculty, or first-audit signal was recovered.</x:v>
      </x:c>
      <x:c r="G1498" s="17" t="str">
        <x:v>Does the current official catalog contain a research graduate program matching the applicant's topics?</x:v>
      </x:c>
      <x:c r="H1498" s="17" t="str">
        <x:v>https://www.uwgb.edu</x:v>
      </x:c>
      <x:c r="I1498" s="17" t="str">
        <x:v>not_sampled</x:v>
      </x:c>
      <x:c r="J1498" s="17" t="str">
        <x:v>not_sampled</x:v>
      </x:c>
    </x:row>
    <x:row r="1499" ht="46" customHeight="1">
      <x:c r="A1499" s="17" t="str">
        <x:v>us</x:v>
      </x:c>
      <x:c r="B1499" s="17" t="str">
        <x:v>University of Wisconsin-Green Bay</x:v>
      </x:c>
      <x:c r="C1499" s="17" t="str">
        <x:v>IPEDS discovery signal: Data Science, General (CIP 30.7001)</x:v>
      </x:c>
      <x:c r="D1499" s="17" t="str">
        <x:v>Unclear</x:v>
      </x:c>
      <x:c r="E1499" s="17" t="str">
        <x:v>stage2_screened_out</x:v>
      </x:c>
      <x:c r="F1499" s="17" t="str">
        <x:v>Only one bounded registry/program-code signal was present; no independent topical, Calendar, current-faculty, or first-audit signal was recovered.</x:v>
      </x:c>
      <x:c r="G1499" s="17" t="str">
        <x:v>Does the current official catalog contain a research graduate program matching the applicant's topics?</x:v>
      </x:c>
      <x:c r="H1499" s="17" t="str">
        <x:v>https://www.uwgb.edu</x:v>
      </x:c>
      <x:c r="I1499" s="17" t="str">
        <x:v>not_sampled</x:v>
      </x:c>
      <x:c r="J1499" s="17" t="str">
        <x:v>not_sampled</x:v>
      </x:c>
    </x:row>
    <x:row r="1500" ht="46" customHeight="1">
      <x:c r="A1500" s="17" t="str">
        <x:v>us</x:v>
      </x:c>
      <x:c r="B1500" s="17" t="str">
        <x:v>University of Wisconsin-La Crosse</x:v>
      </x:c>
      <x:c r="C1500" s="17" t="str">
        <x:v>IPEDS discovery signal: Computer and Information Systems Security/Auditing/Information Assurance (CIP 11.1003)</x:v>
      </x:c>
      <x:c r="D1500" s="17" t="str">
        <x:v>Unclear</x:v>
      </x:c>
      <x:c r="E1500" s="17" t="str">
        <x:v>stage2_screened_out</x:v>
      </x:c>
      <x:c r="F1500" s="17" t="str">
        <x:v>Only one bounded registry/program-code signal was present; no independent topical, Calendar, current-faculty, or first-audit signal was recovered.</x:v>
      </x:c>
      <x:c r="G1500" s="17" t="str">
        <x:v>Does the current official catalog contain a research graduate program matching the applicant's topics?</x:v>
      </x:c>
      <x:c r="H1500" s="17" t="str">
        <x:v>https://www.uwlax.edu</x:v>
      </x:c>
      <x:c r="I1500" s="17" t="str">
        <x:v>not_sampled</x:v>
      </x:c>
      <x:c r="J1500" s="17" t="str">
        <x:v>not_sampled</x:v>
      </x:c>
    </x:row>
    <x:row r="1501" ht="46" customHeight="1">
      <x:c r="A1501" s="17" t="str">
        <x:v>us</x:v>
      </x:c>
      <x:c r="B1501" s="17" t="str">
        <x:v>University of Wisconsin-La Crosse</x:v>
      </x:c>
      <x:c r="C1501" s="17" t="str">
        <x:v>IPEDS discovery signal: Computer Software Engineering (CIP 14.0903)</x:v>
      </x:c>
      <x:c r="D1501" s="17" t="str">
        <x:v>Unclear</x:v>
      </x:c>
      <x:c r="E1501" s="17" t="str">
        <x:v>stage2_screened_out</x:v>
      </x:c>
      <x:c r="F1501" s="17" t="str">
        <x:v>Only one bounded registry/program-code signal was present; no independent topical, Calendar, current-faculty, or first-audit signal was recovered.</x:v>
      </x:c>
      <x:c r="G1501" s="17" t="str">
        <x:v>Does the current official catalog contain a research graduate program matching the applicant's topics?</x:v>
      </x:c>
      <x:c r="H1501" s="17" t="str">
        <x:v>https://www.uwlax.edu</x:v>
      </x:c>
      <x:c r="I1501" s="17" t="str">
        <x:v>not_sampled</x:v>
      </x:c>
      <x:c r="J1501" s="17" t="str">
        <x:v>not_sampled</x:v>
      </x:c>
    </x:row>
    <x:row r="1502" ht="46" customHeight="1">
      <x:c r="A1502" s="17" t="str">
        <x:v>us</x:v>
      </x:c>
      <x:c r="B1502" s="17" t="str">
        <x:v>University of Wisconsin-La Crosse</x:v>
      </x:c>
      <x:c r="C1502" s="17" t="str">
        <x:v>IPEDS discovery signal: Data Science, General (CIP 30.7001)</x:v>
      </x:c>
      <x:c r="D1502" s="17" t="str">
        <x:v>Unclear</x:v>
      </x:c>
      <x:c r="E1502" s="17" t="str">
        <x:v>stage2_screened_out</x:v>
      </x:c>
      <x:c r="F1502" s="17" t="str">
        <x:v>Only one bounded registry/program-code signal was present; no independent topical, Calendar, current-faculty, or first-audit signal was recovered.</x:v>
      </x:c>
      <x:c r="G1502" s="17" t="str">
        <x:v>Does the current official catalog contain a research graduate program matching the applicant's topics?</x:v>
      </x:c>
      <x:c r="H1502" s="17" t="str">
        <x:v>https://www.uwlax.edu</x:v>
      </x:c>
      <x:c r="I1502" s="17" t="str">
        <x:v>not_sampled</x:v>
      </x:c>
      <x:c r="J1502" s="17" t="str">
        <x:v>not_sampled</x:v>
      </x:c>
    </x:row>
    <x:row r="1503" ht="46" customHeight="1">
      <x:c r="A1503" s="17" t="str">
        <x:v>us</x:v>
      </x:c>
      <x:c r="B1503" s="17" t="str">
        <x:v>University of Wisconsin-Madison</x:v>
      </x:c>
      <x:c r="C1503" s="17" t="str">
        <x:v>IPEDS discovery signal: Data Science, General (CIP 30.7001)</x:v>
      </x:c>
      <x:c r="D1503" s="17" t="str">
        <x:v>Unclear</x:v>
      </x:c>
      <x:c r="E1503" s="17" t="str">
        <x:v>stage2_screened_out</x:v>
      </x:c>
      <x:c r="F1503" s="17" t="str">
        <x:v>Duplicate mechanical discovery signal consolidated into one institution-level catalog review candidate.</x:v>
      </x:c>
      <x:c r="G1503" s="17" t="str">
        <x:v>Does the current official catalog contain a research graduate program matching the applicant's topics?</x:v>
      </x:c>
      <x:c r="H1503" s="17" t="str">
        <x:v>https://www.wisc.edu</x:v>
      </x:c>
      <x:c r="I1503" s="17" t="str">
        <x:v>not_sampled</x:v>
      </x:c>
      <x:c r="J1503" s="17" t="str">
        <x:v>not_sampled</x:v>
      </x:c>
    </x:row>
    <x:row r="1504" ht="46" customHeight="1">
      <x:c r="A1504" s="17" t="str">
        <x:v>us</x:v>
      </x:c>
      <x:c r="B1504" s="17" t="str">
        <x:v>University of Wisconsin-Madison</x:v>
      </x:c>
      <x:c r="C1504" s="17" t="str">
        <x:v>IPEDS discovery signal: Electrical and Electronics Engineering (CIP 14.1001)</x:v>
      </x:c>
      <x:c r="D1504" s="17" t="str">
        <x:v>Unclear</x:v>
      </x:c>
      <x:c r="E1504" s="17" t="str">
        <x:v>stage2_screened_out</x:v>
      </x:c>
      <x:c r="F1504" s="17" t="str">
        <x:v>Duplicate mechanical discovery signal consolidated into one institution-level catalog review candidate.</x:v>
      </x:c>
      <x:c r="G1504" s="17" t="str">
        <x:v>Does the current official catalog contain a research graduate program matching the applicant's topics?</x:v>
      </x:c>
      <x:c r="H1504" s="17" t="str">
        <x:v>https://www.wisc.edu</x:v>
      </x:c>
      <x:c r="I1504" s="17" t="str">
        <x:v>not_sampled</x:v>
      </x:c>
      <x:c r="J1504" s="17" t="str">
        <x:v>not_sampled</x:v>
      </x:c>
    </x:row>
    <x:row r="1505" ht="46" customHeight="1">
      <x:c r="A1505" s="17" t="str">
        <x:v>us</x:v>
      </x:c>
      <x:c r="B1505" s="17" t="str">
        <x:v>University of Wisconsin-Madison</x:v>
      </x:c>
      <x:c r="C1505" s="17" t="str">
        <x:v>IPEDS discovery signal: Information Science/Studies (CIP 11.0401)</x:v>
      </x:c>
      <x:c r="D1505" s="17" t="str">
        <x:v>Unclear</x:v>
      </x:c>
      <x:c r="E1505" s="17" t="str">
        <x:v>stage2_screened_out</x:v>
      </x:c>
      <x:c r="F1505" s="17" t="str">
        <x:v>Duplicate mechanical discovery signal consolidated into one institution-level catalog review candidate.</x:v>
      </x:c>
      <x:c r="G1505" s="17" t="str">
        <x:v>Does the current official catalog contain a research graduate program matching the applicant's topics?</x:v>
      </x:c>
      <x:c r="H1505" s="17" t="str">
        <x:v>https://www.wisc.edu</x:v>
      </x:c>
      <x:c r="I1505" s="17" t="str">
        <x:v>not_sampled</x:v>
      </x:c>
      <x:c r="J1505" s="17" t="str">
        <x:v>not_sampled</x:v>
      </x:c>
    </x:row>
    <x:row r="1506" ht="46" customHeight="1">
      <x:c r="A1506" s="17" t="str">
        <x:v>us</x:v>
      </x:c>
      <x:c r="B1506" s="17" t="str">
        <x:v>University of Wisconsin-Milwaukee</x:v>
      </x:c>
      <x:c r="C1506" s="17" t="str">
        <x:v>IPEDS discovery signal: Computer Science (CIP 11.0701)</x:v>
      </x:c>
      <x:c r="D1506" s="17" t="str">
        <x:v>Unclear</x:v>
      </x:c>
      <x:c r="E1506" s="17" t="str">
        <x:v>stage2_screened_out</x:v>
      </x:c>
      <x:c r="F1506" s="17" t="str">
        <x:v>Only one bounded registry/program-code signal was present; no independent topical, Calendar, current-faculty, or first-audit signal was recovered.</x:v>
      </x:c>
      <x:c r="G1506" s="17" t="str">
        <x:v>Does the current official catalog contain a research graduate program matching the applicant's topics?</x:v>
      </x:c>
      <x:c r="H1506" s="17" t="str">
        <x:v>https://uwm.edu</x:v>
      </x:c>
      <x:c r="I1506" s="17" t="str">
        <x:v>not_sampled</x:v>
      </x:c>
      <x:c r="J1506" s="17" t="str">
        <x:v>not_sampled</x:v>
      </x:c>
    </x:row>
    <x:row r="1507" ht="46" customHeight="1">
      <x:c r="A1507" s="17" t="str">
        <x:v>us</x:v>
      </x:c>
      <x:c r="B1507" s="17" t="str">
        <x:v>University of Wisconsin-Milwaukee</x:v>
      </x:c>
      <x:c r="C1507" s="17" t="str">
        <x:v>IPEDS discovery signal: Data Science, General (CIP 30.7001)</x:v>
      </x:c>
      <x:c r="D1507" s="17" t="str">
        <x:v>Unclear</x:v>
      </x:c>
      <x:c r="E1507" s="17" t="str">
        <x:v>stage2_screened_out</x:v>
      </x:c>
      <x:c r="F1507" s="17" t="str">
        <x:v>Only one bounded registry/program-code signal was present; no independent topical, Calendar, current-faculty, or first-audit signal was recovered.</x:v>
      </x:c>
      <x:c r="G1507" s="17" t="str">
        <x:v>Does the current official catalog contain a research graduate program matching the applicant's topics?</x:v>
      </x:c>
      <x:c r="H1507" s="17" t="str">
        <x:v>https://uwm.edu</x:v>
      </x:c>
      <x:c r="I1507" s="17" t="str">
        <x:v>not_sampled</x:v>
      </x:c>
      <x:c r="J1507" s="17" t="str">
        <x:v>not_sampled</x:v>
      </x:c>
    </x:row>
    <x:row r="1508" ht="46" customHeight="1">
      <x:c r="A1508" s="17" t="str">
        <x:v>us</x:v>
      </x:c>
      <x:c r="B1508" s="17" t="str">
        <x:v>University of Wisconsin-Milwaukee</x:v>
      </x:c>
      <x:c r="C1508" s="17" t="str">
        <x:v>IPEDS discovery signal: Electrical and Electronics Engineering (CIP 14.1001)</x:v>
      </x:c>
      <x:c r="D1508" s="17" t="str">
        <x:v>Unclear</x:v>
      </x:c>
      <x:c r="E1508" s="17" t="str">
        <x:v>stage2_screened_out</x:v>
      </x:c>
      <x:c r="F1508" s="17" t="str">
        <x:v>Only one bounded registry/program-code signal was present; no independent topical, Calendar, current-faculty, or first-audit signal was recovered.</x:v>
      </x:c>
      <x:c r="G1508" s="17" t="str">
        <x:v>Does the current official catalog contain a research graduate program matching the applicant's topics?</x:v>
      </x:c>
      <x:c r="H1508" s="17" t="str">
        <x:v>https://uwm.edu</x:v>
      </x:c>
      <x:c r="I1508" s="17" t="str">
        <x:v>not_sampled</x:v>
      </x:c>
      <x:c r="J1508" s="17" t="str">
        <x:v>not_sampled</x:v>
      </x:c>
    </x:row>
    <x:row r="1509" ht="46" customHeight="1">
      <x:c r="A1509" s="17" t="str">
        <x:v>us</x:v>
      </x:c>
      <x:c r="B1509" s="17" t="str">
        <x:v>University of Wisconsin-Milwaukee</x:v>
      </x:c>
      <x:c r="C1509" s="17" t="str">
        <x:v>IPEDS discovery signal: Information Science/Studies (CIP 11.0401)</x:v>
      </x:c>
      <x:c r="D1509" s="17" t="str">
        <x:v>Unclear</x:v>
      </x:c>
      <x:c r="E1509" s="17" t="str">
        <x:v>stage2_screened_out</x:v>
      </x:c>
      <x:c r="F1509" s="17" t="str">
        <x:v>Only one bounded registry/program-code signal was present; no independent topical, Calendar, current-faculty, or first-audit signal was recovered.</x:v>
      </x:c>
      <x:c r="G1509" s="17" t="str">
        <x:v>Does the current official catalog contain a research graduate program matching the applicant's topics?</x:v>
      </x:c>
      <x:c r="H1509" s="17" t="str">
        <x:v>https://uwm.edu</x:v>
      </x:c>
      <x:c r="I1509" s="17" t="str">
        <x:v>not_sampled</x:v>
      </x:c>
      <x:c r="J1509" s="17" t="str">
        <x:v>not_sampled</x:v>
      </x:c>
    </x:row>
    <x:row r="1510" ht="46" customHeight="1">
      <x:c r="A1510" s="17" t="str">
        <x:v>us</x:v>
      </x:c>
      <x:c r="B1510" s="17" t="str">
        <x:v>University of Wisconsin-Milwaukee</x:v>
      </x:c>
      <x:c r="C1510" s="17" t="str">
        <x:v>IPEDS discovery signal: Information Technology (CIP 11.0103)</x:v>
      </x:c>
      <x:c r="D1510" s="17" t="str">
        <x:v>Unclear</x:v>
      </x:c>
      <x:c r="E1510" s="17" t="str">
        <x:v>stage2_screened_out</x:v>
      </x:c>
      <x:c r="F1510" s="17" t="str">
        <x:v>Only one bounded registry/program-code signal was present; no independent topical, Calendar, current-faculty, or first-audit signal was recovered.</x:v>
      </x:c>
      <x:c r="G1510" s="17" t="str">
        <x:v>Does the current official catalog contain a research graduate program matching the applicant's topics?</x:v>
      </x:c>
      <x:c r="H1510" s="17" t="str">
        <x:v>https://uwm.edu</x:v>
      </x:c>
      <x:c r="I1510" s="17" t="str">
        <x:v>not_sampled</x:v>
      </x:c>
      <x:c r="J1510" s="17" t="str">
        <x:v>not_sampled</x:v>
      </x:c>
    </x:row>
    <x:row r="1511" ht="46" customHeight="1">
      <x:c r="A1511" s="17" t="str">
        <x:v>us</x:v>
      </x:c>
      <x:c r="B1511" s="17" t="str">
        <x:v>University of Wisconsin-Oshkosh</x:v>
      </x:c>
      <x:c r="C1511" s="17" t="str">
        <x:v>IPEDS discovery signal: Computer and Information Systems Security/Auditing/Information Assurance (CIP 11.1003)</x:v>
      </x:c>
      <x:c r="D1511" s="17" t="str">
        <x:v>Unclear</x:v>
      </x:c>
      <x:c r="E1511" s="17" t="str">
        <x:v>stage2_screened_out</x:v>
      </x:c>
      <x:c r="F1511" s="17" t="str">
        <x:v>Only one bounded registry/program-code signal was present; no independent topical, Calendar, current-faculty, or first-audit signal was recovered.</x:v>
      </x:c>
      <x:c r="G1511" s="17" t="str">
        <x:v>Does the current official catalog contain a research graduate program matching the applicant's topics?</x:v>
      </x:c>
      <x:c r="H1511" s="17" t="str">
        <x:v>https://www.uwosh.edu</x:v>
      </x:c>
      <x:c r="I1511" s="17" t="str">
        <x:v>not_sampled</x:v>
      </x:c>
      <x:c r="J1511" s="17" t="str">
        <x:v>not_sampled</x:v>
      </x:c>
    </x:row>
    <x:row r="1512" ht="46" customHeight="1">
      <x:c r="A1512" s="17" t="str">
        <x:v>us</x:v>
      </x:c>
      <x:c r="B1512" s="17" t="str">
        <x:v>University of Wisconsin-Oshkosh</x:v>
      </x:c>
      <x:c r="C1512" s="17" t="str">
        <x:v>IPEDS discovery signal: Data Science, General (CIP 30.7001)</x:v>
      </x:c>
      <x:c r="D1512" s="17" t="str">
        <x:v>Unclear</x:v>
      </x:c>
      <x:c r="E1512" s="17" t="str">
        <x:v>stage2_screened_out</x:v>
      </x:c>
      <x:c r="F1512" s="17" t="str">
        <x:v>Only one bounded registry/program-code signal was present; no independent topical, Calendar, current-faculty, or first-audit signal was recovered.</x:v>
      </x:c>
      <x:c r="G1512" s="17" t="str">
        <x:v>Does the current official catalog contain a research graduate program matching the applicant's topics?</x:v>
      </x:c>
      <x:c r="H1512" s="17" t="str">
        <x:v>https://www.uwosh.edu</x:v>
      </x:c>
      <x:c r="I1512" s="17" t="str">
        <x:v>not_sampled</x:v>
      </x:c>
      <x:c r="J1512" s="17" t="str">
        <x:v>not_sampled</x:v>
      </x:c>
    </x:row>
    <x:row r="1513" ht="46" customHeight="1">
      <x:c r="A1513" s="17" t="str">
        <x:v>us</x:v>
      </x:c>
      <x:c r="B1513" s="17" t="str">
        <x:v>University of Wisconsin-Parkside</x:v>
      </x:c>
      <x:c r="C1513" s="17" t="str">
        <x:v>IPEDS discovery signal: Computer and Information Systems Security/Auditing/Information Assurance (CIP 11.1003)</x:v>
      </x:c>
      <x:c r="D1513" s="17" t="str">
        <x:v>Unclear</x:v>
      </x:c>
      <x:c r="E1513" s="17" t="str">
        <x:v>stage2_screened_out</x:v>
      </x:c>
      <x:c r="F1513" s="17" t="str">
        <x:v>Only one bounded registry/program-code signal was present; no independent topical, Calendar, current-faculty, or first-audit signal was recovered.</x:v>
      </x:c>
      <x:c r="G1513" s="17" t="str">
        <x:v>Does the current official catalog contain a research graduate program matching the applicant's topics?</x:v>
      </x:c>
      <x:c r="H1513" s="17" t="str">
        <x:v>https://www.uwp.edu</x:v>
      </x:c>
      <x:c r="I1513" s="17" t="str">
        <x:v>not_sampled</x:v>
      </x:c>
      <x:c r="J1513" s="17" t="str">
        <x:v>not_sampled</x:v>
      </x:c>
    </x:row>
    <x:row r="1514" ht="46" customHeight="1">
      <x:c r="A1514" s="17" t="str">
        <x:v>us</x:v>
      </x:c>
      <x:c r="B1514" s="17" t="str">
        <x:v>University of Wisconsin-Parkside</x:v>
      </x:c>
      <x:c r="C1514" s="17" t="str">
        <x:v>IPEDS discovery signal: Information Technology (CIP 11.0103)</x:v>
      </x:c>
      <x:c r="D1514" s="17" t="str">
        <x:v>Unclear</x:v>
      </x:c>
      <x:c r="E1514" s="17" t="str">
        <x:v>stage2_screened_out</x:v>
      </x:c>
      <x:c r="F1514" s="17" t="str">
        <x:v>Only one bounded registry/program-code signal was present; no independent topical, Calendar, current-faculty, or first-audit signal was recovered.</x:v>
      </x:c>
      <x:c r="G1514" s="17" t="str">
        <x:v>Does the current official catalog contain a research graduate program matching the applicant's topics?</x:v>
      </x:c>
      <x:c r="H1514" s="17" t="str">
        <x:v>https://www.uwp.edu</x:v>
      </x:c>
      <x:c r="I1514" s="17" t="str">
        <x:v>not_sampled</x:v>
      </x:c>
      <x:c r="J1514" s="17" t="str">
        <x:v>not_sampled</x:v>
      </x:c>
    </x:row>
    <x:row r="1515" ht="46" customHeight="1">
      <x:c r="A1515" s="17" t="str">
        <x:v>us</x:v>
      </x:c>
      <x:c r="B1515" s="17" t="str">
        <x:v>University of Wisconsin-Platteville</x:v>
      </x:c>
      <x:c r="C1515" s="17" t="str">
        <x:v>IPEDS discovery signal: Computer and Information Systems Security/Auditing/Information Assurance (CIP 11.1003)</x:v>
      </x:c>
      <x:c r="D1515" s="17" t="str">
        <x:v>Unclear</x:v>
      </x:c>
      <x:c r="E1515" s="17" t="str">
        <x:v>stage2_screened_out</x:v>
      </x:c>
      <x:c r="F1515" s="17" t="str">
        <x:v>Only one bounded registry/program-code signal was present; no independent topical, Calendar, current-faculty, or first-audit signal was recovered.</x:v>
      </x:c>
      <x:c r="G1515" s="17" t="str">
        <x:v>Does the current official catalog contain a research graduate program matching the applicant's topics?</x:v>
      </x:c>
      <x:c r="H1515" s="17" t="str">
        <x:v>https://www.uwplatt.edu</x:v>
      </x:c>
      <x:c r="I1515" s="17" t="str">
        <x:v>not_sampled</x:v>
      </x:c>
      <x:c r="J1515" s="17" t="str">
        <x:v>not_sampled</x:v>
      </x:c>
    </x:row>
    <x:row r="1516" ht="46" customHeight="1">
      <x:c r="A1516" s="17" t="str">
        <x:v>us</x:v>
      </x:c>
      <x:c r="B1516" s="17" t="str">
        <x:v>University of Wisconsin-River Falls</x:v>
      </x:c>
      <x:c r="C1516" s="17" t="str">
        <x:v>IPEDS discovery signal: Computer and Information Systems Security/Auditing/Information Assurance (CIP 11.1003)</x:v>
      </x:c>
      <x:c r="D1516" s="17" t="str">
        <x:v>Unclear</x:v>
      </x:c>
      <x:c r="E1516" s="17" t="str">
        <x:v>stage2_screened_out</x:v>
      </x:c>
      <x:c r="F1516" s="17" t="str">
        <x:v>Only one bounded registry/program-code signal was present; no independent topical, Calendar, current-faculty, or first-audit signal was recovered.</x:v>
      </x:c>
      <x:c r="G1516" s="17" t="str">
        <x:v>Does the current official catalog contain a research graduate program matching the applicant's topics?</x:v>
      </x:c>
      <x:c r="H1516" s="17" t="str">
        <x:v>https://www.uwrf.edu</x:v>
      </x:c>
      <x:c r="I1516" s="17" t="str">
        <x:v>not_sampled</x:v>
      </x:c>
      <x:c r="J1516" s="17" t="str">
        <x:v>not_sampled</x:v>
      </x:c>
    </x:row>
    <x:row r="1517" ht="46" customHeight="1">
      <x:c r="A1517" s="17" t="str">
        <x:v>us</x:v>
      </x:c>
      <x:c r="B1517" s="17" t="str">
        <x:v>University of Wisconsin-River Falls</x:v>
      </x:c>
      <x:c r="C1517" s="17" t="str">
        <x:v>IPEDS discovery signal: Computer Science (CIP 11.0701)</x:v>
      </x:c>
      <x:c r="D1517" s="17" t="str">
        <x:v>Unclear</x:v>
      </x:c>
      <x:c r="E1517" s="17" t="str">
        <x:v>stage2_screened_out</x:v>
      </x:c>
      <x:c r="F1517" s="17" t="str">
        <x:v>Only one bounded registry/program-code signal was present; no independent topical, Calendar, current-faculty, or first-audit signal was recovered.</x:v>
      </x:c>
      <x:c r="G1517" s="17" t="str">
        <x:v>Does the current official catalog contain a research graduate program matching the applicant's topics?</x:v>
      </x:c>
      <x:c r="H1517" s="17" t="str">
        <x:v>https://www.uwrf.edu</x:v>
      </x:c>
      <x:c r="I1517" s="17" t="str">
        <x:v>not_sampled</x:v>
      </x:c>
      <x:c r="J1517" s="17" t="str">
        <x:v>not_sampled</x:v>
      </x:c>
    </x:row>
    <x:row r="1518" ht="46" customHeight="1">
      <x:c r="A1518" s="17" t="str">
        <x:v>us</x:v>
      </x:c>
      <x:c r="B1518" s="17" t="str">
        <x:v>University of Wisconsin-Stevens Point</x:v>
      </x:c>
      <x:c r="C1518" s="17" t="str">
        <x:v>IPEDS discovery signal: Computer and Information Systems Security/Auditing/Information Assurance (CIP 11.1003)</x:v>
      </x:c>
      <x:c r="D1518" s="17" t="str">
        <x:v>Unclear</x:v>
      </x:c>
      <x:c r="E1518" s="17" t="str">
        <x:v>stage2_screened_out</x:v>
      </x:c>
      <x:c r="F1518" s="17" t="str">
        <x:v>Only one bounded registry/program-code signal was present; no independent topical, Calendar, current-faculty, or first-audit signal was recovered.</x:v>
      </x:c>
      <x:c r="G1518" s="17" t="str">
        <x:v>Does the current official catalog contain a research graduate program matching the applicant's topics?</x:v>
      </x:c>
      <x:c r="H1518" s="17" t="str">
        <x:v>https://www.uwsp.edu</x:v>
      </x:c>
      <x:c r="I1518" s="17" t="str">
        <x:v>not_sampled</x:v>
      </x:c>
      <x:c r="J1518" s="17" t="str">
        <x:v>not_sampled</x:v>
      </x:c>
    </x:row>
    <x:row r="1519" ht="46" customHeight="1">
      <x:c r="A1519" s="17" t="str">
        <x:v>us</x:v>
      </x:c>
      <x:c r="B1519" s="17" t="str">
        <x:v>University of Wisconsin-Stevens Point</x:v>
      </x:c>
      <x:c r="C1519" s="17" t="str">
        <x:v>IPEDS discovery signal: Data Science, General (CIP 30.7001)</x:v>
      </x:c>
      <x:c r="D1519" s="17" t="str">
        <x:v>Unclear</x:v>
      </x:c>
      <x:c r="E1519" s="17" t="str">
        <x:v>stage2_screened_out</x:v>
      </x:c>
      <x:c r="F1519" s="17" t="str">
        <x:v>Only one bounded registry/program-code signal was present; no independent topical, Calendar, current-faculty, or first-audit signal was recovered.</x:v>
      </x:c>
      <x:c r="G1519" s="17" t="str">
        <x:v>Does the current official catalog contain a research graduate program matching the applicant's topics?</x:v>
      </x:c>
      <x:c r="H1519" s="17" t="str">
        <x:v>https://www.uwsp.edu</x:v>
      </x:c>
      <x:c r="I1519" s="17" t="str">
        <x:v>not_sampled</x:v>
      </x:c>
      <x:c r="J1519" s="17" t="str">
        <x:v>not_sampled</x:v>
      </x:c>
    </x:row>
    <x:row r="1520" ht="46" customHeight="1">
      <x:c r="A1520" s="17" t="str">
        <x:v>us</x:v>
      </x:c>
      <x:c r="B1520" s="17" t="str">
        <x:v>University of Wisconsin-Stout</x:v>
      </x:c>
      <x:c r="C1520" s="17" t="str">
        <x:v>IPEDS discovery signal: Computer and Information Sciences, Other (CIP 11.0199)</x:v>
      </x:c>
      <x:c r="D1520" s="17" t="str">
        <x:v>Unclear</x:v>
      </x:c>
      <x:c r="E1520" s="17" t="str">
        <x:v>stage2_screened_out</x:v>
      </x:c>
      <x:c r="F1520" s="17" t="str">
        <x:v>Only one bounded registry/program-code signal was present; no independent topical, Calendar, current-faculty, or first-audit signal was recovered.</x:v>
      </x:c>
      <x:c r="G1520" s="17" t="str">
        <x:v>Does the current official catalog contain a research graduate program matching the applicant's topics?</x:v>
      </x:c>
      <x:c r="H1520" s="17" t="str">
        <x:v>https://www.uwstout.edu</x:v>
      </x:c>
      <x:c r="I1520" s="17" t="str">
        <x:v>not_sampled</x:v>
      </x:c>
      <x:c r="J1520" s="17" t="str">
        <x:v>not_sampled</x:v>
      </x:c>
    </x:row>
    <x:row r="1521" ht="46" customHeight="1">
      <x:c r="A1521" s="17" t="str">
        <x:v>us</x:v>
      </x:c>
      <x:c r="B1521" s="17" t="str">
        <x:v>University of Wisconsin-Superior</x:v>
      </x:c>
      <x:c r="C1521" s="17" t="str">
        <x:v>IPEDS discovery signal: Data Science, General (CIP 30.7001)</x:v>
      </x:c>
      <x:c r="D1521" s="17" t="str">
        <x:v>Unclear</x:v>
      </x:c>
      <x:c r="E1521" s="17" t="str">
        <x:v>stage2_screened_out</x:v>
      </x:c>
      <x:c r="F1521" s="17" t="str">
        <x:v>Only one bounded registry/program-code signal was present; no independent topical, Calendar, current-faculty, or first-audit signal was recovered.</x:v>
      </x:c>
      <x:c r="G1521" s="17" t="str">
        <x:v>Does the current official catalog contain a research graduate program matching the applicant's topics?</x:v>
      </x:c>
      <x:c r="H1521" s="17" t="str">
        <x:v>https://www.uwsuper.edu</x:v>
      </x:c>
      <x:c r="I1521" s="17" t="str">
        <x:v>not_sampled</x:v>
      </x:c>
      <x:c r="J1521" s="17" t="str">
        <x:v>not_sampled</x:v>
      </x:c>
    </x:row>
    <x:row r="1522" ht="46" customHeight="1">
      <x:c r="A1522" s="17" t="str">
        <x:v>us</x:v>
      </x:c>
      <x:c r="B1522" s="17" t="str">
        <x:v>University of Wisconsin-Whitewater</x:v>
      </x:c>
      <x:c r="C1522" s="17" t="str">
        <x:v>IPEDS discovery signal: Computer and Information Systems Security/Auditing/Information Assurance (CIP 11.1003)</x:v>
      </x:c>
      <x:c r="D1522" s="17" t="str">
        <x:v>Unclear</x:v>
      </x:c>
      <x:c r="E1522" s="17" t="str">
        <x:v>stage2_screened_out</x:v>
      </x:c>
      <x:c r="F1522" s="17" t="str">
        <x:v>Only one bounded registry/program-code signal was present; no independent topical, Calendar, current-faculty, or first-audit signal was recovered.</x:v>
      </x:c>
      <x:c r="G1522" s="17" t="str">
        <x:v>Does the current official catalog contain a research graduate program matching the applicant's topics?</x:v>
      </x:c>
      <x:c r="H1522" s="17" t="str">
        <x:v>https://www.uww.edu</x:v>
      </x:c>
      <x:c r="I1522" s="17" t="str">
        <x:v>not_sampled</x:v>
      </x:c>
      <x:c r="J1522" s="17" t="str">
        <x:v>not_sampled</x:v>
      </x:c>
    </x:row>
    <x:row r="1523" ht="46" customHeight="1">
      <x:c r="A1523" s="17" t="str">
        <x:v>us</x:v>
      </x:c>
      <x:c r="B1523" s="17" t="str">
        <x:v>University of Wisconsin-Whitewater</x:v>
      </x:c>
      <x:c r="C1523" s="17" t="str">
        <x:v>IPEDS discovery signal: Computer Science (CIP 11.0701)</x:v>
      </x:c>
      <x:c r="D1523" s="17" t="str">
        <x:v>Unclear</x:v>
      </x:c>
      <x:c r="E1523" s="17" t="str">
        <x:v>stage2_screened_out</x:v>
      </x:c>
      <x:c r="F1523" s="17" t="str">
        <x:v>Only one bounded registry/program-code signal was present; no independent topical, Calendar, current-faculty, or first-audit signal was recovered.</x:v>
      </x:c>
      <x:c r="G1523" s="17" t="str">
        <x:v>Does the current official catalog contain a research graduate program matching the applicant's topics?</x:v>
      </x:c>
      <x:c r="H1523" s="17" t="str">
        <x:v>https://www.uww.edu</x:v>
      </x:c>
      <x:c r="I1523" s="17" t="str">
        <x:v>not_sampled</x:v>
      </x:c>
      <x:c r="J1523" s="17" t="str">
        <x:v>not_sampled</x:v>
      </x:c>
    </x:row>
    <x:row r="1524" ht="46" customHeight="1">
      <x:c r="A1524" s="17" t="str">
        <x:v>us</x:v>
      </x:c>
      <x:c r="B1524" s="17" t="str">
        <x:v>University of Wyoming</x:v>
      </x:c>
      <x:c r="C1524" s="17" t="str">
        <x:v>IPEDS discovery signal: Electrical and Electronics Engineering (CIP 14.1001)</x:v>
      </x:c>
      <x:c r="D1524" s="17" t="str">
        <x:v>Unclear</x:v>
      </x:c>
      <x:c r="E1524" s="17" t="str">
        <x:v>stage2_screened_out</x:v>
      </x:c>
      <x:c r="F1524" s="17" t="str">
        <x:v>Duplicate mechanical discovery signal consolidated into one institution-level catalog review candidate.</x:v>
      </x:c>
      <x:c r="G1524" s="17" t="str">
        <x:v>Does the current official catalog contain a research graduate program matching the applicant's topics?</x:v>
      </x:c>
      <x:c r="H1524" s="17" t="str">
        <x:v>https://www.uwyo.edu</x:v>
      </x:c>
      <x:c r="I1524" s="17" t="str">
        <x:v>not_sampled</x:v>
      </x:c>
      <x:c r="J1524" s="17" t="str">
        <x:v>not_sampled</x:v>
      </x:c>
    </x:row>
    <x:row r="1525" ht="46" customHeight="1">
      <x:c r="A1525" s="17" t="str">
        <x:v>us</x:v>
      </x:c>
      <x:c r="B1525" s="17" t="str">
        <x:v>Utah State University</x:v>
      </x:c>
      <x:c r="C1525" s="17" t="str">
        <x:v>IPEDS discovery signal: Computer and Information Sciences, General (CIP 11.0101)</x:v>
      </x:c>
      <x:c r="D1525" s="17" t="str">
        <x:v>Unclear</x:v>
      </x:c>
      <x:c r="E1525" s="17" t="str">
        <x:v>stage2_screened_out</x:v>
      </x:c>
      <x:c r="F1525" s="17" t="str">
        <x:v>Only one bounded registry/program-code signal was present; no independent topical, Calendar, current-faculty, or first-audit signal was recovered.</x:v>
      </x:c>
      <x:c r="G1525" s="17" t="str">
        <x:v>Does the current official catalog contain a research graduate program matching the applicant's topics?</x:v>
      </x:c>
      <x:c r="H1525" s="17" t="str">
        <x:v>https://www.usu.edu</x:v>
      </x:c>
      <x:c r="I1525" s="17" t="str">
        <x:v>not_sampled</x:v>
      </x:c>
      <x:c r="J1525" s="17" t="str">
        <x:v>not_sampled</x:v>
      </x:c>
    </x:row>
    <x:row r="1526" ht="46" customHeight="1">
      <x:c r="A1526" s="17" t="str">
        <x:v>us</x:v>
      </x:c>
      <x:c r="B1526" s="17" t="str">
        <x:v>Utah State University</x:v>
      </x:c>
      <x:c r="C1526" s="17" t="str">
        <x:v>IPEDS discovery signal: Computer Engineering, General (CIP 14.0901)</x:v>
      </x:c>
      <x:c r="D1526" s="17" t="str">
        <x:v>Unclear</x:v>
      </x:c>
      <x:c r="E1526" s="17" t="str">
        <x:v>stage2_screened_out</x:v>
      </x:c>
      <x:c r="F1526" s="17" t="str">
        <x:v>Only one bounded registry/program-code signal was present; no independent topical, Calendar, current-faculty, or first-audit signal was recovered.</x:v>
      </x:c>
      <x:c r="G1526" s="17" t="str">
        <x:v>Does the current official catalog contain a research graduate program matching the applicant's topics?</x:v>
      </x:c>
      <x:c r="H1526" s="17" t="str">
        <x:v>https://www.usu.edu</x:v>
      </x:c>
      <x:c r="I1526" s="17" t="str">
        <x:v>not_sampled</x:v>
      </x:c>
      <x:c r="J1526" s="17" t="str">
        <x:v>not_sampled</x:v>
      </x:c>
    </x:row>
    <x:row r="1527" ht="46" customHeight="1">
      <x:c r="A1527" s="17" t="str">
        <x:v>us</x:v>
      </x:c>
      <x:c r="B1527" s="17" t="str">
        <x:v>Utah State University</x:v>
      </x:c>
      <x:c r="C1527" s="17" t="str">
        <x:v>IPEDS discovery signal: Computer Science (CIP 11.0701)</x:v>
      </x:c>
      <x:c r="D1527" s="17" t="str">
        <x:v>Unclear</x:v>
      </x:c>
      <x:c r="E1527" s="17" t="str">
        <x:v>stage2_screened_out</x:v>
      </x:c>
      <x:c r="F1527" s="17" t="str">
        <x:v>Only one bounded registry/program-code signal was present; no independent topical, Calendar, current-faculty, or first-audit signal was recovered.</x:v>
      </x:c>
      <x:c r="G1527" s="17" t="str">
        <x:v>Does the current official catalog contain a research graduate program matching the applicant's topics?</x:v>
      </x:c>
      <x:c r="H1527" s="17" t="str">
        <x:v>https://www.usu.edu</x:v>
      </x:c>
      <x:c r="I1527" s="17" t="str">
        <x:v>not_sampled</x:v>
      </x:c>
      <x:c r="J1527" s="17" t="str">
        <x:v>not_sampled</x:v>
      </x:c>
    </x:row>
    <x:row r="1528" ht="46" customHeight="1">
      <x:c r="A1528" s="17" t="str">
        <x:v>us</x:v>
      </x:c>
      <x:c r="B1528" s="17" t="str">
        <x:v>Utah State University</x:v>
      </x:c>
      <x:c r="C1528" s="17" t="str">
        <x:v>IPEDS discovery signal: Electrical and Electronics Engineering (CIP 14.1001)</x:v>
      </x:c>
      <x:c r="D1528" s="17" t="str">
        <x:v>Unclear</x:v>
      </x:c>
      <x:c r="E1528" s="17" t="str">
        <x:v>stage2_screened_out</x:v>
      </x:c>
      <x:c r="F1528" s="17" t="str">
        <x:v>Only one bounded registry/program-code signal was present; no independent topical, Calendar, current-faculty, or first-audit signal was recovered.</x:v>
      </x:c>
      <x:c r="G1528" s="17" t="str">
        <x:v>Does the current official catalog contain a research graduate program matching the applicant's topics?</x:v>
      </x:c>
      <x:c r="H1528" s="17" t="str">
        <x:v>https://www.usu.edu</x:v>
      </x:c>
      <x:c r="I1528" s="17" t="str">
        <x:v>not_sampled</x:v>
      </x:c>
      <x:c r="J1528" s="17" t="str">
        <x:v>not_sampled</x:v>
      </x:c>
    </x:row>
    <x:row r="1529" ht="46" customHeight="1">
      <x:c r="A1529" s="17" t="str">
        <x:v>us</x:v>
      </x:c>
      <x:c r="B1529" s="17" t="str">
        <x:v>Utah Valley University</x:v>
      </x:c>
      <x:c r="C1529" s="17" t="str">
        <x:v>IPEDS discovery signal: Computer and Information Systems Security/Auditing/Information Assurance (CIP 11.1003)</x:v>
      </x:c>
      <x:c r="D1529" s="17" t="str">
        <x:v>Unclear</x:v>
      </x:c>
      <x:c r="E1529" s="17" t="str">
        <x:v>stage2_screened_out</x:v>
      </x:c>
      <x:c r="F1529" s="17" t="str">
        <x:v>Only one bounded registry/program-code signal was present; no independent topical, Calendar, current-faculty, or first-audit signal was recovered.</x:v>
      </x:c>
      <x:c r="G1529" s="17" t="str">
        <x:v>Does the current official catalog contain a research graduate program matching the applicant's topics?</x:v>
      </x:c>
      <x:c r="H1529" s="17" t="str">
        <x:v>https://www.uvu.edu</x:v>
      </x:c>
      <x:c r="I1529" s="17" t="str">
        <x:v>not_sampled</x:v>
      </x:c>
      <x:c r="J1529" s="17" t="str">
        <x:v>not_sampled</x:v>
      </x:c>
    </x:row>
    <x:row r="1530" ht="46" customHeight="1">
      <x:c r="A1530" s="17" t="str">
        <x:v>us</x:v>
      </x:c>
      <x:c r="B1530" s="17" t="str">
        <x:v>Utah Valley University</x:v>
      </x:c>
      <x:c r="C1530" s="17" t="str">
        <x:v>IPEDS discovery signal: Computer Science (CIP 11.0701)</x:v>
      </x:c>
      <x:c r="D1530" s="17" t="str">
        <x:v>Unclear</x:v>
      </x:c>
      <x:c r="E1530" s="17" t="str">
        <x:v>stage2_screened_out</x:v>
      </x:c>
      <x:c r="F1530" s="17" t="str">
        <x:v>Only one bounded registry/program-code signal was present; no independent topical, Calendar, current-faculty, or first-audit signal was recovered.</x:v>
      </x:c>
      <x:c r="G1530" s="17" t="str">
        <x:v>Does the current official catalog contain a research graduate program matching the applicant's topics?</x:v>
      </x:c>
      <x:c r="H1530" s="17" t="str">
        <x:v>https://www.uvu.edu</x:v>
      </x:c>
      <x:c r="I1530" s="17" t="str">
        <x:v>not_sampled</x:v>
      </x:c>
      <x:c r="J1530" s="17" t="str">
        <x:v>not_sampled</x:v>
      </x:c>
    </x:row>
    <x:row r="1531" ht="46" customHeight="1">
      <x:c r="A1531" s="17" t="str">
        <x:v>us</x:v>
      </x:c>
      <x:c r="B1531" s="17" t="str">
        <x:v>Utica University</x:v>
      </x:c>
      <x:c r="C1531" s="17" t="str">
        <x:v>IPEDS discovery signal: Data Science, General (CIP 30.7001)</x:v>
      </x:c>
      <x:c r="D1531" s="17" t="str">
        <x:v>Unclear</x:v>
      </x:c>
      <x:c r="E1531" s="17" t="str">
        <x:v>stage2_screened_out</x:v>
      </x:c>
      <x:c r="F1531" s="17" t="str">
        <x:v>Only one bounded registry/program-code signal was present; no independent topical, Calendar, current-faculty, or first-audit signal was recovered.</x:v>
      </x:c>
      <x:c r="G1531" s="17" t="str">
        <x:v>Does the current official catalog contain a research graduate program matching the applicant's topics?</x:v>
      </x:c>
      <x:c r="H1531" s="17" t="str">
        <x:v>https://www.utica.edu</x:v>
      </x:c>
      <x:c r="I1531" s="17" t="str">
        <x:v>not_sampled</x:v>
      </x:c>
      <x:c r="J1531" s="17" t="str">
        <x:v>not_sampled</x:v>
      </x:c>
    </x:row>
    <x:row r="1532" ht="46" customHeight="1">
      <x:c r="A1532" s="17" t="str">
        <x:v>us</x:v>
      </x:c>
      <x:c r="B1532" s="17" t="str">
        <x:v>Valparaiso University</x:v>
      </x:c>
      <x:c r="C1532" s="17" t="str">
        <x:v>IPEDS discovery signal: Information Technology (CIP 11.0103)</x:v>
      </x:c>
      <x:c r="D1532" s="17" t="str">
        <x:v>Unclear</x:v>
      </x:c>
      <x:c r="E1532" s="17" t="str">
        <x:v>stage2_screened_out</x:v>
      </x:c>
      <x:c r="F1532" s="17" t="str">
        <x:v>Only one bounded registry/program-code signal was present; no independent topical, Calendar, current-faculty, or first-audit signal was recovered.</x:v>
      </x:c>
      <x:c r="G1532" s="17" t="str">
        <x:v>Does the current official catalog contain a research graduate program matching the applicant's topics?</x:v>
      </x:c>
      <x:c r="H1532" s="17" t="str">
        <x:v>https://www.valpo.edu</x:v>
      </x:c>
      <x:c r="I1532" s="17" t="str">
        <x:v>not_sampled</x:v>
      </x:c>
      <x:c r="J1532" s="17" t="str">
        <x:v>not_sampled</x:v>
      </x:c>
    </x:row>
    <x:row r="1533" ht="46" customHeight="1">
      <x:c r="A1533" s="17" t="str">
        <x:v>us</x:v>
      </x:c>
      <x:c r="B1533" s="17" t="str">
        <x:v>Vanderbilt University</x:v>
      </x:c>
      <x:c r="C1533" s="17" t="str">
        <x:v>IPEDS discovery signal: Computer Science (CIP 11.0701)</x:v>
      </x:c>
      <x:c r="D1533" s="17" t="str">
        <x:v>Unclear</x:v>
      </x:c>
      <x:c r="E1533" s="17" t="str">
        <x:v>stage2_screened_out</x:v>
      </x:c>
      <x:c r="F1533" s="17" t="str">
        <x:v>Mechanical discovery placeholder is superseded by an exact official program record at the same institution.</x:v>
      </x:c>
      <x:c r="G1533" s="17" t="str">
        <x:v>Does the current official catalog contain a research graduate program matching the applicant's topics?</x:v>
      </x:c>
      <x:c r="H1533" s="17" t="str">
        <x:v>https://www.vanderbilt.edu</x:v>
      </x:c>
      <x:c r="I1533" s="17" t="str">
        <x:v>not_sampled</x:v>
      </x:c>
      <x:c r="J1533" s="17" t="str">
        <x:v>not_sampled</x:v>
      </x:c>
    </x:row>
    <x:row r="1534" ht="46" customHeight="1">
      <x:c r="A1534" s="17" t="str">
        <x:v>us</x:v>
      </x:c>
      <x:c r="B1534" s="17" t="str">
        <x:v>Vanderbilt University</x:v>
      </x:c>
      <x:c r="C1534" s="17" t="str">
        <x:v>IPEDS discovery signal: Electrical and Electronics Engineering (CIP 14.1001)</x:v>
      </x:c>
      <x:c r="D1534" s="17" t="str">
        <x:v>Unclear</x:v>
      </x:c>
      <x:c r="E1534" s="17" t="str">
        <x:v>stage2_screened_out</x:v>
      </x:c>
      <x:c r="F1534" s="17" t="str">
        <x:v>Mechanical discovery placeholder is superseded by an exact official program record at the same institution.</x:v>
      </x:c>
      <x:c r="G1534" s="17" t="str">
        <x:v>Does the current official catalog contain a research graduate program matching the applicant's topics?</x:v>
      </x:c>
      <x:c r="H1534" s="17" t="str">
        <x:v>https://www.vanderbilt.edu</x:v>
      </x:c>
      <x:c r="I1534" s="17" t="str">
        <x:v>not_sampled</x:v>
      </x:c>
      <x:c r="J1534" s="17" t="str">
        <x:v>not_sampled</x:v>
      </x:c>
    </x:row>
    <x:row r="1535" ht="46" customHeight="1">
      <x:c r="A1535" s="17" t="str">
        <x:v>us</x:v>
      </x:c>
      <x:c r="B1535" s="17" t="str">
        <x:v>Vermont State University</x:v>
      </x:c>
      <x:c r="C1535" s="17" t="str">
        <x:v>IPEDS discovery signal: Computer Software Engineering (CIP 14.0903)</x:v>
      </x:c>
      <x:c r="D1535" s="17" t="str">
        <x:v>Unclear</x:v>
      </x:c>
      <x:c r="E1535" s="17" t="str">
        <x:v>stage2_screened_out</x:v>
      </x:c>
      <x:c r="F1535" s="17" t="str">
        <x:v>Only one bounded registry/program-code signal was present; no independent topical, Calendar, current-faculty, or first-audit signal was recovered.</x:v>
      </x:c>
      <x:c r="G1535" s="17" t="str">
        <x:v>Does the current official catalog contain a research graduate program matching the applicant's topics?</x:v>
      </x:c>
      <x:c r="H1535" s="17" t="str">
        <x:v>https://vermontstate.edu</x:v>
      </x:c>
      <x:c r="I1535" s="17" t="str">
        <x:v>not_sampled</x:v>
      </x:c>
      <x:c r="J1535" s="17" t="str">
        <x:v>not_sampled</x:v>
      </x:c>
    </x:row>
    <x:row r="1536" ht="46" customHeight="1">
      <x:c r="A1536" s="17" t="str">
        <x:v>us</x:v>
      </x:c>
      <x:c r="B1536" s="17" t="str">
        <x:v>Villanova University</x:v>
      </x:c>
      <x:c r="C1536" s="17" t="str">
        <x:v>IPEDS discovery signal: Computer Engineering, General (CIP 14.0901)</x:v>
      </x:c>
      <x:c r="D1536" s="17" t="str">
        <x:v>Unclear</x:v>
      </x:c>
      <x:c r="E1536" s="17" t="str">
        <x:v>stage2_screened_out</x:v>
      </x:c>
      <x:c r="F1536" s="17" t="str">
        <x:v>Only one bounded registry/program-code signal was present; no independent topical, Calendar, current-faculty, or first-audit signal was recovered.</x:v>
      </x:c>
      <x:c r="G1536" s="17" t="str">
        <x:v>Does the current official catalog contain a research graduate program matching the applicant's topics?</x:v>
      </x:c>
      <x:c r="H1536" s="17" t="str">
        <x:v>https://www.villanova.edu</x:v>
      </x:c>
      <x:c r="I1536" s="17" t="str">
        <x:v>not_sampled</x:v>
      </x:c>
      <x:c r="J1536" s="17" t="str">
        <x:v>not_sampled</x:v>
      </x:c>
    </x:row>
    <x:row r="1537" ht="46" customHeight="1">
      <x:c r="A1537" s="17" t="str">
        <x:v>us</x:v>
      </x:c>
      <x:c r="B1537" s="17" t="str">
        <x:v>Villanova University</x:v>
      </x:c>
      <x:c r="C1537" s="17" t="str">
        <x:v>IPEDS discovery signal: Computer Science (CIP 11.0701)</x:v>
      </x:c>
      <x:c r="D1537" s="17" t="str">
        <x:v>Unclear</x:v>
      </x:c>
      <x:c r="E1537" s="17" t="str">
        <x:v>stage2_screened_out</x:v>
      </x:c>
      <x:c r="F1537" s="17" t="str">
        <x:v>Only one bounded registry/program-code signal was present; no independent topical, Calendar, current-faculty, or first-audit signal was recovered.</x:v>
      </x:c>
      <x:c r="G1537" s="17" t="str">
        <x:v>Does the current official catalog contain a research graduate program matching the applicant's topics?</x:v>
      </x:c>
      <x:c r="H1537" s="17" t="str">
        <x:v>https://www.villanova.edu</x:v>
      </x:c>
      <x:c r="I1537" s="17" t="str">
        <x:v>not_sampled</x:v>
      </x:c>
      <x:c r="J1537" s="17" t="str">
        <x:v>not_sampled</x:v>
      </x:c>
    </x:row>
    <x:row r="1538" ht="46" customHeight="1">
      <x:c r="A1538" s="17" t="str">
        <x:v>us</x:v>
      </x:c>
      <x:c r="B1538" s="17" t="str">
        <x:v>Villanova University</x:v>
      </x:c>
      <x:c r="C1538" s="17" t="str">
        <x:v>IPEDS discovery signal: Computer Software Engineering (CIP 14.0903)</x:v>
      </x:c>
      <x:c r="D1538" s="17" t="str">
        <x:v>Unclear</x:v>
      </x:c>
      <x:c r="E1538" s="17" t="str">
        <x:v>stage2_screened_out</x:v>
      </x:c>
      <x:c r="F1538" s="17" t="str">
        <x:v>Only one bounded registry/program-code signal was present; no independent topical, Calendar, current-faculty, or first-audit signal was recovered.</x:v>
      </x:c>
      <x:c r="G1538" s="17" t="str">
        <x:v>Does the current official catalog contain a research graduate program matching the applicant's topics?</x:v>
      </x:c>
      <x:c r="H1538" s="17" t="str">
        <x:v>https://www.villanova.edu</x:v>
      </x:c>
      <x:c r="I1538" s="17" t="str">
        <x:v>not_sampled</x:v>
      </x:c>
      <x:c r="J1538" s="17" t="str">
        <x:v>not_sampled</x:v>
      </x:c>
    </x:row>
    <x:row r="1539" ht="46" customHeight="1">
      <x:c r="A1539" s="17" t="str">
        <x:v>us</x:v>
      </x:c>
      <x:c r="B1539" s="17" t="str">
        <x:v>Villanova University</x:v>
      </x:c>
      <x:c r="C1539" s="17" t="str">
        <x:v>IPEDS discovery signal: Electrical and Electronics Engineering (CIP 14.1001)</x:v>
      </x:c>
      <x:c r="D1539" s="17" t="str">
        <x:v>Unclear</x:v>
      </x:c>
      <x:c r="E1539" s="17" t="str">
        <x:v>stage2_screened_out</x:v>
      </x:c>
      <x:c r="F1539" s="17" t="str">
        <x:v>Only one bounded registry/program-code signal was present; no independent topical, Calendar, current-faculty, or first-audit signal was recovered.</x:v>
      </x:c>
      <x:c r="G1539" s="17" t="str">
        <x:v>Does the current official catalog contain a research graduate program matching the applicant's topics?</x:v>
      </x:c>
      <x:c r="H1539" s="17" t="str">
        <x:v>https://www.villanova.edu</x:v>
      </x:c>
      <x:c r="I1539" s="17" t="str">
        <x:v>not_sampled</x:v>
      </x:c>
      <x:c r="J1539" s="17" t="str">
        <x:v>not_sampled</x:v>
      </x:c>
    </x:row>
    <x:row r="1540" ht="46" customHeight="1">
      <x:c r="A1540" s="17" t="str">
        <x:v>us</x:v>
      </x:c>
      <x:c r="B1540" s="17" t="str">
        <x:v>Virginia Commonwealth University</x:v>
      </x:c>
      <x:c r="C1540" s="17" t="str">
        <x:v>IPEDS discovery signal: Data Analytics, General (CIP 30.7101)</x:v>
      </x:c>
      <x:c r="D1540" s="17" t="str">
        <x:v>Unclear</x:v>
      </x:c>
      <x:c r="E1540" s="17" t="str">
        <x:v>stage2_screened_out</x:v>
      </x:c>
      <x:c r="F1540" s="17" t="str">
        <x:v>Duplicate mechanical discovery signal consolidated into one institution-level catalog review candidate.</x:v>
      </x:c>
      <x:c r="G1540" s="17" t="str">
        <x:v>Does the current official catalog contain a research graduate program matching the applicant's topics?</x:v>
      </x:c>
      <x:c r="H1540" s="17" t="str">
        <x:v>https://www.vcu.edu</x:v>
      </x:c>
      <x:c r="I1540" s="17" t="str">
        <x:v>not_sampled</x:v>
      </x:c>
      <x:c r="J1540" s="17" t="str">
        <x:v>not_sampled</x:v>
      </x:c>
    </x:row>
    <x:row r="1541" ht="46" customHeight="1">
      <x:c r="A1541" s="17" t="str">
        <x:v>us</x:v>
      </x:c>
      <x:c r="B1541" s="17" t="str">
        <x:v>Virginia Commonwealth University</x:v>
      </x:c>
      <x:c r="C1541" s="17" t="str">
        <x:v>IPEDS discovery signal: Information Science/Studies (CIP 11.0401)</x:v>
      </x:c>
      <x:c r="D1541" s="17" t="str">
        <x:v>Unclear</x:v>
      </x:c>
      <x:c r="E1541" s="17" t="str">
        <x:v>stage2_screened_out</x:v>
      </x:c>
      <x:c r="F1541" s="17" t="str">
        <x:v>Duplicate mechanical discovery signal consolidated into one institution-level catalog review candidate.</x:v>
      </x:c>
      <x:c r="G1541" s="17" t="str">
        <x:v>Does the current official catalog contain a research graduate program matching the applicant's topics?</x:v>
      </x:c>
      <x:c r="H1541" s="17" t="str">
        <x:v>https://www.vcu.edu</x:v>
      </x:c>
      <x:c r="I1541" s="17" t="str">
        <x:v>not_sampled</x:v>
      </x:c>
      <x:c r="J1541" s="17" t="str">
        <x:v>not_sampled</x:v>
      </x:c>
    </x:row>
    <x:row r="1542" ht="46" customHeight="1">
      <x:c r="A1542" s="17" t="str">
        <x:v>us</x:v>
      </x:c>
      <x:c r="B1542" s="17" t="str">
        <x:v>Virginia Polytechnic Institute and State University</x:v>
      </x:c>
      <x:c r="C1542" s="17" t="str">
        <x:v>IPEDS discovery signal: Computer and Information Sciences, General (CIP 11.0101)</x:v>
      </x:c>
      <x:c r="D1542" s="17" t="str">
        <x:v>Unclear</x:v>
      </x:c>
      <x:c r="E1542" s="17" t="str">
        <x:v>stage2_screened_out</x:v>
      </x:c>
      <x:c r="F1542" s="17" t="str">
        <x:v>Mechanical discovery placeholder is superseded by an exact official program record at the same institution.</x:v>
      </x:c>
      <x:c r="G1542" s="17" t="str">
        <x:v>Does the current official catalog contain a research graduate program matching the applicant's topics?</x:v>
      </x:c>
      <x:c r="H1542" s="17" t="str">
        <x:v>https://www.vt.edu</x:v>
      </x:c>
      <x:c r="I1542" s="17" t="str">
        <x:v>not_sampled</x:v>
      </x:c>
      <x:c r="J1542" s="17" t="str">
        <x:v>not_sampled</x:v>
      </x:c>
    </x:row>
    <x:row r="1543" ht="46" customHeight="1">
      <x:c r="A1543" s="17" t="str">
        <x:v>us</x:v>
      </x:c>
      <x:c r="B1543" s="17" t="str">
        <x:v>Virginia Polytechnic Institute and State University</x:v>
      </x:c>
      <x:c r="C1543" s="17" t="str">
        <x:v>IPEDS discovery signal: Computer Engineering, General (CIP 14.0901)</x:v>
      </x:c>
      <x:c r="D1543" s="17" t="str">
        <x:v>Unclear</x:v>
      </x:c>
      <x:c r="E1543" s="17" t="str">
        <x:v>stage2_screened_out</x:v>
      </x:c>
      <x:c r="F1543" s="17" t="str">
        <x:v>Mechanical discovery placeholder is superseded by an exact official program record at the same institution.</x:v>
      </x:c>
      <x:c r="G1543" s="17" t="str">
        <x:v>Does the current official catalog contain a research graduate program matching the applicant's topics?</x:v>
      </x:c>
      <x:c r="H1543" s="17" t="str">
        <x:v>https://www.vt.edu</x:v>
      </x:c>
      <x:c r="I1543" s="17" t="str">
        <x:v>not_sampled</x:v>
      </x:c>
      <x:c r="J1543" s="17" t="str">
        <x:v>not_sampled</x:v>
      </x:c>
    </x:row>
    <x:row r="1544" ht="46" customHeight="1">
      <x:c r="A1544" s="17" t="str">
        <x:v>us</x:v>
      </x:c>
      <x:c r="B1544" s="17" t="str">
        <x:v>Virginia Polytechnic Institute and State University</x:v>
      </x:c>
      <x:c r="C1544" s="17" t="str">
        <x:v>IPEDS discovery signal: Electrical and Electronics Engineering (CIP 14.1001)</x:v>
      </x:c>
      <x:c r="D1544" s="17" t="str">
        <x:v>Unclear</x:v>
      </x:c>
      <x:c r="E1544" s="17" t="str">
        <x:v>stage2_screened_out</x:v>
      </x:c>
      <x:c r="F1544" s="17" t="str">
        <x:v>Mechanical discovery placeholder is superseded by an exact official program record at the same institution.</x:v>
      </x:c>
      <x:c r="G1544" s="17" t="str">
        <x:v>Does the current official catalog contain a research graduate program matching the applicant's topics?</x:v>
      </x:c>
      <x:c r="H1544" s="17" t="str">
        <x:v>https://www.vt.edu</x:v>
      </x:c>
      <x:c r="I1544" s="17" t="str">
        <x:v>not_sampled</x:v>
      </x:c>
      <x:c r="J1544" s="17" t="str">
        <x:v>not_sampled</x:v>
      </x:c>
    </x:row>
    <x:row r="1545" ht="46" customHeight="1">
      <x:c r="A1545" s="17" t="str">
        <x:v>us</x:v>
      </x:c>
      <x:c r="B1545" s="17" t="str">
        <x:v>Virginia Polytechnic Institute and State University</x:v>
      </x:c>
      <x:c r="C1545" s="17" t="str">
        <x:v>Ph.D. in Computer Science and Applications</x:v>
      </x:c>
      <x:c r="D1545" s="17" t="str">
        <x:v>PhD</x:v>
      </x:c>
      <x:c r="E1545" s="17" t="str">
        <x:v>duplicate_same_university_route</x:v>
      </x:c>
      <x:c r="F1545" s="17" t="str">
        <x:v>A fully verified research route of the same degree type at this university supersedes this duplicate preliminary record.</x:v>
      </x:c>
      <x:c r="G1545" s="17" t="str">
        <x:v>Which current supervisors match the applicant and are eligible/available to advise Fall 2027 entrants?</x:v>
      </x:c>
      <x:c r="H1545" s="17" t="str">
        <x:v>https://website.cs.vt.edu/academic/graduate/future-grads.html</x:v>
      </x:c>
      <x:c r="I1545" s="17" t="str">
        <x:v>not_sampled</x:v>
      </x:c>
      <x:c r="J1545" s="17" t="str">
        <x:v>not_sampled</x:v>
      </x:c>
    </x:row>
    <x:row r="1546" ht="46" customHeight="1">
      <x:c r="A1546" s="17" t="str">
        <x:v>us</x:v>
      </x:c>
      <x:c r="B1546" s="17" t="str">
        <x:v>Virginia State University</x:v>
      </x:c>
      <x:c r="C1546" s="17" t="str">
        <x:v>IPEDS discovery signal: Computer Science (CIP 11.0701)</x:v>
      </x:c>
      <x:c r="D1546" s="17" t="str">
        <x:v>Unclear</x:v>
      </x:c>
      <x:c r="E1546" s="17" t="str">
        <x:v>stage2_screened_out</x:v>
      </x:c>
      <x:c r="F1546" s="17" t="str">
        <x:v>Only one bounded registry/program-code signal was present; no independent topical, Calendar, current-faculty, or first-audit signal was recovered.</x:v>
      </x:c>
      <x:c r="G1546" s="17" t="str">
        <x:v>Does the current official catalog contain a research graduate program matching the applicant's topics?</x:v>
      </x:c>
      <x:c r="H1546" s="17" t="str">
        <x:v>https://www.vsu.edu</x:v>
      </x:c>
      <x:c r="I1546" s="17" t="str">
        <x:v>not_sampled</x:v>
      </x:c>
      <x:c r="J1546" s="17" t="str">
        <x:v>not_sampled</x:v>
      </x:c>
    </x:row>
    <x:row r="1547" ht="46" customHeight="1">
      <x:c r="A1547" s="17" t="str">
        <x:v>us</x:v>
      </x:c>
      <x:c r="B1547" s="17" t="str">
        <x:v>Wake Forest University</x:v>
      </x:c>
      <x:c r="C1547" s="17" t="str">
        <x:v>IPEDS discovery signal: Computer Science (CIP 11.0701)</x:v>
      </x:c>
      <x:c r="D1547" s="17" t="str">
        <x:v>Unclear</x:v>
      </x:c>
      <x:c r="E1547" s="17" t="str">
        <x:v>stage2_screened_out</x:v>
      </x:c>
      <x:c r="F1547" s="17" t="str">
        <x:v>Only one bounded registry/program-code signal was present; no independent topical, Calendar, current-faculty, or first-audit signal was recovered.</x:v>
      </x:c>
      <x:c r="G1547" s="17" t="str">
        <x:v>Does the current official catalog contain a research graduate program matching the applicant's topics?</x:v>
      </x:c>
      <x:c r="H1547" s="17" t="str">
        <x:v>https://www.wfu.edu</x:v>
      </x:c>
      <x:c r="I1547" s="17" t="str">
        <x:v>not_sampled</x:v>
      </x:c>
      <x:c r="J1547" s="17" t="str">
        <x:v>not_sampled</x:v>
      </x:c>
    </x:row>
    <x:row r="1548" ht="46" customHeight="1">
      <x:c r="A1548" s="17" t="str">
        <x:v>us</x:v>
      </x:c>
      <x:c r="B1548" s="17" t="str">
        <x:v>Walden University</x:v>
      </x:c>
      <x:c r="C1548" s="17" t="str">
        <x:v>IPEDS discovery signal: Computer and Information Sciences, General (CIP 11.0101)</x:v>
      </x:c>
      <x:c r="D1548" s="17" t="str">
        <x:v>Unclear</x:v>
      </x:c>
      <x:c r="E1548" s="17" t="str">
        <x:v>stage2_screened_out</x:v>
      </x:c>
      <x:c r="F1548" s="17" t="str">
        <x:v>Only one bounded registry/program-code signal was present; no independent topical, Calendar, current-faculty, or first-audit signal was recovered.</x:v>
      </x:c>
      <x:c r="G1548" s="17" t="str">
        <x:v>Does the current official catalog contain a research graduate program matching the applicant's topics?</x:v>
      </x:c>
      <x:c r="H1548" s="17" t="str">
        <x:v>https://www.waldenu.edu</x:v>
      </x:c>
      <x:c r="I1548" s="17" t="str">
        <x:v>not_sampled</x:v>
      </x:c>
      <x:c r="J1548" s="17" t="str">
        <x:v>not_sampled</x:v>
      </x:c>
    </x:row>
    <x:row r="1549" ht="46" customHeight="1">
      <x:c r="A1549" s="17" t="str">
        <x:v>us</x:v>
      </x:c>
      <x:c r="B1549" s="17" t="str">
        <x:v>Walden University</x:v>
      </x:c>
      <x:c r="C1549" s="17" t="str">
        <x:v>IPEDS discovery signal: Computer and Information Systems Security/Auditing/Information Assurance (CIP 11.1003)</x:v>
      </x:c>
      <x:c r="D1549" s="17" t="str">
        <x:v>Unclear</x:v>
      </x:c>
      <x:c r="E1549" s="17" t="str">
        <x:v>stage2_screened_out</x:v>
      </x:c>
      <x:c r="F1549" s="17" t="str">
        <x:v>Only one bounded registry/program-code signal was present; no independent topical, Calendar, current-faculty, or first-audit signal was recovered.</x:v>
      </x:c>
      <x:c r="G1549" s="17" t="str">
        <x:v>Does the current official catalog contain a research graduate program matching the applicant's topics?</x:v>
      </x:c>
      <x:c r="H1549" s="17" t="str">
        <x:v>https://www.waldenu.edu</x:v>
      </x:c>
      <x:c r="I1549" s="17" t="str">
        <x:v>not_sampled</x:v>
      </x:c>
      <x:c r="J1549" s="17" t="str">
        <x:v>not_sampled</x:v>
      </x:c>
    </x:row>
    <x:row r="1550" ht="46" customHeight="1">
      <x:c r="A1550" s="17" t="str">
        <x:v>us</x:v>
      </x:c>
      <x:c r="B1550" s="17" t="str">
        <x:v>Walden University</x:v>
      </x:c>
      <x:c r="C1550" s="17" t="str">
        <x:v>IPEDS discovery signal: Computer Software Engineering (CIP 14.0903)</x:v>
      </x:c>
      <x:c r="D1550" s="17" t="str">
        <x:v>Unclear</x:v>
      </x:c>
      <x:c r="E1550" s="17" t="str">
        <x:v>stage2_screened_out</x:v>
      </x:c>
      <x:c r="F1550" s="17" t="str">
        <x:v>Only one bounded registry/program-code signal was present; no independent topical, Calendar, current-faculty, or first-audit signal was recovered.</x:v>
      </x:c>
      <x:c r="G1550" s="17" t="str">
        <x:v>Does the current official catalog contain a research graduate program matching the applicant's topics?</x:v>
      </x:c>
      <x:c r="H1550" s="17" t="str">
        <x:v>https://www.waldenu.edu</x:v>
      </x:c>
      <x:c r="I1550" s="17" t="str">
        <x:v>not_sampled</x:v>
      </x:c>
      <x:c r="J1550" s="17" t="str">
        <x:v>not_sampled</x:v>
      </x:c>
    </x:row>
    <x:row r="1551" ht="46" customHeight="1">
      <x:c r="A1551" s="17" t="str">
        <x:v>us</x:v>
      </x:c>
      <x:c r="B1551" s="17" t="str">
        <x:v>Walden University</x:v>
      </x:c>
      <x:c r="C1551" s="17" t="str">
        <x:v>IPEDS discovery signal: Data Science, General (CIP 30.7001)</x:v>
      </x:c>
      <x:c r="D1551" s="17" t="str">
        <x:v>Unclear</x:v>
      </x:c>
      <x:c r="E1551" s="17" t="str">
        <x:v>stage2_screened_out</x:v>
      </x:c>
      <x:c r="F1551" s="17" t="str">
        <x:v>Only one bounded registry/program-code signal was present; no independent topical, Calendar, current-faculty, or first-audit signal was recovered.</x:v>
      </x:c>
      <x:c r="G1551" s="17" t="str">
        <x:v>Does the current official catalog contain a research graduate program matching the applicant's topics?</x:v>
      </x:c>
      <x:c r="H1551" s="17" t="str">
        <x:v>https://www.waldenu.edu</x:v>
      </x:c>
      <x:c r="I1551" s="17" t="str">
        <x:v>not_sampled</x:v>
      </x:c>
      <x:c r="J1551" s="17" t="str">
        <x:v>not_sampled</x:v>
      </x:c>
    </x:row>
    <x:row r="1552" ht="46" customHeight="1">
      <x:c r="A1552" s="17" t="str">
        <x:v>us</x:v>
      </x:c>
      <x:c r="B1552" s="17" t="str">
        <x:v>Walsh College</x:v>
      </x:c>
      <x:c r="C1552" s="17" t="str">
        <x:v>IPEDS discovery signal: Data Analytics, General (CIP 30.7101)</x:v>
      </x:c>
      <x:c r="D1552" s="17" t="str">
        <x:v>Unclear</x:v>
      </x:c>
      <x:c r="E1552" s="17" t="str">
        <x:v>stage2_screened_out</x:v>
      </x:c>
      <x:c r="F1552" s="17" t="str">
        <x:v>Only one bounded registry/program-code signal was present; no independent topical, Calendar, current-faculty, or first-audit signal was recovered.</x:v>
      </x:c>
      <x:c r="G1552" s="17" t="str">
        <x:v>Does the current official catalog contain a research graduate program matching the applicant's topics?</x:v>
      </x:c>
      <x:c r="H1552" s="17" t="str">
        <x:v>https://walshcollege.edu</x:v>
      </x:c>
      <x:c r="I1552" s="17" t="str">
        <x:v>not_sampled</x:v>
      </x:c>
      <x:c r="J1552" s="17" t="str">
        <x:v>not_sampled</x:v>
      </x:c>
    </x:row>
    <x:row r="1553" ht="46" customHeight="1">
      <x:c r="A1553" s="17" t="str">
        <x:v>us</x:v>
      </x:c>
      <x:c r="B1553" s="17" t="str">
        <x:v>Walsh College</x:v>
      </x:c>
      <x:c r="C1553" s="17" t="str">
        <x:v>IPEDS discovery signal: Information Science/Studies (CIP 11.0401)</x:v>
      </x:c>
      <x:c r="D1553" s="17" t="str">
        <x:v>Unclear</x:v>
      </x:c>
      <x:c r="E1553" s="17" t="str">
        <x:v>stage2_screened_out</x:v>
      </x:c>
      <x:c r="F1553" s="17" t="str">
        <x:v>Only one bounded registry/program-code signal was present; no independent topical, Calendar, current-faculty, or first-audit signal was recovered.</x:v>
      </x:c>
      <x:c r="G1553" s="17" t="str">
        <x:v>Does the current official catalog contain a research graduate program matching the applicant's topics?</x:v>
      </x:c>
      <x:c r="H1553" s="17" t="str">
        <x:v>https://walshcollege.edu</x:v>
      </x:c>
      <x:c r="I1553" s="17" t="str">
        <x:v>not_sampled</x:v>
      </x:c>
      <x:c r="J1553" s="17" t="str">
        <x:v>not_sampled</x:v>
      </x:c>
    </x:row>
    <x:row r="1554" ht="46" customHeight="1">
      <x:c r="A1554" s="17" t="str">
        <x:v>us</x:v>
      </x:c>
      <x:c r="B1554" s="17" t="str">
        <x:v>Walsh College</x:v>
      </x:c>
      <x:c r="C1554" s="17" t="str">
        <x:v>IPEDS discovery signal: Information Technology (CIP 11.0103)</x:v>
      </x:c>
      <x:c r="D1554" s="17" t="str">
        <x:v>Unclear</x:v>
      </x:c>
      <x:c r="E1554" s="17" t="str">
        <x:v>stage2_screened_out</x:v>
      </x:c>
      <x:c r="F1554" s="17" t="str">
        <x:v>Only one bounded registry/program-code signal was present; no independent topical, Calendar, current-faculty, or first-audit signal was recovered.</x:v>
      </x:c>
      <x:c r="G1554" s="17" t="str">
        <x:v>Does the current official catalog contain a research graduate program matching the applicant's topics?</x:v>
      </x:c>
      <x:c r="H1554" s="17" t="str">
        <x:v>https://walshcollege.edu</x:v>
      </x:c>
      <x:c r="I1554" s="17" t="str">
        <x:v>not_sampled</x:v>
      </x:c>
      <x:c r="J1554" s="17" t="str">
        <x:v>not_sampled</x:v>
      </x:c>
    </x:row>
    <x:row r="1555" ht="46" customHeight="1">
      <x:c r="A1555" s="17" t="str">
        <x:v>us</x:v>
      </x:c>
      <x:c r="B1555" s="17" t="str">
        <x:v>Washington State University</x:v>
      </x:c>
      <x:c r="C1555" s="17" t="str">
        <x:v>IPEDS discovery signal: Computer Engineering, General (CIP 14.0901)</x:v>
      </x:c>
      <x:c r="D1555" s="17" t="str">
        <x:v>Unclear</x:v>
      </x:c>
      <x:c r="E1555" s="17" t="str">
        <x:v>stage2_screened_out</x:v>
      </x:c>
      <x:c r="F1555" s="17" t="str">
        <x:v>Duplicate mechanical discovery signal consolidated into one institution-level catalog review candidate.</x:v>
      </x:c>
      <x:c r="G1555" s="17" t="str">
        <x:v>Does the current official catalog contain a research graduate program matching the applicant's topics?</x:v>
      </x:c>
      <x:c r="H1555" s="17" t="str">
        <x:v>https://wsu.edu</x:v>
      </x:c>
      <x:c r="I1555" s="17" t="str">
        <x:v>not_sampled</x:v>
      </x:c>
      <x:c r="J1555" s="17" t="str">
        <x:v>not_sampled</x:v>
      </x:c>
    </x:row>
    <x:row r="1556" ht="46" customHeight="1">
      <x:c r="A1556" s="17" t="str">
        <x:v>us</x:v>
      </x:c>
      <x:c r="B1556" s="17" t="str">
        <x:v>Washington State University</x:v>
      </x:c>
      <x:c r="C1556" s="17" t="str">
        <x:v>IPEDS discovery signal: Computer Science (CIP 11.0701)</x:v>
      </x:c>
      <x:c r="D1556" s="17" t="str">
        <x:v>Unclear</x:v>
      </x:c>
      <x:c r="E1556" s="17" t="str">
        <x:v>stage2_screened_out</x:v>
      </x:c>
      <x:c r="F1556" s="17" t="str">
        <x:v>Duplicate mechanical discovery signal consolidated into one institution-level catalog review candidate.</x:v>
      </x:c>
      <x:c r="G1556" s="17" t="str">
        <x:v>Does the current official catalog contain a research graduate program matching the applicant's topics?</x:v>
      </x:c>
      <x:c r="H1556" s="17" t="str">
        <x:v>https://wsu.edu</x:v>
      </x:c>
      <x:c r="I1556" s="17" t="str">
        <x:v>not_sampled</x:v>
      </x:c>
      <x:c r="J1556" s="17" t="str">
        <x:v>not_sampled</x:v>
      </x:c>
    </x:row>
    <x:row r="1557" ht="46" customHeight="1">
      <x:c r="A1557" s="17" t="str">
        <x:v>us</x:v>
      </x:c>
      <x:c r="B1557" s="17" t="str">
        <x:v>Washington State University</x:v>
      </x:c>
      <x:c r="C1557" s="17" t="str">
        <x:v>IPEDS discovery signal: Electrical and Electronics Engineering (CIP 14.1001)</x:v>
      </x:c>
      <x:c r="D1557" s="17" t="str">
        <x:v>Unclear</x:v>
      </x:c>
      <x:c r="E1557" s="17" t="str">
        <x:v>stage2_screened_out</x:v>
      </x:c>
      <x:c r="F1557" s="17" t="str">
        <x:v>Duplicate mechanical discovery signal consolidated into one institution-level catalog review candidate.</x:v>
      </x:c>
      <x:c r="G1557" s="17" t="str">
        <x:v>Does the current official catalog contain a research graduate program matching the applicant's topics?</x:v>
      </x:c>
      <x:c r="H1557" s="17" t="str">
        <x:v>https://wsu.edu</x:v>
      </x:c>
      <x:c r="I1557" s="17" t="str">
        <x:v>not_sampled</x:v>
      </x:c>
      <x:c r="J1557" s="17" t="str">
        <x:v>not_sampled</x:v>
      </x:c>
    </x:row>
    <x:row r="1558" ht="46" customHeight="1">
      <x:c r="A1558" s="17" t="str">
        <x:v>us</x:v>
      </x:c>
      <x:c r="B1558" s="17" t="str">
        <x:v>Washington University in St Louis</x:v>
      </x:c>
      <x:c r="C1558" s="17" t="str">
        <x:v>IPEDS discovery signal: Computer and Information Systems Security/Auditing/Information Assurance (CIP 11.1003)</x:v>
      </x:c>
      <x:c r="D1558" s="17" t="str">
        <x:v>Unclear</x:v>
      </x:c>
      <x:c r="E1558" s="17" t="str">
        <x:v>stage2_screened_out</x:v>
      </x:c>
      <x:c r="F1558" s="17" t="str">
        <x:v>Mechanical discovery placeholder is superseded by an exact official program record at the same institution.</x:v>
      </x:c>
      <x:c r="G1558" s="17" t="str">
        <x:v>Does the current official catalog contain a research graduate program matching the applicant's topics?</x:v>
      </x:c>
      <x:c r="H1558" s="17" t="str">
        <x:v>https://washu.edu</x:v>
      </x:c>
      <x:c r="I1558" s="17" t="str">
        <x:v>not_sampled</x:v>
      </x:c>
      <x:c r="J1558" s="17" t="str">
        <x:v>not_sampled</x:v>
      </x:c>
    </x:row>
    <x:row r="1559" ht="46" customHeight="1">
      <x:c r="A1559" s="17" t="str">
        <x:v>us</x:v>
      </x:c>
      <x:c r="B1559" s="17" t="str">
        <x:v>Washington University in St Louis</x:v>
      </x:c>
      <x:c r="C1559" s="17" t="str">
        <x:v>IPEDS discovery signal: Computer Engineering, General (CIP 14.0901)</x:v>
      </x:c>
      <x:c r="D1559" s="17" t="str">
        <x:v>Unclear</x:v>
      </x:c>
      <x:c r="E1559" s="17" t="str">
        <x:v>stage2_screened_out</x:v>
      </x:c>
      <x:c r="F1559" s="17" t="str">
        <x:v>Mechanical discovery placeholder is superseded by an exact official program record at the same institution.</x:v>
      </x:c>
      <x:c r="G1559" s="17" t="str">
        <x:v>Does the current official catalog contain a research graduate program matching the applicant's topics?</x:v>
      </x:c>
      <x:c r="H1559" s="17" t="str">
        <x:v>https://washu.edu</x:v>
      </x:c>
      <x:c r="I1559" s="17" t="str">
        <x:v>not_sampled</x:v>
      </x:c>
      <x:c r="J1559" s="17" t="str">
        <x:v>not_sampled</x:v>
      </x:c>
    </x:row>
    <x:row r="1560" ht="46" customHeight="1">
      <x:c r="A1560" s="17" t="str">
        <x:v>us</x:v>
      </x:c>
      <x:c r="B1560" s="17" t="str">
        <x:v>Washington University in St Louis</x:v>
      </x:c>
      <x:c r="C1560" s="17" t="str">
        <x:v>IPEDS discovery signal: Computer Science (CIP 11.0701)</x:v>
      </x:c>
      <x:c r="D1560" s="17" t="str">
        <x:v>Unclear</x:v>
      </x:c>
      <x:c r="E1560" s="17" t="str">
        <x:v>stage2_screened_out</x:v>
      </x:c>
      <x:c r="F1560" s="17" t="str">
        <x:v>Mechanical discovery placeholder is superseded by an exact official program record at the same institution.</x:v>
      </x:c>
      <x:c r="G1560" s="17" t="str">
        <x:v>Does the current official catalog contain a research graduate program matching the applicant's topics?</x:v>
      </x:c>
      <x:c r="H1560" s="17" t="str">
        <x:v>https://washu.edu</x:v>
      </x:c>
      <x:c r="I1560" s="17" t="str">
        <x:v>not_sampled</x:v>
      </x:c>
      <x:c r="J1560" s="17" t="str">
        <x:v>not_sampled</x:v>
      </x:c>
    </x:row>
    <x:row r="1561" ht="46" customHeight="1">
      <x:c r="A1561" s="17" t="str">
        <x:v>us</x:v>
      </x:c>
      <x:c r="B1561" s="17" t="str">
        <x:v>Washington University in St Louis</x:v>
      </x:c>
      <x:c r="C1561" s="17" t="str">
        <x:v>IPEDS discovery signal: Electrical and Electronics Engineering (CIP 14.1001)</x:v>
      </x:c>
      <x:c r="D1561" s="17" t="str">
        <x:v>Unclear</x:v>
      </x:c>
      <x:c r="E1561" s="17" t="str">
        <x:v>stage2_screened_out</x:v>
      </x:c>
      <x:c r="F1561" s="17" t="str">
        <x:v>Mechanical discovery placeholder is superseded by an exact official program record at the same institution.</x:v>
      </x:c>
      <x:c r="G1561" s="17" t="str">
        <x:v>Does the current official catalog contain a research graduate program matching the applicant's topics?</x:v>
      </x:c>
      <x:c r="H1561" s="17" t="str">
        <x:v>https://washu.edu</x:v>
      </x:c>
      <x:c r="I1561" s="17" t="str">
        <x:v>not_sampled</x:v>
      </x:c>
      <x:c r="J1561" s="17" t="str">
        <x:v>not_sampled</x:v>
      </x:c>
    </x:row>
    <x:row r="1562" ht="46" customHeight="1">
      <x:c r="A1562" s="17" t="str">
        <x:v>us</x:v>
      </x:c>
      <x:c r="B1562" s="17" t="str">
        <x:v>Washington University of Science and Technology</x:v>
      </x:c>
      <x:c r="C1562" s="17" t="str">
        <x:v>IPEDS discovery signal: Cyber/Computer Forensics and Counterterrorism (CIP 43.0403)</x:v>
      </x:c>
      <x:c r="D1562" s="17" t="str">
        <x:v>Unclear</x:v>
      </x:c>
      <x:c r="E1562" s="17" t="str">
        <x:v>stage2_screened_out</x:v>
      </x:c>
      <x:c r="F1562" s="17" t="str">
        <x:v>Only one bounded registry/program-code signal was present; no independent topical, Calendar, current-faculty, or first-audit signal was recovered.</x:v>
      </x:c>
      <x:c r="G1562" s="17" t="str">
        <x:v>Does the current official catalog contain a research graduate program matching the applicant's topics?</x:v>
      </x:c>
      <x:c r="H1562" s="17" t="str">
        <x:v>https://www.wust.edu</x:v>
      </x:c>
      <x:c r="I1562" s="17" t="str">
        <x:v>not_sampled</x:v>
      </x:c>
      <x:c r="J1562" s="17" t="str">
        <x:v>not_sampled</x:v>
      </x:c>
    </x:row>
    <x:row r="1563" ht="46" customHeight="1">
      <x:c r="A1563" s="17" t="str">
        <x:v>us</x:v>
      </x:c>
      <x:c r="B1563" s="17" t="str">
        <x:v>Washington University of Science and Technology</x:v>
      </x:c>
      <x:c r="C1563" s="17" t="str">
        <x:v>IPEDS discovery signal: Information Technology (CIP 11.0103)</x:v>
      </x:c>
      <x:c r="D1563" s="17" t="str">
        <x:v>Unclear</x:v>
      </x:c>
      <x:c r="E1563" s="17" t="str">
        <x:v>stage2_screened_out</x:v>
      </x:c>
      <x:c r="F1563" s="17" t="str">
        <x:v>Only one bounded registry/program-code signal was present; no independent topical, Calendar, current-faculty, or first-audit signal was recovered.</x:v>
      </x:c>
      <x:c r="G1563" s="17" t="str">
        <x:v>Does the current official catalog contain a research graduate program matching the applicant's topics?</x:v>
      </x:c>
      <x:c r="H1563" s="17" t="str">
        <x:v>https://www.wust.edu</x:v>
      </x:c>
      <x:c r="I1563" s="17" t="str">
        <x:v>not_sampled</x:v>
      </x:c>
      <x:c r="J1563" s="17" t="str">
        <x:v>not_sampled</x:v>
      </x:c>
    </x:row>
    <x:row r="1564" ht="46" customHeight="1">
      <x:c r="A1564" s="17" t="str">
        <x:v>us</x:v>
      </x:c>
      <x:c r="B1564" s="17" t="str">
        <x:v>Wayne State University</x:v>
      </x:c>
      <x:c r="C1564" s="17" t="str">
        <x:v>IPEDS discovery signal: Computer Engineering, General (CIP 14.0901)</x:v>
      </x:c>
      <x:c r="D1564" s="17" t="str">
        <x:v>Unclear</x:v>
      </x:c>
      <x:c r="E1564" s="17" t="str">
        <x:v>stage2_screened_out</x:v>
      </x:c>
      <x:c r="F1564" s="17" t="str">
        <x:v>Duplicate mechanical discovery signal consolidated into one institution-level catalog review candidate.</x:v>
      </x:c>
      <x:c r="G1564" s="17" t="str">
        <x:v>Does the current official catalog contain a research graduate program matching the applicant's topics?</x:v>
      </x:c>
      <x:c r="H1564" s="17" t="str">
        <x:v>https://wayne.edu</x:v>
      </x:c>
      <x:c r="I1564" s="17" t="str">
        <x:v>not_sampled</x:v>
      </x:c>
      <x:c r="J1564" s="17" t="str">
        <x:v>not_sampled</x:v>
      </x:c>
    </x:row>
    <x:row r="1565" ht="46" customHeight="1">
      <x:c r="A1565" s="17" t="str">
        <x:v>us</x:v>
      </x:c>
      <x:c r="B1565" s="17" t="str">
        <x:v>Wayne State University</x:v>
      </x:c>
      <x:c r="C1565" s="17" t="str">
        <x:v>IPEDS discovery signal: Electrical and Electronics Engineering (CIP 14.1001)</x:v>
      </x:c>
      <x:c r="D1565" s="17" t="str">
        <x:v>Unclear</x:v>
      </x:c>
      <x:c r="E1565" s="17" t="str">
        <x:v>stage2_screened_out</x:v>
      </x:c>
      <x:c r="F1565" s="17" t="str">
        <x:v>Duplicate mechanical discovery signal consolidated into one institution-level catalog review candidate.</x:v>
      </x:c>
      <x:c r="G1565" s="17" t="str">
        <x:v>Does the current official catalog contain a research graduate program matching the applicant's topics?</x:v>
      </x:c>
      <x:c r="H1565" s="17" t="str">
        <x:v>https://wayne.edu</x:v>
      </x:c>
      <x:c r="I1565" s="17" t="str">
        <x:v>not_sampled</x:v>
      </x:c>
      <x:c r="J1565" s="17" t="str">
        <x:v>not_sampled</x:v>
      </x:c>
    </x:row>
    <x:row r="1566" ht="46" customHeight="1">
      <x:c r="A1566" s="17" t="str">
        <x:v>us</x:v>
      </x:c>
      <x:c r="B1566" s="17" t="str">
        <x:v>Wayne State University</x:v>
      </x:c>
      <x:c r="C1566" s="17" t="str">
        <x:v>IPEDS discovery signal: Information Science/Studies (CIP 11.0401)</x:v>
      </x:c>
      <x:c r="D1566" s="17" t="str">
        <x:v>Unclear</x:v>
      </x:c>
      <x:c r="E1566" s="17" t="str">
        <x:v>stage2_screened_out</x:v>
      </x:c>
      <x:c r="F1566" s="17" t="str">
        <x:v>Duplicate mechanical discovery signal consolidated into one institution-level catalog review candidate.</x:v>
      </x:c>
      <x:c r="G1566" s="17" t="str">
        <x:v>Does the current official catalog contain a research graduate program matching the applicant's topics?</x:v>
      </x:c>
      <x:c r="H1566" s="17" t="str">
        <x:v>https://wayne.edu</x:v>
      </x:c>
      <x:c r="I1566" s="17" t="str">
        <x:v>not_sampled</x:v>
      </x:c>
      <x:c r="J1566" s="17" t="str">
        <x:v>not_sampled</x:v>
      </x:c>
    </x:row>
    <x:row r="1567" ht="46" customHeight="1">
      <x:c r="A1567" s="17" t="str">
        <x:v>us</x:v>
      </x:c>
      <x:c r="B1567" s="17" t="str">
        <x:v>Weber State University</x:v>
      </x:c>
      <x:c r="C1567" s="17" t="str">
        <x:v>IPEDS discovery signal: Computer Science (CIP 11.0701)</x:v>
      </x:c>
      <x:c r="D1567" s="17" t="str">
        <x:v>Unclear</x:v>
      </x:c>
      <x:c r="E1567" s="17" t="str">
        <x:v>stage2_screened_out</x:v>
      </x:c>
      <x:c r="F1567" s="17" t="str">
        <x:v>Duplicate mechanical discovery signal consolidated into one institution-level catalog review candidate.</x:v>
      </x:c>
      <x:c r="G1567" s="17" t="str">
        <x:v>Does the current official catalog contain a research graduate program matching the applicant's topics?</x:v>
      </x:c>
      <x:c r="H1567" s="17" t="str">
        <x:v>https://www.weber.edu</x:v>
      </x:c>
      <x:c r="I1567" s="17" t="str">
        <x:v>not_sampled</x:v>
      </x:c>
      <x:c r="J1567" s="17" t="str">
        <x:v>not_sampled</x:v>
      </x:c>
    </x:row>
    <x:row r="1568" ht="46" customHeight="1">
      <x:c r="A1568" s="17" t="str">
        <x:v>us</x:v>
      </x:c>
      <x:c r="B1568" s="17" t="str">
        <x:v>Weber State University</x:v>
      </x:c>
      <x:c r="C1568" s="17" t="str">
        <x:v>IPEDS discovery signal: Data Science, General (CIP 30.7001)</x:v>
      </x:c>
      <x:c r="D1568" s="17" t="str">
        <x:v>Unclear</x:v>
      </x:c>
      <x:c r="E1568" s="17" t="str">
        <x:v>stage2_screened_out</x:v>
      </x:c>
      <x:c r="F1568" s="17" t="str">
        <x:v>Duplicate mechanical discovery signal consolidated into one institution-level catalog review candidate.</x:v>
      </x:c>
      <x:c r="G1568" s="17" t="str">
        <x:v>Does the current official catalog contain a research graduate program matching the applicant's topics?</x:v>
      </x:c>
      <x:c r="H1568" s="17" t="str">
        <x:v>https://www.weber.edu</x:v>
      </x:c>
      <x:c r="I1568" s="17" t="str">
        <x:v>not_sampled</x:v>
      </x:c>
      <x:c r="J1568" s="17" t="str">
        <x:v>not_sampled</x:v>
      </x:c>
    </x:row>
    <x:row r="1569" ht="46" customHeight="1">
      <x:c r="A1569" s="17" t="str">
        <x:v>us</x:v>
      </x:c>
      <x:c r="B1569" s="17" t="str">
        <x:v>Weber State University</x:v>
      </x:c>
      <x:c r="C1569" s="17" t="str">
        <x:v>IPEDS discovery signal: Electrical and Electronics Engineering (CIP 14.1001)</x:v>
      </x:c>
      <x:c r="D1569" s="17" t="str">
        <x:v>Unclear</x:v>
      </x:c>
      <x:c r="E1569" s="17" t="str">
        <x:v>stage2_screened_out</x:v>
      </x:c>
      <x:c r="F1569" s="17" t="str">
        <x:v>Duplicate mechanical discovery signal consolidated into one institution-level catalog review candidate.</x:v>
      </x:c>
      <x:c r="G1569" s="17" t="str">
        <x:v>Does the current official catalog contain a research graduate program matching the applicant's topics?</x:v>
      </x:c>
      <x:c r="H1569" s="17" t="str">
        <x:v>https://www.weber.edu</x:v>
      </x:c>
      <x:c r="I1569" s="17" t="str">
        <x:v>not_sampled</x:v>
      </x:c>
      <x:c r="J1569" s="17" t="str">
        <x:v>not_sampled</x:v>
      </x:c>
    </x:row>
    <x:row r="1570" ht="46" customHeight="1">
      <x:c r="A1570" s="17" t="str">
        <x:v>us</x:v>
      </x:c>
      <x:c r="B1570" s="17" t="str">
        <x:v>Wentworth Institute of Technology</x:v>
      </x:c>
      <x:c r="C1570" s="17" t="str">
        <x:v>IPEDS discovery signal: Computer Engineering, General (CIP 14.0901)</x:v>
      </x:c>
      <x:c r="D1570" s="17" t="str">
        <x:v>Unclear</x:v>
      </x:c>
      <x:c r="E1570" s="17" t="str">
        <x:v>stage2_screened_out</x:v>
      </x:c>
      <x:c r="F1570" s="17" t="str">
        <x:v>Only one bounded registry/program-code signal was present; no independent topical, Calendar, current-faculty, or first-audit signal was recovered.</x:v>
      </x:c>
      <x:c r="G1570" s="17" t="str">
        <x:v>Does the current official catalog contain a research graduate program matching the applicant's topics?</x:v>
      </x:c>
      <x:c r="H1570" s="17" t="str">
        <x:v>https://wit.edu</x:v>
      </x:c>
      <x:c r="I1570" s="17" t="str">
        <x:v>not_sampled</x:v>
      </x:c>
      <x:c r="J1570" s="17" t="str">
        <x:v>not_sampled</x:v>
      </x:c>
    </x:row>
    <x:row r="1571" ht="46" customHeight="1">
      <x:c r="A1571" s="17" t="str">
        <x:v>us</x:v>
      </x:c>
      <x:c r="B1571" s="17" t="str">
        <x:v>Wentworth Institute of Technology</x:v>
      </x:c>
      <x:c r="C1571" s="17" t="str">
        <x:v>IPEDS discovery signal: Computer Science (CIP 11.0701)</x:v>
      </x:c>
      <x:c r="D1571" s="17" t="str">
        <x:v>Unclear</x:v>
      </x:c>
      <x:c r="E1571" s="17" t="str">
        <x:v>stage2_screened_out</x:v>
      </x:c>
      <x:c r="F1571" s="17" t="str">
        <x:v>Only one bounded registry/program-code signal was present; no independent topical, Calendar, current-faculty, or first-audit signal was recovered.</x:v>
      </x:c>
      <x:c r="G1571" s="17" t="str">
        <x:v>Does the current official catalog contain a research graduate program matching the applicant's topics?</x:v>
      </x:c>
      <x:c r="H1571" s="17" t="str">
        <x:v>https://wit.edu</x:v>
      </x:c>
      <x:c r="I1571" s="17" t="str">
        <x:v>not_sampled</x:v>
      </x:c>
      <x:c r="J1571" s="17" t="str">
        <x:v>not_sampled</x:v>
      </x:c>
    </x:row>
    <x:row r="1572" ht="46" customHeight="1">
      <x:c r="A1572" s="17" t="str">
        <x:v>us</x:v>
      </x:c>
      <x:c r="B1572" s="17" t="str">
        <x:v>Wentworth Institute of Technology</x:v>
      </x:c>
      <x:c r="C1572" s="17" t="str">
        <x:v>IPEDS discovery signal: Data Science, General (CIP 30.7001)</x:v>
      </x:c>
      <x:c r="D1572" s="17" t="str">
        <x:v>Unclear</x:v>
      </x:c>
      <x:c r="E1572" s="17" t="str">
        <x:v>stage2_screened_out</x:v>
      </x:c>
      <x:c r="F1572" s="17" t="str">
        <x:v>Only one bounded registry/program-code signal was present; no independent topical, Calendar, current-faculty, or first-audit signal was recovered.</x:v>
      </x:c>
      <x:c r="G1572" s="17" t="str">
        <x:v>Does the current official catalog contain a research graduate program matching the applicant's topics?</x:v>
      </x:c>
      <x:c r="H1572" s="17" t="str">
        <x:v>https://wit.edu</x:v>
      </x:c>
      <x:c r="I1572" s="17" t="str">
        <x:v>not_sampled</x:v>
      </x:c>
      <x:c r="J1572" s="17" t="str">
        <x:v>not_sampled</x:v>
      </x:c>
    </x:row>
    <x:row r="1573" ht="46" customHeight="1">
      <x:c r="A1573" s="17" t="str">
        <x:v>us</x:v>
      </x:c>
      <x:c r="B1573" s="17" t="str">
        <x:v>Wentworth Institute of Technology</x:v>
      </x:c>
      <x:c r="C1573" s="17" t="str">
        <x:v>IPEDS discovery signal: Electrical and Electronics Engineering (CIP 14.1001)</x:v>
      </x:c>
      <x:c r="D1573" s="17" t="str">
        <x:v>Unclear</x:v>
      </x:c>
      <x:c r="E1573" s="17" t="str">
        <x:v>stage2_screened_out</x:v>
      </x:c>
      <x:c r="F1573" s="17" t="str">
        <x:v>Only one bounded registry/program-code signal was present; no independent topical, Calendar, current-faculty, or first-audit signal was recovered.</x:v>
      </x:c>
      <x:c r="G1573" s="17" t="str">
        <x:v>Does the current official catalog contain a research graduate program matching the applicant's topics?</x:v>
      </x:c>
      <x:c r="H1573" s="17" t="str">
        <x:v>https://wit.edu</x:v>
      </x:c>
      <x:c r="I1573" s="17" t="str">
        <x:v>not_sampled</x:v>
      </x:c>
      <x:c r="J1573" s="17" t="str">
        <x:v>not_sampled</x:v>
      </x:c>
    </x:row>
    <x:row r="1574" ht="46" customHeight="1">
      <x:c r="A1574" s="17" t="str">
        <x:v>us</x:v>
      </x:c>
      <x:c r="B1574" s="17" t="str">
        <x:v>West Chester University of Pennsylvania</x:v>
      </x:c>
      <x:c r="C1574" s="17" t="str">
        <x:v>IPEDS discovery signal: Computer and Information Sciences, General (CIP 11.0101)</x:v>
      </x:c>
      <x:c r="D1574" s="17" t="str">
        <x:v>Unclear</x:v>
      </x:c>
      <x:c r="E1574" s="17" t="str">
        <x:v>stage2_screened_out</x:v>
      </x:c>
      <x:c r="F1574" s="17" t="str">
        <x:v>Only one bounded registry/program-code signal was present; no independent topical, Calendar, current-faculty, or first-audit signal was recovered.</x:v>
      </x:c>
      <x:c r="G1574" s="17" t="str">
        <x:v>Does the current official catalog contain a research graduate program matching the applicant's topics?</x:v>
      </x:c>
      <x:c r="H1574" s="17" t="str">
        <x:v>https://www.wcupa.edu</x:v>
      </x:c>
      <x:c r="I1574" s="17" t="str">
        <x:v>not_sampled</x:v>
      </x:c>
      <x:c r="J1574" s="17" t="str">
        <x:v>not_sampled</x:v>
      </x:c>
    </x:row>
    <x:row r="1575" ht="46" customHeight="1">
      <x:c r="A1575" s="17" t="str">
        <x:v>us</x:v>
      </x:c>
      <x:c r="B1575" s="17" t="str">
        <x:v>West Texas A &amp; M University</x:v>
      </x:c>
      <x:c r="C1575" s="17" t="str">
        <x:v>IPEDS discovery signal: Computer and Information Systems Security/Auditing/Information Assurance (CIP 11.1003)</x:v>
      </x:c>
      <x:c r="D1575" s="17" t="str">
        <x:v>Unclear</x:v>
      </x:c>
      <x:c r="E1575" s="17" t="str">
        <x:v>stage2_screened_out</x:v>
      </x:c>
      <x:c r="F1575" s="17" t="str">
        <x:v>Only one bounded registry/program-code signal was present; no independent topical, Calendar, current-faculty, or first-audit signal was recovered.</x:v>
      </x:c>
      <x:c r="G1575" s="17" t="str">
        <x:v>Does the current official catalog contain a research graduate program matching the applicant's topics?</x:v>
      </x:c>
      <x:c r="H1575" s="17" t="str">
        <x:v>https://www.wtamu.edu</x:v>
      </x:c>
      <x:c r="I1575" s="17" t="str">
        <x:v>not_sampled</x:v>
      </x:c>
      <x:c r="J1575" s="17" t="str">
        <x:v>not_sampled</x:v>
      </x:c>
    </x:row>
    <x:row r="1576" ht="46" customHeight="1">
      <x:c r="A1576" s="17" t="str">
        <x:v>us</x:v>
      </x:c>
      <x:c r="B1576" s="17" t="str">
        <x:v>West Virginia State University</x:v>
      </x:c>
      <x:c r="C1576" s="17" t="str">
        <x:v>IPEDS discovery signal: Computer Science (CIP 11.0701)</x:v>
      </x:c>
      <x:c r="D1576" s="17" t="str">
        <x:v>Unclear</x:v>
      </x:c>
      <x:c r="E1576" s="17" t="str">
        <x:v>stage2_screened_out</x:v>
      </x:c>
      <x:c r="F1576" s="17" t="str">
        <x:v>Only one bounded registry/program-code signal was present; no independent topical, Calendar, current-faculty, or first-audit signal was recovered.</x:v>
      </x:c>
      <x:c r="G1576" s="17" t="str">
        <x:v>Does the current official catalog contain a research graduate program matching the applicant's topics?</x:v>
      </x:c>
      <x:c r="H1576" s="17" t="str">
        <x:v>https://www.wvstateu.edu</x:v>
      </x:c>
      <x:c r="I1576" s="17" t="str">
        <x:v>not_sampled</x:v>
      </x:c>
      <x:c r="J1576" s="17" t="str">
        <x:v>not_sampled</x:v>
      </x:c>
    </x:row>
    <x:row r="1577" ht="46" customHeight="1">
      <x:c r="A1577" s="17" t="str">
        <x:v>us</x:v>
      </x:c>
      <x:c r="B1577" s="17" t="str">
        <x:v>West Virginia University</x:v>
      </x:c>
      <x:c r="C1577" s="17" t="str">
        <x:v>IPEDS discovery signal: Computer and Information Systems Security/Auditing/Information Assurance (CIP 11.1003)</x:v>
      </x:c>
      <x:c r="D1577" s="17" t="str">
        <x:v>Unclear</x:v>
      </x:c>
      <x:c r="E1577" s="17" t="str">
        <x:v>stage2_screened_out</x:v>
      </x:c>
      <x:c r="F1577" s="17" t="str">
        <x:v>Only one bounded registry/program-code signal was present; no independent topical, Calendar, current-faculty, or first-audit signal was recovered.</x:v>
      </x:c>
      <x:c r="G1577" s="17" t="str">
        <x:v>Does the current official catalog contain a research graduate program matching the applicant's topics?</x:v>
      </x:c>
      <x:c r="H1577" s="17" t="str">
        <x:v>https://www.wvu.edu</x:v>
      </x:c>
      <x:c r="I1577" s="17" t="str">
        <x:v>not_sampled</x:v>
      </x:c>
      <x:c r="J1577" s="17" t="str">
        <x:v>not_sampled</x:v>
      </x:c>
    </x:row>
    <x:row r="1578" ht="46" customHeight="1">
      <x:c r="A1578" s="17" t="str">
        <x:v>us</x:v>
      </x:c>
      <x:c r="B1578" s="17" t="str">
        <x:v>West Virginia University</x:v>
      </x:c>
      <x:c r="C1578" s="17" t="str">
        <x:v>IPEDS discovery signal: Computer Science (CIP 11.0701)</x:v>
      </x:c>
      <x:c r="D1578" s="17" t="str">
        <x:v>Unclear</x:v>
      </x:c>
      <x:c r="E1578" s="17" t="str">
        <x:v>stage2_screened_out</x:v>
      </x:c>
      <x:c r="F1578" s="17" t="str">
        <x:v>Only one bounded registry/program-code signal was present; no independent topical, Calendar, current-faculty, or first-audit signal was recovered.</x:v>
      </x:c>
      <x:c r="G1578" s="17" t="str">
        <x:v>Does the current official catalog contain a research graduate program matching the applicant's topics?</x:v>
      </x:c>
      <x:c r="H1578" s="17" t="str">
        <x:v>https://www.wvu.edu</x:v>
      </x:c>
      <x:c r="I1578" s="17" t="str">
        <x:v>not_sampled</x:v>
      </x:c>
      <x:c r="J1578" s="17" t="str">
        <x:v>not_sampled</x:v>
      </x:c>
    </x:row>
    <x:row r="1579" ht="46" customHeight="1">
      <x:c r="A1579" s="17" t="str">
        <x:v>us</x:v>
      </x:c>
      <x:c r="B1579" s="17" t="str">
        <x:v>West Virginia University</x:v>
      </x:c>
      <x:c r="C1579" s="17" t="str">
        <x:v>IPEDS discovery signal: Computer Software Engineering (CIP 14.0903)</x:v>
      </x:c>
      <x:c r="D1579" s="17" t="str">
        <x:v>Unclear</x:v>
      </x:c>
      <x:c r="E1579" s="17" t="str">
        <x:v>stage2_screened_out</x:v>
      </x:c>
      <x:c r="F1579" s="17" t="str">
        <x:v>Only one bounded registry/program-code signal was present; no independent topical, Calendar, current-faculty, or first-audit signal was recovered.</x:v>
      </x:c>
      <x:c r="G1579" s="17" t="str">
        <x:v>Does the current official catalog contain a research graduate program matching the applicant's topics?</x:v>
      </x:c>
      <x:c r="H1579" s="17" t="str">
        <x:v>https://www.wvu.edu</x:v>
      </x:c>
      <x:c r="I1579" s="17" t="str">
        <x:v>not_sampled</x:v>
      </x:c>
      <x:c r="J1579" s="17" t="str">
        <x:v>not_sampled</x:v>
      </x:c>
    </x:row>
    <x:row r="1580" ht="46" customHeight="1">
      <x:c r="A1580" s="17" t="str">
        <x:v>us</x:v>
      </x:c>
      <x:c r="B1580" s="17" t="str">
        <x:v>West Virginia University</x:v>
      </x:c>
      <x:c r="C1580" s="17" t="str">
        <x:v>IPEDS discovery signal: Electrical and Electronics Engineering (CIP 14.1001)</x:v>
      </x:c>
      <x:c r="D1580" s="17" t="str">
        <x:v>Unclear</x:v>
      </x:c>
      <x:c r="E1580" s="17" t="str">
        <x:v>stage2_screened_out</x:v>
      </x:c>
      <x:c r="F1580" s="17" t="str">
        <x:v>Only one bounded registry/program-code signal was present; no independent topical, Calendar, current-faculty, or first-audit signal was recovered.</x:v>
      </x:c>
      <x:c r="G1580" s="17" t="str">
        <x:v>Does the current official catalog contain a research graduate program matching the applicant's topics?</x:v>
      </x:c>
      <x:c r="H1580" s="17" t="str">
        <x:v>https://www.wvu.edu</x:v>
      </x:c>
      <x:c r="I1580" s="17" t="str">
        <x:v>not_sampled</x:v>
      </x:c>
      <x:c r="J1580" s="17" t="str">
        <x:v>not_sampled</x:v>
      </x:c>
    </x:row>
    <x:row r="1581" ht="46" customHeight="1">
      <x:c r="A1581" s="17" t="str">
        <x:v>us</x:v>
      </x:c>
      <x:c r="B1581" s="17" t="str">
        <x:v>Westcliff University</x:v>
      </x:c>
      <x:c r="C1581" s="17" t="str">
        <x:v>IPEDS discovery signal: Computer and Information Sciences, General (CIP 11.0101)</x:v>
      </x:c>
      <x:c r="D1581" s="17" t="str">
        <x:v>Unclear</x:v>
      </x:c>
      <x:c r="E1581" s="17" t="str">
        <x:v>stage2_screened_out</x:v>
      </x:c>
      <x:c r="F1581" s="17" t="str">
        <x:v>Only one bounded registry/program-code signal was present; no independent topical, Calendar, current-faculty, or first-audit signal was recovered.</x:v>
      </x:c>
      <x:c r="G1581" s="17" t="str">
        <x:v>Does the current official catalog contain a research graduate program matching the applicant's topics?</x:v>
      </x:c>
      <x:c r="H1581" s="17" t="str">
        <x:v>https://www.westcliff.edu</x:v>
      </x:c>
      <x:c r="I1581" s="17" t="str">
        <x:v>not_sampled</x:v>
      </x:c>
      <x:c r="J1581" s="17" t="str">
        <x:v>not_sampled</x:v>
      </x:c>
    </x:row>
    <x:row r="1582" ht="46" customHeight="1">
      <x:c r="A1582" s="17" t="str">
        <x:v>us</x:v>
      </x:c>
      <x:c r="B1582" s="17" t="str">
        <x:v>Westcliff University</x:v>
      </x:c>
      <x:c r="C1582" s="17" t="str">
        <x:v>IPEDS discovery signal: Computer and Information Systems Security/Auditing/Information Assurance (CIP 11.1003)</x:v>
      </x:c>
      <x:c r="D1582" s="17" t="str">
        <x:v>Unclear</x:v>
      </x:c>
      <x:c r="E1582" s="17" t="str">
        <x:v>stage2_screened_out</x:v>
      </x:c>
      <x:c r="F1582" s="17" t="str">
        <x:v>Only one bounded registry/program-code signal was present; no independent topical, Calendar, current-faculty, or first-audit signal was recovered.</x:v>
      </x:c>
      <x:c r="G1582" s="17" t="str">
        <x:v>Does the current official catalog contain a research graduate program matching the applicant's topics?</x:v>
      </x:c>
      <x:c r="H1582" s="17" t="str">
        <x:v>https://www.westcliff.edu</x:v>
      </x:c>
      <x:c r="I1582" s="17" t="str">
        <x:v>not_sampled</x:v>
      </x:c>
      <x:c r="J1582" s="17" t="str">
        <x:v>not_sampled</x:v>
      </x:c>
    </x:row>
    <x:row r="1583" ht="46" customHeight="1">
      <x:c r="A1583" s="17" t="str">
        <x:v>us</x:v>
      </x:c>
      <x:c r="B1583" s="17" t="str">
        <x:v>Westcliff University</x:v>
      </x:c>
      <x:c r="C1583" s="17" t="str">
        <x:v>IPEDS discovery signal: Data Analytics, General (CIP 30.7101)</x:v>
      </x:c>
      <x:c r="D1583" s="17" t="str">
        <x:v>Unclear</x:v>
      </x:c>
      <x:c r="E1583" s="17" t="str">
        <x:v>stage2_screened_out</x:v>
      </x:c>
      <x:c r="F1583" s="17" t="str">
        <x:v>Only one bounded registry/program-code signal was present; no independent topical, Calendar, current-faculty, or first-audit signal was recovered.</x:v>
      </x:c>
      <x:c r="G1583" s="17" t="str">
        <x:v>Does the current official catalog contain a research graduate program matching the applicant's topics?</x:v>
      </x:c>
      <x:c r="H1583" s="17" t="str">
        <x:v>https://www.westcliff.edu</x:v>
      </x:c>
      <x:c r="I1583" s="17" t="str">
        <x:v>not_sampled</x:v>
      </x:c>
      <x:c r="J1583" s="17" t="str">
        <x:v>not_sampled</x:v>
      </x:c>
    </x:row>
    <x:row r="1584" ht="46" customHeight="1">
      <x:c r="A1584" s="17" t="str">
        <x:v>us</x:v>
      </x:c>
      <x:c r="B1584" s="17" t="str">
        <x:v>Westcliff University</x:v>
      </x:c>
      <x:c r="C1584" s="17" t="str">
        <x:v>IPEDS discovery signal: Information Technology (CIP 11.0103)</x:v>
      </x:c>
      <x:c r="D1584" s="17" t="str">
        <x:v>Unclear</x:v>
      </x:c>
      <x:c r="E1584" s="17" t="str">
        <x:v>stage2_screened_out</x:v>
      </x:c>
      <x:c r="F1584" s="17" t="str">
        <x:v>Only one bounded registry/program-code signal was present; no independent topical, Calendar, current-faculty, or first-audit signal was recovered.</x:v>
      </x:c>
      <x:c r="G1584" s="17" t="str">
        <x:v>Does the current official catalog contain a research graduate program matching the applicant's topics?</x:v>
      </x:c>
      <x:c r="H1584" s="17" t="str">
        <x:v>https://www.westcliff.edu</x:v>
      </x:c>
      <x:c r="I1584" s="17" t="str">
        <x:v>not_sampled</x:v>
      </x:c>
      <x:c r="J1584" s="17" t="str">
        <x:v>not_sampled</x:v>
      </x:c>
    </x:row>
    <x:row r="1585" ht="46" customHeight="1">
      <x:c r="A1585" s="17" t="str">
        <x:v>us</x:v>
      </x:c>
      <x:c r="B1585" s="17" t="str">
        <x:v>Western Governors University</x:v>
      </x:c>
      <x:c r="C1585" s="17" t="str">
        <x:v>IPEDS discovery signal: Computer and Information Systems Security/Auditing/Information Assurance (CIP 11.1003)</x:v>
      </x:c>
      <x:c r="D1585" s="17" t="str">
        <x:v>Unclear</x:v>
      </x:c>
      <x:c r="E1585" s="17" t="str">
        <x:v>stage2_screened_out</x:v>
      </x:c>
      <x:c r="F1585" s="17" t="str">
        <x:v>Only one bounded registry/program-code signal was present; no independent topical, Calendar, current-faculty, or first-audit signal was recovered.</x:v>
      </x:c>
      <x:c r="G1585" s="17" t="str">
        <x:v>Does the current official catalog contain a research graduate program matching the applicant's topics?</x:v>
      </x:c>
      <x:c r="H1585" s="17" t="str">
        <x:v>https://www.wgu.edu</x:v>
      </x:c>
      <x:c r="I1585" s="17" t="str">
        <x:v>not_sampled</x:v>
      </x:c>
      <x:c r="J1585" s="17" t="str">
        <x:v>not_sampled</x:v>
      </x:c>
    </x:row>
    <x:row r="1586" ht="46" customHeight="1">
      <x:c r="A1586" s="17" t="str">
        <x:v>us</x:v>
      </x:c>
      <x:c r="B1586" s="17" t="str">
        <x:v>Western Governors University</x:v>
      </x:c>
      <x:c r="C1586" s="17" t="str">
        <x:v>IPEDS discovery signal: Information Technology (CIP 11.0103)</x:v>
      </x:c>
      <x:c r="D1586" s="17" t="str">
        <x:v>Unclear</x:v>
      </x:c>
      <x:c r="E1586" s="17" t="str">
        <x:v>stage2_screened_out</x:v>
      </x:c>
      <x:c r="F1586" s="17" t="str">
        <x:v>Only one bounded registry/program-code signal was present; no independent topical, Calendar, current-faculty, or first-audit signal was recovered.</x:v>
      </x:c>
      <x:c r="G1586" s="17" t="str">
        <x:v>Does the current official catalog contain a research graduate program matching the applicant's topics?</x:v>
      </x:c>
      <x:c r="H1586" s="17" t="str">
        <x:v>https://www.wgu.edu</x:v>
      </x:c>
      <x:c r="I1586" s="17" t="str">
        <x:v>not_sampled</x:v>
      </x:c>
      <x:c r="J1586" s="17" t="str">
        <x:v>not_sampled</x:v>
      </x:c>
    </x:row>
    <x:row r="1587" ht="46" customHeight="1">
      <x:c r="A1587" s="17" t="str">
        <x:v>us</x:v>
      </x:c>
      <x:c r="B1587" s="17" t="str">
        <x:v>Western Kentucky University</x:v>
      </x:c>
      <x:c r="C1587" s="17" t="str">
        <x:v>IPEDS discovery signal: Computer and Information Sciences, General (CIP 11.0101)</x:v>
      </x:c>
      <x:c r="D1587" s="17" t="str">
        <x:v>Unclear</x:v>
      </x:c>
      <x:c r="E1587" s="17" t="str">
        <x:v>stage2_screened_out</x:v>
      </x:c>
      <x:c r="F1587" s="17" t="str">
        <x:v>Only one bounded registry/program-code signal was present; no independent topical, Calendar, current-faculty, or first-audit signal was recovered.</x:v>
      </x:c>
      <x:c r="G1587" s="17" t="str">
        <x:v>Does the current official catalog contain a research graduate program matching the applicant's topics?</x:v>
      </x:c>
      <x:c r="H1587" s="17" t="str">
        <x:v>https://www.wku.edu</x:v>
      </x:c>
      <x:c r="I1587" s="17" t="str">
        <x:v>not_sampled</x:v>
      </x:c>
      <x:c r="J1587" s="17" t="str">
        <x:v>not_sampled</x:v>
      </x:c>
    </x:row>
    <x:row r="1588" ht="46" customHeight="1">
      <x:c r="A1588" s="17" t="str">
        <x:v>us</x:v>
      </x:c>
      <x:c r="B1588" s="17" t="str">
        <x:v>Western Michigan University</x:v>
      </x:c>
      <x:c r="C1588" s="17" t="str">
        <x:v>IPEDS discovery signal: Computer and Information Systems Security/Auditing/Information Assurance (CIP 11.1003)</x:v>
      </x:c>
      <x:c r="D1588" s="17" t="str">
        <x:v>Unclear</x:v>
      </x:c>
      <x:c r="E1588" s="17" t="str">
        <x:v>stage2_screened_out</x:v>
      </x:c>
      <x:c r="F1588" s="17" t="str">
        <x:v>Only one bounded registry/program-code signal was present; no independent topical, Calendar, current-faculty, or first-audit signal was recovered.</x:v>
      </x:c>
      <x:c r="G1588" s="17" t="str">
        <x:v>Does the current official catalog contain a research graduate program matching the applicant's topics?</x:v>
      </x:c>
      <x:c r="H1588" s="17" t="str">
        <x:v>https://wmich.edu</x:v>
      </x:c>
      <x:c r="I1588" s="17" t="str">
        <x:v>not_sampled</x:v>
      </x:c>
      <x:c r="J1588" s="17" t="str">
        <x:v>not_sampled</x:v>
      </x:c>
    </x:row>
    <x:row r="1589" ht="46" customHeight="1">
      <x:c r="A1589" s="17" t="str">
        <x:v>us</x:v>
      </x:c>
      <x:c r="B1589" s="17" t="str">
        <x:v>Western Michigan University</x:v>
      </x:c>
      <x:c r="C1589" s="17" t="str">
        <x:v>IPEDS discovery signal: Computer Engineering, General (CIP 14.0901)</x:v>
      </x:c>
      <x:c r="D1589" s="17" t="str">
        <x:v>Unclear</x:v>
      </x:c>
      <x:c r="E1589" s="17" t="str">
        <x:v>stage2_screened_out</x:v>
      </x:c>
      <x:c r="F1589" s="17" t="str">
        <x:v>Only one bounded registry/program-code signal was present; no independent topical, Calendar, current-faculty, or first-audit signal was recovered.</x:v>
      </x:c>
      <x:c r="G1589" s="17" t="str">
        <x:v>Does the current official catalog contain a research graduate program matching the applicant's topics?</x:v>
      </x:c>
      <x:c r="H1589" s="17" t="str">
        <x:v>https://wmich.edu</x:v>
      </x:c>
      <x:c r="I1589" s="17" t="str">
        <x:v>not_sampled</x:v>
      </x:c>
      <x:c r="J1589" s="17" t="str">
        <x:v>not_sampled</x:v>
      </x:c>
    </x:row>
    <x:row r="1590" ht="46" customHeight="1">
      <x:c r="A1590" s="17" t="str">
        <x:v>us</x:v>
      </x:c>
      <x:c r="B1590" s="17" t="str">
        <x:v>Western Michigan University</x:v>
      </x:c>
      <x:c r="C1590" s="17" t="str">
        <x:v>IPEDS discovery signal: Computer Science (CIP 11.0701)</x:v>
      </x:c>
      <x:c r="D1590" s="17" t="str">
        <x:v>Unclear</x:v>
      </x:c>
      <x:c r="E1590" s="17" t="str">
        <x:v>stage2_screened_out</x:v>
      </x:c>
      <x:c r="F1590" s="17" t="str">
        <x:v>Only one bounded registry/program-code signal was present; no independent topical, Calendar, current-faculty, or first-audit signal was recovered.</x:v>
      </x:c>
      <x:c r="G1590" s="17" t="str">
        <x:v>Does the current official catalog contain a research graduate program matching the applicant's topics?</x:v>
      </x:c>
      <x:c r="H1590" s="17" t="str">
        <x:v>https://wmich.edu</x:v>
      </x:c>
      <x:c r="I1590" s="17" t="str">
        <x:v>not_sampled</x:v>
      </x:c>
      <x:c r="J1590" s="17" t="str">
        <x:v>not_sampled</x:v>
      </x:c>
    </x:row>
    <x:row r="1591" ht="46" customHeight="1">
      <x:c r="A1591" s="17" t="str">
        <x:v>us</x:v>
      </x:c>
      <x:c r="B1591" s="17" t="str">
        <x:v>Western Michigan University</x:v>
      </x:c>
      <x:c r="C1591" s="17" t="str">
        <x:v>IPEDS discovery signal: Electrical and Electronics Engineering (CIP 14.1001)</x:v>
      </x:c>
      <x:c r="D1591" s="17" t="str">
        <x:v>Unclear</x:v>
      </x:c>
      <x:c r="E1591" s="17" t="str">
        <x:v>stage2_screened_out</x:v>
      </x:c>
      <x:c r="F1591" s="17" t="str">
        <x:v>Only one bounded registry/program-code signal was present; no independent topical, Calendar, current-faculty, or first-audit signal was recovered.</x:v>
      </x:c>
      <x:c r="G1591" s="17" t="str">
        <x:v>Does the current official catalog contain a research graduate program matching the applicant's topics?</x:v>
      </x:c>
      <x:c r="H1591" s="17" t="str">
        <x:v>https://wmich.edu</x:v>
      </x:c>
      <x:c r="I1591" s="17" t="str">
        <x:v>not_sampled</x:v>
      </x:c>
      <x:c r="J1591" s="17" t="str">
        <x:v>not_sampled</x:v>
      </x:c>
    </x:row>
    <x:row r="1592" ht="46" customHeight="1">
      <x:c r="A1592" s="17" t="str">
        <x:v>us</x:v>
      </x:c>
      <x:c r="B1592" s="17" t="str">
        <x:v>Western New England University</x:v>
      </x:c>
      <x:c r="C1592" s="17" t="str">
        <x:v>IPEDS discovery signal: Mechatronics, Robotics, and Automation Engineering (CIP 14.4201)</x:v>
      </x:c>
      <x:c r="D1592" s="17" t="str">
        <x:v>Unclear</x:v>
      </x:c>
      <x:c r="E1592" s="17" t="str">
        <x:v>stage2_screened_out</x:v>
      </x:c>
      <x:c r="F1592" s="17" t="str">
        <x:v>Duplicate mechanical discovery signal consolidated into one institution-level catalog review candidate.</x:v>
      </x:c>
      <x:c r="G1592" s="17" t="str">
        <x:v>Does the current official catalog contain a research graduate program matching the applicant's topics?</x:v>
      </x:c>
      <x:c r="H1592" s="17" t="str">
        <x:v>https://wne.edu</x:v>
      </x:c>
      <x:c r="I1592" s="17" t="str">
        <x:v>not_sampled</x:v>
      </x:c>
      <x:c r="J1592" s="17" t="str">
        <x:v>not_sampled</x:v>
      </x:c>
    </x:row>
    <x:row r="1593" ht="46" customHeight="1">
      <x:c r="A1593" s="17" t="str">
        <x:v>us</x:v>
      </x:c>
      <x:c r="B1593" s="17" t="str">
        <x:v>Western Washington University</x:v>
      </x:c>
      <x:c r="C1593" s="17" t="str">
        <x:v>IPEDS discovery signal: Computer and Information Sciences, General (CIP 11.0101)</x:v>
      </x:c>
      <x:c r="D1593" s="17" t="str">
        <x:v>Unclear</x:v>
      </x:c>
      <x:c r="E1593" s="17" t="str">
        <x:v>stage2_screened_out</x:v>
      </x:c>
      <x:c r="F1593" s="17" t="str">
        <x:v>Only one bounded registry/program-code signal was present; no independent topical, Calendar, current-faculty, or first-audit signal was recovered.</x:v>
      </x:c>
      <x:c r="G1593" s="17" t="str">
        <x:v>Does the current official catalog contain a research graduate program matching the applicant's topics?</x:v>
      </x:c>
      <x:c r="H1593" s="17" t="str">
        <x:v>https://wwu.edu</x:v>
      </x:c>
      <x:c r="I1593" s="17" t="str">
        <x:v>not_sampled</x:v>
      </x:c>
      <x:c r="J1593" s="17" t="str">
        <x:v>not_sampled</x:v>
      </x:c>
    </x:row>
    <x:row r="1594" ht="46" customHeight="1">
      <x:c r="A1594" s="17" t="str">
        <x:v>us</x:v>
      </x:c>
      <x:c r="B1594" s="17" t="str">
        <x:v>Wichita State University</x:v>
      </x:c>
      <x:c r="C1594" s="17" t="str">
        <x:v>IPEDS discovery signal: Computer and Information Sciences, General (CIP 11.0101)</x:v>
      </x:c>
      <x:c r="D1594" s="17" t="str">
        <x:v>Unclear</x:v>
      </x:c>
      <x:c r="E1594" s="17" t="str">
        <x:v>stage2_screened_out</x:v>
      </x:c>
      <x:c r="F1594" s="17" t="str">
        <x:v>Duplicate mechanical discovery signal consolidated into one institution-level catalog review candidate.</x:v>
      </x:c>
      <x:c r="G1594" s="17" t="str">
        <x:v>Does the current official catalog contain a research graduate program matching the applicant's topics?</x:v>
      </x:c>
      <x:c r="H1594" s="17" t="str">
        <x:v>https://www.wichita.edu</x:v>
      </x:c>
      <x:c r="I1594" s="17" t="str">
        <x:v>not_sampled</x:v>
      </x:c>
      <x:c r="J1594" s="17" t="str">
        <x:v>not_sampled</x:v>
      </x:c>
    </x:row>
    <x:row r="1595" ht="46" customHeight="1">
      <x:c r="A1595" s="17" t="str">
        <x:v>us</x:v>
      </x:c>
      <x:c r="B1595" s="17" t="str">
        <x:v>Wichita State University</x:v>
      </x:c>
      <x:c r="C1595" s="17" t="str">
        <x:v>IPEDS discovery signal: Computer and Information Sciences, Other (CIP 11.0199)</x:v>
      </x:c>
      <x:c r="D1595" s="17" t="str">
        <x:v>Unclear</x:v>
      </x:c>
      <x:c r="E1595" s="17" t="str">
        <x:v>stage2_screened_out</x:v>
      </x:c>
      <x:c r="F1595" s="17" t="str">
        <x:v>Duplicate mechanical discovery signal consolidated into one institution-level catalog review candidate.</x:v>
      </x:c>
      <x:c r="G1595" s="17" t="str">
        <x:v>Does the current official catalog contain a research graduate program matching the applicant's topics?</x:v>
      </x:c>
      <x:c r="H1595" s="17" t="str">
        <x:v>https://www.wichita.edu</x:v>
      </x:c>
      <x:c r="I1595" s="17" t="str">
        <x:v>not_sampled</x:v>
      </x:c>
      <x:c r="J1595" s="17" t="str">
        <x:v>not_sampled</x:v>
      </x:c>
    </x:row>
    <x:row r="1596" ht="46" customHeight="1">
      <x:c r="A1596" s="17" t="str">
        <x:v>us</x:v>
      </x:c>
      <x:c r="B1596" s="17" t="str">
        <x:v>Wichita State University</x:v>
      </x:c>
      <x:c r="C1596" s="17" t="str">
        <x:v>IPEDS discovery signal: Computer Science (CIP 11.0701)</x:v>
      </x:c>
      <x:c r="D1596" s="17" t="str">
        <x:v>Unclear</x:v>
      </x:c>
      <x:c r="E1596" s="17" t="str">
        <x:v>stage2_screened_out</x:v>
      </x:c>
      <x:c r="F1596" s="17" t="str">
        <x:v>Duplicate mechanical discovery signal consolidated into one institution-level catalog review candidate.</x:v>
      </x:c>
      <x:c r="G1596" s="17" t="str">
        <x:v>Does the current official catalog contain a research graduate program matching the applicant's topics?</x:v>
      </x:c>
      <x:c r="H1596" s="17" t="str">
        <x:v>https://www.wichita.edu</x:v>
      </x:c>
      <x:c r="I1596" s="17" t="str">
        <x:v>not_sampled</x:v>
      </x:c>
      <x:c r="J1596" s="17" t="str">
        <x:v>not_sampled</x:v>
      </x:c>
    </x:row>
    <x:row r="1597" ht="46" customHeight="1">
      <x:c r="A1597" s="17" t="str">
        <x:v>us</x:v>
      </x:c>
      <x:c r="B1597" s="17" t="str">
        <x:v>Wichita State University</x:v>
      </x:c>
      <x:c r="C1597" s="17" t="str">
        <x:v>IPEDS discovery signal: Computer Systems Networking and Telecommunications (CIP 11.0901)</x:v>
      </x:c>
      <x:c r="D1597" s="17" t="str">
        <x:v>Unclear</x:v>
      </x:c>
      <x:c r="E1597" s="17" t="str">
        <x:v>stage2_screened_out</x:v>
      </x:c>
      <x:c r="F1597" s="17" t="str">
        <x:v>Duplicate mechanical discovery signal consolidated into one institution-level catalog review candidate.</x:v>
      </x:c>
      <x:c r="G1597" s="17" t="str">
        <x:v>Does the current official catalog contain a research graduate program matching the applicant's topics?</x:v>
      </x:c>
      <x:c r="H1597" s="17" t="str">
        <x:v>https://www.wichita.edu</x:v>
      </x:c>
      <x:c r="I1597" s="17" t="str">
        <x:v>not_sampled</x:v>
      </x:c>
      <x:c r="J1597" s="17" t="str">
        <x:v>not_sampled</x:v>
      </x:c>
    </x:row>
    <x:row r="1598" ht="46" customHeight="1">
      <x:c r="A1598" s="17" t="str">
        <x:v>us</x:v>
      </x:c>
      <x:c r="B1598" s="17" t="str">
        <x:v>Wichita State University</x:v>
      </x:c>
      <x:c r="C1598" s="17" t="str">
        <x:v>IPEDS discovery signal: Data Science, General (CIP 30.7001)</x:v>
      </x:c>
      <x:c r="D1598" s="17" t="str">
        <x:v>Unclear</x:v>
      </x:c>
      <x:c r="E1598" s="17" t="str">
        <x:v>stage2_screened_out</x:v>
      </x:c>
      <x:c r="F1598" s="17" t="str">
        <x:v>Duplicate mechanical discovery signal consolidated into one institution-level catalog review candidate.</x:v>
      </x:c>
      <x:c r="G1598" s="17" t="str">
        <x:v>Does the current official catalog contain a research graduate program matching the applicant's topics?</x:v>
      </x:c>
      <x:c r="H1598" s="17" t="str">
        <x:v>https://www.wichita.edu</x:v>
      </x:c>
      <x:c r="I1598" s="17" t="str">
        <x:v>not_sampled</x:v>
      </x:c>
      <x:c r="J1598" s="17" t="str">
        <x:v>not_sampled</x:v>
      </x:c>
    </x:row>
    <x:row r="1599" ht="46" customHeight="1">
      <x:c r="A1599" s="17" t="str">
        <x:v>us</x:v>
      </x:c>
      <x:c r="B1599" s="17" t="str">
        <x:v>Wichita State University</x:v>
      </x:c>
      <x:c r="C1599" s="17" t="str">
        <x:v>IPEDS discovery signal: Human-Centered Technology Design (CIP 11.0105)</x:v>
      </x:c>
      <x:c r="D1599" s="17" t="str">
        <x:v>Unclear</x:v>
      </x:c>
      <x:c r="E1599" s="17" t="str">
        <x:v>stage2_screened_out</x:v>
      </x:c>
      <x:c r="F1599" s="17" t="str">
        <x:v>Duplicate mechanical discovery signal consolidated into one institution-level catalog review candidate.</x:v>
      </x:c>
      <x:c r="G1599" s="17" t="str">
        <x:v>Does the current official catalog contain a research graduate program matching the applicant's topics?</x:v>
      </x:c>
      <x:c r="H1599" s="17" t="str">
        <x:v>https://www.wichita.edu</x:v>
      </x:c>
      <x:c r="I1599" s="17" t="str">
        <x:v>not_sampled</x:v>
      </x:c>
      <x:c r="J1599" s="17" t="str">
        <x:v>not_sampled</x:v>
      </x:c>
    </x:row>
    <x:row r="1600" ht="46" customHeight="1">
      <x:c r="A1600" s="17" t="str">
        <x:v>us</x:v>
      </x:c>
      <x:c r="B1600" s="17" t="str">
        <x:v>Widener University</x:v>
      </x:c>
      <x:c r="C1600" s="17" t="str">
        <x:v>IPEDS discovery signal: Data Analytics, General (CIP 30.7101)</x:v>
      </x:c>
      <x:c r="D1600" s="17" t="str">
        <x:v>Unclear</x:v>
      </x:c>
      <x:c r="E1600" s="17" t="str">
        <x:v>stage2_screened_out</x:v>
      </x:c>
      <x:c r="F1600" s="17" t="str">
        <x:v>Only one bounded registry/program-code signal was present; no independent topical, Calendar, current-faculty, or first-audit signal was recovered.</x:v>
      </x:c>
      <x:c r="G1600" s="17" t="str">
        <x:v>Does the current official catalog contain a research graduate program matching the applicant's topics?</x:v>
      </x:c>
      <x:c r="H1600" s="17" t="str">
        <x:v>https://www.widener.edu</x:v>
      </x:c>
      <x:c r="I1600" s="17" t="str">
        <x:v>not_sampled</x:v>
      </x:c>
      <x:c r="J1600" s="17" t="str">
        <x:v>not_sampled</x:v>
      </x:c>
    </x:row>
    <x:row r="1601" ht="46" customHeight="1">
      <x:c r="A1601" s="17" t="str">
        <x:v>us</x:v>
      </x:c>
      <x:c r="B1601" s="17" t="str">
        <x:v>Widener University</x:v>
      </x:c>
      <x:c r="C1601" s="17" t="str">
        <x:v>IPEDS discovery signal: Electrical and Electronics Engineering (CIP 14.1001)</x:v>
      </x:c>
      <x:c r="D1601" s="17" t="str">
        <x:v>Unclear</x:v>
      </x:c>
      <x:c r="E1601" s="17" t="str">
        <x:v>stage2_screened_out</x:v>
      </x:c>
      <x:c r="F1601" s="17" t="str">
        <x:v>Only one bounded registry/program-code signal was present; no independent topical, Calendar, current-faculty, or first-audit signal was recovered.</x:v>
      </x:c>
      <x:c r="G1601" s="17" t="str">
        <x:v>Does the current official catalog contain a research graduate program matching the applicant's topics?</x:v>
      </x:c>
      <x:c r="H1601" s="17" t="str">
        <x:v>https://www.widener.edu</x:v>
      </x:c>
      <x:c r="I1601" s="17" t="str">
        <x:v>not_sampled</x:v>
      </x:c>
      <x:c r="J1601" s="17" t="str">
        <x:v>not_sampled</x:v>
      </x:c>
    </x:row>
    <x:row r="1602" ht="46" customHeight="1">
      <x:c r="A1602" s="17" t="str">
        <x:v>us</x:v>
      </x:c>
      <x:c r="B1602" s="17" t="str">
        <x:v>Widener University</x:v>
      </x:c>
      <x:c r="C1602" s="17" t="str">
        <x:v>IPEDS discovery signal: Mechatronics, Robotics, and Automation Engineering (CIP 14.4201)</x:v>
      </x:c>
      <x:c r="D1602" s="17" t="str">
        <x:v>Unclear</x:v>
      </x:c>
      <x:c r="E1602" s="17" t="str">
        <x:v>stage2_screened_out</x:v>
      </x:c>
      <x:c r="F1602" s="17" t="str">
        <x:v>Only one bounded registry/program-code signal was present; no independent topical, Calendar, current-faculty, or first-audit signal was recovered.</x:v>
      </x:c>
      <x:c r="G1602" s="17" t="str">
        <x:v>Does the current official catalog contain a research graduate program matching the applicant's topics?</x:v>
      </x:c>
      <x:c r="H1602" s="17" t="str">
        <x:v>https://www.widener.edu</x:v>
      </x:c>
      <x:c r="I1602" s="17" t="str">
        <x:v>not_sampled</x:v>
      </x:c>
      <x:c r="J1602" s="17" t="str">
        <x:v>not_sampled</x:v>
      </x:c>
    </x:row>
    <x:row r="1603" ht="46" customHeight="1">
      <x:c r="A1603" s="17" t="str">
        <x:v>us</x:v>
      </x:c>
      <x:c r="B1603" s="17" t="str">
        <x:v>Willamette University</x:v>
      </x:c>
      <x:c r="C1603" s="17" t="str">
        <x:v>IPEDS discovery signal: Data Science, General (CIP 30.7001)</x:v>
      </x:c>
      <x:c r="D1603" s="17" t="str">
        <x:v>Unclear</x:v>
      </x:c>
      <x:c r="E1603" s="17" t="str">
        <x:v>stage2_screened_out</x:v>
      </x:c>
      <x:c r="F1603" s="17" t="str">
        <x:v>Only one bounded registry/program-code signal was present; no independent topical, Calendar, current-faculty, or first-audit signal was recovered.</x:v>
      </x:c>
      <x:c r="G1603" s="17" t="str">
        <x:v>Does the current official catalog contain a research graduate program matching the applicant's topics?</x:v>
      </x:c>
      <x:c r="H1603" s="17" t="str">
        <x:v>https://www.willamette.edu</x:v>
      </x:c>
      <x:c r="I1603" s="17" t="str">
        <x:v>not_sampled</x:v>
      </x:c>
      <x:c r="J1603" s="17" t="str">
        <x:v>not_sampled</x:v>
      </x:c>
    </x:row>
    <x:row r="1604" ht="46" customHeight="1">
      <x:c r="A1604" s="17" t="str">
        <x:v>us</x:v>
      </x:c>
      <x:c r="B1604" s="17" t="str">
        <x:v>William &amp; Mary</x:v>
      </x:c>
      <x:c r="C1604" s="17" t="str">
        <x:v>IPEDS discovery signal: Computer and Information Sciences, General (CIP 11.0101)</x:v>
      </x:c>
      <x:c r="D1604" s="17" t="str">
        <x:v>Unclear</x:v>
      </x:c>
      <x:c r="E1604" s="17" t="str">
        <x:v>stage2_screened_out</x:v>
      </x:c>
      <x:c r="F1604" s="17" t="str">
        <x:v>Mechanical discovery placeholder is superseded by an exact official program record at the same institution.</x:v>
      </x:c>
      <x:c r="G1604" s="17" t="str">
        <x:v>Does the current official catalog contain a research graduate program matching the applicant's topics?</x:v>
      </x:c>
      <x:c r="H1604" s="17" t="str">
        <x:v>https://www.wm.edu</x:v>
      </x:c>
      <x:c r="I1604" s="17" t="str">
        <x:v>not_sampled</x:v>
      </x:c>
      <x:c r="J1604" s="17" t="str">
        <x:v>not_sampled</x:v>
      </x:c>
    </x:row>
    <x:row r="1605" ht="46" customHeight="1">
      <x:c r="A1605" s="17" t="str">
        <x:v>us</x:v>
      </x:c>
      <x:c r="B1605" s="17" t="str">
        <x:v>William Jessup University</x:v>
      </x:c>
      <x:c r="C1605" s="17" t="str">
        <x:v>IPEDS discovery signal: Computer Science (CIP 11.0701)</x:v>
      </x:c>
      <x:c r="D1605" s="17" t="str">
        <x:v>Unclear</x:v>
      </x:c>
      <x:c r="E1605" s="17" t="str">
        <x:v>stage2_screened_out</x:v>
      </x:c>
      <x:c r="F1605" s="17" t="str">
        <x:v>Only one bounded registry/program-code signal was present; no independent topical, Calendar, current-faculty, or first-audit signal was recovered.</x:v>
      </x:c>
      <x:c r="G1605" s="17" t="str">
        <x:v>Does the current official catalog contain a research graduate program matching the applicant's topics?</x:v>
      </x:c>
      <x:c r="H1605" s="17" t="str">
        <x:v>https://www.jessup.edu</x:v>
      </x:c>
      <x:c r="I1605" s="17" t="str">
        <x:v>not_sampled</x:v>
      </x:c>
      <x:c r="J1605" s="17" t="str">
        <x:v>not_sampled</x:v>
      </x:c>
    </x:row>
    <x:row r="1606" ht="46" customHeight="1">
      <x:c r="A1606" s="17" t="str">
        <x:v>us</x:v>
      </x:c>
      <x:c r="B1606" s="17" t="str">
        <x:v>Wilmington University</x:v>
      </x:c>
      <x:c r="C1606" s="17" t="str">
        <x:v>IPEDS discovery signal: Computer and Information Systems Security/Auditing/Information Assurance (CIP 11.1003)</x:v>
      </x:c>
      <x:c r="D1606" s="17" t="str">
        <x:v>Unclear</x:v>
      </x:c>
      <x:c r="E1606" s="17" t="str">
        <x:v>stage2_screened_out</x:v>
      </x:c>
      <x:c r="F1606" s="17" t="str">
        <x:v>Only one bounded registry/program-code signal was present; no independent topical, Calendar, current-faculty, or first-audit signal was recovered.</x:v>
      </x:c>
      <x:c r="G1606" s="17" t="str">
        <x:v>Does the current official catalog contain a research graduate program matching the applicant's topics?</x:v>
      </x:c>
      <x:c r="H1606" s="17" t="str">
        <x:v>https://www.wilmu.edu</x:v>
      </x:c>
      <x:c r="I1606" s="17" t="str">
        <x:v>not_sampled</x:v>
      </x:c>
      <x:c r="J1606" s="17" t="str">
        <x:v>not_sampled</x:v>
      </x:c>
    </x:row>
    <x:row r="1607" ht="46" customHeight="1">
      <x:c r="A1607" s="17" t="str">
        <x:v>us</x:v>
      </x:c>
      <x:c r="B1607" s="17" t="str">
        <x:v>Winston-Salem State University</x:v>
      </x:c>
      <x:c r="C1607" s="17" t="str">
        <x:v>IPEDS discovery signal: Computer and Information Sciences, General (CIP 11.0101)</x:v>
      </x:c>
      <x:c r="D1607" s="17" t="str">
        <x:v>Unclear</x:v>
      </x:c>
      <x:c r="E1607" s="17" t="str">
        <x:v>stage2_screened_out</x:v>
      </x:c>
      <x:c r="F1607" s="17" t="str">
        <x:v>Only one bounded registry/program-code signal was present; no independent topical, Calendar, current-faculty, or first-audit signal was recovered.</x:v>
      </x:c>
      <x:c r="G1607" s="17" t="str">
        <x:v>Does the current official catalog contain a research graduate program matching the applicant's topics?</x:v>
      </x:c>
      <x:c r="H1607" s="17" t="str">
        <x:v>https://www.wssu.edu</x:v>
      </x:c>
      <x:c r="I1607" s="17" t="str">
        <x:v>not_sampled</x:v>
      </x:c>
      <x:c r="J1607" s="17" t="str">
        <x:v>not_sampled</x:v>
      </x:c>
    </x:row>
    <x:row r="1608" ht="46" customHeight="1">
      <x:c r="A1608" s="17" t="str">
        <x:v>us</x:v>
      </x:c>
      <x:c r="B1608" s="17" t="str">
        <x:v>Worcester Polytechnic Institute</x:v>
      </x:c>
      <x:c r="C1608" s="17" t="str">
        <x:v>IPEDS discovery signal: Computer Science (CIP 11.0701)</x:v>
      </x:c>
      <x:c r="D1608" s="17" t="str">
        <x:v>Unclear</x:v>
      </x:c>
      <x:c r="E1608" s="17" t="str">
        <x:v>stage2_screened_out</x:v>
      </x:c>
      <x:c r="F1608" s="17" t="str">
        <x:v>Duplicate mechanical discovery signal consolidated into one institution-level catalog review candidate.</x:v>
      </x:c>
      <x:c r="G1608" s="17" t="str">
        <x:v>Does the current official catalog contain a research graduate program matching the applicant's topics?</x:v>
      </x:c>
      <x:c r="H1608" s="17" t="str">
        <x:v>https://www.wpi.edu</x:v>
      </x:c>
      <x:c r="I1608" s="17" t="str">
        <x:v>not_sampled</x:v>
      </x:c>
      <x:c r="J1608" s="17" t="str">
        <x:v>not_sampled</x:v>
      </x:c>
    </x:row>
    <x:row r="1609" ht="46" customHeight="1">
      <x:c r="A1609" s="17" t="str">
        <x:v>us</x:v>
      </x:c>
      <x:c r="B1609" s="17" t="str">
        <x:v>Worcester Polytechnic Institute</x:v>
      </x:c>
      <x:c r="C1609" s="17" t="str">
        <x:v>IPEDS discovery signal: Data Science, General (CIP 30.7001)</x:v>
      </x:c>
      <x:c r="D1609" s="17" t="str">
        <x:v>Unclear</x:v>
      </x:c>
      <x:c r="E1609" s="17" t="str">
        <x:v>stage2_screened_out</x:v>
      </x:c>
      <x:c r="F1609" s="17" t="str">
        <x:v>Duplicate mechanical discovery signal consolidated into one institution-level catalog review candidate.</x:v>
      </x:c>
      <x:c r="G1609" s="17" t="str">
        <x:v>Does the current official catalog contain a research graduate program matching the applicant's topics?</x:v>
      </x:c>
      <x:c r="H1609" s="17" t="str">
        <x:v>https://www.wpi.edu</x:v>
      </x:c>
      <x:c r="I1609" s="17" t="str">
        <x:v>not_sampled</x:v>
      </x:c>
      <x:c r="J1609" s="17" t="str">
        <x:v>not_sampled</x:v>
      </x:c>
    </x:row>
    <x:row r="1610" ht="46" customHeight="1">
      <x:c r="A1610" s="17" t="str">
        <x:v>us</x:v>
      </x:c>
      <x:c r="B1610" s="17" t="str">
        <x:v>Worcester Polytechnic Institute</x:v>
      </x:c>
      <x:c r="C1610" s="17" t="str">
        <x:v>IPEDS discovery signal: Electrical and Electronics Engineering (CIP 14.1001)</x:v>
      </x:c>
      <x:c r="D1610" s="17" t="str">
        <x:v>Unclear</x:v>
      </x:c>
      <x:c r="E1610" s="17" t="str">
        <x:v>stage2_screened_out</x:v>
      </x:c>
      <x:c r="F1610" s="17" t="str">
        <x:v>Duplicate mechanical discovery signal consolidated into one institution-level catalog review candidate.</x:v>
      </x:c>
      <x:c r="G1610" s="17" t="str">
        <x:v>Does the current official catalog contain a research graduate program matching the applicant's topics?</x:v>
      </x:c>
      <x:c r="H1610" s="17" t="str">
        <x:v>https://www.wpi.edu</x:v>
      </x:c>
      <x:c r="I1610" s="17" t="str">
        <x:v>not_sampled</x:v>
      </x:c>
      <x:c r="J1610" s="17" t="str">
        <x:v>not_sampled</x:v>
      </x:c>
    </x:row>
    <x:row r="1611" ht="46" customHeight="1">
      <x:c r="A1611" s="17" t="str">
        <x:v>us</x:v>
      </x:c>
      <x:c r="B1611" s="17" t="str">
        <x:v>Worcester Polytechnic Institute</x:v>
      </x:c>
      <x:c r="C1611" s="17" t="str">
        <x:v>IPEDS discovery signal: Information Technology (CIP 11.0103)</x:v>
      </x:c>
      <x:c r="D1611" s="17" t="str">
        <x:v>Unclear</x:v>
      </x:c>
      <x:c r="E1611" s="17" t="str">
        <x:v>stage2_screened_out</x:v>
      </x:c>
      <x:c r="F1611" s="17" t="str">
        <x:v>Duplicate mechanical discovery signal consolidated into one institution-level catalog review candidate.</x:v>
      </x:c>
      <x:c r="G1611" s="17" t="str">
        <x:v>Does the current official catalog contain a research graduate program matching the applicant's topics?</x:v>
      </x:c>
      <x:c r="H1611" s="17" t="str">
        <x:v>https://www.wpi.edu</x:v>
      </x:c>
      <x:c r="I1611" s="17" t="str">
        <x:v>not_sampled</x:v>
      </x:c>
      <x:c r="J1611" s="17" t="str">
        <x:v>not_sampled</x:v>
      </x:c>
    </x:row>
    <x:row r="1612" ht="46" customHeight="1">
      <x:c r="A1612" s="17" t="str">
        <x:v>us</x:v>
      </x:c>
      <x:c r="B1612" s="17" t="str">
        <x:v>Worcester Polytechnic Institute</x:v>
      </x:c>
      <x:c r="C1612" s="17" t="str">
        <x:v>IPEDS discovery signal: Mechatronics, Robotics, and Automation Engineering (CIP 14.4201)</x:v>
      </x:c>
      <x:c r="D1612" s="17" t="str">
        <x:v>Unclear</x:v>
      </x:c>
      <x:c r="E1612" s="17" t="str">
        <x:v>stage2_screened_out</x:v>
      </x:c>
      <x:c r="F1612" s="17" t="str">
        <x:v>Duplicate mechanical discovery signal consolidated into one institution-level catalog review candidate.</x:v>
      </x:c>
      <x:c r="G1612" s="17" t="str">
        <x:v>Does the current official catalog contain a research graduate program matching the applicant's topics?</x:v>
      </x:c>
      <x:c r="H1612" s="17" t="str">
        <x:v>https://www.wpi.edu</x:v>
      </x:c>
      <x:c r="I1612" s="17" t="str">
        <x:v>not_sampled</x:v>
      </x:c>
      <x:c r="J1612" s="17" t="str">
        <x:v>not_sampled</x:v>
      </x:c>
    </x:row>
    <x:row r="1613" ht="46" customHeight="1">
      <x:c r="A1613" s="17" t="str">
        <x:v>us</x:v>
      </x:c>
      <x:c r="B1613" s="17" t="str">
        <x:v>Wright State University-Main Campus</x:v>
      </x:c>
      <x:c r="C1613" s="17" t="str">
        <x:v>IPEDS discovery signal: Computer and Information Systems Security/Auditing/Information Assurance (CIP 11.1003)</x:v>
      </x:c>
      <x:c r="D1613" s="17" t="str">
        <x:v>Unclear</x:v>
      </x:c>
      <x:c r="E1613" s="17" t="str">
        <x:v>stage2_screened_out</x:v>
      </x:c>
      <x:c r="F1613" s="17" t="str">
        <x:v>Duplicate mechanical discovery signal consolidated into one institution-level catalog review candidate.</x:v>
      </x:c>
      <x:c r="G1613" s="17" t="str">
        <x:v>Does the current official catalog contain a research graduate program matching the applicant's topics?</x:v>
      </x:c>
      <x:c r="H1613" s="17" t="str">
        <x:v>https://www.wright.edu</x:v>
      </x:c>
      <x:c r="I1613" s="17" t="str">
        <x:v>not_sampled</x:v>
      </x:c>
      <x:c r="J1613" s="17" t="str">
        <x:v>not_sampled</x:v>
      </x:c>
    </x:row>
    <x:row r="1614" ht="46" customHeight="1">
      <x:c r="A1614" s="17" t="str">
        <x:v>us</x:v>
      </x:c>
      <x:c r="B1614" s="17" t="str">
        <x:v>Wright State University-Main Campus</x:v>
      </x:c>
      <x:c r="C1614" s="17" t="str">
        <x:v>IPEDS discovery signal: Computer Engineering, General (CIP 14.0901)</x:v>
      </x:c>
      <x:c r="D1614" s="17" t="str">
        <x:v>Unclear</x:v>
      </x:c>
      <x:c r="E1614" s="17" t="str">
        <x:v>stage2_screened_out</x:v>
      </x:c>
      <x:c r="F1614" s="17" t="str">
        <x:v>Duplicate mechanical discovery signal consolidated into one institution-level catalog review candidate.</x:v>
      </x:c>
      <x:c r="G1614" s="17" t="str">
        <x:v>Does the current official catalog contain a research graduate program matching the applicant's topics?</x:v>
      </x:c>
      <x:c r="H1614" s="17" t="str">
        <x:v>https://www.wright.edu</x:v>
      </x:c>
      <x:c r="I1614" s="17" t="str">
        <x:v>not_sampled</x:v>
      </x:c>
      <x:c r="J1614" s="17" t="str">
        <x:v>not_sampled</x:v>
      </x:c>
    </x:row>
    <x:row r="1615" ht="46" customHeight="1">
      <x:c r="A1615" s="17" t="str">
        <x:v>us</x:v>
      </x:c>
      <x:c r="B1615" s="17" t="str">
        <x:v>Wright State University-Main Campus</x:v>
      </x:c>
      <x:c r="C1615" s="17" t="str">
        <x:v>IPEDS discovery signal: Electrical and Electronics Engineering (CIP 14.1001)</x:v>
      </x:c>
      <x:c r="D1615" s="17" t="str">
        <x:v>Unclear</x:v>
      </x:c>
      <x:c r="E1615" s="17" t="str">
        <x:v>stage2_screened_out</x:v>
      </x:c>
      <x:c r="F1615" s="17" t="str">
        <x:v>Duplicate mechanical discovery signal consolidated into one institution-level catalog review candidate.</x:v>
      </x:c>
      <x:c r="G1615" s="17" t="str">
        <x:v>Does the current official catalog contain a research graduate program matching the applicant's topics?</x:v>
      </x:c>
      <x:c r="H1615" s="17" t="str">
        <x:v>https://www.wright.edu</x:v>
      </x:c>
      <x:c r="I1615" s="17" t="str">
        <x:v>not_sampled</x:v>
      </x:c>
      <x:c r="J1615" s="17" t="str">
        <x:v>not_sampled</x:v>
      </x:c>
    </x:row>
    <x:row r="1616" ht="46" customHeight="1">
      <x:c r="A1616" s="17" t="str">
        <x:v>us</x:v>
      </x:c>
      <x:c r="B1616" s="17" t="str">
        <x:v>Wright State University-Main Campus</x:v>
      </x:c>
      <x:c r="C1616" s="17" t="str">
        <x:v>IPEDS discovery signal: Information Science/Studies (CIP 11.0401)</x:v>
      </x:c>
      <x:c r="D1616" s="17" t="str">
        <x:v>Unclear</x:v>
      </x:c>
      <x:c r="E1616" s="17" t="str">
        <x:v>stage2_screened_out</x:v>
      </x:c>
      <x:c r="F1616" s="17" t="str">
        <x:v>Duplicate mechanical discovery signal consolidated into one institution-level catalog review candidate.</x:v>
      </x:c>
      <x:c r="G1616" s="17" t="str">
        <x:v>Does the current official catalog contain a research graduate program matching the applicant's topics?</x:v>
      </x:c>
      <x:c r="H1616" s="17" t="str">
        <x:v>https://www.wright.edu</x:v>
      </x:c>
      <x:c r="I1616" s="17" t="str">
        <x:v>not_sampled</x:v>
      </x:c>
      <x:c r="J1616" s="17" t="str">
        <x:v>not_sampled</x:v>
      </x:c>
    </x:row>
    <x:row r="1617" ht="46" customHeight="1">
      <x:c r="A1617" s="17" t="str">
        <x:v>us</x:v>
      </x:c>
      <x:c r="B1617" s="17" t="str">
        <x:v>Yale University</x:v>
      </x:c>
      <x:c r="C1617" s="17" t="str">
        <x:v>IPEDS discovery signal: Electrical and Electronics Engineering (CIP 14.1001)</x:v>
      </x:c>
      <x:c r="D1617" s="17" t="str">
        <x:v>Unclear</x:v>
      </x:c>
      <x:c r="E1617" s="17" t="str">
        <x:v>stage2_screened_out</x:v>
      </x:c>
      <x:c r="F1617" s="17" t="str">
        <x:v>Duplicate mechanical discovery signal consolidated into one institution-level catalog review candidate.</x:v>
      </x:c>
      <x:c r="G1617" s="17" t="str">
        <x:v>Does the current official catalog contain a research graduate program matching the applicant's topics?</x:v>
      </x:c>
      <x:c r="H1617" s="17" t="str">
        <x:v>https://www.yale.edu</x:v>
      </x:c>
      <x:c r="I1617" s="17" t="str">
        <x:v>not_sampled</x:v>
      </x:c>
      <x:c r="J1617" s="17" t="str">
        <x:v>not_sampled</x:v>
      </x:c>
    </x:row>
    <x:row r="1618" ht="46" customHeight="1">
      <x:c r="A1618" s="17" t="str">
        <x:v>us</x:v>
      </x:c>
      <x:c r="B1618" s="17" t="str">
        <x:v>Yeshiva University</x:v>
      </x:c>
      <x:c r="C1618" s="17" t="str">
        <x:v>IPEDS discovery signal: Artificial Intelligence (CIP 11.0102)</x:v>
      </x:c>
      <x:c r="D1618" s="17" t="str">
        <x:v>Unclear</x:v>
      </x:c>
      <x:c r="E1618" s="17" t="str">
        <x:v>stage2_screened_out</x:v>
      </x:c>
      <x:c r="F1618" s="17" t="str">
        <x:v>Only one bounded registry/program-code signal was present; no independent topical, Calendar, current-faculty, or first-audit signal was recovered.</x:v>
      </x:c>
      <x:c r="G1618" s="17" t="str">
        <x:v>Does the current official catalog contain a research graduate program matching the applicant's topics?</x:v>
      </x:c>
      <x:c r="H1618" s="17" t="str">
        <x:v>https://www.yu.edu</x:v>
      </x:c>
      <x:c r="I1618" s="17" t="str">
        <x:v>not_sampled</x:v>
      </x:c>
      <x:c r="J1618" s="17" t="str">
        <x:v>not_sampled</x:v>
      </x:c>
    </x:row>
    <x:row r="1619" ht="46" customHeight="1">
      <x:c r="A1619" s="17" t="str">
        <x:v>us</x:v>
      </x:c>
      <x:c r="B1619" s="17" t="str">
        <x:v>Yeshiva University</x:v>
      </x:c>
      <x:c r="C1619" s="17" t="str">
        <x:v>IPEDS discovery signal: Computer and Information Systems Security/Auditing/Information Assurance (CIP 11.1003)</x:v>
      </x:c>
      <x:c r="D1619" s="17" t="str">
        <x:v>Unclear</x:v>
      </x:c>
      <x:c r="E1619" s="17" t="str">
        <x:v>stage2_screened_out</x:v>
      </x:c>
      <x:c r="F1619" s="17" t="str">
        <x:v>Only one bounded registry/program-code signal was present; no independent topical, Calendar, current-faculty, or first-audit signal was recovered.</x:v>
      </x:c>
      <x:c r="G1619" s="17" t="str">
        <x:v>Does the current official catalog contain a research graduate program matching the applicant's topics?</x:v>
      </x:c>
      <x:c r="H1619" s="17" t="str">
        <x:v>https://www.yu.edu</x:v>
      </x:c>
      <x:c r="I1619" s="17" t="str">
        <x:v>not_sampled</x:v>
      </x:c>
      <x:c r="J1619" s="17" t="str">
        <x:v>not_sampled</x:v>
      </x:c>
    </x:row>
    <x:row r="1620" ht="46" customHeight="1">
      <x:c r="A1620" s="17" t="str">
        <x:v>us</x:v>
      </x:c>
      <x:c r="B1620" s="17" t="str">
        <x:v>Yeshiva University</x:v>
      </x:c>
      <x:c r="C1620" s="17" t="str">
        <x:v>IPEDS discovery signal: Information Science/Studies (CIP 11.0401)</x:v>
      </x:c>
      <x:c r="D1620" s="17" t="str">
        <x:v>Unclear</x:v>
      </x:c>
      <x:c r="E1620" s="17" t="str">
        <x:v>stage2_screened_out</x:v>
      </x:c>
      <x:c r="F1620" s="17" t="str">
        <x:v>Only one bounded registry/program-code signal was present; no independent topical, Calendar, current-faculty, or first-audit signal was recovered.</x:v>
      </x:c>
      <x:c r="G1620" s="17" t="str">
        <x:v>Does the current official catalog contain a research graduate program matching the applicant's topics?</x:v>
      </x:c>
      <x:c r="H1620" s="17" t="str">
        <x:v>https://www.yu.edu</x:v>
      </x:c>
      <x:c r="I1620" s="17" t="str">
        <x:v>not_sampled</x:v>
      </x:c>
      <x:c r="J1620" s="17" t="str">
        <x:v>not_sampled</x:v>
      </x:c>
    </x:row>
    <x:row r="1621" ht="46" customHeight="1">
      <x:c r="A1621" s="17" t="str">
        <x:v>us</x:v>
      </x:c>
      <x:c r="B1621" s="17" t="str">
        <x:v>Youngstown State University</x:v>
      </x:c>
      <x:c r="C1621" s="17" t="str">
        <x:v>IPEDS discovery signal: Electrical and Electronics Engineering (CIP 14.1001)</x:v>
      </x:c>
      <x:c r="D1621" s="17" t="str">
        <x:v>Unclear</x:v>
      </x:c>
      <x:c r="E1621" s="17" t="str">
        <x:v>stage2_screened_out</x:v>
      </x:c>
      <x:c r="F1621" s="17" t="str">
        <x:v>Only one bounded registry/program-code signal was present; no independent topical, Calendar, current-faculty, or first-audit signal was recovered.</x:v>
      </x:c>
      <x:c r="G1621" s="17" t="str">
        <x:v>Does the current official catalog contain a research graduate program matching the applicant's topics?</x:v>
      </x:c>
      <x:c r="H1621" s="17" t="str">
        <x:v>https://ysu.edu</x:v>
      </x:c>
      <x:c r="I1621" s="17" t="str">
        <x:v>not_sampled</x:v>
      </x:c>
      <x:c r="J1621" s="17" t="str">
        <x:v>not_sampled</x:v>
      </x:c>
    </x:row>
    <x:row r="1622" ht="46" customHeight="1">
      <x:c r="A1622" s="17" t="str">
        <x:v>canada</x:v>
      </x:c>
      <x:c r="B1622" s="17" t="str">
        <x:v>University of British Columbia</x:v>
      </x:c>
      <x:c r="C1622" s="17" t="str">
        <x:v>MSc in Computer Science</x:v>
      </x:c>
      <x:c r="D1622" s="17" t="str">
        <x:v>Thesis or research master's</x:v>
      </x:c>
      <x:c r="E1622" s="17" t="str">
        <x:v>stage2_screened_out</x:v>
      </x:c>
      <x:c r="F1622" s="17" t="str">
        <x:v>Duplicate exact program record shares the same canonical official URL; the first-audit or canonical row is retained.</x:v>
      </x:c>
      <x:c r="G1622" s="17" t="str">
        <x:v>Does the program have a matching supervisor and viable funding for Fall 2027?</x:v>
      </x:c>
      <x:c r="H1622" s="17" t="str">
        <x:v>https://www.cs.ubc.ca/students/grad/admissions</x:v>
      </x:c>
      <x:c r="I1622" s="17" t="str">
        <x:v>not_sampled</x:v>
      </x:c>
      <x:c r="J1622" s="17" t="str">
        <x:v>not_sampled</x:v>
      </x:c>
    </x:row>
    <x:row r="1623" ht="46" customHeight="1">
      <x:c r="A1623" s="17" t="str">
        <x:v>canada</x:v>
      </x:c>
      <x:c r="B1623" s="17" t="str">
        <x:v>University of Saskatchewan</x:v>
      </x:c>
      <x:c r="C1623" s="17" t="str">
        <x:v>MSc in Computer Science</x:v>
      </x:c>
      <x:c r="D1623" s="17" t="str">
        <x:v>Thesis or research master's</x:v>
      </x:c>
      <x:c r="E1623" s="17" t="str">
        <x:v>stage2_screened_out</x:v>
      </x:c>
      <x:c r="F1623" s="17" t="str">
        <x:v>Duplicate exact program record shares the same canonical official URL; the first-audit or canonical row is retained.</x:v>
      </x:c>
      <x:c r="G1623" s="17" t="str">
        <x:v>Does the program have a matching supervisor and viable funding for Fall 2027?</x:v>
      </x:c>
      <x:c r="H1623" s="17" t="str">
        <x:v>https://grad.usask.ca/programs/computer-science.php</x:v>
      </x:c>
      <x:c r="I1623" s="17" t="str">
        <x:v>not_sampled</x:v>
      </x:c>
      <x:c r="J1623" s="17" t="str">
        <x:v>not_sampled</x:v>
      </x:c>
    </x:row>
    <x:row r="1624" ht="46" customHeight="1">
      <x:c r="A1624" s="17" t="str">
        <x:v>canada</x:v>
      </x:c>
      <x:c r="B1624" s="17" t="str">
        <x:v>University of Victoria</x:v>
      </x:c>
      <x:c r="C1624" s="17" t="str">
        <x:v>MSc in Computer Science</x:v>
      </x:c>
      <x:c r="D1624" s="17" t="str">
        <x:v>Thesis or research master's</x:v>
      </x:c>
      <x:c r="E1624" s="17" t="str">
        <x:v>stage2_screened_out</x:v>
      </x:c>
      <x:c r="F1624" s="17" t="str">
        <x:v>Duplicate exact program record shares the same canonical official URL; the first-audit or canonical row is retained.</x:v>
      </x:c>
      <x:c r="G1624" s="17" t="str">
        <x:v>Does the program have a matching supervisor and viable funding for Fall 2027?</x:v>
      </x:c>
      <x:c r="H1624" s="17" t="str">
        <x:v>https://www.uvic.ca/ecs/computerscience/programs/msc/index.php</x:v>
      </x:c>
      <x:c r="I1624" s="17" t="str">
        <x:v>not_sampled</x:v>
      </x:c>
      <x:c r="J1624" s="17" t="str">
        <x:v>not_sampled</x:v>
      </x:c>
    </x:row>
    <x:row r="1625" ht="46" customHeight="1">
      <x:c r="A1625" s="17" t="str">
        <x:v>europe</x:v>
      </x:c>
      <x:c r="B1625" s="17" t="str">
        <x:v>Aalto University</x:v>
      </x:c>
      <x:c r="C1625" s="17" t="str">
        <x:v>Aalto Doctoral Programme in Science — Computer Science</x:v>
      </x:c>
      <x:c r="D1625" s="17" t="str">
        <x:v>PhD requiring a master's</x:v>
      </x:c>
      <x:c r="E1625" s="17" t="str">
        <x:v>verified_eligibility_or_route_failure</x:v>
      </x:c>
      <x:c r="F1625" s="17" t="str">
        <x:v>Admission does not fund the degree and master's is required</x:v>
      </x:c>
      <x:c r="G1625" s="17" t="str">
        <x:v>Revisit salaried doctoral vacancies after master's</x:v>
      </x:c>
      <x:c r="H1625" s="17" t="str">
        <x:v>https://www.aalto.fi/en/study-options/aalto-doctoral-programme-in-science|https://www.aalto.fi/en/doctoral-education/how-to-apply-for-doctoral-studies|https://www.aalto.fi/en/department-of-computer-science/faculty-0</x:v>
      </x:c>
      <x:c r="I1625" s="17" t="str">
        <x:v>not_sampled</x:v>
      </x:c>
      <x:c r="J1625" s="17" t="str">
        <x:v>not_sampled</x:v>
      </x:c>
    </x:row>
    <x:row r="1626" ht="46" customHeight="1">
      <x:c r="A1626" s="17" t="str">
        <x:v>europe</x:v>
      </x:c>
      <x:c r="B1626" s="17" t="str">
        <x:v>ETH Zurich</x:v>
      </x:c>
      <x:c r="C1626" s="17" t="str">
        <x:v>Doctoral Study Programme in Computer Science</x:v>
      </x:c>
      <x:c r="D1626" s="17" t="str">
        <x:v>PhD requiring a master's</x:v>
      </x:c>
      <x:c r="E1626" s="17" t="str">
        <x:v>verified_eligibility_or_route_failure</x:v>
      </x:c>
      <x:c r="F1626" s="17" t="str">
        <x:v>Master's requirement is not met for Fall 2027</x:v>
      </x:c>
      <x:c r="G1626" s="17" t="str">
        <x:v>Revisit after a qualifying research master's</x:v>
      </x:c>
      <x:c r="H1626" s="17" t="str">
        <x:v>https://inf.ethz.ch/doctorate.html|https://ethz.ch/students/en/doctorate/transferable-skills/languages.html|https://www.sri.inf.ethz.ch/people/martin|https://ethz.ch/en/doctorate.html</x:v>
      </x:c>
      <x:c r="I1626" s="17" t="str">
        <x:v>not_sampled</x:v>
      </x:c>
      <x:c r="J1626" s="17" t="str">
        <x:v>not_sampled</x:v>
      </x:c>
    </x:row>
    <x:row r="1627" ht="46" customHeight="1">
      <x:c r="A1627" s="17" t="str">
        <x:v>europe</x:v>
      </x:c>
      <x:c r="B1627" s="17" t="str">
        <x:v>Imperial College London</x:v>
      </x:c>
      <x:c r="C1627" s="17" t="str">
        <x:v>PhD in Computing</x:v>
      </x:c>
      <x:c r="D1627" s="17" t="str">
        <x:v>PhD</x:v>
      </x:c>
      <x:c r="E1627" s="17" t="str">
        <x:v>verified_eligibility_or_route_failure</x:v>
      </x:c>
      <x:c r="F1627" s="17" t="str">
        <x:v>Imperial says bachelor-only applicants are not normally considered for this route.</x:v>
      </x:c>
      <x:c r="G1627" s="17" t="str">
        <x:v>Would Imperial confirm an exceptional bachelor-only route in writing, or should an MSc come first?</x:v>
      </x:c>
      <x:c r="H1627" s="17" t="str">
        <x:v>https://www.imperial.ac.uk/computing/prospective-students/phd/|https://www.imperial.ac.uk/study/apply/postgraduate-taught/english-language-requirements/|https://profiles.imperial.ac.uk/c.cadar</x:v>
      </x:c>
      <x:c r="I1627" s="17" t="str">
        <x:v>not_sampled</x:v>
      </x:c>
      <x:c r="J1627" s="17" t="str">
        <x:v>not_sampled</x:v>
      </x:c>
    </x:row>
    <x:row r="1628" ht="46" customHeight="1">
      <x:c r="A1628" s="17" t="str">
        <x:v>europe</x:v>
      </x:c>
      <x:c r="B1628" s="17" t="str">
        <x:v>KU Leuven</x:v>
      </x:c>
      <x:c r="C1628" s="17" t="str">
        <x:v>Doctoral Programme in Computer Science</x:v>
      </x:c>
      <x:c r="D1628" s="17" t="str">
        <x:v>PhD requiring a master's</x:v>
      </x:c>
      <x:c r="E1628" s="17" t="str">
        <x:v>verified_eligibility_or_route_failure</x:v>
      </x:c>
      <x:c r="F1628" s="17" t="str">
        <x:v>Master's required and no funded vacancy identified</x:v>
      </x:c>
      <x:c r="G1628" s="17" t="str">
        <x:v>Revisit funded vacancies after master's completion</x:v>
      </x:c>
      <x:c r="H1628" s="17" t="str">
        <x:v>https://www.kuleuven.be/english/apply/application-instructions/instructions-doctoral|https://distrinet.cs.kuleuven.be/people/WouterJoosen</x:v>
      </x:c>
      <x:c r="I1628" s="17" t="str">
        <x:v>not_sampled</x:v>
      </x:c>
      <x:c r="J1628" s="17" t="str">
        <x:v>not_sampled</x:v>
      </x:c>
    </x:row>
    <x:row r="1629" ht="46" customHeight="1">
      <x:c r="A1629" s="17" t="str">
        <x:v>europe</x:v>
      </x:c>
      <x:c r="B1629" s="17" t="str">
        <x:v>University of Helsinki</x:v>
      </x:c>
      <x:c r="C1629" s="17" t="str">
        <x:v>Doctoral Programme in Science — Computer Science</x:v>
      </x:c>
      <x:c r="D1629" s="17" t="str">
        <x:v>PhD requiring a master's</x:v>
      </x:c>
      <x:c r="E1629" s="17" t="str">
        <x:v>verified_eligibility_or_route_failure</x:v>
      </x:c>
      <x:c r="F1629" s="17" t="str">
        <x:v>Master's required and study right is unfunded</x:v>
      </x:c>
      <x:c r="G1629" s="17" t="str">
        <x:v>Revisit salaried calls after master's</x:v>
      </x:c>
      <x:c r="H1629" s="17" t="str">
        <x:v>https://www.helsinki.fi/en/admissions-and-education/apply-doctoral-programmes|https://www.helsinki.fi/en/researchgroups/empirical-software-engineering/people</x:v>
      </x:c>
      <x:c r="I1629" s="17" t="str">
        <x:v>not_sampled</x:v>
      </x:c>
      <x:c r="J1629" s="17" t="str">
        <x:v>not_sampled</x:v>
      </x:c>
    </x:row>
    <x:row r="1630" ht="46" customHeight="1">
      <x:c r="A1630" s="17" t="str">
        <x:v>europe</x:v>
      </x:c>
      <x:c r="B1630" s="17" t="str">
        <x:v>University of Luxembourg</x:v>
      </x:c>
      <x:c r="C1630" s="17" t="str">
        <x:v>Doctoral Programme in Computer Science and Computer Engineering</x:v>
      </x:c>
      <x:c r="D1630" s="17" t="str">
        <x:v>PhD requiring a master's</x:v>
      </x:c>
      <x:c r="E1630" s="17" t="str">
        <x:v>verified_eligibility_or_route_failure</x:v>
      </x:c>
      <x:c r="F1630" s="17" t="str">
        <x:v>Master's required; current funded vacancy is not a 2027 route</x:v>
      </x:c>
      <x:c r="G1630" s="17" t="str">
        <x:v>Monitor future SnT/SVV vacancies after master's</x:v>
      </x:c>
      <x:c r="H1630" s="17" t="str">
        <x:v>https://www.uni.lu/research-en/doctoral-education/dsse/computer-engineering/|https://www.uni.lu/snt-en/people/lionel-briand/|https://www.uni.lu/en/jobs/doctoral-researcher-in-computer-science/</x:v>
      </x:c>
      <x:c r="I1630" s="17" t="str">
        <x:v>false_negative_corrected</x:v>
      </x:c>
      <x:c r="J1630" s="17" t="str">
        <x:v>confirmed</x:v>
      </x:c>
    </x:row>
    <x:row r="1631" ht="46" customHeight="1">
      <x:c r="A1631" s="17" t="str">
        <x:v>europe</x:v>
      </x:c>
      <x:c r="B1631" s="17" t="str">
        <x:v>University of Tartu</x:v>
      </x:c>
      <x:c r="C1631" s="17" t="str">
        <x:v>PhD in Information Technology — Computer Science</x:v>
      </x:c>
      <x:c r="D1631" s="17" t="str">
        <x:v>PhD requiring a master's</x:v>
      </x:c>
      <x:c r="E1631" s="17" t="str">
        <x:v>verified_eligibility_or_route_failure</x:v>
      </x:c>
      <x:c r="F1631" s="17" t="str">
        <x:v>Master's required and no specific fully funded place</x:v>
      </x:c>
      <x:c r="G1631" s="17" t="str">
        <x:v>Revisit funded doctoral calls after master's</x:v>
      </x:c>
      <x:c r="H1631" s="17" t="str">
        <x:v>https://ut.ee/en/curriculum/computer-science|https://ut.ee/en/employee/marlon-dumas</x:v>
      </x:c>
      <x:c r="I1631" s="17" t="str">
        <x:v>not_sampled</x:v>
      </x:c>
      <x:c r="J1631" s="17" t="str">
        <x:v>not_sampled</x:v>
      </x:c>
    </x:row>
    <x:row r="1632" ht="46" customHeight="1">
      <x:c r="A1632" s="17" t="str">
        <x:v>europe</x:v>
      </x:c>
      <x:c r="B1632" s="17" t="str">
        <x:v>Norwegian University of Science and Technology</x:v>
      </x:c>
      <x:c r="C1632" s="17" t="str">
        <x:v>Erasmus Mundus Joint Master in Cybersecurity and Assurance (CYBERSURE)</x:v>
      </x:c>
      <x:c r="D1632" s="17" t="str">
        <x:v>Thesis or research master's</x:v>
      </x:c>
      <x:c r="E1632" s="17" t="str">
        <x:v>fall_2027_degree_completion_timing</x:v>
      </x:c>
      <x:c r="F1632" s="17" t="str">
        <x:v>The Fall 2027 CYBERSURE call requires applicants outside the EU/EEA to submit final bachelor's degree documents by January 4, 2027; this applicant's degree is expected in May 2027, so the published rule creates a hard cycle-specific eligibility failure.</x:v>
      </x:c>
      <x:c r="G1632" s="17" t="str">
        <x:v>None for the gate: the applicant cannot supply a completed bachelor's by the published non-EU deadline.</x:v>
      </x:c>
      <x:c r="H1632" s="17" t="str">
        <x:v>https://www.ntnu.edu/studies/mscybsure|https://www.cybersure-master.eu/admission|https://www.ntnu.edu/studies/tuition-fee</x:v>
      </x:c>
      <x:c r="I1632" s="17" t="str">
        <x:v>false_negative_corrected</x:v>
      </x:c>
      <x:c r="J1632" s="17" t="str">
        <x:v>confirmed</x:v>
      </x:c>
    </x:row>
  </x:sheetData>
  <x:mergeCells>
    <x:mergeCell ref="A1:J1"/>
    <x:mergeCell ref="A2:J2"/>
    <x:mergeCell ref="A3:J3"/>
  </x:mergeCells>
  <x:dataValidations count="1">
    <x:dataValidation type="list" sqref="I5:I1632">
      <x:formula1>"not_sampled,confirmed,false_negative_corrected,unresolved,reopen"</x:formula1>
    </x:dataValidation>
  </x:dataValidations>
  <x:pageMargins left="0.7" right="0.7" top="0.75" bottom="0.75" header="0.3" footer="0.3"/>
  <x:tableParts count="1">
    <x:tablePart xmlns:r="http://schemas.openxmlformats.org/officeDocument/2006/relationships" r:id="R7b64a94c85ad4385"/>
  </x:tableParts>
</x:worksheet>
</file>

<file path=xl/worksheets/sheet9.xml><?xml version="1.0" encoding="utf-8"?>
<x:worksheet xmlns:x="http://schemas.openxmlformats.org/spreadsheetml/2006/main">
  <x:sheetPr>
    <x:tabColor rgb="FF4F81BD"/>
  </x:sheetPr>
  <x:sheetViews>
    <x:sheetView showGridLines="0" workbookViewId="0">
      <x:pane xSplit="2" ySplit="4" topLeftCell="C5" activePane="bottomRight" state="frozen"/>
    </x:sheetView>
  </x:sheetViews>
  <x:sheetFormatPr defaultRowHeight="15"/>
  <x:cols>
    <x:col min="1" max="1" width="23" hidden="0" customWidth="1"/>
    <x:col min="2" max="2" width="11" hidden="0" customWidth="1"/>
    <x:col min="3" max="3" width="35" hidden="0" customWidth="1"/>
    <x:col min="4" max="4" width="38" hidden="0" customWidth="1"/>
    <x:col min="5" max="5" width="11" hidden="0" customWidth="1"/>
    <x:col min="6" max="6" width="34" hidden="0" customWidth="1"/>
    <x:col min="7" max="7" width="34" hidden="0" customWidth="1"/>
    <x:col min="8" max="8" width="38" hidden="0" customWidth="1"/>
    <x:col min="9" max="9" width="38" hidden="0" customWidth="1"/>
    <x:col min="10" max="10" width="15" hidden="0" customWidth="1"/>
    <x:col min="11" max="11" width="11" hidden="0" customWidth="1"/>
    <x:col min="12" max="12" width="38" hidden="0" customWidth="1"/>
    <x:col min="13" max="13" width="37" hidden="0" customWidth="1"/>
    <x:col min="14" max="14" width="38" hidden="0" customWidth="1"/>
    <x:col min="15" max="15" width="38" hidden="0" customWidth="1"/>
    <x:col min="16" max="16" width="18" hidden="0" customWidth="1"/>
  </x:cols>
  <x:sheetData>
    <x:row r="1" ht="28" customHeight="1">
      <x:c r="A1" s="3" t="str">
        <x:v>Sources</x:v>
      </x:c>
    </x:row>
    <x:row r="2" ht="34" customHeight="1">
      <x:c r="A2" s="7" t="str">
        <x:v>Complete combined program and professor source ledger. Exact claims and access limitations are authoritative here.</x:v>
      </x:c>
    </x:row>
    <x:row r="3" ht="20" customHeight="1">
      <x:c r="A3" s="9" t="str">
        <x:v>Evidence snapshot: 2026-09-11 · 3,596 records · Use the row-4 filters; uncertainty is intentional.</x:v>
      </x:c>
    </x:row>
    <x:row r="4" ht="34" customHeight="1">
      <x:c r="A4" s="13" t="str">
        <x:v>Source ID</x:v>
      </x:c>
      <x:c r="B4" s="13" t="str">
        <x:v>Entity Type</x:v>
      </x:c>
      <x:c r="C4" s="13" t="str">
        <x:v>Institution</x:v>
      </x:c>
      <x:c r="D4" s="13" t="str">
        <x:v>Program ID</x:v>
      </x:c>
      <x:c r="E4" s="13" t="str">
        <x:v>Professor ID</x:v>
      </x:c>
      <x:c r="F4" s="13" t="str">
        <x:v>Claim Categories</x:v>
      </x:c>
      <x:c r="G4" s="13" t="str">
        <x:v>Exact Claim Supported</x:v>
      </x:c>
      <x:c r="H4" s="13" t="str">
        <x:v>Source Title</x:v>
      </x:c>
      <x:c r="I4" s="13" t="str">
        <x:v>Publisher</x:v>
      </x:c>
      <x:c r="J4" s="13" t="str">
        <x:v>Official / Secondary</x:v>
      </x:c>
      <x:c r="K4" s="13" t="str">
        <x:v>Accessed</x:v>
      </x:c>
      <x:c r="L4" s="13" t="str">
        <x:v>Cycle / Year</x:v>
      </x:c>
      <x:c r="M4" s="13" t="str">
        <x:v>Confidence</x:v>
      </x:c>
      <x:c r="N4" s="13" t="str">
        <x:v>Verification Status</x:v>
      </x:c>
      <x:c r="O4" s="13" t="str">
        <x:v>Access Note</x:v>
      </x:c>
      <x:c r="P4" s="13" t="str">
        <x:v>URL</x:v>
      </x:c>
    </x:row>
    <x:row r="5" ht="46" customHeight="1">
      <x:c r="A5" s="17" t="str">
        <x:v>stage3src:3df5fd229eeedea1ab54</x:v>
      </x:c>
      <x:c r="B5" s="17" t="str">
        <x:v>program</x:v>
      </x:c>
      <x:c r="C5" s="17" t="str">
        <x:v>University of Lethbridge</x:v>
      </x:c>
      <x:c r="D5" s="17" t="str">
        <x:v>ca:dli:O18776949622:program:thesis-or-research-master-s:msc-in-computer-science</x:v>
      </x:c>
      <x:c r="E5" s="17" t="str"/>
      <x:c r="F5" s="17" t="str">
        <x:v>program</x:v>
      </x:c>
      <x:c r="G5" s="17" t="str">
        <x:v>The official page identifies MSc in Computer Science and contains research/thesis evidence.</x:v>
      </x:c>
      <x:c r="H5" s="17" t="str">
        <x:v>Computer Science (MSc) | University of Lethbridge</x:v>
      </x:c>
      <x:c r="I5" s="17" t="str">
        <x:v>University of Lethbridge</x:v>
      </x:c>
      <x:c r="J5" s="17" t="str">
        <x:v>official</x:v>
      </x:c>
      <x:c r="K5" s="17" t="str">
        <x:v>2026-09-09</x:v>
      </x:c>
      <x:c r="L5" s="17" t="str">
        <x:v>Current page; Fall 2027 dates not assumed</x:v>
      </x:c>
      <x:c r="M5" s="17" t="str">
        <x:v>High for program existence and research structure</x:v>
      </x:c>
      <x:c r="N5" s="17" t="str">
        <x:v>opened</x:v>
      </x:c>
      <x:c r="O5" s="17" t="str">
        <x:v>HTTP 200; page SHA-256 in evidence file</x:v>
      </x:c>
      <x:c r="P5" s="18" t="e">
        <x:f>HYPERLINK("https://www.ulethbridge.ca/future-student/graduate-studies/master-science/computer-science","Open source")</x:f>
        <x:v>HYPERLINK is not implemented. linkLocation=https://www.ulethbridge.ca/future-student/graduate-studies/master-science/computer-science, friendlyName=Open source</x:v>
      </x:c>
    </x:row>
    <x:row r="6" ht="46" customHeight="1">
      <x:c r="A6" s="17" t="str">
        <x:v>stage3src:71666e1623257b79adb4</x:v>
      </x:c>
      <x:c r="B6" s="17" t="str">
        <x:v>program</x:v>
      </x:c>
      <x:c r="C6" s="17" t="str">
        <x:v>University of Lethbridge</x:v>
      </x:c>
      <x:c r="D6" s="17" t="str">
        <x:v>ca:dli:O18776949622:program:thesis-or-research-master-s:msc-in-computer-science-thesis</x:v>
      </x:c>
      <x:c r="E6" s="17" t="str"/>
      <x:c r="F6" s="17" t="str">
        <x:v>program|research|eligibility|admissions</x:v>
      </x:c>
      <x:c r="G6" s="17" t="str">
        <x:v>Current thesis MSc, 24-month length, degree, GPA, upper-level course, and secured-supervisor requirements.</x:v>
      </x:c>
      <x:c r="H6" s="17" t="str">
        <x:v>Computer Science (MSc)</x:v>
      </x:c>
      <x:c r="I6" s="17" t="str">
        <x:v>University of Lethbridge</x:v>
      </x:c>
      <x:c r="J6" s="17" t="str">
        <x:v>official</x:v>
      </x:c>
      <x:c r="K6" s="17" t="str">
        <x:v>2026-09-10</x:v>
      </x:c>
      <x:c r="L6" s="17" t="str">
        <x:v>Current page checked 2026-09-11</x:v>
      </x:c>
      <x:c r="M6" s="17" t="str">
        <x:v>high</x:v>
      </x:c>
      <x:c r="N6" s="17" t="str">
        <x:v>official page checked</x:v>
      </x:c>
      <x:c r="O6" s="17" t="str"/>
      <x:c r="P6" s="18" t="e">
        <x:f>HYPERLINK("https://www.ulethbridge.ca/future-student/graduate-studies/master-science/computer-science","Open source")</x:f>
        <x:v>HYPERLINK is not implemented. linkLocation=https://www.ulethbridge.ca/future-student/graduate-studies/master-science/computer-science, friendlyName=Open source</x:v>
      </x:c>
    </x:row>
    <x:row r="7" ht="46" customHeight="1">
      <x:c r="A7" s="17" t="str">
        <x:v>stage3src:7df8f0fe92b66fd3e97c</x:v>
      </x:c>
      <x:c r="B7" s="17" t="str">
        <x:v>program</x:v>
      </x:c>
      <x:c r="C7" s="17" t="str">
        <x:v>University of Lethbridge</x:v>
      </x:c>
      <x:c r="D7" s="17" t="str">
        <x:v>ca:dli:O18776949622:program:thesis-or-research-master-s:msc-in-computer-science-thesis</x:v>
      </x:c>
      <x:c r="E7" s="17" t="str"/>
      <x:c r="F7" s="17" t="str">
        <x:v>funding|tuition|fees</x:v>
      </x:c>
      <x:c r="G7" s="17" t="str">
        <x:v>Competitive awards, assistantship consideration, and possible research support without a universal complete package.</x:v>
      </x:c>
      <x:c r="H7" s="17" t="str">
        <x:v>Awards and scholarships</x:v>
      </x:c>
      <x:c r="I7" s="17" t="str">
        <x:v>University of Lethbridge</x:v>
      </x:c>
      <x:c r="J7" s="17" t="str">
        <x:v>official</x:v>
      </x:c>
      <x:c r="K7" s="17" t="str">
        <x:v>2026-09-10</x:v>
      </x:c>
      <x:c r="L7" s="17" t="str">
        <x:v>Current page checked 2026-09-11</x:v>
      </x:c>
      <x:c r="M7" s="17" t="str">
        <x:v>high</x:v>
      </x:c>
      <x:c r="N7" s="17" t="str">
        <x:v>official page checked</x:v>
      </x:c>
      <x:c r="O7" s="17" t="str"/>
      <x:c r="P7" s="18" t="e">
        <x:f>HYPERLINK("https://www.ulethbridge.ca/future-student/graduate-studies/funding-opportunities","Open source")</x:f>
        <x:v>HYPERLINK is not implemented. linkLocation=https://www.ulethbridge.ca/future-student/graduate-studies/funding-opportunities, friendlyName=Open source</x:v>
      </x:c>
    </x:row>
    <x:row r="8" ht="46" customHeight="1">
      <x:c r="A8" s="17" t="str">
        <x:v>stage3src:d1717e9a1060e681d1fa</x:v>
      </x:c>
      <x:c r="B8" s="17" t="str">
        <x:v>program</x:v>
      </x:c>
      <x:c r="C8" s="17" t="str">
        <x:v>University of Lethbridge</x:v>
      </x:c>
      <x:c r="D8" s="17" t="str">
        <x:v>ca:dli:O18776949622:program:thesis-or-research-master-s:msc-in-computer-science-thesis</x:v>
      </x:c>
      <x:c r="E8" s="17" t="str"/>
      <x:c r="F8" s="17" t="str">
        <x:v>admissions|language|deadline|fees</x:v>
      </x:c>
      <x:c r="G8" s="17" t="str">
        <x:v>Graduate admission, international-document, English, deadline, and fee framework.</x:v>
      </x:c>
      <x:c r="H8" s="17" t="str">
        <x:v>Graduate admission information</x:v>
      </x:c>
      <x:c r="I8" s="17" t="str">
        <x:v>University of Lethbridge</x:v>
      </x:c>
      <x:c r="J8" s="17" t="str">
        <x:v>official</x:v>
      </x:c>
      <x:c r="K8" s="17" t="str">
        <x:v>2026-09-10</x:v>
      </x:c>
      <x:c r="L8" s="17" t="str">
        <x:v>Current page checked 2026-09-11</x:v>
      </x:c>
      <x:c r="M8" s="17" t="str">
        <x:v>high</x:v>
      </x:c>
      <x:c r="N8" s="17" t="str">
        <x:v>official page checked</x:v>
      </x:c>
      <x:c r="O8" s="17" t="str"/>
      <x:c r="P8" s="18" t="e">
        <x:f>HYPERLINK("https://www.ulethbridge.ca/future-student/graduate-studies/admission-information","Open source")</x:f>
        <x:v>HYPERLINK is not implemented. linkLocation=https://www.ulethbridge.ca/future-student/graduate-studies/admission-information, friendlyName=Open source</x:v>
      </x:c>
    </x:row>
    <x:row r="9" ht="46" customHeight="1">
      <x:c r="A9" s="17" t="str">
        <x:v>stage3src:5aa2f1cb7e2e78392b5c</x:v>
      </x:c>
      <x:c r="B9" s="17" t="str">
        <x:v>program</x:v>
      </x:c>
      <x:c r="C9" s="17" t="str">
        <x:v>Simon Fraser University</x:v>
      </x:c>
      <x:c r="D9" s="17" t="str">
        <x:v>ca:dli:O18781994282:program:thesis-or-research-master-s:computing-science-master-of-science-thesis</x:v>
      </x:c>
      <x:c r="E9" s="17" t="str"/>
      <x:c r="F9" s="17" t="str">
        <x:v>program|funding|fees</x:v>
      </x:c>
      <x:c r="G9" s="17" t="str">
        <x:v>Research-intensive thesis MSc, thesis requirements, supervisor committee, per-term tuition model, and 24,000 CAD annual two-year minimum funding.</x:v>
      </x:c>
      <x:c r="H9" s="17" t="str">
        <x:v>Master of Science in Computing Science</x:v>
      </x:c>
      <x:c r="I9" s="17" t="str">
        <x:v>Simon Fraser University School of Computing Science</x:v>
      </x:c>
      <x:c r="J9" s="17" t="str">
        <x:v>official</x:v>
      </x:c>
      <x:c r="K9" s="17" t="str">
        <x:v>2026-09-10</x:v>
      </x:c>
      <x:c r="L9" s="17" t="str">
        <x:v>Current page checked 2026-09-10</x:v>
      </x:c>
      <x:c r="M9" s="17" t="str">
        <x:v>high</x:v>
      </x:c>
      <x:c r="N9" s="17" t="str">
        <x:v>official page checked</x:v>
      </x:c>
      <x:c r="O9" s="17" t="str"/>
      <x:c r="P9" s="18" t="e">
        <x:f>HYPERLINK("https://www.sfu.ca/fas/study/future-graduates/programs/master-science-thesis.html","Open source")</x:f>
        <x:v>HYPERLINK is not implemented. linkLocation=https://www.sfu.ca/fas/study/future-graduates/programs/master-science-thesis.html, friendlyName=Open source</x:v>
      </x:c>
    </x:row>
    <x:row r="10" ht="46" customHeight="1">
      <x:c r="A10" s="17" t="str">
        <x:v>stage3src:671096c0d8c7da0f2c63</x:v>
      </x:c>
      <x:c r="B10" s="17" t="str">
        <x:v>program</x:v>
      </x:c>
      <x:c r="C10" s="17" t="str">
        <x:v>Simon Fraser University</x:v>
      </x:c>
      <x:c r="D10" s="17" t="str">
        <x:v>ca:dli:O18781994282:program:thesis-or-research-master-s:computing-science-master-of-science-thesis</x:v>
      </x:c>
      <x:c r="E10" s="17" t="str"/>
      <x:c r="F10" s="17" t="str">
        <x:v>admissions|eligibility|language|deadline</x:v>
      </x:c>
      <x:c r="G10" s="17" t="str">
        <x:v>Bachelor's-entry route, 3.00/4.33 minimum, English rules, and Fall 2027 opening with deadline TBD.</x:v>
      </x:c>
      <x:c r="H10" s="17" t="str">
        <x:v>Computing Science Graduate Admissions</x:v>
      </x:c>
      <x:c r="I10" s="17" t="str">
        <x:v>Simon Fraser University School of Computing Science</x:v>
      </x:c>
      <x:c r="J10" s="17" t="str">
        <x:v>official</x:v>
      </x:c>
      <x:c r="K10" s="17" t="str">
        <x:v>2026-09-10</x:v>
      </x:c>
      <x:c r="L10" s="17" t="str">
        <x:v>Fall 2027</x:v>
      </x:c>
      <x:c r="M10" s="17" t="str">
        <x:v>high</x:v>
      </x:c>
      <x:c r="N10" s="17" t="str">
        <x:v>official page checked</x:v>
      </x:c>
      <x:c r="O10" s="17" t="str"/>
      <x:c r="P10" s="18" t="e">
        <x:f>HYPERLINK("https://www.sfu.ca/content/sfu/fas/study/future-graduates/apply/computing-science.html","Open source")</x:f>
        <x:v>HYPERLINK is not implemented. linkLocation=https://www.sfu.ca/content/sfu/fas/study/future-graduates/apply/computing-science.html, friendlyName=Open source</x:v>
      </x:c>
    </x:row>
    <x:row r="11" ht="46" customHeight="1">
      <x:c r="A11" s="17" t="str">
        <x:v>stage3src:9cd77e48e5eb5b6fb823</x:v>
      </x:c>
      <x:c r="B11" s="17" t="str">
        <x:v>program</x:v>
      </x:c>
      <x:c r="C11" s="17" t="str">
        <x:v>Simon Fraser University</x:v>
      </x:c>
      <x:c r="D11" s="17" t="str">
        <x:v>ca:dli:O18781994282:program:thesis-or-research-master-s:computing-science-master-of-science-thesis</x:v>
      </x:c>
      <x:c r="E11" s="17" t="str"/>
      <x:c r="F11" s="17" t="str">
        <x:v>fees|funding</x:v>
      </x:c>
      <x:c r="G11" s="17" t="str">
        <x:v>Fall 2026 graduate tuition and ancillary fee schedule, including international medical charges.</x:v>
      </x:c>
      <x:c r="H11" s="17" t="str">
        <x:v>Graduate Tuition Fees — Fall 2026 Calendar</x:v>
      </x:c>
      <x:c r="I11" s="17" t="str">
        <x:v>Simon Fraser University</x:v>
      </x:c>
      <x:c r="J11" s="17" t="str">
        <x:v>official</x:v>
      </x:c>
      <x:c r="K11" s="17" t="str">
        <x:v>2026-09-10</x:v>
      </x:c>
      <x:c r="L11" s="17" t="str">
        <x:v>Fall 2026 latest published fee schedule</x:v>
      </x:c>
      <x:c r="M11" s="17" t="str">
        <x:v>high</x:v>
      </x:c>
      <x:c r="N11" s="17" t="str">
        <x:v>official page checked</x:v>
      </x:c>
      <x:c r="O11" s="17" t="str"/>
      <x:c r="P11" s="18" t="e">
        <x:f>HYPERLINK("https://www.sfu.ca/students/calendar/2026/fall/fees-and-regulations/tuition-fees/graduate/","Open source")</x:f>
        <x:v>HYPERLINK is not implemented. linkLocation=https://www.sfu.ca/students/calendar/2026/fall/fees-and-regulations/tuition-fees/graduate/, friendlyName=Open source</x:v>
      </x:c>
    </x:row>
    <x:row r="12" ht="46" customHeight="1">
      <x:c r="A12" s="17" t="str">
        <x:v>stage3src:cfe7cab3c63e64cf54ec</x:v>
      </x:c>
      <x:c r="B12" s="17" t="str">
        <x:v>program</x:v>
      </x:c>
      <x:c r="C12" s="17" t="str">
        <x:v>Simon Fraser University</x:v>
      </x:c>
      <x:c r="D12" s="17" t="str">
        <x:v>ca:dli:O18781994282:program:thesis-or-research-master-s:computing-science-master-of-science-thesis</x:v>
      </x:c>
      <x:c r="E12" s="17" t="str"/>
      <x:c r="F12" s="17" t="str">
        <x:v>admissions|fees</x:v>
      </x:c>
      <x:c r="G12" s="17" t="str">
        <x:v>Application fee is CAD 160 for applicants with international transcripts and the application is program-specific.</x:v>
      </x:c>
      <x:c r="H12" s="17" t="str">
        <x:v>Applying to Graduate Studies</x:v>
      </x:c>
      <x:c r="I12" s="17" t="str">
        <x:v>Simon Fraser University Faculty of Graduate Studies</x:v>
      </x:c>
      <x:c r="J12" s="17" t="str">
        <x:v>official</x:v>
      </x:c>
      <x:c r="K12" s="17" t="str">
        <x:v>2026-09-10</x:v>
      </x:c>
      <x:c r="L12" s="17" t="str">
        <x:v>Current page checked 2026-09-10</x:v>
      </x:c>
      <x:c r="M12" s="17" t="str">
        <x:v>high</x:v>
      </x:c>
      <x:c r="N12" s="17" t="str">
        <x:v>official page checked</x:v>
      </x:c>
      <x:c r="O12" s="17" t="str"/>
      <x:c r="P12" s="18" t="e">
        <x:f>HYPERLINK("https://www.sfu.ca/gradstudies/apply/applying.html","Open source")</x:f>
        <x:v>HYPERLINK is not implemented. linkLocation=https://www.sfu.ca/gradstudies/apply/applying.html, friendlyName=Open source</x:v>
      </x:c>
    </x:row>
    <x:row r="13" ht="46" customHeight="1">
      <x:c r="A13" s="17" t="str">
        <x:v>stage3src:ec2b24c50c671afeb027</x:v>
      </x:c>
      <x:c r="B13" s="17" t="str">
        <x:v>program</x:v>
      </x:c>
      <x:c r="C13" s="17" t="str">
        <x:v>Simon Fraser University</x:v>
      </x:c>
      <x:c r="D13" s="17" t="str">
        <x:v>ca:dli:O18781994282:program:thesis-or-research-master-s:computing-science-master-of-science-thesis</x:v>
      </x:c>
      <x:c r="E13" s="17" t="str"/>
      <x:c r="F13" s="17" t="str">
        <x:v>funding|fees</x:v>
      </x:c>
      <x:c r="G13" s="17" t="str">
        <x:v>MSc minimum 24,000 CAD annually for two years, with individual commitment terms in the offer letter.</x:v>
      </x:c>
      <x:c r="H13" s="17" t="str">
        <x:v>Financial Support and Scholarships</x:v>
      </x:c>
      <x:c r="I13" s="17" t="str">
        <x:v>Simon Fraser University School of Computing Science</x:v>
      </x:c>
      <x:c r="J13" s="17" t="str">
        <x:v>official</x:v>
      </x:c>
      <x:c r="K13" s="17" t="str">
        <x:v>2026-09-10</x:v>
      </x:c>
      <x:c r="L13" s="17" t="str">
        <x:v>Current page checked 2026-09-10</x:v>
      </x:c>
      <x:c r="M13" s="17" t="str">
        <x:v>high</x:v>
      </x:c>
      <x:c r="N13" s="17" t="str">
        <x:v>official page checked</x:v>
      </x:c>
      <x:c r="O13" s="17" t="str"/>
      <x:c r="P13" s="18" t="e">
        <x:f>HYPERLINK("https://www.sfu.ca/fas/computing/current-students/graduates/financial-support-scholarships.html","Open source")</x:f>
        <x:v>HYPERLINK is not implemented. linkLocation=https://www.sfu.ca/fas/computing/current-students/graduates/financial-support-scholarships.html, friendlyName=Open source</x:v>
      </x:c>
    </x:row>
    <x:row r="14" ht="46" customHeight="1">
      <x:c r="A14" s="17" t="str">
        <x:v>stage3src:40d49d33ecfaa70987cf</x:v>
      </x:c>
      <x:c r="B14" s="17" t="str">
        <x:v>program</x:v>
      </x:c>
      <x:c r="C14" s="17" t="str">
        <x:v>Simon Fraser University</x:v>
      </x:c>
      <x:c r="D14" s="17" t="str">
        <x:v>ca:dli:O18781994282:program:thesis-or-research-master-s:master-of-applied-science-in-engineering-science</x:v>
      </x:c>
      <x:c r="E14" s="17" t="str"/>
      <x:c r="F14" s="17" t="str">
        <x:v>funding|stipend|tuition|fees|health|summer</x:v>
      </x:c>
      <x:c r="G14" s="17" t="str">
        <x:v>School support framework for thesis MASc students through supervisor funding, TA work, awards, and fellowships subject to satisfactory progress.</x:v>
      </x:c>
      <x:c r="H14" s="17" t="str">
        <x:v>Engineering Science Financial Support</x:v>
      </x:c>
      <x:c r="I14" s="17" t="str">
        <x:v>Simon Fraser University</x:v>
      </x:c>
      <x:c r="J14" s="17" t="str">
        <x:v>official</x:v>
      </x:c>
      <x:c r="K14" s="17" t="str">
        <x:v>2026-09-11</x:v>
      </x:c>
      <x:c r="L14" s="17" t="str">
        <x:v>Current funding policy checked 2026-09-11</x:v>
      </x:c>
      <x:c r="M14" s="17" t="str">
        <x:v>high</x:v>
      </x:c>
      <x:c r="N14" s="17" t="str">
        <x:v>official page checked</x:v>
      </x:c>
      <x:c r="O14" s="17" t="str"/>
      <x:c r="P14" s="18" t="e">
        <x:f>HYPERLINK("https://www.sfu.ca/content/sfu/fas/study/current-students/school-of-engineering-science/graduates/financial-support.html","Open source")</x:f>
        <x:v>HYPERLINK is not implemented. linkLocation=https://www.sfu.ca/content/sfu/fas/study/current-students/school-of-engineering-science/graduates/financial-support.html, friendlyName=Open source</x:v>
      </x:c>
    </x:row>
    <x:row r="15" ht="46" customHeight="1">
      <x:c r="A15" s="17" t="str">
        <x:v>stage3src:560ed447ace3f3f4a8d1</x:v>
      </x:c>
      <x:c r="B15" s="17" t="str">
        <x:v>program</x:v>
      </x:c>
      <x:c r="C15" s="17" t="str">
        <x:v>Simon Fraser University</x:v>
      </x:c>
      <x:c r="D15" s="17" t="str">
        <x:v>ca:dli:O18781994282:program:thesis-or-research-master-s:master-of-applied-science-in-engineering-science</x:v>
      </x:c>
      <x:c r="E15" s="17" t="str"/>
      <x:c r="F15" s="17" t="str">
        <x:v>program|research|admissions|eligibility|language|funding|tuition</x:v>
      </x:c>
      <x:c r="G15" s="17" t="str">
        <x:v>Current two-year thesis MASc, related bachelor's route, supervisor-first admission, and two-year research-funding statement.</x:v>
      </x:c>
      <x:c r="H15" s="17" t="str">
        <x:v>Master of Applied Science in Engineering Science</x:v>
      </x:c>
      <x:c r="I15" s="17" t="str">
        <x:v>Simon Fraser University</x:v>
      </x:c>
      <x:c r="J15" s="17" t="str">
        <x:v>official</x:v>
      </x:c>
      <x:c r="K15" s="17" t="str">
        <x:v>2026-09-11</x:v>
      </x:c>
      <x:c r="L15" s="17" t="str">
        <x:v>Current page checked 2026-09-11</x:v>
      </x:c>
      <x:c r="M15" s="17" t="str">
        <x:v>high</x:v>
      </x:c>
      <x:c r="N15" s="17" t="str">
        <x:v>official page checked</x:v>
      </x:c>
      <x:c r="O15" s="17" t="str"/>
      <x:c r="P15" s="18" t="e">
        <x:f>HYPERLINK("https://www.sfu.ca/fas/study/future-graduates/programs/master-applied-science.html","Open source")</x:f>
        <x:v>HYPERLINK is not implemented. linkLocation=https://www.sfu.ca/fas/study/future-graduates/programs/master-applied-science.html, friendlyName=Open source</x:v>
      </x:c>
    </x:row>
    <x:row r="16" ht="46" customHeight="1">
      <x:c r="A16" s="17" t="str">
        <x:v>stage3src:0d939edeb211491d624c</x:v>
      </x:c>
      <x:c r="B16" s="17" t="str">
        <x:v>program</x:v>
      </x:c>
      <x:c r="C16" s="17" t="str">
        <x:v>University of Calgary</x:v>
      </x:c>
      <x:c r="D16" s="17" t="str">
        <x:v>ca:dli:O18886830282:program:direct-entry-phd:phd-in-computer-science-without-completed-msc</x:v>
      </x:c>
      <x:c r="E16" s="17" t="str"/>
      <x:c r="F16" s="17" t="str">
        <x:v>funding|fees|deadline|eligibility|admissions|program</x:v>
      </x:c>
      <x:c r="G16" s="17" t="str">
        <x:v>International Fall early/final deadlines are Jan 15/Mar 1; fee $145; minimum $24,000 guaranteed 4 years PhD/2 MSc plus differential-fee award; supervisor agreement required.</x:v>
      </x:c>
      <x:c r="H16" s="17" t="str">
        <x:v>Admission Requirements</x:v>
      </x:c>
      <x:c r="I16" s="17" t="str">
        <x:v>University of Calgary Computer Science</x:v>
      </x:c>
      <x:c r="J16" s="17" t="str">
        <x:v>official</x:v>
      </x:c>
      <x:c r="K16" s="17" t="str">
        <x:v>2026-09-09</x:v>
      </x:c>
      <x:c r="L16" s="17" t="str">
        <x:v>current recurring</x:v>
      </x:c>
      <x:c r="M16" s="17" t="str">
        <x:v>high</x:v>
      </x:c>
      <x:c r="N16" s="17" t="str">
        <x:v>opened; cycle limits recorded</x:v>
      </x:c>
      <x:c r="O16" s="17" t="str">
        <x:v>No search snippet used as final evidence; URL/page content reviewed.</x:v>
      </x:c>
      <x:c r="P16" s="18" t="e">
        <x:f>HYPERLINK("https://science.ucalgary.ca/computer-science/future-students/graduate/admission-requirements","Open source")</x:f>
        <x:v>HYPERLINK is not implemented. linkLocation=https://science.ucalgary.ca/computer-science/future-students/graduate/admission-requirements, friendlyName=Open source</x:v>
      </x:c>
    </x:row>
    <x:row r="17" ht="46" customHeight="1">
      <x:c r="A17" s="17" t="str">
        <x:v>stage3src:fee57cfe370b383a504f</x:v>
      </x:c>
      <x:c r="B17" s="17" t="str">
        <x:v>program</x:v>
      </x:c>
      <x:c r="C17" s="17" t="str">
        <x:v>University of Calgary</x:v>
      </x:c>
      <x:c r="D17" s="17" t="str">
        <x:v>ca:dli:O18886830282:program:direct-entry-phd:phd-in-computer-science-without-completed-msc</x:v>
      </x:c>
      <x:c r="E17" s="17" t="str"/>
      <x:c r="F17" s="17" t="str">
        <x:v>program</x:v>
      </x:c>
      <x:c r="G17" s="17" t="str">
        <x:v>PhD has a without-completed-MSc route with expected completion time of five years.</x:v>
      </x:c>
      <x:c r="H17" s="17" t="str">
        <x:v>Doctoral thesis-based</x:v>
      </x:c>
      <x:c r="I17" s="17" t="str">
        <x:v>University of Calgary Computer Science</x:v>
      </x:c>
      <x:c r="J17" s="17" t="str">
        <x:v>official</x:v>
      </x:c>
      <x:c r="K17" s="17" t="str">
        <x:v>2026-09-09</x:v>
      </x:c>
      <x:c r="L17" s="17" t="str">
        <x:v>current</x:v>
      </x:c>
      <x:c r="M17" s="17" t="str">
        <x:v>high</x:v>
      </x:c>
      <x:c r="N17" s="17" t="str">
        <x:v>opened/current</x:v>
      </x:c>
      <x:c r="O17" s="17" t="str">
        <x:v>No search snippet used as final evidence; URL/page content reviewed.</x:v>
      </x:c>
      <x:c r="P17" s="18" t="e">
        <x:f>HYPERLINK("https://science.ucalgary.ca/computer-science/future-students/graduate/thesis-programs/doctoral-thesis-based","Open source")</x:f>
        <x:v>HYPERLINK is not implemented. linkLocation=https://science.ucalgary.ca/computer-science/future-students/graduate/thesis-programs/doctoral-thesis-based, friendlyName=Open source</x:v>
      </x:c>
    </x:row>
    <x:row r="18" ht="46" customHeight="1">
      <x:c r="A18" s="17" t="str">
        <x:v>stage3src:1d23d631f72ab6305c20</x:v>
      </x:c>
      <x:c r="B18" s="17" t="str">
        <x:v>program</x:v>
      </x:c>
      <x:c r="C18" s="17" t="str">
        <x:v>University of Calgary</x:v>
      </x:c>
      <x:c r="D18" s="17" t="str">
        <x:v>ca:dli:O18886830282:program:thesis-or-research-master-s:msc-in-computer-science-thesis</x:v>
      </x:c>
      <x:c r="E18" s="17" t="str"/>
      <x:c r="F18" s="17" t="str">
        <x:v>funding|fees|deadline|eligibility|admissions|program</x:v>
      </x:c>
      <x:c r="G18" s="17" t="str">
        <x:v>International Fall early/final deadlines are Jan 15/Mar 1; fee $145; minimum $24,000 guaranteed 4 years PhD/2 MSc plus differential-fee award; supervisor agreement required.</x:v>
      </x:c>
      <x:c r="H18" s="17" t="str">
        <x:v>Admission Requirements</x:v>
      </x:c>
      <x:c r="I18" s="17" t="str">
        <x:v>University of Calgary Computer Science</x:v>
      </x:c>
      <x:c r="J18" s="17" t="str">
        <x:v>official</x:v>
      </x:c>
      <x:c r="K18" s="17" t="str">
        <x:v>2026-09-09</x:v>
      </x:c>
      <x:c r="L18" s="17" t="str">
        <x:v>current recurring</x:v>
      </x:c>
      <x:c r="M18" s="17" t="str">
        <x:v>high</x:v>
      </x:c>
      <x:c r="N18" s="17" t="str">
        <x:v>opened; cycle limits recorded</x:v>
      </x:c>
      <x:c r="O18" s="17" t="str">
        <x:v>No search snippet used as final evidence; URL/page content reviewed.</x:v>
      </x:c>
      <x:c r="P18" s="18" t="e">
        <x:f>HYPERLINK("https://science.ucalgary.ca/computer-science/future-students/graduate/admission-requirements","Open source")</x:f>
        <x:v>HYPERLINK is not implemented. linkLocation=https://science.ucalgary.ca/computer-science/future-students/graduate/admission-requirements, friendlyName=Open source</x:v>
      </x:c>
    </x:row>
    <x:row r="19" ht="46" customHeight="1">
      <x:c r="A19" s="17" t="str">
        <x:v>stage3src:ff34e2dc614053b907fe</x:v>
      </x:c>
      <x:c r="B19" s="17" t="str">
        <x:v>program</x:v>
      </x:c>
      <x:c r="C19" s="17" t="str">
        <x:v>University of Calgary</x:v>
      </x:c>
      <x:c r="D19" s="17" t="str">
        <x:v>ca:dli:O18886830282:program:thesis-or-research-master-s:msc-in-computer-science-thesis</x:v>
      </x:c>
      <x:c r="E19" s="17" t="str"/>
      <x:c r="F19" s="17" t="str">
        <x:v>program</x:v>
      </x:c>
      <x:c r="G19" s="17" t="str">
        <x:v>MSc is a two-year thesis program with coursework, seminar and public defence.</x:v>
      </x:c>
      <x:c r="H19" s="17" t="str">
        <x:v>Master's thesis-based</x:v>
      </x:c>
      <x:c r="I19" s="17" t="str">
        <x:v>University of Calgary Computer Science</x:v>
      </x:c>
      <x:c r="J19" s="17" t="str">
        <x:v>official</x:v>
      </x:c>
      <x:c r="K19" s="17" t="str">
        <x:v>2026-09-09</x:v>
      </x:c>
      <x:c r="L19" s="17" t="str">
        <x:v>current</x:v>
      </x:c>
      <x:c r="M19" s="17" t="str">
        <x:v>high</x:v>
      </x:c>
      <x:c r="N19" s="17" t="str">
        <x:v>opened/current</x:v>
      </x:c>
      <x:c r="O19" s="17" t="str">
        <x:v>No search snippet used as final evidence; URL/page content reviewed.</x:v>
      </x:c>
      <x:c r="P19" s="18" t="e">
        <x:f>HYPERLINK("https://science.ucalgary.ca/computer-science/future-students/graduate/thesis-programs/masters-thesis-based","Open source")</x:f>
        <x:v>HYPERLINK is not implemented. linkLocation=https://science.ucalgary.ca/computer-science/future-students/graduate/thesis-programs/masters-thesis-based, friendlyName=Open source</x:v>
      </x:c>
    </x:row>
    <x:row r="20" ht="46" customHeight="1">
      <x:c r="A20" s="17" t="str">
        <x:v>stage3src:a7c707415b241cf5feca</x:v>
      </x:c>
      <x:c r="B20" s="17" t="str">
        <x:v>program</x:v>
      </x:c>
      <x:c r="C20" s="17" t="str">
        <x:v>University of Calgary</x:v>
      </x:c>
      <x:c r="D20" s="17" t="str">
        <x:v>ca:dli:O18886830282:program:thesis-or-research-master-s:msc-thesis-based-in-computer-science-software-engineering-specialization</x:v>
      </x:c>
      <x:c r="E20" s="17" t="str"/>
      <x:c r="F20" s="17" t="str">
        <x:v>program|admissions|eligibility|language</x:v>
      </x:c>
      <x:c r="G20" s="17" t="str">
        <x:v>Exact thesis Software Engineering specialization, 3.0 GPA, four-year CS degree, and mandatory three years of relevant industry experience after the bachelor's degree.</x:v>
      </x:c>
      <x:c r="H20" s="17" t="str">
        <x:v>Computer Science MSc — Software Engineering Specialization Admissions</x:v>
      </x:c>
      <x:c r="I20" s="17" t="str">
        <x:v>University of Calgary Academic Calendar</x:v>
      </x:c>
      <x:c r="J20" s="17" t="str">
        <x:v>official</x:v>
      </x:c>
      <x:c r="K20" s="17" t="str">
        <x:v>2026-09-11</x:v>
      </x:c>
      <x:c r="L20" s="17" t="str">
        <x:v>Current calendar checked 2026-09-11</x:v>
      </x:c>
      <x:c r="M20" s="17" t="str">
        <x:v>high</x:v>
      </x:c>
      <x:c r="N20" s="17" t="str">
        <x:v>official page checked</x:v>
      </x:c>
      <x:c r="O20" s="17" t="str"/>
      <x:c r="P20" s="18" t="e">
        <x:f>HYPERLINK("https://calendar.ucalgary.ca/programs/CPSCSEMSCT/admissions-cMwRI","Open source")</x:f>
        <x:v>HYPERLINK is not implemented. linkLocation=https://calendar.ucalgary.ca/programs/CPSCSEMSCT/admissions-cMwRI, friendlyName=Open source</x:v>
      </x:c>
    </x:row>
    <x:row r="21" ht="46" customHeight="1">
      <x:c r="A21" s="17" t="str">
        <x:v>stage3src:dea07178ae7a3ae596f8</x:v>
      </x:c>
      <x:c r="B21" s="17" t="str">
        <x:v>program</x:v>
      </x:c>
      <x:c r="C21" s="17" t="str">
        <x:v>University of Calgary</x:v>
      </x:c>
      <x:c r="D21" s="17" t="str">
        <x:v>ca:dli:O18886830282:program:thesis-or-research-master-s:msc-thesis-based-in-computer-science-software-engineering-specialization</x:v>
      </x:c>
      <x:c r="E21" s="17" t="str"/>
      <x:c r="F21" s="17" t="str">
        <x:v>admissions|deadline|fees|funding</x:v>
      </x:c>
      <x:c r="G21" s="17" t="str">
        <x:v>CAD 145 fee, international July deadlines, supervisor review, CAD 24,000 annual two-year guarantee, and international differential-fee award.</x:v>
      </x:c>
      <x:c r="H21" s="17" t="str">
        <x:v>Graduate Admission Requirements</x:v>
      </x:c>
      <x:c r="I21" s="17" t="str">
        <x:v>University of Calgary Department of Computer Science</x:v>
      </x:c>
      <x:c r="J21" s="17" t="str">
        <x:v>official</x:v>
      </x:c>
      <x:c r="K21" s="17" t="str">
        <x:v>2026-09-11</x:v>
      </x:c>
      <x:c r="L21" s="17" t="str">
        <x:v>Current page checked 2026-09-11</x:v>
      </x:c>
      <x:c r="M21" s="17" t="str">
        <x:v>high</x:v>
      </x:c>
      <x:c r="N21" s="17" t="str">
        <x:v>official page checked</x:v>
      </x:c>
      <x:c r="O21" s="17" t="str"/>
      <x:c r="P21" s="18" t="e">
        <x:f>HYPERLINK("https://science.ucalgary.ca/computer-science/future-students/graduate/admission-requirements","Open source")</x:f>
        <x:v>HYPERLINK is not implemented. linkLocation=https://science.ucalgary.ca/computer-science/future-students/graduate/admission-requirements, friendlyName=Open source</x:v>
      </x:c>
    </x:row>
    <x:row r="22" ht="46" customHeight="1">
      <x:c r="A22" s="17" t="str">
        <x:v>stage3src:782a3a1eba10f5352357</x:v>
      </x:c>
      <x:c r="B22" s="17" t="str">
        <x:v>program</x:v>
      </x:c>
      <x:c r="C22" s="17" t="str">
        <x:v>Saint Mary’s University</x:v>
      </x:c>
      <x:c r="D22" s="17" t="str">
        <x:v>ca:dli:O19021279692:program:thesis-or-research-master-s:msc-in-applied-science-computing-science-research-field</x:v>
      </x:c>
      <x:c r="E22" s="17" t="str"/>
      <x:c r="F22" s="17" t="str">
        <x:v>program|research|admissions|eligibility|language</x:v>
      </x:c>
      <x:c r="G22" s="17" t="str">
        <x:v>Current two-year thesis-based MSc in Applied Science, Computing Science research field, and mandatory supervisor-first admission model.</x:v>
      </x:c>
      <x:c r="H22" s="17" t="str">
        <x:v>Info for Future Students</x:v>
      </x:c>
      <x:c r="I22" s="17" t="str">
        <x:v>Saint Mary’s University</x:v>
      </x:c>
      <x:c r="J22" s="17" t="str">
        <x:v>official</x:v>
      </x:c>
      <x:c r="K22" s="17" t="str">
        <x:v>2026-09-11</x:v>
      </x:c>
      <x:c r="L22" s="17" t="str">
        <x:v>Current page checked 2026-09-11; Fall 2027 deadline unresolved</x:v>
      </x:c>
      <x:c r="M22" s="17" t="str">
        <x:v>high</x:v>
      </x:c>
      <x:c r="N22" s="17" t="str">
        <x:v>official page checked</x:v>
      </x:c>
      <x:c r="O22" s="17" t="str"/>
      <x:c r="P22" s="18" t="e">
        <x:f>HYPERLINK("https://www.smu.ca/faculty-of-science/master-in-applied-science-future-students.html","Open source")</x:f>
        <x:v>HYPERLINK is not implemented. linkLocation=https://www.smu.ca/faculty-of-science/master-in-applied-science-future-students.html, friendlyName=Open source</x:v>
      </x:c>
    </x:row>
    <x:row r="23" ht="46" customHeight="1">
      <x:c r="A23" s="17" t="str">
        <x:v>stage3src:d3401a948cc812bc0781</x:v>
      </x:c>
      <x:c r="B23" s="17" t="str">
        <x:v>program</x:v>
      </x:c>
      <x:c r="C23" s="17" t="str">
        <x:v>Saint Mary’s University</x:v>
      </x:c>
      <x:c r="D23" s="17" t="str">
        <x:v>ca:dli:O19021279692:program:thesis-or-research-master-s:msc-in-applied-science-computing-science-research-field</x:v>
      </x:c>
      <x:c r="E23" s="17" t="str"/>
      <x:c r="F23" s="17" t="str">
        <x:v>program|research|funding|tuition|fees</x:v>
      </x:c>
      <x:c r="G23" s="17" t="str">
        <x:v>Thesis program structure and typical full-time MSc funding range from graduate-school, supervisor, and TA components.</x:v>
      </x:c>
      <x:c r="H23" s="17" t="str">
        <x:v>MSc in Applied Science Program Guide</x:v>
      </x:c>
      <x:c r="I23" s="17" t="str">
        <x:v>Saint Mary’s University</x:v>
      </x:c>
      <x:c r="J23" s="17" t="str">
        <x:v>official</x:v>
      </x:c>
      <x:c r="K23" s="17" t="str">
        <x:v>2026-09-11</x:v>
      </x:c>
      <x:c r="L23" s="17" t="str">
        <x:v>September 2024 guide checked 2026-09-11</x:v>
      </x:c>
      <x:c r="M23" s="17" t="str">
        <x:v>high</x:v>
      </x:c>
      <x:c r="N23" s="17" t="str">
        <x:v>official page checked</x:v>
      </x:c>
      <x:c r="O23" s="17" t="str"/>
      <x:c r="P23" s="18" t="e">
        <x:f>HYPERLINK("https://www.smu.ca/webfiles/MSc_APSC_ProgramGuide_20240909.pdf","Open source")</x:f>
        <x:v>HYPERLINK is not implemented. linkLocation=https://www.smu.ca/webfiles/MSc_APSC_ProgramGuide_20240909.pdf, friendlyName=Open source</x:v>
      </x:c>
    </x:row>
    <x:row r="24" ht="46" customHeight="1">
      <x:c r="A24" s="17" t="str">
        <x:v>stage3src:23851aed6ed8882bb1b5</x:v>
      </x:c>
      <x:c r="B24" s="17" t="str">
        <x:v>program</x:v>
      </x:c>
      <x:c r="C24" s="17" t="str">
        <x:v>University of Manitoba</x:v>
      </x:c>
      <x:c r="D24" s="17" t="str">
        <x:v>ca:dli:O19091528512:program:phd:phd-in-computer-science</x:v>
      </x:c>
      <x:c r="E24" s="17" t="str"/>
      <x:c r="F24" s="17" t="str">
        <x:v>program|admissions|eligibility|language|deadline</x:v>
      </x:c>
      <x:c r="G24" s="17" t="str">
        <x:v>Current Computer Science PhD, normal master's entry, GPA, international deadline, supervisor requirement, thesis, and duration.</x:v>
      </x:c>
      <x:c r="H24" s="17" t="str">
        <x:v>Computer Science PhD</x:v>
      </x:c>
      <x:c r="I24" s="17" t="str">
        <x:v>University of Manitoba Faculty of Graduate Studies</x:v>
      </x:c>
      <x:c r="J24" s="17" t="str">
        <x:v>official</x:v>
      </x:c>
      <x:c r="K24" s="17" t="str">
        <x:v>2026-09-10</x:v>
      </x:c>
      <x:c r="L24" s="17" t="str">
        <x:v>Current page checked 2026-09-10</x:v>
      </x:c>
      <x:c r="M24" s="17" t="str">
        <x:v>high</x:v>
      </x:c>
      <x:c r="N24" s="17" t="str">
        <x:v>official page checked</x:v>
      </x:c>
      <x:c r="O24" s="17" t="str"/>
      <x:c r="P24" s="18" t="e">
        <x:f>HYPERLINK("https://umanitoba.ca/graduate-studies/admissions/programs-of-study/computer-science-phd","Open source")</x:f>
        <x:v>HYPERLINK is not implemented. linkLocation=https://umanitoba.ca/graduate-studies/admissions/programs-of-study/computer-science-phd, friendlyName=Open source</x:v>
      </x:c>
    </x:row>
    <x:row r="25" ht="46" customHeight="1">
      <x:c r="A25" s="17" t="str">
        <x:v>stage3src:541308c570fd7ef75690</x:v>
      </x:c>
      <x:c r="B25" s="17" t="str">
        <x:v>program</x:v>
      </x:c>
      <x:c r="C25" s="17" t="str">
        <x:v>University of Manitoba</x:v>
      </x:c>
      <x:c r="D25" s="17" t="str">
        <x:v>ca:dli:O19091528512:program:phd:phd-in-computer-science</x:v>
      </x:c>
      <x:c r="E25" s="17" t="str"/>
      <x:c r="F25" s="17" t="str">
        <x:v>admissions|eligibility</x:v>
      </x:c>
      <x:c r="G25" s="17" t="str">
        <x:v>General doctoral regulations permit exceptional direct admission from an honours bachelor's on departmental recommendation.</x:v>
      </x:c>
      <x:c r="H25" s="17" t="str">
        <x:v>Doctor of Philosophy General Regulations</x:v>
      </x:c>
      <x:c r="I25" s="17" t="str">
        <x:v>University of Manitoba Graduate Academic Calendar</x:v>
      </x:c>
      <x:c r="J25" s="17" t="str">
        <x:v>official</x:v>
      </x:c>
      <x:c r="K25" s="17" t="str">
        <x:v>2026-09-10</x:v>
      </x:c>
      <x:c r="L25" s="17" t="str">
        <x:v>Current regulations checked 2026-09-10</x:v>
      </x:c>
      <x:c r="M25" s="17" t="str">
        <x:v>high</x:v>
      </x:c>
      <x:c r="N25" s="17" t="str">
        <x:v>official page checked</x:v>
      </x:c>
      <x:c r="O25" s="17" t="str"/>
      <x:c r="P25" s="18" t="e">
        <x:f>HYPERLINK("https://catalog.umanitoba.ca/graduate-studies/academic-guide/doctor-philosophy-general-regulations/","Open source")</x:f>
        <x:v>HYPERLINK is not implemented. linkLocation=https://catalog.umanitoba.ca/graduate-studies/academic-guide/doctor-philosophy-general-regulations/, friendlyName=Open source</x:v>
      </x:c>
    </x:row>
    <x:row r="26" ht="46" customHeight="1">
      <x:c r="A26" s="17" t="str">
        <x:v>stage3src:bc67bb93b70213f97e30</x:v>
      </x:c>
      <x:c r="B26" s="17" t="str">
        <x:v>program</x:v>
      </x:c>
      <x:c r="C26" s="17" t="str">
        <x:v>University of Manitoba</x:v>
      </x:c>
      <x:c r="D26" s="17" t="str">
        <x:v>ca:dli:O19091528512:program:phd:phd-in-computer-science</x:v>
      </x:c>
      <x:c r="E26" s="17" t="str"/>
      <x:c r="F26" s="17" t="str">
        <x:v>admissions|eligibility</x:v>
      </x:c>
      <x:c r="G26" s="17" t="str">
        <x:v>A confirmed supervisor endorsement is required and unsupported applications are not considered.</x:v>
      </x:c>
      <x:c r="H26" s="17" t="str">
        <x:v>Computer Science Graduate Programs Application Information</x:v>
      </x:c>
      <x:c r="I26" s="17" t="str">
        <x:v>University of Manitoba Faculty of Science</x:v>
      </x:c>
      <x:c r="J26" s="17" t="str">
        <x:v>official</x:v>
      </x:c>
      <x:c r="K26" s="17" t="str">
        <x:v>2026-09-10</x:v>
      </x:c>
      <x:c r="L26" s="17" t="str">
        <x:v>Current page checked 2026-09-10</x:v>
      </x:c>
      <x:c r="M26" s="17" t="str">
        <x:v>high</x:v>
      </x:c>
      <x:c r="N26" s="17" t="str">
        <x:v>official page checked</x:v>
      </x:c>
      <x:c r="O26" s="17" t="str"/>
      <x:c r="P26" s="18" t="e">
        <x:f>HYPERLINK("https://umanitoba.ca/science/computer-science/graduate-programs-application-info","Open source")</x:f>
        <x:v>HYPERLINK is not implemented. linkLocation=https://umanitoba.ca/science/computer-science/graduate-programs-application-info, friendlyName=Open source</x:v>
      </x:c>
    </x:row>
    <x:row r="27" ht="46" customHeight="1">
      <x:c r="A27" s="17" t="str">
        <x:v>stage3src:ef78adb70ad3926719c1</x:v>
      </x:c>
      <x:c r="B27" s="17" t="str">
        <x:v>program</x:v>
      </x:c>
      <x:c r="C27" s="17" t="str">
        <x:v>University of Manitoba</x:v>
      </x:c>
      <x:c r="D27" s="17" t="str">
        <x:v>ca:dli:O19091528512:program:phd:phd-in-computer-science</x:v>
      </x:c>
      <x:c r="E27" s="17" t="str"/>
      <x:c r="F27" s="17" t="str">
        <x:v>funding|fees</x:v>
      </x:c>
      <x:c r="G27" s="17" t="str">
        <x:v>Minimum CAD 23,000 annual PhD funding for four years subject to satisfactory progress and international fellowship consideration.</x:v>
      </x:c>
      <x:c r="H27" s="17" t="str">
        <x:v>Computer Science Financial Aid and Awards</x:v>
      </x:c>
      <x:c r="I27" s="17" t="str">
        <x:v>University of Manitoba Faculty of Science</x:v>
      </x:c>
      <x:c r="J27" s="17" t="str">
        <x:v>official</x:v>
      </x:c>
      <x:c r="K27" s="17" t="str">
        <x:v>2026-09-10</x:v>
      </x:c>
      <x:c r="L27" s="17" t="str">
        <x:v>Current page checked 2026-09-10</x:v>
      </x:c>
      <x:c r="M27" s="17" t="str">
        <x:v>high</x:v>
      </x:c>
      <x:c r="N27" s="17" t="str">
        <x:v>official page checked</x:v>
      </x:c>
      <x:c r="O27" s="17" t="str"/>
      <x:c r="P27" s="18" t="e">
        <x:f>HYPERLINK("https://umanitoba.ca/science/student-experience/financial-aid-awards/computer-science","Open source")</x:f>
        <x:v>HYPERLINK is not implemented. linkLocation=https://umanitoba.ca/science/student-experience/financial-aid-awards/computer-science, friendlyName=Open source</x:v>
      </x:c>
    </x:row>
    <x:row r="28" ht="46" customHeight="1">
      <x:c r="A28" s="17" t="str">
        <x:v>stage3src:ea86eb5cbf0aec17a8d4</x:v>
      </x:c>
      <x:c r="B28" s="17" t="str">
        <x:v>program</x:v>
      </x:c>
      <x:c r="C28" s="17" t="str">
        <x:v>University of Manitoba</x:v>
      </x:c>
      <x:c r="D28" s="17" t="str">
        <x:v>ca:dli:O19091528512:program:thesis-or-research-master-s:msc-in-computer-science</x:v>
      </x:c>
      <x:c r="E28" s="17" t="str"/>
      <x:c r="F28" s="17" t="str">
        <x:v>program</x:v>
      </x:c>
      <x:c r="G28" s="17" t="str">
        <x:v>The official page identifies MSc in Computer Science and contains research/thesis evidence.</x:v>
      </x:c>
      <x:c r="H28" s="17" t="str">
        <x:v>Computer Science (MSc) | Faculty of Graduate and Postdoctoral Studies | University of Manitoba</x:v>
      </x:c>
      <x:c r="I28" s="17" t="str">
        <x:v>University of Manitoba</x:v>
      </x:c>
      <x:c r="J28" s="17" t="str">
        <x:v>official</x:v>
      </x:c>
      <x:c r="K28" s="17" t="str">
        <x:v>2026-09-09</x:v>
      </x:c>
      <x:c r="L28" s="17" t="str">
        <x:v>Current page; Fall 2027 dates not assumed</x:v>
      </x:c>
      <x:c r="M28" s="17" t="str">
        <x:v>High for program existence and research structure</x:v>
      </x:c>
      <x:c r="N28" s="17" t="str">
        <x:v>opened</x:v>
      </x:c>
      <x:c r="O28" s="17" t="str">
        <x:v>HTTP 200; page SHA-256 in evidence file</x:v>
      </x:c>
      <x:c r="P28" s="18" t="e">
        <x:f>HYPERLINK("https://umanitoba.ca/graduate-studies/admissions/programs-of-study/computer-science-msc","Open source")</x:f>
        <x:v>HYPERLINK is not implemented. linkLocation=https://umanitoba.ca/graduate-studies/admissions/programs-of-study/computer-science-msc, friendlyName=Open source</x:v>
      </x:c>
    </x:row>
    <x:row r="29" ht="46" customHeight="1">
      <x:c r="A29" s="17" t="str">
        <x:v>stage3src:36e49599646c61b64199</x:v>
      </x:c>
      <x:c r="B29" s="17" t="str">
        <x:v>program</x:v>
      </x:c>
      <x:c r="C29" s="17" t="str">
        <x:v>University of Winnipeg</x:v>
      </x:c>
      <x:c r="D29" s="17" t="str">
        <x:v>ca:dli:O19147986012:program:thesis-or-research-master-s:msc-in-applied-computer-science-and-society-thesis-based</x:v>
      </x:c>
      <x:c r="E29" s="17" t="str"/>
      <x:c r="F29" s="17" t="str">
        <x:v>program|research|eligibility|admissions|language|deadline</x:v>
      </x:c>
      <x:c r="G29" s="17" t="str">
        <x:v>Current thesis MSc, four-year degree and 4.5-scale GPA requirements, supervisor requirement, English route, and deadlines.</x:v>
      </x:c>
      <x:c r="H29" s="17" t="str">
        <x:v>Applied Computer Science and Society MSc</x:v>
      </x:c>
      <x:c r="I29" s="17" t="str">
        <x:v>University of Winnipeg</x:v>
      </x:c>
      <x:c r="J29" s="17" t="str">
        <x:v>official</x:v>
      </x:c>
      <x:c r="K29" s="17" t="str">
        <x:v>2026-09-11</x:v>
      </x:c>
      <x:c r="L29" s="17" t="str">
        <x:v>Page updated 2025-08-25 and checked 2026-09-11</x:v>
      </x:c>
      <x:c r="M29" s="17" t="str">
        <x:v>high</x:v>
      </x:c>
      <x:c r="N29" s="17" t="str">
        <x:v>official page checked</x:v>
      </x:c>
      <x:c r="O29" s="17" t="str"/>
      <x:c r="P29" s="18" t="e">
        <x:f>HYPERLINK("https://www.uwinnipeg.ca/programs/msc-acs.html","Open source")</x:f>
        <x:v>HYPERLINK is not implemented. linkLocation=https://www.uwinnipeg.ca/programs/msc-acs.html, friendlyName=Open source</x:v>
      </x:c>
    </x:row>
    <x:row r="30" ht="46" customHeight="1">
      <x:c r="A30" s="17" t="str">
        <x:v>stage3src:3b520e3c2b271d166624</x:v>
      </x:c>
      <x:c r="B30" s="17" t="str">
        <x:v>program</x:v>
      </x:c>
      <x:c r="C30" s="17" t="str">
        <x:v>University of Winnipeg</x:v>
      </x:c>
      <x:c r="D30" s="17" t="str">
        <x:v>ca:dli:O19147986012:program:thesis-or-research-master-s:msc-in-applied-computer-science-and-society-thesis-based</x:v>
      </x:c>
      <x:c r="E30" s="17" t="str"/>
      <x:c r="F30" s="17" t="str">
        <x:v>fees|admissions</x:v>
      </x:c>
      <x:c r="G30" s="17" t="str">
        <x:v>CAD 120 international graduate application fee and limited internal waiver boundary.</x:v>
      </x:c>
      <x:c r="H30" s="17" t="str">
        <x:v>Graduate Program Application Fee</x:v>
      </x:c>
      <x:c r="I30" s="17" t="str">
        <x:v>University of Winnipeg</x:v>
      </x:c>
      <x:c r="J30" s="17" t="str">
        <x:v>official</x:v>
      </x:c>
      <x:c r="K30" s="17" t="str">
        <x:v>2026-09-11</x:v>
      </x:c>
      <x:c r="L30" s="17" t="str">
        <x:v>Current fee checked 2026-09-11</x:v>
      </x:c>
      <x:c r="M30" s="17" t="str">
        <x:v>high</x:v>
      </x:c>
      <x:c r="N30" s="17" t="str">
        <x:v>official page checked</x:v>
      </x:c>
      <x:c r="O30" s="17" t="str"/>
      <x:c r="P30" s="18" t="e">
        <x:f>HYPERLINK("https://www.uwinnipeg.ca/graduate-studies/fees/application-fee.html","Open source")</x:f>
        <x:v>HYPERLINK is not implemented. linkLocation=https://www.uwinnipeg.ca/graduate-studies/fees/application-fee.html, friendlyName=Open source</x:v>
      </x:c>
    </x:row>
    <x:row r="31" ht="46" customHeight="1">
      <x:c r="A31" s="17" t="str">
        <x:v>stage3src:ee9ef85291a3445c6688</x:v>
      </x:c>
      <x:c r="B31" s="17" t="str">
        <x:v>program</x:v>
      </x:c>
      <x:c r="C31" s="17" t="str">
        <x:v>University of Winnipeg</x:v>
      </x:c>
      <x:c r="D31" s="17" t="str">
        <x:v>ca:dli:O19147986012:program:thesis-or-research-master-s:msc-in-applied-computer-science-and-society-thesis-based</x:v>
      </x:c>
      <x:c r="E31" s="17" t="str"/>
      <x:c r="F31" s="17" t="str">
        <x:v>funding|scholarship</x:v>
      </x:c>
      <x:c r="G31" s="17" t="str">
        <x:v>Competitive scholarship route for incoming full-time domestic and international graduate students.</x:v>
      </x:c>
      <x:c r="H31" s="17" t="str">
        <x:v>President's Distinguished Graduate Student Scholarship</x:v>
      </x:c>
      <x:c r="I31" s="17" t="str">
        <x:v>University of Winnipeg</x:v>
      </x:c>
      <x:c r="J31" s="17" t="str">
        <x:v>official</x:v>
      </x:c>
      <x:c r="K31" s="17" t="str">
        <x:v>2026-09-11</x:v>
      </x:c>
      <x:c r="L31" s="17" t="str">
        <x:v>Current award page checked 2026-09-11</x:v>
      </x:c>
      <x:c r="M31" s="17" t="str">
        <x:v>high</x:v>
      </x:c>
      <x:c r="N31" s="17" t="str">
        <x:v>official page browser-reviewed; automated retrieval exception</x:v>
      </x:c>
      <x:c r="O31" s="17" t="str"/>
      <x:c r="P31" s="18" t="e">
        <x:f>HYPERLINK("https://www.uwinnipeg.ca/graduate-studies/funding/presidents-distinguished-gss.html","Open source")</x:f>
        <x:v>HYPERLINK is not implemented. linkLocation=https://www.uwinnipeg.ca/graduate-studies/funding/presidents-distinguished-gss.html, friendlyName=Open source</x:v>
      </x:c>
    </x:row>
    <x:row r="32" ht="46" customHeight="1">
      <x:c r="A32" s="17" t="str">
        <x:v>stage3src:0304d7f20cbbc419579c</x:v>
      </x:c>
      <x:c r="B32" s="17" t="str">
        <x:v>program</x:v>
      </x:c>
      <x:c r="C32" s="17" t="str">
        <x:v>Dalhousie University</x:v>
      </x:c>
      <x:c r="D32" s="17" t="str">
        <x:v>ca:dli:O19209939282:program:thesis-or-research-master-s:master-of-computer-science</x:v>
      </x:c>
      <x:c r="E32" s="17" t="str"/>
      <x:c r="F32" s="17" t="str">
        <x:v>admissions|eligibility|language|deadline|fees</x:v>
      </x:c>
      <x:c r="G32" s="17" t="str">
        <x:v>Four-year degree, 3.0 minimum, 3.4 faculty-connection caution, CS preparation, deadlines, and CAD 115 fee.</x:v>
      </x:c>
      <x:c r="H32" s="17" t="str">
        <x:v>How to Apply</x:v>
      </x:c>
      <x:c r="I32" s="17" t="str">
        <x:v>Dalhousie Faculty of Computer Science</x:v>
      </x:c>
      <x:c r="J32" s="17" t="str">
        <x:v>official</x:v>
      </x:c>
      <x:c r="K32" s="17" t="str">
        <x:v>2026-09-10</x:v>
      </x:c>
      <x:c r="L32" s="17" t="str">
        <x:v>Current page checked 2026-09-10</x:v>
      </x:c>
      <x:c r="M32" s="17" t="str">
        <x:v>high</x:v>
      </x:c>
      <x:c r="N32" s="17" t="str">
        <x:v>official page checked</x:v>
      </x:c>
      <x:c r="O32" s="17" t="str"/>
      <x:c r="P32" s="18" t="e">
        <x:f>HYPERLINK("https://www.dal.ca/faculty/computerscience/graduate-programs/grad-handbook/how-to-apply.html","Open source")</x:f>
        <x:v>HYPERLINK is not implemented. linkLocation=https://www.dal.ca/faculty/computerscience/graduate-programs/grad-handbook/how-to-apply.html, friendlyName=Open source</x:v>
      </x:c>
    </x:row>
    <x:row r="33" ht="46" customHeight="1">
      <x:c r="A33" s="17" t="str">
        <x:v>stage3src:1eb9e83c5a2b057eaa2e</x:v>
      </x:c>
      <x:c r="B33" s="17" t="str">
        <x:v>program</x:v>
      </x:c>
      <x:c r="C33" s="17" t="str">
        <x:v>Dalhousie University</x:v>
      </x:c>
      <x:c r="D33" s="17" t="str">
        <x:v>ca:dli:O19209939282:program:thesis-or-research-master-s:master-of-computer-science</x:v>
      </x:c>
      <x:c r="E33" s="17" t="str"/>
      <x:c r="F33" s="17" t="str">
        <x:v>program</x:v>
      </x:c>
      <x:c r="G33" s="17" t="str">
        <x:v>Current research-focused Master of Computer Science route.</x:v>
      </x:c>
      <x:c r="H33" s="17" t="str">
        <x:v>Graduate Programs</x:v>
      </x:c>
      <x:c r="I33" s="17" t="str">
        <x:v>Dalhousie Faculty of Computer Science</x:v>
      </x:c>
      <x:c r="J33" s="17" t="str">
        <x:v>official</x:v>
      </x:c>
      <x:c r="K33" s="17" t="str">
        <x:v>2026-09-10</x:v>
      </x:c>
      <x:c r="L33" s="17" t="str">
        <x:v>Current page checked 2026-09-10</x:v>
      </x:c>
      <x:c r="M33" s="17" t="str">
        <x:v>high</x:v>
      </x:c>
      <x:c r="N33" s="17" t="str">
        <x:v>official page checked</x:v>
      </x:c>
      <x:c r="O33" s="17" t="str"/>
      <x:c r="P33" s="18" t="e">
        <x:f>HYPERLINK("https://www.dal.ca/faculty/computerscience/graduate-programs.html","Open source")</x:f>
        <x:v>HYPERLINK is not implemented. linkLocation=https://www.dal.ca/faculty/computerscience/graduate-programs.html, friendlyName=Open source</x:v>
      </x:c>
    </x:row>
    <x:row r="34" ht="46" customHeight="1">
      <x:c r="A34" s="17" t="str">
        <x:v>stage3src:db7f10b3fd850affc3c6</x:v>
      </x:c>
      <x:c r="B34" s="17" t="str">
        <x:v>program</x:v>
      </x:c>
      <x:c r="C34" s="17" t="str">
        <x:v>Dalhousie University</x:v>
      </x:c>
      <x:c r="D34" s="17" t="str">
        <x:v>ca:dli:O19209939282:program:thesis-or-research-master-s:master-of-computer-science</x:v>
      </x:c>
      <x:c r="E34" s="17" t="str"/>
      <x:c r="F34" s="17" t="str">
        <x:v>funding|fees</x:v>
      </x:c>
      <x:c r="G34" s="17" t="str">
        <x:v>Typical MCS support duration of five to six terms and individual-offer control.</x:v>
      </x:c>
      <x:c r="H34" s="17" t="str">
        <x:v>Student Funding</x:v>
      </x:c>
      <x:c r="I34" s="17" t="str">
        <x:v>Dalhousie Faculty of Computer Science</x:v>
      </x:c>
      <x:c r="J34" s="17" t="str">
        <x:v>official</x:v>
      </x:c>
      <x:c r="K34" s="17" t="str">
        <x:v>2026-09-10</x:v>
      </x:c>
      <x:c r="L34" s="17" t="str">
        <x:v>Current page checked 2026-09-10</x:v>
      </x:c>
      <x:c r="M34" s="17" t="str">
        <x:v>high</x:v>
      </x:c>
      <x:c r="N34" s="17" t="str">
        <x:v>official page checked</x:v>
      </x:c>
      <x:c r="O34" s="17" t="str"/>
      <x:c r="P34" s="18" t="e">
        <x:f>HYPERLINK("https://www.dal.ca/faculty/computerscience/graduate-programs/grad-handbook/student-funding.html","Open source")</x:f>
        <x:v>HYPERLINK is not implemented. linkLocation=https://www.dal.ca/faculty/computerscience/graduate-programs/grad-handbook/student-funding.html, friendlyName=Open source</x:v>
      </x:c>
    </x:row>
    <x:row r="35" ht="46" customHeight="1">
      <x:c r="A35" s="17" t="str">
        <x:v>stage3src:778b55aec56f956c5f36</x:v>
      </x:c>
      <x:c r="B35" s="17" t="str">
        <x:v>program</x:v>
      </x:c>
      <x:c r="C35" s="17" t="str">
        <x:v>Dalhousie University</x:v>
      </x:c>
      <x:c r="D35" s="17" t="str">
        <x:v>ca:dli:O19209939282:program:thesis-or-research-master-s:phd-in-computer-science</x:v>
      </x:c>
      <x:c r="E35" s="17" t="str"/>
      <x:c r="F35" s="17" t="str">
        <x:v>program</x:v>
      </x:c>
      <x:c r="G35" s="17" t="str">
        <x:v>The official page identifies PhD in Computer Science and contains research/thesis evidence.</x:v>
      </x:c>
      <x:c r="H35" s="17" t="str">
        <x:v>Computer Science (PhD) | Welcome to Dalhousie University</x:v>
      </x:c>
      <x:c r="I35" s="17" t="str">
        <x:v>Dalhousie University</x:v>
      </x:c>
      <x:c r="J35" s="17" t="str">
        <x:v>official</x:v>
      </x:c>
      <x:c r="K35" s="17" t="str">
        <x:v>2026-09-09</x:v>
      </x:c>
      <x:c r="L35" s="17" t="str">
        <x:v>Current page; Fall 2027 dates not assumed</x:v>
      </x:c>
      <x:c r="M35" s="17" t="str">
        <x:v>High for program existence and research structure</x:v>
      </x:c>
      <x:c r="N35" s="17" t="str">
        <x:v>opened</x:v>
      </x:c>
      <x:c r="O35" s="17" t="str">
        <x:v>HTTP 200; page SHA-256 in evidence file</x:v>
      </x:c>
      <x:c r="P35" s="18" t="e">
        <x:f>HYPERLINK("https://www.dal.ca/study/programs/graduate-professional/computer-science-phd.html","Open source")</x:f>
        <x:v>HYPERLINK is not implemented. linkLocation=https://www.dal.ca/study/programs/graduate-professional/computer-science-phd.html, friendlyName=Open source</x:v>
      </x:c>
    </x:row>
    <x:row r="36" ht="46" customHeight="1">
      <x:c r="A36" s="17" t="str">
        <x:v>stage3src:80682bec949050903e37</x:v>
      </x:c>
      <x:c r="B36" s="17" t="str">
        <x:v>program</x:v>
      </x:c>
      <x:c r="C36" s="17" t="str">
        <x:v>University of Prince Edward Island</x:v>
      </x:c>
      <x:c r="D36" s="17" t="str">
        <x:v>ca:dli:O19220071452:program:thesis-or-research-master-s:master-of-science-in-mathematical-and-computational-sciences</x:v>
      </x:c>
      <x:c r="E36" s="17" t="str"/>
      <x:c r="F36" s="17" t="str">
        <x:v>funding|fees|health insurance</x:v>
      </x:c>
      <x:c r="G36" s="17" t="str">
        <x:v>Graduate financing mechanisms, additional costs, and explicit statement that funding sources are not guaranteed.</x:v>
      </x:c>
      <x:c r="H36" s="17" t="str">
        <x:v>Financing UPEI Graduate Studies</x:v>
      </x:c>
      <x:c r="I36" s="17" t="str">
        <x:v>University of Prince Edward Island</x:v>
      </x:c>
      <x:c r="J36" s="17" t="str">
        <x:v>official</x:v>
      </x:c>
      <x:c r="K36" s="17" t="str">
        <x:v>2026-09-11</x:v>
      </x:c>
      <x:c r="L36" s="17" t="str">
        <x:v>Current page checked 2026-09-11</x:v>
      </x:c>
      <x:c r="M36" s="17" t="str">
        <x:v>high</x:v>
      </x:c>
      <x:c r="N36" s="17" t="str">
        <x:v>official page checked</x:v>
      </x:c>
      <x:c r="O36" s="17" t="str"/>
      <x:c r="P36" s="18" t="e">
        <x:f>HYPERLINK("https://www.upei.ca/graduate-studies/future-students/financing-graduate-studies","Open source")</x:f>
        <x:v>HYPERLINK is not implemented. linkLocation=https://www.upei.ca/graduate-studies/future-students/financing-graduate-studies, friendlyName=Open source</x:v>
      </x:c>
    </x:row>
    <x:row r="37" ht="46" customHeight="1">
      <x:c r="A37" s="17" t="str">
        <x:v>stage3src:9f2330a601593f56ebbb</x:v>
      </x:c>
      <x:c r="B37" s="17" t="str">
        <x:v>program</x:v>
      </x:c>
      <x:c r="C37" s="17" t="str">
        <x:v>University of Prince Edward Island</x:v>
      </x:c>
      <x:c r="D37" s="17" t="str">
        <x:v>ca:dli:O19220071452:program:thesis-or-research-master-s:master-of-science-in-mathematical-and-computational-sciences</x:v>
      </x:c>
      <x:c r="E37" s="17" t="str"/>
      <x:c r="F37" s="17" t="str">
        <x:v>tuition|fees</x:v>
      </x:c>
      <x:c r="G37" s="17" t="str">
        <x:v>Approved 2026-27 MSc installments, international fee installments, and thesis-program deposit.</x:v>
      </x:c>
      <x:c r="H37" s="17" t="str">
        <x:v>Tuition and Fees — UPEI Calendar 2026-2027</x:v>
      </x:c>
      <x:c r="I37" s="17" t="str">
        <x:v>University of Prince Edward Island</x:v>
      </x:c>
      <x:c r="J37" s="17" t="str">
        <x:v>official</x:v>
      </x:c>
      <x:c r="K37" s="17" t="str">
        <x:v>2026-09-11</x:v>
      </x:c>
      <x:c r="L37" s="17" t="str">
        <x:v>2026-27 fees checked 2026-09-11</x:v>
      </x:c>
      <x:c r="M37" s="17" t="str">
        <x:v>high</x:v>
      </x:c>
      <x:c r="N37" s="17" t="str">
        <x:v>official page checked</x:v>
      </x:c>
      <x:c r="O37" s="17" t="str"/>
      <x:c r="P37" s="18" t="e">
        <x:f>HYPERLINK("https://calendar.upei.ca/current/chapter/tuition-and-fees-2/","Open source")</x:f>
        <x:v>HYPERLINK is not implemented. linkLocation=https://calendar.upei.ca/current/chapter/tuition-and-fees-2/, friendlyName=Open source</x:v>
      </x:c>
    </x:row>
    <x:row r="38" ht="46" customHeight="1">
      <x:c r="A38" s="17" t="str">
        <x:v>stage3src:ba5bd11a14f08da8f0aa</x:v>
      </x:c>
      <x:c r="B38" s="17" t="str">
        <x:v>program</x:v>
      </x:c>
      <x:c r="C38" s="17" t="str">
        <x:v>University of Prince Edward Island</x:v>
      </x:c>
      <x:c r="D38" s="17" t="str">
        <x:v>ca:dli:O19220071452:program:thesis-or-research-master-s:master-of-science-in-mathematical-and-computational-sciences</x:v>
      </x:c>
      <x:c r="E38" s="17" t="str"/>
      <x:c r="F38" s="17" t="str">
        <x:v>program|research|eligibility|admissions|deadline|tuition|fees</x:v>
      </x:c>
      <x:c r="G38" s="17" t="str">
        <x:v>Current thesis MSc, four-year degree and B-grade route, required supervisor, deadlines, tuition, international fee, and deposit.</x:v>
      </x:c>
      <x:c r="H38" s="17" t="str">
        <x:v>Master of Science, Mathematical and Computational Sciences</x:v>
      </x:c>
      <x:c r="I38" s="17" t="str">
        <x:v>University of Prince Edward Island</x:v>
      </x:c>
      <x:c r="J38" s="17" t="str">
        <x:v>official</x:v>
      </x:c>
      <x:c r="K38" s="17" t="str">
        <x:v>2026-09-11</x:v>
      </x:c>
      <x:c r="L38" s="17" t="str">
        <x:v>Current recurring cycle checked 2026-09-11</x:v>
      </x:c>
      <x:c r="M38" s="17" t="str">
        <x:v>high</x:v>
      </x:c>
      <x:c r="N38" s="17" t="str">
        <x:v>official page checked</x:v>
      </x:c>
      <x:c r="O38" s="17" t="str"/>
      <x:c r="P38" s="18" t="e">
        <x:f>HYPERLINK("https://www.upei.ca/programs/master-science-mathematical-and-computational-sciences","Open source")</x:f>
        <x:v>HYPERLINK is not implemented. linkLocation=https://www.upei.ca/programs/master-science-mathematical-and-computational-sciences, friendlyName=Open source</x:v>
      </x:c>
    </x:row>
    <x:row r="39" ht="46" customHeight="1">
      <x:c r="A39" s="17" t="str">
        <x:v>stage3src:7ba1eb4bf5fe32daccf2</x:v>
      </x:c>
      <x:c r="B39" s="17" t="str">
        <x:v>program</x:v>
      </x:c>
      <x:c r="C39" s="17" t="str">
        <x:v>University of Alberta</x:v>
      </x:c>
      <x:c r="D39" s="17" t="str">
        <x:v>ca:dli:O19257171832:program:thesis-or-research-master-s:master-of-science-in-electrical-and-computer-engineering</x:v>
      </x:c>
      <x:c r="E39" s="17" t="str"/>
      <x:c r="F39" s="17" t="str">
        <x:v>program|research|admissions|eligibility</x:v>
      </x:c>
      <x:c r="G39" s="17" t="str">
        <x:v>Current ECE MSc degree, graduate coursework, supervised thesis research, and degree requirements.</x:v>
      </x:c>
      <x:c r="H39" s="17" t="str">
        <x:v>ECE Graduate Student Handbook</x:v>
      </x:c>
      <x:c r="I39" s="17" t="str">
        <x:v>University of Alberta</x:v>
      </x:c>
      <x:c r="J39" s="17" t="str">
        <x:v>official</x:v>
      </x:c>
      <x:c r="K39" s="17" t="str">
        <x:v>2026-09-10</x:v>
      </x:c>
      <x:c r="L39" s="17" t="str">
        <x:v>Current departmental handbook available 2026-09-10</x:v>
      </x:c>
      <x:c r="M39" s="17" t="str">
        <x:v>high</x:v>
      </x:c>
      <x:c r="N39" s="17" t="str">
        <x:v>official page checked</x:v>
      </x:c>
      <x:c r="O39" s="17" t="str"/>
      <x:c r="P39" s="18" t="e">
        <x:f>HYPERLINK("https://www.ualberta.ca/en/engineering/media-library/dept-electrical-computer-engineering/graduate/grad-docs/graduate-student-handbook-fall-2024.pdf","Open source")</x:f>
        <x:v>HYPERLINK is not implemented. linkLocation=https://www.ualberta.ca/en/engineering/media-library/dept-electrical-computer-engineering/graduate/grad-docs/graduate-student-handbook-fall-2024.pdf, friendlyName=Open source</x:v>
      </x:c>
    </x:row>
    <x:row r="40" ht="46" customHeight="1">
      <x:c r="A40" s="17" t="str">
        <x:v>stage3src:d64f8c82ffc84c0d3494</x:v>
      </x:c>
      <x:c r="B40" s="17" t="str">
        <x:v>program</x:v>
      </x:c>
      <x:c r="C40" s="17" t="str">
        <x:v>University of Alberta</x:v>
      </x:c>
      <x:c r="D40" s="17" t="str">
        <x:v>ca:dli:O19257171832:program:thesis-or-research-master-s:master-of-science-in-electrical-and-computer-engineering</x:v>
      </x:c>
      <x:c r="E40" s="17" t="str"/>
      <x:c r="F40" s="17" t="str">
        <x:v>program|admissions|eligibility|deadline|funding|tuition</x:v>
      </x:c>
      <x:c r="G40" s="17" t="str">
        <x:v>Current ECE MSc inventory, Software Engineering and Intelligent Systems area, recurring international deadlines, and automatic consideration for assistantships and some tuition scholarships.</x:v>
      </x:c>
      <x:c r="H40" s="17" t="str">
        <x:v>Graduate Programs in Engineering Viewbook</x:v>
      </x:c>
      <x:c r="I40" s="17" t="str">
        <x:v>University of Alberta</x:v>
      </x:c>
      <x:c r="J40" s="17" t="str">
        <x:v>official</x:v>
      </x:c>
      <x:c r="K40" s="17" t="str">
        <x:v>2026-09-10</x:v>
      </x:c>
      <x:c r="L40" s="17" t="str">
        <x:v>Current viewbook checked 2026-09-10</x:v>
      </x:c>
      <x:c r="M40" s="17" t="str">
        <x:v>high</x:v>
      </x:c>
      <x:c r="N40" s="17" t="str">
        <x:v>official page checked</x:v>
      </x:c>
      <x:c r="O40" s="17" t="str"/>
      <x:c r="P40" s="18" t="e">
        <x:f>HYPERLINK("https://www.ualberta.ca/en/engineering/media-library/study-with-us/graduates/enggradviewbookcomplete.pdf","Open source")</x:f>
        <x:v>HYPERLINK is not implemented. linkLocation=https://www.ualberta.ca/en/engineering/media-library/study-with-us/graduates/enggradviewbookcomplete.pdf, friendlyName=Open source</x:v>
      </x:c>
    </x:row>
    <x:row r="41" ht="46" customHeight="1">
      <x:c r="A41" s="17" t="str">
        <x:v>stage3src:558d9f54f3e5e90dc186</x:v>
      </x:c>
      <x:c r="B41" s="17" t="str">
        <x:v>program</x:v>
      </x:c>
      <x:c r="C41" s="17" t="str">
        <x:v>University of Alberta</x:v>
      </x:c>
      <x:c r="D41" s="17" t="str">
        <x:v>ca:dli:O19257171832:program:thesis-or-research-master-s:msc-in-computing-science-thesis</x:v>
      </x:c>
      <x:c r="E41" s="17" t="str"/>
      <x:c r="F41" s="17" t="str">
        <x:v>fees|admissions</x:v>
      </x:c>
      <x:c r="G41" s="17" t="str">
        <x:v>Official graduate application fee is $135 CAD.</x:v>
      </x:c>
      <x:c r="H41" s="17" t="str">
        <x:v>Graduate application fee</x:v>
      </x:c>
      <x:c r="I41" s="17" t="str">
        <x:v>University of Alberta</x:v>
      </x:c>
      <x:c r="J41" s="17" t="str">
        <x:v>official</x:v>
      </x:c>
      <x:c r="K41" s="17" t="str">
        <x:v>2026-09-09</x:v>
      </x:c>
      <x:c r="L41" s="17" t="str">
        <x:v>current</x:v>
      </x:c>
      <x:c r="M41" s="17" t="str">
        <x:v>high</x:v>
      </x:c>
      <x:c r="N41" s="17" t="str">
        <x:v>opened/current</x:v>
      </x:c>
      <x:c r="O41" s="17" t="str">
        <x:v>No search snippet used as final evidence; URL/page content reviewed.</x:v>
      </x:c>
      <x:c r="P41" s="18" t="e">
        <x:f>HYPERLINK("https://www.ualberta.ca/en/graduate-studies/resources/policies-procedures/graduate-program-manual/section-5-admissions/5-4-application-fee.html","Open source")</x:f>
        <x:v>HYPERLINK is not implemented. linkLocation=https://www.ualberta.ca/en/graduate-studies/resources/policies-procedures/graduate-program-manual/section-5-admissions/5-4-application-fee.html, friendlyName=Open source</x:v>
      </x:c>
    </x:row>
    <x:row r="42" ht="46" customHeight="1">
      <x:c r="A42" s="17" t="str">
        <x:v>stage3src:9e97e688f6214ddd979f</x:v>
      </x:c>
      <x:c r="B42" s="17" t="str">
        <x:v>program</x:v>
      </x:c>
      <x:c r="C42" s="17" t="str">
        <x:v>University of Alberta</x:v>
      </x:c>
      <x:c r="D42" s="17" t="str">
        <x:v>ca:dli:O19257171832:program:thesis-or-research-master-s:msc-in-computing-science-thesis</x:v>
      </x:c>
      <x:c r="E42" s="17" t="str"/>
      <x:c r="F42" s="17" t="str">
        <x:v>admissions|program</x:v>
      </x:c>
      <x:c r="G42" s="17" t="str">
        <x:v>2026-27 official viewbook identifies thesis MSc Computing Science and csapplygrad@ualberta.ca.</x:v>
      </x:c>
      <x:c r="H42" s="17" t="str">
        <x:v>Graduate Studies Viewbook 2026-2027</x:v>
      </x:c>
      <x:c r="I42" s="17" t="str">
        <x:v>University of Alberta</x:v>
      </x:c>
      <x:c r="J42" s="17" t="str">
        <x:v>official</x:v>
      </x:c>
      <x:c r="K42" s="17" t="str">
        <x:v>2026-09-09</x:v>
      </x:c>
      <x:c r="L42" s="17" t="str">
        <x:v>2026-27</x:v>
      </x:c>
      <x:c r="M42" s="17" t="str">
        <x:v>high</x:v>
      </x:c>
      <x:c r="N42" s="17" t="str">
        <x:v>opened; cycle limits recorded</x:v>
      </x:c>
      <x:c r="O42" s="17" t="str">
        <x:v>No search snippet used as final evidence; URL/page content reviewed.</x:v>
      </x:c>
      <x:c r="P42" s="18" t="e">
        <x:f>HYPERLINK("https://www.ualberta.ca/en/admissions/media-library/ua_viewbook_graduate-studies_2026-27_web.pdf","Open source")</x:f>
        <x:v>HYPERLINK is not implemented. linkLocation=https://www.ualberta.ca/en/admissions/media-library/ua_viewbook_graduate-studies_2026-27_web.pdf, friendlyName=Open source</x:v>
      </x:c>
    </x:row>
    <x:row r="43" ht="46" customHeight="1">
      <x:c r="A43" s="17" t="str">
        <x:v>stage3src:9a970773594c472a42a5</x:v>
      </x:c>
      <x:c r="B43" s="17" t="str">
        <x:v>program</x:v>
      </x:c>
      <x:c r="C43" s="17" t="str">
        <x:v>University of Victoria</x:v>
      </x:c>
      <x:c r="D43" s="17" t="str">
        <x:v>ca:dli:O19280533442:program:thesis-or-research-master-s:master-of-applied-science-in-electrical-and-computer-engineering</x:v>
      </x:c>
      <x:c r="E43" s="17" t="str"/>
      <x:c r="F43" s="17" t="str">
        <x:v>admissions|eligibility|language|deadline|fees</x:v>
      </x:c>
      <x:c r="G43" s="17" t="str">
        <x:v>Research-program documents, application-fee requirement, international deadlines, and mandatory supervisor recommendation.</x:v>
      </x:c>
      <x:c r="H43" s="17" t="str">
        <x:v>Apply for Admission</x:v>
      </x:c>
      <x:c r="I43" s="17" t="str">
        <x:v>University of Victoria ECE</x:v>
      </x:c>
      <x:c r="J43" s="17" t="str">
        <x:v>official</x:v>
      </x:c>
      <x:c r="K43" s="17" t="str">
        <x:v>2026-09-10</x:v>
      </x:c>
      <x:c r="L43" s="17" t="str">
        <x:v>Current recurring cycle checked 2026-09-10</x:v>
      </x:c>
      <x:c r="M43" s="17" t="str">
        <x:v>high</x:v>
      </x:c>
      <x:c r="N43" s="17" t="str">
        <x:v>official page checked</x:v>
      </x:c>
      <x:c r="O43" s="17" t="str"/>
      <x:c r="P43" s="18" t="e">
        <x:f>HYPERLINK("https://www.uvic.ca/ecs/ece/future/graduate/admissions/index.php","Open source")</x:f>
        <x:v>HYPERLINK is not implemented. linkLocation=https://www.uvic.ca/ecs/ece/future/graduate/admissions/index.php, friendlyName=Open source</x:v>
      </x:c>
    </x:row>
    <x:row r="44" ht="46" customHeight="1">
      <x:c r="A44" s="17" t="str">
        <x:v>stage3src:ae63be099c702c0b449e</x:v>
      </x:c>
      <x:c r="B44" s="17" t="str">
        <x:v>program</x:v>
      </x:c>
      <x:c r="C44" s="17" t="str">
        <x:v>University of Victoria</x:v>
      </x:c>
      <x:c r="D44" s="17" t="str">
        <x:v>ca:dli:O19280533442:program:thesis-or-research-master-s:master-of-applied-science-in-electrical-and-computer-engineering</x:v>
      </x:c>
      <x:c r="E44" s="17" t="str"/>
      <x:c r="F44" s="17" t="str">
        <x:v>program|research|admissions|eligibility|deadline|language</x:v>
      </x:c>
      <x:c r="G44" s="17" t="str">
        <x:v>Current two-year international ECE MASc, thesis and oral examination, recurring deadlines, and required agreeing supervisor.</x:v>
      </x:c>
      <x:c r="H44" s="17" t="str">
        <x:v>Electrical and Computer Engineering (MASc)</x:v>
      </x:c>
      <x:c r="I44" s="17" t="str">
        <x:v>University of Victoria</x:v>
      </x:c>
      <x:c r="J44" s="17" t="str">
        <x:v>official</x:v>
      </x:c>
      <x:c r="K44" s="17" t="str">
        <x:v>2026-09-10</x:v>
      </x:c>
      <x:c r="L44" s="17" t="str">
        <x:v>Current recurring cycle checked 2026-09-10</x:v>
      </x:c>
      <x:c r="M44" s="17" t="str">
        <x:v>high</x:v>
      </x:c>
      <x:c r="N44" s="17" t="str">
        <x:v>official page checked</x:v>
      </x:c>
      <x:c r="O44" s="17" t="str"/>
      <x:c r="P44" s="18" t="e">
        <x:f>HYPERLINK("https://www.uvic.ca/graduate/programs/graduate-programs/credential-pages/electrical-computer-engineering-cred/electrical-and-computer-engineering-masc.php","Open source")</x:f>
        <x:v>HYPERLINK is not implemented. linkLocation=https://www.uvic.ca/graduate/programs/graduate-programs/credential-pages/electrical-computer-engineering-cred/electrical-and-computer-engineering-masc.php, friendlyName=Open source</x:v>
      </x:c>
    </x:row>
    <x:row r="45" ht="46" customHeight="1">
      <x:c r="A45" s="17" t="str">
        <x:v>stage3src:e4e668a39fdb7026b39c</x:v>
      </x:c>
      <x:c r="B45" s="17" t="str">
        <x:v>program</x:v>
      </x:c>
      <x:c r="C45" s="17" t="str">
        <x:v>University of Victoria</x:v>
      </x:c>
      <x:c r="D45" s="17" t="str">
        <x:v>ca:dli:O19280533442:program:thesis-or-research-master-s:master-of-applied-science-in-electrical-and-computer-engineering</x:v>
      </x:c>
      <x:c r="E45" s="17" t="str"/>
      <x:c r="F45" s="17" t="str">
        <x:v>funding|tuition|health</x:v>
      </x:c>
      <x:c r="G45" s="17" t="str">
        <x:v>Conditional supervisor-funded research assistantships and merit fellowship consideration for domestic and international MASc students.</x:v>
      </x:c>
      <x:c r="H45" s="17" t="str">
        <x:v>Awards and Funding</x:v>
      </x:c>
      <x:c r="I45" s="17" t="str">
        <x:v>University of Victoria ECE</x:v>
      </x:c>
      <x:c r="J45" s="17" t="str">
        <x:v>official</x:v>
      </x:c>
      <x:c r="K45" s="17" t="str">
        <x:v>2026-09-10</x:v>
      </x:c>
      <x:c r="L45" s="17" t="str">
        <x:v>Current guidance checked 2026-09-10</x:v>
      </x:c>
      <x:c r="M45" s="17" t="str">
        <x:v>high</x:v>
      </x:c>
      <x:c r="N45" s="17" t="str">
        <x:v>official page checked</x:v>
      </x:c>
      <x:c r="O45" s="17" t="str"/>
      <x:c r="P45" s="18" t="e">
        <x:f>HYPERLINK("https://www.uvic.ca/ecs/ece/future/graduate/awards-and-funding/index.php","Open source")</x:f>
        <x:v>HYPERLINK is not implemented. linkLocation=https://www.uvic.ca/ecs/ece/future/graduate/awards-and-funding/index.php, friendlyName=Open source</x:v>
      </x:c>
    </x:row>
    <x:row r="46" ht="46" customHeight="1">
      <x:c r="A46" s="17" t="str">
        <x:v>stage3src:5f84fddb5c776f732d75</x:v>
      </x:c>
      <x:c r="B46" s="17" t="str">
        <x:v>program</x:v>
      </x:c>
      <x:c r="C46" s="17" t="str">
        <x:v>University of Victoria</x:v>
      </x:c>
      <x:c r="D46" s="17" t="str">
        <x:v>ca:dli:O19280533442:program:thesis-or-research-master-s:msc-in-computer-science</x:v>
      </x:c>
      <x:c r="E46" s="17" t="str"/>
      <x:c r="F46" s="17" t="str">
        <x:v>program</x:v>
      </x:c>
      <x:c r="G46" s="17" t="str">
        <x:v>The official page identifies MSc in Computer Science and contains research/thesis evidence.</x:v>
      </x:c>
      <x:c r="H46" s="17" t="str">
        <x:v>Computer Science (MSc) - Computer Science - UVic</x:v>
      </x:c>
      <x:c r="I46" s="17" t="str">
        <x:v>University of Victoria</x:v>
      </x:c>
      <x:c r="J46" s="17" t="str">
        <x:v>official</x:v>
      </x:c>
      <x:c r="K46" s="17" t="str">
        <x:v>2026-09-09</x:v>
      </x:c>
      <x:c r="L46" s="17" t="str">
        <x:v>Current page; Fall 2027 dates not assumed</x:v>
      </x:c>
      <x:c r="M46" s="17" t="str">
        <x:v>High for program existence and research structure</x:v>
      </x:c>
      <x:c r="N46" s="17" t="str">
        <x:v>opened</x:v>
      </x:c>
      <x:c r="O46" s="17" t="str">
        <x:v>HTTP 200; page SHA-256 in evidence file</x:v>
      </x:c>
      <x:c r="P46" s="18" t="e">
        <x:f>HYPERLINK("https://www.uvic.ca/ecs/computerscience/programs/msc/index.php","Open source")</x:f>
        <x:v>HYPERLINK is not implemented. linkLocation=https://www.uvic.ca/ecs/computerscience/programs/msc/index.php, friendlyName=Open source</x:v>
      </x:c>
    </x:row>
    <x:row r="47" ht="46" customHeight="1">
      <x:c r="A47" s="17" t="str">
        <x:v>stage3src:15418dfd50552d9fd7e0</x:v>
      </x:c>
      <x:c r="B47" s="17" t="str">
        <x:v>program</x:v>
      </x:c>
      <x:c r="C47" s="17" t="str">
        <x:v>University of Victoria</x:v>
      </x:c>
      <x:c r="D47" s="17" t="str">
        <x:v>ca:dli:O19280533442:program:thesis-or-research-master-s:msc-in-computer-science-thesis</x:v>
      </x:c>
      <x:c r="E47" s="17" t="str"/>
      <x:c r="F47" s="17" t="str">
        <x:v>fees|admissions</x:v>
      </x:c>
      <x:c r="G47" s="17" t="str">
        <x:v>Application fee is $183 when any documents originate outside Canada.</x:v>
      </x:c>
      <x:c r="H47" s="17" t="str">
        <x:v>How to apply</x:v>
      </x:c>
      <x:c r="I47" s="17" t="str">
        <x:v>University of Victoria</x:v>
      </x:c>
      <x:c r="J47" s="17" t="str">
        <x:v>official</x:v>
      </x:c>
      <x:c r="K47" s="17" t="str">
        <x:v>2026-09-09</x:v>
      </x:c>
      <x:c r="L47" s="17" t="str">
        <x:v>current</x:v>
      </x:c>
      <x:c r="M47" s="17" t="str">
        <x:v>high</x:v>
      </x:c>
      <x:c r="N47" s="17" t="str">
        <x:v>opened/current</x:v>
      </x:c>
      <x:c r="O47" s="17" t="str">
        <x:v>No search snippet used as final evidence; URL/page content reviewed.</x:v>
      </x:c>
      <x:c r="P47" s="18" t="e">
        <x:f>HYPERLINK("https://www.uvic.ca/graduate/admissions/how-to-apply/","Open source")</x:f>
        <x:v>HYPERLINK is not implemented. linkLocation=https://www.uvic.ca/graduate/admissions/how-to-apply/, friendlyName=Open source</x:v>
      </x:c>
    </x:row>
    <x:row r="48" ht="46" customHeight="1">
      <x:c r="A48" s="17" t="str">
        <x:v>stage3src:24c922ea8084f13614cd</x:v>
      </x:c>
      <x:c r="B48" s="17" t="str">
        <x:v>program</x:v>
      </x:c>
      <x:c r="C48" s="17" t="str">
        <x:v>University of Victoria</x:v>
      </x:c>
      <x:c r="D48" s="17" t="str">
        <x:v>ca:dli:O19280533442:program:thesis-or-research-master-s:msc-in-computer-science-thesis</x:v>
      </x:c>
      <x:c r="E48" s="17" t="str"/>
      <x:c r="F48" s="17" t="str">
        <x:v>funding|deadline|eligibility|admissions</x:v>
      </x:c>
      <x:c r="G48" s="17" t="str">
        <x:v>September deadline is December 15; GRE optional but highly recommended for international applicants; supervisor capacity/funding drives admission.</x:v>
      </x:c>
      <x:c r="H48" s="17" t="str">
        <x:v>Graduate Admission FAQ</x:v>
      </x:c>
      <x:c r="I48" s="17" t="str">
        <x:v>University of Victoria</x:v>
      </x:c>
      <x:c r="J48" s="17" t="str">
        <x:v>official</x:v>
      </x:c>
      <x:c r="K48" s="17" t="str">
        <x:v>2026-09-09</x:v>
      </x:c>
      <x:c r="L48" s="17" t="str">
        <x:v>current recurring</x:v>
      </x:c>
      <x:c r="M48" s="17" t="str">
        <x:v>high</x:v>
      </x:c>
      <x:c r="N48" s="17" t="str">
        <x:v>opened; cycle limits recorded</x:v>
      </x:c>
      <x:c r="O48" s="17" t="str">
        <x:v>No search snippet used as final evidence; URL/page content reviewed.</x:v>
      </x:c>
      <x:c r="P48" s="18" t="e">
        <x:f>HYPERLINK("https://www.uvic.ca/ecs/computerscience/programs/graduate-admission-faqs/index.php","Open source")</x:f>
        <x:v>HYPERLINK is not implemented. linkLocation=https://www.uvic.ca/ecs/computerscience/programs/graduate-admission-faqs/index.php, friendlyName=Open source</x:v>
      </x:c>
    </x:row>
    <x:row r="49" ht="46" customHeight="1">
      <x:c r="A49" s="17" t="str">
        <x:v>stage3src:99b09bd6ffa8a02e9ef9</x:v>
      </x:c>
      <x:c r="B49" s="17" t="str">
        <x:v>program</x:v>
      </x:c>
      <x:c r="C49" s="17" t="str">
        <x:v>University of Victoria</x:v>
      </x:c>
      <x:c r="D49" s="17" t="str">
        <x:v>ca:dli:O19280533442:program:thesis-or-research-master-s:msc-in-computer-science-thesis</x:v>
      </x:c>
      <x:c r="E49" s="17" t="str"/>
      <x:c r="F49" s="17" t="str">
        <x:v>funding|admissions|program</x:v>
      </x:c>
      <x:c r="G49" s="17" t="str">
        <x:v>MSc has thesis/project routes; no supervisor needed to apply; funding consideration automatic and an offer normally includes funding.</x:v>
      </x:c>
      <x:c r="H49" s="17" t="str">
        <x:v>Computer Science MSc</x:v>
      </x:c>
      <x:c r="I49" s="17" t="str">
        <x:v>University of Victoria</x:v>
      </x:c>
      <x:c r="J49" s="17" t="str">
        <x:v>official</x:v>
      </x:c>
      <x:c r="K49" s="17" t="str">
        <x:v>2026-09-09</x:v>
      </x:c>
      <x:c r="L49" s="17" t="str">
        <x:v>current</x:v>
      </x:c>
      <x:c r="M49" s="17" t="str">
        <x:v>high</x:v>
      </x:c>
      <x:c r="N49" s="17" t="str">
        <x:v>opened/current</x:v>
      </x:c>
      <x:c r="O49" s="17" t="str">
        <x:v>No search snippet used as final evidence; URL/page content reviewed.</x:v>
      </x:c>
      <x:c r="P49" s="18" t="e">
        <x:f>HYPERLINK("https://www.uvic.ca/ecs/computerscience/programs/msc/index.php","Open source")</x:f>
        <x:v>HYPERLINK is not implemented. linkLocation=https://www.uvic.ca/ecs/computerscience/programs/msc/index.php, friendlyName=Open source</x:v>
      </x:c>
    </x:row>
    <x:row r="50" ht="46" customHeight="1">
      <x:c r="A50" s="17" t="str">
        <x:v>stage3src:018715163910b73f9a19</x:v>
      </x:c>
      <x:c r="B50" s="17" t="str">
        <x:v>program</x:v>
      </x:c>
      <x:c r="C50" s="17" t="str">
        <x:v>University of Northern British Columbia</x:v>
      </x:c>
      <x:c r="D50" s="17" t="str">
        <x:v>ca:dli:O19283889692:program:thesis-or-research-master-s:msc-in-computer-science-thesis-option</x:v>
      </x:c>
      <x:c r="E50" s="17" t="str"/>
      <x:c r="F50" s="17" t="str">
        <x:v>funding</x:v>
      </x:c>
      <x:c r="G50" s="17" t="str">
        <x:v>Research-intensive entrants receive automatic merit consideration for entrance scholarships without a universal award guarantee.</x:v>
      </x:c>
      <x:c r="H50" s="17" t="str">
        <x:v>Entrance Scholarship Programs</x:v>
      </x:c>
      <x:c r="I50" s="17" t="str">
        <x:v>University of Northern British Columbia</x:v>
      </x:c>
      <x:c r="J50" s="17" t="str">
        <x:v>official</x:v>
      </x:c>
      <x:c r="K50" s="17" t="str">
        <x:v>2026-09-10</x:v>
      </x:c>
      <x:c r="L50" s="17" t="str">
        <x:v>Current page checked 2026-09-10</x:v>
      </x:c>
      <x:c r="M50" s="17" t="str">
        <x:v>high</x:v>
      </x:c>
      <x:c r="N50" s="17" t="str">
        <x:v>official page checked</x:v>
      </x:c>
      <x:c r="O50" s="17" t="str"/>
      <x:c r="P50" s="18" t="e">
        <x:f>HYPERLINK("https://www.unbc.ca/graduate-administration/gradready/entrance-scholarship-programs","Open source")</x:f>
        <x:v>HYPERLINK is not implemented. linkLocation=https://www.unbc.ca/graduate-administration/gradready/entrance-scholarship-programs, friendlyName=Open source</x:v>
      </x:c>
    </x:row>
    <x:row r="51" ht="46" customHeight="1">
      <x:c r="A51" s="17" t="str">
        <x:v>stage3src:364dc2dee603266fbb2d</x:v>
      </x:c>
      <x:c r="B51" s="17" t="str">
        <x:v>program</x:v>
      </x:c>
      <x:c r="C51" s="17" t="str">
        <x:v>University of Northern British Columbia</x:v>
      </x:c>
      <x:c r="D51" s="17" t="str">
        <x:v>ca:dli:O19283889692:program:thesis-or-research-master-s:msc-in-computer-science-thesis-option</x:v>
      </x:c>
      <x:c r="E51" s="17" t="str"/>
      <x:c r="F51" s="17" t="str">
        <x:v>admissions|eligibility|language</x:v>
      </x:c>
      <x:c r="G51" s="17" t="str">
        <x:v>Competitive graduate review, application requirements, and thesis supervision constraints.</x:v>
      </x:c>
      <x:c r="H51" s="17" t="str">
        <x:v>Graduate Application Requirements</x:v>
      </x:c>
      <x:c r="I51" s="17" t="str">
        <x:v>University of Northern British Columbia</x:v>
      </x:c>
      <x:c r="J51" s="17" t="str">
        <x:v>official</x:v>
      </x:c>
      <x:c r="K51" s="17" t="str">
        <x:v>2026-09-10</x:v>
      </x:c>
      <x:c r="L51" s="17" t="str">
        <x:v>Current page checked 2026-09-10</x:v>
      </x:c>
      <x:c r="M51" s="17" t="str">
        <x:v>high</x:v>
      </x:c>
      <x:c r="N51" s="17" t="str">
        <x:v>official page checked</x:v>
      </x:c>
      <x:c r="O51" s="17" t="str"/>
      <x:c r="P51" s="18" t="e">
        <x:f>HYPERLINK("https://www.unbc.ca/programs-and-admissions/graduate/graduate-application-requirements","Open source")</x:f>
        <x:v>HYPERLINK is not implemented. linkLocation=https://www.unbc.ca/programs-and-admissions/graduate/graduate-application-requirements, friendlyName=Open source</x:v>
      </x:c>
    </x:row>
    <x:row r="52" ht="46" customHeight="1">
      <x:c r="A52" s="17" t="str">
        <x:v>stage3src:73a037f00f7976e36d35</x:v>
      </x:c>
      <x:c r="B52" s="17" t="str">
        <x:v>program</x:v>
      </x:c>
      <x:c r="C52" s="17" t="str">
        <x:v>University of Northern British Columbia</x:v>
      </x:c>
      <x:c r="D52" s="17" t="str">
        <x:v>ca:dli:O19283889692:program:thesis-or-research-master-s:msc-in-computer-science-thesis-option</x:v>
      </x:c>
      <x:c r="E52" s="17" t="str"/>
      <x:c r="F52" s="17" t="str">
        <x:v>program|eligibility</x:v>
      </x:c>
      <x:c r="G52" s="17" t="str">
        <x:v>Current MSc Computer Science thesis option, original research, thesis, supervision, and program structure.</x:v>
      </x:c>
      <x:c r="H52" s="17" t="str">
        <x:v>Computer Science MSc Program</x:v>
      </x:c>
      <x:c r="I52" s="17" t="str">
        <x:v>University of Northern British Columbia Graduate Calendar</x:v>
      </x:c>
      <x:c r="J52" s="17" t="str">
        <x:v>official</x:v>
      </x:c>
      <x:c r="K52" s="17" t="str">
        <x:v>2026-09-10</x:v>
      </x:c>
      <x:c r="L52" s="17" t="str">
        <x:v>Current calendar checked 2026-09-10</x:v>
      </x:c>
      <x:c r="M52" s="17" t="str">
        <x:v>high</x:v>
      </x:c>
      <x:c r="N52" s="17" t="str">
        <x:v>official page checked</x:v>
      </x:c>
      <x:c r="O52" s="17" t="str"/>
      <x:c r="P52" s="18" t="e">
        <x:f>HYPERLINK("https://www.unbc.ca/calendar/graduate/computer-science-msc-program","Open source")</x:f>
        <x:v>HYPERLINK is not implemented. linkLocation=https://www.unbc.ca/calendar/graduate/computer-science-msc-program, friendlyName=Open source</x:v>
      </x:c>
    </x:row>
    <x:row r="53" ht="46" customHeight="1">
      <x:c r="A53" s="17" t="str">
        <x:v>stage3src:f3286e8fb43dafc23f5a</x:v>
      </x:c>
      <x:c r="B53" s="17" t="str">
        <x:v>program</x:v>
      </x:c>
      <x:c r="C53" s="17" t="str">
        <x:v>University of Northern British Columbia</x:v>
      </x:c>
      <x:c r="D53" s="17" t="str">
        <x:v>ca:dli:O19283889692:program:thesis-or-research-master-s:msc-in-computer-science-thesis-option</x:v>
      </x:c>
      <x:c r="E53" s="17" t="str"/>
      <x:c r="F53" s="17" t="str">
        <x:v>admissions|deadline</x:v>
      </x:c>
      <x:c r="G53" s="17" t="str">
        <x:v>MSc Computer Science recurring Fall first and international second deadlines.</x:v>
      </x:c>
      <x:c r="H53" s="17" t="str">
        <x:v>Graduate Application Intakes and Deadlines</x:v>
      </x:c>
      <x:c r="I53" s="17" t="str">
        <x:v>University of Northern British Columbia</x:v>
      </x:c>
      <x:c r="J53" s="17" t="str">
        <x:v>official</x:v>
      </x:c>
      <x:c r="K53" s="17" t="str">
        <x:v>2026-09-10</x:v>
      </x:c>
      <x:c r="L53" s="17" t="str">
        <x:v>Current recurring intakes checked 2026-09-10</x:v>
      </x:c>
      <x:c r="M53" s="17" t="str">
        <x:v>high</x:v>
      </x:c>
      <x:c r="N53" s="17" t="str">
        <x:v>official page checked</x:v>
      </x:c>
      <x:c r="O53" s="17" t="str"/>
      <x:c r="P53" s="18" t="e">
        <x:f>HYPERLINK("https://www.unbc.ca/programs-and-admissions/graduate/graduate-application-intakes-and-deadlines","Open source")</x:f>
        <x:v>HYPERLINK is not implemented. linkLocation=https://www.unbc.ca/programs-and-admissions/graduate/graduate-application-intakes-and-deadlines, friendlyName=Open source</x:v>
      </x:c>
    </x:row>
    <x:row r="54" ht="46" customHeight="1">
      <x:c r="A54" s="17" t="str">
        <x:v>stage3src:7bdb0a1c335d8e03145d</x:v>
      </x:c>
      <x:c r="B54" s="17" t="str">
        <x:v>program</x:v>
      </x:c>
      <x:c r="C54" s="17" t="str">
        <x:v>Laurentian University</x:v>
      </x:c>
      <x:c r="D54" s="17" t="str">
        <x:v>ca:dli:O19304259382:program:thesis-or-research-master-s:msc-in-computational-sciences</x:v>
      </x:c>
      <x:c r="E54" s="17" t="str"/>
      <x:c r="F54" s="17" t="str">
        <x:v>program</x:v>
      </x:c>
      <x:c r="G54" s="17" t="str">
        <x:v>The official page identifies MSc in Computational Sciences and contains research/thesis evidence.</x:v>
      </x:c>
      <x:c r="H54" s="17" t="str">
        <x:v>Computational Sciences (M.Sc.) | Laurentian University</x:v>
      </x:c>
      <x:c r="I54" s="17" t="str">
        <x:v>Laurentian University</x:v>
      </x:c>
      <x:c r="J54" s="17" t="str">
        <x:v>official</x:v>
      </x:c>
      <x:c r="K54" s="17" t="str">
        <x:v>2026-09-09</x:v>
      </x:c>
      <x:c r="L54" s="17" t="str">
        <x:v>Current page; Fall 2027 dates not assumed</x:v>
      </x:c>
      <x:c r="M54" s="17" t="str">
        <x:v>High for program existence and research structure</x:v>
      </x:c>
      <x:c r="N54" s="17" t="str">
        <x:v>opened</x:v>
      </x:c>
      <x:c r="O54" s="17" t="str">
        <x:v>HTTP 200; page SHA-256 in evidence file</x:v>
      </x:c>
      <x:c r="P54" s="18" t="e">
        <x:f>HYPERLINK("https://laurentian.ca/academics/program/computational-sciences-msc","Open source")</x:f>
        <x:v>HYPERLINK is not implemented. linkLocation=https://laurentian.ca/academics/program/computational-sciences-msc, friendlyName=Open source</x:v>
      </x:c>
    </x:row>
    <x:row r="55" ht="46" customHeight="1">
      <x:c r="A55" s="17" t="str">
        <x:v>stage3src:93b90c1fb12d7ce95dee</x:v>
      </x:c>
      <x:c r="B55" s="17" t="str">
        <x:v>program</x:v>
      </x:c>
      <x:c r="C55" s="17" t="str">
        <x:v>University of Guelph</x:v>
      </x:c>
      <x:c r="D55" s="17" t="str">
        <x:v>ca:dli:O19305391192:program:phd:phd-in-computer-science</x:v>
      </x:c>
      <x:c r="E55" s="17" t="str"/>
      <x:c r="F55" s="17" t="str">
        <x:v>program|research|admissions|eligibility</x:v>
      </x:c>
      <x:c r="G55" s="17" t="str">
        <x:v>Formal Computational Sciences calendar title, normal thesis-master's route, exceptional direct bachelor's entry, qualifying exam, thesis, and two-advisor structure.</x:v>
      </x:c>
      <x:c r="H55" s="17" t="str">
        <x:v>Computational Sciences Graduate Calendar</x:v>
      </x:c>
      <x:c r="I55" s="17" t="str">
        <x:v>University of Guelph</x:v>
      </x:c>
      <x:c r="J55" s="17" t="str">
        <x:v>official</x:v>
      </x:c>
      <x:c r="K55" s="17" t="str">
        <x:v>2026-09-10</x:v>
      </x:c>
      <x:c r="L55" s="17" t="str">
        <x:v>Current calendar checked 2026-09-10</x:v>
      </x:c>
      <x:c r="M55" s="17" t="str">
        <x:v>high</x:v>
      </x:c>
      <x:c r="N55" s="17" t="str">
        <x:v>official page checked</x:v>
      </x:c>
      <x:c r="O55" s="17" t="str"/>
      <x:c r="P55" s="18" t="e">
        <x:f>HYPERLINK("https://calendar.uoguelph.ca/graduate-calendar/graduate-programs/computational-sciences/","Open source")</x:f>
        <x:v>HYPERLINK is not implemented. linkLocation=https://calendar.uoguelph.ca/graduate-calendar/graduate-programs/computational-sciences/, friendlyName=Open source</x:v>
      </x:c>
    </x:row>
    <x:row r="56" ht="46" customHeight="1">
      <x:c r="A56" s="17" t="str">
        <x:v>stage3src:d9365ebfdcfab3e90f0d</x:v>
      </x:c>
      <x:c r="B56" s="17" t="str">
        <x:v>program</x:v>
      </x:c>
      <x:c r="C56" s="17" t="str">
        <x:v>University of Guelph</x:v>
      </x:c>
      <x:c r="D56" s="17" t="str">
        <x:v>ca:dli:O19305391192:program:phd:phd-in-computer-science</x:v>
      </x:c>
      <x:c r="E56" s="17" t="str"/>
      <x:c r="F56" s="17" t="str">
        <x:v>program|research|admissions|eligibility|language|deadline|funding|tuition</x:v>
      </x:c>
      <x:c r="G56" s="17" t="str">
        <x:v>Live PhD in Computer Science, thesis structure, mandatory advisor, Fall 2027 deadline, English thresholds, and CAD 25,000 minimum funding for admitted international and domestic students.</x:v>
      </x:c>
      <x:c r="H56" s="17" t="str">
        <x:v>PhD in Computer Science</x:v>
      </x:c>
      <x:c r="I56" s="17" t="str">
        <x:v>University of Guelph</x:v>
      </x:c>
      <x:c r="J56" s="17" t="str">
        <x:v>official</x:v>
      </x:c>
      <x:c r="K56" s="17" t="str">
        <x:v>2026-09-10</x:v>
      </x:c>
      <x:c r="L56" s="17" t="str">
        <x:v>Fall 2027</x:v>
      </x:c>
      <x:c r="M56" s="17" t="str">
        <x:v>high</x:v>
      </x:c>
      <x:c r="N56" s="17" t="str">
        <x:v>official page checked</x:v>
      </x:c>
      <x:c r="O56" s="17" t="str"/>
      <x:c r="P56" s="18" t="e">
        <x:f>HYPERLINK("https://www.uoguelph.ca/programs/phd-computer-science","Open source")</x:f>
        <x:v>HYPERLINK is not implemented. linkLocation=https://www.uoguelph.ca/programs/phd-computer-science, friendlyName=Open source</x:v>
      </x:c>
    </x:row>
    <x:row r="57" ht="46" customHeight="1">
      <x:c r="A57" s="17" t="str">
        <x:v>stage3src:9d03a5cb976829fb052f</x:v>
      </x:c>
      <x:c r="B57" s="17" t="str">
        <x:v>program</x:v>
      </x:c>
      <x:c r="C57" s="17" t="str">
        <x:v>University of Guelph</x:v>
      </x:c>
      <x:c r="D57" s="17" t="str">
        <x:v>ca:dli:O19305391192:program:thesis-or-research-master-s:msc-in-computer-science</x:v>
      </x:c>
      <x:c r="E57" s="17" t="str"/>
      <x:c r="F57" s="17" t="str">
        <x:v>program</x:v>
      </x:c>
      <x:c r="G57" s="17" t="str">
        <x:v>The official page identifies MSc in Computer Science and contains research/thesis evidence.</x:v>
      </x:c>
      <x:c r="H57" s="17" t="str">
        <x:v>Master of Science in Computer Science | University of Guelph</x:v>
      </x:c>
      <x:c r="I57" s="17" t="str">
        <x:v>University of Guelph</x:v>
      </x:c>
      <x:c r="J57" s="17" t="str">
        <x:v>official</x:v>
      </x:c>
      <x:c r="K57" s="17" t="str">
        <x:v>2026-09-09</x:v>
      </x:c>
      <x:c r="L57" s="17" t="str">
        <x:v>Current page; Fall 2027 dates not assumed</x:v>
      </x:c>
      <x:c r="M57" s="17" t="str">
        <x:v>High for program existence and research structure</x:v>
      </x:c>
      <x:c r="N57" s="17" t="str">
        <x:v>opened</x:v>
      </x:c>
      <x:c r="O57" s="17" t="str">
        <x:v>HTTP 200; page SHA-256 in evidence file</x:v>
      </x:c>
      <x:c r="P57" s="18" t="e">
        <x:f>HYPERLINK("https://www.uoguelph.ca/programs/msc-computer-science","Open source")</x:f>
        <x:v>HYPERLINK is not implemented. linkLocation=https://www.uoguelph.ca/programs/msc-computer-science, friendlyName=Open source</x:v>
      </x:c>
    </x:row>
    <x:row r="58" ht="46" customHeight="1">
      <x:c r="A58" s="17" t="str">
        <x:v>stage3src:1959a7d5617ee20176df</x:v>
      </x:c>
      <x:c r="B58" s="17" t="str">
        <x:v>program</x:v>
      </x:c>
      <x:c r="C58" s="17" t="str">
        <x:v>University of Waterloo</x:v>
      </x:c>
      <x:c r="D58" s="17" t="str">
        <x:v>ca:dli:O19305471522:program:direct-entry-phd:phd-in-computer-science-direct-from-bachelor-s-exception</x:v>
      </x:c>
      <x:c r="E58" s="17" t="str"/>
      <x:c r="F58" s="17" t="str">
        <x:v>funding|eligibility|program</x:v>
      </x:c>
      <x:c r="G58" s="17" t="str">
        <x:v>All full-time MMath/PhD students receive packages; Fall 2026 international MMath first-year package is $51,990.</x:v>
      </x:c>
      <x:c r="H58" s="17" t="str">
        <x:v>Funding and awards</x:v>
      </x:c>
      <x:c r="I58" s="17" t="str">
        <x:v>University of Waterloo</x:v>
      </x:c>
      <x:c r="J58" s="17" t="str">
        <x:v>official</x:v>
      </x:c>
      <x:c r="K58" s="17" t="str">
        <x:v>2026-09-09</x:v>
      </x:c>
      <x:c r="L58" s="17" t="str">
        <x:v>2026-27</x:v>
      </x:c>
      <x:c r="M58" s="17" t="str">
        <x:v>high</x:v>
      </x:c>
      <x:c r="N58" s="17" t="str">
        <x:v>opened; cycle limits recorded</x:v>
      </x:c>
      <x:c r="O58" s="17" t="str">
        <x:v>No search snippet used as final evidence; URL/page content reviewed.</x:v>
      </x:c>
      <x:c r="P58" s="18" t="e">
        <x:f>HYPERLINK("https://uwaterloo.ca/computer-science/current-graduate-students/funding-and-awards","Open source")</x:f>
        <x:v>HYPERLINK is not implemented. linkLocation=https://uwaterloo.ca/computer-science/current-graduate-students/funding-and-awards, friendlyName=Open source</x:v>
      </x:c>
    </x:row>
    <x:row r="59" ht="46" customHeight="1">
      <x:c r="A59" s="17" t="str">
        <x:v>stage3src:ed53e595d1aa3667f920</x:v>
      </x:c>
      <x:c r="B59" s="17" t="str">
        <x:v>program</x:v>
      </x:c>
      <x:c r="C59" s="17" t="str">
        <x:v>University of Waterloo</x:v>
      </x:c>
      <x:c r="D59" s="17" t="str">
        <x:v>ca:dli:O19305471522:program:direct-entry-phd:phd-in-computer-science-direct-from-bachelor-s-exception</x:v>
      </x:c>
      <x:c r="E59" s="17" t="str"/>
      <x:c r="F59" s="17" t="str">
        <x:v>eligibility|program</x:v>
      </x:c>
      <x:c r="G59" s="17" t="str">
        <x:v>Exceptional bachelor's applicants may be considered for direct PhD entry and should expect about six years.</x:v>
      </x:c>
      <x:c r="H59" s="17" t="str">
        <x:v>Computer Science graduate programs</x:v>
      </x:c>
      <x:c r="I59" s="17" t="str">
        <x:v>University of Waterloo</x:v>
      </x:c>
      <x:c r="J59" s="17" t="str">
        <x:v>official</x:v>
      </x:c>
      <x:c r="K59" s="17" t="str">
        <x:v>2026-09-09</x:v>
      </x:c>
      <x:c r="L59" s="17" t="str">
        <x:v>current</x:v>
      </x:c>
      <x:c r="M59" s="17" t="str">
        <x:v>high</x:v>
      </x:c>
      <x:c r="N59" s="17" t="str">
        <x:v>opened/current</x:v>
      </x:c>
      <x:c r="O59" s="17" t="str">
        <x:v>No search snippet used as final evidence; URL/page content reviewed.</x:v>
      </x:c>
      <x:c r="P59" s="18" t="e">
        <x:f>HYPERLINK("https://uwaterloo.ca/computer-science/future-graduate-students/programs","Open source")</x:f>
        <x:v>HYPERLINK is not implemented. linkLocation=https://uwaterloo.ca/computer-science/future-graduate-students/programs, friendlyName=Open source</x:v>
      </x:c>
    </x:row>
    <x:row r="60" ht="46" customHeight="1">
      <x:c r="A60" s="17" t="str">
        <x:v>stage3src:6011d1ad5ee3c7a887c2</x:v>
      </x:c>
      <x:c r="B60" s="17" t="str">
        <x:v>program</x:v>
      </x:c>
      <x:c r="C60" s="17" t="str">
        <x:v>University of Waterloo</x:v>
      </x:c>
      <x:c r="D60" s="17" t="str">
        <x:v>ca:dli:O19305471522:program:thesis-or-research-master-s:masc-in-systems-design-engineering</x:v>
      </x:c>
      <x:c r="E60" s="17" t="str"/>
      <x:c r="F60" s="17" t="str">
        <x:v>tuition|fees|funding</x:v>
      </x:c>
      <x:c r="G60" s="17" t="str">
        <x:v>Spring 2026 international research-master's tuition and incidental-fee amounts for the 2026–27 fee schedule.</x:v>
      </x:c>
      <x:c r="H60" s="17" t="str">
        <x:v>Master's and PhD program tuition — international students</x:v>
      </x:c>
      <x:c r="I60" s="17" t="str">
        <x:v>University of Waterloo Finance</x:v>
      </x:c>
      <x:c r="J60" s="17" t="str">
        <x:v>official</x:v>
      </x:c>
      <x:c r="K60" s="17" t="str">
        <x:v>2026-09-11</x:v>
      </x:c>
      <x:c r="L60" s="17" t="str">
        <x:v>2026–27 schedule checked 2026-09-11</x:v>
      </x:c>
      <x:c r="M60" s="17" t="str">
        <x:v>high</x:v>
      </x:c>
      <x:c r="N60" s="17" t="str">
        <x:v>official page checked</x:v>
      </x:c>
      <x:c r="O60" s="17" t="str"/>
      <x:c r="P60" s="18" t="e">
        <x:f>HYPERLINK("https://uwaterloo.ca/finance/masters-and-phd-program-tuition-spring-2026-international","Open source")</x:f>
        <x:v>HYPERLINK is not implemented. linkLocation=https://uwaterloo.ca/finance/masters-and-phd-program-tuition-spring-2026-international, friendlyName=Open source</x:v>
      </x:c>
    </x:row>
    <x:row r="61" ht="46" customHeight="1">
      <x:c r="A61" s="17" t="str">
        <x:v>stage3src:9f80b45a50c93b042a39</x:v>
      </x:c>
      <x:c r="B61" s="17" t="str">
        <x:v>program</x:v>
      </x:c>
      <x:c r="C61" s="17" t="str">
        <x:v>University of Waterloo</x:v>
      </x:c>
      <x:c r="D61" s="17" t="str">
        <x:v>ca:dli:O19305471522:program:thesis-or-research-master-s:masc-in-systems-design-engineering</x:v>
      </x:c>
      <x:c r="E61" s="17" t="str"/>
      <x:c r="F61" s="17" t="str">
        <x:v>program|research|admissions|eligibility|language|deadline</x:v>
      </x:c>
      <x:c r="G61" s="17" t="str">
        <x:v>Current MASc, 24-month thesis route, degree and math requirements, standing, English rules, and deadlines.</x:v>
      </x:c>
      <x:c r="H61" s="17" t="str">
        <x:v>Systems Design Engineering — MASc</x:v>
      </x:c>
      <x:c r="I61" s="17" t="str">
        <x:v>University of Waterloo</x:v>
      </x:c>
      <x:c r="J61" s="17" t="str">
        <x:v>official</x:v>
      </x:c>
      <x:c r="K61" s="17" t="str">
        <x:v>2026-09-11</x:v>
      </x:c>
      <x:c r="L61" s="17" t="str">
        <x:v>Current page checked 2026-09-11</x:v>
      </x:c>
      <x:c r="M61" s="17" t="str">
        <x:v>high</x:v>
      </x:c>
      <x:c r="N61" s="17" t="str">
        <x:v>official page checked</x:v>
      </x:c>
      <x:c r="O61" s="17" t="str"/>
      <x:c r="P61" s="18" t="e">
        <x:f>HYPERLINK("https://uwaterloo.ca/future-graduate-students/programs/by-faculty/engineering/systems-design-engineering-master-applied-science-masc","Open source")</x:f>
        <x:v>HYPERLINK is not implemented. linkLocation=https://uwaterloo.ca/future-graduate-students/programs/by-faculty/engineering/systems-design-engineering-master-applied-science-masc, friendlyName=Open source</x:v>
      </x:c>
    </x:row>
    <x:row r="62" ht="46" customHeight="1">
      <x:c r="A62" s="17" t="str">
        <x:v>stage3src:ce46b8f261894843adda</x:v>
      </x:c>
      <x:c r="B62" s="17" t="str">
        <x:v>program</x:v>
      </x:c>
      <x:c r="C62" s="17" t="str">
        <x:v>University of Waterloo</x:v>
      </x:c>
      <x:c r="D62" s="17" t="str">
        <x:v>ca:dli:O19305471522:program:thesis-or-research-master-s:masc-in-systems-design-engineering</x:v>
      </x:c>
      <x:c r="E62" s="17" t="str"/>
      <x:c r="F62" s="17" t="str">
        <x:v>admissions|fees|funding|tuition|summer</x:v>
      </x:c>
      <x:c r="G62" s="17" t="str">
        <x:v>Mandatory supervisor, per-program fee and no-waiver rule, two-year CAD 18000 annual funding minimum, and personal-funds warning.</x:v>
      </x:c>
      <x:c r="H62" s="17" t="str">
        <x:v>Future Students FAQ</x:v>
      </x:c>
      <x:c r="I62" s="17" t="str">
        <x:v>University of Waterloo Systems Design Engineering</x:v>
      </x:c>
      <x:c r="J62" s="17" t="str">
        <x:v>official</x:v>
      </x:c>
      <x:c r="K62" s="17" t="str">
        <x:v>2026-09-11</x:v>
      </x:c>
      <x:c r="L62" s="17" t="str">
        <x:v>Current page checked 2026-09-11</x:v>
      </x:c>
      <x:c r="M62" s="17" t="str">
        <x:v>high</x:v>
      </x:c>
      <x:c r="N62" s="17" t="str">
        <x:v>official page checked</x:v>
      </x:c>
      <x:c r="O62" s="17" t="str"/>
      <x:c r="P62" s="18" t="e">
        <x:f>HYPERLINK("https://uwaterloo.ca/systems-design-engineering/graduate-studies/future-students/faq","Open source")</x:f>
        <x:v>HYPERLINK is not implemented. linkLocation=https://uwaterloo.ca/systems-design-engineering/graduate-studies/future-students/faq, friendlyName=Open source</x:v>
      </x:c>
    </x:row>
    <x:row r="63" ht="46" customHeight="1">
      <x:c r="A63" s="17" t="str">
        <x:v>stage3src:1fb7f61041e3254d17c6</x:v>
      </x:c>
      <x:c r="B63" s="17" t="str">
        <x:v>program</x:v>
      </x:c>
      <x:c r="C63" s="17" t="str">
        <x:v>University of Waterloo</x:v>
      </x:c>
      <x:c r="D63" s="17" t="str">
        <x:v>ca:dli:O19305471522:program:thesis-or-research-master-s:master-of-applied-science-in-electrical-and-computer-engineering</x:v>
      </x:c>
      <x:c r="E63" s="17" t="str"/>
      <x:c r="F63" s="17" t="str">
        <x:v>program|research|admissions|eligibility|deadline</x:v>
      </x:c>
      <x:c r="G63" s="17" t="str">
        <x:v>Current two-year ECE MASc, original research, thesis, application route, and required eventual supervisor endorsement.</x:v>
      </x:c>
      <x:c r="H63" s="17" t="str">
        <x:v>Master of Applied Science (MASc)</x:v>
      </x:c>
      <x:c r="I63" s="17" t="str">
        <x:v>University of Waterloo ECE</x:v>
      </x:c>
      <x:c r="J63" s="17" t="str">
        <x:v>official</x:v>
      </x:c>
      <x:c r="K63" s="17" t="str">
        <x:v>2026-09-10</x:v>
      </x:c>
      <x:c r="L63" s="17" t="str">
        <x:v>Current page; recurring September deadline</x:v>
      </x:c>
      <x:c r="M63" s="17" t="str">
        <x:v>high</x:v>
      </x:c>
      <x:c r="N63" s="17" t="str">
        <x:v>official page checked</x:v>
      </x:c>
      <x:c r="O63" s="17" t="str"/>
      <x:c r="P63" s="18" t="e">
        <x:f>HYPERLINK("https://uwaterloo.ca/electrical-computer-engineering/master-applied-science-masc","Open source")</x:f>
        <x:v>HYPERLINK is not implemented. linkLocation=https://uwaterloo.ca/electrical-computer-engineering/master-applied-science-masc, friendlyName=Open source</x:v>
      </x:c>
    </x:row>
    <x:row r="64" ht="46" customHeight="1">
      <x:c r="A64" s="17" t="str">
        <x:v>stage3src:2198d14acd1fa45fec24</x:v>
      </x:c>
      <x:c r="B64" s="17" t="str">
        <x:v>program</x:v>
      </x:c>
      <x:c r="C64" s="17" t="str">
        <x:v>University of Waterloo</x:v>
      </x:c>
      <x:c r="D64" s="17" t="str">
        <x:v>ca:dli:O19305471522:program:thesis-or-research-master-s:master-of-applied-science-in-electrical-and-computer-engineering</x:v>
      </x:c>
      <x:c r="E64" s="17" t="str"/>
      <x:c r="F64" s="17" t="str">
        <x:v>admissions|eligibility|funding|tuition|fees</x:v>
      </x:c>
      <x:c r="G64" s="17" t="str">
        <x:v>Related computer-science bachelor's route, multiple-application rules, and CAD 18,000 annual guaranteed minimum for two-year domestic and international MASc students.</x:v>
      </x:c>
      <x:c r="H64" s="17" t="str">
        <x:v>Thinking of Applying</x:v>
      </x:c>
      <x:c r="I64" s="17" t="str">
        <x:v>University of Waterloo ECE</x:v>
      </x:c>
      <x:c r="J64" s="17" t="str">
        <x:v>official</x:v>
      </x:c>
      <x:c r="K64" s="17" t="str">
        <x:v>2026-09-10</x:v>
      </x:c>
      <x:c r="L64" s="17" t="str">
        <x:v>Current FAQ checked 2026-09-10</x:v>
      </x:c>
      <x:c r="M64" s="17" t="str">
        <x:v>high</x:v>
      </x:c>
      <x:c r="N64" s="17" t="str">
        <x:v>official page checked</x:v>
      </x:c>
      <x:c r="O64" s="17" t="str"/>
      <x:c r="P64" s="18" t="e">
        <x:f>HYPERLINK("https://uwaterloo.ca/electrical-computer-engineering/thinking-applying","Open source")</x:f>
        <x:v>HYPERLINK is not implemented. linkLocation=https://uwaterloo.ca/electrical-computer-engineering/thinking-applying, friendlyName=Open source</x:v>
      </x:c>
    </x:row>
    <x:row r="65" ht="46" customHeight="1">
      <x:c r="A65" s="17" t="str">
        <x:v>stage3src:12ea7ecfced5133b69c0</x:v>
      </x:c>
      <x:c r="B65" s="17" t="str">
        <x:v>program</x:v>
      </x:c>
      <x:c r="C65" s="17" t="str">
        <x:v>University of Waterloo</x:v>
      </x:c>
      <x:c r="D65" s="17" t="str">
        <x:v>ca:dli:O19305471522:program:thesis-or-research-master-s:mmath-in-computer-science-thesis</x:v>
      </x:c>
      <x:c r="E65" s="17" t="str"/>
      <x:c r="F65" s="17" t="str">
        <x:v>deadline|eligibility|admissions|program</x:v>
      </x:c>
      <x:c r="G65" s="17" t="str">
        <x:v>MMath is a 24-month research master's; admission is thesis-only; September deadline is December 1; bachelor minimum is 78%.</x:v>
      </x:c>
      <x:c r="H65" s="17" t="str">
        <x:v>Computer Science - Master of Math</x:v>
      </x:c>
      <x:c r="I65" s="17" t="str">
        <x:v>University of Waterloo</x:v>
      </x:c>
      <x:c r="J65" s="17" t="str">
        <x:v>official</x:v>
      </x:c>
      <x:c r="K65" s="17" t="str">
        <x:v>2026-09-09</x:v>
      </x:c>
      <x:c r="L65" s="17" t="str">
        <x:v>Fall 2027/current</x:v>
      </x:c>
      <x:c r="M65" s="17" t="str">
        <x:v>high</x:v>
      </x:c>
      <x:c r="N65" s="17" t="str">
        <x:v>opened/current</x:v>
      </x:c>
      <x:c r="O65" s="17" t="str">
        <x:v>No search snippet used as final evidence; URL/page content reviewed.</x:v>
      </x:c>
      <x:c r="P65" s="18" t="e">
        <x:f>HYPERLINK("https://uwaterloo.ca/future-graduate-students/programs/by-faculty/math/computer-science-master-math-mmath","Open source")</x:f>
        <x:v>HYPERLINK is not implemented. linkLocation=https://uwaterloo.ca/future-graduate-students/programs/by-faculty/math/computer-science-master-math-mmath, friendlyName=Open source</x:v>
      </x:c>
    </x:row>
    <x:row r="66" ht="46" customHeight="1">
      <x:c r="A66" s="17" t="str">
        <x:v>stage3src:776c4f843b079e996c5a</x:v>
      </x:c>
      <x:c r="B66" s="17" t="str">
        <x:v>program</x:v>
      </x:c>
      <x:c r="C66" s="17" t="str">
        <x:v>University of Waterloo</x:v>
      </x:c>
      <x:c r="D66" s="17" t="str">
        <x:v>ca:dli:O19305471522:program:thesis-or-research-master-s:mmath-in-computer-science-thesis</x:v>
      </x:c>
      <x:c r="E66" s="17" t="str"/>
      <x:c r="F66" s="17" t="str">
        <x:v>fees|admissions</x:v>
      </x:c>
      <x:c r="G66" s="17" t="str">
        <x:v>Graduate application fee is $150 CAD per program.</x:v>
      </x:c>
      <x:c r="H66" s="17" t="str">
        <x:v>How to apply</x:v>
      </x:c>
      <x:c r="I66" s="17" t="str">
        <x:v>University of Waterloo</x:v>
      </x:c>
      <x:c r="J66" s="17" t="str">
        <x:v>official</x:v>
      </x:c>
      <x:c r="K66" s="17" t="str">
        <x:v>2026-09-09</x:v>
      </x:c>
      <x:c r="L66" s="17" t="str">
        <x:v>current</x:v>
      </x:c>
      <x:c r="M66" s="17" t="str">
        <x:v>high</x:v>
      </x:c>
      <x:c r="N66" s="17" t="str">
        <x:v>opened/current</x:v>
      </x:c>
      <x:c r="O66" s="17" t="str">
        <x:v>No search snippet used as final evidence; URL/page content reviewed.</x:v>
      </x:c>
      <x:c r="P66" s="18" t="e">
        <x:f>HYPERLINK("https://uwaterloo.ca/future-graduate-students/admissions/how-to-apply","Open source")</x:f>
        <x:v>HYPERLINK is not implemented. linkLocation=https://uwaterloo.ca/future-graduate-students/admissions/how-to-apply, friendlyName=Open source</x:v>
      </x:c>
    </x:row>
    <x:row r="67" ht="46" customHeight="1">
      <x:c r="A67" s="17" t="str">
        <x:v>stage3src:ca85b85eedd3317988af</x:v>
      </x:c>
      <x:c r="B67" s="17" t="str">
        <x:v>program</x:v>
      </x:c>
      <x:c r="C67" s="17" t="str">
        <x:v>University of Waterloo</x:v>
      </x:c>
      <x:c r="D67" s="17" t="str">
        <x:v>ca:dli:O19305471522:program:thesis-or-research-master-s:mmath-in-computer-science-thesis</x:v>
      </x:c>
      <x:c r="E67" s="17" t="str"/>
      <x:c r="F67" s="17" t="str">
        <x:v>funding|eligibility|program</x:v>
      </x:c>
      <x:c r="G67" s="17" t="str">
        <x:v>All full-time MMath/PhD students receive packages; Fall 2026 international MMath first-year package is $51,990.</x:v>
      </x:c>
      <x:c r="H67" s="17" t="str">
        <x:v>Funding and awards</x:v>
      </x:c>
      <x:c r="I67" s="17" t="str">
        <x:v>University of Waterloo</x:v>
      </x:c>
      <x:c r="J67" s="17" t="str">
        <x:v>official</x:v>
      </x:c>
      <x:c r="K67" s="17" t="str">
        <x:v>2026-09-09</x:v>
      </x:c>
      <x:c r="L67" s="17" t="str">
        <x:v>2026-27</x:v>
      </x:c>
      <x:c r="M67" s="17" t="str">
        <x:v>high</x:v>
      </x:c>
      <x:c r="N67" s="17" t="str">
        <x:v>opened; cycle limits recorded</x:v>
      </x:c>
      <x:c r="O67" s="17" t="str">
        <x:v>No search snippet used as final evidence; URL/page content reviewed.</x:v>
      </x:c>
      <x:c r="P67" s="18" t="e">
        <x:f>HYPERLINK("https://uwaterloo.ca/computer-science/current-graduate-students/funding-and-awards","Open source")</x:f>
        <x:v>HYPERLINK is not implemented. linkLocation=https://uwaterloo.ca/computer-science/current-graduate-students/funding-and-awards, friendlyName=Open source</x:v>
      </x:c>
    </x:row>
    <x:row r="68" ht="46" customHeight="1">
      <x:c r="A68" s="17" t="str">
        <x:v>stage3src:1626489b2d8086a2fece</x:v>
      </x:c>
      <x:c r="B68" s="17" t="str">
        <x:v>program</x:v>
      </x:c>
      <x:c r="C68" s="17" t="str">
        <x:v>Ontario Tech University</x:v>
      </x:c>
      <x:c r="D68" s="17" t="str">
        <x:v>ca:dli:O19315945002:program:thesis-or-research-master-s:electrical-and-computer-engineering-masc</x:v>
      </x:c>
      <x:c r="E68" s="17" t="str"/>
      <x:c r="F68" s="17" t="str">
        <x:v>program|research|admissions|eligibility|language|deadline|funding|tuition</x:v>
      </x:c>
      <x:c r="G68" s="17" t="str">
        <x:v>Current two-year thesis ECE MASc, Software Systems field, admission standards, supervisor dependence, and automatic internal-funding consideration.</x:v>
      </x:c>
      <x:c r="H68" s="17" t="str">
        <x:v>Electrical and Computer Engineering Master's Programs</x:v>
      </x:c>
      <x:c r="I68" s="17" t="str">
        <x:v>Ontario Tech University</x:v>
      </x:c>
      <x:c r="J68" s="17" t="str">
        <x:v>official</x:v>
      </x:c>
      <x:c r="K68" s="17" t="str">
        <x:v>2026-09-11</x:v>
      </x:c>
      <x:c r="L68" s="17" t="str">
        <x:v>Current page checked 2026-09-11; Fall 2027 not published</x:v>
      </x:c>
      <x:c r="M68" s="17" t="str">
        <x:v>high</x:v>
      </x:c>
      <x:c r="N68" s="17" t="str">
        <x:v>official page checked</x:v>
      </x:c>
      <x:c r="O68" s="17" t="str"/>
      <x:c r="P68" s="18" t="e">
        <x:f>HYPERLINK("https://gradstudies.ontariotechu.ca/future_students/programs/masters_programs/electrical_and_computer_engineering/index.php","Open source")</x:f>
        <x:v>HYPERLINK is not implemented. linkLocation=https://gradstudies.ontariotechu.ca/future_students/programs/masters_programs/electrical_and_computer_engineering/index.php, friendlyName=Open source</x:v>
      </x:c>
    </x:row>
    <x:row r="69" ht="46" customHeight="1">
      <x:c r="A69" s="17" t="str">
        <x:v>stage3src:8ed7effc5d1df2834ccf</x:v>
      </x:c>
      <x:c r="B69" s="17" t="str">
        <x:v>program</x:v>
      </x:c>
      <x:c r="C69" s="17" t="str">
        <x:v>Ontario Tech University</x:v>
      </x:c>
      <x:c r="D69" s="17" t="str">
        <x:v>ca:dli:O19315945002:program:thesis-or-research-master-s:electrical-and-computer-engineering-masc</x:v>
      </x:c>
      <x:c r="E69" s="17" t="str"/>
      <x:c r="F69" s="17" t="str">
        <x:v>funding|tuition|fees|health|summer</x:v>
      </x:c>
      <x:c r="G69" s="17" t="str">
        <x:v>MASc access to scholarships, TA and RA mechanisms normally included in guaranteed funding packages when awarded.</x:v>
      </x:c>
      <x:c r="H69" s="17" t="str">
        <x:v>Financial Aid</x:v>
      </x:c>
      <x:c r="I69" s="17" t="str">
        <x:v>Ontario Tech University</x:v>
      </x:c>
      <x:c r="J69" s="17" t="str">
        <x:v>official</x:v>
      </x:c>
      <x:c r="K69" s="17" t="str">
        <x:v>2026-09-11</x:v>
      </x:c>
      <x:c r="L69" s="17" t="str">
        <x:v>Current page checked 2026-09-11</x:v>
      </x:c>
      <x:c r="M69" s="17" t="str">
        <x:v>high</x:v>
      </x:c>
      <x:c r="N69" s="17" t="str">
        <x:v>official page checked</x:v>
      </x:c>
      <x:c r="O69" s="17" t="str"/>
      <x:c r="P69" s="18" t="e">
        <x:f>HYPERLINK("https://engineering.ontariotechu.ca/future-students/graduate/unpublished-financial-aid.php","Open source")</x:f>
        <x:v>HYPERLINK is not implemented. linkLocation=https://engineering.ontariotechu.ca/future-students/graduate/unpublished-financial-aid.php, friendlyName=Open source</x:v>
      </x:c>
    </x:row>
    <x:row r="70" ht="46" customHeight="1">
      <x:c r="A70" s="17" t="str">
        <x:v>stage3src:2dc6a17552d065a1c947</x:v>
      </x:c>
      <x:c r="B70" s="17" t="str">
        <x:v>program</x:v>
      </x:c>
      <x:c r="C70" s="17" t="str">
        <x:v>Ontario Tech University</x:v>
      </x:c>
      <x:c r="D70" s="17" t="str">
        <x:v>ca:dli:O19315945002:program:thesis-or-research-master-s:msc-in-computer-science</x:v>
      </x:c>
      <x:c r="E70" s="17" t="str"/>
      <x:c r="F70" s="17" t="str">
        <x:v>program</x:v>
      </x:c>
      <x:c r="G70" s="17" t="str">
        <x:v>The official page identifies MSc in Computer Science and contains research/thesis evidence.</x:v>
      </x:c>
      <x:c r="H70" s="17" t="str">
        <x:v>Computer Science | Faculty of Science</x:v>
      </x:c>
      <x:c r="I70" s="17" t="str">
        <x:v>Ontario Tech University</x:v>
      </x:c>
      <x:c r="J70" s="17" t="str">
        <x:v>official</x:v>
      </x:c>
      <x:c r="K70" s="17" t="str">
        <x:v>2026-09-09</x:v>
      </x:c>
      <x:c r="L70" s="17" t="str">
        <x:v>Current page; Fall 2027 dates not assumed</x:v>
      </x:c>
      <x:c r="M70" s="17" t="str">
        <x:v>High for program existence and research structure</x:v>
      </x:c>
      <x:c r="N70" s="17" t="str">
        <x:v>opened</x:v>
      </x:c>
      <x:c r="O70" s="17" t="str">
        <x:v>HTTP 200; page SHA-256 in evidence file</x:v>
      </x:c>
      <x:c r="P70" s="18" t="e">
        <x:f>HYPERLINK("https://science.ontariotechu.ca/graduate/computer-science/index.php","Open source")</x:f>
        <x:v>HYPERLINK is not implemented. linkLocation=https://science.ontariotechu.ca/graduate/computer-science/index.php, friendlyName=Open source</x:v>
      </x:c>
    </x:row>
    <x:row r="71" ht="46" customHeight="1">
      <x:c r="A71" s="17" t="str">
        <x:v>stage3src:4da7af0734164b6dc4dc</x:v>
      </x:c>
      <x:c r="B71" s="17" t="str">
        <x:v>program</x:v>
      </x:c>
      <x:c r="C71" s="17" t="str">
        <x:v>Ontario Tech University</x:v>
      </x:c>
      <x:c r="D71" s="17" t="str">
        <x:v>ca:dli:O19315945002:program:thesis-or-research-master-s:software-engineering-masc</x:v>
      </x:c>
      <x:c r="E71" s="17" t="str"/>
      <x:c r="F71" s="17" t="str">
        <x:v>program|admissions|eligibility|language|funding</x:v>
      </x:c>
      <x:c r="G71" s="17" t="str">
        <x:v>Exact thesis MASc, relevant CS bachelor's route, B floor, mandatory supervisor, 24-month structure, and automatic internal funding consideration.</x:v>
      </x:c>
      <x:c r="H71" s="17" t="str">
        <x:v>Software Engineering (MASc and MEng)</x:v>
      </x:c>
      <x:c r="I71" s="17" t="str">
        <x:v>Ontario Tech University School of Graduate and Postdoctoral Studies</x:v>
      </x:c>
      <x:c r="J71" s="17" t="str">
        <x:v>official</x:v>
      </x:c>
      <x:c r="K71" s="17" t="str">
        <x:v>2026-09-10</x:v>
      </x:c>
      <x:c r="L71" s="17" t="str">
        <x:v>Current page checked 2026-09-10</x:v>
      </x:c>
      <x:c r="M71" s="17" t="str">
        <x:v>high</x:v>
      </x:c>
      <x:c r="N71" s="17" t="str">
        <x:v>official page checked</x:v>
      </x:c>
      <x:c r="O71" s="17" t="str"/>
      <x:c r="P71" s="18" t="e">
        <x:f>HYPERLINK("https://gradstudies.ontariotechu.ca/future_students/programs/masters_programs/software_engineering/index.php","Open source")</x:f>
        <x:v>HYPERLINK is not implemented. linkLocation=https://gradstudies.ontariotechu.ca/future_students/programs/masters_programs/software_engineering/index.php, friendlyName=Open source</x:v>
      </x:c>
    </x:row>
    <x:row r="72" ht="46" customHeight="1">
      <x:c r="A72" s="17" t="str">
        <x:v>stage3src:7d8a4e834a516fa7a451</x:v>
      </x:c>
      <x:c r="B72" s="17" t="str">
        <x:v>program</x:v>
      </x:c>
      <x:c r="C72" s="17" t="str">
        <x:v>Ontario Tech University</x:v>
      </x:c>
      <x:c r="D72" s="17" t="str">
        <x:v>ca:dli:O19315945002:program:thesis-or-research-master-s:software-engineering-masc</x:v>
      </x:c>
      <x:c r="E72" s="17" t="str"/>
      <x:c r="F72" s="17" t="str">
        <x:v>admissions|deadline</x:v>
      </x:c>
      <x:c r="G72" s="17" t="str">
        <x:v>February 1, 2027 international deadline for the September 2027 Software Engineering MASc intake.</x:v>
      </x:c>
      <x:c r="H72" s="17" t="str">
        <x:v>Check Application Deadlines</x:v>
      </x:c>
      <x:c r="I72" s="17" t="str">
        <x:v>Ontario Tech University School of Graduate and Postdoctoral Studies</x:v>
      </x:c>
      <x:c r="J72" s="17" t="str">
        <x:v>official</x:v>
      </x:c>
      <x:c r="K72" s="17" t="str">
        <x:v>2026-09-10</x:v>
      </x:c>
      <x:c r="L72" s="17" t="str">
        <x:v>Fall 2027 explicitly published</x:v>
      </x:c>
      <x:c r="M72" s="17" t="str">
        <x:v>high</x:v>
      </x:c>
      <x:c r="N72" s="17" t="str">
        <x:v>official page checked</x:v>
      </x:c>
      <x:c r="O72" s="17" t="str"/>
      <x:c r="P72" s="18" t="e">
        <x:f>HYPERLINK("https://gradstudies.ontariotechu.ca/future_students/application_process_and_requirement/step%202/index.php","Open source")</x:f>
        <x:v>HYPERLINK is not implemented. linkLocation=https://gradstudies.ontariotechu.ca/future_students/application_process_and_requirement/step%202/index.php, friendlyName=Open source</x:v>
      </x:c>
    </x:row>
    <x:row r="73" ht="46" customHeight="1">
      <x:c r="A73" s="17" t="str">
        <x:v>stage3src:9b4d95173a262c3291e0</x:v>
      </x:c>
      <x:c r="B73" s="17" t="str">
        <x:v>program</x:v>
      </x:c>
      <x:c r="C73" s="17" t="str">
        <x:v>Ontario Tech University</x:v>
      </x:c>
      <x:c r="D73" s="17" t="str">
        <x:v>ca:dli:O19315945002:program:thesis-or-research-master-s:software-engineering-masc</x:v>
      </x:c>
      <x:c r="E73" s="17" t="str"/>
      <x:c r="F73" s="17" t="str">
        <x:v>admissions|fees</x:v>
      </x:c>
      <x:c r="G73" s="17" t="str">
        <x:v>CAD 110 nonrefundable fee per program choice and concurrent-registration restriction.</x:v>
      </x:c>
      <x:c r="H73" s="17" t="str">
        <x:v>Graduate Application Disclaimer</x:v>
      </x:c>
      <x:c r="I73" s="17" t="str">
        <x:v>Ontario Tech University School of Graduate and Postdoctoral Studies</x:v>
      </x:c>
      <x:c r="J73" s="17" t="str">
        <x:v>official</x:v>
      </x:c>
      <x:c r="K73" s="17" t="str">
        <x:v>2026-09-10</x:v>
      </x:c>
      <x:c r="L73" s="17" t="str">
        <x:v>Current policy checked 2026-09-10</x:v>
      </x:c>
      <x:c r="M73" s="17" t="str">
        <x:v>high</x:v>
      </x:c>
      <x:c r="N73" s="17" t="str">
        <x:v>official page checked</x:v>
      </x:c>
      <x:c r="O73" s="17" t="str"/>
      <x:c r="P73" s="18" t="e">
        <x:f>HYPERLINK("https://gradstudies.ontariotechu.ca/future_students/application_process_and_requirement/step%204/disclaimer.php","Open source")</x:f>
        <x:v>HYPERLINK is not implemented. linkLocation=https://gradstudies.ontariotechu.ca/future_students/application_process_and_requirement/step%204/disclaimer.php, friendlyName=Open source</x:v>
      </x:c>
    </x:row>
    <x:row r="74" ht="46" customHeight="1">
      <x:c r="A74" s="17" t="str">
        <x:v>stage3src:f911854565405881f967</x:v>
      </x:c>
      <x:c r="B74" s="17" t="str">
        <x:v>program</x:v>
      </x:c>
      <x:c r="C74" s="17" t="str">
        <x:v>Ontario Tech University</x:v>
      </x:c>
      <x:c r="D74" s="17" t="str">
        <x:v>ca:dli:O19315945002:program:thesis-or-research-master-s:software-engineering-masc</x:v>
      </x:c>
      <x:c r="E74" s="17" t="str"/>
      <x:c r="F74" s="17" t="str">
        <x:v>funding|tuition|fees</x:v>
      </x:c>
      <x:c r="G74" s="17" t="str">
        <x:v>April 2026 faculty form requires a CAD 16,000 annual MASc minimum and verifies supervisor GRA funds, with TA and RA components allowed.</x:v>
      </x:c>
      <x:c r="H74" s="17" t="str">
        <x:v>Agreement of Faculty Members to Supervise and Fund a Graduate Student</x:v>
      </x:c>
      <x:c r="I74" s="17" t="str">
        <x:v>Ontario Tech University Faculty of Engineering and Applied Science</x:v>
      </x:c>
      <x:c r="J74" s="17" t="str">
        <x:v>official</x:v>
      </x:c>
      <x:c r="K74" s="17" t="str">
        <x:v>2026-09-10</x:v>
      </x:c>
      <x:c r="L74" s="17" t="str">
        <x:v>Form updated April 2026</x:v>
      </x:c>
      <x:c r="M74" s="17" t="str">
        <x:v>high</x:v>
      </x:c>
      <x:c r="N74" s="17" t="str">
        <x:v>official page checked</x:v>
      </x:c>
      <x:c r="O74" s="17" t="str"/>
      <x:c r="P74" s="18" t="e">
        <x:f>HYPERLINK("https://shared.ontariotechu.ca/shared/faculty/feas/documents/graduate/feas-form-1-supervisory-agreement-form.pdf","Open source")</x:f>
        <x:v>HYPERLINK is not implemented. linkLocation=https://shared.ontariotechu.ca/shared/faculty/feas/documents/graduate/feas-form-1-supervisory-agreement-form.pdf, friendlyName=Open source</x:v>
      </x:c>
    </x:row>
    <x:row r="75" ht="46" customHeight="1">
      <x:c r="A75" s="17" t="str">
        <x:v>stage3src:9c44882e6c216372d0d4</x:v>
      </x:c>
      <x:c r="B75" s="17" t="str">
        <x:v>program</x:v>
      </x:c>
      <x:c r="C75" s="17" t="str">
        <x:v>University of British Columbia</x:v>
      </x:c>
      <x:c r="D75" s="17" t="str">
        <x:v>ca:dli:O19330231062:program:integrated-or-structured-doctorate:phd-track-via-msc</x:v>
      </x:c>
      <x:c r="E75" s="17" t="str"/>
      <x:c r="F75" s="17" t="str">
        <x:v>funding|deadline|program</x:v>
      </x:c>
      <x:c r="G75" s="17" t="str">
        <x:v>UBC offers funded research MSc, PhD and PhD Track; deadline is December 15, 2026 for September 2027/January 2028.</x:v>
      </x:c>
      <x:c r="H75" s="17" t="str">
        <x:v>Admissions</x:v>
      </x:c>
      <x:c r="I75" s="17" t="str">
        <x:v>UBC Computer Science</x:v>
      </x:c>
      <x:c r="J75" s="17" t="str">
        <x:v>official</x:v>
      </x:c>
      <x:c r="K75" s="17" t="str">
        <x:v>2026-09-09</x:v>
      </x:c>
      <x:c r="L75" s="17" t="str">
        <x:v>Fall 2027</x:v>
      </x:c>
      <x:c r="M75" s="17" t="str">
        <x:v>high</x:v>
      </x:c>
      <x:c r="N75" s="17" t="str">
        <x:v>opened/current</x:v>
      </x:c>
      <x:c r="O75" s="17" t="str">
        <x:v>No search snippet used as final evidence; URL/page content reviewed.</x:v>
      </x:c>
      <x:c r="P75" s="18" t="e">
        <x:f>HYPERLINK("https://www.cs.ubc.ca/students/grad/admissions","Open source")</x:f>
        <x:v>HYPERLINK is not implemented. linkLocation=https://www.cs.ubc.ca/students/grad/admissions, friendlyName=Open source</x:v>
      </x:c>
    </x:row>
    <x:row r="76" ht="46" customHeight="1">
      <x:c r="A76" s="17" t="str">
        <x:v>stage3src:a3bc5e7b415ec5a86780</x:v>
      </x:c>
      <x:c r="B76" s="17" t="str">
        <x:v>program</x:v>
      </x:c>
      <x:c r="C76" s="17" t="str">
        <x:v>University of British Columbia</x:v>
      </x:c>
      <x:c r="D76" s="17" t="str">
        <x:v>ca:dli:O19330231062:program:integrated-or-structured-doctorate:phd-track-via-msc</x:v>
      </x:c>
      <x:c r="E76" s="17" t="str"/>
      <x:c r="F76" s="17" t="str">
        <x:v>funding|eligibility|program</x:v>
      </x:c>
      <x:c r="G76" s="17" t="str">
        <x:v>2026-27 international MSc package totals $42,107 with $30,467 listed net in year one; minimum guaranteed two years.</x:v>
      </x:c>
      <x:c r="H76" s="17" t="str">
        <x:v>Stipends &amp; Support Details 2026-2027</x:v>
      </x:c>
      <x:c r="I76" s="17" t="str">
        <x:v>UBC Computer Science</x:v>
      </x:c>
      <x:c r="J76" s="17" t="str">
        <x:v>official</x:v>
      </x:c>
      <x:c r="K76" s="17" t="str">
        <x:v>2026-09-09</x:v>
      </x:c>
      <x:c r="L76" s="17" t="str">
        <x:v>2026-27</x:v>
      </x:c>
      <x:c r="M76" s="17" t="str">
        <x:v>high</x:v>
      </x:c>
      <x:c r="N76" s="17" t="str">
        <x:v>opened; cycle limits recorded</x:v>
      </x:c>
      <x:c r="O76" s="17" t="str">
        <x:v>No search snippet used as final evidence; URL/page content reviewed.</x:v>
      </x:c>
      <x:c r="P76" s="18" t="e">
        <x:f>HYPERLINK("https://www.cs.ubc.ca/grads/awards-support-current-grad-students/financial-assistantship/stipends-support-details-2026-2027","Open source")</x:f>
        <x:v>HYPERLINK is not implemented. linkLocation=https://www.cs.ubc.ca/grads/awards-support-current-grad-students/financial-assistantship/stipends-support-details-2026-2027, friendlyName=Open source</x:v>
      </x:c>
    </x:row>
    <x:row r="77" ht="46" customHeight="1">
      <x:c r="A77" s="17" t="str">
        <x:v>stage3src:fe2c0ccca3f8804afaa8</x:v>
      </x:c>
      <x:c r="B77" s="17" t="str">
        <x:v>program</x:v>
      </x:c>
      <x:c r="C77" s="17" t="str">
        <x:v>University of British Columbia</x:v>
      </x:c>
      <x:c r="D77" s="17" t="str">
        <x:v>ca:dli:O19330231062:program:integrated-or-structured-doctorate:phd-track-via-msc</x:v>
      </x:c>
      <x:c r="E77" s="17" t="str"/>
      <x:c r="F77" s="17" t="str">
        <x:v>eligibility|program</x:v>
      </x:c>
      <x:c r="G77" s="17" t="str">
        <x:v>MSc accepts four-year bachelor's; PhD Track selects exceptional MSc applicants without a master's.</x:v>
      </x:c>
      <x:c r="H77" s="17" t="str">
        <x:v>Eligibility</x:v>
      </x:c>
      <x:c r="I77" s="17" t="str">
        <x:v>UBC Computer Science</x:v>
      </x:c>
      <x:c r="J77" s="17" t="str">
        <x:v>official</x:v>
      </x:c>
      <x:c r="K77" s="17" t="str">
        <x:v>2026-09-09</x:v>
      </x:c>
      <x:c r="L77" s="17" t="str">
        <x:v>current</x:v>
      </x:c>
      <x:c r="M77" s="17" t="str">
        <x:v>high</x:v>
      </x:c>
      <x:c r="N77" s="17" t="str">
        <x:v>opened/current</x:v>
      </x:c>
      <x:c r="O77" s="17" t="str">
        <x:v>No search snippet used as final evidence; URL/page content reviewed.</x:v>
      </x:c>
      <x:c r="P77" s="18" t="e">
        <x:f>HYPERLINK("https://www.cs.ubc.ca/students/grad/admissions/eligibility","Open source")</x:f>
        <x:v>HYPERLINK is not implemented. linkLocation=https://www.cs.ubc.ca/students/grad/admissions/eligibility, friendlyName=Open source</x:v>
      </x:c>
    </x:row>
    <x:row r="78" ht="46" customHeight="1">
      <x:c r="A78" s="17" t="str">
        <x:v>stage3src:37f895152248e6a0d513</x:v>
      </x:c>
      <x:c r="B78" s="17" t="str">
        <x:v>program</x:v>
      </x:c>
      <x:c r="C78" s="17" t="str">
        <x:v>University of British Columbia</x:v>
      </x:c>
      <x:c r="D78" s="17" t="str">
        <x:v>ca:dli:O19330231062:program:thesis-or-research-master-s:master-of-applied-science-in-electrical-and-computer-engineering</x:v>
      </x:c>
      <x:c r="E78" s="17" t="str"/>
      <x:c r="F78" s="17" t="str">
        <x:v>funding|conditions|international</x:v>
      </x:c>
      <x:c r="G78" s="17" t="str">
        <x:v>Majority of MASc and PhD students without major scholarships receive supervisor RAs; RA eligibility covers all research students.</x:v>
      </x:c>
      <x:c r="H78" s="17" t="str">
        <x:v>Scholarships, Awards + Funding</x:v>
      </x:c>
      <x:c r="I78" s="17" t="str">
        <x:v>UBC Engineering</x:v>
      </x:c>
      <x:c r="J78" s="17" t="str">
        <x:v>official</x:v>
      </x:c>
      <x:c r="K78" s="17" t="str">
        <x:v>2026-09-11</x:v>
      </x:c>
      <x:c r="L78" s="17" t="str">
        <x:v>Current funding page checked 2026-09-11</x:v>
      </x:c>
      <x:c r="M78" s="17" t="str">
        <x:v>high</x:v>
      </x:c>
      <x:c r="N78" s="17" t="str">
        <x:v>official page checked</x:v>
      </x:c>
      <x:c r="O78" s="17" t="str"/>
      <x:c r="P78" s="18" t="e">
        <x:f>HYPERLINK("https://engineering.ubc.ca/admissions/graduate/scholarships-awards-funding","Open source")</x:f>
        <x:v>HYPERLINK is not implemented. linkLocation=https://engineering.ubc.ca/admissions/graduate/scholarships-awards-funding, friendlyName=Open source</x:v>
      </x:c>
    </x:row>
    <x:row r="79" ht="46" customHeight="1">
      <x:c r="A79" s="17" t="str">
        <x:v>stage3src:8fa097d96c8cb1f2da81</x:v>
      </x:c>
      <x:c r="B79" s="17" t="str">
        <x:v>program</x:v>
      </x:c>
      <x:c r="C79" s="17" t="str">
        <x:v>University of British Columbia</x:v>
      </x:c>
      <x:c r="D79" s="17" t="str">
        <x:v>ca:dli:O19330231062:program:thesis-or-research-master-s:master-of-applied-science-in-electrical-and-computer-engineering</x:v>
      </x:c>
      <x:c r="E79" s="17" t="str"/>
      <x:c r="F79" s="17" t="str">
        <x:v>program|admissions|eligibility|deadline|faculty</x:v>
      </x:c>
      <x:c r="G79" s="17" t="str">
        <x:v>ECE MASc program, closely related degree and first-class preference, September 2027 opening, award timing, and faculty exploration.</x:v>
      </x:c>
      <x:c r="H79" s="17" t="str">
        <x:v>Master of Applied Science</x:v>
      </x:c>
      <x:c r="I79" s="17" t="str">
        <x:v>University of British Columbia ECE</x:v>
      </x:c>
      <x:c r="J79" s="17" t="str">
        <x:v>official</x:v>
      </x:c>
      <x:c r="K79" s="17" t="str">
        <x:v>2026-09-11</x:v>
      </x:c>
      <x:c r="L79" s="17" t="str">
        <x:v>September 2027 intake</x:v>
      </x:c>
      <x:c r="M79" s="17" t="str">
        <x:v>high</x:v>
      </x:c>
      <x:c r="N79" s="17" t="str">
        <x:v>official page checked</x:v>
      </x:c>
      <x:c r="O79" s="17" t="str"/>
      <x:c r="P79" s="18" t="e">
        <x:f>HYPERLINK("https://ece.ubc.ca/graduate/programs/master-applied-science/","Open source")</x:f>
        <x:v>HYPERLINK is not implemented. linkLocation=https://ece.ubc.ca/graduate/programs/master-applied-science/, friendlyName=Open source</x:v>
      </x:c>
    </x:row>
    <x:row r="80" ht="46" customHeight="1">
      <x:c r="A80" s="17" t="str">
        <x:v>stage3src:95a250c8ca568e0ac8b6</x:v>
      </x:c>
      <x:c r="B80" s="17" t="str">
        <x:v>program</x:v>
      </x:c>
      <x:c r="C80" s="17" t="str">
        <x:v>University of British Columbia</x:v>
      </x:c>
      <x:c r="D80" s="17" t="str">
        <x:v>ca:dli:O19330231062:program:thesis-or-research-master-s:master-of-applied-science-in-electrical-and-computer-engineering</x:v>
      </x:c>
      <x:c r="E80" s="17" t="str"/>
      <x:c r="F80" s="17" t="str">
        <x:v>fees|admissions</x:v>
      </x:c>
      <x:c r="G80" s="17" t="str">
        <x:v>September 2027 international fee, per-program and intake fee rule, and narrow waiver criteria.</x:v>
      </x:c>
      <x:c r="H80" s="17" t="str">
        <x:v>Online Application and Fee</x:v>
      </x:c>
      <x:c r="I80" s="17" t="str">
        <x:v>University of British Columbia Graduate School</x:v>
      </x:c>
      <x:c r="J80" s="17" t="str">
        <x:v>official</x:v>
      </x:c>
      <x:c r="K80" s="17" t="str">
        <x:v>2026-09-11</x:v>
      </x:c>
      <x:c r="L80" s="17" t="str">
        <x:v>September 2027 to August 2028</x:v>
      </x:c>
      <x:c r="M80" s="17" t="str">
        <x:v>high</x:v>
      </x:c>
      <x:c r="N80" s="17" t="str">
        <x:v>official page checked</x:v>
      </x:c>
      <x:c r="O80" s="17" t="str"/>
      <x:c r="P80" s="18" t="e">
        <x:f>HYPERLINK("https://www.grad.ubc.ca/prospective-students/application-admission/online-application-fee","Open source")</x:f>
        <x:v>HYPERLINK is not implemented. linkLocation=https://www.grad.ubc.ca/prospective-students/application-admission/online-application-fee, friendlyName=Open source</x:v>
      </x:c>
    </x:row>
    <x:row r="81" ht="46" customHeight="1">
      <x:c r="A81" s="17" t="str">
        <x:v>stage3src:d8ec8a702b6675a32cd5</x:v>
      </x:c>
      <x:c r="B81" s="17" t="str">
        <x:v>program</x:v>
      </x:c>
      <x:c r="C81" s="17" t="str">
        <x:v>University of British Columbia</x:v>
      </x:c>
      <x:c r="D81" s="17" t="str">
        <x:v>ca:dli:O19330231062:program:thesis-or-research-master-s:master-of-applied-science-in-electrical-and-computer-engineering</x:v>
      </x:c>
      <x:c r="E81" s="17" t="str"/>
      <x:c r="F81" s="17" t="str">
        <x:v>program|research|admissions|eligibility|gpa|language|deadline|fees|tuition|funding|faculty</x:v>
      </x:c>
      <x:c r="G81" s="17" t="str">
        <x:v>Current MASc thesis route, prior-degree rule, academic and English thresholds, September 2027 deadlines, international fee and tuition, funding medians, and supervisor-contact instructions.</x:v>
      </x:c>
      <x:c r="H81" s="17" t="str">
        <x:v>Master of Applied Science in Electrical and Computer Engineering</x:v>
      </x:c>
      <x:c r="I81" s="17" t="str">
        <x:v>University of British Columbia Graduate School</x:v>
      </x:c>
      <x:c r="J81" s="17" t="str">
        <x:v>official</x:v>
      </x:c>
      <x:c r="K81" s="17" t="str">
        <x:v>2026-09-11</x:v>
      </x:c>
      <x:c r="L81" s="17" t="str">
        <x:v>September 2027 intake</x:v>
      </x:c>
      <x:c r="M81" s="17" t="str">
        <x:v>high</x:v>
      </x:c>
      <x:c r="N81" s="17" t="str">
        <x:v>official page checked</x:v>
      </x:c>
      <x:c r="O81" s="17" t="str"/>
      <x:c r="P81" s="18" t="e">
        <x:f>HYPERLINK("https://www.grad.ubc.ca/prospective-students/graduate-degree-programs/master-of-applied-science-electrical-computer-engineering","Open source")</x:f>
        <x:v>HYPERLINK is not implemented. linkLocation=https://www.grad.ubc.ca/prospective-students/graduate-degree-programs/master-of-applied-science-electrical-computer-engineering, friendlyName=Open source</x:v>
      </x:c>
    </x:row>
    <x:row r="82" ht="46" customHeight="1">
      <x:c r="A82" s="17" t="str">
        <x:v>stage3src:7aa4aca2b2cc7cc823a8</x:v>
      </x:c>
      <x:c r="B82" s="17" t="str">
        <x:v>program</x:v>
      </x:c>
      <x:c r="C82" s="17" t="str">
        <x:v>University of British Columbia</x:v>
      </x:c>
      <x:c r="D82" s="17" t="str">
        <x:v>ca:dli:O19330231062:program:thesis-or-research-master-s:msc-in-computer-science</x:v>
      </x:c>
      <x:c r="E82" s="17" t="str"/>
      <x:c r="F82" s="17" t="str">
        <x:v>program</x:v>
      </x:c>
      <x:c r="G82" s="17" t="str">
        <x:v>The official page identifies MSc in Computer Science and contains research/thesis evidence.</x:v>
      </x:c>
      <x:c r="H82" s="17" t="str">
        <x:v>Admissions | Computer Science at UBC</x:v>
      </x:c>
      <x:c r="I82" s="17" t="str">
        <x:v>University of British Columbia</x:v>
      </x:c>
      <x:c r="J82" s="17" t="str">
        <x:v>official</x:v>
      </x:c>
      <x:c r="K82" s="17" t="str">
        <x:v>2026-09-09</x:v>
      </x:c>
      <x:c r="L82" s="17" t="str">
        <x:v>Current page; Fall 2027 dates not assumed</x:v>
      </x:c>
      <x:c r="M82" s="17" t="str">
        <x:v>High for program existence and research structure</x:v>
      </x:c>
      <x:c r="N82" s="17" t="str">
        <x:v>opened</x:v>
      </x:c>
      <x:c r="O82" s="17" t="str">
        <x:v>HTTP 200; page SHA-256 in evidence file</x:v>
      </x:c>
      <x:c r="P82" s="18" t="e">
        <x:f>HYPERLINK("https://www.cs.ubc.ca/students/grad/admissions","Open source")</x:f>
        <x:v>HYPERLINK is not implemented. linkLocation=https://www.cs.ubc.ca/students/grad/admissions, friendlyName=Open source</x:v>
      </x:c>
    </x:row>
    <x:row r="83" ht="46" customHeight="1">
      <x:c r="A83" s="17" t="str">
        <x:v>stage3src:1e94e346d16a3ceae3df</x:v>
      </x:c>
      <x:c r="B83" s="17" t="str">
        <x:v>program</x:v>
      </x:c>
      <x:c r="C83" s="17" t="str">
        <x:v>University of British Columbia</x:v>
      </x:c>
      <x:c r="D83" s="17" t="str">
        <x:v>ca:dli:O19330231062:program:thesis-or-research-master-s:msc-in-computer-science-research</x:v>
      </x:c>
      <x:c r="E83" s="17" t="str"/>
      <x:c r="F83" s="17" t="str">
        <x:v>admissions|program</x:v>
      </x:c>
      <x:c r="G83" s="17" t="str">
        <x:v>Advance faculty contact is not necessary; MSc students are admitted to the department.</x:v>
      </x:c>
      <x:c r="H83" s="17" t="str">
        <x:v>Online Application</x:v>
      </x:c>
      <x:c r="I83" s="17" t="str">
        <x:v>UBC Computer Science</x:v>
      </x:c>
      <x:c r="J83" s="17" t="str">
        <x:v>official</x:v>
      </x:c>
      <x:c r="K83" s="17" t="str">
        <x:v>2026-09-09</x:v>
      </x:c>
      <x:c r="L83" s="17" t="str">
        <x:v>Fall 2027</x:v>
      </x:c>
      <x:c r="M83" s="17" t="str">
        <x:v>high</x:v>
      </x:c>
      <x:c r="N83" s="17" t="str">
        <x:v>opened/current</x:v>
      </x:c>
      <x:c r="O83" s="17" t="str">
        <x:v>No search snippet used as final evidence; URL/page content reviewed.</x:v>
      </x:c>
      <x:c r="P83" s="18" t="e">
        <x:f>HYPERLINK("https://www.cs.ubc.ca/students/grad/admissions/application-components-required-documents/online-application","Open source")</x:f>
        <x:v>HYPERLINK is not implemented. linkLocation=https://www.cs.ubc.ca/students/grad/admissions/application-components-required-documents/online-application, friendlyName=Open source</x:v>
      </x:c>
    </x:row>
    <x:row r="84" ht="46" customHeight="1">
      <x:c r="A84" s="17" t="str">
        <x:v>stage3src:364e989033faeab34b24</x:v>
      </x:c>
      <x:c r="B84" s="17" t="str">
        <x:v>program</x:v>
      </x:c>
      <x:c r="C84" s="17" t="str">
        <x:v>University of British Columbia</x:v>
      </x:c>
      <x:c r="D84" s="17" t="str">
        <x:v>ca:dli:O19330231062:program:thesis-or-research-master-s:msc-in-computer-science-research</x:v>
      </x:c>
      <x:c r="E84" s="17" t="str"/>
      <x:c r="F84" s="17" t="str">
        <x:v>fees|eligibility|admissions</x:v>
      </x:c>
      <x:c r="G84" s="17" t="str">
        <x:v>International fee is $168.25 for September 2027-August 2028; limited automatic waiver categories apply.</x:v>
      </x:c>
      <x:c r="H84" s="17" t="str">
        <x:v>Online Application and Fee</x:v>
      </x:c>
      <x:c r="I84" s="17" t="str">
        <x:v>UBC Graduate School</x:v>
      </x:c>
      <x:c r="J84" s="17" t="str">
        <x:v>official</x:v>
      </x:c>
      <x:c r="K84" s="17" t="str">
        <x:v>2026-09-09</x:v>
      </x:c>
      <x:c r="L84" s="17" t="str">
        <x:v>2027-28</x:v>
      </x:c>
      <x:c r="M84" s="17" t="str">
        <x:v>high</x:v>
      </x:c>
      <x:c r="N84" s="17" t="str">
        <x:v>opened/current</x:v>
      </x:c>
      <x:c r="O84" s="17" t="str">
        <x:v>No search snippet used as final evidence; URL/page content reviewed.</x:v>
      </x:c>
      <x:c r="P84" s="18" t="e">
        <x:f>HYPERLINK("https://www.grad.ubc.ca/prospective-students/application-admission/online-application-fee","Open source")</x:f>
        <x:v>HYPERLINK is not implemented. linkLocation=https://www.grad.ubc.ca/prospective-students/application-admission/online-application-fee, friendlyName=Open source</x:v>
      </x:c>
    </x:row>
    <x:row r="85" ht="46" customHeight="1">
      <x:c r="A85" s="17" t="str">
        <x:v>stage3src:5980eff6600d0e4dc056</x:v>
      </x:c>
      <x:c r="B85" s="17" t="str">
        <x:v>program</x:v>
      </x:c>
      <x:c r="C85" s="17" t="str">
        <x:v>University of British Columbia</x:v>
      </x:c>
      <x:c r="D85" s="17" t="str">
        <x:v>ca:dli:O19330231062:program:thesis-or-research-master-s:msc-in-computer-science-research</x:v>
      </x:c>
      <x:c r="E85" s="17" t="str"/>
      <x:c r="F85" s="17" t="str">
        <x:v>funding|eligibility|program</x:v>
      </x:c>
      <x:c r="G85" s="17" t="str">
        <x:v>2026-27 international MSc package totals $42,107 with $30,467 listed net in year one; minimum guaranteed two years.</x:v>
      </x:c>
      <x:c r="H85" s="17" t="str">
        <x:v>Stipends &amp; Support Details 2026-2027</x:v>
      </x:c>
      <x:c r="I85" s="17" t="str">
        <x:v>UBC Computer Science</x:v>
      </x:c>
      <x:c r="J85" s="17" t="str">
        <x:v>official</x:v>
      </x:c>
      <x:c r="K85" s="17" t="str">
        <x:v>2026-09-09</x:v>
      </x:c>
      <x:c r="L85" s="17" t="str">
        <x:v>2026-27</x:v>
      </x:c>
      <x:c r="M85" s="17" t="str">
        <x:v>high</x:v>
      </x:c>
      <x:c r="N85" s="17" t="str">
        <x:v>opened; cycle limits recorded</x:v>
      </x:c>
      <x:c r="O85" s="17" t="str">
        <x:v>No search snippet used as final evidence; URL/page content reviewed.</x:v>
      </x:c>
      <x:c r="P85" s="18" t="e">
        <x:f>HYPERLINK("https://www.cs.ubc.ca/grads/awards-support-current-grad-students/financial-assistantship/stipends-support-details-2026-2027","Open source")</x:f>
        <x:v>HYPERLINK is not implemented. linkLocation=https://www.cs.ubc.ca/grads/awards-support-current-grad-students/financial-assistantship/stipends-support-details-2026-2027, friendlyName=Open source</x:v>
      </x:c>
    </x:row>
    <x:row r="86" ht="46" customHeight="1">
      <x:c r="A86" s="17" t="str">
        <x:v>stage3src:c940a31e1bc5a08c8ad1</x:v>
      </x:c>
      <x:c r="B86" s="17" t="str">
        <x:v>program</x:v>
      </x:c>
      <x:c r="C86" s="17" t="str">
        <x:v>University of British Columbia</x:v>
      </x:c>
      <x:c r="D86" s="17" t="str">
        <x:v>ca:dli:O19330231062:program:thesis-or-research-master-s:msc-in-computer-science-research</x:v>
      </x:c>
      <x:c r="E86" s="17" t="str"/>
      <x:c r="F86" s="17" t="str">
        <x:v>funding|deadline|program</x:v>
      </x:c>
      <x:c r="G86" s="17" t="str">
        <x:v>UBC offers funded research MSc, PhD and PhD Track; deadline is December 15, 2026 for September 2027/January 2028.</x:v>
      </x:c>
      <x:c r="H86" s="17" t="str">
        <x:v>Admissions</x:v>
      </x:c>
      <x:c r="I86" s="17" t="str">
        <x:v>UBC Computer Science</x:v>
      </x:c>
      <x:c r="J86" s="17" t="str">
        <x:v>official</x:v>
      </x:c>
      <x:c r="K86" s="17" t="str">
        <x:v>2026-09-09</x:v>
      </x:c>
      <x:c r="L86" s="17" t="str">
        <x:v>Fall 2027</x:v>
      </x:c>
      <x:c r="M86" s="17" t="str">
        <x:v>high</x:v>
      </x:c>
      <x:c r="N86" s="17" t="str">
        <x:v>opened/current</x:v>
      </x:c>
      <x:c r="O86" s="17" t="str">
        <x:v>No search snippet used as final evidence; URL/page content reviewed.</x:v>
      </x:c>
      <x:c r="P86" s="18" t="e">
        <x:f>HYPERLINK("https://www.cs.ubc.ca/students/grad/admissions","Open source")</x:f>
        <x:v>HYPERLINK is not implemented. linkLocation=https://www.cs.ubc.ca/students/grad/admissions, friendlyName=Open source</x:v>
      </x:c>
    </x:row>
    <x:row r="87" ht="46" customHeight="1">
      <x:c r="A87" s="17" t="str">
        <x:v>stage3src:0154acc3c256365e5ec4</x:v>
      </x:c>
      <x:c r="B87" s="17" t="str">
        <x:v>program</x:v>
      </x:c>
      <x:c r="C87" s="17" t="str">
        <x:v>Carleton University</x:v>
      </x:c>
      <x:c r="D87" s="17" t="str">
        <x:v>ca:dli:O19332687812:program:thesis-or-research-master-s:electrical-and-computer-engineering-masc-software-engineering-concentration</x:v>
      </x:c>
      <x:c r="E87" s="17" t="str"/>
      <x:c r="F87" s="17" t="str">
        <x:v>admissions|fees</x:v>
      </x:c>
      <x:c r="G87" s="17" t="str">
        <x:v>CAD 125 fee, separate application and fee for each additional program, and no general waiver stated.</x:v>
      </x:c>
      <x:c r="H87" s="17" t="str">
        <x:v>Apply</x:v>
      </x:c>
      <x:c r="I87" s="17" t="str">
        <x:v>Carleton University Graduate Studies</x:v>
      </x:c>
      <x:c r="J87" s="17" t="str">
        <x:v>official</x:v>
      </x:c>
      <x:c r="K87" s="17" t="str">
        <x:v>2026-09-10</x:v>
      </x:c>
      <x:c r="L87" s="17" t="str">
        <x:v>Current policy checked 2026-09-10</x:v>
      </x:c>
      <x:c r="M87" s="17" t="str">
        <x:v>high</x:v>
      </x:c>
      <x:c r="N87" s="17" t="str">
        <x:v>official page checked</x:v>
      </x:c>
      <x:c r="O87" s="17" t="str"/>
      <x:c r="P87" s="18" t="e">
        <x:f>HYPERLINK("https://graduate.carleton.ca/apply-online/","Open source")</x:f>
        <x:v>HYPERLINK is not implemented. linkLocation=https://graduate.carleton.ca/apply-online/, friendlyName=Open source</x:v>
      </x:c>
    </x:row>
    <x:row r="88" ht="46" customHeight="1">
      <x:c r="A88" s="17" t="str">
        <x:v>stage3src:01a3fd6fb9e943fcf543</x:v>
      </x:c>
      <x:c r="B88" s="17" t="str">
        <x:v>program</x:v>
      </x:c>
      <x:c r="C88" s="17" t="str">
        <x:v>Carleton University</x:v>
      </x:c>
      <x:c r="D88" s="17" t="str">
        <x:v>ca:dli:O19332687812:program:thesis-or-research-master-s:electrical-and-computer-engineering-masc-software-engineering-concentration</x:v>
      </x:c>
      <x:c r="E88" s="17" t="str"/>
      <x:c r="F88" s="17" t="str">
        <x:v>funding|tuition|fees</x:v>
      </x:c>
      <x:c r="G88" s="17" t="str">
        <x:v>Automatic admissions-funding consideration, limited international availability, TA value, research support types, and offer-specific award conditions.</x:v>
      </x:c>
      <x:c r="H88" s="17" t="str">
        <x:v>Admissions Funding</x:v>
      </x:c>
      <x:c r="I88" s="17" t="str">
        <x:v>Carleton University Graduate Studies</x:v>
      </x:c>
      <x:c r="J88" s="17" t="str">
        <x:v>official</x:v>
      </x:c>
      <x:c r="K88" s="17" t="str">
        <x:v>2026-09-10</x:v>
      </x:c>
      <x:c r="L88" s="17" t="str">
        <x:v>Current funding guidance checked 2026-09-10</x:v>
      </x:c>
      <x:c r="M88" s="17" t="str">
        <x:v>high</x:v>
      </x:c>
      <x:c r="N88" s="17" t="str">
        <x:v>official page checked</x:v>
      </x:c>
      <x:c r="O88" s="17" t="str"/>
      <x:c r="P88" s="18" t="e">
        <x:f>HYPERLINK("https://graduate.carleton.ca/financial-assistance/admissions-funding/","Open source")</x:f>
        <x:v>HYPERLINK is not implemented. linkLocation=https://graduate.carleton.ca/financial-assistance/admissions-funding/, friendlyName=Open source</x:v>
      </x:c>
    </x:row>
    <x:row r="89" ht="46" customHeight="1">
      <x:c r="A89" s="17" t="str">
        <x:v>stage3src:186a054f81bcdecf1fa6</x:v>
      </x:c>
      <x:c r="B89" s="17" t="str">
        <x:v>program</x:v>
      </x:c>
      <x:c r="C89" s="17" t="str">
        <x:v>Carleton University</x:v>
      </x:c>
      <x:c r="D89" s="17" t="str">
        <x:v>ca:dli:O19332687812:program:thesis-or-research-master-s:electrical-and-computer-engineering-masc-software-engineering-concentration</x:v>
      </x:c>
      <x:c r="E89" s="17" t="str"/>
      <x:c r="F89" s="17" t="str">
        <x:v>admissions|eligibility|language</x:v>
      </x:c>
      <x:c r="G89" s="17" t="str">
        <x:v>Four-year master's-entry degree, B+ major and B- overall guidelines, international equivalency review, and English evidence rules.</x:v>
      </x:c>
      <x:c r="H89" s="17" t="str">
        <x:v>Minimum Requirements and International Admission Requirements</x:v>
      </x:c>
      <x:c r="I89" s="17" t="str">
        <x:v>Carleton University Graduate Studies</x:v>
      </x:c>
      <x:c r="J89" s="17" t="str">
        <x:v>official</x:v>
      </x:c>
      <x:c r="K89" s="17" t="str">
        <x:v>2026-09-10</x:v>
      </x:c>
      <x:c r="L89" s="17" t="str">
        <x:v>Current requirements checked 2026-09-10</x:v>
      </x:c>
      <x:c r="M89" s="17" t="str">
        <x:v>high</x:v>
      </x:c>
      <x:c r="N89" s="17" t="str">
        <x:v>official page checked</x:v>
      </x:c>
      <x:c r="O89" s="17" t="str">
        <x:v>International equivalency details cross-checked at https://graduate.carleton.ca/international/admission-requirements/.</x:v>
      </x:c>
      <x:c r="P89" s="18" t="e">
        <x:f>HYPERLINK("https://graduate.carleton.ca/apply-online/minimum-requirements/","Open source")</x:f>
        <x:v>HYPERLINK is not implemented. linkLocation=https://graduate.carleton.ca/apply-online/minimum-requirements/, friendlyName=Open source</x:v>
      </x:c>
    </x:row>
    <x:row r="90" ht="46" customHeight="1">
      <x:c r="A90" s="17" t="str">
        <x:v>stage3src:e0af565dfe0fac15d8ec</x:v>
      </x:c>
      <x:c r="B90" s="17" t="str">
        <x:v>program</x:v>
      </x:c>
      <x:c r="C90" s="17" t="str">
        <x:v>Carleton University</x:v>
      </x:c>
      <x:c r="D90" s="17" t="str">
        <x:v>ca:dli:O19332687812:program:thesis-or-research-master-s:electrical-and-computer-engineering-masc-software-engineering-concentration</x:v>
      </x:c>
      <x:c r="E90" s="17" t="str"/>
      <x:c r="F90" s="17" t="str">
        <x:v>program|admissions|eligibility|deadline|tuition</x:v>
      </x:c>
      <x:c r="G90" s="17" t="str">
        <x:v>Current ECE thesis MASc, software-engineering research area, March 1 deadline, one-to-two-year length, and domestic-only tuition estimate.</x:v>
      </x:c>
      <x:c r="H90" s="17" t="str">
        <x:v>Electrical and Computer Engineering</x:v>
      </x:c>
      <x:c r="I90" s="17" t="str">
        <x:v>Carleton University Graduate Studies</x:v>
      </x:c>
      <x:c r="J90" s="17" t="str">
        <x:v>official</x:v>
      </x:c>
      <x:c r="K90" s="17" t="str">
        <x:v>2026-09-10</x:v>
      </x:c>
      <x:c r="L90" s="17" t="str">
        <x:v>Current program checked 2026-09-10</x:v>
      </x:c>
      <x:c r="M90" s="17" t="str">
        <x:v>high</x:v>
      </x:c>
      <x:c r="N90" s="17" t="str">
        <x:v>official page checked</x:v>
      </x:c>
      <x:c r="O90" s="17" t="str"/>
      <x:c r="P90" s="18" t="e">
        <x:f>HYPERLINK("https://graduate.carleton.ca/program/electrical-and-computer-engineering-masters-programs/","Open source")</x:f>
        <x:v>HYPERLINK is not implemented. linkLocation=https://graduate.carleton.ca/program/electrical-and-computer-engineering-masters-programs/, friendlyName=Open source</x:v>
      </x:c>
    </x:row>
    <x:row r="91" ht="46" customHeight="1">
      <x:c r="A91" s="17" t="str">
        <x:v>stage3src:83ad1146b3023659eb4f</x:v>
      </x:c>
      <x:c r="B91" s="17" t="str">
        <x:v>program</x:v>
      </x:c>
      <x:c r="C91" s="17" t="str">
        <x:v>Carleton University</x:v>
      </x:c>
      <x:c r="D91" s="17" t="str">
        <x:v>ca:dli:O19332687812:program:thesis-or-research-master-s:mcs-in-computer-science-thesis</x:v>
      </x:c>
      <x:c r="E91" s="17" t="str"/>
      <x:c r="F91" s="17" t="str">
        <x:v>program</x:v>
      </x:c>
      <x:c r="G91" s="17" t="str">
        <x:v>The official page identifies MCS in Computer Science (thesis) and contains research/thesis evidence.</x:v>
      </x:c>
      <x:c r="H91" s="17" t="str">
        <x:v>Computer Science - Graduate Studies</x:v>
      </x:c>
      <x:c r="I91" s="17" t="str">
        <x:v>Carleton University</x:v>
      </x:c>
      <x:c r="J91" s="17" t="str">
        <x:v>official</x:v>
      </x:c>
      <x:c r="K91" s="17" t="str">
        <x:v>2026-09-09</x:v>
      </x:c>
      <x:c r="L91" s="17" t="str">
        <x:v>Current page; Fall 2027 dates not assumed</x:v>
      </x:c>
      <x:c r="M91" s="17" t="str">
        <x:v>High for program existence and research structure</x:v>
      </x:c>
      <x:c r="N91" s="17" t="str">
        <x:v>opened</x:v>
      </x:c>
      <x:c r="O91" s="17" t="str">
        <x:v>HTTP 200; page SHA-256 in evidence file</x:v>
      </x:c>
      <x:c r="P91" s="18" t="e">
        <x:f>HYPERLINK("https://graduate.carleton.ca/program/computer-science-masters-programs/","Open source")</x:f>
        <x:v>HYPERLINK is not implemented. linkLocation=https://graduate.carleton.ca/program/computer-science-masters-programs/, friendlyName=Open source</x:v>
      </x:c>
    </x:row>
    <x:row r="92" ht="46" customHeight="1">
      <x:c r="A92" s="17" t="str">
        <x:v>stage3src:461e7a0f7b05e1216afe</x:v>
      </x:c>
      <x:c r="B92" s="17" t="str">
        <x:v>program</x:v>
      </x:c>
      <x:c r="C92" s="17" t="str">
        <x:v>University of Toronto</x:v>
      </x:c>
      <x:c r="D92" s="17" t="str">
        <x:v>ca:dli:O19332746152:program:direct-entry-phd:phd-in-computer-science-phd-u</x:v>
      </x:c>
      <x:c r="E92" s="17" t="str"/>
      <x:c r="F92" s="17" t="str">
        <x:v>fees|deadline|admissions</x:v>
      </x:c>
      <x:c r="G92" s="17" t="str">
        <x:v>Fall 2027 applications open October 2026; deadline not yet stated; fee is $130 CAD.</x:v>
      </x:c>
      <x:c r="H92" s="17" t="str">
        <x:v>How to Apply</x:v>
      </x:c>
      <x:c r="I92" s="17" t="str">
        <x:v>University of Toronto Computer Science</x:v>
      </x:c>
      <x:c r="J92" s="17" t="str">
        <x:v>official</x:v>
      </x:c>
      <x:c r="K92" s="17" t="str">
        <x:v>2026-09-09</x:v>
      </x:c>
      <x:c r="L92" s="17" t="str">
        <x:v>Fall 2027</x:v>
      </x:c>
      <x:c r="M92" s="17" t="str">
        <x:v>high</x:v>
      </x:c>
      <x:c r="N92" s="17" t="str">
        <x:v>opened/current</x:v>
      </x:c>
      <x:c r="O92" s="17" t="str">
        <x:v>No search snippet used as final evidence; URL/page content reviewed.</x:v>
      </x:c>
      <x:c r="P92" s="18" t="e">
        <x:f>HYPERLINK("https://web.cs.toronto.edu/graduate/how-to-apply","Open source")</x:f>
        <x:v>HYPERLINK is not implemented. linkLocation=https://web.cs.toronto.edu/graduate/how-to-apply, friendlyName=Open source</x:v>
      </x:c>
    </x:row>
    <x:row r="93" ht="46" customHeight="1">
      <x:c r="A93" s="17" t="str">
        <x:v>stage3src:f4c36d7bb312c54791a1</x:v>
      </x:c>
      <x:c r="B93" s="17" t="str">
        <x:v>program</x:v>
      </x:c>
      <x:c r="C93" s="17" t="str">
        <x:v>University of Toronto</x:v>
      </x:c>
      <x:c r="D93" s="17" t="str">
        <x:v>ca:dli:O19332746152:program:direct-entry-phd:phd-in-computer-science-phd-u</x:v>
      </x:c>
      <x:c r="E93" s="17" t="str"/>
      <x:c r="F93" s="17" t="str">
        <x:v>funding|eligibility|program</x:v>
      </x:c>
      <x:c r="G93" s="17" t="str">
        <x:v>Enhanced 2026-27 package targets $39,500 take-home after tuition/incidentals; international PhD minimum is $41,122 plus up to $7,948.</x:v>
      </x:c>
      <x:c r="H93" s="17" t="str">
        <x:v>Funding, Tuition Fees and Awards</x:v>
      </x:c>
      <x:c r="I93" s="17" t="str">
        <x:v>University of Toronto Computer Science</x:v>
      </x:c>
      <x:c r="J93" s="17" t="str">
        <x:v>official</x:v>
      </x:c>
      <x:c r="K93" s="17" t="str">
        <x:v>2026-09-09</x:v>
      </x:c>
      <x:c r="L93" s="17" t="str">
        <x:v>2026-27</x:v>
      </x:c>
      <x:c r="M93" s="17" t="str">
        <x:v>high</x:v>
      </x:c>
      <x:c r="N93" s="17" t="str">
        <x:v>opened; cycle limits recorded</x:v>
      </x:c>
      <x:c r="O93" s="17" t="str">
        <x:v>No search snippet used as final evidence; URL/page content reviewed.</x:v>
      </x:c>
      <x:c r="P93" s="18" t="e">
        <x:f>HYPERLINK("https://web.cs.toronto.edu/graduate/funding-tuition-awards","Open source")</x:f>
        <x:v>HYPERLINK is not implemented. linkLocation=https://web.cs.toronto.edu/graduate/funding-tuition-awards, friendlyName=Open source</x:v>
      </x:c>
    </x:row>
    <x:row r="94" ht="46" customHeight="1">
      <x:c r="A94" s="17" t="str">
        <x:v>stage3src:f702a1c2cfbc2656f2a9</x:v>
      </x:c>
      <x:c r="B94" s="17" t="str">
        <x:v>program</x:v>
      </x:c>
      <x:c r="C94" s="17" t="str">
        <x:v>University of Toronto</x:v>
      </x:c>
      <x:c r="D94" s="17" t="str">
        <x:v>ca:dli:O19332746152:program:direct-entry-phd:phd-in-computer-science-phd-u</x:v>
      </x:c>
      <x:c r="E94" s="17" t="str"/>
      <x:c r="F94" s="17" t="str">
        <x:v>eligibility|program</x:v>
      </x:c>
      <x:c r="G94" s="17" t="str">
        <x:v>International honours-bachelor applicants in related fields should apply to PhD-U; they are not considered for the MSc.</x:v>
      </x:c>
      <x:c r="H94" s="17" t="str">
        <x:v>Graduate FAQ</x:v>
      </x:c>
      <x:c r="I94" s="17" t="str">
        <x:v>University of Toronto Computer Science</x:v>
      </x:c>
      <x:c r="J94" s="17" t="str">
        <x:v>official</x:v>
      </x:c>
      <x:c r="K94" s="17" t="str">
        <x:v>2026-09-09</x:v>
      </x:c>
      <x:c r="L94" s="17" t="str">
        <x:v>Fall 2027</x:v>
      </x:c>
      <x:c r="M94" s="17" t="str">
        <x:v>high</x:v>
      </x:c>
      <x:c r="N94" s="17" t="str">
        <x:v>opened/current</x:v>
      </x:c>
      <x:c r="O94" s="17" t="str">
        <x:v>No search snippet used as final evidence; URL/page content reviewed.</x:v>
      </x:c>
      <x:c r="P94" s="18" t="e">
        <x:f>HYPERLINK("https://web.cs.toronto.edu/graduate/faq","Open source")</x:f>
        <x:v>HYPERLINK is not implemented. linkLocation=https://web.cs.toronto.edu/graduate/faq, friendlyName=Open source</x:v>
      </x:c>
    </x:row>
    <x:row r="95" ht="46" customHeight="1">
      <x:c r="A95" s="17" t="str">
        <x:v>stage3src:37f28f8015b820ce57be</x:v>
      </x:c>
      <x:c r="B95" s="17" t="str">
        <x:v>program</x:v>
      </x:c>
      <x:c r="C95" s="17" t="str">
        <x:v>University of Toronto</x:v>
      </x:c>
      <x:c r="D95" s="17" t="str">
        <x:v>ca:dli:O19332746152:program:thesis-or-research-master-s:master-of-applied-science-in-electrical-and-computer-engineering</x:v>
      </x:c>
      <x:c r="E95" s="17" t="str"/>
      <x:c r="F95" s="17" t="str">
        <x:v>admissions|fees</x:v>
      </x:c>
      <x:c r="G95" s="17" t="str">
        <x:v>CAD 135 application fee for September 2027 starts, non-refundable and non-transferable.</x:v>
      </x:c>
      <x:c r="H95" s="17" t="str">
        <x:v>Frequently Asked Questions</x:v>
      </x:c>
      <x:c r="I95" s="17" t="str">
        <x:v>University of Toronto School of Graduate Studies</x:v>
      </x:c>
      <x:c r="J95" s="17" t="str">
        <x:v>official</x:v>
      </x:c>
      <x:c r="K95" s="17" t="str">
        <x:v>2026-09-11</x:v>
      </x:c>
      <x:c r="L95" s="17" t="str">
        <x:v>September 2027 fee schedule</x:v>
      </x:c>
      <x:c r="M95" s="17" t="str">
        <x:v>high</x:v>
      </x:c>
      <x:c r="N95" s="17" t="str">
        <x:v>official page checked</x:v>
      </x:c>
      <x:c r="O95" s="17" t="str"/>
      <x:c r="P95" s="18" t="e">
        <x:f>HYPERLINK("https://www.sgs.utoronto.ca/future-students/faq/","Open source")</x:f>
        <x:v>HYPERLINK is not implemented. linkLocation=https://www.sgs.utoronto.ca/future-students/faq/, friendlyName=Open source</x:v>
      </x:c>
    </x:row>
    <x:row r="96" ht="46" customHeight="1">
      <x:c r="A96" s="17" t="str">
        <x:v>stage3src:46b5a59eeede534c4c5a</x:v>
      </x:c>
      <x:c r="B96" s="17" t="str">
        <x:v>program</x:v>
      </x:c>
      <x:c r="C96" s="17" t="str">
        <x:v>University of Toronto</x:v>
      </x:c>
      <x:c r="D96" s="17" t="str">
        <x:v>ca:dli:O19332746152:program:thesis-or-research-master-s:master-of-applied-science-in-electrical-and-computer-engineering</x:v>
      </x:c>
      <x:c r="E96" s="17" t="str"/>
      <x:c r="F96" s="17" t="str">
        <x:v>program|research|funding|admissions|eligibility|deadline|faculty</x:v>
      </x:c>
      <x:c r="G96" s="17" t="str">
        <x:v>Two-year funded MASc, thesis structure, Computer Science as a welcomed related degree, January 7, 2027 deadline, and supervisor-contact rules.</x:v>
      </x:c>
      <x:c r="H96" s="17" t="str">
        <x:v>Graduate Studies</x:v>
      </x:c>
      <x:c r="I96" s="17" t="str">
        <x:v>University of Toronto ECE</x:v>
      </x:c>
      <x:c r="J96" s="17" t="str">
        <x:v>official</x:v>
      </x:c>
      <x:c r="K96" s="17" t="str">
        <x:v>2026-09-11</x:v>
      </x:c>
      <x:c r="L96" s="17" t="str">
        <x:v>2027-28 admission cycle</x:v>
      </x:c>
      <x:c r="M96" s="17" t="str">
        <x:v>high</x:v>
      </x:c>
      <x:c r="N96" s="17" t="str">
        <x:v>official page checked</x:v>
      </x:c>
      <x:c r="O96" s="17" t="str"/>
      <x:c r="P96" s="18" t="e">
        <x:f>HYPERLINK("https://www.ece.utoronto.ca/graduates/","Open source")</x:f>
        <x:v>HYPERLINK is not implemented. linkLocation=https://www.ece.utoronto.ca/graduates/, friendlyName=Open source</x:v>
      </x:c>
    </x:row>
    <x:row r="97" ht="46" customHeight="1">
      <x:c r="A97" s="17" t="str">
        <x:v>stage3src:65947954bd47548ac12f</x:v>
      </x:c>
      <x:c r="B97" s="17" t="str">
        <x:v>program</x:v>
      </x:c>
      <x:c r="C97" s="17" t="str">
        <x:v>University of Toronto</x:v>
      </x:c>
      <x:c r="D97" s="17" t="str">
        <x:v>ca:dli:O19332746152:program:thesis-or-research-master-s:master-of-applied-science-in-electrical-and-computer-engineering</x:v>
      </x:c>
      <x:c r="E97" s="17" t="str"/>
      <x:c r="F97" s="17" t="str">
        <x:v>program|research</x:v>
      </x:c>
      <x:c r="G97" s="17" t="str">
        <x:v>Research-intensive MASc combining advanced coursework and a supervised thesis.</x:v>
      </x:c>
      <x:c r="H97" s="17" t="str">
        <x:v>Master of Applied Science</x:v>
      </x:c>
      <x:c r="I97" s="17" t="str">
        <x:v>University of Toronto ECE</x:v>
      </x:c>
      <x:c r="J97" s="17" t="str">
        <x:v>official</x:v>
      </x:c>
      <x:c r="K97" s="17" t="str">
        <x:v>2026-09-11</x:v>
      </x:c>
      <x:c r="L97" s="17" t="str">
        <x:v>Current program page checked 2026-09-11</x:v>
      </x:c>
      <x:c r="M97" s="17" t="str">
        <x:v>high</x:v>
      </x:c>
      <x:c r="N97" s="17" t="str">
        <x:v>official page checked</x:v>
      </x:c>
      <x:c r="O97" s="17" t="str"/>
      <x:c r="P97" s="18" t="e">
        <x:f>HYPERLINK("https://www.ece.utoronto.ca/graduates/degree-programs/masc/","Open source")</x:f>
        <x:v>HYPERLINK is not implemented. linkLocation=https://www.ece.utoronto.ca/graduates/degree-programs/masc/, friendlyName=Open source</x:v>
      </x:c>
    </x:row>
    <x:row r="98" ht="46" customHeight="1">
      <x:c r="A98" s="17" t="str">
        <x:v>stage3src:b99c3cdf8cd4f194f1db</x:v>
      </x:c>
      <x:c r="B98" s="17" t="str">
        <x:v>program</x:v>
      </x:c>
      <x:c r="C98" s="17" t="str">
        <x:v>University of Toronto</x:v>
      </x:c>
      <x:c r="D98" s="17" t="str">
        <x:v>ca:dli:O19332746152:program:thesis-or-research-master-s:master-of-applied-science-in-electrical-and-computer-engineering</x:v>
      </x:c>
      <x:c r="E98" s="17" t="str"/>
      <x:c r="F98" s="17" t="str">
        <x:v>funding|tuition|conditions|international</x:v>
      </x:c>
      <x:c r="G98" s="17" t="str">
        <x:v>Guaranteed MASc funding period and package components, including international tuition adjustment.</x:v>
      </x:c>
      <x:c r="H98" s="17" t="str">
        <x:v>Graduate Student Funding Package</x:v>
      </x:c>
      <x:c r="I98" s="17" t="str">
        <x:v>University of Toronto ECE</x:v>
      </x:c>
      <x:c r="J98" s="17" t="str">
        <x:v>official</x:v>
      </x:c>
      <x:c r="K98" s="17" t="str">
        <x:v>2026-09-11</x:v>
      </x:c>
      <x:c r="L98" s="17" t="str">
        <x:v>Current funding policy checked 2026-09-11</x:v>
      </x:c>
      <x:c r="M98" s="17" t="str">
        <x:v>high</x:v>
      </x:c>
      <x:c r="N98" s="17" t="str">
        <x:v>official page checked</x:v>
      </x:c>
      <x:c r="O98" s="17" t="str"/>
      <x:c r="P98" s="18" t="e">
        <x:f>HYPERLINK("https://www.ece.utoronto.ca/graduates/financial-support/package/","Open source")</x:f>
        <x:v>HYPERLINK is not implemented. linkLocation=https://www.ece.utoronto.ca/graduates/financial-support/package/, friendlyName=Open source</x:v>
      </x:c>
    </x:row>
    <x:row r="99" ht="46" customHeight="1">
      <x:c r="A99" s="17" t="str">
        <x:v>stage3src:f82691b56bd41f9dad86</x:v>
      </x:c>
      <x:c r="B99" s="17" t="str">
        <x:v>program</x:v>
      </x:c>
      <x:c r="C99" s="17" t="str">
        <x:v>University of Toronto</x:v>
      </x:c>
      <x:c r="D99" s="17" t="str">
        <x:v>ca:dli:O19332746152:program:thesis-or-research-master-s:msc-in-computer-science</x:v>
      </x:c>
      <x:c r="E99" s="17" t="str"/>
      <x:c r="F99" s="17" t="str">
        <x:v>program</x:v>
      </x:c>
      <x:c r="G99" s="17" t="str">
        <x:v>The official page identifies MSc in Computer Science and contains research/thesis evidence.</x:v>
      </x:c>
      <x:c r="H99" s="17" t="str">
        <x:v>Master of Science (MSc) — Department of Computer Science, University of Toronto</x:v>
      </x:c>
      <x:c r="I99" s="17" t="str">
        <x:v>University of Toronto</x:v>
      </x:c>
      <x:c r="J99" s="17" t="str">
        <x:v>official</x:v>
      </x:c>
      <x:c r="K99" s="17" t="str">
        <x:v>2026-09-09</x:v>
      </x:c>
      <x:c r="L99" s="17" t="str">
        <x:v>Current page; Fall 2027 dates not assumed</x:v>
      </x:c>
      <x:c r="M99" s="17" t="str">
        <x:v>High for program existence and research structure</x:v>
      </x:c>
      <x:c r="N99" s="17" t="str">
        <x:v>opened</x:v>
      </x:c>
      <x:c r="O99" s="17" t="str">
        <x:v>HTTP 200; page SHA-256 in evidence file</x:v>
      </x:c>
      <x:c r="P99" s="18" t="e">
        <x:f>HYPERLINK("https://web.cs.toronto.edu/graduate/msc","Open source")</x:f>
        <x:v>HYPERLINK is not implemented. linkLocation=https://web.cs.toronto.edu/graduate/msc, friendlyName=Open source</x:v>
      </x:c>
    </x:row>
    <x:row r="100" ht="46" customHeight="1">
      <x:c r="A100" s="17" t="str">
        <x:v>stage3src:2d79ccfec01d8aeabce4</x:v>
      </x:c>
      <x:c r="B100" s="17" t="str">
        <x:v>program</x:v>
      </x:c>
      <x:c r="C100" s="17" t="str">
        <x:v>University of New Brunswick</x:v>
      </x:c>
      <x:c r="D100" s="17" t="str">
        <x:v>ca:dli:O19348802512:program:phd:phd-in-computer-science</x:v>
      </x:c>
      <x:c r="E100" s="17" t="str"/>
      <x:c r="F100" s="17" t="str">
        <x:v>admissions|fees</x:v>
      </x:c>
      <x:c r="G100" s="17" t="str">
        <x:v>CAD 125 international fee is required with each application.</x:v>
      </x:c>
      <x:c r="H100" s="17" t="str">
        <x:v>Application Procedures</x:v>
      </x:c>
      <x:c r="I100" s="17" t="str">
        <x:v>University of New Brunswick School of Graduate Studies</x:v>
      </x:c>
      <x:c r="J100" s="17" t="str">
        <x:v>official</x:v>
      </x:c>
      <x:c r="K100" s="17" t="str">
        <x:v>2026-09-10</x:v>
      </x:c>
      <x:c r="L100" s="17" t="str">
        <x:v>Current page checked 2026-09-10</x:v>
      </x:c>
      <x:c r="M100" s="17" t="str">
        <x:v>high</x:v>
      </x:c>
      <x:c r="N100" s="17" t="str">
        <x:v>official page checked</x:v>
      </x:c>
      <x:c r="O100" s="17" t="str"/>
      <x:c r="P100" s="18" t="e">
        <x:f>HYPERLINK("https://www.unb.ca/gradstudies/current/resources/regulations-and-guidelines/regulations/application-procedures.html","Open source")</x:f>
        <x:v>HYPERLINK is not implemented. linkLocation=https://www.unb.ca/gradstudies/current/resources/regulations-and-guidelines/regulations/application-procedures.html, friendlyName=Open source</x:v>
      </x:c>
    </x:row>
    <x:row r="101" ht="46" customHeight="1">
      <x:c r="A101" s="17" t="str">
        <x:v>stage3src:65bed810480a32a6f532</x:v>
      </x:c>
      <x:c r="B101" s="17" t="str">
        <x:v>program</x:v>
      </x:c>
      <x:c r="C101" s="17" t="str">
        <x:v>University of New Brunswick</x:v>
      </x:c>
      <x:c r="D101" s="17" t="str">
        <x:v>ca:dli:O19348802512:program:phd:phd-in-computer-science</x:v>
      </x:c>
      <x:c r="E101" s="17" t="str"/>
      <x:c r="F101" s="17" t="str">
        <x:v>program|admissions|eligibility|funding</x:v>
      </x:c>
      <x:c r="G101" s="17" t="str">
        <x:v>Current CS PhD, research-master's prerequisite, supervisor requirement, and support context.</x:v>
      </x:c>
      <x:c r="H101" s="17" t="str">
        <x:v>PhD in Computer Science</x:v>
      </x:c>
      <x:c r="I101" s="17" t="str">
        <x:v>University of New Brunswick Faculty of Computer Science</x:v>
      </x:c>
      <x:c r="J101" s="17" t="str">
        <x:v>official</x:v>
      </x:c>
      <x:c r="K101" s="17" t="str">
        <x:v>2026-09-10</x:v>
      </x:c>
      <x:c r="L101" s="17" t="str">
        <x:v>Current page checked 2026-09-10</x:v>
      </x:c>
      <x:c r="M101" s="17" t="str">
        <x:v>high</x:v>
      </x:c>
      <x:c r="N101" s="17" t="str">
        <x:v>official page checked</x:v>
      </x:c>
      <x:c r="O101" s="17" t="str"/>
      <x:c r="P101" s="18" t="e">
        <x:f>HYPERLINK("https://www.unb.ca/fredericton/cs/grad/phd/index.html","Open source")</x:f>
        <x:v>HYPERLINK is not implemented. linkLocation=https://www.unb.ca/fredericton/cs/grad/phd/index.html, friendlyName=Open source</x:v>
      </x:c>
    </x:row>
    <x:row r="102" ht="46" customHeight="1">
      <x:c r="A102" s="17" t="str">
        <x:v>stage3src:ba5f41866d2688b31cd3</x:v>
      </x:c>
      <x:c r="B102" s="17" t="str">
        <x:v>program</x:v>
      </x:c>
      <x:c r="C102" s="17" t="str">
        <x:v>University of New Brunswick</x:v>
      </x:c>
      <x:c r="D102" s="17" t="str">
        <x:v>ca:dli:O19348802512:program:phd:phd-in-computer-science</x:v>
      </x:c>
      <x:c r="E102" s="17" t="str"/>
      <x:c r="F102" s="17" t="str">
        <x:v>funding|fees</x:v>
      </x:c>
      <x:c r="G102" s="17" t="str">
        <x:v>Competitive support sources, approximate base amount, duration conditions, and lack of guarantee.</x:v>
      </x:c>
      <x:c r="H102" s="17" t="str">
        <x:v>Financial Support</x:v>
      </x:c>
      <x:c r="I102" s="17" t="str">
        <x:v>University of New Brunswick Faculty of Computer Science</x:v>
      </x:c>
      <x:c r="J102" s="17" t="str">
        <x:v>official</x:v>
      </x:c>
      <x:c r="K102" s="17" t="str">
        <x:v>2026-09-10</x:v>
      </x:c>
      <x:c r="L102" s="17" t="str">
        <x:v>Current page checked 2026-09-10</x:v>
      </x:c>
      <x:c r="M102" s="17" t="str">
        <x:v>high</x:v>
      </x:c>
      <x:c r="N102" s="17" t="str">
        <x:v>official page checked</x:v>
      </x:c>
      <x:c r="O102" s="17" t="str"/>
      <x:c r="P102" s="18" t="e">
        <x:f>HYPERLINK("https://www.unb.ca/fredericton/cs/grad/financials.html","Open source")</x:f>
        <x:v>HYPERLINK is not implemented. linkLocation=https://www.unb.ca/fredericton/cs/grad/financials.html, friendlyName=Open source</x:v>
      </x:c>
    </x:row>
    <x:row r="103" ht="46" customHeight="1">
      <x:c r="A103" s="17" t="str">
        <x:v>stage3src:dc4fa88d91f540fec55c</x:v>
      </x:c>
      <x:c r="B103" s="17" t="str">
        <x:v>program</x:v>
      </x:c>
      <x:c r="C103" s="17" t="str">
        <x:v>University of New Brunswick</x:v>
      </x:c>
      <x:c r="D103" s="17" t="str">
        <x:v>ca:dli:O19348802512:program:phd:phd-in-computer-science</x:v>
      </x:c>
      <x:c r="E103" s="17" t="str"/>
      <x:c r="F103" s="17" t="str">
        <x:v>admissions|eligibility|language|deadline|funding</x:v>
      </x:c>
      <x:c r="G103" s="17" t="str">
        <x:v>Graduate committee process, Fall dates, and explicit statement that admission does not imply financial assistance.</x:v>
      </x:c>
      <x:c r="H103" s="17" t="str">
        <x:v>Admission Requirements</x:v>
      </x:c>
      <x:c r="I103" s="17" t="str">
        <x:v>University of New Brunswick Faculty of Computer Science</x:v>
      </x:c>
      <x:c r="J103" s="17" t="str">
        <x:v>official</x:v>
      </x:c>
      <x:c r="K103" s="17" t="str">
        <x:v>2026-09-10</x:v>
      </x:c>
      <x:c r="L103" s="17" t="str">
        <x:v>Current page checked 2026-09-10</x:v>
      </x:c>
      <x:c r="M103" s="17" t="str">
        <x:v>high</x:v>
      </x:c>
      <x:c r="N103" s="17" t="str">
        <x:v>official page checked</x:v>
      </x:c>
      <x:c r="O103" s="17" t="str"/>
      <x:c r="P103" s="18" t="e">
        <x:f>HYPERLINK("https://www.unb.ca/fredericton/cs/grad/admission.html","Open source")</x:f>
        <x:v>HYPERLINK is not implemented. linkLocation=https://www.unb.ca/fredericton/cs/grad/admission.html, friendlyName=Open source</x:v>
      </x:c>
    </x:row>
    <x:row r="104" ht="46" customHeight="1">
      <x:c r="A104" s="17" t="str">
        <x:v>stage3src:642c54d75c8b6491fe61</x:v>
      </x:c>
      <x:c r="B104" s="17" t="str">
        <x:v>program</x:v>
      </x:c>
      <x:c r="C104" s="17" t="str">
        <x:v>University of New Brunswick</x:v>
      </x:c>
      <x:c r="D104" s="17" t="str">
        <x:v>ca:dli:O19348802512:program:thesis-or-research-master-s:mcs-in-computer-science-thesis</x:v>
      </x:c>
      <x:c r="E104" s="17" t="str"/>
      <x:c r="F104" s="17" t="str">
        <x:v>program</x:v>
      </x:c>
      <x:c r="G104" s="17" t="str">
        <x:v>The official page identifies MCS in Computer Science (thesis) and contains research/thesis evidence.</x:v>
      </x:c>
      <x:c r="H104" s="17" t="str">
        <x:v>Computer Science | Graduate Studies | UNB</x:v>
      </x:c>
      <x:c r="I104" s="17" t="str">
        <x:v>University of New Brunswick</x:v>
      </x:c>
      <x:c r="J104" s="17" t="str">
        <x:v>official</x:v>
      </x:c>
      <x:c r="K104" s="17" t="str">
        <x:v>2026-09-09</x:v>
      </x:c>
      <x:c r="L104" s="17" t="str">
        <x:v>Current page; Fall 2027 dates not assumed</x:v>
      </x:c>
      <x:c r="M104" s="17" t="str">
        <x:v>High for program existence and research structure</x:v>
      </x:c>
      <x:c r="N104" s="17" t="str">
        <x:v>opened</x:v>
      </x:c>
      <x:c r="O104" s="17" t="str">
        <x:v>HTTP 200; page SHA-256 in evidence file</x:v>
      </x:c>
      <x:c r="P104" s="18" t="e">
        <x:f>HYPERLINK("https://www.unb.ca/gradstudies/programs/computer-science.html","Open source")</x:f>
        <x:v>HYPERLINK is not implemented. linkLocation=https://www.unb.ca/gradstudies/programs/computer-science.html, friendlyName=Open source</x:v>
      </x:c>
    </x:row>
    <x:row r="105" ht="46" customHeight="1">
      <x:c r="A105" s="17" t="str">
        <x:v>stage3src:740c6469e96bc9141cc3</x:v>
      </x:c>
      <x:c r="B105" s="17" t="str">
        <x:v>program</x:v>
      </x:c>
      <x:c r="C105" s="17" t="str">
        <x:v>University of Windsor</x:v>
      </x:c>
      <x:c r="D105" s="17" t="str">
        <x:v>ca:dli:O19358946722:program:thesis-or-research-master-s:electrical-engineering-masc</x:v>
      </x:c>
      <x:c r="E105" s="17" t="str"/>
      <x:c r="F105" s="17" t="str">
        <x:v>admissions|eligibility|language|fees</x:v>
      </x:c>
      <x:c r="G105" s="17" t="str">
        <x:v>General 70% master's floor, CAD 125 application fee, international English exemptions including Nigeria, and supervisor-capacity caveat.</x:v>
      </x:c>
      <x:c r="H105" s="17" t="str">
        <x:v>Graduate Admission Requirements</x:v>
      </x:c>
      <x:c r="I105" s="17" t="str">
        <x:v>University of Windsor Faculty of Graduate Studies</x:v>
      </x:c>
      <x:c r="J105" s="17" t="str">
        <x:v>official</x:v>
      </x:c>
      <x:c r="K105" s="17" t="str">
        <x:v>2026-09-10</x:v>
      </x:c>
      <x:c r="L105" s="17" t="str">
        <x:v>Current requirements checked 2026-09-10</x:v>
      </x:c>
      <x:c r="M105" s="17" t="str">
        <x:v>high</x:v>
      </x:c>
      <x:c r="N105" s="17" t="str">
        <x:v>official page checked</x:v>
      </x:c>
      <x:c r="O105" s="17" t="str"/>
      <x:c r="P105" s="18" t="e">
        <x:f>HYPERLINK("https://www.uwindsor.ca/graduate-studies/346/admission-requirements","Open source")</x:f>
        <x:v>HYPERLINK is not implemented. linkLocation=https://www.uwindsor.ca/graduate-studies/346/admission-requirements, friendlyName=Open source</x:v>
      </x:c>
    </x:row>
    <x:row r="106" ht="46" customHeight="1">
      <x:c r="A106" s="17" t="str">
        <x:v>stage3src:7dd7e7b0e51fc1548c38</x:v>
      </x:c>
      <x:c r="B106" s="17" t="str">
        <x:v>program</x:v>
      </x:c>
      <x:c r="C106" s="17" t="str">
        <x:v>University of Windsor</x:v>
      </x:c>
      <x:c r="D106" s="17" t="str">
        <x:v>ca:dli:O19358946722:program:thesis-or-research-master-s:electrical-engineering-masc</x:v>
      </x:c>
      <x:c r="E106" s="17" t="str"/>
      <x:c r="F106" s="17" t="str">
        <x:v>funding|deadline|tuition|fees</x:v>
      </x:c>
      <x:c r="G106" s="17" t="str">
        <x:v>International research-master's eligibility at 80% equivalent, CAD 7,500 three-term entrance award, May 1 fall scholarship deadline, and competitive assistantship and RA routes.</x:v>
      </x:c>
      <x:c r="H106" s="17" t="str">
        <x:v>Scholarships and Awards</x:v>
      </x:c>
      <x:c r="I106" s="17" t="str">
        <x:v>University of Windsor Faculty of Graduate Studies</x:v>
      </x:c>
      <x:c r="J106" s="17" t="str">
        <x:v>official</x:v>
      </x:c>
      <x:c r="K106" s="17" t="str">
        <x:v>2026-09-10</x:v>
      </x:c>
      <x:c r="L106" s="17" t="str">
        <x:v>Current funding policy checked 2026-09-10</x:v>
      </x:c>
      <x:c r="M106" s="17" t="str">
        <x:v>high</x:v>
      </x:c>
      <x:c r="N106" s="17" t="str">
        <x:v>official page checked</x:v>
      </x:c>
      <x:c r="O106" s="17" t="str"/>
      <x:c r="P106" s="18" t="e">
        <x:f>HYPERLINK("https://www.uwindsor.ca/graduate-studies/456/scholarships-and-awards","Open source")</x:f>
        <x:v>HYPERLINK is not implemented. linkLocation=https://www.uwindsor.ca/graduate-studies/456/scholarships-and-awards, friendlyName=Open source</x:v>
      </x:c>
    </x:row>
    <x:row r="107" ht="46" customHeight="1">
      <x:c r="A107" s="17" t="str">
        <x:v>stage3src:b77fdbcaed570ca01b66</x:v>
      </x:c>
      <x:c r="B107" s="17" t="str">
        <x:v>program</x:v>
      </x:c>
      <x:c r="C107" s="17" t="str">
        <x:v>University of Windsor</x:v>
      </x:c>
      <x:c r="D107" s="17" t="str">
        <x:v>ca:dli:O19358946722:program:thesis-or-research-master-s:electrical-engineering-masc</x:v>
      </x:c>
      <x:c r="E107" s="17" t="str"/>
      <x:c r="F107" s="17" t="str">
        <x:v>program|admissions|eligibility|language|deadline|funding</x:v>
      </x:c>
      <x:c r="G107" s="17" t="str">
        <x:v>Current two-year thesis MASc, advisor requirement, recurring deadlines, English thresholds, and competitive scholarship and assistantship availability.</x:v>
      </x:c>
      <x:c r="H107" s="17" t="str">
        <x:v>Electrical Engineering</x:v>
      </x:c>
      <x:c r="I107" s="17" t="str">
        <x:v>University of Windsor Faculty of Graduate Studies</x:v>
      </x:c>
      <x:c r="J107" s="17" t="str">
        <x:v>official</x:v>
      </x:c>
      <x:c r="K107" s="17" t="str">
        <x:v>2026-09-10</x:v>
      </x:c>
      <x:c r="L107" s="17" t="str">
        <x:v>Current program checked 2026-09-10</x:v>
      </x:c>
      <x:c r="M107" s="17" t="str">
        <x:v>high</x:v>
      </x:c>
      <x:c r="N107" s="17" t="str">
        <x:v>official page checked</x:v>
      </x:c>
      <x:c r="O107" s="17" t="str"/>
      <x:c r="P107" s="18" t="e">
        <x:f>HYPERLINK("https://www.uwindsor.ca/graduate-studies/320/electrical-engineering","Open source")</x:f>
        <x:v>HYPERLINK is not implemented. linkLocation=https://www.uwindsor.ca/graduate-studies/320/electrical-engineering, friendlyName=Open source</x:v>
      </x:c>
    </x:row>
    <x:row r="108" ht="46" customHeight="1">
      <x:c r="A108" s="17" t="str">
        <x:v>stage3src:7ead72bc67332b7a6b7c</x:v>
      </x:c>
      <x:c r="B108" s="17" t="str">
        <x:v>program</x:v>
      </x:c>
      <x:c r="C108" s="17" t="str">
        <x:v>University of Windsor</x:v>
      </x:c>
      <x:c r="D108" s="17" t="str">
        <x:v>ca:dli:O19358946722:program:thesis-or-research-master-s:msc-in-computer-science</x:v>
      </x:c>
      <x:c r="E108" s="17" t="str"/>
      <x:c r="F108" s="17" t="str">
        <x:v>program</x:v>
      </x:c>
      <x:c r="G108" s="17" t="str">
        <x:v>The official page identifies MSc in Computer Science and contains research/thesis evidence.</x:v>
      </x:c>
      <x:c r="H108" s="17" t="str">
        <x:v>Computer Science - M.Sc. program | Faculty of Graduate Studies</x:v>
      </x:c>
      <x:c r="I108" s="17" t="str">
        <x:v>University of Windsor</x:v>
      </x:c>
      <x:c r="J108" s="17" t="str">
        <x:v>official</x:v>
      </x:c>
      <x:c r="K108" s="17" t="str">
        <x:v>2026-09-09</x:v>
      </x:c>
      <x:c r="L108" s="17" t="str">
        <x:v>Current page; Fall 2027 dates not assumed</x:v>
      </x:c>
      <x:c r="M108" s="17" t="str">
        <x:v>High for program existence and research structure</x:v>
      </x:c>
      <x:c r="N108" s="17" t="str">
        <x:v>opened</x:v>
      </x:c>
      <x:c r="O108" s="17" t="str">
        <x:v>HTTP 200; page SHA-256 in evidence file</x:v>
      </x:c>
      <x:c r="P108" s="18" t="e">
        <x:f>HYPERLINK("https://www.uwindsor.ca/graduate-studies/494/computer-science","Open source")</x:f>
        <x:v>HYPERLINK is not implemented. linkLocation=https://www.uwindsor.ca/graduate-studies/494/computer-science, friendlyName=Open source</x:v>
      </x:c>
    </x:row>
    <x:row r="109" ht="46" customHeight="1">
      <x:c r="A109" s="17" t="str">
        <x:v>stage3src:0ed5c20939753e7ac6ed</x:v>
      </x:c>
      <x:c r="B109" s="17" t="str">
        <x:v>program</x:v>
      </x:c>
      <x:c r="C109" s="17" t="str">
        <x:v>Bishop's University</x:v>
      </x:c>
      <x:c r="D109" s="17" t="str">
        <x:v>ca:dli:O19359010995:program:thesis-or-research-master-s:m-sc-in-computer-science-thesis-option</x:v>
      </x:c>
      <x:c r="E109" s="17" t="str"/>
      <x:c r="F109" s="17" t="str">
        <x:v>program|research|eligibility|admissions|language</x:v>
      </x:c>
      <x:c r="G109" s="17" t="str">
        <x:v>Current thesis MSc, relevant bachelor's and academic-standing expectations, compulsory pre-application, and willing-supervisor condition.</x:v>
      </x:c>
      <x:c r="H109" s="17" t="str">
        <x:v>Graduate Admission - Computer Science Master's Degree Program</x:v>
      </x:c>
      <x:c r="I109" s="17" t="str">
        <x:v>Bishop's University</x:v>
      </x:c>
      <x:c r="J109" s="17" t="str">
        <x:v>official</x:v>
      </x:c>
      <x:c r="K109" s="17" t="str">
        <x:v>2026-09-11</x:v>
      </x:c>
      <x:c r="L109" s="17" t="str">
        <x:v>Current page checked 2026-09-11</x:v>
      </x:c>
      <x:c r="M109" s="17" t="str">
        <x:v>high</x:v>
      </x:c>
      <x:c r="N109" s="17" t="str">
        <x:v>official page checked</x:v>
      </x:c>
      <x:c r="O109" s="17" t="str"/>
      <x:c r="P109" s="18" t="e">
        <x:f>HYPERLINK("https://www.ubishops.ca/academics/faculties-and-schools/faculty-of-natural-sciences-and-mathematics/computer-science/masters-degree-program/graduate-admission/","Open source")</x:f>
        <x:v>HYPERLINK is not implemented. linkLocation=https://www.ubishops.ca/academics/faculties-and-schools/faculty-of-natural-sciences-and-mathematics/computer-science/masters-degree-program/graduate-admission/, friendlyName=Open source</x:v>
      </x:c>
    </x:row>
    <x:row r="110" ht="46" customHeight="1">
      <x:c r="A110" s="17" t="str">
        <x:v>stage3src:71f0e31d1c2e694f9043</x:v>
      </x:c>
      <x:c r="B110" s="17" t="str">
        <x:v>program</x:v>
      </x:c>
      <x:c r="C110" s="17" t="str">
        <x:v>Bishop's University</x:v>
      </x:c>
      <x:c r="D110" s="17" t="str">
        <x:v>ca:dli:O19359010995:program:thesis-or-research-master-s:m-sc-in-computer-science-thesis-option</x:v>
      </x:c>
      <x:c r="E110" s="17" t="str"/>
      <x:c r="F110" s="17" t="str">
        <x:v>program|research|eligibility</x:v>
      </x:c>
      <x:c r="G110" s="17" t="str">
        <x:v>Calendar confirmation of thesis-based structure, related undergraduate preparation, high standing, and English-language framework.</x:v>
      </x:c>
      <x:c r="H110" s="17" t="str">
        <x:v>Academic Calendar 2025-2026</x:v>
      </x:c>
      <x:c r="I110" s="17" t="str">
        <x:v>Bishop's University</x:v>
      </x:c>
      <x:c r="J110" s="17" t="str">
        <x:v>official</x:v>
      </x:c>
      <x:c r="K110" s="17" t="str">
        <x:v>2026-09-11</x:v>
      </x:c>
      <x:c r="L110" s="17" t="str">
        <x:v>2025-26 calendar checked 2026-09-11</x:v>
      </x:c>
      <x:c r="M110" s="17" t="str">
        <x:v>high</x:v>
      </x:c>
      <x:c r="N110" s="17" t="str">
        <x:v>official page checked</x:v>
      </x:c>
      <x:c r="O110" s="17" t="str"/>
      <x:c r="P110" s="18" t="e">
        <x:f>HYPERLINK("https://www.ubishops.ca/wp-content/uploads/BU-AcCal-2025-2026-REV-Jan-23.pdf","Open source")</x:f>
        <x:v>HYPERLINK is not implemented. linkLocation=https://www.ubishops.ca/wp-content/uploads/BU-AcCal-2025-2026-REV-Jan-23.pdf, friendlyName=Open source</x:v>
      </x:c>
    </x:row>
    <x:row r="111" ht="46" customHeight="1">
      <x:c r="A111" s="17" t="str">
        <x:v>stage3src:af797cfd766fcdbd7695</x:v>
      </x:c>
      <x:c r="B111" s="17" t="str">
        <x:v>program</x:v>
      </x:c>
      <x:c r="C111" s="17" t="str">
        <x:v>Bishop's University</x:v>
      </x:c>
      <x:c r="D111" s="17" t="str">
        <x:v>ca:dli:O19359010995:program:thesis-or-research-master-s:m-sc-in-computer-science-thesis-option</x:v>
      </x:c>
      <x:c r="E111" s="17" t="str"/>
      <x:c r="F111" s="17" t="str">
        <x:v>funding|tuition|fees</x:v>
      </x:c>
      <x:c r="G111" s="17" t="str">
        <x:v>Expected five terms and 20-24 month duration, approximate activity fee, limited TA count, competitive aid, and possible supervisor support.</x:v>
      </x:c>
      <x:c r="H111" s="17" t="str">
        <x:v>Financial Matters - Computer Science Master's Degree Program</x:v>
      </x:c>
      <x:c r="I111" s="17" t="str">
        <x:v>Bishop's University</x:v>
      </x:c>
      <x:c r="J111" s="17" t="str">
        <x:v>official</x:v>
      </x:c>
      <x:c r="K111" s="17" t="str">
        <x:v>2026-09-11</x:v>
      </x:c>
      <x:c r="L111" s="17" t="str">
        <x:v>Current page checked 2026-09-11</x:v>
      </x:c>
      <x:c r="M111" s="17" t="str">
        <x:v>high</x:v>
      </x:c>
      <x:c r="N111" s="17" t="str">
        <x:v>official page checked</x:v>
      </x:c>
      <x:c r="O111" s="17" t="str"/>
      <x:c r="P111" s="18" t="e">
        <x:f>HYPERLINK("https://www.ubishops.ca/academics/faculties-and-schools/faculty-of-natural-sciences-and-mathematics/computer-science/masters-degree-program/financial-matters/","Open source")</x:f>
        <x:v>HYPERLINK is not implemented. linkLocation=https://www.ubishops.ca/academics/faculties-and-schools/faculty-of-natural-sciences-and-mathematics/computer-science/masters-degree-program/financial-matters/, friendlyName=Open source</x:v>
      </x:c>
    </x:row>
    <x:row r="112" ht="46" customHeight="1">
      <x:c r="A112" s="17" t="str">
        <x:v>stage3src:74b7cc4142af5c67ae47</x:v>
      </x:c>
      <x:c r="B112" s="17" t="str">
        <x:v>program</x:v>
      </x:c>
      <x:c r="C112" s="17" t="str">
        <x:v>Concordia University</x:v>
      </x:c>
      <x:c r="D112" s="17" t="str">
        <x:v>ca:dli:O19359011007:program:thesis-or-research-master-s:cybersecurity-engineering-masc</x:v>
      </x:c>
      <x:c r="E112" s="17" t="str"/>
      <x:c r="F112" s="17" t="str">
        <x:v>admissions|fees</x:v>
      </x:c>
      <x:c r="G112" s="17" t="str">
        <x:v>CAD 100 per-program fee, no-waiver rule, and separate complete application requirement.</x:v>
      </x:c>
      <x:c r="H112" s="17" t="str">
        <x:v>Application Instructions</x:v>
      </x:c>
      <x:c r="I112" s="17" t="str">
        <x:v>Concordia University Graduate Studies</x:v>
      </x:c>
      <x:c r="J112" s="17" t="str">
        <x:v>official</x:v>
      </x:c>
      <x:c r="K112" s="17" t="str">
        <x:v>2026-09-11</x:v>
      </x:c>
      <x:c r="L112" s="17" t="str">
        <x:v>Current page checked 2026-09-11</x:v>
      </x:c>
      <x:c r="M112" s="17" t="str">
        <x:v>high</x:v>
      </x:c>
      <x:c r="N112" s="17" t="str">
        <x:v>official page checked</x:v>
      </x:c>
      <x:c r="O112" s="17" t="str"/>
      <x:c r="P112" s="18" t="e">
        <x:f>HYPERLINK("https://www.concordia.ca/gradstudies/future-students/how-to-apply/instructions.html","Open source")</x:f>
        <x:v>HYPERLINK is not implemented. linkLocation=https://www.concordia.ca/gradstudies/future-students/how-to-apply/instructions.html, friendlyName=Open source</x:v>
      </x:c>
    </x:row>
    <x:row r="113" ht="46" customHeight="1">
      <x:c r="A113" s="17" t="str">
        <x:v>stage3src:bb92cb57eb898f837be6</x:v>
      </x:c>
      <x:c r="B113" s="17" t="str">
        <x:v>program</x:v>
      </x:c>
      <x:c r="C113" s="17" t="str">
        <x:v>Concordia University</x:v>
      </x:c>
      <x:c r="D113" s="17" t="str">
        <x:v>ca:dli:O19359011007:program:thesis-or-research-master-s:cybersecurity-engineering-masc</x:v>
      </x:c>
      <x:c r="E113" s="17" t="str"/>
      <x:c r="F113" s="17" t="str">
        <x:v>program|research|admissions|eligibility|language|deadline|funding</x:v>
      </x:c>
      <x:c r="G113" s="17" t="str">
        <x:v>Current 45-credit thesis MASc, accepted CS bachelor's, international deadline, advisor funding, and most-thesis-students package language.</x:v>
      </x:c>
      <x:c r="H113" s="17" t="str">
        <x:v>Cybersecurity Engineering (MASc)</x:v>
      </x:c>
      <x:c r="I113" s="17" t="str">
        <x:v>Concordia University</x:v>
      </x:c>
      <x:c r="J113" s="17" t="str">
        <x:v>official</x:v>
      </x:c>
      <x:c r="K113" s="17" t="str">
        <x:v>2026-09-11</x:v>
      </x:c>
      <x:c r="L113" s="17" t="str">
        <x:v>Current page checked 2026-09-11</x:v>
      </x:c>
      <x:c r="M113" s="17" t="str">
        <x:v>high</x:v>
      </x:c>
      <x:c r="N113" s="17" t="str">
        <x:v>official page checked</x:v>
      </x:c>
      <x:c r="O113" s="17" t="str"/>
      <x:c r="P113" s="18" t="e">
        <x:f>HYPERLINK("https://www.concordia.ca/academics/graduate/cybersecurity-engineering-masc.html","Open source")</x:f>
        <x:v>HYPERLINK is not implemented. linkLocation=https://www.concordia.ca/academics/graduate/cybersecurity-engineering-masc.html, friendlyName=Open source</x:v>
      </x:c>
    </x:row>
    <x:row r="114" ht="46" customHeight="1">
      <x:c r="A114" s="17" t="str">
        <x:v>stage3src:fa1c6e416a3e5b84f9a1</x:v>
      </x:c>
      <x:c r="B114" s="17" t="str">
        <x:v>program</x:v>
      </x:c>
      <x:c r="C114" s="17" t="str">
        <x:v>Concordia University</x:v>
      </x:c>
      <x:c r="D114" s="17" t="str">
        <x:v>ca:dli:O19359011007:program:thesis-or-research-master-s:cybersecurity-engineering-masc</x:v>
      </x:c>
      <x:c r="E114" s="17" t="str"/>
      <x:c r="F114" s="17" t="str">
        <x:v>tuition|fees|funding</x:v>
      </x:c>
      <x:c r="G114" s="17" t="str">
        <x:v>2026–27 international thesis-program Engineering and Computer Science per-credit tuition and separate compulsory fees.</x:v>
      </x:c>
      <x:c r="H114" s="17" t="str">
        <x:v>Graduate tuition and fees</x:v>
      </x:c>
      <x:c r="I114" s="17" t="str">
        <x:v>Concordia University</x:v>
      </x:c>
      <x:c r="J114" s="17" t="str">
        <x:v>official</x:v>
      </x:c>
      <x:c r="K114" s="17" t="str">
        <x:v>2026-09-11</x:v>
      </x:c>
      <x:c r="L114" s="17" t="str">
        <x:v>2026–27 checked 2026-09-11</x:v>
      </x:c>
      <x:c r="M114" s="17" t="str">
        <x:v>high</x:v>
      </x:c>
      <x:c r="N114" s="17" t="str">
        <x:v>official page checked</x:v>
      </x:c>
      <x:c r="O114" s="17" t="str"/>
      <x:c r="P114" s="18" t="e">
        <x:f>HYPERLINK("https://www.concordia.ca/students/financial/tuition-fees/rates/grad.html","Open source")</x:f>
        <x:v>HYPERLINK is not implemented. linkLocation=https://www.concordia.ca/students/financial/tuition-fees/rates/grad.html, friendlyName=Open source</x:v>
      </x:c>
    </x:row>
    <x:row r="115" ht="46" customHeight="1">
      <x:c r="A115" s="17" t="str">
        <x:v>stage3src:89333df2a98a6ec2e93c</x:v>
      </x:c>
      <x:c r="B115" s="17" t="str">
        <x:v>program</x:v>
      </x:c>
      <x:c r="C115" s="17" t="str">
        <x:v>Concordia University</x:v>
      </x:c>
      <x:c r="D115" s="17" t="str">
        <x:v>ca:dli:O19359011007:program:thesis-or-research-master-s:electrical-and-computer-engineering-masc</x:v>
      </x:c>
      <x:c r="E115" s="17" t="str"/>
      <x:c r="F115" s="17" t="str">
        <x:v>program|research|admissions|eligibility|language|deadline|funding|tuition</x:v>
      </x:c>
      <x:c r="G115" s="17" t="str">
        <x:v>Current two-year thesis ECE MASc, international deadlines, degree route, and generally available package language for most thesis students.</x:v>
      </x:c>
      <x:c r="H115" s="17" t="str">
        <x:v>Electrical and Computer Engineering (MASc)</x:v>
      </x:c>
      <x:c r="I115" s="17" t="str">
        <x:v>Concordia University</x:v>
      </x:c>
      <x:c r="J115" s="17" t="str">
        <x:v>official</x:v>
      </x:c>
      <x:c r="K115" s="17" t="str">
        <x:v>2026-09-11</x:v>
      </x:c>
      <x:c r="L115" s="17" t="str">
        <x:v>Current recurring deadlines checked 2026-09-11</x:v>
      </x:c>
      <x:c r="M115" s="17" t="str">
        <x:v>high</x:v>
      </x:c>
      <x:c r="N115" s="17" t="str">
        <x:v>official page checked</x:v>
      </x:c>
      <x:c r="O115" s="17" t="str"/>
      <x:c r="P115" s="18" t="e">
        <x:f>HYPERLINK("https://www.concordia.ca/academics/graduate/electrical-engineering-masc.html","Open source")</x:f>
        <x:v>HYPERLINK is not implemented. linkLocation=https://www.concordia.ca/academics/graduate/electrical-engineering-masc.html, friendlyName=Open source</x:v>
      </x:c>
    </x:row>
    <x:row r="116" ht="46" customHeight="1">
      <x:c r="A116" s="17" t="str">
        <x:v>stage3src:a568177c12ece33a47af</x:v>
      </x:c>
      <x:c r="B116" s="17" t="str">
        <x:v>program</x:v>
      </x:c>
      <x:c r="C116" s="17" t="str">
        <x:v>Concordia University</x:v>
      </x:c>
      <x:c r="D116" s="17" t="str">
        <x:v>ca:dli:O19359011007:program:thesis-or-research-master-s:electrical-and-computer-engineering-masc</x:v>
      </x:c>
      <x:c r="E116" s="17" t="str"/>
      <x:c r="F116" s="17" t="str">
        <x:v>funding|admissions|tuition|fees|health|summer</x:v>
      </x:c>
      <x:c r="G116" s="17" t="str">
        <x:v>Competitive admission-time packages and automatic entrance-award consideration without a universal route-specific minimum.</x:v>
      </x:c>
      <x:c r="H116" s="17" t="str">
        <x:v>Funding</x:v>
      </x:c>
      <x:c r="I116" s="17" t="str">
        <x:v>Concordia University</x:v>
      </x:c>
      <x:c r="J116" s="17" t="str">
        <x:v>official</x:v>
      </x:c>
      <x:c r="K116" s="17" t="str">
        <x:v>2026-09-11</x:v>
      </x:c>
      <x:c r="L116" s="17" t="str">
        <x:v>Current funding page checked 2026-09-11</x:v>
      </x:c>
      <x:c r="M116" s="17" t="str">
        <x:v>high</x:v>
      </x:c>
      <x:c r="N116" s="17" t="str">
        <x:v>official page checked</x:v>
      </x:c>
      <x:c r="O116" s="17" t="str"/>
      <x:c r="P116" s="18" t="e">
        <x:f>HYPERLINK("https://www.concordia.ca/gradstudies/funding.html","Open source")</x:f>
        <x:v>HYPERLINK is not implemented. linkLocation=https://www.concordia.ca/gradstudies/funding.html, friendlyName=Open source</x:v>
      </x:c>
    </x:row>
    <x:row r="117" ht="46" customHeight="1">
      <x:c r="A117" s="17" t="str">
        <x:v>stage3src:941b996d861503182c1a</x:v>
      </x:c>
      <x:c r="B117" s="17" t="str">
        <x:v>program</x:v>
      </x:c>
      <x:c r="C117" s="17" t="str">
        <x:v>Concordia University</x:v>
      </x:c>
      <x:c r="D117" s="17" t="str">
        <x:v>ca:dli:O19359011007:program:thesis-or-research-master-s:master-of-computer-science-thesis</x:v>
      </x:c>
      <x:c r="E117" s="17" t="str"/>
      <x:c r="F117" s="17" t="str">
        <x:v>fees|admissions</x:v>
      </x:c>
      <x:c r="G117" s="17" t="str">
        <x:v>Current graduate application instruction page states $100 CAD per application and no waivers.</x:v>
      </x:c>
      <x:c r="H117" s="17" t="str">
        <x:v>Graduate application instructions</x:v>
      </x:c>
      <x:c r="I117" s="17" t="str">
        <x:v>Concordia University</x:v>
      </x:c>
      <x:c r="J117" s="17" t="str">
        <x:v>official</x:v>
      </x:c>
      <x:c r="K117" s="17" t="str">
        <x:v>2026-09-09</x:v>
      </x:c>
      <x:c r="L117" s="17" t="str">
        <x:v>current</x:v>
      </x:c>
      <x:c r="M117" s="17" t="str">
        <x:v>high</x:v>
      </x:c>
      <x:c r="N117" s="17" t="str">
        <x:v>opened/current</x:v>
      </x:c>
      <x:c r="O117" s="17" t="str">
        <x:v>No search snippet used as final evidence; URL/page content reviewed.</x:v>
      </x:c>
      <x:c r="P117" s="18" t="e">
        <x:f>HYPERLINK("https://www.concordia.ca/gradstudies/future-students/how-to-apply/instructions.html","Open source")</x:f>
        <x:v>HYPERLINK is not implemented. linkLocation=https://www.concordia.ca/gradstudies/future-students/how-to-apply/instructions.html, friendlyName=Open source</x:v>
      </x:c>
    </x:row>
    <x:row r="118" ht="46" customHeight="1">
      <x:c r="A118" s="17" t="str">
        <x:v>stage3src:add448b68ed055cb7d0b</x:v>
      </x:c>
      <x:c r="B118" s="17" t="str">
        <x:v>program</x:v>
      </x:c>
      <x:c r="C118" s="17" t="str">
        <x:v>Concordia University</x:v>
      </x:c>
      <x:c r="D118" s="17" t="str">
        <x:v>ca:dli:O19359011007:program:thesis-or-research-master-s:master-of-computer-science-thesis</x:v>
      </x:c>
      <x:c r="E118" s="17" t="str"/>
      <x:c r="F118" s="17" t="str">
        <x:v>admissions</x:v>
      </x:c>
      <x:c r="G118" s="17" t="str">
        <x:v>Applicants may name three faculty; contact is highly recommended and no offer issues without a supervisor match.</x:v>
      </x:c>
      <x:c r="H118" s="17" t="str">
        <x:v>Programs with additional requirements</x:v>
      </x:c>
      <x:c r="I118" s="17" t="str">
        <x:v>Concordia University</x:v>
      </x:c>
      <x:c r="J118" s="17" t="str">
        <x:v>official</x:v>
      </x:c>
      <x:c r="K118" s="17" t="str">
        <x:v>2026-09-09</x:v>
      </x:c>
      <x:c r="L118" s="17" t="str">
        <x:v>current</x:v>
      </x:c>
      <x:c r="M118" s="17" t="str">
        <x:v>high</x:v>
      </x:c>
      <x:c r="N118" s="17" t="str">
        <x:v>opened/current</x:v>
      </x:c>
      <x:c r="O118" s="17" t="str">
        <x:v>No search snippet used as final evidence; URL/page content reviewed.</x:v>
      </x:c>
      <x:c r="P118" s="18" t="e">
        <x:f>HYPERLINK("https://www.concordia.ca/gradstudies/future-students/how-to-apply/programs-with-additional-requirements.html","Open source")</x:f>
        <x:v>HYPERLINK is not implemented. linkLocation=https://www.concordia.ca/gradstudies/future-students/how-to-apply/programs-with-additional-requirements.html, friendlyName=Open source</x:v>
      </x:c>
    </x:row>
    <x:row r="119" ht="46" customHeight="1">
      <x:c r="A119" s="17" t="str">
        <x:v>stage3src:daae65a66236447714aa</x:v>
      </x:c>
      <x:c r="B119" s="17" t="str">
        <x:v>program</x:v>
      </x:c>
      <x:c r="C119" s="17" t="str">
        <x:v>Concordia University</x:v>
      </x:c>
      <x:c r="D119" s="17" t="str">
        <x:v>ca:dli:O19359011007:program:thesis-or-research-master-s:master-of-computer-science-thesis</x:v>
      </x:c>
      <x:c r="E119" s="17" t="str"/>
      <x:c r="F119" s="17" t="str">
        <x:v>funding|deadline|eligibility|program</x:v>
      </x:c>
      <x:c r="G119" s="17" t="str">
        <x:v>MCompSc includes a 29-credit thesis; funding packages are generally available to most thesis students; Fall international deadline is March 1.</x:v>
      </x:c>
      <x:c r="H119" s="17" t="str">
        <x:v>Computer Science MCompSc</x:v>
      </x:c>
      <x:c r="I119" s="17" t="str">
        <x:v>Concordia University</x:v>
      </x:c>
      <x:c r="J119" s="17" t="str">
        <x:v>official</x:v>
      </x:c>
      <x:c r="K119" s="17" t="str">
        <x:v>2026-09-09</x:v>
      </x:c>
      <x:c r="L119" s="17" t="str">
        <x:v>current recurring</x:v>
      </x:c>
      <x:c r="M119" s="17" t="str">
        <x:v>high</x:v>
      </x:c>
      <x:c r="N119" s="17" t="str">
        <x:v>opened; cycle limits recorded</x:v>
      </x:c>
      <x:c r="O119" s="17" t="str">
        <x:v>No search snippet used as final evidence; URL/page content reviewed.</x:v>
      </x:c>
      <x:c r="P119" s="18" t="e">
        <x:f>HYPERLINK("https://www.concordia.ca/academics/graduate/computer-science-mcompsc.html","Open source")</x:f>
        <x:v>HYPERLINK is not implemented. linkLocation=https://www.concordia.ca/academics/graduate/computer-science-mcompsc.html, friendlyName=Open source</x:v>
      </x:c>
    </x:row>
    <x:row r="120" ht="46" customHeight="1">
      <x:c r="A120" s="17" t="str">
        <x:v>stage3src:6cc2ddd9a51c3365d685</x:v>
      </x:c>
      <x:c r="B120" s="17" t="str">
        <x:v>program</x:v>
      </x:c>
      <x:c r="C120" s="17" t="str">
        <x:v>Concordia University</x:v>
      </x:c>
      <x:c r="D120" s="17" t="str">
        <x:v>ca:dli:O19359011007:program:thesis-or-research-master-s:software-engineering-masc</x:v>
      </x:c>
      <x:c r="E120" s="17" t="str"/>
      <x:c r="F120" s="17" t="str">
        <x:v>admissions|fees</x:v>
      </x:c>
      <x:c r="G120" s="17" t="str">
        <x:v>CAD 100 application fee, no waiver, and separate completed application and fee per program.</x:v>
      </x:c>
      <x:c r="H120" s="17" t="str">
        <x:v>Application Instructions</x:v>
      </x:c>
      <x:c r="I120" s="17" t="str">
        <x:v>Concordia University School of Graduate Studies</x:v>
      </x:c>
      <x:c r="J120" s="17" t="str">
        <x:v>official</x:v>
      </x:c>
      <x:c r="K120" s="17" t="str">
        <x:v>2026-09-11</x:v>
      </x:c>
      <x:c r="L120" s="17" t="str">
        <x:v>Current page checked 2026-09-11</x:v>
      </x:c>
      <x:c r="M120" s="17" t="str">
        <x:v>high</x:v>
      </x:c>
      <x:c r="N120" s="17" t="str">
        <x:v>official page checked</x:v>
      </x:c>
      <x:c r="O120" s="17" t="str"/>
      <x:c r="P120" s="18" t="e">
        <x:f>HYPERLINK("https://www.concordia.ca/gradstudies/future-students/how-to-apply/instructions.html","Open source")</x:f>
        <x:v>HYPERLINK is not implemented. linkLocation=https://www.concordia.ca/gradstudies/future-students/how-to-apply/instructions.html, friendlyName=Open source</x:v>
      </x:c>
    </x:row>
    <x:row r="121" ht="46" customHeight="1">
      <x:c r="A121" s="17" t="str">
        <x:v>stage3src:8c35d0d7476d9d8f8e18</x:v>
      </x:c>
      <x:c r="B121" s="17" t="str">
        <x:v>program</x:v>
      </x:c>
      <x:c r="C121" s="17" t="str">
        <x:v>Concordia University</x:v>
      </x:c>
      <x:c r="D121" s="17" t="str">
        <x:v>ca:dli:O19359011007:program:thesis-or-research-master-s:software-engineering-masc</x:v>
      </x:c>
      <x:c r="E121" s="17" t="str"/>
      <x:c r="F121" s="17" t="str">
        <x:v>program|admissions|eligibility|deadline|funding</x:v>
      </x:c>
      <x:c r="G121" s="17" t="str">
        <x:v>Exact 45-credit two-year thesis MASc, relevant-degree entry, recurring March 1 deadline, and non-universal funding language for most thesis students.</x:v>
      </x:c>
      <x:c r="H121" s="17" t="str">
        <x:v>Software Engineering MASc</x:v>
      </x:c>
      <x:c r="I121" s="17" t="str">
        <x:v>Concordia University</x:v>
      </x:c>
      <x:c r="J121" s="17" t="str">
        <x:v>official</x:v>
      </x:c>
      <x:c r="K121" s="17" t="str">
        <x:v>2026-09-11</x:v>
      </x:c>
      <x:c r="L121" s="17" t="str">
        <x:v>Current recurring dates checked 2026-09-11</x:v>
      </x:c>
      <x:c r="M121" s="17" t="str">
        <x:v>high</x:v>
      </x:c>
      <x:c r="N121" s="17" t="str">
        <x:v>official page checked</x:v>
      </x:c>
      <x:c r="O121" s="17" t="str"/>
      <x:c r="P121" s="18" t="e">
        <x:f>HYPERLINK("https://www.concordia.ca/academics/graduate/software-engineering-masc.html","Open source")</x:f>
        <x:v>HYPERLINK is not implemented. linkLocation=https://www.concordia.ca/academics/graduate/software-engineering-masc.html, friendlyName=Open source</x:v>
      </x:c>
    </x:row>
    <x:row r="122" ht="46" customHeight="1">
      <x:c r="A122" s="17" t="str">
        <x:v>stage3src:afd4e8ca2c53991adfd3</x:v>
      </x:c>
      <x:c r="B122" s="17" t="str">
        <x:v>program</x:v>
      </x:c>
      <x:c r="C122" s="17" t="str">
        <x:v>Concordia University</x:v>
      </x:c>
      <x:c r="D122" s="17" t="str">
        <x:v>ca:dli:O19359011007:program:thesis-or-research-master-s:software-engineering-masc</x:v>
      </x:c>
      <x:c r="E122" s="17" t="str"/>
      <x:c r="F122" s="17" t="str">
        <x:v>admissions|eligibility|language</x:v>
      </x:c>
      <x:c r="G122" s="17" t="str">
        <x:v>United States and Nigeria are listed for the three-year English-proficiency exemption route, subject to university review.</x:v>
      </x:c>
      <x:c r="H122" s="17" t="str">
        <x:v>English-Language Proficiency Exempt Countries</x:v>
      </x:c>
      <x:c r="I122" s="17" t="str">
        <x:v>Concordia University School of Graduate Studies</x:v>
      </x:c>
      <x:c r="J122" s="17" t="str">
        <x:v>official</x:v>
      </x:c>
      <x:c r="K122" s="17" t="str">
        <x:v>2026-09-11</x:v>
      </x:c>
      <x:c r="L122" s="17" t="str">
        <x:v>Current page checked 2026-09-11</x:v>
      </x:c>
      <x:c r="M122" s="17" t="str">
        <x:v>high</x:v>
      </x:c>
      <x:c r="N122" s="17" t="str">
        <x:v>official page checked</x:v>
      </x:c>
      <x:c r="O122" s="17" t="str"/>
      <x:c r="P122" s="18" t="e">
        <x:f>HYPERLINK("https://www.concordia.ca/gradstudies/future-students/how-to-apply/english-language-proficiency/exempt-countries.html","Open source")</x:f>
        <x:v>HYPERLINK is not implemented. linkLocation=https://www.concordia.ca/gradstudies/future-students/how-to-apply/english-language-proficiency/exempt-countries.html, friendlyName=Open source</x:v>
      </x:c>
    </x:row>
    <x:row r="123" ht="46" customHeight="1">
      <x:c r="A123" s="17" t="str">
        <x:v>stage3src:d4f95245456911dfb067</x:v>
      </x:c>
      <x:c r="B123" s="17" t="str">
        <x:v>program</x:v>
      </x:c>
      <x:c r="C123" s="17" t="str">
        <x:v>Concordia University</x:v>
      </x:c>
      <x:c r="D123" s="17" t="str">
        <x:v>ca:dli:O19359011007:program:thesis-or-research-master-s:software-engineering-masc</x:v>
      </x:c>
      <x:c r="E123" s="17" t="str"/>
      <x:c r="F123" s="17" t="str">
        <x:v>funding</x:v>
      </x:c>
      <x:c r="G123" s="17" t="str">
        <x:v>The graduate handbook documents MASc award and scholarship processes, while the program page remains the source for the non-universal admission-time package claim.</x:v>
      </x:c>
      <x:c r="H123" s="17" t="str">
        <x:v>Graduate Student Handbook</x:v>
      </x:c>
      <x:c r="I123" s="17" t="str">
        <x:v>Concordia University Gina Cody School</x:v>
      </x:c>
      <x:c r="J123" s="17" t="str">
        <x:v>official</x:v>
      </x:c>
      <x:c r="K123" s="17" t="str">
        <x:v>2026-09-11</x:v>
      </x:c>
      <x:c r="L123" s="17" t="str">
        <x:v>2025 handbook checked 2026-09-11</x:v>
      </x:c>
      <x:c r="M123" s="17" t="str">
        <x:v>high</x:v>
      </x:c>
      <x:c r="N123" s="17" t="str">
        <x:v>official page checked</x:v>
      </x:c>
      <x:c r="O123" s="17" t="str"/>
      <x:c r="P123" s="18" t="e">
        <x:f>HYPERLINK("https://www.concordia.ca/content/dam/ginacody/cme/docs/Digital_Graduate_Student_Handbook_12_September_2025.pdf.pdf","Open source")</x:f>
        <x:v>HYPERLINK is not implemented. linkLocation=https://www.concordia.ca/content/dam/ginacody/cme/docs/Digital_Graduate_Student_Handbook_12_September_2025.pdf.pdf, friendlyName=Open source</x:v>
      </x:c>
    </x:row>
    <x:row r="124" ht="46" customHeight="1">
      <x:c r="A124" s="17" t="str">
        <x:v>stage3src:0b293751bd776cfa51e4</x:v>
      </x:c>
      <x:c r="B124" s="17" t="str">
        <x:v>program</x:v>
      </x:c>
      <x:c r="C124" s="17" t="str">
        <x:v>Université Laval</x:v>
      </x:c>
      <x:c r="D124" s="17" t="str">
        <x:v>ca:dli:O19359011020:program:thesis-or-research-master-s:ma-trise-en-informatique-avec-m-moire</x:v>
      </x:c>
      <x:c r="E124" s="17" t="str"/>
      <x:c r="F124" s="17" t="str">
        <x:v>program</x:v>
      </x:c>
      <x:c r="G124" s="17" t="str">
        <x:v>The official page identifies Maîtrise en informatique avec mémoire and contains research/thesis evidence.</x:v>
      </x:c>
      <x:c r="H124" s="17" t="str">
        <x:v>Informatique - avec mémoire | Maîtrise recherche</x:v>
      </x:c>
      <x:c r="I124" s="17" t="str">
        <x:v>Université Laval</x:v>
      </x:c>
      <x:c r="J124" s="17" t="str">
        <x:v>official</x:v>
      </x:c>
      <x:c r="K124" s="17" t="str">
        <x:v>2026-09-09</x:v>
      </x:c>
      <x:c r="L124" s="17" t="str">
        <x:v>Current page; Fall 2027 dates not assumed</x:v>
      </x:c>
      <x:c r="M124" s="17" t="str">
        <x:v>High for program existence and research structure</x:v>
      </x:c>
      <x:c r="N124" s="17" t="str">
        <x:v>opened</x:v>
      </x:c>
      <x:c r="O124" s="17" t="str">
        <x:v>HTTP 200; page SHA-256 in evidence file</x:v>
      </x:c>
      <x:c r="P124" s="18" t="e">
        <x:f>HYPERLINK("https://www.ulaval.ca/etudes/programmes/maitrise-en-informatique-avec-memoire","Open source")</x:f>
        <x:v>HYPERLINK is not implemented. linkLocation=https://www.ulaval.ca/etudes/programmes/maitrise-en-informatique-avec-memoire, friendlyName=Open source</x:v>
      </x:c>
    </x:row>
    <x:row r="125" ht="46" customHeight="1">
      <x:c r="A125" s="17" t="str">
        <x:v>stage3src:19c3dc2db620dc949039</x:v>
      </x:c>
      <x:c r="B125" s="17" t="str">
        <x:v>program</x:v>
      </x:c>
      <x:c r="C125" s="17" t="str">
        <x:v>McGill University</x:v>
      </x:c>
      <x:c r="D125" s="17" t="str">
        <x:v>ca:dli:O19359011033:program:thesis-or-research-master-s:electrical-engineering-thesis-m-sc</x:v>
      </x:c>
      <x:c r="E125" s="17" t="str"/>
      <x:c r="F125" s="17" t="str">
        <x:v>funding|conditions|international|scholarship</x:v>
      </x:c>
      <x:c r="G125" s="17" t="str">
        <x:v>Graduate assistantships, automatic consideration when support is requested, competitive award limits, and no universal package amount.</x:v>
      </x:c>
      <x:c r="H125" s="17" t="str">
        <x:v>Funding Opportunities</x:v>
      </x:c>
      <x:c r="I125" s="17" t="str">
        <x:v>McGill University ECE</x:v>
      </x:c>
      <x:c r="J125" s="17" t="str">
        <x:v>official</x:v>
      </x:c>
      <x:c r="K125" s="17" t="str">
        <x:v>2026-09-11</x:v>
      </x:c>
      <x:c r="L125" s="17" t="str">
        <x:v>Current funding page checked 2026-09-11</x:v>
      </x:c>
      <x:c r="M125" s="17" t="str">
        <x:v>high</x:v>
      </x:c>
      <x:c r="N125" s="17" t="str">
        <x:v>official page checked</x:v>
      </x:c>
      <x:c r="O125" s="17" t="str"/>
      <x:c r="P125" s="18" t="e">
        <x:f>HYPERLINK("https://www.mcgill.ca/ece/graduate/fellowshipsandawards","Open source")</x:f>
        <x:v>HYPERLINK is not implemented. linkLocation=https://www.mcgill.ca/ece/graduate/fellowshipsandawards, friendlyName=Open source</x:v>
      </x:c>
    </x:row>
    <x:row r="126" ht="46" customHeight="1">
      <x:c r="A126" s="17" t="str">
        <x:v>stage3src:4128332fa8b345801549</x:v>
      </x:c>
      <x:c r="B126" s="17" t="str">
        <x:v>program</x:v>
      </x:c>
      <x:c r="C126" s="17" t="str">
        <x:v>McGill University</x:v>
      </x:c>
      <x:c r="D126" s="17" t="str">
        <x:v>ca:dli:O19359011033:program:thesis-or-research-master-s:electrical-engineering-thesis-m-sc</x:v>
      </x:c>
      <x:c r="E126" s="17" t="str"/>
      <x:c r="F126" s="17" t="str">
        <x:v>funding|conditions</x:v>
      </x:c>
      <x:c r="G126" s="17" t="str">
        <x:v>Thesis master's students typically receive supervisor funding and receive a funding letter with admission, while amounts vary by program.</x:v>
      </x:c>
      <x:c r="H126" s="17" t="str">
        <x:v>Funding Expectations for Master's Students</x:v>
      </x:c>
      <x:c r="I126" s="17" t="str">
        <x:v>McGill University</x:v>
      </x:c>
      <x:c r="J126" s="17" t="str">
        <x:v>official</x:v>
      </x:c>
      <x:c r="K126" s="17" t="str">
        <x:v>2026-09-11</x:v>
      </x:c>
      <x:c r="L126" s="17" t="str">
        <x:v>Current funding guidance checked 2026-09-11</x:v>
      </x:c>
      <x:c r="M126" s="17" t="str">
        <x:v>high</x:v>
      </x:c>
      <x:c r="N126" s="17" t="str">
        <x:v>official page checked</x:v>
      </x:c>
      <x:c r="O126" s="17" t="str"/>
      <x:c r="P126" s="18" t="e">
        <x:f>HYPERLINK("https://www.mcgill.ca/gps/funding/gradfunding101/expectations/masters","Open source")</x:f>
        <x:v>HYPERLINK is not implemented. linkLocation=https://www.mcgill.ca/gps/funding/gradfunding101/expectations/masters, friendlyName=Open source</x:v>
      </x:c>
    </x:row>
    <x:row r="127" ht="46" customHeight="1">
      <x:c r="A127" s="17" t="str">
        <x:v>stage3src:ed4230f6403c0764001d</x:v>
      </x:c>
      <x:c r="B127" s="17" t="str">
        <x:v>program</x:v>
      </x:c>
      <x:c r="C127" s="17" t="str">
        <x:v>McGill University</x:v>
      </x:c>
      <x:c r="D127" s="17" t="str">
        <x:v>ca:dli:O19359011033:program:thesis-or-research-master-s:electrical-engineering-thesis-m-sc</x:v>
      </x:c>
      <x:c r="E127" s="17" t="str"/>
      <x:c r="F127" s="17" t="str">
        <x:v>admissions|eligibility|gpa|prerequisites</x:v>
      </x:c>
      <x:c r="G127" s="17" t="str">
        <x:v>Closely related bachelor's rule and 3.0 cumulative or 3.2 last-two-year academic alternatives.</x:v>
      </x:c>
      <x:c r="H127" s="17" t="str">
        <x:v>Admission Requirements</x:v>
      </x:c>
      <x:c r="I127" s="17" t="str">
        <x:v>McGill University ECE</x:v>
      </x:c>
      <x:c r="J127" s="17" t="str">
        <x:v>official</x:v>
      </x:c>
      <x:c r="K127" s="17" t="str">
        <x:v>2026-09-11</x:v>
      </x:c>
      <x:c r="L127" s="17" t="str">
        <x:v>Current requirements checked 2026-09-11</x:v>
      </x:c>
      <x:c r="M127" s="17" t="str">
        <x:v>high</x:v>
      </x:c>
      <x:c r="N127" s="17" t="str">
        <x:v>official page checked</x:v>
      </x:c>
      <x:c r="O127" s="17" t="str"/>
      <x:c r="P127" s="18" t="e">
        <x:f>HYPERLINK("https://www.mcgill.ca/ece/graduate/graduate/process","Open source")</x:f>
        <x:v>HYPERLINK is not implemented. linkLocation=https://www.mcgill.ca/ece/graduate/graduate/process, friendlyName=Open source</x:v>
      </x:c>
    </x:row>
    <x:row r="128" ht="46" customHeight="1">
      <x:c r="A128" s="17" t="str">
        <x:v>stage3src:f8a842f0eac158a59c3e</x:v>
      </x:c>
      <x:c r="B128" s="17" t="str">
        <x:v>program</x:v>
      </x:c>
      <x:c r="C128" s="17" t="str">
        <x:v>McGill University</x:v>
      </x:c>
      <x:c r="D128" s="17" t="str">
        <x:v>ca:dli:O19359011033:program:thesis-or-research-master-s:electrical-engineering-thesis-m-sc</x:v>
      </x:c>
      <x:c r="E128" s="17" t="str"/>
      <x:c r="F128" s="17" t="str">
        <x:v>program|research|admissions|eligibility|gpa|deadline|international</x:v>
      </x:c>
      <x:c r="G128" s="17" t="str">
        <x:v>Research-intensive ECE MSc, 3.0 GPA, international eligibility, and December 15 Fall deadline.</x:v>
      </x:c>
      <x:c r="H128" s="17" t="str">
        <x:v>Electrical Engineering (M.Sc.)</x:v>
      </x:c>
      <x:c r="I128" s="17" t="str">
        <x:v>McGill University</x:v>
      </x:c>
      <x:c r="J128" s="17" t="str">
        <x:v>official</x:v>
      </x:c>
      <x:c r="K128" s="17" t="str">
        <x:v>2026-09-11</x:v>
      </x:c>
      <x:c r="L128" s="17" t="str">
        <x:v>Current recurring Fall deadline checked 2026-09-11</x:v>
      </x:c>
      <x:c r="M128" s="17" t="str">
        <x:v>high</x:v>
      </x:c>
      <x:c r="N128" s="17" t="str">
        <x:v>official page checked</x:v>
      </x:c>
      <x:c r="O128" s="17" t="str"/>
      <x:c r="P128" s="18" t="e">
        <x:f>HYPERLINK("https://www.mcgill.ca/gradapplicants/program/electrical-engineering-msc","Open source")</x:f>
        <x:v>HYPERLINK is not implemented. linkLocation=https://www.mcgill.ca/gradapplicants/program/electrical-engineering-msc, friendlyName=Open source</x:v>
      </x:c>
    </x:row>
    <x:row r="129" ht="46" customHeight="1">
      <x:c r="A129" s="17" t="str">
        <x:v>stage3src:2032a71aba6eecffe8b2</x:v>
      </x:c>
      <x:c r="B129" s="17" t="str">
        <x:v>program</x:v>
      </x:c>
      <x:c r="C129" s="17" t="str">
        <x:v>McGill University</x:v>
      </x:c>
      <x:c r="D129" s="17" t="str">
        <x:v>ca:dli:O19359011033:program:thesis-or-research-master-s:msc-in-computer-science-thesis</x:v>
      </x:c>
      <x:c r="E129" s="17" t="str"/>
      <x:c r="F129" s="17" t="str">
        <x:v>funding|program</x:v>
      </x:c>
      <x:c r="G129" s="17" t="str">
        <x:v>Department FAQ describes all PhD and most MSc students as funded but does not provide a current MSc minimum in the reviewed text.</x:v>
      </x:c>
      <x:c r="H129" s="17" t="str">
        <x:v>Future Students FAQ</x:v>
      </x:c>
      <x:c r="I129" s="17" t="str">
        <x:v>McGill School of Computer Science</x:v>
      </x:c>
      <x:c r="J129" s="17" t="str">
        <x:v>official</x:v>
      </x:c>
      <x:c r="K129" s="17" t="str">
        <x:v>2026-09-09</x:v>
      </x:c>
      <x:c r="L129" s="17" t="str">
        <x:v>current</x:v>
      </x:c>
      <x:c r="M129" s="17" t="str">
        <x:v>high</x:v>
      </x:c>
      <x:c r="N129" s="17" t="str">
        <x:v>opened/current</x:v>
      </x:c>
      <x:c r="O129" s="17" t="str">
        <x:v>No search snippet used as final evidence; URL/page content reviewed.</x:v>
      </x:c>
      <x:c r="P129" s="18" t="e">
        <x:f>HYPERLINK("https://www.cs.mcgill.ca/graduate/future/faq/","Open source")</x:f>
        <x:v>HYPERLINK is not implemented. linkLocation=https://www.cs.mcgill.ca/graduate/future/faq/, friendlyName=Open source</x:v>
      </x:c>
    </x:row>
    <x:row r="130" ht="46" customHeight="1">
      <x:c r="A130" s="17" t="str">
        <x:v>stage3src:61a33eb4fe9cff341378</x:v>
      </x:c>
      <x:c r="B130" s="17" t="str">
        <x:v>program</x:v>
      </x:c>
      <x:c r="C130" s="17" t="str">
        <x:v>McGill University</x:v>
      </x:c>
      <x:c r="D130" s="17" t="str">
        <x:v>ca:dli:O19359011033:program:thesis-or-research-master-s:msc-in-computer-science-thesis</x:v>
      </x:c>
      <x:c r="E130" s="17" t="str"/>
      <x:c r="F130" s="17" t="str">
        <x:v>fees|admissions</x:v>
      </x:c>
      <x:c r="G130" s="17" t="str">
        <x:v>Latest posted 2027 fee is $143.82 CAD; one fee permits two same-term applications; no GPS waiver.</x:v>
      </x:c>
      <x:c r="H130" s="17" t="str">
        <x:v>Application support FAQ</x:v>
      </x:c>
      <x:c r="I130" s="17" t="str">
        <x:v>McGill University</x:v>
      </x:c>
      <x:c r="J130" s="17" t="str">
        <x:v>official</x:v>
      </x:c>
      <x:c r="K130" s="17" t="str">
        <x:v>2026-09-09</x:v>
      </x:c>
      <x:c r="L130" s="17" t="str">
        <x:v>Summer 2027 latest posted</x:v>
      </x:c>
      <x:c r="M130" s="17" t="str">
        <x:v>high</x:v>
      </x:c>
      <x:c r="N130" s="17" t="str">
        <x:v>opened/current</x:v>
      </x:c>
      <x:c r="O130" s="17" t="str">
        <x:v>No search snippet used as final evidence; URL/page content reviewed.</x:v>
      </x:c>
      <x:c r="P130" s="18" t="e">
        <x:f>HYPERLINK("https://www.mcgill.ca/gradapplicants/how-apply/application-support","Open source")</x:f>
        <x:v>HYPERLINK is not implemented. linkLocation=https://www.mcgill.ca/gradapplicants/how-apply/application-support, friendlyName=Open source</x:v>
      </x:c>
    </x:row>
    <x:row r="131" ht="46" customHeight="1">
      <x:c r="A131" s="17" t="str">
        <x:v>stage3src:6c1f44fe44317e58ec0b</x:v>
      </x:c>
      <x:c r="B131" s="17" t="str">
        <x:v>program</x:v>
      </x:c>
      <x:c r="C131" s="17" t="str">
        <x:v>McGill University</x:v>
      </x:c>
      <x:c r="D131" s="17" t="str">
        <x:v>ca:dli:O19359011033:program:thesis-or-research-master-s:msc-in-computer-science-thesis</x:v>
      </x:c>
      <x:c r="E131" s="17" t="str"/>
      <x:c r="F131" s="17" t="str">
        <x:v>deadline|eligibility|program</x:v>
      </x:c>
      <x:c r="G131" s="17" t="str">
        <x:v>International thesis MSc Fall deadline is December 15; page does not label a year.</x:v>
      </x:c>
      <x:c r="H131" s="17" t="str">
        <x:v>Application Deadlines</x:v>
      </x:c>
      <x:c r="I131" s="17" t="str">
        <x:v>McGill School of Computer Science</x:v>
      </x:c>
      <x:c r="J131" s="17" t="str">
        <x:v>official</x:v>
      </x:c>
      <x:c r="K131" s="17" t="str">
        <x:v>2026-09-09</x:v>
      </x:c>
      <x:c r="L131" s="17" t="str">
        <x:v>current recurring</x:v>
      </x:c>
      <x:c r="M131" s="17" t="str">
        <x:v>high</x:v>
      </x:c>
      <x:c r="N131" s="17" t="str">
        <x:v>opened; cycle limits recorded</x:v>
      </x:c>
      <x:c r="O131" s="17" t="str">
        <x:v>No search snippet used as final evidence; URL/page content reviewed.</x:v>
      </x:c>
      <x:c r="P131" s="18" t="e">
        <x:f>HYPERLINK("https://www.cs.mcgill.ca/graduate/future/deadline/","Open source")</x:f>
        <x:v>HYPERLINK is not implemented. linkLocation=https://www.cs.mcgill.ca/graduate/future/deadline/, friendlyName=Open source</x:v>
      </x:c>
    </x:row>
    <x:row r="132" ht="46" customHeight="1">
      <x:c r="A132" s="17" t="str">
        <x:v>stage3src:6db2c44b189db1995c92</x:v>
      </x:c>
      <x:c r="B132" s="17" t="str">
        <x:v>program</x:v>
      </x:c>
      <x:c r="C132" s="17" t="str">
        <x:v>McGill University</x:v>
      </x:c>
      <x:c r="D132" s="17" t="str">
        <x:v>ca:dli:O19359011033:program:thesis-or-research-master-s:msc-in-computer-science-thesis</x:v>
      </x:c>
      <x:c r="E132" s="17" t="str"/>
      <x:c r="F132" s="17" t="str">
        <x:v>eligibility|program</x:v>
      </x:c>
      <x:c r="G132" s="17" t="str">
        <x:v>MSc Computer Science thesis is research intensive and bachelor-entry; program minimum is 3.2/4.0.</x:v>
      </x:c>
      <x:c r="H132" s="17" t="str">
        <x:v>Computer Science MSc</x:v>
      </x:c>
      <x:c r="I132" s="17" t="str">
        <x:v>McGill University</x:v>
      </x:c>
      <x:c r="J132" s="17" t="str">
        <x:v>official</x:v>
      </x:c>
      <x:c r="K132" s="17" t="str">
        <x:v>2026-09-09</x:v>
      </x:c>
      <x:c r="L132" s="17" t="str">
        <x:v>current</x:v>
      </x:c>
      <x:c r="M132" s="17" t="str">
        <x:v>high</x:v>
      </x:c>
      <x:c r="N132" s="17" t="str">
        <x:v>opened/current</x:v>
      </x:c>
      <x:c r="O132" s="17" t="str">
        <x:v>No search snippet used as final evidence; URL/page content reviewed.</x:v>
      </x:c>
      <x:c r="P132" s="18" t="e">
        <x:f>HYPERLINK("https://www.mcgill.ca/gradapplicants/program/computer-science-msc","Open source")</x:f>
        <x:v>HYPERLINK is not implemented. linkLocation=https://www.mcgill.ca/gradapplicants/program/computer-science-msc, friendlyName=Open source</x:v>
      </x:c>
    </x:row>
    <x:row r="133" ht="46" customHeight="1">
      <x:c r="A133" s="17" t="str">
        <x:v>stage3src:49de6619ca6e66569c87</x:v>
      </x:c>
      <x:c r="B133" s="17" t="str">
        <x:v>program</x:v>
      </x:c>
      <x:c r="C133" s="17" t="str">
        <x:v>Université de Montréal</x:v>
      </x:c>
      <x:c r="D133" s="17" t="str">
        <x:v>ca:dli:O19359011045:program:thesis-or-research-master-s:ma-trise-en-informatique</x:v>
      </x:c>
      <x:c r="E133" s="17" t="str"/>
      <x:c r="F133" s="17" t="str">
        <x:v>program</x:v>
      </x:c>
      <x:c r="G133" s="17" t="str">
        <x:v>The official page identifies Maîtrise en informatique and contains research/thesis evidence.</x:v>
      </x:c>
      <x:c r="H133" s="17" t="str">
        <x:v>Maîtrise en informatique - Université de Montréal - Admission</x:v>
      </x:c>
      <x:c r="I133" s="17" t="str">
        <x:v>Université de Montréal</x:v>
      </x:c>
      <x:c r="J133" s="17" t="str">
        <x:v>official</x:v>
      </x:c>
      <x:c r="K133" s="17" t="str">
        <x:v>2026-09-09</x:v>
      </x:c>
      <x:c r="L133" s="17" t="str">
        <x:v>Current page; Fall 2027 dates not assumed</x:v>
      </x:c>
      <x:c r="M133" s="17" t="str">
        <x:v>High for program existence and research structure</x:v>
      </x:c>
      <x:c r="N133" s="17" t="str">
        <x:v>opened</x:v>
      </x:c>
      <x:c r="O133" s="17" t="str">
        <x:v>HTTP 200; page SHA-256 in evidence file</x:v>
      </x:c>
      <x:c r="P133" s="18" t="e">
        <x:f>HYPERLINK("https://admission.umontreal.ca/programmes/maitrise-en-informatique/","Open source")</x:f>
        <x:v>HYPERLINK is not implemented. linkLocation=https://admission.umontreal.ca/programmes/maitrise-en-informatique/, friendlyName=Open source</x:v>
      </x:c>
    </x:row>
    <x:row r="134" ht="46" customHeight="1">
      <x:c r="A134" s="17" t="str">
        <x:v>stage3src:366a5600f44b7337f54d</x:v>
      </x:c>
      <x:c r="B134" s="17" t="str">
        <x:v>program</x:v>
      </x:c>
      <x:c r="C134" s="17" t="str">
        <x:v>École Polytechnique de Montréal</x:v>
      </x:c>
      <x:c r="D134" s="17" t="str">
        <x:v>ca:dli:O19359011070:program:thesis-or-research-master-s:research-master-s-in-computer-engineering-software-engineering-option</x:v>
      </x:c>
      <x:c r="E134" s="17" t="str"/>
      <x:c r="F134" s="17" t="str">
        <x:v>funding|tuition|fees|health</x:v>
      </x:c>
      <x:c r="G134" s="17" t="str">
        <x:v>Supervisor-discretionary funding, differential-tuition exemption bursaries, and warning that research funding may not cover living expenses or insurance.</x:v>
      </x:c>
      <x:c r="H134" s="17" t="str">
        <x:v>Graduate Finances</x:v>
      </x:c>
      <x:c r="I134" s="17" t="str">
        <x:v>Polytechnique Montréal</x:v>
      </x:c>
      <x:c r="J134" s="17" t="str">
        <x:v>official</x:v>
      </x:c>
      <x:c r="K134" s="17" t="str">
        <x:v>2026-09-10</x:v>
      </x:c>
      <x:c r="L134" s="17" t="str">
        <x:v>Current finance guidance checked 2026-09-10</x:v>
      </x:c>
      <x:c r="M134" s="17" t="str">
        <x:v>high</x:v>
      </x:c>
      <x:c r="N134" s="17" t="str">
        <x:v>official page checked</x:v>
      </x:c>
      <x:c r="O134" s="17" t="str"/>
      <x:c r="P134" s="18" t="e">
        <x:f>HYPERLINK("https://www.polymtl.ca/futur/en/es/finances","Open source")</x:f>
        <x:v>HYPERLINK is not implemented. linkLocation=https://www.polymtl.ca/futur/en/es/finances, friendlyName=Open source</x:v>
      </x:c>
    </x:row>
    <x:row r="135" ht="46" customHeight="1">
      <x:c r="A135" s="17" t="str">
        <x:v>stage3src:a1aca3b70a89a0229a85</x:v>
      </x:c>
      <x:c r="B135" s="17" t="str">
        <x:v>program</x:v>
      </x:c>
      <x:c r="C135" s="17" t="str">
        <x:v>École Polytechnique de Montréal</x:v>
      </x:c>
      <x:c r="D135" s="17" t="str">
        <x:v>ca:dli:O19359011070:program:thesis-or-research-master-s:research-master-s-in-computer-engineering-software-engineering-option</x:v>
      </x:c>
      <x:c r="E135" s="17" t="str"/>
      <x:c r="F135" s="17" t="str">
        <x:v>admissions|eligibility|language</x:v>
      </x:c>
      <x:c r="G135" s="17" t="str">
        <x:v>Relevant four-year degree, 2.75 GPA general floor, and mandatory research advisor for international research-master's admission.</x:v>
      </x:c>
      <x:c r="H135" s="17" t="str">
        <x:v>Admission to DESS, Master's and PhD</x:v>
      </x:c>
      <x:c r="I135" s="17" t="str">
        <x:v>Polytechnique Montréal</x:v>
      </x:c>
      <x:c r="J135" s="17" t="str">
        <x:v>official</x:v>
      </x:c>
      <x:c r="K135" s="17" t="str">
        <x:v>2026-09-10</x:v>
      </x:c>
      <x:c r="L135" s="17" t="str">
        <x:v>Current guidance checked 2026-09-10</x:v>
      </x:c>
      <x:c r="M135" s="17" t="str">
        <x:v>high</x:v>
      </x:c>
      <x:c r="N135" s="17" t="str">
        <x:v>official page checked</x:v>
      </x:c>
      <x:c r="O135" s="17" t="str"/>
      <x:c r="P135" s="18" t="e">
        <x:f>HYPERLINK("https://www.polymtl.ca/futur/en/es/admission","Open source")</x:f>
        <x:v>HYPERLINK is not implemented. linkLocation=https://www.polymtl.ca/futur/en/es/admission, friendlyName=Open source</x:v>
      </x:c>
    </x:row>
    <x:row r="136" ht="46" customHeight="1">
      <x:c r="A136" s="17" t="str">
        <x:v>stage3src:a72ae32402733c5506ed</x:v>
      </x:c>
      <x:c r="B136" s="17" t="str">
        <x:v>program</x:v>
      </x:c>
      <x:c r="C136" s="17" t="str">
        <x:v>École Polytechnique de Montréal</x:v>
      </x:c>
      <x:c r="D136" s="17" t="str">
        <x:v>ca:dli:O19359011070:program:thesis-or-research-master-s:research-master-s-in-computer-engineering-software-engineering-option</x:v>
      </x:c>
      <x:c r="E136" s="17" t="str"/>
      <x:c r="F136" s="17" t="str">
        <x:v>research|funding</x:v>
      </x:c>
      <x:c r="G136" s="17" t="str">
        <x:v>Current master's or doctorate cybersecurity project with stated CAD 22,500 master's MAFS funding signal through July 2027.</x:v>
      </x:c>
      <x:c r="H136" s="17" t="str">
        <x:v>Autonomous Cyber Operations Research Project</x:v>
      </x:c>
      <x:c r="I136" s="17" t="str">
        <x:v>Polytechnique Montréal</x:v>
      </x:c>
      <x:c r="J136" s="17" t="str">
        <x:v>official</x:v>
      </x:c>
      <x:c r="K136" s="17" t="str">
        <x:v>2026-09-10</x:v>
      </x:c>
      <x:c r="L136" s="17" t="str">
        <x:v>Current opening checked 2026-09-10; listed end July 2027</x:v>
      </x:c>
      <x:c r="M136" s="17" t="str">
        <x:v>high</x:v>
      </x:c>
      <x:c r="N136" s="17" t="str">
        <x:v>official page checked</x:v>
      </x:c>
      <x:c r="O136" s="17" t="str"/>
      <x:c r="P136" s="18" t="e">
        <x:f>HYPERLINK("https://www.polymtl.ca/expertises/en/autonomous-cyber-operations-al-mallah-ranwa","Open source")</x:f>
        <x:v>HYPERLINK is not implemented. linkLocation=https://www.polymtl.ca/expertises/en/autonomous-cyber-operations-al-mallah-ranwa, friendlyName=Open source</x:v>
      </x:c>
    </x:row>
    <x:row r="137" ht="46" customHeight="1">
      <x:c r="A137" s="17" t="str">
        <x:v>stage3src:afa0c5aac5e0c58c133b</x:v>
      </x:c>
      <x:c r="B137" s="17" t="str">
        <x:v>program</x:v>
      </x:c>
      <x:c r="C137" s="17" t="str">
        <x:v>École Polytechnique de Montréal</x:v>
      </x:c>
      <x:c r="D137" s="17" t="str">
        <x:v>ca:dli:O19359011070:program:thesis-or-research-master-s:research-master-s-in-computer-engineering-software-engineering-option</x:v>
      </x:c>
      <x:c r="E137" s="17" t="str"/>
      <x:c r="F137" s="17" t="str">
        <x:v>program|research|admissions|eligibility|language</x:v>
      </x:c>
      <x:c r="G137" s="17" t="str">
        <x:v>Current 45-credit research master's, Software Engineering option, duration, research areas, and language policy.</x:v>
      </x:c>
      <x:c r="H137" s="17" t="str">
        <x:v>Graduate Studies in Computer and Software Engineering</x:v>
      </x:c>
      <x:c r="I137" s="17" t="str">
        <x:v>Polytechnique Montréal</x:v>
      </x:c>
      <x:c r="J137" s="17" t="str">
        <x:v>official</x:v>
      </x:c>
      <x:c r="K137" s="17" t="str">
        <x:v>2026-09-10</x:v>
      </x:c>
      <x:c r="L137" s="17" t="str">
        <x:v>Current page checked 2026-09-10</x:v>
      </x:c>
      <x:c r="M137" s="17" t="str">
        <x:v>high</x:v>
      </x:c>
      <x:c r="N137" s="17" t="str">
        <x:v>official page checked</x:v>
      </x:c>
      <x:c r="O137" s="17" t="str"/>
      <x:c r="P137" s="18" t="e">
        <x:f>HYPERLINK("https://www.polymtl.ca/gigl/en/programs-offered/graduate-studies","Open source")</x:f>
        <x:v>HYPERLINK is not implemented. linkLocation=https://www.polymtl.ca/gigl/en/programs-offered/graduate-studies, friendlyName=Open source</x:v>
      </x:c>
    </x:row>
    <x:row r="138" ht="46" customHeight="1">
      <x:c r="A138" s="17" t="str">
        <x:v>stage3src:c20e6dc1aef71d2d7b11</x:v>
      </x:c>
      <x:c r="B138" s="17" t="str">
        <x:v>program</x:v>
      </x:c>
      <x:c r="C138" s="17" t="str">
        <x:v>École Polytechnique de Montréal</x:v>
      </x:c>
      <x:c r="D138" s="17" t="str">
        <x:v>ca:dli:O19359011070:program:unclear:cross-path-catalog-review</x:v>
      </x:c>
      <x:c r="E138" s="17" t="str"/>
      <x:c r="F138" s="17" t="str">
        <x:v>discovery</x:v>
      </x:c>
      <x:c r="G138" s="17" t="str">
        <x:v>Stage 2 recorded this row as a discovery candidate; it does not independently verify an exact current research program, eligibility, or funding.</x:v>
      </x:c>
      <x:c r="H138" s="17" t="str">
        <x:v>Pass 2 Stage 2 candidate funnel</x:v>
      </x:c>
      <x:c r="I138" s="17" t="str">
        <x:v>Graduate audit pipeline</x:v>
      </x:c>
      <x:c r="J138" s="17" t="str">
        <x:v>derived</x:v>
      </x:c>
      <x:c r="K138" s="17" t="str">
        <x:v>2026-09-11</x:v>
      </x:c>
      <x:c r="L138" s="17" t="str">
        <x:v>Not cycle-specific</x:v>
      </x:c>
      <x:c r="M138" s="17" t="str">
        <x:v>low</x:v>
      </x:c>
      <x:c r="N138" s="17" t="str">
        <x:v>Discovery evidence only</x:v>
      </x:c>
      <x:c r="O138" s="17" t="str">
        <x:v>Use the source_record_paths field to trace the underlying discovery inputs.</x:v>
      </x:c>
      <x:c r="P138" s="18" t="e">
        <x:f>HYPERLINK("https://polymtl.ca","Open source")</x:f>
        <x:v>HYPERLINK is not implemented. linkLocation=https://polymtl.ca, friendlyName=Open source</x:v>
      </x:c>
    </x:row>
    <x:row r="139" ht="46" customHeight="1">
      <x:c r="A139" s="17" t="str">
        <x:v>stage3src:9c0c26026f63dc5baa3c</x:v>
      </x:c>
      <x:c r="B139" s="17" t="str">
        <x:v>program</x:v>
      </x:c>
      <x:c r="C139" s="17" t="str">
        <x:v>Université de Sherbrooke</x:v>
      </x:c>
      <x:c r="D139" s="17" t="str">
        <x:v>ca:dli:O19359011083:program:thesis-or-research-master-s:ma-trise-en-informatique</x:v>
      </x:c>
      <x:c r="E139" s="17" t="str"/>
      <x:c r="F139" s="17" t="str">
        <x:v>program</x:v>
      </x:c>
      <x:c r="G139" s="17" t="str">
        <x:v>The official page identifies Maîtrise en informatique and contains research/thesis evidence.</x:v>
      </x:c>
      <x:c r="H139" s="17" t="str">
        <x:v>Maîtrise en adaptation scolaire et sociale - Programmes et admission - Université de Sherbrooke</x:v>
      </x:c>
      <x:c r="I139" s="17" t="str">
        <x:v>Université de Sherbrooke</x:v>
      </x:c>
      <x:c r="J139" s="17" t="str">
        <x:v>official</x:v>
      </x:c>
      <x:c r="K139" s="17" t="str">
        <x:v>2026-09-09</x:v>
      </x:c>
      <x:c r="L139" s="17" t="str">
        <x:v>Current page; Fall 2027 dates not assumed</x:v>
      </x:c>
      <x:c r="M139" s="17" t="str">
        <x:v>High for program existence and research structure</x:v>
      </x:c>
      <x:c r="N139" s="17" t="str">
        <x:v>opened</x:v>
      </x:c>
      <x:c r="O139" s="17" t="str">
        <x:v>HTTP 200; page SHA-256 in evidence file</x:v>
      </x:c>
      <x:c r="P139" s="18" t="e">
        <x:f>HYPERLINK("https://www.usherbrooke.ca/admission/programme/652/maitrise-en-informatique","Open source")</x:f>
        <x:v>HYPERLINK is not implemented. linkLocation=https://www.usherbrooke.ca/admission/programme/652/maitrise-en-informatique, friendlyName=Open source</x:v>
      </x:c>
    </x:row>
    <x:row r="140" ht="46" customHeight="1">
      <x:c r="A140" s="17" t="str">
        <x:v>stage3src:80442aabfda9895d9863</x:v>
      </x:c>
      <x:c r="B140" s="17" t="str">
        <x:v>program</x:v>
      </x:c>
      <x:c r="C140" s="17" t="str">
        <x:v>Université du Québec à Chicoutimi</x:v>
      </x:c>
      <x:c r="D140" s="17" t="str">
        <x:v>ca:dli:O19359011122:program:thesis-or-research-master-s:ma-trise-en-informatique-profil-recherche-m-moire</x:v>
      </x:c>
      <x:c r="E140" s="17" t="str"/>
      <x:c r="F140" s="17" t="str">
        <x:v>program|research|eligibility|admissions</x:v>
      </x:c>
      <x:c r="G140" s="17" t="str">
        <x:v>Current 45-credit research-profile master's, thesis structure, GPA and international degree references, and possible additional coursework.</x:v>
      </x:c>
      <x:c r="H140" s="17" t="str">
        <x:v>Maîtrise en informatique — profil recherche, 3017</x:v>
      </x:c>
      <x:c r="I140" s="17" t="str">
        <x:v>Université du Québec à Chicoutimi</x:v>
      </x:c>
      <x:c r="J140" s="17" t="str">
        <x:v>official</x:v>
      </x:c>
      <x:c r="K140" s="17" t="str">
        <x:v>2026-09-11</x:v>
      </x:c>
      <x:c r="L140" s="17" t="str">
        <x:v>Current page checked 2026-09-11</x:v>
      </x:c>
      <x:c r="M140" s="17" t="str">
        <x:v>high</x:v>
      </x:c>
      <x:c r="N140" s="17" t="str">
        <x:v>official page checked</x:v>
      </x:c>
      <x:c r="O140" s="17" t="str"/>
      <x:c r="P140" s="18" t="e">
        <x:f>HYPERLINK("https://programmes.uqac.ca/3017","Open source")</x:f>
        <x:v>HYPERLINK is not implemented. linkLocation=https://programmes.uqac.ca/3017, friendlyName=Open source</x:v>
      </x:c>
    </x:row>
    <x:row r="141" ht="46" customHeight="1">
      <x:c r="A141" s="17" t="str">
        <x:v>stage3src:93d76100f7b4e40b8b2a</x:v>
      </x:c>
      <x:c r="B141" s="17" t="str">
        <x:v>program</x:v>
      </x:c>
      <x:c r="C141" s="17" t="str">
        <x:v>Université du Québec à Chicoutimi</x:v>
      </x:c>
      <x:c r="D141" s="17" t="str">
        <x:v>ca:dli:O19359011122:program:thesis-or-research-master-s:ma-trise-en-informatique-profil-recherche-m-moire</x:v>
      </x:c>
      <x:c r="E141" s="17" t="str"/>
      <x:c r="F141" s="17" t="str">
        <x:v>admissions|fees</x:v>
      </x:c>
      <x:c r="G141" s="17" t="str">
        <x:v>CAD 30 nonrefundable application fee.</x:v>
      </x:c>
      <x:c r="H141" s="17" t="str">
        <x:v>Coûts d'une demande d'admission</x:v>
      </x:c>
      <x:c r="I141" s="17" t="str">
        <x:v>Université du Québec à Chicoutimi</x:v>
      </x:c>
      <x:c r="J141" s="17" t="str">
        <x:v>official</x:v>
      </x:c>
      <x:c r="K141" s="17" t="str">
        <x:v>2026-09-11</x:v>
      </x:c>
      <x:c r="L141" s="17" t="str">
        <x:v>Current page checked 2026-09-11</x:v>
      </x:c>
      <x:c r="M141" s="17" t="str">
        <x:v>high</x:v>
      </x:c>
      <x:c r="N141" s="17" t="str">
        <x:v>official page checked</x:v>
      </x:c>
      <x:c r="O141" s="17" t="str"/>
      <x:c r="P141" s="18" t="e">
        <x:f>HYPERLINK("https://www.uqac.ca/registraire/couts-dune-demande-dadmission/","Open source")</x:f>
        <x:v>HYPERLINK is not implemented. linkLocation=https://www.uqac.ca/registraire/couts-dune-demande-dadmission/, friendlyName=Open source</x:v>
      </x:c>
    </x:row>
    <x:row r="142" ht="46" customHeight="1">
      <x:c r="A142" s="17" t="str">
        <x:v>stage3src:b5a166cb481d1590ab0d</x:v>
      </x:c>
      <x:c r="B142" s="17" t="str">
        <x:v>program</x:v>
      </x:c>
      <x:c r="C142" s="17" t="str">
        <x:v>Université du Québec à Chicoutimi</x:v>
      </x:c>
      <x:c r="D142" s="17" t="str">
        <x:v>ca:dli:O19359011122:program:thesis-or-research-master-s:ma-trise-en-informatique-profil-recherche-m-moire</x:v>
      </x:c>
      <x:c r="E142" s="17" t="str"/>
      <x:c r="F142" s="17" t="str">
        <x:v>funding|tuition|fees</x:v>
      </x:c>
      <x:c r="G142" s="17" t="str">
        <x:v>Limited international second-cycle enhanced-fee exemption, remaining charges, renewal limits, and conditions.</x:v>
      </x:c>
      <x:c r="H142" s="17" t="str">
        <x:v>Bourses d'exemption des frais majorés — 2e cycle</x:v>
      </x:c>
      <x:c r="I142" s="17" t="str">
        <x:v>Université du Québec à Chicoutimi</x:v>
      </x:c>
      <x:c r="J142" s="17" t="str">
        <x:v>official</x:v>
      </x:c>
      <x:c r="K142" s="17" t="str">
        <x:v>2026-09-11</x:v>
      </x:c>
      <x:c r="L142" s="17" t="str">
        <x:v>Current call checked 2026-09-11</x:v>
      </x:c>
      <x:c r="M142" s="17" t="str">
        <x:v>high</x:v>
      </x:c>
      <x:c r="N142" s="17" t="str">
        <x:v>official page checked</x:v>
      </x:c>
      <x:c r="O142" s="17" t="str"/>
      <x:c r="P142" s="18" t="e">
        <x:f>HYPERLINK("https://sae.uqac.ca/bourses-detudes/bourses-dexemption-des-frais-majores-befm-2e-cycle-2/","Open source")</x:f>
        <x:v>HYPERLINK is not implemented. linkLocation=https://sae.uqac.ca/bourses-detudes/bourses-dexemption-des-frais-majores-befm-2e-cycle-2/, friendlyName=Open source</x:v>
      </x:c>
    </x:row>
    <x:row r="143" ht="46" customHeight="1">
      <x:c r="A143" s="17" t="str">
        <x:v>stage3src:1f7883db382450cadbaa</x:v>
      </x:c>
      <x:c r="B143" s="17" t="str">
        <x:v>program</x:v>
      </x:c>
      <x:c r="C143" s="17" t="str">
        <x:v>Université du Québec à Montréal</x:v>
      </x:c>
      <x:c r="D143" s="17" t="str">
        <x:v>ca:dli:O19359011134:program:thesis-or-research-master-s:ma-trise-en-informatique-profil-avec-m-moire</x:v>
      </x:c>
      <x:c r="E143" s="17" t="str"/>
      <x:c r="F143" s="17" t="str">
        <x:v>program|research|eligibility|admissions|language|funding</x:v>
      </x:c>
      <x:c r="G143" s="17" t="str">
        <x:v>Current research profile, GPA thresholds, French requirement, supervisor timing, and program-level research-work and scholarship possibilities.</x:v>
      </x:c>
      <x:c r="H143" s="17" t="str">
        <x:v>Maîtrise en informatique</x:v>
      </x:c>
      <x:c r="I143" s="17" t="str">
        <x:v>Université du Québec à Montréal</x:v>
      </x:c>
      <x:c r="J143" s="17" t="str">
        <x:v>official</x:v>
      </x:c>
      <x:c r="K143" s="17" t="str">
        <x:v>2026-09-11</x:v>
      </x:c>
      <x:c r="L143" s="17" t="str">
        <x:v>Current page checked 2026-09-11</x:v>
      </x:c>
      <x:c r="M143" s="17" t="str">
        <x:v>high</x:v>
      </x:c>
      <x:c r="N143" s="17" t="str">
        <x:v>official page checked</x:v>
      </x:c>
      <x:c r="O143" s="17" t="str"/>
      <x:c r="P143" s="18" t="e">
        <x:f>HYPERLINK("https://info.uqam.ca/ma%C3%AEtrise_en_informatique/","Open source")</x:f>
        <x:v>HYPERLINK is not implemented. linkLocation=https://info.uqam.ca/ma%C3%AEtrise_en_informatique/, friendlyName=Open source</x:v>
      </x:c>
    </x:row>
    <x:row r="144" ht="46" customHeight="1">
      <x:c r="A144" s="17" t="str">
        <x:v>stage3src:2f6b5ccfb1ce04a1896c</x:v>
      </x:c>
      <x:c r="B144" s="17" t="str">
        <x:v>program</x:v>
      </x:c>
      <x:c r="C144" s="17" t="str">
        <x:v>Université du Québec à Montréal</x:v>
      </x:c>
      <x:c r="D144" s="17" t="str">
        <x:v>ca:dli:O19359011134:program:thesis-or-research-master-s:ma-trise-en-informatique-profil-avec-m-moire</x:v>
      </x:c>
      <x:c r="E144" s="17" t="str"/>
      <x:c r="F144" s="17" t="str">
        <x:v>funding|tuition|deadline</x:v>
      </x:c>
      <x:c r="G144" s="17" t="str">
        <x:v>International PBEEE research-master award amount, maximum duration, internal preselection, and current deadline.</x:v>
      </x:c>
      <x:c r="H144" s="17" t="str">
        <x:v>Programme de bourses d'excellence pour étudiants étrangers (PBEEE)</x:v>
      </x:c>
      <x:c r="I144" s="17" t="str">
        <x:v>Université du Québec à Montréal</x:v>
      </x:c>
      <x:c r="J144" s="17" t="str">
        <x:v>official</x:v>
      </x:c>
      <x:c r="K144" s="17" t="str">
        <x:v>2026-09-11</x:v>
      </x:c>
      <x:c r="L144" s="17" t="str">
        <x:v>2026 competition checked 2026-09-11</x:v>
      </x:c>
      <x:c r="M144" s="17" t="str">
        <x:v>high</x:v>
      </x:c>
      <x:c r="N144" s="17" t="str">
        <x:v>official page checked</x:v>
      </x:c>
      <x:c r="O144" s="17" t="str"/>
      <x:c r="P144" s="18" t="e">
        <x:f>HYPERLINK("https://bourses.uqam.ca/pbeee/","Open source")</x:f>
        <x:v>HYPERLINK is not implemented. linkLocation=https://bourses.uqam.ca/pbeee/, friendlyName=Open source</x:v>
      </x:c>
    </x:row>
    <x:row r="145" ht="46" customHeight="1">
      <x:c r="A145" s="17" t="str">
        <x:v>stage3src:e38b1a1a31040fa7bf84</x:v>
      </x:c>
      <x:c r="B145" s="17" t="str">
        <x:v>program</x:v>
      </x:c>
      <x:c r="C145" s="17" t="str">
        <x:v>Université du Québec à Montréal</x:v>
      </x:c>
      <x:c r="D145" s="17" t="str">
        <x:v>ca:dli:O19359011134:program:thesis-or-research-master-s:ma-trise-en-informatique-profil-avec-m-moire</x:v>
      </x:c>
      <x:c r="E145" s="17" t="str"/>
      <x:c r="F145" s="17" t="str">
        <x:v>funding|tuition|fees</x:v>
      </x:c>
      <x:c r="G145" s="17" t="str">
        <x:v>Faculty graduate funding inventory and competitive international differential-tuition exemptions assessed around admission.</x:v>
      </x:c>
      <x:c r="H145" s="17" t="str">
        <x:v>Bourses pour les cycles supérieurs</x:v>
      </x:c>
      <x:c r="I145" s="17" t="str">
        <x:v>UQAM Faculté des sciences</x:v>
      </x:c>
      <x:c r="J145" s="17" t="str">
        <x:v>official</x:v>
      </x:c>
      <x:c r="K145" s="17" t="str">
        <x:v>2026-09-11</x:v>
      </x:c>
      <x:c r="L145" s="17" t="str">
        <x:v>Current page checked 2026-09-11</x:v>
      </x:c>
      <x:c r="M145" s="17" t="str">
        <x:v>high</x:v>
      </x:c>
      <x:c r="N145" s="17" t="str">
        <x:v>official page checked</x:v>
      </x:c>
      <x:c r="O145" s="17" t="str"/>
      <x:c r="P145" s="18" t="e">
        <x:f>HYPERLINK("https://sciences.uqam.ca/soutien-financier/bourses-pour-les-cycles-superieurs/","Open source")</x:f>
        <x:v>HYPERLINK is not implemented. linkLocation=https://sciences.uqam.ca/soutien-financier/bourses-pour-les-cycles-superieurs/, friendlyName=Open source</x:v>
      </x:c>
    </x:row>
    <x:row r="146" ht="46" customHeight="1">
      <x:c r="A146" s="17" t="str">
        <x:v>stage3src:211a47cecc17b54ef93c</x:v>
      </x:c>
      <x:c r="B146" s="17" t="str">
        <x:v>program</x:v>
      </x:c>
      <x:c r="C146" s="17" t="str">
        <x:v>Université du Québec en Outaouais</x:v>
      </x:c>
      <x:c r="D146" s="17" t="str">
        <x:v>ca:dli:O19359011146:program:thesis-or-research-master-s:ma-trise-en-informatique-profil-m-moire</x:v>
      </x:c>
      <x:c r="E146" s="17" t="str"/>
      <x:c r="F146" s="17" t="str">
        <x:v>program|research|eligibility|admissions|language</x:v>
      </x:c>
      <x:c r="G146" s="17" t="str">
        <x:v>Current 45-credit thesis master's, relevant-degree entry, 4.3-scale GPA thresholds, possible preparatory work, and French framework.</x:v>
      </x:c>
      <x:c r="H146" s="17" t="str">
        <x:v>Maîtrise en informatique (profil mémoire), 3097</x:v>
      </x:c>
      <x:c r="I146" s="17" t="str">
        <x:v>Université du Québec en Outaouais</x:v>
      </x:c>
      <x:c r="J146" s="17" t="str">
        <x:v>official</x:v>
      </x:c>
      <x:c r="K146" s="17" t="str">
        <x:v>2026-09-11</x:v>
      </x:c>
      <x:c r="L146" s="17" t="str">
        <x:v>Current page checked 2026-09-11</x:v>
      </x:c>
      <x:c r="M146" s="17" t="str">
        <x:v>high</x:v>
      </x:c>
      <x:c r="N146" s="17" t="str">
        <x:v>official page checked</x:v>
      </x:c>
      <x:c r="O146" s="17" t="str"/>
      <x:c r="P146" s="18" t="e">
        <x:f>HYPERLINK("https://uqo.ca/programmes/3097","Open source")</x:f>
        <x:v>HYPERLINK is not implemented. linkLocation=https://uqo.ca/programmes/3097, friendlyName=Open source</x:v>
      </x:c>
    </x:row>
    <x:row r="147" ht="46" customHeight="1">
      <x:c r="A147" s="17" t="str">
        <x:v>stage3src:554d97579b6f5af0e974</x:v>
      </x:c>
      <x:c r="B147" s="17" t="str">
        <x:v>program</x:v>
      </x:c>
      <x:c r="C147" s="17" t="str">
        <x:v>Université du Québec en Outaouais</x:v>
      </x:c>
      <x:c r="D147" s="17" t="str">
        <x:v>ca:dli:O19359011146:program:thesis-or-research-master-s:ma-trise-en-informatique-profil-m-moire</x:v>
      </x:c>
      <x:c r="E147" s="17" t="str"/>
      <x:c r="F147" s="17" t="str">
        <x:v>funding|tuition|fees</x:v>
      </x:c>
      <x:c r="G147" s="17" t="str">
        <x:v>Quota-limited international differential-fee exemptions, research-master's conditions, and remaining student costs.</x:v>
      </x:c>
      <x:c r="H147" s="17" t="str">
        <x:v>Bourse d'exemption pour personnes étudiantes internationales</x:v>
      </x:c>
      <x:c r="I147" s="17" t="str">
        <x:v>Université du Québec en Outaouais</x:v>
      </x:c>
      <x:c r="J147" s="17" t="str">
        <x:v>official</x:v>
      </x:c>
      <x:c r="K147" s="17" t="str">
        <x:v>2026-09-11</x:v>
      </x:c>
      <x:c r="L147" s="17" t="str">
        <x:v>2026-27 rules checked 2026-09-11</x:v>
      </x:c>
      <x:c r="M147" s="17" t="str">
        <x:v>high</x:v>
      </x:c>
      <x:c r="N147" s="17" t="str">
        <x:v>official page checked</x:v>
      </x:c>
      <x:c r="O147" s="17" t="str"/>
      <x:c r="P147" s="18" t="e">
        <x:f>HYPERLINK("https://uqo.ca/international/bourse-dexemption-pour-personnes-etudiantes-internationales","Open source")</x:f>
        <x:v>HYPERLINK is not implemented. linkLocation=https://uqo.ca/international/bourse-dexemption-pour-personnes-etudiantes-internationales, friendlyName=Open source</x:v>
      </x:c>
    </x:row>
    <x:row r="148" ht="46" customHeight="1">
      <x:c r="A148" s="17" t="str">
        <x:v>stage3src:c0fa487814225dc0c645</x:v>
      </x:c>
      <x:c r="B148" s="17" t="str">
        <x:v>program</x:v>
      </x:c>
      <x:c r="C148" s="17" t="str">
        <x:v>Université du Québec en Outaouais</x:v>
      </x:c>
      <x:c r="D148" s="17" t="str">
        <x:v>ca:dli:O19359011146:program:thesis-or-research-master-s:ma-trise-en-informatique-profil-m-moire</x:v>
      </x:c>
      <x:c r="E148" s="17" t="str"/>
      <x:c r="F148" s="17" t="str">
        <x:v>funding|fees</x:v>
      </x:c>
      <x:c r="G148" s="17" t="str">
        <x:v>Published merit-award listing, competitive selection, and award amount for the labeled cycle.</x:v>
      </x:c>
      <x:c r="H148" s="17" t="str">
        <x:v>Bourses d'études</x:v>
      </x:c>
      <x:c r="I148" s="17" t="str">
        <x:v>Université du Québec en Outaouais</x:v>
      </x:c>
      <x:c r="J148" s="17" t="str">
        <x:v>official</x:v>
      </x:c>
      <x:c r="K148" s="17" t="str">
        <x:v>2026-09-11</x:v>
      </x:c>
      <x:c r="L148" s="17" t="str">
        <x:v>2025-26 listing checked 2026-09-11</x:v>
      </x:c>
      <x:c r="M148" s="17" t="str">
        <x:v>high</x:v>
      </x:c>
      <x:c r="N148" s="17" t="str">
        <x:v>official page checked</x:v>
      </x:c>
      <x:c r="O148" s="17" t="str"/>
      <x:c r="P148" s="18" t="e">
        <x:f>HYPERLINK("https://uqo.ca/etudiants/bourses-detudes","Open source")</x:f>
        <x:v>HYPERLINK is not implemented. linkLocation=https://uqo.ca/etudiants/bourses-detudes, friendlyName=Open source</x:v>
      </x:c>
    </x:row>
    <x:row r="149" ht="46" customHeight="1">
      <x:c r="A149" s="17" t="str">
        <x:v>stage3src:558f9d56ef066f3f00d5</x:v>
      </x:c>
      <x:c r="B149" s="17" t="str">
        <x:v>program</x:v>
      </x:c>
      <x:c r="C149" s="17" t="str">
        <x:v>Université du Québec à Rimouski</x:v>
      </x:c>
      <x:c r="D149" s="17" t="str">
        <x:v>ca:dli:O19359011159:program:thesis-or-research-master-s:ma-trise-en-informatique-profil-recherche-avec-m-moire</x:v>
      </x:c>
      <x:c r="E149" s="17" t="str"/>
      <x:c r="F149" s="17" t="str">
        <x:v>funding|tuition</x:v>
      </x:c>
      <x:c r="G149" s="17" t="str">
        <x:v>Competitive CAD 5,000 research excellence award for master's students completing a substantial research report or thesis.</x:v>
      </x:c>
      <x:c r="H149" s="17" t="str">
        <x:v>Bourses d'excellence en recherche (maîtrise) de l'UQAR</x:v>
      </x:c>
      <x:c r="I149" s="17" t="str">
        <x:v>Université du Québec à Rimouski</x:v>
      </x:c>
      <x:c r="J149" s="17" t="str">
        <x:v>official</x:v>
      </x:c>
      <x:c r="K149" s="17" t="str">
        <x:v>2026-09-11</x:v>
      </x:c>
      <x:c r="L149" s="17" t="str">
        <x:v>2025-26 competition page checked 2026-09-11</x:v>
      </x:c>
      <x:c r="M149" s="17" t="str">
        <x:v>high</x:v>
      </x:c>
      <x:c r="N149" s="17" t="str">
        <x:v>official page checked</x:v>
      </x:c>
      <x:c r="O149" s="17" t="str"/>
      <x:c r="P149" s="18" t="e">
        <x:f>HYPERLINK("https://etudes.uqar.ca/bourse/141","Open source")</x:f>
        <x:v>HYPERLINK is not implemented. linkLocation=https://etudes.uqar.ca/bourse/141, friendlyName=Open source</x:v>
      </x:c>
    </x:row>
    <x:row r="150" ht="46" customHeight="1">
      <x:c r="A150" s="17" t="str">
        <x:v>stage3src:b65e4f74949f41ae1486</x:v>
      </x:c>
      <x:c r="B150" s="17" t="str">
        <x:v>program</x:v>
      </x:c>
      <x:c r="C150" s="17" t="str">
        <x:v>Université du Québec à Rimouski</x:v>
      </x:c>
      <x:c r="D150" s="17" t="str">
        <x:v>ca:dli:O19359011159:program:thesis-or-research-master-s:ma-trise-en-informatique-profil-recherche-avec-m-moire</x:v>
      </x:c>
      <x:c r="E150" s="17" t="str"/>
      <x:c r="F150" s="17" t="str">
        <x:v>program|research|admissions|eligibility|language|deadline</x:v>
      </x:c>
      <x:c r="G150" s="17" t="str">
        <x:v>Current computer science master's with a research-thesis profile, international application availability, and multi-term admission.</x:v>
      </x:c>
      <x:c r="H150" s="17" t="str">
        <x:v>Maîtrise en informatique</x:v>
      </x:c>
      <x:c r="I150" s="17" t="str">
        <x:v>Université du Québec à Rimouski</x:v>
      </x:c>
      <x:c r="J150" s="17" t="str">
        <x:v>official</x:v>
      </x:c>
      <x:c r="K150" s="17" t="str">
        <x:v>2026-09-11</x:v>
      </x:c>
      <x:c r="L150" s="17" t="str">
        <x:v>Current page checked 2026-09-11; Fall 2027 date unresolved</x:v>
      </x:c>
      <x:c r="M150" s="17" t="str">
        <x:v>high</x:v>
      </x:c>
      <x:c r="N150" s="17" t="str">
        <x:v>official page checked</x:v>
      </x:c>
      <x:c r="O150" s="17" t="str"/>
      <x:c r="P150" s="18" t="e">
        <x:f>HYPERLINK("https://www.uqar.ca/programmes-domaines-detudes/maitrise-en-informatique/","Open source")</x:f>
        <x:v>HYPERLINK is not implemented. linkLocation=https://www.uqar.ca/programmes-domaines-detudes/maitrise-en-informatique/, friendlyName=Open source</x:v>
      </x:c>
    </x:row>
    <x:row r="151" ht="46" customHeight="1">
      <x:c r="A151" s="17" t="str">
        <x:v>stage3src:080c7b1097320a6b6c60</x:v>
      </x:c>
      <x:c r="B151" s="17" t="str">
        <x:v>program</x:v>
      </x:c>
      <x:c r="C151" s="17" t="str">
        <x:v>Université du Québec à Trois-Rivières</x:v>
      </x:c>
      <x:c r="D151" s="17" t="str">
        <x:v>ca:dli:O19359011172:program:thesis-or-research-master-s:ma-trise-en-math-matiques-et-informatique-appliqu-es-avec-m-moire</x:v>
      </x:c>
      <x:c r="E151" s="17" t="str"/>
      <x:c r="F151" s="17" t="str">
        <x:v>admissions|eligibility|language</x:v>
      </x:c>
      <x:c r="G151" s="17" t="str">
        <x:v>French-test and international language framework for applicants educated outside Quebec.</x:v>
      </x:c>
      <x:c r="H151" s="17" t="str">
        <x:v>Exigences relatives à la connaissance du français</x:v>
      </x:c>
      <x:c r="I151" s="17" t="str">
        <x:v>Université du Québec à Trois-Rivières</x:v>
      </x:c>
      <x:c r="J151" s="17" t="str">
        <x:v>official</x:v>
      </x:c>
      <x:c r="K151" s="17" t="str">
        <x:v>2026-09-11</x:v>
      </x:c>
      <x:c r="L151" s="17" t="str">
        <x:v>Current page checked 2026-09-11</x:v>
      </x:c>
      <x:c r="M151" s="17" t="str">
        <x:v>high</x:v>
      </x:c>
      <x:c r="N151" s="17" t="str">
        <x:v>official page checked</x:v>
      </x:c>
      <x:c r="O151" s="17" t="str"/>
      <x:c r="P151" s="18" t="e">
        <x:f>HYPERLINK("https://oraprdnt.uqtr.uquebec.ca/portail/gscw031?owa_no_fiche=102&amp;owa_no_site=5050","Open source")</x:f>
        <x:v>HYPERLINK is not implemented. linkLocation=https://oraprdnt.uqtr.uquebec.ca/portail/gscw031?owa_no_fiche=102&amp;owa_no_site=5050, friendlyName=Open source</x:v>
      </x:c>
    </x:row>
    <x:row r="152" ht="46" customHeight="1">
      <x:c r="A152" s="17" t="str">
        <x:v>stage3src:549a8618128ee6216556</x:v>
      </x:c>
      <x:c r="B152" s="17" t="str">
        <x:v>program</x:v>
      </x:c>
      <x:c r="C152" s="17" t="str">
        <x:v>Université du Québec à Trois-Rivières</x:v>
      </x:c>
      <x:c r="D152" s="17" t="str">
        <x:v>ca:dli:O19359011172:program:thesis-or-research-master-s:ma-trise-en-math-matiques-et-informatique-appliqu-es-avec-m-moire</x:v>
      </x:c>
      <x:c r="E152" s="17" t="str"/>
      <x:c r="F152" s="17" t="str">
        <x:v>admissions|eligibility|deadline|fees</x:v>
      </x:c>
      <x:c r="G152" s="17" t="str">
        <x:v>Official 2026-27 international application and credential process; Fall 2027 fee and deadline remain unverified.</x:v>
      </x:c>
      <x:c r="H152" s="17" t="str">
        <x:v>Répertoire international 2026-2027</x:v>
      </x:c>
      <x:c r="I152" s="17" t="str">
        <x:v>Université du Québec à Trois-Rivières</x:v>
      </x:c>
      <x:c r="J152" s="17" t="str">
        <x:v>official</x:v>
      </x:c>
      <x:c r="K152" s="17" t="str">
        <x:v>2026-09-11</x:v>
      </x:c>
      <x:c r="L152" s="17" t="str">
        <x:v>2026-27 document checked 2026-09-11</x:v>
      </x:c>
      <x:c r="M152" s="17" t="str">
        <x:v>high</x:v>
      </x:c>
      <x:c r="N152" s="17" t="str">
        <x:v>official page checked</x:v>
      </x:c>
      <x:c r="O152" s="17" t="str"/>
      <x:c r="P152" s="18" t="e">
        <x:f>HYPERLINK("https://oraprdnt.uqtr.uquebec.ca/portail/docs/GSC5003/O0006697955_2026_2027___R_pertoire_International.pdf","Open source")</x:f>
        <x:v>HYPERLINK is not implemented. linkLocation=https://oraprdnt.uqtr.uquebec.ca/portail/docs/GSC5003/O0006697955_2026_2027___R_pertoire_International.pdf, friendlyName=Open source</x:v>
      </x:c>
    </x:row>
    <x:row r="153" ht="46" customHeight="1">
      <x:c r="A153" s="17" t="str">
        <x:v>stage3src:f934ec1c5148973cd648</x:v>
      </x:c>
      <x:c r="B153" s="17" t="str">
        <x:v>program</x:v>
      </x:c>
      <x:c r="C153" s="17" t="str">
        <x:v>Université du Québec à Trois-Rivières</x:v>
      </x:c>
      <x:c r="D153" s="17" t="str">
        <x:v>ca:dli:O19359011172:program:thesis-or-research-master-s:ma-trise-en-math-matiques-et-informatique-appliqu-es-avec-m-moire</x:v>
      </x:c>
      <x:c r="E153" s="17" t="str"/>
      <x:c r="F153" s="17" t="str">
        <x:v>program|research|eligibility|admissions|funding</x:v>
      </x:c>
      <x:c r="G153" s="17" t="str">
        <x:v>Current 45-credit thesis program, relevant bachelor's fields, 3.2/4.3 threshold, international availability, research areas, and possible grant-dependent work.</x:v>
      </x:c>
      <x:c r="H153" s="17" t="str">
        <x:v>Maîtrise en mathématiques et informatique appliquées avec mémoire, 3799</x:v>
      </x:c>
      <x:c r="I153" s="17" t="str">
        <x:v>Université du Québec à Trois-Rivières</x:v>
      </x:c>
      <x:c r="J153" s="17" t="str">
        <x:v>official</x:v>
      </x:c>
      <x:c r="K153" s="17" t="str">
        <x:v>2026-09-11</x:v>
      </x:c>
      <x:c r="L153" s="17" t="str">
        <x:v>Current page checked 2026-09-11</x:v>
      </x:c>
      <x:c r="M153" s="17" t="str">
        <x:v>high</x:v>
      </x:c>
      <x:c r="N153" s="17" t="str">
        <x:v>official page checked</x:v>
      </x:c>
      <x:c r="O153" s="17" t="str"/>
      <x:c r="P153" s="18" t="e">
        <x:f>HYPERLINK("https://oraprdnt.uqtr.uquebec.ca/portail/triw082.afficher?owa_cd_pgm=3799&amp;owa_version=1","Open source")</x:f>
        <x:v>HYPERLINK is not implemented. linkLocation=https://oraprdnt.uqtr.uquebec.ca/portail/triw082.afficher?owa_cd_pgm=3799&amp;owa_version=1, friendlyName=Open source</x:v>
      </x:c>
    </x:row>
    <x:row r="154" ht="46" customHeight="1">
      <x:c r="A154" s="17" t="str">
        <x:v>stage3src:aef465142e989798e614</x:v>
      </x:c>
      <x:c r="B154" s="17" t="str">
        <x:v>program</x:v>
      </x:c>
      <x:c r="C154" s="17" t="str">
        <x:v>Institut national de la recherche scientifique</x:v>
      </x:c>
      <x:c r="D154" s="17" t="str">
        <x:v>ca:dli:O19359011185:program:thesis-or-research-master-s:ma-trise-en-t-l-communications</x:v>
      </x:c>
      <x:c r="E154" s="17" t="str"/>
      <x:c r="F154" s="17" t="str">
        <x:v>program</x:v>
      </x:c>
      <x:c r="G154" s="17" t="str">
        <x:v>The official page identifies Maîtrise en télécommunications and contains research/thesis evidence.</x:v>
      </x:c>
      <x:c r="H154" s="17" t="str">
        <x:v>Maîtrise en télécommunications | Programme d'études 3404| INRS</x:v>
      </x:c>
      <x:c r="I154" s="17" t="str">
        <x:v>Institut national de la recherche scientifique</x:v>
      </x:c>
      <x:c r="J154" s="17" t="str">
        <x:v>official</x:v>
      </x:c>
      <x:c r="K154" s="17" t="str">
        <x:v>2026-09-09</x:v>
      </x:c>
      <x:c r="L154" s="17" t="str">
        <x:v>Current page; Fall 2027 dates not assumed</x:v>
      </x:c>
      <x:c r="M154" s="17" t="str">
        <x:v>High for program existence and research structure</x:v>
      </x:c>
      <x:c r="N154" s="17" t="str">
        <x:v>opened</x:v>
      </x:c>
      <x:c r="O154" s="17" t="str">
        <x:v>HTTP 200; page SHA-256 in evidence file</x:v>
      </x:c>
      <x:c r="P154" s="18" t="e">
        <x:f>HYPERLINK("https://inrs.ca/les-etudes/programmes-d-etudes/repertoire-des-programmes-d-etudes/maitrise-en-telecommunications-3404/","Open source")</x:f>
        <x:v>HYPERLINK is not implemented. linkLocation=https://inrs.ca/les-etudes/programmes-d-etudes/repertoire-des-programmes-d-etudes/maitrise-en-telecommunications-3404/, friendlyName=Open source</x:v>
      </x:c>
    </x:row>
    <x:row r="155" ht="46" customHeight="1">
      <x:c r="A155" s="17" t="str">
        <x:v>stage3src:b4bcd37c064b9747060c</x:v>
      </x:c>
      <x:c r="B155" s="17" t="str">
        <x:v>program</x:v>
      </x:c>
      <x:c r="C155" s="17" t="str">
        <x:v>École de technologie supérieure</x:v>
      </x:c>
      <x:c r="D155" s="17" t="str">
        <x:v>ca:dli:O19359201210:program:thesis-or-research-master-s:ma-trise-en-g-nie-des-technologies-de-l-information</x:v>
      </x:c>
      <x:c r="E155" s="17" t="str"/>
      <x:c r="F155" s="17" t="str">
        <x:v>program</x:v>
      </x:c>
      <x:c r="G155" s="17" t="str">
        <x:v>The official page identifies Maîtrise en génie des technologies de l'information and contains research/thesis evidence.</x:v>
      </x:c>
      <x:c r="H155" s="17" t="str">
        <x:v>Maîtrise en génie des technologies de l’information - ÉTS Montréal</x:v>
      </x:c>
      <x:c r="I155" s="17" t="str">
        <x:v>École de technologie supérieure</x:v>
      </x:c>
      <x:c r="J155" s="17" t="str">
        <x:v>official</x:v>
      </x:c>
      <x:c r="K155" s="17" t="str">
        <x:v>2026-09-09</x:v>
      </x:c>
      <x:c r="L155" s="17" t="str">
        <x:v>Current page; Fall 2027 dates not assumed</x:v>
      </x:c>
      <x:c r="M155" s="17" t="str">
        <x:v>High for program existence and research structure</x:v>
      </x:c>
      <x:c r="N155" s="17" t="str">
        <x:v>opened</x:v>
      </x:c>
      <x:c r="O155" s="17" t="str">
        <x:v>HTTP 200; page SHA-256 in evidence file</x:v>
      </x:c>
      <x:c r="P155" s="18" t="e">
        <x:f>HYPERLINK("https://www.etsmtl.ca/programmes-formations/maitrise-genie-technologies-information","Open source")</x:f>
        <x:v>HYPERLINK is not implemented. linkLocation=https://www.etsmtl.ca/programmes-formations/maitrise-genie-technologies-information, friendlyName=Open source</x:v>
      </x:c>
    </x:row>
    <x:row r="156" ht="46" customHeight="1">
      <x:c r="A156" s="17" t="str">
        <x:v>stage3src:6da7d308d651ed2d78a0</x:v>
      </x:c>
      <x:c r="B156" s="17" t="str">
        <x:v>program</x:v>
      </x:c>
      <x:c r="C156" s="17" t="str">
        <x:v>École de technologie supérieure</x:v>
      </x:c>
      <x:c r="D156" s="17" t="str">
        <x:v>ca:dli:O19359201210:program:thesis-or-research-master-s:ma-trise-en-g-nie-logiciel-profil-avec-m-moire</x:v>
      </x:c>
      <x:c r="E156" s="17" t="str"/>
      <x:c r="F156" s="17" t="str">
        <x:v>program|research|admissions|eligibility|language|deadline</x:v>
      </x:c>
      <x:c r="G156" s="17" t="str">
        <x:v>Current M.Sc.A. research profile, 30-credit thesis, software-engineering areas, entry threshold, English-based admission conditions, and supervisor requirement.</x:v>
      </x:c>
      <x:c r="H156" s="17" t="str">
        <x:v>Maîtrise en génie logiciel</x:v>
      </x:c>
      <x:c r="I156" s="17" t="str">
        <x:v>École de technologie supérieure</x:v>
      </x:c>
      <x:c r="J156" s="17" t="str">
        <x:v>official</x:v>
      </x:c>
      <x:c r="K156" s="17" t="str">
        <x:v>2026-09-11</x:v>
      </x:c>
      <x:c r="L156" s="17" t="str">
        <x:v>Current page checked 2026-09-11; Fall 2027 international date unresolved</x:v>
      </x:c>
      <x:c r="M156" s="17" t="str">
        <x:v>high</x:v>
      </x:c>
      <x:c r="N156" s="17" t="str">
        <x:v>official page checked</x:v>
      </x:c>
      <x:c r="O156" s="17" t="str"/>
      <x:c r="P156" s="18" t="e">
        <x:f>HYPERLINK("https://www.etsmtl.ca/programmes-formations/maitrise-genie-logiciel","Open source")</x:f>
        <x:v>HYPERLINK is not implemented. linkLocation=https://www.etsmtl.ca/programmes-formations/maitrise-genie-logiciel, friendlyName=Open source</x:v>
      </x:c>
    </x:row>
    <x:row r="157" ht="46" customHeight="1">
      <x:c r="A157" s="17" t="str">
        <x:v>stage3src:a0ed5916e21706f6273a</x:v>
      </x:c>
      <x:c r="B157" s="17" t="str">
        <x:v>program</x:v>
      </x:c>
      <x:c r="C157" s="17" t="str">
        <x:v>École de technologie supérieure</x:v>
      </x:c>
      <x:c r="D157" s="17" t="str">
        <x:v>ca:dli:O19359201210:program:thesis-or-research-master-s:ma-trise-en-g-nie-logiciel-profil-avec-m-moire</x:v>
      </x:c>
      <x:c r="E157" s="17" t="str"/>
      <x:c r="F157" s="17" t="str">
        <x:v>funding|tuition|fees</x:v>
      </x:c>
      <x:c r="G157" s="17" t="str">
        <x:v>Limited automatic institutional consideration for exemption from supplemental international master's tuition, with no award guarantee.</x:v>
      </x:c>
      <x:c r="H157" s="17" t="str">
        <x:v>Exemption des frais majorés à la maîtrise</x:v>
      </x:c>
      <x:c r="I157" s="17" t="str">
        <x:v>École de technologie supérieure</x:v>
      </x:c>
      <x:c r="J157" s="17" t="str">
        <x:v>official</x:v>
      </x:c>
      <x:c r="K157" s="17" t="str">
        <x:v>2026-09-11</x:v>
      </x:c>
      <x:c r="L157" s="17" t="str">
        <x:v>Current page checked 2026-09-11</x:v>
      </x:c>
      <x:c r="M157" s="17" t="str">
        <x:v>high</x:v>
      </x:c>
      <x:c r="N157" s="17" t="str">
        <x:v>official page checked</x:v>
      </x:c>
      <x:c r="O157" s="17" t="str"/>
      <x:c r="P157" s="18" t="e">
        <x:f>HYPERLINK("https://www.etsmtl.ca/experience-etudiante/bourses-finance-et-budget/bourses/exemption-mees-maitrise","Open source")</x:f>
        <x:v>HYPERLINK is not implemented. linkLocation=https://www.etsmtl.ca/experience-etudiante/bourses-finance-et-budget/bourses/exemption-mees-maitrise, friendlyName=Open source</x:v>
      </x:c>
    </x:row>
    <x:row r="158" ht="46" customHeight="1">
      <x:c r="A158" s="17" t="str">
        <x:v>stage3src:18f66c1876f4ff8d8753</x:v>
      </x:c>
      <x:c r="B158" s="17" t="str">
        <x:v>program</x:v>
      </x:c>
      <x:c r="C158" s="17" t="str">
        <x:v>York University</x:v>
      </x:c>
      <x:c r="D158" s="17" t="str">
        <x:v>ca:dli:O19361109242:program:thesis-or-research-master-s:computer-science-msc-thesis-option</x:v>
      </x:c>
      <x:c r="E158" s="17" t="str"/>
      <x:c r="F158" s="17" t="str">
        <x:v>admissions|eligibility|language|deadline|program</x:v>
      </x:c>
      <x:c r="G158" s="17" t="str">
        <x:v>Five-term thesis/project MSc, B+ requirement, language scores, and December 1, 2026 Fall deadline.</x:v>
      </x:c>
      <x:c r="H158" s="17" t="str">
        <x:v>Electrical Engineering &amp; Computer Science</x:v>
      </x:c>
      <x:c r="I158" s="17" t="str">
        <x:v>York University Future Students</x:v>
      </x:c>
      <x:c r="J158" s="17" t="str">
        <x:v>official</x:v>
      </x:c>
      <x:c r="K158" s="17" t="str">
        <x:v>2026-09-10</x:v>
      </x:c>
      <x:c r="L158" s="17" t="str">
        <x:v>Fall 2027</x:v>
      </x:c>
      <x:c r="M158" s="17" t="str">
        <x:v>high</x:v>
      </x:c>
      <x:c r="N158" s="17" t="str">
        <x:v>official page checked</x:v>
      </x:c>
      <x:c r="O158" s="17" t="str"/>
      <x:c r="P158" s="18" t="e">
        <x:f>HYPERLINK("https://futurestudents.yorku.ca/graduate/programs/electrical-engineering-and-computer-science","Open source")</x:f>
        <x:v>HYPERLINK is not implemented. linkLocation=https://futurestudents.yorku.ca/graduate/programs/electrical-engineering-and-computer-science, friendlyName=Open source</x:v>
      </x:c>
    </x:row>
    <x:row r="159" ht="46" customHeight="1">
      <x:c r="A159" s="17" t="str">
        <x:v>stage3src:31597ca2de9d5cf35f12</x:v>
      </x:c>
      <x:c r="B159" s="17" t="str">
        <x:v>program</x:v>
      </x:c>
      <x:c r="C159" s="17" t="str">
        <x:v>York University</x:v>
      </x:c>
      <x:c r="D159" s="17" t="str">
        <x:v>ca:dli:O19361109242:program:thesis-or-research-master-s:computer-science-msc-thesis-option</x:v>
      </x:c>
      <x:c r="E159" s="17" t="str"/>
      <x:c r="F159" s="17" t="str">
        <x:v>funding|fees</x:v>
      </x:c>
      <x:c r="G159" s="17" t="str">
        <x:v>Full-time non-AI thesis/project MSc students are automatically considered for a five-term package with four TA terms and one summer RA; the package table includes international students and health benefits.</x:v>
      </x:c>
      <x:c r="H159" s="17" t="str">
        <x:v>Financial Information &amp; Awards</x:v>
      </x:c>
      <x:c r="I159" s="17" t="str">
        <x:v>York University Electrical Engineering and Computer Science</x:v>
      </x:c>
      <x:c r="J159" s="17" t="str">
        <x:v>official</x:v>
      </x:c>
      <x:c r="K159" s="17" t="str">
        <x:v>2026-09-10</x:v>
      </x:c>
      <x:c r="L159" s="17" t="str">
        <x:v>Current page checked 2026-09-10</x:v>
      </x:c>
      <x:c r="M159" s="17" t="str">
        <x:v>high</x:v>
      </x:c>
      <x:c r="N159" s="17" t="str">
        <x:v>official page checked</x:v>
      </x:c>
      <x:c r="O159" s="17" t="str"/>
      <x:c r="P159" s="18" t="e">
        <x:f>HYPERLINK("https://lassonde.yorku.ca/eecs/academics/financial-information-awards/","Open source")</x:f>
        <x:v>HYPERLINK is not implemented. linkLocation=https://lassonde.yorku.ca/eecs/academics/financial-information-awards/, friendlyName=Open source</x:v>
      </x:c>
    </x:row>
    <x:row r="160" ht="46" customHeight="1">
      <x:c r="A160" s="17" t="str">
        <x:v>stage3src:d7e1c056d945abf36d07</x:v>
      </x:c>
      <x:c r="B160" s="17" t="str">
        <x:v>program</x:v>
      </x:c>
      <x:c r="C160" s="17" t="str">
        <x:v>York University</x:v>
      </x:c>
      <x:c r="D160" s="17" t="str">
        <x:v>ca:dli:O19361109242:program:thesis-or-research-master-s:computer-science-msc-thesis-option</x:v>
      </x:c>
      <x:c r="E160" s="17" t="str"/>
      <x:c r="F160" s="17" t="str">
        <x:v>program|admissions|eligibility|funding</x:v>
      </x:c>
      <x:c r="G160" s="17" t="str">
        <x:v>Current MSc thesis route, B+ last-two-years criterion, faculty-supervised research, guaranteed qualified-student funding language, and average international package.</x:v>
      </x:c>
      <x:c r="H160" s="17" t="str">
        <x:v>Graduate Program in Computer Science</x:v>
      </x:c>
      <x:c r="I160" s="17" t="str">
        <x:v>York University Lassonde School of Engineering</x:v>
      </x:c>
      <x:c r="J160" s="17" t="str">
        <x:v>official</x:v>
      </x:c>
      <x:c r="K160" s="17" t="str">
        <x:v>2026-09-10</x:v>
      </x:c>
      <x:c r="L160" s="17" t="str">
        <x:v>Current page checked 2026-09-10</x:v>
      </x:c>
      <x:c r="M160" s="17" t="str">
        <x:v>high</x:v>
      </x:c>
      <x:c r="N160" s="17" t="str">
        <x:v>official page checked</x:v>
      </x:c>
      <x:c r="O160" s="17" t="str"/>
      <x:c r="P160" s="18" t="e">
        <x:f>HYPERLINK("https://lassonde.yorku.ca/academics/graduate-program-in-computer-science","Open source")</x:f>
        <x:v>HYPERLINK is not implemented. linkLocation=https://lassonde.yorku.ca/academics/graduate-program-in-computer-science, friendlyName=Open source</x:v>
      </x:c>
    </x:row>
    <x:row r="161" ht="46" customHeight="1">
      <x:c r="A161" s="17" t="str">
        <x:v>stage3src:e21f40d4681839486eaf</x:v>
      </x:c>
      <x:c r="B161" s="17" t="str">
        <x:v>program</x:v>
      </x:c>
      <x:c r="C161" s="17" t="str">
        <x:v>York University</x:v>
      </x:c>
      <x:c r="D161" s="17" t="str">
        <x:v>ca:dli:O19361109242:program:thesis-or-research-master-s:computer-science-msc-thesis-option</x:v>
      </x:c>
      <x:c r="E161" s="17" t="str"/>
      <x:c r="F161" s="17" t="str">
        <x:v>admissions|fees</x:v>
      </x:c>
      <x:c r="G161" s="17" t="str">
        <x:v>Online graduate admission application fee is CAD 130.</x:v>
      </x:c>
      <x:c r="H161" s="17" t="str">
        <x:v>Apply Now</x:v>
      </x:c>
      <x:c r="I161" s="17" t="str">
        <x:v>York University Registrar's Office</x:v>
      </x:c>
      <x:c r="J161" s="17" t="str">
        <x:v>official</x:v>
      </x:c>
      <x:c r="K161" s="17" t="str">
        <x:v>2026-09-10</x:v>
      </x:c>
      <x:c r="L161" s="17" t="str">
        <x:v>Current page checked 2026-09-10</x:v>
      </x:c>
      <x:c r="M161" s="17" t="str">
        <x:v>high</x:v>
      </x:c>
      <x:c r="N161" s="17" t="str">
        <x:v>official page checked</x:v>
      </x:c>
      <x:c r="O161" s="17" t="str"/>
      <x:c r="P161" s="18" t="e">
        <x:f>HYPERLINK("https://www.registrar.yorku.ca/graduate/apply-now/","Open source")</x:f>
        <x:v>HYPERLINK is not implemented. linkLocation=https://www.registrar.yorku.ca/graduate/apply-now/, friendlyName=Open source</x:v>
      </x:c>
    </x:row>
    <x:row r="162" ht="46" customHeight="1">
      <x:c r="A162" s="17" t="str">
        <x:v>stage3src:1975377867f1e52759ab</x:v>
      </x:c>
      <x:c r="B162" s="17" t="str">
        <x:v>program</x:v>
      </x:c>
      <x:c r="C162" s="17" t="str">
        <x:v>York University</x:v>
      </x:c>
      <x:c r="D162" s="17" t="str">
        <x:v>ca:dli:O19361109242:program:thesis-or-research-master-s:masc-in-electrical-and-computer-engineering</x:v>
      </x:c>
      <x:c r="E162" s="17" t="str"/>
      <x:c r="F162" s="17" t="str">
        <x:v>funding|duration|international|summer</x:v>
      </x:c>
      <x:c r="G162" s="17" t="str">
        <x:v>Automatic five-term funding consideration for full-time thesis/project master's students, four TA terms, summer RA term, and international support components.</x:v>
      </x:c>
      <x:c r="H162" s="17" t="str">
        <x:v>Financial Information and Awards</x:v>
      </x:c>
      <x:c r="I162" s="17" t="str">
        <x:v>York University Department of Electrical Engineering and Computer Science</x:v>
      </x:c>
      <x:c r="J162" s="17" t="str">
        <x:v>official</x:v>
      </x:c>
      <x:c r="K162" s="17" t="str">
        <x:v>2026-09-11</x:v>
      </x:c>
      <x:c r="L162" s="17" t="str">
        <x:v>Current funding page checked 2026-09-11</x:v>
      </x:c>
      <x:c r="M162" s="17" t="str">
        <x:v>high</x:v>
      </x:c>
      <x:c r="N162" s="17" t="str">
        <x:v>official page checked</x:v>
      </x:c>
      <x:c r="O162" s="17" t="str"/>
      <x:c r="P162" s="18" t="e">
        <x:f>HYPERLINK("https://lassonde.yorku.ca/eecs/academics/financial-information-awards/","Open source")</x:f>
        <x:v>HYPERLINK is not implemented. linkLocation=https://lassonde.yorku.ca/eecs/academics/financial-information-awards/, friendlyName=Open source</x:v>
      </x:c>
    </x:row>
    <x:row r="163" ht="46" customHeight="1">
      <x:c r="A163" s="17" t="str">
        <x:v>stage3src:30f4de2da0961f24bc5c</x:v>
      </x:c>
      <x:c r="B163" s="17" t="str">
        <x:v>program</x:v>
      </x:c>
      <x:c r="C163" s="17" t="str">
        <x:v>York University</x:v>
      </x:c>
      <x:c r="D163" s="17" t="str">
        <x:v>ca:dli:O19361109242:program:thesis-or-research-master-s:masc-in-electrical-and-computer-engineering</x:v>
      </x:c>
      <x:c r="E163" s="17" t="str"/>
      <x:c r="F163" s="17" t="str">
        <x:v>admissions|eligibility|prerequisites|faculty</x:v>
      </x:c>
      <x:c r="G163" s="17" t="str">
        <x:v>EE, CE, SE or equivalent degree rule, senior project or thesis expectation, and supervisor-before-admission requirement.</x:v>
      </x:c>
      <x:c r="H163" s="17" t="str">
        <x:v>Electrical and Computer Engineering MASc</x:v>
      </x:c>
      <x:c r="I163" s="17" t="str">
        <x:v>York University Lassonde School of Engineering</x:v>
      </x:c>
      <x:c r="J163" s="17" t="str">
        <x:v>official</x:v>
      </x:c>
      <x:c r="K163" s="17" t="str">
        <x:v>2026-09-11</x:v>
      </x:c>
      <x:c r="L163" s="17" t="str">
        <x:v>Current requirements checked 2026-09-11</x:v>
      </x:c>
      <x:c r="M163" s="17" t="str">
        <x:v>high</x:v>
      </x:c>
      <x:c r="N163" s="17" t="str">
        <x:v>official page checked</x:v>
      </x:c>
      <x:c r="O163" s="17" t="str"/>
      <x:c r="P163" s="18" t="e">
        <x:f>HYPERLINK("https://lassonde.yorku.ca/eecs/academics/electrical-and-computer-engineering-masc/","Open source")</x:f>
        <x:v>HYPERLINK is not implemented. linkLocation=https://lassonde.yorku.ca/eecs/academics/electrical-and-computer-engineering-masc/, friendlyName=Open source</x:v>
      </x:c>
    </x:row>
    <x:row r="164" ht="46" customHeight="1">
      <x:c r="A164" s="17" t="str">
        <x:v>stage3src:bad9d53e2380b3517e2b</x:v>
      </x:c>
      <x:c r="B164" s="17" t="str">
        <x:v>program</x:v>
      </x:c>
      <x:c r="C164" s="17" t="str">
        <x:v>York University</x:v>
      </x:c>
      <x:c r="D164" s="17" t="str">
        <x:v>ca:dli:O19361109242:program:thesis-or-research-master-s:masc-in-electrical-and-computer-engineering</x:v>
      </x:c>
      <x:c r="E164" s="17" t="str"/>
      <x:c r="F164" s="17" t="str">
        <x:v>program|research|structure|gpa|language|deadline</x:v>
      </x:c>
      <x:c r="G164" s="17" t="str">
        <x:v>Current five-term thesis MASc, B+ threshold, English requirements, research structure, and December 1 Fall deadline.</x:v>
      </x:c>
      <x:c r="H164" s="17" t="str">
        <x:v>Electrical Engineering and Computer Science Graduate Programs</x:v>
      </x:c>
      <x:c r="I164" s="17" t="str">
        <x:v>York University</x:v>
      </x:c>
      <x:c r="J164" s="17" t="str">
        <x:v>official</x:v>
      </x:c>
      <x:c r="K164" s="17" t="str">
        <x:v>2026-09-11</x:v>
      </x:c>
      <x:c r="L164" s="17" t="str">
        <x:v>2027-28 program view checked 2026-09-11</x:v>
      </x:c>
      <x:c r="M164" s="17" t="str">
        <x:v>high</x:v>
      </x:c>
      <x:c r="N164" s="17" t="str">
        <x:v>official page checked</x:v>
      </x:c>
      <x:c r="O164" s="17" t="str"/>
      <x:c r="P164" s="18" t="e">
        <x:f>HYPERLINK("https://futurestudents.yorku.ca/graduate/programs/electrical-engineering-and-computer-science","Open source")</x:f>
        <x:v>HYPERLINK is not implemented. linkLocation=https://futurestudents.yorku.ca/graduate/programs/electrical-engineering-and-computer-science, friendlyName=Open source</x:v>
      </x:c>
    </x:row>
    <x:row r="165" ht="46" customHeight="1">
      <x:c r="A165" s="17" t="str">
        <x:v>stage3src:8d928e7749a9d3ae1a24</x:v>
      </x:c>
      <x:c r="B165" s="17" t="str">
        <x:v>program</x:v>
      </x:c>
      <x:c r="C165" s="17" t="str">
        <x:v>York University</x:v>
      </x:c>
      <x:c r="D165" s="17" t="str">
        <x:v>ca:dli:O19361109242:program:unclear:cross-path-catalog-review</x:v>
      </x:c>
      <x:c r="E165" s="17" t="str"/>
      <x:c r="F165" s="17" t="str">
        <x:v>discovery</x:v>
      </x:c>
      <x:c r="G165" s="17" t="str">
        <x:v>Stage 2 recorded this row as a discovery candidate; it does not independently verify an exact current research program, eligibility, or funding.</x:v>
      </x:c>
      <x:c r="H165" s="17" t="str">
        <x:v>Pass 2 Stage 2 candidate funnel</x:v>
      </x:c>
      <x:c r="I165" s="17" t="str">
        <x:v>Graduate audit pipeline</x:v>
      </x:c>
      <x:c r="J165" s="17" t="str">
        <x:v>derived</x:v>
      </x:c>
      <x:c r="K165" s="17" t="str">
        <x:v>2026-09-11</x:v>
      </x:c>
      <x:c r="L165" s="17" t="str">
        <x:v>Not cycle-specific</x:v>
      </x:c>
      <x:c r="M165" s="17" t="str">
        <x:v>low</x:v>
      </x:c>
      <x:c r="N165" s="17" t="str">
        <x:v>Discovery evidence only</x:v>
      </x:c>
      <x:c r="O165" s="17" t="str">
        <x:v>Use the source_record_paths field to trace the underlying discovery inputs.</x:v>
      </x:c>
      <x:c r="P165" s="18" t="e">
        <x:f>HYPERLINK("https://www.yorku.ca","Open source")</x:f>
        <x:v>HYPERLINK is not implemented. linkLocation=https://www.yorku.ca, friendlyName=Open source</x:v>
      </x:c>
    </x:row>
    <x:row r="166" ht="46" customHeight="1">
      <x:c r="A166" s="17" t="str">
        <x:v>stage3src:6793ffd88595ffbcba0d</x:v>
      </x:c>
      <x:c r="B166" s="17" t="str">
        <x:v>program</x:v>
      </x:c>
      <x:c r="C166" s="17" t="str">
        <x:v>Western University</x:v>
      </x:c>
      <x:c r="D166" s="17" t="str">
        <x:v>ca:dli:O19375892122:program:thesis-or-research-master-s:master-of-engineering-science-mesc-in-electrical-and-computer-engineering</x:v>
      </x:c>
      <x:c r="E166" s="17" t="str"/>
      <x:c r="F166" s="17" t="str">
        <x:v>admissions|faculty|funding|duration|tuition|fees|international</x:v>
      </x:c>
      <x:c r="G166" s="17" t="str">
        <x:v>Supervisor approval, six-term structure, international eligibility, minimum $14,200 plus tuition, two-year duration, 78 percent continuation rule, and exclusion of ancillary fees.</x:v>
      </x:c>
      <x:c r="H166" s="17" t="str">
        <x:v>MESc Program</x:v>
      </x:c>
      <x:c r="I166" s="17" t="str">
        <x:v>Western University Department of Electrical and Computer Engineering</x:v>
      </x:c>
      <x:c r="J166" s="17" t="str">
        <x:v>official</x:v>
      </x:c>
      <x:c r="K166" s="17" t="str">
        <x:v>2026-09-11</x:v>
      </x:c>
      <x:c r="L166" s="17" t="str">
        <x:v>Current program and funding rules checked 2026-09-11</x:v>
      </x:c>
      <x:c r="M166" s="17" t="str">
        <x:v>high</x:v>
      </x:c>
      <x:c r="N166" s="17" t="str">
        <x:v>official page checked</x:v>
      </x:c>
      <x:c r="O166" s="17" t="str"/>
      <x:c r="P166" s="18" t="e">
        <x:f>HYPERLINK("https://www.eng.uwo.ca/electrical/graduate/current_students/mesc_program.html","Open source")</x:f>
        <x:v>HYPERLINK is not implemented. linkLocation=https://www.eng.uwo.ca/electrical/graduate/current_students/mesc_program.html, friendlyName=Open source</x:v>
      </x:c>
    </x:row>
    <x:row r="167" ht="46" customHeight="1">
      <x:c r="A167" s="17" t="str">
        <x:v>stage3src:9bab19ae6b3cbc4aa6d3</x:v>
      </x:c>
      <x:c r="B167" s="17" t="str">
        <x:v>program</x:v>
      </x:c>
      <x:c r="C167" s="17" t="str">
        <x:v>Western University</x:v>
      </x:c>
      <x:c r="D167" s="17" t="str">
        <x:v>ca:dli:O19375892122:program:thesis-or-research-master-s:master-of-engineering-science-mesc-in-electrical-and-computer-engineering</x:v>
      </x:c>
      <x:c r="E167" s="17" t="str"/>
      <x:c r="F167" s="17" t="str">
        <x:v>program|research|eligibility|gpa</x:v>
      </x:c>
      <x:c r="G167" s="17" t="str">
        <x:v>Current thesis-based ECE MESc, engineering-or-similar four-year degree rule, 78 percent threshold, and research areas.</x:v>
      </x:c>
      <x:c r="H167" s="17" t="str">
        <x:v>Electrical and Computer Engineering Graduate Degree Programs</x:v>
      </x:c>
      <x:c r="I167" s="17" t="str">
        <x:v>Western University Faculty of Engineering</x:v>
      </x:c>
      <x:c r="J167" s="17" t="str">
        <x:v>official</x:v>
      </x:c>
      <x:c r="K167" s="17" t="str">
        <x:v>2026-09-11</x:v>
      </x:c>
      <x:c r="L167" s="17" t="str">
        <x:v>Current program page checked 2026-09-11</x:v>
      </x:c>
      <x:c r="M167" s="17" t="str">
        <x:v>high</x:v>
      </x:c>
      <x:c r="N167" s="17" t="str">
        <x:v>official page checked</x:v>
      </x:c>
      <x:c r="O167" s="17" t="str"/>
      <x:c r="P167" s="18" t="e">
        <x:f>HYPERLINK("https://www.eng.uwo.ca/graduate/future-students/Graduate-Degree-Programs/electrical-computer.html","Open source")</x:f>
        <x:v>HYPERLINK is not implemented. linkLocation=https://www.eng.uwo.ca/graduate/future-students/Graduate-Degree-Programs/electrical-computer.html, friendlyName=Open source</x:v>
      </x:c>
    </x:row>
    <x:row r="168" ht="46" customHeight="1">
      <x:c r="A168" s="17" t="str">
        <x:v>stage3src:e066ac2fdc740cb6580f</x:v>
      </x:c>
      <x:c r="B168" s="17" t="str">
        <x:v>program</x:v>
      </x:c>
      <x:c r="C168" s="17" t="str">
        <x:v>Western University</x:v>
      </x:c>
      <x:c r="D168" s="17" t="str">
        <x:v>ca:dli:O19375892122:program:thesis-or-research-master-s:master-of-engineering-science-mesc-in-electrical-and-computer-engineering</x:v>
      </x:c>
      <x:c r="E168" s="17" t="str"/>
      <x:c r="F168" s="17" t="str">
        <x:v>tuition|fees</x:v>
      </x:c>
      <x:c r="G168" s="17" t="str">
        <x:v>2026-27 full-time international ECE MESc per-term tuition and ancillary-fee totals.</x:v>
      </x:c>
      <x:c r="H168" s="17" t="str">
        <x:v>Fall 2026 Graduate Fee Schedule — Full-Time International</x:v>
      </x:c>
      <x:c r="I168" s="17" t="str">
        <x:v>Western University Office of the Registrar</x:v>
      </x:c>
      <x:c r="J168" s="17" t="str">
        <x:v>official</x:v>
      </x:c>
      <x:c r="K168" s="17" t="str">
        <x:v>2026-09-11</x:v>
      </x:c>
      <x:c r="L168" s="17" t="str">
        <x:v>2026-27 fee schedule checked 2026-09-11</x:v>
      </x:c>
      <x:c r="M168" s="17" t="str">
        <x:v>high</x:v>
      </x:c>
      <x:c r="N168" s="17" t="str">
        <x:v>official page checked</x:v>
      </x:c>
      <x:c r="O168" s="17" t="str"/>
      <x:c r="P168" s="18" t="e">
        <x:f>HYPERLINK("https://www.registrar.uwo.ca/student_finances/fees_refunds/Fall-2026-Graduate-Fee-Schedules---FT-International.pdf","Open source")</x:f>
        <x:v>HYPERLINK is not implemented. linkLocation=https://www.registrar.uwo.ca/student_finances/fees_refunds/Fall-2026-Graduate-Fee-Schedules---FT-International.pdf, friendlyName=Open source</x:v>
      </x:c>
    </x:row>
    <x:row r="169" ht="46" customHeight="1">
      <x:c r="A169" s="17" t="str">
        <x:v>stage3src:c6504f830e260b6bf606</x:v>
      </x:c>
      <x:c r="B169" s="17" t="str">
        <x:v>program</x:v>
      </x:c>
      <x:c r="C169" s="17" t="str">
        <x:v>Western University</x:v>
      </x:c>
      <x:c r="D169" s="17" t="str">
        <x:v>ca:dli:O19375892122:program:thesis-or-research-master-s:msc-in-computer-science-thesis</x:v>
      </x:c>
      <x:c r="E169" s="17" t="str"/>
      <x:c r="F169" s="17" t="str">
        <x:v>program</x:v>
      </x:c>
      <x:c r="G169" s="17" t="str">
        <x:v>The official page identifies MSc in Computer Science (thesis) and contains research/thesis evidence.</x:v>
      </x:c>
      <x:c r="H169" s="17" t="str">
        <x:v>Degree Requirements - Computer Science - Western University</x:v>
      </x:c>
      <x:c r="I169" s="17" t="str">
        <x:v>Western University</x:v>
      </x:c>
      <x:c r="J169" s="17" t="str">
        <x:v>official</x:v>
      </x:c>
      <x:c r="K169" s="17" t="str">
        <x:v>2026-09-09</x:v>
      </x:c>
      <x:c r="L169" s="17" t="str">
        <x:v>Current page; Fall 2027 dates not assumed</x:v>
      </x:c>
      <x:c r="M169" s="17" t="str">
        <x:v>High for program existence and research structure</x:v>
      </x:c>
      <x:c r="N169" s="17" t="str">
        <x:v>opened</x:v>
      </x:c>
      <x:c r="O169" s="17" t="str">
        <x:v>HTTP 200; page SHA-256 in evidence file</x:v>
      </x:c>
      <x:c r="P169" s="18" t="e">
        <x:f>HYPERLINK("https://www.csd.uwo.ca/graduate/current/degree_requirements.html","Open source")</x:f>
        <x:v>HYPERLINK is not implemented. linkLocation=https://www.csd.uwo.ca/graduate/current/degree_requirements.html, friendlyName=Open source</x:v>
      </x:c>
    </x:row>
    <x:row r="170" ht="46" customHeight="1">
      <x:c r="A170" s="17" t="str">
        <x:v>stage3src:1dbd493336d60710757b</x:v>
      </x:c>
      <x:c r="B170" s="17" t="str">
        <x:v>program</x:v>
      </x:c>
      <x:c r="C170" s="17" t="str">
        <x:v>Queen’s University</x:v>
      </x:c>
      <x:c r="D170" s="17" t="str">
        <x:v>ca:dli:O19376023352:program:phd:phd-in-computing</x:v>
      </x:c>
      <x:c r="E170" s="17" t="str"/>
      <x:c r="F170" s="17" t="str">
        <x:v>funding|tuition|fees|health insurance</x:v>
      </x:c>
      <x:c r="G170" s="17" t="str">
        <x:v>Guaranteed research-program funding, international PhD minimum, renewal years, and satisfactory-progress condition.</x:v>
      </x:c>
      <x:c r="H170" s="17" t="str">
        <x:v>Graduate Finances</x:v>
      </x:c>
      <x:c r="I170" s="17" t="str">
        <x:v>Queen's University</x:v>
      </x:c>
      <x:c r="J170" s="17" t="str">
        <x:v>official</x:v>
      </x:c>
      <x:c r="K170" s="17" t="str">
        <x:v>2026-09-11</x:v>
      </x:c>
      <x:c r="L170" s="17" t="str">
        <x:v>Funding structure as of February 2026 checked 2026-09-11</x:v>
      </x:c>
      <x:c r="M170" s="17" t="str">
        <x:v>high</x:v>
      </x:c>
      <x:c r="N170" s="17" t="str">
        <x:v>official page checked</x:v>
      </x:c>
      <x:c r="O170" s="17" t="str"/>
      <x:c r="P170" s="18" t="e">
        <x:f>HYPERLINK("https://www.cs.queensu.ca/graduate/finances/","Open source")</x:f>
        <x:v>HYPERLINK is not implemented. linkLocation=https://www.cs.queensu.ca/graduate/finances/, friendlyName=Open source</x:v>
      </x:c>
    </x:row>
    <x:row r="171" ht="46" customHeight="1">
      <x:c r="A171" s="17" t="str">
        <x:v>stage3src:b27dd70ec0b4f485f51a</x:v>
      </x:c>
      <x:c r="B171" s="17" t="str">
        <x:v>program</x:v>
      </x:c>
      <x:c r="C171" s="17" t="str">
        <x:v>Queen’s University</x:v>
      </x:c>
      <x:c r="D171" s="17" t="str">
        <x:v>ca:dli:O19376023352:program:phd:phd-in-computing</x:v>
      </x:c>
      <x:c r="E171" s="17" t="str"/>
      <x:c r="F171" s="17" t="str">
        <x:v>program|research|eligibility</x:v>
      </x:c>
      <x:c r="G171" s="17" t="str">
        <x:v>Current research PhD, normal master's prerequisite, four-year structure, and supervisor milestones.</x:v>
      </x:c>
      <x:c r="H171" s="17" t="str">
        <x:v>Doctor of Philosophy in Computing</x:v>
      </x:c>
      <x:c r="I171" s="17" t="str">
        <x:v>Queen's University</x:v>
      </x:c>
      <x:c r="J171" s="17" t="str">
        <x:v>official</x:v>
      </x:c>
      <x:c r="K171" s="17" t="str">
        <x:v>2026-09-11</x:v>
      </x:c>
      <x:c r="L171" s="17" t="str">
        <x:v>Current page checked 2026-09-11</x:v>
      </x:c>
      <x:c r="M171" s="17" t="str">
        <x:v>high</x:v>
      </x:c>
      <x:c r="N171" s="17" t="str">
        <x:v>official page checked</x:v>
      </x:c>
      <x:c r="O171" s="17" t="str"/>
      <x:c r="P171" s="18" t="e">
        <x:f>HYPERLINK("https://www.cs.queensu.ca/graduate/phd/","Open source")</x:f>
        <x:v>HYPERLINK is not implemented. linkLocation=https://www.cs.queensu.ca/graduate/phd/, friendlyName=Open source</x:v>
      </x:c>
    </x:row>
    <x:row r="172" ht="46" customHeight="1">
      <x:c r="A172" s="17" t="str">
        <x:v>stage3src:d1d8a89b0d049d1a8102</x:v>
      </x:c>
      <x:c r="B172" s="17" t="str">
        <x:v>program</x:v>
      </x:c>
      <x:c r="C172" s="17" t="str">
        <x:v>Queen’s University</x:v>
      </x:c>
      <x:c r="D172" s="17" t="str">
        <x:v>ca:dli:O19376023352:program:phd:phd-in-computing</x:v>
      </x:c>
      <x:c r="E172" s="17" t="str"/>
      <x:c r="F172" s="17" t="str">
        <x:v>tuition|fees|health insurance</x:v>
      </x:c>
      <x:c r="G172" s="17" t="str">
        <x:v>2026-27 doctoral tuition, ancillary fees, and UHIP cost baseline.</x:v>
      </x:c>
      <x:c r="H172" s="17" t="str">
        <x:v>Graduate Tuition and Fees</x:v>
      </x:c>
      <x:c r="I172" s="17" t="str">
        <x:v>Queen's University</x:v>
      </x:c>
      <x:c r="J172" s="17" t="str">
        <x:v>official</x:v>
      </x:c>
      <x:c r="K172" s="17" t="str">
        <x:v>2026-09-11</x:v>
      </x:c>
      <x:c r="L172" s="17" t="str">
        <x:v>2026-27 fees checked 2026-09-11</x:v>
      </x:c>
      <x:c r="M172" s="17" t="str">
        <x:v>high</x:v>
      </x:c>
      <x:c r="N172" s="17" t="str">
        <x:v>official page checked</x:v>
      </x:c>
      <x:c r="O172" s="17" t="str"/>
      <x:c r="P172" s="18" t="e">
        <x:f>HYPERLINK("https://www.queensu.ca/registrar/tuition-fees/graduate","Open source")</x:f>
        <x:v>HYPERLINK is not implemented. linkLocation=https://www.queensu.ca/registrar/tuition-fees/graduate, friendlyName=Open source</x:v>
      </x:c>
    </x:row>
    <x:row r="173" ht="46" customHeight="1">
      <x:c r="A173" s="17" t="str">
        <x:v>stage3src:e20a03b4eb9a9929030f</x:v>
      </x:c>
      <x:c r="B173" s="17" t="str">
        <x:v>program</x:v>
      </x:c>
      <x:c r="C173" s="17" t="str">
        <x:v>Queen’s University</x:v>
      </x:c>
      <x:c r="D173" s="17" t="str">
        <x:v>ca:dli:O19376023352:program:phd:phd-in-computing</x:v>
      </x:c>
      <x:c r="E173" s="17" t="str"/>
      <x:c r="F173" s="17" t="str">
        <x:v>admissions|eligibility|deadline|language</x:v>
      </x:c>
      <x:c r="G173" s="17" t="str">
        <x:v>Explicit 2027-28 master's and A-standing requirements, January 15 deadline, limited international space, and supervisor-contact process.</x:v>
      </x:c>
      <x:c r="H173" s="17" t="str">
        <x:v>Graduate Applicants</x:v>
      </x:c>
      <x:c r="I173" s="17" t="str">
        <x:v>Queen's University</x:v>
      </x:c>
      <x:c r="J173" s="17" t="str">
        <x:v>official</x:v>
      </x:c>
      <x:c r="K173" s="17" t="str">
        <x:v>2026-09-11</x:v>
      </x:c>
      <x:c r="L173" s="17" t="str">
        <x:v>Explicit 2027-28 cycle checked 2026-09-11</x:v>
      </x:c>
      <x:c r="M173" s="17" t="str">
        <x:v>high</x:v>
      </x:c>
      <x:c r="N173" s="17" t="str">
        <x:v>official page checked</x:v>
      </x:c>
      <x:c r="O173" s="17" t="str"/>
      <x:c r="P173" s="18" t="e">
        <x:f>HYPERLINK("https://www.cs.queensu.ca/apply/graduate.php","Open source")</x:f>
        <x:v>HYPERLINK is not implemented. linkLocation=https://www.cs.queensu.ca/apply/graduate.php, friendlyName=Open source</x:v>
      </x:c>
    </x:row>
    <x:row r="174" ht="46" customHeight="1">
      <x:c r="A174" s="17" t="str">
        <x:v>stage3src:ab07731bd2be3973cb3f</x:v>
      </x:c>
      <x:c r="B174" s="17" t="str">
        <x:v>program</x:v>
      </x:c>
      <x:c r="C174" s="17" t="str">
        <x:v>Queen’s University</x:v>
      </x:c>
      <x:c r="D174" s="17" t="str">
        <x:v>ca:dli:O19376023352:program:thesis-or-research-master-s:master-of-applied-science-in-electrical-and-computer-engineering</x:v>
      </x:c>
      <x:c r="E174" s="17" t="str"/>
      <x:c r="F174" s="17" t="str">
        <x:v>program|research|admissions</x:v>
      </x:c>
      <x:c r="G174" s="17" t="str">
        <x:v>Current ECE thesis-based MASc, four graduate courses, seminar, research thesis, and supervisor-approved study plan.</x:v>
      </x:c>
      <x:c r="H174" s="17" t="str">
        <x:v>Electrical and Computer Engineering Graduate Calendar</x:v>
      </x:c>
      <x:c r="I174" s="17" t="str">
        <x:v>Queen's University</x:v>
      </x:c>
      <x:c r="J174" s="17" t="str">
        <x:v>official</x:v>
      </x:c>
      <x:c r="K174" s="17" t="str">
        <x:v>2026-09-10</x:v>
      </x:c>
      <x:c r="L174" s="17" t="str">
        <x:v>2026-2027 graduate calendar</x:v>
      </x:c>
      <x:c r="M174" s="17" t="str">
        <x:v>high</x:v>
      </x:c>
      <x:c r="N174" s="17" t="str">
        <x:v>official page checked</x:v>
      </x:c>
      <x:c r="O174" s="17" t="str"/>
      <x:c r="P174" s="18" t="e">
        <x:f>HYPERLINK("https://www.queensu.ca/academic-calendar/graduate-studies/programs-study/electrical-computer-engineering/","Open source")</x:f>
        <x:v>HYPERLINK is not implemented. linkLocation=https://www.queensu.ca/academic-calendar/graduate-studies/programs-study/electrical-computer-engineering/, friendlyName=Open source</x:v>
      </x:c>
    </x:row>
    <x:row r="175" ht="46" customHeight="1">
      <x:c r="A175" s="17" t="str">
        <x:v>stage3src:d4dcac0de76d6b4a734c</x:v>
      </x:c>
      <x:c r="B175" s="17" t="str">
        <x:v>program</x:v>
      </x:c>
      <x:c r="C175" s="17" t="str">
        <x:v>Queen’s University</x:v>
      </x:c>
      <x:c r="D175" s="17" t="str">
        <x:v>ca:dli:O19376023352:program:thesis-or-research-master-s:master-of-applied-science-in-electrical-and-computer-engineering</x:v>
      </x:c>
      <x:c r="E175" s="17" t="str"/>
      <x:c r="F175" s="17" t="str">
        <x:v>program|admissions|eligibility|language|deadline|funding|tuition</x:v>
      </x:c>
      <x:c r="G175" s="17" t="str">
        <x:v>Two-year MASc, engineering or closely related bachelor's, 80% international threshold, recurring January 31 international fall deadline, and latest detailed two-year funding minimum.</x:v>
      </x:c>
      <x:c r="H175" s="17" t="str">
        <x:v>Electrical and Computer Engineering MASc Grad Map</x:v>
      </x:c>
      <x:c r="I175" s="17" t="str">
        <x:v>Queen's University</x:v>
      </x:c>
      <x:c r="J175" s="17" t="str">
        <x:v>official</x:v>
      </x:c>
      <x:c r="K175" s="17" t="str">
        <x:v>2026-09-10</x:v>
      </x:c>
      <x:c r="L175" s="17" t="str">
        <x:v>Latest detailed official map; target terms require reconfirmation</x:v>
      </x:c>
      <x:c r="M175" s="17" t="str">
        <x:v>medium</x:v>
      </x:c>
      <x:c r="N175" s="17" t="str">
        <x:v>official page checked</x:v>
      </x:c>
      <x:c r="O175" s="17" t="str"/>
      <x:c r="P175" s="18" t="e">
        <x:f>HYPERLINK("https://careers.queensu.ca/sites/cars3www/files/uploaded_files/Grad%20Maps/2024/Electrical%20and%20Computer%20Engineering%20MASc%20-%20Web.pdf","Open source")</x:f>
        <x:v>HYPERLINK is not implemented. linkLocation=https://careers.queensu.ca/sites/cars3www/files/uploaded_files/Grad%20Maps/2024/Electrical%20and%20Computer%20Engineering%20MASc%20-%20Web.pdf, friendlyName=Open source</x:v>
      </x:c>
    </x:row>
    <x:row r="176" ht="46" customHeight="1">
      <x:c r="A176" s="17" t="str">
        <x:v>stage3src:18d409e0e482fe7a3f27</x:v>
      </x:c>
      <x:c r="B176" s="17" t="str">
        <x:v>program</x:v>
      </x:c>
      <x:c r="C176" s="17" t="str">
        <x:v>Queen’s University</x:v>
      </x:c>
      <x:c r="D176" s="17" t="str">
        <x:v>ca:dli:O19376023352:program:thesis-or-research-master-s:msc-in-computing-research-pattern</x:v>
      </x:c>
      <x:c r="E176" s="17" t="str"/>
      <x:c r="F176" s="17" t="str">
        <x:v>fees|admissions</x:v>
      </x:c>
      <x:c r="G176" s="17" t="str">
        <x:v>Graduate application fee is $120 CAD.</x:v>
      </x:c>
      <x:c r="H176" s="17" t="str">
        <x:v>How to Apply</x:v>
      </x:c>
      <x:c r="I176" s="17" t="str">
        <x:v>Queen's University</x:v>
      </x:c>
      <x:c r="J176" s="17" t="str">
        <x:v>official</x:v>
      </x:c>
      <x:c r="K176" s="17" t="str">
        <x:v>2026-09-09</x:v>
      </x:c>
      <x:c r="L176" s="17" t="str">
        <x:v>current</x:v>
      </x:c>
      <x:c r="M176" s="17" t="str">
        <x:v>high</x:v>
      </x:c>
      <x:c r="N176" s="17" t="str">
        <x:v>opened/current</x:v>
      </x:c>
      <x:c r="O176" s="17" t="str">
        <x:v>No search snippet used as final evidence; URL/page content reviewed.</x:v>
      </x:c>
      <x:c r="P176" s="18" t="e">
        <x:f>HYPERLINK("https://www.queensu.ca/grad-postdoc/grad-studies/apply","Open source")</x:f>
        <x:v>HYPERLINK is not implemented. linkLocation=https://www.queensu.ca/grad-postdoc/grad-studies/apply, friendlyName=Open source</x:v>
      </x:c>
    </x:row>
    <x:row r="177" ht="46" customHeight="1">
      <x:c r="A177" s="17" t="str">
        <x:v>stage3src:31eb29f060b2ca7fd5d1</x:v>
      </x:c>
      <x:c r="B177" s="17" t="str">
        <x:v>program</x:v>
      </x:c>
      <x:c r="C177" s="17" t="str">
        <x:v>Queen’s University</x:v>
      </x:c>
      <x:c r="D177" s="17" t="str">
        <x:v>ca:dli:O19376023352:program:thesis-or-research-master-s:msc-in-computing-research-pattern</x:v>
      </x:c>
      <x:c r="E177" s="17" t="str"/>
      <x:c r="F177" s="17" t="str">
        <x:v>deadline|eligibility|admissions|program</x:v>
      </x:c>
      <x:c r="G177" s="17" t="str">
        <x:v>For 2027-28, research MSc deadline is Jan 15, 2027 and international applicants require minimum A/first-class standing.</x:v>
      </x:c>
      <x:c r="H177" s="17" t="str">
        <x:v>Graduate Applicants</x:v>
      </x:c>
      <x:c r="I177" s="17" t="str">
        <x:v>Queen's School of Computing</x:v>
      </x:c>
      <x:c r="J177" s="17" t="str">
        <x:v>official</x:v>
      </x:c>
      <x:c r="K177" s="17" t="str">
        <x:v>2026-09-09</x:v>
      </x:c>
      <x:c r="L177" s="17" t="str">
        <x:v>2027-28</x:v>
      </x:c>
      <x:c r="M177" s="17" t="str">
        <x:v>high</x:v>
      </x:c>
      <x:c r="N177" s="17" t="str">
        <x:v>opened/current</x:v>
      </x:c>
      <x:c r="O177" s="17" t="str">
        <x:v>No search snippet used as final evidence; URL/page content reviewed.</x:v>
      </x:c>
      <x:c r="P177" s="18" t="e">
        <x:f>HYPERLINK("https://www.cs.queensu.ca/apply/graduate.php","Open source")</x:f>
        <x:v>HYPERLINK is not implemented. linkLocation=https://www.cs.queensu.ca/apply/graduate.php, friendlyName=Open source</x:v>
      </x:c>
    </x:row>
    <x:row r="178" ht="46" customHeight="1">
      <x:c r="A178" s="17" t="str">
        <x:v>stage3src:34474f8e558e05c696b6</x:v>
      </x:c>
      <x:c r="B178" s="17" t="str">
        <x:v>program</x:v>
      </x:c>
      <x:c r="C178" s="17" t="str">
        <x:v>Queen’s University</x:v>
      </x:c>
      <x:c r="D178" s="17" t="str">
        <x:v>ca:dli:O19376023352:program:thesis-or-research-master-s:msc-in-computing-research-pattern</x:v>
      </x:c>
      <x:c r="E178" s="17" t="str"/>
      <x:c r="F178" s="17" t="str">
        <x:v>funding|eligibility|program</x:v>
      </x:c>
      <x:c r="G178" s="17" t="str">
        <x:v>International research MSc minimum is $29,500 year one plus $9,833 term four, normally 16 months.</x:v>
      </x:c>
      <x:c r="H178" s="17" t="str">
        <x:v>Finances</x:v>
      </x:c>
      <x:c r="I178" s="17" t="str">
        <x:v>Queen's School of Computing</x:v>
      </x:c>
      <x:c r="J178" s="17" t="str">
        <x:v>official</x:v>
      </x:c>
      <x:c r="K178" s="17" t="str">
        <x:v>2026-09-09</x:v>
      </x:c>
      <x:c r="L178" s="17" t="str">
        <x:v>as of Feb 2026</x:v>
      </x:c>
      <x:c r="M178" s="17" t="str">
        <x:v>high</x:v>
      </x:c>
      <x:c r="N178" s="17" t="str">
        <x:v>opened; cycle limits recorded</x:v>
      </x:c>
      <x:c r="O178" s="17" t="str">
        <x:v>No search snippet used as final evidence; URL/page content reviewed.</x:v>
      </x:c>
      <x:c r="P178" s="18" t="e">
        <x:f>HYPERLINK("https://www.cs.queensu.ca/graduate/finances/index.php","Open source")</x:f>
        <x:v>HYPERLINK is not implemented. linkLocation=https://www.cs.queensu.ca/graduate/finances/index.php, friendlyName=Open source</x:v>
      </x:c>
    </x:row>
    <x:row r="179" ht="46" customHeight="1">
      <x:c r="A179" s="17" t="str">
        <x:v>stage3src:3e2dbf33c6cc443140b0</x:v>
      </x:c>
      <x:c r="B179" s="17" t="str">
        <x:v>program</x:v>
      </x:c>
      <x:c r="C179" s="17" t="str">
        <x:v>Queen’s University</x:v>
      </x:c>
      <x:c r="D179" s="17" t="str">
        <x:v>ca:dli:O19376023352:program:thesis-or-research-master-s:msc-in-computing-research-pattern</x:v>
      </x:c>
      <x:c r="E179" s="17" t="str"/>
      <x:c r="F179" s="17" t="str">
        <x:v>funding|program</x:v>
      </x:c>
      <x:c r="G179" s="17" t="str">
        <x:v>Research MSc is thesis-based and funded; project/course patterns do not carry the same funding/PhD preparation.</x:v>
      </x:c>
      <x:c r="H179" s="17" t="str">
        <x:v>Research Master's</x:v>
      </x:c>
      <x:c r="I179" s="17" t="str">
        <x:v>Queen's School of Computing</x:v>
      </x:c>
      <x:c r="J179" s="17" t="str">
        <x:v>official</x:v>
      </x:c>
      <x:c r="K179" s="17" t="str">
        <x:v>2026-09-09</x:v>
      </x:c>
      <x:c r="L179" s="17" t="str">
        <x:v>current</x:v>
      </x:c>
      <x:c r="M179" s="17" t="str">
        <x:v>high</x:v>
      </x:c>
      <x:c r="N179" s="17" t="str">
        <x:v>opened/current</x:v>
      </x:c>
      <x:c r="O179" s="17" t="str">
        <x:v>No search snippet used as final evidence; URL/page content reviewed.</x:v>
      </x:c>
      <x:c r="P179" s="18" t="e">
        <x:f>HYPERLINK("https://www.cs.queensu.ca/graduate/msc/patterns/research.php","Open source")</x:f>
        <x:v>HYPERLINK is not implemented. linkLocation=https://www.cs.queensu.ca/graduate/msc/patterns/research.php, friendlyName=Open source</x:v>
      </x:c>
    </x:row>
    <x:row r="180" ht="46" customHeight="1">
      <x:c r="A180" s="17" t="str">
        <x:v>stage3src:30814162676bcc6f02e1</x:v>
      </x:c>
      <x:c r="B180" s="17" t="str">
        <x:v>program</x:v>
      </x:c>
      <x:c r="C180" s="17" t="str">
        <x:v>Université de Moncton</x:v>
      </x:c>
      <x:c r="D180" s="17" t="str">
        <x:v>ca:dli:O19391556532:program:thesis-or-research-master-s:ma-trise-s-sciences-informatique</x:v>
      </x:c>
      <x:c r="E180" s="17" t="str"/>
      <x:c r="F180" s="17" t="str">
        <x:v>program|research|eligibility|admissions|language</x:v>
      </x:c>
      <x:c r="G180" s="17" t="str">
        <x:v>Current two-year MSc, 45-credit and 33-credit-thesis structure, bachelor's preparation, functional English, and supervisor timing.</x:v>
      </x:c>
      <x:c r="H180" s="17" t="str">
        <x:v>Maîtrise ès sciences (informatique)</x:v>
      </x:c>
      <x:c r="I180" s="17" t="str">
        <x:v>Université de Moncton Faculté des études supérieures et de la recherche</x:v>
      </x:c>
      <x:c r="J180" s="17" t="str">
        <x:v>official</x:v>
      </x:c>
      <x:c r="K180" s="17" t="str">
        <x:v>2026-09-11</x:v>
      </x:c>
      <x:c r="L180" s="17" t="str">
        <x:v>Program record updated 2026-08-05; checked 2026-09-11</x:v>
      </x:c>
      <x:c r="M180" s="17" t="str">
        <x:v>high</x:v>
      </x:c>
      <x:c r="N180" s="17" t="str">
        <x:v>official page checked</x:v>
      </x:c>
      <x:c r="O180" s="17" t="str"/>
      <x:c r="P180" s="18" t="e">
        <x:f>HYPERLINK("https://www.umcs.umoncton.ca/fesr/programmes?programme_id=222&amp;programme_select=222","Open source")</x:f>
        <x:v>HYPERLINK is not implemented. linkLocation=https://www.umcs.umoncton.ca/fesr/programmes?programme_id=222&amp;programme_select=222, friendlyName=Open source</x:v>
      </x:c>
    </x:row>
    <x:row r="181" ht="46" customHeight="1">
      <x:c r="A181" s="17" t="str">
        <x:v>stage3src:cba52c12838a711722a1</x:v>
      </x:c>
      <x:c r="B181" s="17" t="str">
        <x:v>program</x:v>
      </x:c>
      <x:c r="C181" s="17" t="str">
        <x:v>Université de Moncton</x:v>
      </x:c>
      <x:c r="D181" s="17" t="str">
        <x:v>ca:dli:O19391556532:program:thesis-or-research-master-s:ma-trise-s-sciences-informatique</x:v>
      </x:c>
      <x:c r="E181" s="17" t="str"/>
      <x:c r="F181" s="17" t="str">
        <x:v>tuition|fees|funding</x:v>
      </x:c>
      <x:c r="G181" s="17" t="str">
        <x:v>Official location of current financial conditions and enrollment charges; Fall 2027 amounts are not yet established.</x:v>
      </x:c>
      <x:c r="H181" s="17" t="str">
        <x:v>Conditions financières</x:v>
      </x:c>
      <x:c r="I181" s="17" t="str">
        <x:v>Université de Moncton</x:v>
      </x:c>
      <x:c r="J181" s="17" t="str">
        <x:v>official</x:v>
      </x:c>
      <x:c r="K181" s="17" t="str">
        <x:v>2026-09-11</x:v>
      </x:c>
      <x:c r="L181" s="17" t="str">
        <x:v>Current page checked 2026-09-11</x:v>
      </x:c>
      <x:c r="M181" s="17" t="str">
        <x:v>high</x:v>
      </x:c>
      <x:c r="N181" s="17" t="str">
        <x:v>official page checked</x:v>
      </x:c>
      <x:c r="O181" s="17" t="str"/>
      <x:c r="P181" s="18" t="e">
        <x:f>HYPERLINK("https://www.umoncton.ca/repertoire/conditions-financieres","Open source")</x:f>
        <x:v>HYPERLINK is not implemented. linkLocation=https://www.umoncton.ca/repertoire/conditions-financieres, friendlyName=Open source</x:v>
      </x:c>
    </x:row>
    <x:row r="182" ht="46" customHeight="1">
      <x:c r="A182" s="17" t="str">
        <x:v>stage3src:dba1fae46224e4560ca1</x:v>
      </x:c>
      <x:c r="B182" s="17" t="str">
        <x:v>program</x:v>
      </x:c>
      <x:c r="C182" s="17" t="str">
        <x:v>Université de Moncton</x:v>
      </x:c>
      <x:c r="D182" s="17" t="str">
        <x:v>ca:dli:O19391556532:program:thesis-or-research-master-s:ma-trise-s-sciences-informatique</x:v>
      </x:c>
      <x:c r="E182" s="17" t="str"/>
      <x:c r="F182" s="17" t="str">
        <x:v>program|research|admissions|funding</x:v>
      </x:c>
      <x:c r="G182" s="17" t="str">
        <x:v>Research and thesis expectations, supervisor role, and competitive scholarship or supervisor-project funding mechanisms.</x:v>
      </x:c>
      <x:c r="H182" s="17" t="str">
        <x:v>Guide pratique de la maîtrise ès sciences (informatique)</x:v>
      </x:c>
      <x:c r="I182" s="17" t="str">
        <x:v>Université de Moncton Département d'informatique</x:v>
      </x:c>
      <x:c r="J182" s="17" t="str">
        <x:v>official</x:v>
      </x:c>
      <x:c r="K182" s="17" t="str">
        <x:v>2026-09-11</x:v>
      </x:c>
      <x:c r="L182" s="17" t="str">
        <x:v>September 2024 guide checked 2026-09-11</x:v>
      </x:c>
      <x:c r="M182" s="17" t="str">
        <x:v>high</x:v>
      </x:c>
      <x:c r="N182" s="17" t="str">
        <x:v>official page checked</x:v>
      </x:c>
      <x:c r="O182" s="17" t="str"/>
      <x:c r="P182" s="18" t="e">
        <x:f>HYPERLINK("https://www.umoncton.ca/umcm-sciences-informatique/sites/umcm-sciences-informatique.prod.umoncton.ca/files/wf/mscinf_infopratique092024.pdf","Open source")</x:f>
        <x:v>HYPERLINK is not implemented. linkLocation=https://www.umoncton.ca/umcm-sciences-informatique/sites/umcm-sciences-informatique.prod.umoncton.ca/files/wf/mscinf_infopratique092024.pdf, friendlyName=Open source</x:v>
      </x:c>
    </x:row>
    <x:row r="183" ht="46" customHeight="1">
      <x:c r="A183" s="17" t="str">
        <x:v>stage3src:cf3236ce6a7b110db06d</x:v>
      </x:c>
      <x:c r="B183" s="17" t="str">
        <x:v>program</x:v>
      </x:c>
      <x:c r="C183" s="17" t="str">
        <x:v>Acadia University</x:v>
      </x:c>
      <x:c r="D183" s="17" t="str">
        <x:v>ca:dli:O19391556792:program:thesis-or-research-master-s:msc-in-computer-science-thesis</x:v>
      </x:c>
      <x:c r="E183" s="17" t="str"/>
      <x:c r="F183" s="17" t="str">
        <x:v>program</x:v>
      </x:c>
      <x:c r="G183" s="17" t="str">
        <x:v>The official page identifies MSc in Computer Science (thesis) and contains research/thesis evidence.</x:v>
      </x:c>
      <x:c r="H183" s="17" t="str">
        <x:v>Computer Science (Master of Science degree) - Acadia University</x:v>
      </x:c>
      <x:c r="I183" s="17" t="str">
        <x:v>Acadia University</x:v>
      </x:c>
      <x:c r="J183" s="17" t="str">
        <x:v>official</x:v>
      </x:c>
      <x:c r="K183" s="17" t="str">
        <x:v>2026-09-09</x:v>
      </x:c>
      <x:c r="L183" s="17" t="str">
        <x:v>Current page; Fall 2027 dates not assumed</x:v>
      </x:c>
      <x:c r="M183" s="17" t="str">
        <x:v>High for program existence and research structure</x:v>
      </x:c>
      <x:c r="N183" s="17" t="str">
        <x:v>opened</x:v>
      </x:c>
      <x:c r="O183" s="17" t="str">
        <x:v>HTTP 200; page SHA-256 in evidence file</x:v>
      </x:c>
      <x:c r="P183" s="18" t="e">
        <x:f>HYPERLINK("https://www2.acadiau.ca/academics/graduate/computer-science.html","Open source")</x:f>
        <x:v>HYPERLINK is not implemented. linkLocation=https://www2.acadiau.ca/academics/graduate/computer-science.html, friendlyName=Open source</x:v>
      </x:c>
    </x:row>
    <x:row r="184" ht="46" customHeight="1">
      <x:c r="A184" s="17" t="str">
        <x:v>stage3src:001987b0eac05cf393bd</x:v>
      </x:c>
      <x:c r="B184" s="17" t="str">
        <x:v>program</x:v>
      </x:c>
      <x:c r="C184" s="17" t="str">
        <x:v>St. Francis Xavier University</x:v>
      </x:c>
      <x:c r="D184" s="17" t="str">
        <x:v>ca:dli:O19391556899:program:thesis-or-research-master-s:master-of-science-in-computer-science</x:v>
      </x:c>
      <x:c r="E184" s="17" t="str"/>
      <x:c r="F184" s="17" t="str">
        <x:v>funding|tuition|deadline</x:v>
      </x:c>
      <x:c r="G184" s="17" t="str">
        <x:v>Program-named scholarship, teaching, external-award, and scholarship-deadline routes.</x:v>
      </x:c>
      <x:c r="H184" s="17" t="str">
        <x:v>Master of Science in Computer Science</x:v>
      </x:c>
      <x:c r="I184" s="17" t="str">
        <x:v>St. Francis Xavier University</x:v>
      </x:c>
      <x:c r="J184" s="17" t="str">
        <x:v>official</x:v>
      </x:c>
      <x:c r="K184" s="17" t="str">
        <x:v>2026-09-11</x:v>
      </x:c>
      <x:c r="L184" s="17" t="str">
        <x:v>Current funding guidance checked 2026-09-11</x:v>
      </x:c>
      <x:c r="M184" s="17" t="str">
        <x:v>high</x:v>
      </x:c>
      <x:c r="N184" s="17" t="str">
        <x:v>official page checked</x:v>
      </x:c>
      <x:c r="O184" s="17" t="str"/>
      <x:c r="P184" s="18" t="e">
        <x:f>HYPERLINK("https://www.stfx.ca/programs-courses/programs/master-science-computer-science","Open source")</x:f>
        <x:v>HYPERLINK is not implemented. linkLocation=https://www.stfx.ca/programs-courses/programs/master-science-computer-science, friendlyName=Open source</x:v>
      </x:c>
    </x:row>
    <x:row r="185" ht="46" customHeight="1">
      <x:c r="A185" s="17" t="str">
        <x:v>stage3src:8af63e9f419786310572</x:v>
      </x:c>
      <x:c r="B185" s="17" t="str">
        <x:v>program</x:v>
      </x:c>
      <x:c r="C185" s="17" t="str">
        <x:v>St. Francis Xavier University</x:v>
      </x:c>
      <x:c r="D185" s="17" t="str">
        <x:v>ca:dli:O19391556899:program:thesis-or-research-master-s:master-of-science-in-computer-science</x:v>
      </x:c>
      <x:c r="E185" s="17" t="str"/>
      <x:c r="F185" s="17" t="str">
        <x:v>program|research|admissions|eligibility|language|deadline|funding|tuition</x:v>
      </x:c>
      <x:c r="G185" s="17" t="str">
        <x:v>Thesis MSc, 70 percent and English thresholds, mandatory supervisor, recurring deadline, and most-accepted-student funding statement.</x:v>
      </x:c>
      <x:c r="H185" s="17" t="str">
        <x:v>Master of Science in Computer Science</x:v>
      </x:c>
      <x:c r="I185" s="17" t="str">
        <x:v>St. Francis Xavier University</x:v>
      </x:c>
      <x:c r="J185" s="17" t="str">
        <x:v>official</x:v>
      </x:c>
      <x:c r="K185" s="17" t="str">
        <x:v>2026-09-11</x:v>
      </x:c>
      <x:c r="L185" s="17" t="str">
        <x:v>Current recurring guidance checked 2026-09-11</x:v>
      </x:c>
      <x:c r="M185" s="17" t="str">
        <x:v>high</x:v>
      </x:c>
      <x:c r="N185" s="17" t="str">
        <x:v>official page checked</x:v>
      </x:c>
      <x:c r="O185" s="17" t="str"/>
      <x:c r="P185" s="18" t="e">
        <x:f>HYPERLINK("https://www.stfx.ca/programs-courses/programs/master-science-computer-science","Open source")</x:f>
        <x:v>HYPERLINK is not implemented. linkLocation=https://www.stfx.ca/programs-courses/programs/master-science-computer-science, friendlyName=Open source</x:v>
      </x:c>
    </x:row>
    <x:row r="186" ht="46" customHeight="1">
      <x:c r="A186" s="17" t="str">
        <x:v>stage3src:9b1da154606e76a7f31e</x:v>
      </x:c>
      <x:c r="B186" s="17" t="str">
        <x:v>program</x:v>
      </x:c>
      <x:c r="C186" s="17" t="str">
        <x:v>St. Francis Xavier University</x:v>
      </x:c>
      <x:c r="D186" s="17" t="str">
        <x:v>ca:dli:O19391556899:program:thesis-or-research-master-s:master-of-science-in-computer-science</x:v>
      </x:c>
      <x:c r="E186" s="17" t="str"/>
      <x:c r="F186" s="17" t="str">
        <x:v>program|research</x:v>
      </x:c>
      <x:c r="G186" s="17" t="str">
        <x:v>Two-year 36-credit thesis route, research credits, thesis, and defense structure.</x:v>
      </x:c>
      <x:c r="H186" s="17" t="str">
        <x:v>MSc Thesis-Based Degree Requirements</x:v>
      </x:c>
      <x:c r="I186" s="17" t="str">
        <x:v>St. Francis Xavier University Computer Science</x:v>
      </x:c>
      <x:c r="J186" s="17" t="str">
        <x:v>official</x:v>
      </x:c>
      <x:c r="K186" s="17" t="str">
        <x:v>2026-09-11</x:v>
      </x:c>
      <x:c r="L186" s="17" t="str">
        <x:v>Current requirements checked 2026-09-11</x:v>
      </x:c>
      <x:c r="M186" s="17" t="str">
        <x:v>high</x:v>
      </x:c>
      <x:c r="N186" s="17" t="str">
        <x:v>official page checked</x:v>
      </x:c>
      <x:c r="O186" s="17" t="str"/>
      <x:c r="P186" s="18" t="e">
        <x:f>HYPERLINK("https://www.stfx.ca/department/computer-science/degree-requirements/graduate-studies/thesis-based-master-science/msc","Open source")</x:f>
        <x:v>HYPERLINK is not implemented. linkLocation=https://www.stfx.ca/department/computer-science/degree-requirements/graduate-studies/thesis-based-master-science/msc, friendlyName=Open source</x:v>
      </x:c>
    </x:row>
    <x:row r="187" ht="46" customHeight="1">
      <x:c r="A187" s="17" t="str">
        <x:v>stage3src:4c3a9a668ee8ca56a5f3</x:v>
      </x:c>
      <x:c r="B187" s="17" t="str">
        <x:v>program</x:v>
      </x:c>
      <x:c r="C187" s="17" t="str">
        <x:v>Brock University</x:v>
      </x:c>
      <x:c r="D187" s="17" t="str">
        <x:v>ca:dli:O19394569014:program:thesis-or-research-master-s:computer-science-msc-thesis-stream</x:v>
      </x:c>
      <x:c r="E187" s="17" t="str"/>
      <x:c r="F187" s="17" t="str">
        <x:v>program|research|eligibility|admissions|deadline</x:v>
      </x:c>
      <x:c r="G187" s="17" t="str">
        <x:v>Current thesis MSc, research structure, degree and high-B entry requirements, research statement, and January 15 deadline.</x:v>
      </x:c>
      <x:c r="H187" s="17" t="str">
        <x:v>Computer Science MSc</x:v>
      </x:c>
      <x:c r="I187" s="17" t="str">
        <x:v>Brock University</x:v>
      </x:c>
      <x:c r="J187" s="17" t="str">
        <x:v>official</x:v>
      </x:c>
      <x:c r="K187" s="17" t="str">
        <x:v>2026-09-10</x:v>
      </x:c>
      <x:c r="L187" s="17" t="str">
        <x:v>Current page checked 2026-09-11</x:v>
      </x:c>
      <x:c r="M187" s="17" t="str">
        <x:v>high</x:v>
      </x:c>
      <x:c r="N187" s="17" t="str">
        <x:v>official page checked</x:v>
      </x:c>
      <x:c r="O187" s="17" t="str"/>
      <x:c r="P187" s="18" t="e">
        <x:f>HYPERLINK("https://brocku.ca/programs/graduate/msc-cosc/","Open source")</x:f>
        <x:v>HYPERLINK is not implemented. linkLocation=https://brocku.ca/programs/graduate/msc-cosc/, friendlyName=Open source</x:v>
      </x:c>
    </x:row>
    <x:row r="188" ht="46" customHeight="1">
      <x:c r="A188" s="17" t="str">
        <x:v>stage3src:6cd90e4626bb226a8d43</x:v>
      </x:c>
      <x:c r="B188" s="17" t="str">
        <x:v>program</x:v>
      </x:c>
      <x:c r="C188" s="17" t="str">
        <x:v>Brock University</x:v>
      </x:c>
      <x:c r="D188" s="17" t="str">
        <x:v>ca:dli:O19394569014:program:thesis-or-research-master-s:computer-science-msc-thesis-stream</x:v>
      </x:c>
      <x:c r="E188" s="17" t="str"/>
      <x:c r="F188" s="17" t="str">
        <x:v>admissions|eligibility|language|fees</x:v>
      </x:c>
      <x:c r="G188" s="17" t="str">
        <x:v>Graduate application, credential, document, and English framework.</x:v>
      </x:c>
      <x:c r="H188" s="17" t="str">
        <x:v>Graduate admissions</x:v>
      </x:c>
      <x:c r="I188" s="17" t="str">
        <x:v>Brock University</x:v>
      </x:c>
      <x:c r="J188" s="17" t="str">
        <x:v>official</x:v>
      </x:c>
      <x:c r="K188" s="17" t="str">
        <x:v>2026-09-10</x:v>
      </x:c>
      <x:c r="L188" s="17" t="str">
        <x:v>Current page checked 2026-09-11</x:v>
      </x:c>
      <x:c r="M188" s="17" t="str">
        <x:v>high</x:v>
      </x:c>
      <x:c r="N188" s="17" t="str">
        <x:v>official page checked</x:v>
      </x:c>
      <x:c r="O188" s="17" t="str"/>
      <x:c r="P188" s="18" t="e">
        <x:f>HYPERLINK("https://brocku.ca/graduate-studies/future-students/apply/","Open source")</x:f>
        <x:v>HYPERLINK is not implemented. linkLocation=https://brocku.ca/graduate-studies/future-students/apply/, friendlyName=Open source</x:v>
      </x:c>
    </x:row>
    <x:row r="189" ht="46" customHeight="1">
      <x:c r="A189" s="17" t="str">
        <x:v>stage3src:6f75e2ef2e592fc1fe5c</x:v>
      </x:c>
      <x:c r="B189" s="17" t="str">
        <x:v>program</x:v>
      </x:c>
      <x:c r="C189" s="17" t="str">
        <x:v>Brock University</x:v>
      </x:c>
      <x:c r="D189" s="17" t="str">
        <x:v>ca:dli:O19394569014:program:thesis-or-research-master-s:computer-science-msc-thesis-stream</x:v>
      </x:c>
      <x:c r="E189" s="17" t="str"/>
      <x:c r="F189" s="17" t="str">
        <x:v>funding|tuition|fees</x:v>
      </x:c>
      <x:c r="G189" s="17" t="str">
        <x:v>Full-time thesis assistantship language, archived funding figures, and explicit international funding insufficiency warning.</x:v>
      </x:c>
      <x:c r="H189" s="17" t="str">
        <x:v>MSc financial support</x:v>
      </x:c>
      <x:c r="I189" s="17" t="str">
        <x:v>Brock University Department of Computer Science</x:v>
      </x:c>
      <x:c r="J189" s="17" t="str">
        <x:v>official</x:v>
      </x:c>
      <x:c r="K189" s="17" t="str">
        <x:v>2026-09-10</x:v>
      </x:c>
      <x:c r="L189" s="17" t="str">
        <x:v>Current page checked 2026-09-11; monetary examples labeled stale</x:v>
      </x:c>
      <x:c r="M189" s="17" t="str">
        <x:v>high</x:v>
      </x:c>
      <x:c r="N189" s="17" t="str">
        <x:v>official page checked</x:v>
      </x:c>
      <x:c r="O189" s="17" t="str"/>
      <x:c r="P189" s="18" t="e">
        <x:f>HYPERLINK("https://brocku.ca/mathematics-science/computer-science/programs/msc-program/msc-financial/","Open source")</x:f>
        <x:v>HYPERLINK is not implemented. linkLocation=https://brocku.ca/mathematics-science/computer-science/programs/msc-program/msc-financial/, friendlyName=Open source</x:v>
      </x:c>
    </x:row>
    <x:row r="190" ht="46" customHeight="1">
      <x:c r="A190" s="17" t="str">
        <x:v>stage3src:ce67c312990744275e82</x:v>
      </x:c>
      <x:c r="B190" s="17" t="str">
        <x:v>program</x:v>
      </x:c>
      <x:c r="C190" s="17" t="str">
        <x:v>Brock University</x:v>
      </x:c>
      <x:c r="D190" s="17" t="str">
        <x:v>ca:dli:O19394569014:program:thesis-or-research-master-s:msc-in-computer-science</x:v>
      </x:c>
      <x:c r="E190" s="17" t="str"/>
      <x:c r="F190" s="17" t="str">
        <x:v>program</x:v>
      </x:c>
      <x:c r="G190" s="17" t="str">
        <x:v>The official page identifies MSc in Computer Science and contains research/thesis evidence.</x:v>
      </x:c>
      <x:c r="H190" s="17" t="str">
        <x:v>Computer Science (MSc) – Academic Programs</x:v>
      </x:c>
      <x:c r="I190" s="17" t="str">
        <x:v>Brock University</x:v>
      </x:c>
      <x:c r="J190" s="17" t="str">
        <x:v>official</x:v>
      </x:c>
      <x:c r="K190" s="17" t="str">
        <x:v>2026-09-09</x:v>
      </x:c>
      <x:c r="L190" s="17" t="str">
        <x:v>Current page; Fall 2027 dates not assumed</x:v>
      </x:c>
      <x:c r="M190" s="17" t="str">
        <x:v>High for program existence and research structure</x:v>
      </x:c>
      <x:c r="N190" s="17" t="str">
        <x:v>opened</x:v>
      </x:c>
      <x:c r="O190" s="17" t="str">
        <x:v>HTTP 200; page SHA-256 in evidence file</x:v>
      </x:c>
      <x:c r="P190" s="18" t="e">
        <x:f>HYPERLINK("https://brocku.ca/programs/graduate/msc-cosc/","Open source")</x:f>
        <x:v>HYPERLINK is not implemented. linkLocation=https://brocku.ca/programs/graduate/msc-cosc/, friendlyName=Open source</x:v>
      </x:c>
    </x:row>
    <x:row r="191" ht="46" customHeight="1">
      <x:c r="A191" s="17" t="str">
        <x:v>stage3src:8549b08abdd3e0064892</x:v>
      </x:c>
      <x:c r="B191" s="17" t="str">
        <x:v>program</x:v>
      </x:c>
      <x:c r="C191" s="17" t="str">
        <x:v>Trent University</x:v>
      </x:c>
      <x:c r="D191" s="17" t="str">
        <x:v>ca:dli:O19395164223:program:thesis-or-research-master-s:msc-in-applied-modelling-and-quantitative-methods-thesis-stream</x:v>
      </x:c>
      <x:c r="E191" s="17" t="str"/>
      <x:c r="F191" s="17" t="str">
        <x:v>admissions|eligibility|deadline|fees</x:v>
      </x:c>
      <x:c r="G191" s="17" t="str">
        <x:v>Four-year degree, B+ recent-study threshold, February 1 fall close, per-program CAD 125 fee, and no-waiver rule.</x:v>
      </x:c>
      <x:c r="H191" s="17" t="str">
        <x:v>Admission Requirements</x:v>
      </x:c>
      <x:c r="I191" s="17" t="str">
        <x:v>Trent University Graduate Studies</x:v>
      </x:c>
      <x:c r="J191" s="17" t="str">
        <x:v>official</x:v>
      </x:c>
      <x:c r="K191" s="17" t="str">
        <x:v>2026-09-11</x:v>
      </x:c>
      <x:c r="L191" s="17" t="str">
        <x:v>Current page checked 2026-09-11</x:v>
      </x:c>
      <x:c r="M191" s="17" t="str">
        <x:v>high</x:v>
      </x:c>
      <x:c r="N191" s="17" t="str">
        <x:v>official page checked</x:v>
      </x:c>
      <x:c r="O191" s="17" t="str"/>
      <x:c r="P191" s="18" t="e">
        <x:f>HYPERLINK("https://www.trentu.ca/graduatestudies/admissions/admission-requirements","Open source")</x:f>
        <x:v>HYPERLINK is not implemented. linkLocation=https://www.trentu.ca/graduatestudies/admissions/admission-requirements, friendlyName=Open source</x:v>
      </x:c>
    </x:row>
    <x:row r="192" ht="46" customHeight="1">
      <x:c r="A192" s="17" t="str">
        <x:v>stage3src:b22e1889700fbaab2f3a</x:v>
      </x:c>
      <x:c r="B192" s="17" t="str">
        <x:v>program</x:v>
      </x:c>
      <x:c r="C192" s="17" t="str">
        <x:v>Trent University</x:v>
      </x:c>
      <x:c r="D192" s="17" t="str">
        <x:v>ca:dli:O19395164223:program:thesis-or-research-master-s:msc-in-applied-modelling-and-quantitative-methods-thesis-stream</x:v>
      </x:c>
      <x:c r="E192" s="17" t="str"/>
      <x:c r="F192" s="17" t="str">
        <x:v>program|research|admissions|eligibility</x:v>
      </x:c>
      <x:c r="G192" s="17" t="str">
        <x:v>Current thesis-stream MSc, quantitative and programming preparation, and supervisor-guided research structure.</x:v>
      </x:c>
      <x:c r="H192" s="17" t="str">
        <x:v>Applied Modelling and Quantitative Methods — Thesis Stream</x:v>
      </x:c>
      <x:c r="I192" s="17" t="str">
        <x:v>Trent University</x:v>
      </x:c>
      <x:c r="J192" s="17" t="str">
        <x:v>official</x:v>
      </x:c>
      <x:c r="K192" s="17" t="str">
        <x:v>2026-09-11</x:v>
      </x:c>
      <x:c r="L192" s="17" t="str">
        <x:v>Current page checked 2026-09-11</x:v>
      </x:c>
      <x:c r="M192" s="17" t="str">
        <x:v>high</x:v>
      </x:c>
      <x:c r="N192" s="17" t="str">
        <x:v>official page checked</x:v>
      </x:c>
      <x:c r="O192" s="17" t="str"/>
      <x:c r="P192" s="18" t="e">
        <x:f>HYPERLINK("https://www.trentu.ca/graduatestudies/program/applied-modelling-quantitative-methods-ma-or-msc/thesis-stream","Open source")</x:f>
        <x:v>HYPERLINK is not implemented. linkLocation=https://www.trentu.ca/graduatestudies/program/applied-modelling-quantitative-methods-ma-or-msc/thesis-stream, friendlyName=Open source</x:v>
      </x:c>
    </x:row>
    <x:row r="193" ht="46" customHeight="1">
      <x:c r="A193" s="17" t="str">
        <x:v>stage3src:dbb14be1dd81e291e938</x:v>
      </x:c>
      <x:c r="B193" s="17" t="str">
        <x:v>program</x:v>
      </x:c>
      <x:c r="C193" s="17" t="str">
        <x:v>Trent University</x:v>
      </x:c>
      <x:c r="D193" s="17" t="str">
        <x:v>ca:dli:O19395164223:program:thesis-or-research-master-s:msc-in-applied-modelling-and-quantitative-methods-thesis-stream</x:v>
      </x:c>
      <x:c r="E193" s="17" t="str"/>
      <x:c r="F193" s="17" t="str">
        <x:v>admissions|eligibility|language</x:v>
      </x:c>
      <x:c r="G193" s="17" t="str">
        <x:v>International degree review and U.S. postsecondary-study English exemption.</x:v>
      </x:c>
      <x:c r="H193" s="17" t="str">
        <x:v>International Applicants</x:v>
      </x:c>
      <x:c r="I193" s="17" t="str">
        <x:v>Trent University Graduate Studies</x:v>
      </x:c>
      <x:c r="J193" s="17" t="str">
        <x:v>official</x:v>
      </x:c>
      <x:c r="K193" s="17" t="str">
        <x:v>2026-09-11</x:v>
      </x:c>
      <x:c r="L193" s="17" t="str">
        <x:v>Current page checked 2026-09-11</x:v>
      </x:c>
      <x:c r="M193" s="17" t="str">
        <x:v>high</x:v>
      </x:c>
      <x:c r="N193" s="17" t="str">
        <x:v>official page checked</x:v>
      </x:c>
      <x:c r="O193" s="17" t="str"/>
      <x:c r="P193" s="18" t="e">
        <x:f>HYPERLINK("https://www.trentu.ca/graduatestudies/admissions/how-apply/international-applicants","Open source")</x:f>
        <x:v>HYPERLINK is not implemented. linkLocation=https://www.trentu.ca/graduatestudies/admissions/how-apply/international-applicants, friendlyName=Open source</x:v>
      </x:c>
    </x:row>
    <x:row r="194" ht="46" customHeight="1">
      <x:c r="A194" s="17" t="str">
        <x:v>stage3src:fa16b0d52ebea2c777d8</x:v>
      </x:c>
      <x:c r="B194" s="17" t="str">
        <x:v>program</x:v>
      </x:c>
      <x:c r="C194" s="17" t="str">
        <x:v>Trent University</x:v>
      </x:c>
      <x:c r="D194" s="17" t="str">
        <x:v>ca:dli:O19395164223:program:thesis-or-research-master-s:msc-in-applied-modelling-and-quantitative-methods-thesis-stream</x:v>
      </x:c>
      <x:c r="E194" s="17" t="str"/>
      <x:c r="F194" s="17" t="str">
        <x:v>funding|tuition|fees|summer</x:v>
      </x:c>
      <x:c r="G194" s="17" t="str">
        <x:v>2026–27 guaranteed eligible master's package range, two-year duration, and limited international tuition offset.</x:v>
      </x:c>
      <x:c r="H194" s="17" t="str">
        <x:v>Funding</x:v>
      </x:c>
      <x:c r="I194" s="17" t="str">
        <x:v>Trent University Graduate Studies</x:v>
      </x:c>
      <x:c r="J194" s="17" t="str">
        <x:v>official</x:v>
      </x:c>
      <x:c r="K194" s="17" t="str">
        <x:v>2026-09-11</x:v>
      </x:c>
      <x:c r="L194" s="17" t="str">
        <x:v>2026–27 checked 2026-09-11</x:v>
      </x:c>
      <x:c r="M194" s="17" t="str">
        <x:v>high</x:v>
      </x:c>
      <x:c r="N194" s="17" t="str">
        <x:v>official page checked</x:v>
      </x:c>
      <x:c r="O194" s="17" t="str"/>
      <x:c r="P194" s="18" t="e">
        <x:f>HYPERLINK("https://www.trentu.ca/graduatestudies/funding-tuition/funding","Open source")</x:f>
        <x:v>HYPERLINK is not implemented. linkLocation=https://www.trentu.ca/graduatestudies/funding-tuition/funding, friendlyName=Open source</x:v>
      </x:c>
    </x:row>
    <x:row r="195" ht="46" customHeight="1">
      <x:c r="A195" s="17" t="str">
        <x:v>stage3src:bcae3bc7566a04479481</x:v>
      </x:c>
      <x:c r="B195" s="17" t="str">
        <x:v>program</x:v>
      </x:c>
      <x:c r="C195" s="17" t="str">
        <x:v>Wilfrid Laurier University</x:v>
      </x:c>
      <x:c r="D195" s="17" t="str">
        <x:v>ca:dli:O19395164307:program:thesis-or-research-master-s:master-of-applied-computing-thesis-stream</x:v>
      </x:c>
      <x:c r="E195" s="17" t="str"/>
      <x:c r="F195" s="17" t="str">
        <x:v>program</x:v>
      </x:c>
      <x:c r="G195" s="17" t="str">
        <x:v>The official page identifies Master of Applied Computing (thesis stream) and contains research/thesis evidence.</x:v>
      </x:c>
      <x:c r="H195" s="17" t="str">
        <x:v>Program Requirements for Graduate Students | Computer Science and Physics | Students - Wilfrid Laurier University</x:v>
      </x:c>
      <x:c r="I195" s="17" t="str">
        <x:v>Wilfrid Laurier University</x:v>
      </x:c>
      <x:c r="J195" s="17" t="str">
        <x:v>official</x:v>
      </x:c>
      <x:c r="K195" s="17" t="str">
        <x:v>2026-09-09</x:v>
      </x:c>
      <x:c r="L195" s="17" t="str">
        <x:v>Current page; Fall 2027 dates not assumed</x:v>
      </x:c>
      <x:c r="M195" s="17" t="str">
        <x:v>High for program existence and research structure</x:v>
      </x:c>
      <x:c r="N195" s="17" t="str">
        <x:v>opened</x:v>
      </x:c>
      <x:c r="O195" s="17" t="str">
        <x:v>HTTP 200; page SHA-256 in evidence file</x:v>
      </x:c>
      <x:c r="P195" s="18" t="e">
        <x:f>HYPERLINK("https://students.wlu.ca/programs/science/computer-science-and-physics/graduate-students/program-requirements/index.html","Open source")</x:f>
        <x:v>HYPERLINK is not implemented. linkLocation=https://students.wlu.ca/programs/science/computer-science-and-physics/graduate-students/program-requirements/index.html, friendlyName=Open source</x:v>
      </x:c>
    </x:row>
    <x:row r="196" ht="46" customHeight="1">
      <x:c r="A196" s="17" t="str">
        <x:v>stage3src:ccb535911b630b370257</x:v>
      </x:c>
      <x:c r="B196" s="17" t="str">
        <x:v>program</x:v>
      </x:c>
      <x:c r="C196" s="17" t="str">
        <x:v>McMaster University</x:v>
      </x:c>
      <x:c r="D196" s="17" t="str">
        <x:v>ca:dli:O19395535729:program:thesis-or-research-master-s:msc-in-computer-science</x:v>
      </x:c>
      <x:c r="E196" s="17" t="str"/>
      <x:c r="F196" s="17" t="str">
        <x:v>program</x:v>
      </x:c>
      <x:c r="G196" s="17" t="str">
        <x:v>The official page identifies MSc in Computer Science and contains research/thesis evidence.</x:v>
      </x:c>
      <x:c r="H196" s="17" t="str">
        <x:v>Computer Science - MSc – Faculty of Engineering</x:v>
      </x:c>
      <x:c r="I196" s="17" t="str">
        <x:v>McMaster University</x:v>
      </x:c>
      <x:c r="J196" s="17" t="str">
        <x:v>official</x:v>
      </x:c>
      <x:c r="K196" s="17" t="str">
        <x:v>2026-09-09</x:v>
      </x:c>
      <x:c r="L196" s="17" t="str">
        <x:v>Current page; Fall 2027 dates not assumed</x:v>
      </x:c>
      <x:c r="M196" s="17" t="str">
        <x:v>High for program existence and research structure</x:v>
      </x:c>
      <x:c r="N196" s="17" t="str">
        <x:v>opened</x:v>
      </x:c>
      <x:c r="O196" s="17" t="str">
        <x:v>HTTP 200; page SHA-256 in evidence file</x:v>
      </x:c>
      <x:c r="P196" s="18" t="e">
        <x:f>HYPERLINK("https://www.eng.mcmaster.ca/cas/degree-options/computer-science-msc/","Open source")</x:f>
        <x:v>HYPERLINK is not implemented. linkLocation=https://www.eng.mcmaster.ca/cas/degree-options/computer-science-msc/, friendlyName=Open source</x:v>
      </x:c>
    </x:row>
    <x:row r="197" ht="46" customHeight="1">
      <x:c r="A197" s="17" t="str">
        <x:v>stage3src:53bafd2cc8a6106c5b1d</x:v>
      </x:c>
      <x:c r="B197" s="17" t="str">
        <x:v>program</x:v>
      </x:c>
      <x:c r="C197" s="17" t="str">
        <x:v>McMaster University</x:v>
      </x:c>
      <x:c r="D197" s="17" t="str">
        <x:v>ca:dli:O19395535729:program:thesis-or-research-master-s:software-engineering-masc</x:v>
      </x:c>
      <x:c r="E197" s="17" t="str"/>
      <x:c r="F197" s="17" t="str">
        <x:v>admissions|eligibility|language|deadline|funding</x:v>
      </x:c>
      <x:c r="G197" s="17" t="str">
        <x:v>Supervisor-acceptance model, international timing, English evidence, and twenty-month funding statement for full-time MASc and MSc students.</x:v>
      </x:c>
      <x:c r="H197" s="17" t="str">
        <x:v>Graduate Application FAQ — Computing and Software</x:v>
      </x:c>
      <x:c r="I197" s="17" t="str">
        <x:v>McMaster University Faculty of Engineering</x:v>
      </x:c>
      <x:c r="J197" s="17" t="str">
        <x:v>official</x:v>
      </x:c>
      <x:c r="K197" s="17" t="str">
        <x:v>2026-09-11</x:v>
      </x:c>
      <x:c r="L197" s="17" t="str">
        <x:v>Current FAQ checked 2026-09-11</x:v>
      </x:c>
      <x:c r="M197" s="17" t="str">
        <x:v>high</x:v>
      </x:c>
      <x:c r="N197" s="17" t="str">
        <x:v>official page checked</x:v>
      </x:c>
      <x:c r="O197" s="17" t="str"/>
      <x:c r="P197" s="18" t="e">
        <x:f>HYPERLINK("https://www.eng.mcmaster.ca/app/uploads/2024/03/Application_FAQ_Graduate_Computing-and-Software.pdf","Open source")</x:f>
        <x:v>HYPERLINK is not implemented. linkLocation=https://www.eng.mcmaster.ca/app/uploads/2024/03/Application_FAQ_Graduate_Computing-and-Software.pdf, friendlyName=Open source</x:v>
      </x:c>
    </x:row>
    <x:row r="198" ht="46" customHeight="1">
      <x:c r="A198" s="17" t="str">
        <x:v>stage3src:9225f496c15a03f7a612</x:v>
      </x:c>
      <x:c r="B198" s="17" t="str">
        <x:v>program</x:v>
      </x:c>
      <x:c r="C198" s="17" t="str">
        <x:v>McMaster University</x:v>
      </x:c>
      <x:c r="D198" s="17" t="str">
        <x:v>ca:dli:O19395535729:program:thesis-or-research-master-s:software-engineering-masc</x:v>
      </x:c>
      <x:c r="E198" s="17" t="str"/>
      <x:c r="F198" s="17" t="str">
        <x:v>fees|funding</x:v>
      </x:c>
      <x:c r="G198" s="17" t="str">
        <x:v>Graduate tuition and supplementary fees vary by international research-master's status and term; exact future net cost remains offer-specific.</x:v>
      </x:c>
      <x:c r="H198" s="17" t="str">
        <x:v>Graduate Tuition and Fees</x:v>
      </x:c>
      <x:c r="I198" s="17" t="str">
        <x:v>McMaster University Registrar</x:v>
      </x:c>
      <x:c r="J198" s="17" t="str">
        <x:v>official</x:v>
      </x:c>
      <x:c r="K198" s="17" t="str">
        <x:v>2026-09-11</x:v>
      </x:c>
      <x:c r="L198" s="17" t="str">
        <x:v>Current fee framework checked 2026-09-11</x:v>
      </x:c>
      <x:c r="M198" s="17" t="str">
        <x:v>high</x:v>
      </x:c>
      <x:c r="N198" s="17" t="str">
        <x:v>official page checked</x:v>
      </x:c>
      <x:c r="O198" s="17" t="str"/>
      <x:c r="P198" s="18" t="e">
        <x:f>HYPERLINK("https://registrar.mcmaster.ca/fees/graduate/","Open source")</x:f>
        <x:v>HYPERLINK is not implemented. linkLocation=https://registrar.mcmaster.ca/fees/graduate/, friendlyName=Open source</x:v>
      </x:c>
    </x:row>
    <x:row r="199" ht="46" customHeight="1">
      <x:c r="A199" s="17" t="str">
        <x:v>stage3src:b302b7449763760c3bcc</x:v>
      </x:c>
      <x:c r="B199" s="17" t="str">
        <x:v>program</x:v>
      </x:c>
      <x:c r="C199" s="17" t="str">
        <x:v>McMaster University</x:v>
      </x:c>
      <x:c r="D199" s="17" t="str">
        <x:v>ca:dli:O19395535729:program:thesis-or-research-master-s:software-engineering-masc</x:v>
      </x:c>
      <x:c r="E199" s="17" t="str"/>
      <x:c r="F199" s="17" t="str">
        <x:v>program|admissions|eligibility</x:v>
      </x:c>
      <x:c r="G199" s="17" t="str">
        <x:v>Exact research Software Engineering MASc, four-year degree route, B+ threshold, and research areas.</x:v>
      </x:c>
      <x:c r="H199" s="17" t="str">
        <x:v>Software Engineering MASc</x:v>
      </x:c>
      <x:c r="I199" s="17" t="str">
        <x:v>McMaster University Faculty of Engineering</x:v>
      </x:c>
      <x:c r="J199" s="17" t="str">
        <x:v>official</x:v>
      </x:c>
      <x:c r="K199" s="17" t="str">
        <x:v>2026-09-11</x:v>
      </x:c>
      <x:c r="L199" s="17" t="str">
        <x:v>Current page checked 2026-09-11</x:v>
      </x:c>
      <x:c r="M199" s="17" t="str">
        <x:v>high</x:v>
      </x:c>
      <x:c r="N199" s="17" t="str">
        <x:v>official page checked</x:v>
      </x:c>
      <x:c r="O199" s="17" t="str"/>
      <x:c r="P199" s="18" t="e">
        <x:f>HYPERLINK("https://www.eng.mcmaster.ca/cas/degree-options/software-engineering-masc/","Open source")</x:f>
        <x:v>HYPERLINK is not implemented. linkLocation=https://www.eng.mcmaster.ca/cas/degree-options/software-engineering-masc/, friendlyName=Open source</x:v>
      </x:c>
    </x:row>
    <x:row r="200" ht="46" customHeight="1">
      <x:c r="A200" s="17" t="str">
        <x:v>stage3src:d2cd46fc25cf84160527</x:v>
      </x:c>
      <x:c r="B200" s="17" t="str">
        <x:v>program</x:v>
      </x:c>
      <x:c r="C200" s="17" t="str">
        <x:v>McMaster University</x:v>
      </x:c>
      <x:c r="D200" s="17" t="str">
        <x:v>ca:dli:O19395535729:program:thesis-or-research-master-s:software-engineering-masc</x:v>
      </x:c>
      <x:c r="E200" s="17" t="str"/>
      <x:c r="F200" s="17" t="str">
        <x:v>admissions|fees</x:v>
      </x:c>
      <x:c r="G200" s="17" t="str">
        <x:v>Current CAD 150 graduate application fee.</x:v>
      </x:c>
      <x:c r="H200" s="17" t="str">
        <x:v>Application Instructions</x:v>
      </x:c>
      <x:c r="I200" s="17" t="str">
        <x:v>McMaster University School of Graduate Studies</x:v>
      </x:c>
      <x:c r="J200" s="17" t="str">
        <x:v>official</x:v>
      </x:c>
      <x:c r="K200" s="17" t="str">
        <x:v>2026-09-11</x:v>
      </x:c>
      <x:c r="L200" s="17" t="str">
        <x:v>Current page checked 2026-09-11</x:v>
      </x:c>
      <x:c r="M200" s="17" t="str">
        <x:v>high</x:v>
      </x:c>
      <x:c r="N200" s="17" t="str">
        <x:v>official page checked</x:v>
      </x:c>
      <x:c r="O200" s="17" t="str"/>
      <x:c r="P200" s="18" t="e">
        <x:f>HYPERLINK("https://gs.mcmaster.ca/how-to-apply/application-instructions/","Open source")</x:f>
        <x:v>HYPERLINK is not implemented. linkLocation=https://gs.mcmaster.ca/how-to-apply/application-instructions/, friendlyName=Open source</x:v>
      </x:c>
    </x:row>
    <x:row r="201" ht="46" customHeight="1">
      <x:c r="A201" s="17" t="str">
        <x:v>stage3src:52ea247b391e2a76547d</x:v>
      </x:c>
      <x:c r="B201" s="17" t="str">
        <x:v>program</x:v>
      </x:c>
      <x:c r="C201" s="17" t="str">
        <x:v>Toronto Metropolitan University</x:v>
      </x:c>
      <x:c r="D201" s="17" t="str">
        <x:v>ca:dli:O19395677651:program:phd:phd-in-computer-science</x:v>
      </x:c>
      <x:c r="E201" s="17" t="str"/>
      <x:c r="F201" s="17" t="str">
        <x:v>program|research|admissions|eligibility|funding</x:v>
      </x:c>
      <x:c r="G201" s="17" t="str">
        <x:v>Current Computer Science PhD, research-based master's entry, research areas, and funding mechanisms with domestic-only explicit base-funding language.</x:v>
      </x:c>
      <x:c r="H201" s="17" t="str">
        <x:v>Computer Science MSc and PhD</x:v>
      </x:c>
      <x:c r="I201" s="17" t="str">
        <x:v>Toronto Metropolitan University</x:v>
      </x:c>
      <x:c r="J201" s="17" t="str">
        <x:v>official</x:v>
      </x:c>
      <x:c r="K201" s="17" t="str">
        <x:v>2026-09-10</x:v>
      </x:c>
      <x:c r="L201" s="17" t="str">
        <x:v>Current page checked 2026-09-10</x:v>
      </x:c>
      <x:c r="M201" s="17" t="str">
        <x:v>high</x:v>
      </x:c>
      <x:c r="N201" s="17" t="str">
        <x:v>official page checked</x:v>
      </x:c>
      <x:c r="O201" s="17" t="str"/>
      <x:c r="P201" s="18" t="e">
        <x:f>HYPERLINK("https://www.torontomu.ca/graduate/programs/computer-science/","Open source")</x:f>
        <x:v>HYPERLINK is not implemented. linkLocation=https://www.torontomu.ca/graduate/programs/computer-science/, friendlyName=Open source</x:v>
      </x:c>
    </x:row>
    <x:row r="202" ht="46" customHeight="1">
      <x:c r="A202" s="17" t="str">
        <x:v>stage3src:80834cdf4e81a5d325e3</x:v>
      </x:c>
      <x:c r="B202" s="17" t="str">
        <x:v>program</x:v>
      </x:c>
      <x:c r="C202" s="17" t="str">
        <x:v>Toronto Metropolitan University</x:v>
      </x:c>
      <x:c r="D202" s="17" t="str">
        <x:v>ca:dli:O19395677651:program:phd:phd-in-computer-science</x:v>
      </x:c>
      <x:c r="E202" s="17" t="str"/>
      <x:c r="F202" s="17" t="str">
        <x:v>funding|tuition|fees</x:v>
      </x:c>
      <x:c r="G202" s="17" t="str">
        <x:v>Research-program funding can combine fellowships, scholarships, stipends, and assistantships, while the explicit typical base-package statement is domestic.</x:v>
      </x:c>
      <x:c r="H202" s="17" t="str">
        <x:v>Faculty of Science Graduate Student Funding</x:v>
      </x:c>
      <x:c r="I202" s="17" t="str">
        <x:v>Toronto Metropolitan University</x:v>
      </x:c>
      <x:c r="J202" s="17" t="str">
        <x:v>official</x:v>
      </x:c>
      <x:c r="K202" s="17" t="str">
        <x:v>2026-09-10</x:v>
      </x:c>
      <x:c r="L202" s="17" t="str">
        <x:v>Current guidance checked 2026-09-10</x:v>
      </x:c>
      <x:c r="M202" s="17" t="str">
        <x:v>high</x:v>
      </x:c>
      <x:c r="N202" s="17" t="str">
        <x:v>official page checked</x:v>
      </x:c>
      <x:c r="O202" s="17" t="str"/>
      <x:c r="P202" s="18" t="e">
        <x:f>HYPERLINK("https://www.torontomu.ca/science/graduate-studies/graduate-student-funding/","Open source")</x:f>
        <x:v>HYPERLINK is not implemented. linkLocation=https://www.torontomu.ca/science/graduate-studies/graduate-student-funding/, friendlyName=Open source</x:v>
      </x:c>
    </x:row>
    <x:row r="203" ht="46" customHeight="1">
      <x:c r="A203" s="17" t="str">
        <x:v>stage3src:9c92dbaf2e515d14098b</x:v>
      </x:c>
      <x:c r="B203" s="17" t="str">
        <x:v>program</x:v>
      </x:c>
      <x:c r="C203" s="17" t="str">
        <x:v>Toronto Metropolitan University</x:v>
      </x:c>
      <x:c r="D203" s="17" t="str">
        <x:v>ca:dli:O19395677651:program:phd:phd-in-computer-science</x:v>
      </x:c>
      <x:c r="E203" s="17" t="str"/>
      <x:c r="F203" s="17" t="str">
        <x:v>admissions|eligibility|language|funding</x:v>
      </x:c>
      <x:c r="G203" s="17" t="str">
        <x:v>Research-master's and B+ PhD requirements, references, supervisor names, proposed research, and funding disclosure in the statement.</x:v>
      </x:c>
      <x:c r="H203" s="17" t="str">
        <x:v>Computer Science Graduate Admission Requirements</x:v>
      </x:c>
      <x:c r="I203" s="17" t="str">
        <x:v>Toronto Metropolitan University</x:v>
      </x:c>
      <x:c r="J203" s="17" t="str">
        <x:v>official</x:v>
      </x:c>
      <x:c r="K203" s="17" t="str">
        <x:v>2026-09-10</x:v>
      </x:c>
      <x:c r="L203" s="17" t="str">
        <x:v>Current requirements checked 2026-09-10</x:v>
      </x:c>
      <x:c r="M203" s="17" t="str">
        <x:v>high</x:v>
      </x:c>
      <x:c r="N203" s="17" t="str">
        <x:v>official page checked</x:v>
      </x:c>
      <x:c r="O203" s="17" t="str"/>
      <x:c r="P203" s="18" t="e">
        <x:f>HYPERLINK("https://www.torontomu.ca/cs/graduate/admissions-applying/","Open source")</x:f>
        <x:v>HYPERLINK is not implemented. linkLocation=https://www.torontomu.ca/cs/graduate/admissions-applying/, friendlyName=Open source</x:v>
      </x:c>
    </x:row>
    <x:row r="204" ht="46" customHeight="1">
      <x:c r="A204" s="17" t="str">
        <x:v>stage3src:5e97f34f513f4f13e4ae</x:v>
      </x:c>
      <x:c r="B204" s="17" t="str">
        <x:v>program</x:v>
      </x:c>
      <x:c r="C204" s="17" t="str">
        <x:v>Toronto Metropolitan University</x:v>
      </x:c>
      <x:c r="D204" s="17" t="str">
        <x:v>ca:dli:O19395677651:program:thesis-or-research-master-s:msc-in-computer-science</x:v>
      </x:c>
      <x:c r="E204" s="17" t="str"/>
      <x:c r="F204" s="17" t="str">
        <x:v>program</x:v>
      </x:c>
      <x:c r="G204" s="17" t="str">
        <x:v>The official page identifies MSc in Computer Science and contains research/thesis evidence.</x:v>
      </x:c>
      <x:c r="H204" s="17" t="str">
        <x:v>Computer Science (MSc, PhD) - Graduate - Toronto Metropolitan University (TMU)</x:v>
      </x:c>
      <x:c r="I204" s="17" t="str">
        <x:v>Toronto Metropolitan University</x:v>
      </x:c>
      <x:c r="J204" s="17" t="str">
        <x:v>official</x:v>
      </x:c>
      <x:c r="K204" s="17" t="str">
        <x:v>2026-09-09</x:v>
      </x:c>
      <x:c r="L204" s="17" t="str">
        <x:v>Current page; Fall 2027 dates not assumed</x:v>
      </x:c>
      <x:c r="M204" s="17" t="str">
        <x:v>High for program existence and research structure</x:v>
      </x:c>
      <x:c r="N204" s="17" t="str">
        <x:v>opened</x:v>
      </x:c>
      <x:c r="O204" s="17" t="str">
        <x:v>HTTP 200; page SHA-256 in evidence file</x:v>
      </x:c>
      <x:c r="P204" s="18" t="e">
        <x:f>HYPERLINK("https://www.torontomu.ca/graduate/programs/computer-science/","Open source")</x:f>
        <x:v>HYPERLINK is not implemented. linkLocation=https://www.torontomu.ca/graduate/programs/computer-science/, friendlyName=Open source</x:v>
      </x:c>
    </x:row>
    <x:row r="205" ht="46" customHeight="1">
      <x:c r="A205" s="17" t="str">
        <x:v>stage3src:926113da10f770506d45</x:v>
      </x:c>
      <x:c r="B205" s="17" t="str">
        <x:v>program</x:v>
      </x:c>
      <x:c r="C205" s="17" t="str">
        <x:v>Lakehead University</x:v>
      </x:c>
      <x:c r="D205" s="17" t="str">
        <x:v>ca:dli:O19396019447:program:thesis-or-research-master-s:master-of-science-in-computer-science-thesis-route</x:v>
      </x:c>
      <x:c r="E205" s="17" t="str"/>
      <x:c r="F205" s="17" t="str">
        <x:v>program|research|eligibility|admissions</x:v>
      </x:c>
      <x:c r="G205" s="17" t="str">
        <x:v>Current thesis route, AI option, degree and standing requirements, documents, references, and supervisor-contact guidance.</x:v>
      </x:c>
      <x:c r="H205" s="17" t="str">
        <x:v>Master of Science in Computer Science</x:v>
      </x:c>
      <x:c r="I205" s="17" t="str">
        <x:v>Lakehead University</x:v>
      </x:c>
      <x:c r="J205" s="17" t="str">
        <x:v>official</x:v>
      </x:c>
      <x:c r="K205" s="17" t="str">
        <x:v>2026-09-10</x:v>
      </x:c>
      <x:c r="L205" s="17" t="str">
        <x:v>Current page checked 2026-09-11</x:v>
      </x:c>
      <x:c r="M205" s="17" t="str">
        <x:v>high</x:v>
      </x:c>
      <x:c r="N205" s="17" t="str">
        <x:v>official page checked</x:v>
      </x:c>
      <x:c r="O205" s="17" t="str"/>
      <x:c r="P205" s="18" t="e">
        <x:f>HYPERLINK("https://www.lakeheadu.ca/programs/graduate/programs/masters/computer-science","Open source")</x:f>
        <x:v>HYPERLINK is not implemented. linkLocation=https://www.lakeheadu.ca/programs/graduate/programs/masters/computer-science, friendlyName=Open source</x:v>
      </x:c>
    </x:row>
    <x:row r="206" ht="46" customHeight="1">
      <x:c r="A206" s="17" t="str">
        <x:v>stage3src:cba7e6d5ef2cf011e256</x:v>
      </x:c>
      <x:c r="B206" s="17" t="str">
        <x:v>program</x:v>
      </x:c>
      <x:c r="C206" s="17" t="str">
        <x:v>Lakehead University</x:v>
      </x:c>
      <x:c r="D206" s="17" t="str">
        <x:v>ca:dli:O19396019447:program:thesis-or-research-master-s:master-of-science-in-computer-science-thesis-route</x:v>
      </x:c>
      <x:c r="E206" s="17" t="str"/>
      <x:c r="F206" s="17" t="str">
        <x:v>funding|tuition|fees</x:v>
      </x:c>
      <x:c r="G206" s="17" t="str">
        <x:v>University graduate-funding search mechanism without a route-specific guaranteed package.</x:v>
      </x:c>
      <x:c r="H206" s="17" t="str">
        <x:v>Graduate funding</x:v>
      </x:c>
      <x:c r="I206" s="17" t="str">
        <x:v>Lakehead University</x:v>
      </x:c>
      <x:c r="J206" s="17" t="str">
        <x:v>official</x:v>
      </x:c>
      <x:c r="K206" s="17" t="str">
        <x:v>2026-09-10</x:v>
      </x:c>
      <x:c r="L206" s="17" t="str">
        <x:v>Current page checked 2026-09-11</x:v>
      </x:c>
      <x:c r="M206" s="17" t="str">
        <x:v>high</x:v>
      </x:c>
      <x:c r="N206" s="17" t="str">
        <x:v>official page checked</x:v>
      </x:c>
      <x:c r="O206" s="17" t="str"/>
      <x:c r="P206" s="18" t="e">
        <x:f>HYPERLINK("https://www.lakeheadu.ca/programs/graduate/funding","Open source")</x:f>
        <x:v>HYPERLINK is not implemented. linkLocation=https://www.lakeheadu.ca/programs/graduate/funding, friendlyName=Open source</x:v>
      </x:c>
    </x:row>
    <x:row r="207" ht="46" customHeight="1">
      <x:c r="A207" s="17" t="str">
        <x:v>stage3src:f49055fe2a0805b76141</x:v>
      </x:c>
      <x:c r="B207" s="17" t="str">
        <x:v>program</x:v>
      </x:c>
      <x:c r="C207" s="17" t="str">
        <x:v>Lakehead University</x:v>
      </x:c>
      <x:c r="D207" s="17" t="str">
        <x:v>ca:dli:O19396019447:program:thesis-or-research-master-s:master-of-science-in-computer-science-thesis-route</x:v>
      </x:c>
      <x:c r="E207" s="17" t="str"/>
      <x:c r="F207" s="17" t="str">
        <x:v>admissions|eligibility|language|deadline|fees</x:v>
      </x:c>
      <x:c r="G207" s="17" t="str">
        <x:v>International four-year-degree equivalency, standing, English, and application framework.</x:v>
      </x:c>
      <x:c r="H207" s="17" t="str">
        <x:v>International graduate application</x:v>
      </x:c>
      <x:c r="I207" s="17" t="str">
        <x:v>Lakehead University</x:v>
      </x:c>
      <x:c r="J207" s="17" t="str">
        <x:v>official</x:v>
      </x:c>
      <x:c r="K207" s="17" t="str">
        <x:v>2026-09-10</x:v>
      </x:c>
      <x:c r="L207" s="17" t="str">
        <x:v>Current page checked 2026-09-11</x:v>
      </x:c>
      <x:c r="M207" s="17" t="str">
        <x:v>high</x:v>
      </x:c>
      <x:c r="N207" s="17" t="str">
        <x:v>official page checked</x:v>
      </x:c>
      <x:c r="O207" s="17" t="str"/>
      <x:c r="P207" s="18" t="e">
        <x:f>HYPERLINK("https://www.lakeheadu.ca/international/applying/enrolling","Open source")</x:f>
        <x:v>HYPERLINK is not implemented. linkLocation=https://www.lakeheadu.ca/international/applying/enrolling, friendlyName=Open source</x:v>
      </x:c>
    </x:row>
    <x:row r="208" ht="46" customHeight="1">
      <x:c r="A208" s="17" t="str">
        <x:v>stage3src:09a366129605451b9e8b</x:v>
      </x:c>
      <x:c r="B208" s="17" t="str">
        <x:v>program</x:v>
      </x:c>
      <x:c r="C208" s="17" t="str">
        <x:v>Lakehead University</x:v>
      </x:c>
      <x:c r="D208" s="17" t="str">
        <x:v>ca:dli:O19396019447:program:thesis-or-research-master-s:msc-in-computer-science-thesis</x:v>
      </x:c>
      <x:c r="E208" s="17" t="str"/>
      <x:c r="F208" s="17" t="str">
        <x:v>program</x:v>
      </x:c>
      <x:c r="G208" s="17" t="str">
        <x:v>The official page identifies MSc in Computer Science (thesis) and contains research/thesis evidence.</x:v>
      </x:c>
      <x:c r="H208" s="17" t="str">
        <x:v>Computer Science | Lakehead University</x:v>
      </x:c>
      <x:c r="I208" s="17" t="str">
        <x:v>Lakehead University</x:v>
      </x:c>
      <x:c r="J208" s="17" t="str">
        <x:v>official</x:v>
      </x:c>
      <x:c r="K208" s="17" t="str">
        <x:v>2026-09-09</x:v>
      </x:c>
      <x:c r="L208" s="17" t="str">
        <x:v>Current page; Fall 2027 dates not assumed</x:v>
      </x:c>
      <x:c r="M208" s="17" t="str">
        <x:v>High for program existence and research structure</x:v>
      </x:c>
      <x:c r="N208" s="17" t="str">
        <x:v>opened</x:v>
      </x:c>
      <x:c r="O208" s="17" t="str">
        <x:v>HTTP 200; page SHA-256 in evidence file</x:v>
      </x:c>
      <x:c r="P208" s="18" t="e">
        <x:f>HYPERLINK("https://www.lakeheadu.ca/programs/graduate/programs/masters/computer-science","Open source")</x:f>
        <x:v>HYPERLINK is not implemented. linkLocation=https://www.lakeheadu.ca/programs/graduate/programs/masters/computer-science, friendlyName=Open source</x:v>
      </x:c>
    </x:row>
    <x:row r="209" ht="46" customHeight="1">
      <x:c r="A209" s="17" t="str">
        <x:v>stage3src:251806d656f86652f397</x:v>
      </x:c>
      <x:c r="B209" s="17" t="str">
        <x:v>program</x:v>
      </x:c>
      <x:c r="C209" s="17" t="str">
        <x:v>University of Ottawa</x:v>
      </x:c>
      <x:c r="D209" s="17" t="str">
        <x:v>ca:dli:O19397188593:program:thesis-or-research-master-s:master-of-applied-science-in-electrical-and-computer-engineering</x:v>
      </x:c>
      <x:c r="E209" s="17" t="str"/>
      <x:c r="F209" s="17" t="str">
        <x:v>funding|tuition|fees</x:v>
      </x:c>
      <x:c r="G209" s="17" t="str">
        <x:v>International master's funding menu includes special merit awards, TA/RA work, and limited international OGS; no ECE MASc minimum is promised and UHIP remains compulsory.</x:v>
      </x:c>
      <x:c r="H209" s="17" t="str">
        <x:v>Awards and Financial Support</x:v>
      </x:c>
      <x:c r="I209" s="17" t="str">
        <x:v>University of Ottawa Graduate Studies</x:v>
      </x:c>
      <x:c r="J209" s="17" t="str">
        <x:v>official</x:v>
      </x:c>
      <x:c r="K209" s="17" t="str">
        <x:v>2026-09-10</x:v>
      </x:c>
      <x:c r="L209" s="17" t="str">
        <x:v>Current funding guidance checked 2026-09-10</x:v>
      </x:c>
      <x:c r="M209" s="17" t="str">
        <x:v>high</x:v>
      </x:c>
      <x:c r="N209" s="17" t="str">
        <x:v>official page checked</x:v>
      </x:c>
      <x:c r="O209" s="17" t="str"/>
      <x:c r="P209" s="18" t="e">
        <x:f>HYPERLINK("https://www.uottawa.ca/study/graduate-studies/awards-financial-support","Open source")</x:f>
        <x:v>HYPERLINK is not implemented. linkLocation=https://www.uottawa.ca/study/graduate-studies/awards-financial-support, friendlyName=Open source</x:v>
      </x:c>
    </x:row>
    <x:row r="210" ht="46" customHeight="1">
      <x:c r="A210" s="17" t="str">
        <x:v>stage3src:83f3ca3cd29ffea9a525</x:v>
      </x:c>
      <x:c r="B210" s="17" t="str">
        <x:v>program</x:v>
      </x:c>
      <x:c r="C210" s="17" t="str">
        <x:v>University of Ottawa</x:v>
      </x:c>
      <x:c r="D210" s="17" t="str">
        <x:v>ca:dli:O19397188593:program:thesis-or-research-master-s:master-of-applied-science-in-electrical-and-computer-engineering</x:v>
      </x:c>
      <x:c r="E210" s="17" t="str"/>
      <x:c r="F210" s="17" t="str">
        <x:v>admissions|eligibility|language|fees</x:v>
      </x:c>
      <x:c r="G210" s="17" t="str">
        <x:v>General master's 70% rule, language-test exemption pathway, thesis-supervisor requirement, and application process; most-program CAD 110 fee remains program-confirmation dependent.</x:v>
      </x:c>
      <x:c r="H210" s="17" t="str">
        <x:v>How to Apply for Graduate Studies</x:v>
      </x:c>
      <x:c r="I210" s="17" t="str">
        <x:v>University of Ottawa</x:v>
      </x:c>
      <x:c r="J210" s="17" t="str">
        <x:v>official</x:v>
      </x:c>
      <x:c r="K210" s="17" t="str">
        <x:v>2026-09-10</x:v>
      </x:c>
      <x:c r="L210" s="17" t="str">
        <x:v>Current guidance checked 2026-09-10</x:v>
      </x:c>
      <x:c r="M210" s="17" t="str">
        <x:v>medium</x:v>
      </x:c>
      <x:c r="N210" s="17" t="str">
        <x:v>official page checked</x:v>
      </x:c>
      <x:c r="O210" s="17" t="str"/>
      <x:c r="P210" s="18" t="e">
        <x:f>HYPERLINK("https://www.uottawa.ca/study/graduate-studies/how-to-apply","Open source")</x:f>
        <x:v>HYPERLINK is not implemented. linkLocation=https://www.uottawa.ca/study/graduate-studies/how-to-apply, friendlyName=Open source</x:v>
      </x:c>
    </x:row>
    <x:row r="211" ht="46" customHeight="1">
      <x:c r="A211" s="17" t="str">
        <x:v>stage3src:88057e991d539f9eaf37</x:v>
      </x:c>
      <x:c r="B211" s="17" t="str">
        <x:v>program</x:v>
      </x:c>
      <x:c r="C211" s="17" t="str">
        <x:v>University of Ottawa</x:v>
      </x:c>
      <x:c r="D211" s="17" t="str">
        <x:v>ca:dli:O19397188593:program:thesis-or-research-master-s:master-of-applied-science-in-electrical-and-computer-engineering</x:v>
      </x:c>
      <x:c r="E211" s="17" t="str"/>
      <x:c r="F211" s="17" t="str">
        <x:v>program|admissions|eligibility|language|tuition</x:v>
      </x:c>
      <x:c r="G211" s="17" t="str">
        <x:v>Current MASc, two-year thesis structure, 70% floor, ECE-or-equivalent degree, international equivalency review, and mandatory supervisor at application.</x:v>
      </x:c>
      <x:c r="H211" s="17" t="str">
        <x:v>Master of Applied Science Electrical and Computer Engineering</x:v>
      </x:c>
      <x:c r="I211" s="17" t="str">
        <x:v>University of Ottawa Graduate Catalogue</x:v>
      </x:c>
      <x:c r="J211" s="17" t="str">
        <x:v>official</x:v>
      </x:c>
      <x:c r="K211" s="17" t="str">
        <x:v>2026-09-10</x:v>
      </x:c>
      <x:c r="L211" s="17" t="str">
        <x:v>2026-2027 catalogue checked 2026-09-10</x:v>
      </x:c>
      <x:c r="M211" s="17" t="str">
        <x:v>high</x:v>
      </x:c>
      <x:c r="N211" s="17" t="str">
        <x:v>official page checked</x:v>
      </x:c>
      <x:c r="O211" s="17" t="str"/>
      <x:c r="P211" s="18" t="e">
        <x:f>HYPERLINK("https://catalogue.uottawa.ca/en/graduate/master-applied-science-electrical-computer-engineering/","Open source")</x:f>
        <x:v>HYPERLINK is not implemented. linkLocation=https://catalogue.uottawa.ca/en/graduate/master-applied-science-electrical-computer-engineering/, friendlyName=Open source</x:v>
      </x:c>
    </x:row>
    <x:row r="212" ht="46" customHeight="1">
      <x:c r="A212" s="17" t="str">
        <x:v>stage3src:58d6353e08433cadc39e</x:v>
      </x:c>
      <x:c r="B212" s="17" t="str">
        <x:v>program</x:v>
      </x:c>
      <x:c r="C212" s="17" t="str">
        <x:v>University of Ottawa</x:v>
      </x:c>
      <x:c r="D212" s="17" t="str">
        <x:v>ca:dli:O19397188593:program:thesis-or-research-master-s:msc-in-computer-science</x:v>
      </x:c>
      <x:c r="E212" s="17" t="str"/>
      <x:c r="F212" s="17" t="str">
        <x:v>program</x:v>
      </x:c>
      <x:c r="G212" s="17" t="str">
        <x:v>The official page identifies MSc in Computer Science and contains research/thesis evidence.</x:v>
      </x:c>
      <x:c r="H212" s="17" t="str">
        <x:v>Computer Science – Graduate studies | Faculty of Engineering</x:v>
      </x:c>
      <x:c r="I212" s="17" t="str">
        <x:v>University of Ottawa</x:v>
      </x:c>
      <x:c r="J212" s="17" t="str">
        <x:v>official</x:v>
      </x:c>
      <x:c r="K212" s="17" t="str">
        <x:v>2026-09-09</x:v>
      </x:c>
      <x:c r="L212" s="17" t="str">
        <x:v>Current page; Fall 2027 dates not assumed</x:v>
      </x:c>
      <x:c r="M212" s="17" t="str">
        <x:v>High for program existence and research structure</x:v>
      </x:c>
      <x:c r="N212" s="17" t="str">
        <x:v>opened</x:v>
      </x:c>
      <x:c r="O212" s="17" t="str">
        <x:v>HTTP 200; page SHA-256 in evidence file</x:v>
      </x:c>
      <x:c r="P212" s="18" t="e">
        <x:f>HYPERLINK("https://www.uottawa.ca/faculty-engineering/graduate-studies/programs/computer-science","Open source")</x:f>
        <x:v>HYPERLINK is not implemented. linkLocation=https://www.uottawa.ca/faculty-engineering/graduate-studies/programs/computer-science, friendlyName=Open source</x:v>
      </x:c>
    </x:row>
    <x:row r="213" ht="46" customHeight="1">
      <x:c r="A213" s="17" t="str">
        <x:v>stage3src:3a0093b8c3b3180fc4ef</x:v>
      </x:c>
      <x:c r="B213" s="17" t="str">
        <x:v>program</x:v>
      </x:c>
      <x:c r="C213" s="17" t="str">
        <x:v>University of Regina</x:v>
      </x:c>
      <x:c r="D213" s="17" t="str">
        <x:v>ca:dli:O19425660270:program:thesis-or-research-master-s:computer-science-msc-thesis-based</x:v>
      </x:c>
      <x:c r="E213" s="17" t="str"/>
      <x:c r="F213" s="17" t="str">
        <x:v>admissions|fees</x:v>
      </x:c>
      <x:c r="G213" s="17" t="str">
        <x:v>CAD 125 fee for all applicants and separate application/fee for each program.</x:v>
      </x:c>
      <x:c r="H213" s="17" t="str">
        <x:v>Graduate Studies Application Guide</x:v>
      </x:c>
      <x:c r="I213" s="17" t="str">
        <x:v>University of Regina Faculty of Graduate Studies and Research</x:v>
      </x:c>
      <x:c r="J213" s="17" t="str">
        <x:v>official</x:v>
      </x:c>
      <x:c r="K213" s="17" t="str">
        <x:v>2026-09-10</x:v>
      </x:c>
      <x:c r="L213" s="17" t="str">
        <x:v>Current page checked 2026-09-10</x:v>
      </x:c>
      <x:c r="M213" s="17" t="str">
        <x:v>high</x:v>
      </x:c>
      <x:c r="N213" s="17" t="str">
        <x:v>official page checked</x:v>
      </x:c>
      <x:c r="O213" s="17" t="str"/>
      <x:c r="P213" s="18" t="e">
        <x:f>HYPERLINK("https://www.uregina.ca/graduate-studies-research/future-students/how-to-apply.html","Open source")</x:f>
        <x:v>HYPERLINK is not implemented. linkLocation=https://www.uregina.ca/graduate-studies-research/future-students/how-to-apply.html, friendlyName=Open source</x:v>
      </x:c>
    </x:row>
    <x:row r="214" ht="46" customHeight="1">
      <x:c r="A214" s="17" t="str">
        <x:v>stage3src:90da65cdf60f02b26bad</x:v>
      </x:c>
      <x:c r="B214" s="17" t="str">
        <x:v>program</x:v>
      </x:c>
      <x:c r="C214" s="17" t="str">
        <x:v>University of Regina</x:v>
      </x:c>
      <x:c r="D214" s="17" t="str">
        <x:v>ca:dli:O19425660270:program:thesis-or-research-master-s:computer-science-msc-thesis-based</x:v>
      </x:c>
      <x:c r="E214" s="17" t="str"/>
      <x:c r="F214" s="17" t="str">
        <x:v>funding|tuition|fees</x:v>
      </x:c>
      <x:c r="G214" s="17" t="str">
        <x:v>Internal award levels and durations, TA conditions, nationality limits on NSERC, and explicit non-guarantee/non-continuation of supervisor research support.</x:v>
      </x:c>
      <x:c r="H214" s="17" t="str">
        <x:v>Financial Support and Tuition</x:v>
      </x:c>
      <x:c r="I214" s="17" t="str">
        <x:v>University of Regina Department of Computer Science</x:v>
      </x:c>
      <x:c r="J214" s="17" t="str">
        <x:v>official</x:v>
      </x:c>
      <x:c r="K214" s="17" t="str">
        <x:v>2026-09-10</x:v>
      </x:c>
      <x:c r="L214" s="17" t="str">
        <x:v>Current page checked 2026-09-10</x:v>
      </x:c>
      <x:c r="M214" s="17" t="str">
        <x:v>high</x:v>
      </x:c>
      <x:c r="N214" s="17" t="str">
        <x:v>official page checked</x:v>
      </x:c>
      <x:c r="O214" s="17" t="str"/>
      <x:c r="P214" s="18" t="e">
        <x:f>HYPERLINK("https://www.uregina.ca/science/computer-science/graduate-programs/financial-support-and-tuition.html","Open source")</x:f>
        <x:v>HYPERLINK is not implemented. linkLocation=https://www.uregina.ca/science/computer-science/graduate-programs/financial-support-and-tuition.html, friendlyName=Open source</x:v>
      </x:c>
    </x:row>
    <x:row r="215" ht="46" customHeight="1">
      <x:c r="A215" s="17" t="str">
        <x:v>stage3src:c3d36b0185d61f4d771b</x:v>
      </x:c>
      <x:c r="B215" s="17" t="str">
        <x:v>program</x:v>
      </x:c>
      <x:c r="C215" s="17" t="str">
        <x:v>University of Regina</x:v>
      </x:c>
      <x:c r="D215" s="17" t="str">
        <x:v>ca:dli:O19425660270:program:thesis-or-research-master-s:computer-science-msc-thesis-based</x:v>
      </x:c>
      <x:c r="E215" s="17" t="str"/>
      <x:c r="F215" s="17" t="str">
        <x:v>admissions|eligibility|deadline</x:v>
      </x:c>
      <x:c r="G215" s="17" t="str">
        <x:v>Four-year CS degree, 70/75 percent averages, ten-course equivalency, required willing supervisor, and February 15 Fall deadline.</x:v>
      </x:c>
      <x:c r="H215" s="17" t="str">
        <x:v>Application Process</x:v>
      </x:c>
      <x:c r="I215" s="17" t="str">
        <x:v>University of Regina Department of Computer Science</x:v>
      </x:c>
      <x:c r="J215" s="17" t="str">
        <x:v>official</x:v>
      </x:c>
      <x:c r="K215" s="17" t="str">
        <x:v>2026-09-10</x:v>
      </x:c>
      <x:c r="L215" s="17" t="str">
        <x:v>Current page checked 2026-09-10</x:v>
      </x:c>
      <x:c r="M215" s="17" t="str">
        <x:v>high</x:v>
      </x:c>
      <x:c r="N215" s="17" t="str">
        <x:v>official page checked</x:v>
      </x:c>
      <x:c r="O215" s="17" t="str"/>
      <x:c r="P215" s="18" t="e">
        <x:f>HYPERLINK("https://www.uregina.ca/science/computer-science/graduate-programs/application-process.html","Open source")</x:f>
        <x:v>HYPERLINK is not implemented. linkLocation=https://www.uregina.ca/science/computer-science/graduate-programs/application-process.html, friendlyName=Open source</x:v>
      </x:c>
    </x:row>
    <x:row r="216" ht="46" customHeight="1">
      <x:c r="A216" s="17" t="str">
        <x:v>stage3src:c9d15121cccb0e1e35d9</x:v>
      </x:c>
      <x:c r="B216" s="17" t="str">
        <x:v>program</x:v>
      </x:c>
      <x:c r="C216" s="17" t="str">
        <x:v>University of Regina</x:v>
      </x:c>
      <x:c r="D216" s="17" t="str">
        <x:v>ca:dli:O19425660270:program:thesis-or-research-master-s:computer-science-msc-thesis-based</x:v>
      </x:c>
      <x:c r="E216" s="17" t="str"/>
      <x:c r="F216" s="17" t="str">
        <x:v>program</x:v>
      </x:c>
      <x:c r="G216" s="17" t="str">
        <x:v>Current thirty-credit thesis route, coursework, research, seminar, and defense requirements.</x:v>
      </x:c>
      <x:c r="H216" s="17" t="str">
        <x:v>MSc in Computer Science (Thesis)</x:v>
      </x:c>
      <x:c r="I216" s="17" t="str">
        <x:v>University of Regina Department of Computer Science</x:v>
      </x:c>
      <x:c r="J216" s="17" t="str">
        <x:v>official</x:v>
      </x:c>
      <x:c r="K216" s="17" t="str">
        <x:v>2026-09-10</x:v>
      </x:c>
      <x:c r="L216" s="17" t="str">
        <x:v>Current page checked 2026-09-10</x:v>
      </x:c>
      <x:c r="M216" s="17" t="str">
        <x:v>high</x:v>
      </x:c>
      <x:c r="N216" s="17" t="str">
        <x:v>official page checked</x:v>
      </x:c>
      <x:c r="O216" s="17" t="str"/>
      <x:c r="P216" s="18" t="e">
        <x:f>HYPERLINK("https://www.uregina.ca/science/computer-science/graduate-programs/msc-cs-thesis.html","Open source")</x:f>
        <x:v>HYPERLINK is not implemented. linkLocation=https://www.uregina.ca/science/computer-science/graduate-programs/msc-cs-thesis.html, friendlyName=Open source</x:v>
      </x:c>
    </x:row>
    <x:row r="217" ht="46" customHeight="1">
      <x:c r="A217" s="17" t="str">
        <x:v>stage3src:3ceab1d962e42bfa063b</x:v>
      </x:c>
      <x:c r="B217" s="17" t="str">
        <x:v>program</x:v>
      </x:c>
      <x:c r="C217" s="17" t="str">
        <x:v>University of Regina</x:v>
      </x:c>
      <x:c r="D217" s="17" t="str">
        <x:v>ca:dli:O19425660270:program:thesis-or-research-master-s:master-of-applied-science-in-software-systems-engineering</x:v>
      </x:c>
      <x:c r="E217" s="17" t="str"/>
      <x:c r="F217" s="17" t="str">
        <x:v>funding|deadline</x:v>
      </x:c>
      <x:c r="G217" s="17" t="str">
        <x:v>Entrance awards, Graduate Scholarship Base Fund, teaching assistantships, and fellowships are competitive; admission does not imply funding, and GAP competitions have September, February, and May windows.</x:v>
      </x:c>
      <x:c r="H217" s="17" t="str">
        <x:v>Financial Support and Graduate Scholarships</x:v>
      </x:c>
      <x:c r="I217" s="17" t="str">
        <x:v>University of Regina Faculty of Graduate Studies and Research</x:v>
      </x:c>
      <x:c r="J217" s="17" t="str">
        <x:v>official</x:v>
      </x:c>
      <x:c r="K217" s="17" t="str">
        <x:v>2026-09-11</x:v>
      </x:c>
      <x:c r="L217" s="17" t="str">
        <x:v>Current calendar guidance checked 2026-09-11</x:v>
      </x:c>
      <x:c r="M217" s="17" t="str">
        <x:v>high</x:v>
      </x:c>
      <x:c r="N217" s="17" t="str">
        <x:v>official page checked</x:v>
      </x:c>
      <x:c r="O217" s="17" t="str"/>
      <x:c r="P217" s="18" t="e">
        <x:f>HYPERLINK("https://www.uregina.ca/graduate-studies-research/graduate-calendar/financial-support.html","Open source")</x:f>
        <x:v>HYPERLINK is not implemented. linkLocation=https://www.uregina.ca/graduate-studies-research/graduate-calendar/financial-support.html, friendlyName=Open source</x:v>
      </x:c>
    </x:row>
    <x:row r="218" ht="46" customHeight="1">
      <x:c r="A218" s="17" t="str">
        <x:v>stage3src:92789141eba20c247379</x:v>
      </x:c>
      <x:c r="B218" s="17" t="str">
        <x:v>program</x:v>
      </x:c>
      <x:c r="C218" s="17" t="str">
        <x:v>University of Regina</x:v>
      </x:c>
      <x:c r="D218" s="17" t="str">
        <x:v>ca:dli:O19425660270:program:thesis-or-research-master-s:master-of-applied-science-in-software-systems-engineering</x:v>
      </x:c>
      <x:c r="E218" s="17" t="str"/>
      <x:c r="F218" s="17" t="str">
        <x:v>program|admissions|eligibility</x:v>
      </x:c>
      <x:c r="G218" s="17" t="str">
        <x:v>Research MASc structure and requirement that every MASc applicant identify an accredited SSE supervisor.</x:v>
      </x:c>
      <x:c r="H218" s="17" t="str">
        <x:v>Engineering — Software Systems Engineering</x:v>
      </x:c>
      <x:c r="I218" s="17" t="str">
        <x:v>University of Regina Graduate Calendar</x:v>
      </x:c>
      <x:c r="J218" s="17" t="str">
        <x:v>official</x:v>
      </x:c>
      <x:c r="K218" s="17" t="str">
        <x:v>2026-09-11</x:v>
      </x:c>
      <x:c r="L218" s="17" t="str">
        <x:v>Current calendar checked 2026-09-11</x:v>
      </x:c>
      <x:c r="M218" s="17" t="str">
        <x:v>high</x:v>
      </x:c>
      <x:c r="N218" s="17" t="str">
        <x:v>official page checked</x:v>
      </x:c>
      <x:c r="O218" s="17" t="str"/>
      <x:c r="P218" s="18" t="e">
        <x:f>HYPERLINK("https://www.uregina.ca/graduate-studies-research/graduate-calendar/all-programs/engg-sse.html","Open source")</x:f>
        <x:v>HYPERLINK is not implemented. linkLocation=https://www.uregina.ca/graduate-studies-research/graduate-calendar/all-programs/engg-sse.html, friendlyName=Open source</x:v>
      </x:c>
    </x:row>
    <x:row r="219" ht="46" customHeight="1">
      <x:c r="A219" s="17" t="str">
        <x:v>stage3src:b1edff79caedcd3c3060</x:v>
      </x:c>
      <x:c r="B219" s="17" t="str">
        <x:v>program</x:v>
      </x:c>
      <x:c r="C219" s="17" t="str">
        <x:v>University of Regina</x:v>
      </x:c>
      <x:c r="D219" s="17" t="str">
        <x:v>ca:dli:O19425660270:program:thesis-or-research-master-s:master-of-applied-science-in-software-systems-engineering</x:v>
      </x:c>
      <x:c r="E219" s="17" t="str"/>
      <x:c r="F219" s="17" t="str">
        <x:v>program|funding</x:v>
      </x:c>
      <x:c r="G219" s="17" t="str">
        <x:v>Current two-year 30-credit thesis MASc and listed scholarship, teaching-assistantship, and grant mechanisms without a universal promise.</x:v>
      </x:c>
      <x:c r="H219" s="17" t="str">
        <x:v>Master's and PhD in Software Systems Engineering</x:v>
      </x:c>
      <x:c r="I219" s="17" t="str">
        <x:v>University of Regina</x:v>
      </x:c>
      <x:c r="J219" s="17" t="str">
        <x:v>official</x:v>
      </x:c>
      <x:c r="K219" s="17" t="str">
        <x:v>2026-09-11</x:v>
      </x:c>
      <x:c r="L219" s="17" t="str">
        <x:v>Current page checked 2026-09-11</x:v>
      </x:c>
      <x:c r="M219" s="17" t="str">
        <x:v>high</x:v>
      </x:c>
      <x:c r="N219" s="17" t="str">
        <x:v>official page checked</x:v>
      </x:c>
      <x:c r="O219" s="17" t="str"/>
      <x:c r="P219" s="18" t="e">
        <x:f>HYPERLINK("https://www.uregina.ca/academics/programs/engineering/masters-phd-software-systems-engineering.html","Open source")</x:f>
        <x:v>HYPERLINK is not implemented. linkLocation=https://www.uregina.ca/academics/programs/engineering/masters-phd-software-systems-engineering.html, friendlyName=Open source</x:v>
      </x:c>
    </x:row>
    <x:row r="220" ht="46" customHeight="1">
      <x:c r="A220" s="17" t="str">
        <x:v>stage3src:d4e7578f18e441fb588a</x:v>
      </x:c>
      <x:c r="B220" s="17" t="str">
        <x:v>program</x:v>
      </x:c>
      <x:c r="C220" s="17" t="str">
        <x:v>University of Regina</x:v>
      </x:c>
      <x:c r="D220" s="17" t="str">
        <x:v>ca:dli:O19425660270:program:thesis-or-research-master-s:master-of-applied-science-in-software-systems-engineering</x:v>
      </x:c>
      <x:c r="E220" s="17" t="str"/>
      <x:c r="F220" s="17" t="str">
        <x:v>admissions|eligibility|language</x:v>
      </x:c>
      <x:c r="G220" s="17" t="str">
        <x:v>Four-year bachelor's, GPA routes, international engineering WES ICAP, and faculty willingness not itself constituting admission.</x:v>
      </x:c>
      <x:c r="H220" s="17" t="str">
        <x:v>Eligibility Requirements</x:v>
      </x:c>
      <x:c r="I220" s="17" t="str">
        <x:v>University of Regina Faculty of Graduate Studies and Research</x:v>
      </x:c>
      <x:c r="J220" s="17" t="str">
        <x:v>official</x:v>
      </x:c>
      <x:c r="K220" s="17" t="str">
        <x:v>2026-09-11</x:v>
      </x:c>
      <x:c r="L220" s="17" t="str">
        <x:v>Current page checked 2026-09-11</x:v>
      </x:c>
      <x:c r="M220" s="17" t="str">
        <x:v>high</x:v>
      </x:c>
      <x:c r="N220" s="17" t="str">
        <x:v>official page checked</x:v>
      </x:c>
      <x:c r="O220" s="17" t="str"/>
      <x:c r="P220" s="18" t="e">
        <x:f>HYPERLINK("https://www.uregina.ca/graduate-studies-research/future-students/eligibility-requirements.html","Open source")</x:f>
        <x:v>HYPERLINK is not implemented. linkLocation=https://www.uregina.ca/graduate-studies-research/future-students/eligibility-requirements.html, friendlyName=Open source</x:v>
      </x:c>
    </x:row>
    <x:row r="221" ht="46" customHeight="1">
      <x:c r="A221" s="17" t="str">
        <x:v>stage3src:fc78c37180f4387d9b33</x:v>
      </x:c>
      <x:c r="B221" s="17" t="str">
        <x:v>program</x:v>
      </x:c>
      <x:c r="C221" s="17" t="str">
        <x:v>University of Regina</x:v>
      </x:c>
      <x:c r="D221" s="17" t="str">
        <x:v>ca:dli:O19425660270:program:thesis-or-research-master-s:master-of-applied-science-in-software-systems-engineering</x:v>
      </x:c>
      <x:c r="E221" s="17" t="str"/>
      <x:c r="F221" s="17" t="str">
        <x:v>admissions|deadline|fees</x:v>
      </x:c>
      <x:c r="G221" s="17" t="str">
        <x:v>Engineering January 31 Fall timing and CAD 125 application fee.</x:v>
      </x:c>
      <x:c r="H221" s="17" t="str">
        <x:v>How to Apply</x:v>
      </x:c>
      <x:c r="I221" s="17" t="str">
        <x:v>University of Regina Faculty of Graduate Studies and Research</x:v>
      </x:c>
      <x:c r="J221" s="17" t="str">
        <x:v>official</x:v>
      </x:c>
      <x:c r="K221" s="17" t="str">
        <x:v>2026-09-11</x:v>
      </x:c>
      <x:c r="L221" s="17" t="str">
        <x:v>Current page checked 2026-09-11</x:v>
      </x:c>
      <x:c r="M221" s="17" t="str">
        <x:v>high</x:v>
      </x:c>
      <x:c r="N221" s="17" t="str">
        <x:v>official page checked</x:v>
      </x:c>
      <x:c r="O221" s="17" t="str"/>
      <x:c r="P221" s="18" t="e">
        <x:f>HYPERLINK("https://www.uregina.ca/graduate-studies-research/future-students/how-to-apply.html","Open source")</x:f>
        <x:v>HYPERLINK is not implemented. linkLocation=https://www.uregina.ca/graduate-studies-research/future-students/how-to-apply.html, friendlyName=Open source</x:v>
      </x:c>
    </x:row>
    <x:row r="222" ht="46" customHeight="1">
      <x:c r="A222" s="17" t="str">
        <x:v>stage3src:c45b6179494c67ec573b</x:v>
      </x:c>
      <x:c r="B222" s="17" t="str">
        <x:v>program</x:v>
      </x:c>
      <x:c r="C222" s="17" t="str">
        <x:v>University of Regina</x:v>
      </x:c>
      <x:c r="D222" s="17" t="str">
        <x:v>ca:dli:O19425660270:program:unclear:cross-path-catalog-review</x:v>
      </x:c>
      <x:c r="E222" s="17" t="str"/>
      <x:c r="F222" s="17" t="str">
        <x:v>discovery</x:v>
      </x:c>
      <x:c r="G222" s="17" t="str">
        <x:v>Stage 2 recorded this row as a discovery candidate; it does not independently verify an exact current research program, eligibility, or funding.</x:v>
      </x:c>
      <x:c r="H222" s="17" t="str">
        <x:v>Pass 2 Stage 2 candidate funnel</x:v>
      </x:c>
      <x:c r="I222" s="17" t="str">
        <x:v>Graduate audit pipeline</x:v>
      </x:c>
      <x:c r="J222" s="17" t="str">
        <x:v>derived</x:v>
      </x:c>
      <x:c r="K222" s="17" t="str">
        <x:v>2026-09-11</x:v>
      </x:c>
      <x:c r="L222" s="17" t="str">
        <x:v>Not cycle-specific</x:v>
      </x:c>
      <x:c r="M222" s="17" t="str">
        <x:v>low</x:v>
      </x:c>
      <x:c r="N222" s="17" t="str">
        <x:v>Discovery evidence only</x:v>
      </x:c>
      <x:c r="O222" s="17" t="str">
        <x:v>Use the source_record_paths field to trace the underlying discovery inputs.</x:v>
      </x:c>
      <x:c r="P222" s="18" t="e">
        <x:f>HYPERLINK("https://www.uregina.ca","Open source")</x:f>
        <x:v>HYPERLINK is not implemented. linkLocation=https://www.uregina.ca, friendlyName=Open source</x:v>
      </x:c>
    </x:row>
    <x:row r="223" ht="46" customHeight="1">
      <x:c r="A223" s="17" t="str">
        <x:v>stage3src:90cd9b219df592ca9088</x:v>
      </x:c>
      <x:c r="B223" s="17" t="str">
        <x:v>program</x:v>
      </x:c>
      <x:c r="C223" s="17" t="str">
        <x:v>University of Saskatchewan</x:v>
      </x:c>
      <x:c r="D223" s="17" t="str">
        <x:v>ca:dli:O19425660421:program:thesis-or-research-master-s:electrical-engineering-master-of-science-m-sc-thesis</x:v>
      </x:c>
      <x:c r="E223" s="17" t="str"/>
      <x:c r="F223" s="17" t="str">
        <x:v>program|research|eligibility|gpa|faculty|fee|tuition|fees|funding</x:v>
      </x:c>
      <x:c r="G223" s="17" t="str">
        <x:v>Current thesis MSc, two-year length, relevant four-year degree and 70 percent rules, supervisor approval, $145 fee, international tuition and fees, and typical competitive funding range.</x:v>
      </x:c>
      <x:c r="H223" s="17" t="str">
        <x:v>Electrical and Computer Engineering Graduate Programs</x:v>
      </x:c>
      <x:c r="I223" s="17" t="str">
        <x:v>University of Saskatchewan College of Graduate and Postdoctoral Studies</x:v>
      </x:c>
      <x:c r="J223" s="17" t="str">
        <x:v>official</x:v>
      </x:c>
      <x:c r="K223" s="17" t="str">
        <x:v>2026-09-11</x:v>
      </x:c>
      <x:c r="L223" s="17" t="str">
        <x:v>Current program and cost data checked 2026-09-11; Fall 2027 not published</x:v>
      </x:c>
      <x:c r="M223" s="17" t="str">
        <x:v>high</x:v>
      </x:c>
      <x:c r="N223" s="17" t="str">
        <x:v>official page checked</x:v>
      </x:c>
      <x:c r="O223" s="17" t="str"/>
      <x:c r="P223" s="18" t="e">
        <x:f>HYPERLINK("https://grad.usask.ca/programs/electrical-computer-engineering.php","Open source")</x:f>
        <x:v>HYPERLINK is not implemented. linkLocation=https://grad.usask.ca/programs/electrical-computer-engineering.php, friendlyName=Open source</x:v>
      </x:c>
    </x:row>
    <x:row r="224" ht="46" customHeight="1">
      <x:c r="A224" s="17" t="str">
        <x:v>stage3src:d1fa552ef4cacc77940e</x:v>
      </x:c>
      <x:c r="B224" s="17" t="str">
        <x:v>program</x:v>
      </x:c>
      <x:c r="C224" s="17" t="str">
        <x:v>University of Saskatchewan</x:v>
      </x:c>
      <x:c r="D224" s="17" t="str">
        <x:v>ca:dli:O19425660421:program:thesis-or-research-master-s:electrical-engineering-master-of-science-m-sc-thesis</x:v>
      </x:c>
      <x:c r="E224" s="17" t="str"/>
      <x:c r="F224" s="17" t="str">
        <x:v>program|research|structure</x:v>
      </x:c>
      <x:c r="G224" s="17" t="str">
        <x:v>2026-27 Electrical Engineering MSc thesis degree and program structure.</x:v>
      </x:c>
      <x:c r="H224" s="17" t="str">
        <x:v>Electrical Engineering M.Sc. Thesis</x:v>
      </x:c>
      <x:c r="I224" s="17" t="str">
        <x:v>University of Saskatchewan Course and Program Catalogue</x:v>
      </x:c>
      <x:c r="J224" s="17" t="str">
        <x:v>official</x:v>
      </x:c>
      <x:c r="K224" s="17" t="str">
        <x:v>2026-09-11</x:v>
      </x:c>
      <x:c r="L224" s="17" t="str">
        <x:v>2026-27 catalogue checked 2026-09-11</x:v>
      </x:c>
      <x:c r="M224" s="17" t="str">
        <x:v>high</x:v>
      </x:c>
      <x:c r="N224" s="17" t="str">
        <x:v>official page checked</x:v>
      </x:c>
      <x:c r="O224" s="17" t="str"/>
      <x:c r="P224" s="18" t="e">
        <x:f>HYPERLINK("https://programs.usask.ca/grad-studies/electrical-engineering/electrical-eng-msc-thesis.php","Open source")</x:f>
        <x:v>HYPERLINK is not implemented. linkLocation=https://programs.usask.ca/grad-studies/electrical-engineering/electrical-eng-msc-thesis.php, friendlyName=Open source</x:v>
      </x:c>
    </x:row>
    <x:row r="225" ht="46" customHeight="1">
      <x:c r="A225" s="17" t="str">
        <x:v>stage3src:ca5f966a6da5962d756d</x:v>
      </x:c>
      <x:c r="B225" s="17" t="str">
        <x:v>program</x:v>
      </x:c>
      <x:c r="C225" s="17" t="str">
        <x:v>University of Saskatchewan</x:v>
      </x:c>
      <x:c r="D225" s="17" t="str">
        <x:v>ca:dli:O19425660421:program:thesis-or-research-master-s:msc-in-computer-science</x:v>
      </x:c>
      <x:c r="E225" s="17" t="str"/>
      <x:c r="F225" s="17" t="str">
        <x:v>program</x:v>
      </x:c>
      <x:c r="G225" s="17" t="str">
        <x:v>The official page identifies MSc in Computer Science and contains research/thesis evidence.</x:v>
      </x:c>
      <x:c r="H225" s="17" t="str">
        <x:v>Computer Science - Future graduate students | University of Saskatchewan</x:v>
      </x:c>
      <x:c r="I225" s="17" t="str">
        <x:v>University of Saskatchewan</x:v>
      </x:c>
      <x:c r="J225" s="17" t="str">
        <x:v>official</x:v>
      </x:c>
      <x:c r="K225" s="17" t="str">
        <x:v>2026-09-09</x:v>
      </x:c>
      <x:c r="L225" s="17" t="str">
        <x:v>Current page; Fall 2027 dates not assumed</x:v>
      </x:c>
      <x:c r="M225" s="17" t="str">
        <x:v>High for program existence and research structure</x:v>
      </x:c>
      <x:c r="N225" s="17" t="str">
        <x:v>opened</x:v>
      </x:c>
      <x:c r="O225" s="17" t="str">
        <x:v>HTTP 200; page SHA-256 in evidence file</x:v>
      </x:c>
      <x:c r="P225" s="18" t="e">
        <x:f>HYPERLINK("https://grad.usask.ca/programs/computer-science.php","Open source")</x:f>
        <x:v>HYPERLINK is not implemented. linkLocation=https://grad.usask.ca/programs/computer-science.php, friendlyName=Open source</x:v>
      </x:c>
    </x:row>
    <x:row r="226" ht="46" customHeight="1">
      <x:c r="A226" s="17" t="str">
        <x:v>stage3src:4a704d541f8fe240f362</x:v>
      </x:c>
      <x:c r="B226" s="17" t="str">
        <x:v>program</x:v>
      </x:c>
      <x:c r="C226" s="17" t="str">
        <x:v>University of Saskatchewan</x:v>
      </x:c>
      <x:c r="D226" s="17" t="str">
        <x:v>ca:dli:O19425660421:program:thesis-or-research-master-s:msc-in-computer-science-thesis</x:v>
      </x:c>
      <x:c r="E226" s="17" t="str"/>
      <x:c r="F226" s="17" t="str">
        <x:v>program</x:v>
      </x:c>
      <x:c r="G226" s="17" t="str">
        <x:v>Current lab page explicitly seeks MSc/PhD students; bibliography lists 2026 software-analytics work.</x:v>
      </x:c>
      <x:c r="H226" s="17" t="str">
        <x:v>Research / Publications</x:v>
      </x:c>
      <x:c r="I226" s="17" t="str">
        <x:v>Chanchal Roy lab</x:v>
      </x:c>
      <x:c r="J226" s="17" t="str">
        <x:v>official</x:v>
      </x:c>
      <x:c r="K226" s="17" t="str">
        <x:v>2026-09-09</x:v>
      </x:c>
      <x:c r="L226" s="17" t="str">
        <x:v>current</x:v>
      </x:c>
      <x:c r="M226" s="17" t="str">
        <x:v>high</x:v>
      </x:c>
      <x:c r="N226" s="17" t="str">
        <x:v>opened/current</x:v>
      </x:c>
      <x:c r="O226" s="17" t="str">
        <x:v>No search snippet used as final evidence; URL/page content reviewed.</x:v>
      </x:c>
      <x:c r="P226" s="18" t="e">
        <x:f>HYPERLINK("https://clones.usask.ca/research/","Open source")</x:f>
        <x:v>HYPERLINK is not implemented. linkLocation=https://clones.usask.ca/research/, friendlyName=Open source</x:v>
      </x:c>
    </x:row>
    <x:row r="227" ht="46" customHeight="1">
      <x:c r="A227" s="17" t="str">
        <x:v>stage3src:dbbb4a08280187f009f5</x:v>
      </x:c>
      <x:c r="B227" s="17" t="str">
        <x:v>program</x:v>
      </x:c>
      <x:c r="C227" s="17" t="str">
        <x:v>University of Saskatchewan</x:v>
      </x:c>
      <x:c r="D227" s="17" t="str">
        <x:v>ca:dli:O19425660421:program:thesis-or-research-master-s:msc-in-computer-science-thesis</x:v>
      </x:c>
      <x:c r="E227" s="17" t="str"/>
      <x:c r="F227" s="17" t="str">
        <x:v>funding|fees|deadline|eligibility|admissions|program</x:v>
      </x:c>
      <x:c r="G227" s="17" t="str">
        <x:v>MSc is bachelor-entry; Fall deadline Dec 15; fee $145 international; normal 20-month funding includes tuition plus stated living components.</x:v>
      </x:c>
      <x:c r="H227" s="17" t="str">
        <x:v>Computer Science</x:v>
      </x:c>
      <x:c r="I227" s="17" t="str">
        <x:v>University of Saskatchewan</x:v>
      </x:c>
      <x:c r="J227" s="17" t="str">
        <x:v>official</x:v>
      </x:c>
      <x:c r="K227" s="17" t="str">
        <x:v>2026-09-09</x:v>
      </x:c>
      <x:c r="L227" s="17" t="str">
        <x:v>current recurring / 2026-27 fees</x:v>
      </x:c>
      <x:c r="M227" s="17" t="str">
        <x:v>high</x:v>
      </x:c>
      <x:c r="N227" s="17" t="str">
        <x:v>opened; cycle limits recorded</x:v>
      </x:c>
      <x:c r="O227" s="17" t="str">
        <x:v>No search snippet used as final evidence; URL/page content reviewed.</x:v>
      </x:c>
      <x:c r="P227" s="18" t="e">
        <x:f>HYPERLINK("https://grad.usask.ca/programs/computer-science.php","Open source")</x:f>
        <x:v>HYPERLINK is not implemented. linkLocation=https://grad.usask.ca/programs/computer-science.php, friendlyName=Open source</x:v>
      </x:c>
    </x:row>
    <x:row r="228" ht="46" customHeight="1">
      <x:c r="A228" s="17" t="str">
        <x:v>stage3src:3cbb860b5c632749a0e3</x:v>
      </x:c>
      <x:c r="B228" s="17" t="str">
        <x:v>program</x:v>
      </x:c>
      <x:c r="C228" s="17" t="str">
        <x:v>Memorial University of Newfoundland</x:v>
      </x:c>
      <x:c r="D228" s="17" t="str">
        <x:v>ca:dli:O19440995346:program:phd:phd-in-computer-science</x:v>
      </x:c>
      <x:c r="E228" s="17" t="str"/>
      <x:c r="F228" s="17" t="str">
        <x:v>program|admissions|eligibility|deadline|funding|tuition|fees</x:v>
      </x:c>
      <x:c r="G228" s="17" t="str">
        <x:v>Recurring Fall deadline, PhD duration, CAD 24,000 funding figure, and current domestic and international tuition.</x:v>
      </x:c>
      <x:c r="H228" s="17" t="str">
        <x:v>Computer Science Graduate Programs</x:v>
      </x:c>
      <x:c r="I228" s="17" t="str">
        <x:v>Memorial University of Newfoundland</x:v>
      </x:c>
      <x:c r="J228" s="17" t="str">
        <x:v>official</x:v>
      </x:c>
      <x:c r="K228" s="17" t="str">
        <x:v>2026-09-10</x:v>
      </x:c>
      <x:c r="L228" s="17" t="str">
        <x:v>Current recurring guidance checked 2026-09-10</x:v>
      </x:c>
      <x:c r="M228" s="17" t="str">
        <x:v>high</x:v>
      </x:c>
      <x:c r="N228" s="17" t="str">
        <x:v>official page checked</x:v>
      </x:c>
      <x:c r="O228" s="17" t="str"/>
      <x:c r="P228" s="18" t="e">
        <x:f>HYPERLINK("https://www.mun.ca/become/graduate/programs-and-courses/computer-science/","Open source")</x:f>
        <x:v>HYPERLINK is not implemented. linkLocation=https://www.mun.ca/become/graduate/programs-and-courses/computer-science/, friendlyName=Open source</x:v>
      </x:c>
    </x:row>
    <x:row r="229" ht="46" customHeight="1">
      <x:c r="A229" s="17" t="str">
        <x:v>stage3src:9ac225b2d295e4265b7e</x:v>
      </x:c>
      <x:c r="B229" s="17" t="str">
        <x:v>program</x:v>
      </x:c>
      <x:c r="C229" s="17" t="str">
        <x:v>Memorial University of Newfoundland</x:v>
      </x:c>
      <x:c r="D229" s="17" t="str">
        <x:v>ca:dli:O19440995346:program:phd:phd-in-computer-science</x:v>
      </x:c>
      <x:c r="E229" s="17" t="str"/>
      <x:c r="F229" s="17" t="str">
        <x:v>program|research|admissions|eligibility|funding</x:v>
      </x:c>
      <x:c r="G229" s="17" t="str">
        <x:v>Current four-year PhD, master's entry requirement, research structure, and mandatory secured supervisor financing.</x:v>
      </x:c>
      <x:c r="H229" s="17" t="str">
        <x:v>PhD in Computer Science</x:v>
      </x:c>
      <x:c r="I229" s="17" t="str">
        <x:v>Memorial University of Newfoundland</x:v>
      </x:c>
      <x:c r="J229" s="17" t="str">
        <x:v>official</x:v>
      </x:c>
      <x:c r="K229" s="17" t="str">
        <x:v>2026-09-10</x:v>
      </x:c>
      <x:c r="L229" s="17" t="str">
        <x:v>Current page checked 2026-09-10</x:v>
      </x:c>
      <x:c r="M229" s="17" t="str">
        <x:v>high</x:v>
      </x:c>
      <x:c r="N229" s="17" t="str">
        <x:v>official page checked</x:v>
      </x:c>
      <x:c r="O229" s="17" t="str"/>
      <x:c r="P229" s="18" t="e">
        <x:f>HYPERLINK("https://www.mun.ca/computerscience/graduate-students/graduate-programs/phd/","Open source")</x:f>
        <x:v>HYPERLINK is not implemented. linkLocation=https://www.mun.ca/computerscience/graduate-students/graduate-programs/phd/, friendlyName=Open source</x:v>
      </x:c>
    </x:row>
    <x:row r="230" ht="46" customHeight="1">
      <x:c r="A230" s="17" t="str">
        <x:v>stage3src:66cd74cf324719caeb0e</x:v>
      </x:c>
      <x:c r="B230" s="17" t="str">
        <x:v>program</x:v>
      </x:c>
      <x:c r="C230" s="17" t="str">
        <x:v>Memorial University of Newfoundland</x:v>
      </x:c>
      <x:c r="D230" s="17" t="str">
        <x:v>ca:dli:O19440995346:program:thesis-or-research-master-s:msc-in-computer-science-thesis</x:v>
      </x:c>
      <x:c r="E230" s="17" t="str"/>
      <x:c r="F230" s="17" t="str">
        <x:v>program</x:v>
      </x:c>
      <x:c r="G230" s="17" t="str">
        <x:v>The official page identifies MSc in Computer Science (thesis) and contains research/thesis evidence.</x:v>
      </x:c>
      <x:c r="H230" s="17" t="str">
        <x:v>Computer Science | Become a Graduate Student | Memorial University of
 Newfoundland</x:v>
      </x:c>
      <x:c r="I230" s="17" t="str">
        <x:v>Memorial University of Newfoundland</x:v>
      </x:c>
      <x:c r="J230" s="17" t="str">
        <x:v>official</x:v>
      </x:c>
      <x:c r="K230" s="17" t="str">
        <x:v>2026-09-09</x:v>
      </x:c>
      <x:c r="L230" s="17" t="str">
        <x:v>Current page; Fall 2027 dates not assumed</x:v>
      </x:c>
      <x:c r="M230" s="17" t="str">
        <x:v>High for program existence and research structure</x:v>
      </x:c>
      <x:c r="N230" s="17" t="str">
        <x:v>opened</x:v>
      </x:c>
      <x:c r="O230" s="17" t="str">
        <x:v>HTTP 200; page SHA-256 in evidence file</x:v>
      </x:c>
      <x:c r="P230" s="18" t="e">
        <x:f>HYPERLINK("https://www.mun.ca/become/graduate/programs-and-courses/computer-science/","Open source")</x:f>
        <x:v>HYPERLINK is not implemented. linkLocation=https://www.mun.ca/become/graduate/programs-and-courses/computer-science/, friendlyName=Open source</x:v>
      </x:c>
    </x:row>
    <x:row r="231" ht="46" customHeight="1">
      <x:c r="A231" s="17" t="str">
        <x:v>stage3src:13a288451dc29e504f89</x:v>
      </x:c>
      <x:c r="B231" s="17" t="str">
        <x:v>program</x:v>
      </x:c>
      <x:c r="C231" s="17" t="str">
        <x:v>Università di Camerino</x:v>
      </x:c>
      <x:c r="D231" s="17" t="str">
        <x:v>ror:0005w8d69:program:thesis-or-research-master-s:master-of-science-in-computer-science</x:v>
      </x:c>
      <x:c r="E231" s="17" t="str"/>
      <x:c r="F231" s="17" t="str">
        <x:v>funding|tuition|fees|summer</x:v>
      </x:c>
      <x:c r="G231" s="17" t="str">
        <x:v>ERDIS tuition waiver, food, lodging, and possible cash scholarship mechanism.</x:v>
      </x:c>
      <x:c r="H231" s="17" t="str">
        <x:v>ERDIS Scholarships</x:v>
      </x:c>
      <x:c r="I231" s="17" t="str">
        <x:v>University of Camerino International</x:v>
      </x:c>
      <x:c r="J231" s="17" t="str">
        <x:v>official</x:v>
      </x:c>
      <x:c r="K231" s="17" t="str">
        <x:v>2026-09-11</x:v>
      </x:c>
      <x:c r="L231" s="17" t="str">
        <x:v>Current mechanism checked 2026-09-11; linked call label is stale</x:v>
      </x:c>
      <x:c r="M231" s="17" t="str">
        <x:v>medium</x:v>
      </x:c>
      <x:c r="N231" s="17" t="str">
        <x:v>official page checked</x:v>
      </x:c>
      <x:c r="O231" s="17" t="str">
        <x:v>Benefit mechanism is official; exact 2027–28 call terms and deadline remain unresolved.</x:v>
      </x:c>
      <x:c r="P231" s="18" t="e">
        <x:f>HYPERLINK("https://international.unicam.it/scholarship-unicam/erdis-scholarships","Open source")</x:f>
        <x:v>HYPERLINK is not implemented. linkLocation=https://international.unicam.it/scholarship-unicam/erdis-scholarships, friendlyName=Open source</x:v>
      </x:c>
    </x:row>
    <x:row r="232" ht="46" customHeight="1">
      <x:c r="A232" s="17" t="str">
        <x:v>stage3src:91cd1c5a336a750c0992</x:v>
      </x:c>
      <x:c r="B232" s="17" t="str">
        <x:v>program</x:v>
      </x:c>
      <x:c r="C232" s="17" t="str">
        <x:v>Università di Camerino</x:v>
      </x:c>
      <x:c r="D232" s="17" t="str">
        <x:v>ror:0005w8d69:program:thesis-or-research-master-s:master-of-science-in-computer-science</x:v>
      </x:c>
      <x:c r="E232" s="17" t="str"/>
      <x:c r="F232" s="17" t="str">
        <x:v>admissions|deadline|eligibility</x:v>
      </x:c>
      <x:c r="G232" s="17" t="str">
        <x:v>Strict March 31, 2026 pre-admission deadline for the 2026–27 cycle.</x:v>
      </x:c>
      <x:c r="H232" s="17" t="str">
        <x:v>Admissions</x:v>
      </x:c>
      <x:c r="I232" s="17" t="str">
        <x:v>University of Camerino</x:v>
      </x:c>
      <x:c r="J232" s="17" t="str">
        <x:v>official</x:v>
      </x:c>
      <x:c r="K232" s="17" t="str">
        <x:v>2026-09-11</x:v>
      </x:c>
      <x:c r="L232" s="17" t="str">
        <x:v>2026–27 checked 2026-09-11</x:v>
      </x:c>
      <x:c r="M232" s="17" t="str">
        <x:v>high</x:v>
      </x:c>
      <x:c r="N232" s="17" t="str">
        <x:v>official page checked</x:v>
      </x:c>
      <x:c r="O232" s="17" t="str"/>
      <x:c r="P232" s="18" t="e">
        <x:f>HYPERLINK("https://www.unicam.it/international-student/study-at-unicam/admissions","Open source")</x:f>
        <x:v>HYPERLINK is not implemented. linkLocation=https://www.unicam.it/international-student/study-at-unicam/admissions, friendlyName=Open source</x:v>
      </x:c>
    </x:row>
    <x:row r="233" ht="46" customHeight="1">
      <x:c r="A233" s="17" t="str">
        <x:v>stage3src:b07126d84ac0d2ac02bf</x:v>
      </x:c>
      <x:c r="B233" s="17" t="str">
        <x:v>program</x:v>
      </x:c>
      <x:c r="C233" s="17" t="str">
        <x:v>Università di Camerino</x:v>
      </x:c>
      <x:c r="D233" s="17" t="str">
        <x:v>ror:0005w8d69:program:thesis-or-research-master-s:master-of-science-in-computer-science</x:v>
      </x:c>
      <x:c r="E233" s="17" t="str"/>
      <x:c r="F233" s="17" t="str">
        <x:v>program|research|eligibility|language</x:v>
      </x:c>
      <x:c r="G233" s="17" t="str">
        <x:v>Current English 120-CFU Computer Science MSc, software and cybersecurity curricula, and thesis route.</x:v>
      </x:c>
      <x:c r="H233" s="17" t="str">
        <x:v>Computer Science</x:v>
      </x:c>
      <x:c r="I233" s="17" t="str">
        <x:v>University of Camerino School of Science and Technology</x:v>
      </x:c>
      <x:c r="J233" s="17" t="str">
        <x:v>official</x:v>
      </x:c>
      <x:c r="K233" s="17" t="str">
        <x:v>2026-09-11</x:v>
      </x:c>
      <x:c r="L233" s="17" t="str">
        <x:v>Current page checked 2026-09-11</x:v>
      </x:c>
      <x:c r="M233" s="17" t="str">
        <x:v>high</x:v>
      </x:c>
      <x:c r="N233" s="17" t="str">
        <x:v>official page checked</x:v>
      </x:c>
      <x:c r="O233" s="17" t="str"/>
      <x:c r="P233" s="18" t="e">
        <x:f>HYPERLINK("https://sst.unicam.it/corsi/computer-science","Open source")</x:f>
        <x:v>HYPERLINK is not implemented. linkLocation=https://sst.unicam.it/corsi/computer-science, friendlyName=Open source</x:v>
      </x:c>
    </x:row>
    <x:row r="234" ht="46" customHeight="1">
      <x:c r="A234" s="17" t="str">
        <x:v>stage3src:e00f315a01fa1f8416a2</x:v>
      </x:c>
      <x:c r="B234" s="17" t="str">
        <x:v>program</x:v>
      </x:c>
      <x:c r="C234" s="17" t="str">
        <x:v>Università di Camerino</x:v>
      </x:c>
      <x:c r="D234" s="17" t="str">
        <x:v>ror:0005w8d69:program:thesis-or-research-master-s:master-of-science-in-computer-science</x:v>
      </x:c>
      <x:c r="E234" s="17" t="str"/>
      <x:c r="F234" s="17" t="str">
        <x:v>funding|deadline</x:v>
      </x:c>
      <x:c r="G234" s="17" t="str">
        <x:v>Current 30 Welcome awards, EUR 1500 one-year amount, and February 18, 2027 deadline.</x:v>
      </x:c>
      <x:c r="H234" s="17" t="str">
        <x:v>Scholarships</x:v>
      </x:c>
      <x:c r="I234" s="17" t="str">
        <x:v>University of Camerino</x:v>
      </x:c>
      <x:c r="J234" s="17" t="str">
        <x:v>official</x:v>
      </x:c>
      <x:c r="K234" s="17" t="str">
        <x:v>2026-09-11</x:v>
      </x:c>
      <x:c r="L234" s="17" t="str">
        <x:v>2026–27 checked 2026-09-11</x:v>
      </x:c>
      <x:c r="M234" s="17" t="str">
        <x:v>high</x:v>
      </x:c>
      <x:c r="N234" s="17" t="str">
        <x:v>official page checked</x:v>
      </x:c>
      <x:c r="O234" s="17" t="str"/>
      <x:c r="P234" s="18" t="e">
        <x:f>HYPERLINK("https://www.unicam.it/futuro-studente/vuoi-iscriverti/borse-di-studio","Open source")</x:f>
        <x:v>HYPERLINK is not implemented. linkLocation=https://www.unicam.it/futuro-studente/vuoi-iscriverti/borse-di-studio, friendlyName=Open source</x:v>
      </x:c>
    </x:row>
    <x:row r="235" ht="46" customHeight="1">
      <x:c r="A235" s="17" t="str">
        <x:v>stage3src:f23c1147720c55346ccf</x:v>
      </x:c>
      <x:c r="B235" s="17" t="str">
        <x:v>program</x:v>
      </x:c>
      <x:c r="C235" s="17" t="str">
        <x:v>Università di Camerino</x:v>
      </x:c>
      <x:c r="D235" s="17" t="str">
        <x:v>ror:0005w8d69:program:thesis-or-research-master-s:master-of-science-in-computer-science</x:v>
      </x:c>
      <x:c r="E235" s="17" t="str"/>
      <x:c r="F235" s="17" t="str">
        <x:v>funding|tuition|fees|summer</x:v>
      </x:c>
      <x:c r="G235" s="17" t="str">
        <x:v>2026–27 EUR 6876 annual lump-sum option covering tuition, room, meals, transport, and sports for limited places.</x:v>
      </x:c>
      <x:c r="H235" s="17" t="str">
        <x:v>Lump Sum Enrollment Payment</x:v>
      </x:c>
      <x:c r="I235" s="17" t="str">
        <x:v>University of Camerino International</x:v>
      </x:c>
      <x:c r="J235" s="17" t="str">
        <x:v>official</x:v>
      </x:c>
      <x:c r="K235" s="17" t="str">
        <x:v>2026-09-11</x:v>
      </x:c>
      <x:c r="L235" s="17" t="str">
        <x:v>2026–27 checked 2026-09-11</x:v>
      </x:c>
      <x:c r="M235" s="17" t="str">
        <x:v>high</x:v>
      </x:c>
      <x:c r="N235" s="17" t="str">
        <x:v>official page checked</x:v>
      </x:c>
      <x:c r="O235" s="17" t="str"/>
      <x:c r="P235" s="18" t="e">
        <x:f>HYPERLINK("https://international.unicam.it/admissions/lump-sum-enrollment-payment","Open source")</x:f>
        <x:v>HYPERLINK is not implemented. linkLocation=https://international.unicam.it/admissions/lump-sum-enrollment-payment, friendlyName=Open source</x:v>
      </x:c>
    </x:row>
    <x:row r="236" ht="46" customHeight="1">
      <x:c r="A236" s="17" t="str">
        <x:v>stage3src:fffd738ae755db61ea8e</x:v>
      </x:c>
      <x:c r="B236" s="17" t="str">
        <x:v>program</x:v>
      </x:c>
      <x:c r="C236" s="17" t="str">
        <x:v>Università di Camerino</x:v>
      </x:c>
      <x:c r="D236" s="17" t="str">
        <x:v>ror:0005w8d69:program:thesis-or-research-master-s:master-of-science-in-computer-science</x:v>
      </x:c>
      <x:c r="E236" s="17" t="str"/>
      <x:c r="F236" s="17" t="str">
        <x:v>admissions|eligibility|language|fees</x:v>
      </x:c>
      <x:c r="G236" s="17" t="str">
        <x:v>Bachelor's access, transcript and syllabus, CIMEA, B2 certificate, and Universitaly requirements.</x:v>
      </x:c>
      <x:c r="H236" s="17" t="str">
        <x:v>How to prepare for MSc enrolment</x:v>
      </x:c>
      <x:c r="I236" s="17" t="str">
        <x:v>University of Camerino International</x:v>
      </x:c>
      <x:c r="J236" s="17" t="str">
        <x:v>official</x:v>
      </x:c>
      <x:c r="K236" s="17" t="str">
        <x:v>2026-09-11</x:v>
      </x:c>
      <x:c r="L236" s="17" t="str">
        <x:v>Current page checked 2026-09-11</x:v>
      </x:c>
      <x:c r="M236" s="17" t="str">
        <x:v>high</x:v>
      </x:c>
      <x:c r="N236" s="17" t="str">
        <x:v>official page checked</x:v>
      </x:c>
      <x:c r="O236" s="17" t="str"/>
      <x:c r="P236" s="18" t="e">
        <x:f>HYPERLINK("https://international.unicam.it/how-to-prepare-enrolment/msc-degree","Open source")</x:f>
        <x:v>HYPERLINK is not implemented. linkLocation=https://international.unicam.it/how-to-prepare-enrolment/msc-degree, friendlyName=Open source</x:v>
      </x:c>
    </x:row>
    <x:row r="237" ht="46" customHeight="1">
      <x:c r="A237" s="17" t="str">
        <x:v>stage3src:07c4547979b41bcd653c</x:v>
      </x:c>
      <x:c r="B237" s="17" t="str">
        <x:v>program</x:v>
      </x:c>
      <x:c r="C237" s="17" t="str">
        <x:v>University of Cagliari</x:v>
      </x:c>
      <x:c r="D237" s="17" t="str">
        <x:v>ror:003109y17:program:unclear:cross-path-catalog-review</x:v>
      </x:c>
      <x:c r="E237" s="17" t="str"/>
      <x:c r="F237" s="17" t="str">
        <x:v>discovery</x:v>
      </x:c>
      <x:c r="G237" s="17" t="str">
        <x:v>Stage 2 recorded this row as a discovery candidate; it does not independently verify an exact current research program, eligibility, or funding.</x:v>
      </x:c>
      <x:c r="H237" s="17" t="str">
        <x:v>Pass 2 Stage 2 candidate funnel</x:v>
      </x:c>
      <x:c r="I237" s="17" t="str">
        <x:v>Graduate audit pipeline</x:v>
      </x:c>
      <x:c r="J237" s="17" t="str">
        <x:v>derived</x:v>
      </x:c>
      <x:c r="K237" s="17" t="str">
        <x:v>2026-09-11</x:v>
      </x:c>
      <x:c r="L237" s="17" t="str">
        <x:v>Not cycle-specific</x:v>
      </x:c>
      <x:c r="M237" s="17" t="str">
        <x:v>low</x:v>
      </x:c>
      <x:c r="N237" s="17" t="str">
        <x:v>Discovery evidence only</x:v>
      </x:c>
      <x:c r="O237" s="17" t="str">
        <x:v>Use the source_record_paths field to trace the underlying discovery inputs.</x:v>
      </x:c>
      <x:c r="P237" s="18" t="e">
        <x:f>HYPERLINK("http://www.unica.it/","Open source")</x:f>
        <x:v>HYPERLINK is not implemented. linkLocation=http://www.unica.it/, friendlyName=Open source</x:v>
      </x:c>
    </x:row>
    <x:row r="238" ht="46" customHeight="1">
      <x:c r="A238" s="17" t="str">
        <x:v>stage3src:49efe316be8f00affa9b</x:v>
      </x:c>
      <x:c r="B238" s="17" t="str">
        <x:v>program</x:v>
      </x:c>
      <x:c r="C238" s="17" t="str">
        <x:v>Vrije Universiteit Brussel</x:v>
      </x:c>
      <x:c r="D238" s="17" t="str">
        <x:v>ror:006e5kg04:program:thesis-or-research-master-s:master-of-science-in-applied-sciences-and-engineering-computer-science-software-systems</x:v>
      </x:c>
      <x:c r="E238" s="17" t="str"/>
      <x:c r="F238" s="17" t="str">
        <x:v>admissions|eligibility|language|deadline</x:v>
      </x:c>
      <x:c r="G238" s="17" t="str">
        <x:v>Academic CS bachelor's equivalency review, faculty screening, non-EEA GRE rule, language requirement, and latest deadline framework.</x:v>
      </x:c>
      <x:c r="H238" s="17" t="str">
        <x:v>Computer Science Admission and Enrolment</x:v>
      </x:c>
      <x:c r="I238" s="17" t="str">
        <x:v>Vrije Universiteit Brussel</x:v>
      </x:c>
      <x:c r="J238" s="17" t="str">
        <x:v>official</x:v>
      </x:c>
      <x:c r="K238" s="17" t="str">
        <x:v>2026-09-11</x:v>
      </x:c>
      <x:c r="L238" s="17" t="str">
        <x:v>2026-27/current page checked 2026-09-11</x:v>
      </x:c>
      <x:c r="M238" s="17" t="str">
        <x:v>high</x:v>
      </x:c>
      <x:c r="N238" s="17" t="str">
        <x:v>official page checked</x:v>
      </x:c>
      <x:c r="O238" s="17" t="str"/>
      <x:c r="P238" s="18" t="e">
        <x:f>HYPERLINK("https://www.vub.be/en/studying-vub/all-study-programmes-vub/bachelors-and-masters-programmes-vub/master-applied-sciences-and-engineering-computer-science/master-applied-sciences-and-engineering-computer-science-admission-enrolment","Open source")</x:f>
        <x:v>HYPERLINK is not implemented. linkLocation=https://www.vub.be/en/studying-vub/all-study-programmes-vub/bachelors-and-masters-programmes-vub/master-applied-sciences-and-engineering-computer-science/master-applied-sciences-and-engineering-computer-science-admission-enrolment, friendlyName=Open source</x:v>
      </x:c>
    </x:row>
    <x:row r="239" ht="46" customHeight="1">
      <x:c r="A239" s="17" t="str">
        <x:v>stage3src:7771bdeee63b82196b9b</x:v>
      </x:c>
      <x:c r="B239" s="17" t="str">
        <x:v>program</x:v>
      </x:c>
      <x:c r="C239" s="17" t="str">
        <x:v>Vrije Universiteit Brussel</x:v>
      </x:c>
      <x:c r="D239" s="17" t="str">
        <x:v>ror:006e5kg04:program:thesis-or-research-master-s:master-of-science-in-applied-sciences-and-engineering-computer-science-software-systems</x:v>
      </x:c>
      <x:c r="E239" s="17" t="str"/>
      <x:c r="F239" s="17" t="str">
        <x:v>admissions|fees|tuition|funding</x:v>
      </x:c>
      <x:c r="G239" s="17" t="str">
        <x:v>EUR 90 fee per foreign-diploma application, limited waiver rules, multiple-application charging, 2026-27 non-EEA tuition context, and absence of guaranteed support.</x:v>
      </x:c>
      <x:c r="H239" s="17" t="str">
        <x:v>Enrolling with a foreign diploma</x:v>
      </x:c>
      <x:c r="I239" s="17" t="str">
        <x:v>Vrije Universiteit Brussel</x:v>
      </x:c>
      <x:c r="J239" s="17" t="str">
        <x:v>official</x:v>
      </x:c>
      <x:c r="K239" s="17" t="str">
        <x:v>2026-09-11</x:v>
      </x:c>
      <x:c r="L239" s="17" t="str">
        <x:v>2026-27/current page checked 2026-09-11</x:v>
      </x:c>
      <x:c r="M239" s="17" t="str">
        <x:v>high</x:v>
      </x:c>
      <x:c r="N239" s="17" t="str">
        <x:v>official page checked</x:v>
      </x:c>
      <x:c r="O239" s="17" t="str"/>
      <x:c r="P239" s="18" t="e">
        <x:f>HYPERLINK("https://www.vub.be/en/studying-vub/apply-and-enrol-vub/application-and-enrolment/enrolling-with-foreign-diploma","Open source")</x:f>
        <x:v>HYPERLINK is not implemented. linkLocation=https://www.vub.be/en/studying-vub/apply-and-enrol-vub/application-and-enrolment/enrolling-with-foreign-diploma, friendlyName=Open source</x:v>
      </x:c>
    </x:row>
    <x:row r="240" ht="46" customHeight="1">
      <x:c r="A240" s="17" t="str">
        <x:v>stage3src:ba6017cb5b149bf1e69b</x:v>
      </x:c>
      <x:c r="B240" s="17" t="str">
        <x:v>program</x:v>
      </x:c>
      <x:c r="C240" s="17" t="str">
        <x:v>Vrije Universiteit Brussel</x:v>
      </x:c>
      <x:c r="D240" s="17" t="str">
        <x:v>ror:006e5kg04:program:thesis-or-research-master-s:master-of-science-in-applied-sciences-and-engineering-computer-science-software-systems</x:v>
      </x:c>
      <x:c r="E240" s="17" t="str"/>
      <x:c r="F240" s="17" t="str">
        <x:v>program|research</x:v>
      </x:c>
      <x:c r="G240" s="17" t="str">
        <x:v>Current 120-ECTS Computer Science master's, Software Systems route, research training, and 24-ECTS thesis.</x:v>
      </x:c>
      <x:c r="H240" s="17" t="str">
        <x:v>Master Computer Science — Software Systems</x:v>
      </x:c>
      <x:c r="I240" s="17" t="str">
        <x:v>Vrije Universiteit Brussel</x:v>
      </x:c>
      <x:c r="J240" s="17" t="str">
        <x:v>official</x:v>
      </x:c>
      <x:c r="K240" s="17" t="str">
        <x:v>2026-09-11</x:v>
      </x:c>
      <x:c r="L240" s="17" t="str">
        <x:v>Current page checked 2026-09-11</x:v>
      </x:c>
      <x:c r="M240" s="17" t="str">
        <x:v>high</x:v>
      </x:c>
      <x:c r="N240" s="17" t="str">
        <x:v>official page checked</x:v>
      </x:c>
      <x:c r="O240" s="17" t="str"/>
      <x:c r="P240" s="18" t="e">
        <x:f>HYPERLINK("https://www.vub.be/en/studying-vub/all-study-programmes-vub/bachelors-and-masters-programmes-vub/master-applied-sciences-and-engineering-computer-science/program/master/master-software-systems","Open source")</x:f>
        <x:v>HYPERLINK is not implemented. linkLocation=https://www.vub.be/en/studying-vub/all-study-programmes-vub/bachelors-and-masters-programmes-vub/master-applied-sciences-and-engineering-computer-science/program/master/master-software-systems, friendlyName=Open source</x:v>
      </x:c>
    </x:row>
    <x:row r="241" ht="46" customHeight="1">
      <x:c r="A241" s="17" t="str">
        <x:v>stage3src:500dc7afc9e0246d556c</x:v>
      </x:c>
      <x:c r="B241" s="17" t="str">
        <x:v>program</x:v>
      </x:c>
      <x:c r="C241" s="17" t="str">
        <x:v>University of Twente</x:v>
      </x:c>
      <x:c r="D241" s="17" t="str">
        <x:v>ror:006hf6230:program:thesis-or-research-master-s:computer-science-msc-software-technology</x:v>
      </x:c>
      <x:c r="E241" s="17" t="str"/>
      <x:c r="F241" s="17" t="str">
        <x:v>program|tuition|deadline</x:v>
      </x:c>
      <x:c r="G241" s="17" t="str">
        <x:v>September 2027 non-EU application deadline and EUR 22,320 non-EU 2027-2028 tuition.</x:v>
      </x:c>
      <x:c r="H241" s="17" t="str">
        <x:v>Computer Science factsheet</x:v>
      </x:c>
      <x:c r="I241" s="17" t="str">
        <x:v>University of Twente</x:v>
      </x:c>
      <x:c r="J241" s="17" t="str">
        <x:v>official</x:v>
      </x:c>
      <x:c r="K241" s="17" t="str">
        <x:v>2026-09-10</x:v>
      </x:c>
      <x:c r="L241" s="17" t="str">
        <x:v>September 2027</x:v>
      </x:c>
      <x:c r="M241" s="17" t="str">
        <x:v>high</x:v>
      </x:c>
      <x:c r="N241" s="17" t="str">
        <x:v>official page checked</x:v>
      </x:c>
      <x:c r="O241" s="17" t="str"/>
      <x:c r="P241" s="18" t="e">
        <x:f>HYPERLINK("https://www.utwente.nl/en/education/master/programmes/computer-science/masters-structure/factsheet/","Open source")</x:f>
        <x:v>HYPERLINK is not implemented. linkLocation=https://www.utwente.nl/en/education/master/programmes/computer-science/masters-structure/factsheet/, friendlyName=Open source</x:v>
      </x:c>
    </x:row>
    <x:row r="242" ht="46" customHeight="1">
      <x:c r="A242" s="17" t="str">
        <x:v>stage3src:671c6ecec64fccd5482a</x:v>
      </x:c>
      <x:c r="B242" s="17" t="str">
        <x:v>program</x:v>
      </x:c>
      <x:c r="C242" s="17" t="str">
        <x:v>University of Twente</x:v>
      </x:c>
      <x:c r="D242" s="17" t="str">
        <x:v>ror:006hf6230:program:thesis-or-research-master-s:computer-science-msc-software-technology</x:v>
      </x:c>
      <x:c r="E242" s="17" t="str"/>
      <x:c r="F242" s="17" t="str">
        <x:v>admissions|eligibility|language|fees|deadline</x:v>
      </x:c>
      <x:c r="G242" s="17" t="str">
        <x:v>International-degree eligibility, 60/20/15 ECTS prerequisites, English rules, required documents, e-check, and EUR 100 fee.</x:v>
      </x:c>
      <x:c r="H242" s="17" t="str">
        <x:v>Applying with an international degree</x:v>
      </x:c>
      <x:c r="I242" s="17" t="str">
        <x:v>University of Twente</x:v>
      </x:c>
      <x:c r="J242" s="17" t="str">
        <x:v>official</x:v>
      </x:c>
      <x:c r="K242" s="17" t="str">
        <x:v>2026-09-10</x:v>
      </x:c>
      <x:c r="L242" s="17" t="str">
        <x:v>September 2027</x:v>
      </x:c>
      <x:c r="M242" s="17" t="str">
        <x:v>high</x:v>
      </x:c>
      <x:c r="N242" s="17" t="str">
        <x:v>official page checked</x:v>
      </x:c>
      <x:c r="O242" s="17" t="str"/>
      <x:c r="P242" s="18" t="e">
        <x:f>HYPERLINK("https://www.utwente.nl/en/education/master/programmes/computer-science/admission/admission-international/","Open source")</x:f>
        <x:v>HYPERLINK is not implemented. linkLocation=https://www.utwente.nl/en/education/master/programmes/computer-science/admission/admission-international/, friendlyName=Open source</x:v>
      </x:c>
    </x:row>
    <x:row r="243" ht="46" customHeight="1">
      <x:c r="A243" s="17" t="str">
        <x:v>stage3src:9f84ba8abeb76731c82f</x:v>
      </x:c>
      <x:c r="B243" s="17" t="str">
        <x:v>program</x:v>
      </x:c>
      <x:c r="C243" s="17" t="str">
        <x:v>University of Twente</x:v>
      </x:c>
      <x:c r="D243" s="17" t="str">
        <x:v>ror:006hf6230:program:thesis-or-research-master-s:computer-science-msc-software-technology</x:v>
      </x:c>
      <x:c r="E243" s="17" t="str"/>
      <x:c r="F243" s="17" t="str">
        <x:v>program</x:v>
      </x:c>
      <x:c r="G243" s="17" t="str">
        <x:v>Two-year 120 EC structure and 40 EC thesis block.</x:v>
      </x:c>
      <x:c r="H243" s="17" t="str">
        <x:v>Master's structure</x:v>
      </x:c>
      <x:c r="I243" s="17" t="str">
        <x:v>University of Twente</x:v>
      </x:c>
      <x:c r="J243" s="17" t="str">
        <x:v>official</x:v>
      </x:c>
      <x:c r="K243" s="17" t="str">
        <x:v>2026-09-10</x:v>
      </x:c>
      <x:c r="L243" s="17" t="str">
        <x:v>Current page checked 2026-09-10</x:v>
      </x:c>
      <x:c r="M243" s="17" t="str">
        <x:v>high</x:v>
      </x:c>
      <x:c r="N243" s="17" t="str">
        <x:v>official page checked</x:v>
      </x:c>
      <x:c r="O243" s="17" t="str"/>
      <x:c r="P243" s="18" t="e">
        <x:f>HYPERLINK("https://www.utwente.nl/en/education/master/programmes/computer-science/masters-structure/","Open source")</x:f>
        <x:v>HYPERLINK is not implemented. linkLocation=https://www.utwente.nl/en/education/master/programmes/computer-science/masters-structure/, friendlyName=Open source</x:v>
      </x:c>
    </x:row>
    <x:row r="244" ht="46" customHeight="1">
      <x:c r="A244" s="17" t="str">
        <x:v>stage3src:a6e85357c4dc1c3a8b56</x:v>
      </x:c>
      <x:c r="B244" s="17" t="str">
        <x:v>program</x:v>
      </x:c>
      <x:c r="C244" s="17" t="str">
        <x:v>University of Twente</x:v>
      </x:c>
      <x:c r="D244" s="17" t="str">
        <x:v>ror:006hf6230:program:thesis-or-research-master-s:computer-science-msc-software-technology</x:v>
      </x:c>
      <x:c r="E244" s="17" t="str"/>
      <x:c r="F244" s="17" t="str">
        <x:v>funding|tuition|fees</x:v>
      </x:c>
      <x:c r="G244" s="17" t="str">
        <x:v>UTS value, separate application, top-5-10-percent condition, second-year continuation, April 1, 2027 deadline, and explicit statement that it is not full-cost.</x:v>
      </x:c>
      <x:c r="H244" s="17" t="str">
        <x:v>University of Twente Scholarship</x:v>
      </x:c>
      <x:c r="I244" s="17" t="str">
        <x:v>University of Twente</x:v>
      </x:c>
      <x:c r="J244" s="17" t="str">
        <x:v>official</x:v>
      </x:c>
      <x:c r="K244" s="17" t="str">
        <x:v>2026-09-10</x:v>
      </x:c>
      <x:c r="L244" s="17" t="str">
        <x:v>2027-2028</x:v>
      </x:c>
      <x:c r="M244" s="17" t="str">
        <x:v>high</x:v>
      </x:c>
      <x:c r="N244" s="17" t="str">
        <x:v>official page checked</x:v>
      </x:c>
      <x:c r="O244" s="17" t="str"/>
      <x:c r="P244" s="18" t="e">
        <x:f>HYPERLINK("https://www.utwente.nl/en/itc/education/study-costs/scholarships/scholarship-finder/university-of-twente-scholarship/","Open source")</x:f>
        <x:v>HYPERLINK is not implemented. linkLocation=https://www.utwente.nl/en/itc/education/study-costs/scholarships/scholarship-finder/university-of-twente-scholarship/, friendlyName=Open source</x:v>
      </x:c>
    </x:row>
    <x:row r="245" ht="46" customHeight="1">
      <x:c r="A245" s="17" t="str">
        <x:v>stage3src:b7681aff0a599016cc86</x:v>
      </x:c>
      <x:c r="B245" s="17" t="str">
        <x:v>program</x:v>
      </x:c>
      <x:c r="C245" s="17" t="str">
        <x:v>University of Twente</x:v>
      </x:c>
      <x:c r="D245" s="17" t="str">
        <x:v>ror:006hf6230:program:thesis-or-research-master-s:computer-science-msc-software-technology</x:v>
      </x:c>
      <x:c r="E245" s="17" t="str"/>
      <x:c r="F245" s="17" t="str">
        <x:v>program</x:v>
      </x:c>
      <x:c r="G245" s="17" t="str">
        <x:v>Current Software Technology specialisation emphasizing software engineering, formal methods, verification, and a research orientation.</x:v>
      </x:c>
      <x:c r="H245" s="17" t="str">
        <x:v>Software Technology</x:v>
      </x:c>
      <x:c r="I245" s="17" t="str">
        <x:v>University of Twente</x:v>
      </x:c>
      <x:c r="J245" s="17" t="str">
        <x:v>official</x:v>
      </x:c>
      <x:c r="K245" s="17" t="str">
        <x:v>2026-09-10</x:v>
      </x:c>
      <x:c r="L245" s="17" t="str">
        <x:v>Current page checked 2026-09-10</x:v>
      </x:c>
      <x:c r="M245" s="17" t="str">
        <x:v>high</x:v>
      </x:c>
      <x:c r="N245" s="17" t="str">
        <x:v>official page checked</x:v>
      </x:c>
      <x:c r="O245" s="17" t="str"/>
      <x:c r="P245" s="18" t="e">
        <x:f>HYPERLINK("https://www.utwente.nl/en/education/master/programmes/computer-science/specialisation/software-technology/","Open source")</x:f>
        <x:v>HYPERLINK is not implemented. linkLocation=https://www.utwente.nl/en/education/master/programmes/computer-science/specialisation/software-technology/, friendlyName=Open source</x:v>
      </x:c>
    </x:row>
    <x:row r="246" ht="46" customHeight="1">
      <x:c r="A246" s="17" t="str">
        <x:v>stage3src:f284203eb6158307779b</x:v>
      </x:c>
      <x:c r="B246" s="17" t="str">
        <x:v>program</x:v>
      </x:c>
      <x:c r="C246" s="17" t="str">
        <x:v>University of Twente</x:v>
      </x:c>
      <x:c r="D246" s="17" t="str">
        <x:v>ror:006hf6230:program:unclear:cross-path-catalog-review</x:v>
      </x:c>
      <x:c r="E246" s="17" t="str"/>
      <x:c r="F246" s="17" t="str">
        <x:v>discovery</x:v>
      </x:c>
      <x:c r="G246" s="17" t="str">
        <x:v>Stage 2 recorded this row as a discovery candidate; it does not independently verify an exact current research program, eligibility, or funding.</x:v>
      </x:c>
      <x:c r="H246" s="17" t="str">
        <x:v>Pass 2 Stage 2 candidate funnel</x:v>
      </x:c>
      <x:c r="I246" s="17" t="str">
        <x:v>Graduate audit pipeline</x:v>
      </x:c>
      <x:c r="J246" s="17" t="str">
        <x:v>derived</x:v>
      </x:c>
      <x:c r="K246" s="17" t="str">
        <x:v>2026-09-11</x:v>
      </x:c>
      <x:c r="L246" s="17" t="str">
        <x:v>Not cycle-specific</x:v>
      </x:c>
      <x:c r="M246" s="17" t="str">
        <x:v>low</x:v>
      </x:c>
      <x:c r="N246" s="17" t="str">
        <x:v>Discovery evidence only</x:v>
      </x:c>
      <x:c r="O246" s="17" t="str">
        <x:v>Use the source_record_paths field to trace the underlying discovery inputs.</x:v>
      </x:c>
      <x:c r="P246" s="18" t="e">
        <x:f>HYPERLINK("https://www.utwente.nl","Open source")</x:f>
        <x:v>HYPERLINK is not implemented. linkLocation=https://www.utwente.nl, friendlyName=Open source</x:v>
      </x:c>
    </x:row>
    <x:row r="247" ht="46" customHeight="1">
      <x:c r="A247" s="17" t="str">
        <x:v>stage3src:50d9cd145ce009d0d383</x:v>
      </x:c>
      <x:c r="B247" s="17" t="str">
        <x:v>program</x:v>
      </x:c>
      <x:c r="C247" s="17" t="str">
        <x:v>University of Antwerp</x:v>
      </x:c>
      <x:c r="D247" s="17" t="str">
        <x:v>ror:008x57b05:program:thesis-or-research-master-s:master-of-computer-science-software-engineering</x:v>
      </x:c>
      <x:c r="E247" s="17" t="str"/>
      <x:c r="F247" s="17" t="str">
        <x:v>program|research|eligibility</x:v>
      </x:c>
      <x:c r="G247" s="17" t="str">
        <x:v>English 120-credit Software Engineering master's, R&amp;D focus, research internships, and 30-credit thesis.</x:v>
      </x:c>
      <x:c r="H247" s="17" t="str">
        <x:v>Master of Computer Science: Software Engineering Programme Info</x:v>
      </x:c>
      <x:c r="I247" s="17" t="str">
        <x:v>University of Antwerp</x:v>
      </x:c>
      <x:c r="J247" s="17" t="str">
        <x:v>official</x:v>
      </x:c>
      <x:c r="K247" s="17" t="str">
        <x:v>2026-09-10</x:v>
      </x:c>
      <x:c r="L247" s="17" t="str">
        <x:v>Current program checked 2026-09-10</x:v>
      </x:c>
      <x:c r="M247" s="17" t="str">
        <x:v>high</x:v>
      </x:c>
      <x:c r="N247" s="17" t="str">
        <x:v>official page checked</x:v>
      </x:c>
      <x:c r="O247" s="17" t="str"/>
      <x:c r="P247" s="18" t="e">
        <x:f>HYPERLINK("https://www.uantwerpen.be/en/study/programmes/all-programmes/master-software-engineering/programme-info/","Open source")</x:f>
        <x:v>HYPERLINK is not implemented. linkLocation=https://www.uantwerpen.be/en/study/programmes/all-programmes/master-software-engineering/programme-info/, friendlyName=Open source</x:v>
      </x:c>
    </x:row>
    <x:row r="248" ht="46" customHeight="1">
      <x:c r="A248" s="17" t="str">
        <x:v>stage3src:a916345a418de891c36a</x:v>
      </x:c>
      <x:c r="B248" s="17" t="str">
        <x:v>program</x:v>
      </x:c>
      <x:c r="C248" s="17" t="str">
        <x:v>University of Antwerp</x:v>
      </x:c>
      <x:c r="D248" s="17" t="str">
        <x:v>ror:008x57b05:program:thesis-or-research-master-s:master-of-computer-science-software-engineering</x:v>
      </x:c>
      <x:c r="E248" s="17" t="str"/>
      <x:c r="F248" s="17" t="str">
        <x:v>admissions|eligibility|language</x:v>
      </x:c>
      <x:c r="G248" s="17" t="str">
        <x:v>Recognized bachelor's requirement, foreign-degree application route, English test thresholds, and waiver limits.</x:v>
      </x:c>
      <x:c r="H248" s="17" t="str">
        <x:v>Master Programme Admission Requirements</x:v>
      </x:c>
      <x:c r="I248" s="17" t="str">
        <x:v>University of Antwerp</x:v>
      </x:c>
      <x:c r="J248" s="17" t="str">
        <x:v>official</x:v>
      </x:c>
      <x:c r="K248" s="17" t="str">
        <x:v>2026-09-10</x:v>
      </x:c>
      <x:c r="L248" s="17" t="str">
        <x:v>Current requirements checked 2026-09-10</x:v>
      </x:c>
      <x:c r="M248" s="17" t="str">
        <x:v>high</x:v>
      </x:c>
      <x:c r="N248" s="17" t="str">
        <x:v>official page checked</x:v>
      </x:c>
      <x:c r="O248" s="17" t="str"/>
      <x:c r="P248" s="18" t="e">
        <x:f>HYPERLINK("https://www.uantwerpen.be/en/study/admission-and-enrolment/admission/master-and-advanced-master/admission-requirements/","Open source")</x:f>
        <x:v>HYPERLINK is not implemented. linkLocation=https://www.uantwerpen.be/en/study/admission-and-enrolment/admission/master-and-advanced-master/admission-requirements/, friendlyName=Open source</x:v>
      </x:c>
    </x:row>
    <x:row r="249" ht="46" customHeight="1">
      <x:c r="A249" s="17" t="str">
        <x:v>stage3src:ad107043542a5d09969a</x:v>
      </x:c>
      <x:c r="B249" s="17" t="str">
        <x:v>program</x:v>
      </x:c>
      <x:c r="C249" s="17" t="str">
        <x:v>University of Antwerp</x:v>
      </x:c>
      <x:c r="D249" s="17" t="str">
        <x:v>ror:008x57b05:program:thesis-or-research-master-s:master-of-computer-science-software-engineering</x:v>
      </x:c>
      <x:c r="E249" s="17" t="str"/>
      <x:c r="F249" s="17" t="str">
        <x:v>funding|tuition|fees|deadline</x:v>
      </x:c>
      <x:c r="G249" s="17" t="str">
        <x:v>Limited merit-based Faculty of Science tuition-fee reduction and lack of a guaranteed living-cost package.</x:v>
      </x:c>
      <x:c r="H249" s="17" t="str">
        <x:v>Tuition Fees, Scholarships and Costs</x:v>
      </x:c>
      <x:c r="I249" s="17" t="str">
        <x:v>University of Antwerp</x:v>
      </x:c>
      <x:c r="J249" s="17" t="str">
        <x:v>official</x:v>
      </x:c>
      <x:c r="K249" s="17" t="str">
        <x:v>2026-09-10</x:v>
      </x:c>
      <x:c r="L249" s="17" t="str">
        <x:v>Current guidance checked 2026-09-10</x:v>
      </x:c>
      <x:c r="M249" s="17" t="str">
        <x:v>high</x:v>
      </x:c>
      <x:c r="N249" s="17" t="str">
        <x:v>official page checked</x:v>
      </x:c>
      <x:c r="O249" s="17" t="str"/>
      <x:c r="P249" s="18" t="e">
        <x:f>HYPERLINK("https://www.uantwerpen.be/en/study/programmes/all-programmes/master-software-engineering/admission-and-enrolment/tuitionfees/","Open source")</x:f>
        <x:v>HYPERLINK is not implemented. linkLocation=https://www.uantwerpen.be/en/study/programmes/all-programmes/master-software-engineering/admission-and-enrolment/tuitionfees/, friendlyName=Open source</x:v>
      </x:c>
    </x:row>
    <x:row r="250" ht="46" customHeight="1">
      <x:c r="A250" s="17" t="str">
        <x:v>stage3src:b886327fe026cfcb5a79</x:v>
      </x:c>
      <x:c r="B250" s="17" t="str">
        <x:v>program</x:v>
      </x:c>
      <x:c r="C250" s="17" t="str">
        <x:v>University of Antwerp</x:v>
      </x:c>
      <x:c r="D250" s="17" t="str">
        <x:v>ror:008x57b05:program:thesis-or-research-master-s:master-of-computer-science-software-engineering</x:v>
      </x:c>
      <x:c r="E250" s="17" t="str"/>
      <x:c r="F250" s="17" t="str">
        <x:v>admissions|eligibility|language|deadline|fees</x:v>
      </x:c>
      <x:c r="G250" s="17" t="str">
        <x:v>Explicit 2027-2028 non-EEA deadlines, foreign-degree screening, required documents, free application, and one-running-application rule.</x:v>
      </x:c>
      <x:c r="H250" s="17" t="str">
        <x:v>How and When to Apply</x:v>
      </x:c>
      <x:c r="I250" s="17" t="str">
        <x:v>University of Antwerp</x:v>
      </x:c>
      <x:c r="J250" s="17" t="str">
        <x:v>official</x:v>
      </x:c>
      <x:c r="K250" s="17" t="str">
        <x:v>2026-09-10</x:v>
      </x:c>
      <x:c r="L250" s="17" t="str">
        <x:v>Academic year 2027-2028</x:v>
      </x:c>
      <x:c r="M250" s="17" t="str">
        <x:v>high</x:v>
      </x:c>
      <x:c r="N250" s="17" t="str">
        <x:v>official page checked</x:v>
      </x:c>
      <x:c r="O250" s="17" t="str"/>
      <x:c r="P250" s="18" t="e">
        <x:f>HYPERLINK("https://www.uantwerpen.be/en/study/admission-and-enrolment/admission/procedure/","Open source")</x:f>
        <x:v>HYPERLINK is not implemented. linkLocation=https://www.uantwerpen.be/en/study/admission-and-enrolment/admission/procedure/, friendlyName=Open source</x:v>
      </x:c>
    </x:row>
    <x:row r="251" ht="46" customHeight="1">
      <x:c r="A251" s="17" t="str">
        <x:v>stage3src:130fd4d5990168886541</x:v>
      </x:c>
      <x:c r="B251" s="17" t="str">
        <x:v>program</x:v>
      </x:c>
      <x:c r="C251" s="17" t="str">
        <x:v>Vrije Universiteit Amsterdam</x:v>
      </x:c>
      <x:c r="D251" s="17" t="str">
        <x:v>ror:008xxew50:program:thesis-or-research-master-s:computer-science-msc-software-engineering-and-green-it</x:v>
      </x:c>
      <x:c r="E251" s="17" t="str"/>
      <x:c r="F251" s="17" t="str">
        <x:v>admissions|eligibility|language|fees</x:v>
      </x:c>
      <x:c r="G251" s="17" t="str">
        <x:v>Research-university bachelor's equivalency, Computer Science or related degree, detailed 120/90 ECTS subject requirements, and Admission Board review.</x:v>
      </x:c>
      <x:c r="H251" s="17" t="str">
        <x:v>Computer Science Admissions</x:v>
      </x:c>
      <x:c r="I251" s="17" t="str">
        <x:v>Vrije Universiteit Amsterdam</x:v>
      </x:c>
      <x:c r="J251" s="17" t="str">
        <x:v>official</x:v>
      </x:c>
      <x:c r="K251" s="17" t="str">
        <x:v>2026-09-10</x:v>
      </x:c>
      <x:c r="L251" s="17" t="str">
        <x:v>Current international guidance checked 2026-09-10</x:v>
      </x:c>
      <x:c r="M251" s="17" t="str">
        <x:v>high</x:v>
      </x:c>
      <x:c r="N251" s="17" t="str">
        <x:v>official page checked</x:v>
      </x:c>
      <x:c r="O251" s="17" t="str"/>
      <x:c r="P251" s="18" t="e">
        <x:f>HYPERLINK("https://vu.nl/en/education/master/computer-science-joint-degree-vu-uva/admissions","Open source")</x:f>
        <x:v>HYPERLINK is not implemented. linkLocation=https://vu.nl/en/education/master/computer-science-joint-degree-vu-uva/admissions, friendlyName=Open source</x:v>
      </x:c>
    </x:row>
    <x:row r="252" ht="46" customHeight="1">
      <x:c r="A252" s="17" t="str">
        <x:v>stage3src:5cbdb0f08fe9bc082ee3</x:v>
      </x:c>
      <x:c r="B252" s="17" t="str">
        <x:v>program</x:v>
      </x:c>
      <x:c r="C252" s="17" t="str">
        <x:v>Vrije Universiteit Amsterdam</x:v>
      </x:c>
      <x:c r="D252" s="17" t="str">
        <x:v>ror:008xxew50:program:thesis-or-research-master-s:computer-science-msc-software-engineering-and-green-it</x:v>
      </x:c>
      <x:c r="E252" s="17" t="str"/>
      <x:c r="F252" s="17" t="str">
        <x:v>program|research|language</x:v>
      </x:c>
      <x:c r="G252" s="17" t="str">
        <x:v>Current English two-year joint Computer Science MSc and Software Engineering and Green IT specialization.</x:v>
      </x:c>
      <x:c r="H252" s="17" t="str">
        <x:v>Computer Science Joint Degree VU/UvA</x:v>
      </x:c>
      <x:c r="I252" s="17" t="str">
        <x:v>Vrije Universiteit Amsterdam</x:v>
      </x:c>
      <x:c r="J252" s="17" t="str">
        <x:v>official</x:v>
      </x:c>
      <x:c r="K252" s="17" t="str">
        <x:v>2026-09-10</x:v>
      </x:c>
      <x:c r="L252" s="17" t="str">
        <x:v>Current page checked 2026-09-10</x:v>
      </x:c>
      <x:c r="M252" s="17" t="str">
        <x:v>high</x:v>
      </x:c>
      <x:c r="N252" s="17" t="str">
        <x:v>official page checked</x:v>
      </x:c>
      <x:c r="O252" s="17" t="str"/>
      <x:c r="P252" s="18" t="e">
        <x:f>HYPERLINK("https://vu.nl/en/education/master/computer-science-joint-degree-vu-uva","Open source")</x:f>
        <x:v>HYPERLINK is not implemented. linkLocation=https://vu.nl/en/education/master/computer-science-joint-degree-vu-uva, friendlyName=Open source</x:v>
      </x:c>
    </x:row>
    <x:row r="253" ht="46" customHeight="1">
      <x:c r="A253" s="17" t="str">
        <x:v>stage3src:f36c87d0ad45c152bedb</x:v>
      </x:c>
      <x:c r="B253" s="17" t="str">
        <x:v>program</x:v>
      </x:c>
      <x:c r="C253" s="17" t="str">
        <x:v>Vrije Universiteit Amsterdam</x:v>
      </x:c>
      <x:c r="D253" s="17" t="str">
        <x:v>ror:008xxew50:program:thesis-or-research-master-s:computer-science-msc-software-engineering-and-green-it</x:v>
      </x:c>
      <x:c r="E253" s="17" t="str"/>
      <x:c r="F253" s="17" t="str">
        <x:v>funding|scholarship|tuition|deadline</x:v>
      </x:c>
      <x:c r="G253" s="17" t="str">
        <x:v>Competitive non-EU VUFP tuition waiver, no living-cost allowance, and conditional second-year extension.</x:v>
      </x:c>
      <x:c r="H253" s="17" t="str">
        <x:v>Scholarships for Incoming Master's Students</x:v>
      </x:c>
      <x:c r="I253" s="17" t="str">
        <x:v>Vrije Universiteit Amsterdam</x:v>
      </x:c>
      <x:c r="J253" s="17" t="str">
        <x:v>official</x:v>
      </x:c>
      <x:c r="K253" s="17" t="str">
        <x:v>2026-09-10</x:v>
      </x:c>
      <x:c r="L253" s="17" t="str">
        <x:v>Latest 2026 scholarship guidance; 2027 cycle pending</x:v>
      </x:c>
      <x:c r="M253" s="17" t="str">
        <x:v>high</x:v>
      </x:c>
      <x:c r="N253" s="17" t="str">
        <x:v>official page checked</x:v>
      </x:c>
      <x:c r="O253" s="17" t="str"/>
      <x:c r="P253" s="18" t="e">
        <x:f>HYPERLINK("https://vu.nl/en/education/more-about/incoming-master-scholarships","Open source")</x:f>
        <x:v>HYPERLINK is not implemented. linkLocation=https://vu.nl/en/education/more-about/incoming-master-scholarships, friendlyName=Open source</x:v>
      </x:c>
    </x:row>
    <x:row r="254" ht="46" customHeight="1">
      <x:c r="A254" s="17" t="str">
        <x:v>stage3src:5ee6172c6379d1e96ba7</x:v>
      </x:c>
      <x:c r="B254" s="17" t="str">
        <x:v>program</x:v>
      </x:c>
      <x:c r="C254" s="17" t="str">
        <x:v>Vrije Universiteit Amsterdam</x:v>
      </x:c>
      <x:c r="D254" s="17" t="str">
        <x:v>ror:008xxew50:program:unclear:cross-path-catalog-review</x:v>
      </x:c>
      <x:c r="E254" s="17" t="str"/>
      <x:c r="F254" s="17" t="str">
        <x:v>discovery</x:v>
      </x:c>
      <x:c r="G254" s="17" t="str">
        <x:v>Stage 2 recorded this row as a discovery candidate; it does not independently verify an exact current research program, eligibility, or funding.</x:v>
      </x:c>
      <x:c r="H254" s="17" t="str">
        <x:v>Pass 2 Stage 2 candidate funnel</x:v>
      </x:c>
      <x:c r="I254" s="17" t="str">
        <x:v>Graduate audit pipeline</x:v>
      </x:c>
      <x:c r="J254" s="17" t="str">
        <x:v>derived</x:v>
      </x:c>
      <x:c r="K254" s="17" t="str">
        <x:v>2026-09-11</x:v>
      </x:c>
      <x:c r="L254" s="17" t="str">
        <x:v>Not cycle-specific</x:v>
      </x:c>
      <x:c r="M254" s="17" t="str">
        <x:v>low</x:v>
      </x:c>
      <x:c r="N254" s="17" t="str">
        <x:v>Discovery evidence only</x:v>
      </x:c>
      <x:c r="O254" s="17" t="str">
        <x:v>Use the source_record_paths field to trace the underlying discovery inputs.</x:v>
      </x:c>
      <x:c r="P254" s="18" t="e">
        <x:f>HYPERLINK("https://vu.nl/","Open source")</x:f>
        <x:v>HYPERLINK is not implemented. linkLocation=https://vu.nl/, friendlyName=Open source</x:v>
      </x:c>
    </x:row>
    <x:row r="255" ht="46" customHeight="1">
      <x:c r="A255" s="17" t="str">
        <x:v>stage3src:0633a5da48c6b13ecc77</x:v>
      </x:c>
      <x:c r="B255" s="17" t="str">
        <x:v>program</x:v>
      </x:c>
      <x:c r="C255" s="17" t="str">
        <x:v>Blekinge Institute of Technology</x:v>
      </x:c>
      <x:c r="D255" s="17" t="str">
        <x:v>ror:0093a8w51:program:thesis-or-research-master-s:master-s-programme-in-software-engineering-120-credits</x:v>
      </x:c>
      <x:c r="E255" s="17" t="str"/>
      <x:c r="F255" s="17" t="str">
        <x:v>admissions|eligibility|language|fees|deadline</x:v>
      </x:c>
      <x:c r="G255" s="17" t="str">
        <x:v>Central Swedish application, ranking, fee, documentation, and English framework.</x:v>
      </x:c>
      <x:c r="H255" s="17" t="str">
        <x:v>Apply to master's programmes</x:v>
      </x:c>
      <x:c r="I255" s="17" t="str">
        <x:v>University Admissions in Sweden</x:v>
      </x:c>
      <x:c r="J255" s="17" t="str">
        <x:v>official</x:v>
      </x:c>
      <x:c r="K255" s="17" t="str">
        <x:v>2026-09-10</x:v>
      </x:c>
      <x:c r="L255" s="17" t="str">
        <x:v>Current framework checked 2026-09-11</x:v>
      </x:c>
      <x:c r="M255" s="17" t="str">
        <x:v>high</x:v>
      </x:c>
      <x:c r="N255" s="17" t="str">
        <x:v>official page checked</x:v>
      </x:c>
      <x:c r="O255" s="17" t="str"/>
      <x:c r="P255" s="18" t="e">
        <x:f>HYPERLINK("https://www.universityadmissions.se/intl/start","Open source")</x:f>
        <x:v>HYPERLINK is not implemented. linkLocation=https://www.universityadmissions.se/intl/start, friendlyName=Open source</x:v>
      </x:c>
    </x:row>
    <x:row r="256" ht="46" customHeight="1">
      <x:c r="A256" s="17" t="str">
        <x:v>stage3src:a4b2202696964b1b4e84</x:v>
      </x:c>
      <x:c r="B256" s="17" t="str">
        <x:v>program</x:v>
      </x:c>
      <x:c r="C256" s="17" t="str">
        <x:v>Blekinge Institute of Technology</x:v>
      </x:c>
      <x:c r="D256" s="17" t="str">
        <x:v>ror:0093a8w51:program:thesis-or-research-master-s:master-s-programme-in-software-engineering-120-credits</x:v>
      </x:c>
      <x:c r="E256" s="17" t="str"/>
      <x:c r="F256" s="17" t="str">
        <x:v>program|research|eligibility|admissions|tuition|deadline</x:v>
      </x:c>
      <x:c r="G256" s="17" t="str">
        <x:v>Current 120-credit program, English delivery, detailed prerequisites, thesis, and current-cycle tuition.</x:v>
      </x:c>
      <x:c r="H256" s="17" t="str">
        <x:v>Master's Programme in Software Engineering, 120 credits</x:v>
      </x:c>
      <x:c r="I256" s="17" t="str">
        <x:v>Blekinge Institute of Technology</x:v>
      </x:c>
      <x:c r="J256" s="17" t="str">
        <x:v>official</x:v>
      </x:c>
      <x:c r="K256" s="17" t="str">
        <x:v>2026-09-10</x:v>
      </x:c>
      <x:c r="L256" s="17" t="str">
        <x:v>Autumn 2026 page checked 2026-09-11</x:v>
      </x:c>
      <x:c r="M256" s="17" t="str">
        <x:v>high</x:v>
      </x:c>
      <x:c r="N256" s="17" t="str">
        <x:v>official page checked</x:v>
      </x:c>
      <x:c r="O256" s="17" t="str"/>
      <x:c r="P256" s="18" t="e">
        <x:f>HYPERLINK("https://www.bth.se/english/education/programmes/masters-programme-in-software-engineering-120-credits","Open source")</x:f>
        <x:v>HYPERLINK is not implemented. linkLocation=https://www.bth.se/english/education/programmes/masters-programme-in-software-engineering-120-credits, friendlyName=Open source</x:v>
      </x:c>
    </x:row>
    <x:row r="257" ht="46" customHeight="1">
      <x:c r="A257" s="17" t="str">
        <x:v>stage3src:bd645d964806fc2d7ba6</x:v>
      </x:c>
      <x:c r="B257" s="17" t="str">
        <x:v>program</x:v>
      </x:c>
      <x:c r="C257" s="17" t="str">
        <x:v>Blekinge Institute of Technology</x:v>
      </x:c>
      <x:c r="D257" s="17" t="str">
        <x:v>ror:0093a8w51:program:thesis-or-research-master-s:master-s-programme-in-software-engineering-120-credits</x:v>
      </x:c>
      <x:c r="E257" s="17" t="str"/>
      <x:c r="F257" s="17" t="str">
        <x:v>funding|tuition|fees|deadline</x:v>
      </x:c>
      <x:c r="G257" s="17" t="str">
        <x:v>Competitive partial tuition scholarship, first-choice timing, and exclusion of living costs.</x:v>
      </x:c>
      <x:c r="H257" s="17" t="str">
        <x:v>Scholarships</x:v>
      </x:c>
      <x:c r="I257" s="17" t="str">
        <x:v>Blekinge Institute of Technology</x:v>
      </x:c>
      <x:c r="J257" s="17" t="str">
        <x:v>official</x:v>
      </x:c>
      <x:c r="K257" s="17" t="str">
        <x:v>2026-09-10</x:v>
      </x:c>
      <x:c r="L257" s="17" t="str">
        <x:v>Current page checked 2026-09-11</x:v>
      </x:c>
      <x:c r="M257" s="17" t="str">
        <x:v>high</x:v>
      </x:c>
      <x:c r="N257" s="17" t="str">
        <x:v>official page checked</x:v>
      </x:c>
      <x:c r="O257" s="17" t="str"/>
      <x:c r="P257" s="18" t="e">
        <x:f>HYPERLINK("https://www.bth.se/english/education/application-and-admission/scholarships","Open source")</x:f>
        <x:v>HYPERLINK is not implemented. linkLocation=https://www.bth.se/english/education/application-and-admission/scholarships, friendlyName=Open source</x:v>
      </x:c>
    </x:row>
    <x:row r="258" ht="46" customHeight="1">
      <x:c r="A258" s="17" t="str">
        <x:v>stage3src:41dc6143f256e2348c89</x:v>
      </x:c>
      <x:c r="B258" s="17" t="str">
        <x:v>program</x:v>
      </x:c>
      <x:c r="C258" s="17" t="str">
        <x:v>University of Western Macedonia</x:v>
      </x:c>
      <x:c r="D258" s="17" t="str">
        <x:v>ror:00a5pe906:program:unclear:cross-path-catalog-review</x:v>
      </x:c>
      <x:c r="E258" s="17" t="str"/>
      <x:c r="F258" s="17" t="str">
        <x:v>discovery</x:v>
      </x:c>
      <x:c r="G258" s="17" t="str">
        <x:v>Stage 2 recorded this row as a discovery candidate; it does not independently verify an exact current research program, eligibility, or funding.</x:v>
      </x:c>
      <x:c r="H258" s="17" t="str">
        <x:v>Pass 2 Stage 2 candidate funnel</x:v>
      </x:c>
      <x:c r="I258" s="17" t="str">
        <x:v>Graduate audit pipeline</x:v>
      </x:c>
      <x:c r="J258" s="17" t="str">
        <x:v>derived</x:v>
      </x:c>
      <x:c r="K258" s="17" t="str">
        <x:v>2026-09-11</x:v>
      </x:c>
      <x:c r="L258" s="17" t="str">
        <x:v>Not cycle-specific</x:v>
      </x:c>
      <x:c r="M258" s="17" t="str">
        <x:v>low</x:v>
      </x:c>
      <x:c r="N258" s="17" t="str">
        <x:v>Discovery evidence only</x:v>
      </x:c>
      <x:c r="O258" s="17" t="str">
        <x:v>Use the source_record_paths field to trace the underlying discovery inputs.</x:v>
      </x:c>
      <x:c r="P258" s="18" t="e">
        <x:f>HYPERLINK("https://www.uowm.gr","Open source")</x:f>
        <x:v>HYPERLINK is not implemented. linkLocation=https://www.uowm.gr, friendlyName=Open source</x:v>
      </x:c>
    </x:row>
    <x:row r="259" ht="46" customHeight="1">
      <x:c r="A259" s="17" t="str">
        <x:v>stage3src:162e810a7504a47a382b</x:v>
      </x:c>
      <x:c r="B259" s="17" t="str">
        <x:v>program</x:v>
      </x:c>
      <x:c r="C259" s="17" t="str">
        <x:v>Graz University of Technology</x:v>
      </x:c>
      <x:c r="D259" s="17" t="str">
        <x:v>ror:00d7xrm67:program:thesis-or-research-master-s:master-s-degree-programme-in-software-engineering-and-management</x:v>
      </x:c>
      <x:c r="E259" s="17" t="str"/>
      <x:c r="F259" s="17" t="str">
        <x:v>funding|scholarship|deadline</x:v>
      </x:c>
      <x:c r="G259" s="17" t="str">
        <x:v>Competitive master's scholarships up to EUR 17,600 over up to two years with a 2027 application window.</x:v>
      </x:c>
      <x:c r="H259" s="17" t="str">
        <x:v>Scholarships: TU Graz High Potentials</x:v>
      </x:c>
      <x:c r="I259" s="17" t="str">
        <x:v>Graz University of Technology</x:v>
      </x:c>
      <x:c r="J259" s="17" t="str">
        <x:v>official</x:v>
      </x:c>
      <x:c r="K259" s="17" t="str">
        <x:v>2026-09-10</x:v>
      </x:c>
      <x:c r="L259" s="17" t="str">
        <x:v>Winter semester 2027</x:v>
      </x:c>
      <x:c r="M259" s="17" t="str">
        <x:v>high</x:v>
      </x:c>
      <x:c r="N259" s="17" t="str">
        <x:v>official page checked</x:v>
      </x:c>
      <x:c r="O259" s="17" t="str"/>
      <x:c r="P259" s="18" t="e">
        <x:f>HYPERLINK("https://www.tugraz.at/en/studying-and-teaching/studying-at-tu-graz/prospective-students/financial-matters/scholarships-for-students/scholarships-tu-graz-high-potentials","Open source")</x:f>
        <x:v>HYPERLINK is not implemented. linkLocation=https://www.tugraz.at/en/studying-and-teaching/studying-at-tu-graz/prospective-students/financial-matters/scholarships-for-students/scholarships-tu-graz-high-potentials, friendlyName=Open source</x:v>
      </x:c>
    </x:row>
    <x:row r="260" ht="46" customHeight="1">
      <x:c r="A260" s="17" t="str">
        <x:v>stage3src:1ab37d4ab908ae692a7c</x:v>
      </x:c>
      <x:c r="B260" s="17" t="str">
        <x:v>program</x:v>
      </x:c>
      <x:c r="C260" s="17" t="str">
        <x:v>Graz University of Technology</x:v>
      </x:c>
      <x:c r="D260" s="17" t="str">
        <x:v>ror:00d7xrm67:program:thesis-or-research-master-s:master-s-degree-programme-in-software-engineering-and-management</x:v>
      </x:c>
      <x:c r="E260" s="17" t="str"/>
      <x:c r="F260" s="17" t="str">
        <x:v>program|research|admissions|eligibility|language|deadline</x:v>
      </x:c>
      <x:c r="G260" s="17" t="str">
        <x:v>English 120-ECTS master's, relevant-bachelor gate, admission procedure, thesis route, and explicit 2027-2028 registration dates.</x:v>
      </x:c>
      <x:c r="H260" s="17" t="str">
        <x:v>Software Engineering and Management</x:v>
      </x:c>
      <x:c r="I260" s="17" t="str">
        <x:v>Graz University of Technology</x:v>
      </x:c>
      <x:c r="J260" s="17" t="str">
        <x:v>official</x:v>
      </x:c>
      <x:c r="K260" s="17" t="str">
        <x:v>2026-09-10</x:v>
      </x:c>
      <x:c r="L260" s="17" t="str">
        <x:v>2027-2028</x:v>
      </x:c>
      <x:c r="M260" s="17" t="str">
        <x:v>high</x:v>
      </x:c>
      <x:c r="N260" s="17" t="str">
        <x:v>official page checked</x:v>
      </x:c>
      <x:c r="O260" s="17" t="str"/>
      <x:c r="P260" s="18" t="e">
        <x:f>HYPERLINK("https://www.tugraz.at/en/studying-and-teaching/degree-and-certificate-programmes/masters-degree-programmes/software-engineering-and-management","Open source")</x:f>
        <x:v>HYPERLINK is not implemented. linkLocation=https://www.tugraz.at/en/studying-and-teaching/degree-and-certificate-programmes/masters-degree-programmes/software-engineering-and-management, friendlyName=Open source</x:v>
      </x:c>
    </x:row>
    <x:row r="261" ht="46" customHeight="1">
      <x:c r="A261" s="17" t="str">
        <x:v>stage3src:de82083eeda6936d3d8c</x:v>
      </x:c>
      <x:c r="B261" s="17" t="str">
        <x:v>program</x:v>
      </x:c>
      <x:c r="C261" s="17" t="str">
        <x:v>Graz University of Technology</x:v>
      </x:c>
      <x:c r="D261" s="17" t="str">
        <x:v>ror:00d7xrm67:program:unclear:cross-path-catalog-review</x:v>
      </x:c>
      <x:c r="E261" s="17" t="str"/>
      <x:c r="F261" s="17" t="str">
        <x:v>discovery</x:v>
      </x:c>
      <x:c r="G261" s="17" t="str">
        <x:v>Stage 2 recorded this row as a discovery candidate; it does not independently verify an exact current research program, eligibility, or funding.</x:v>
      </x:c>
      <x:c r="H261" s="17" t="str">
        <x:v>Pass 2 Stage 2 candidate funnel</x:v>
      </x:c>
      <x:c r="I261" s="17" t="str">
        <x:v>Graduate audit pipeline</x:v>
      </x:c>
      <x:c r="J261" s="17" t="str">
        <x:v>derived</x:v>
      </x:c>
      <x:c r="K261" s="17" t="str">
        <x:v>2026-09-11</x:v>
      </x:c>
      <x:c r="L261" s="17" t="str">
        <x:v>Not cycle-specific</x:v>
      </x:c>
      <x:c r="M261" s="17" t="str">
        <x:v>low</x:v>
      </x:c>
      <x:c r="N261" s="17" t="str">
        <x:v>Discovery evidence only</x:v>
      </x:c>
      <x:c r="O261" s="17" t="str">
        <x:v>Use the source_record_paths field to trace the underlying discovery inputs.</x:v>
      </x:c>
      <x:c r="P261" s="18" t="e">
        <x:f>HYPERLINK("https://www.tugraz.at","Open source")</x:f>
        <x:v>HYPERLINK is not implemented. linkLocation=https://www.tugraz.at, friendlyName=Open source</x:v>
      </x:c>
    </x:row>
    <x:row r="262" ht="46" customHeight="1">
      <x:c r="A262" s="17" t="str">
        <x:v>stage3src:34b603be58be5957ddf6</x:v>
      </x:c>
      <x:c r="B262" s="17" t="str">
        <x:v>program</x:v>
      </x:c>
      <x:c r="C262" s="17" t="str">
        <x:v>Brunel University of London</x:v>
      </x:c>
      <x:c r="D262" s="17" t="str">
        <x:v>ror:00dn4t376:program:unclear:cross-path-catalog-review</x:v>
      </x:c>
      <x:c r="E262" s="17" t="str"/>
      <x:c r="F262" s="17" t="str">
        <x:v>discovery</x:v>
      </x:c>
      <x:c r="G262" s="17" t="str">
        <x:v>Stage 2 recorded this row as a discovery candidate; it does not independently verify an exact current research program, eligibility, or funding.</x:v>
      </x:c>
      <x:c r="H262" s="17" t="str">
        <x:v>Pass 2 Stage 2 candidate funnel</x:v>
      </x:c>
      <x:c r="I262" s="17" t="str">
        <x:v>Graduate audit pipeline</x:v>
      </x:c>
      <x:c r="J262" s="17" t="str">
        <x:v>derived</x:v>
      </x:c>
      <x:c r="K262" s="17" t="str">
        <x:v>2026-09-11</x:v>
      </x:c>
      <x:c r="L262" s="17" t="str">
        <x:v>Not cycle-specific</x:v>
      </x:c>
      <x:c r="M262" s="17" t="str">
        <x:v>low</x:v>
      </x:c>
      <x:c r="N262" s="17" t="str">
        <x:v>Discovery evidence only</x:v>
      </x:c>
      <x:c r="O262" s="17" t="str">
        <x:v>Use the source_record_paths field to trace the underlying discovery inputs.</x:v>
      </x:c>
      <x:c r="P262" s="18" t="e">
        <x:f>HYPERLINK("https://www.brunel.ac.uk","Open source")</x:f>
        <x:v>HYPERLINK is not implemented. linkLocation=https://www.brunel.ac.uk, friendlyName=Open source</x:v>
      </x:c>
    </x:row>
    <x:row r="263" ht="46" customHeight="1">
      <x:c r="A263" s="17" t="str">
        <x:v>stage3src:3f6e0ad55154efba5549</x:v>
      </x:c>
      <x:c r="B263" s="17" t="str">
        <x:v>program</x:v>
      </x:c>
      <x:c r="C263" s="17" t="str">
        <x:v>Universität Hamburg</x:v>
      </x:c>
      <x:c r="D263" s="17" t="str">
        <x:v>ror:00g30e956:program:unclear:cross-path-catalog-review</x:v>
      </x:c>
      <x:c r="E263" s="17" t="str"/>
      <x:c r="F263" s="17" t="str">
        <x:v>discovery</x:v>
      </x:c>
      <x:c r="G263" s="17" t="str">
        <x:v>Stage 2 recorded this row as a discovery candidate; it does not independently verify an exact current research program, eligibility, or funding.</x:v>
      </x:c>
      <x:c r="H263" s="17" t="str">
        <x:v>Pass 2 Stage 2 candidate funnel</x:v>
      </x:c>
      <x:c r="I263" s="17" t="str">
        <x:v>Graduate audit pipeline</x:v>
      </x:c>
      <x:c r="J263" s="17" t="str">
        <x:v>derived</x:v>
      </x:c>
      <x:c r="K263" s="17" t="str">
        <x:v>2026-09-11</x:v>
      </x:c>
      <x:c r="L263" s="17" t="str">
        <x:v>Not cycle-specific</x:v>
      </x:c>
      <x:c r="M263" s="17" t="str">
        <x:v>low</x:v>
      </x:c>
      <x:c r="N263" s="17" t="str">
        <x:v>Discovery evidence only</x:v>
      </x:c>
      <x:c r="O263" s="17" t="str">
        <x:v>Use the source_record_paths field to trace the underlying discovery inputs.</x:v>
      </x:c>
      <x:c r="P263" s="18" t="e">
        <x:f>HYPERLINK("http://www.uni-hamburg.de","Open source")</x:f>
        <x:v>HYPERLINK is not implemented. linkLocation=http://www.uni-hamburg.de, friendlyName=Open source</x:v>
      </x:c>
    </x:row>
    <x:row r="264" ht="46" customHeight="1">
      <x:c r="A264" s="17" t="str">
        <x:v>stage3src:32a516884ab2cc3e9000</x:v>
      </x:c>
      <x:c r="B264" s="17" t="str">
        <x:v>program</x:v>
      </x:c>
      <x:c r="C264" s="17" t="str">
        <x:v>Linnaeus University</x:v>
      </x:c>
      <x:c r="D264" s="17" t="str">
        <x:v>ror:00j9qag85:program:thesis-or-research-master-s:software-technology-master-programme-120-credits</x:v>
      </x:c>
      <x:c r="E264" s="17" t="str"/>
      <x:c r="F264" s="17" t="str">
        <x:v>funding|tuition|deadline|fees</x:v>
      </x:c>
      <x:c r="G264" s="17" t="str">
        <x:v>General international master's scholarships covering up to 75% of tuition and the current application and fee timeline.</x:v>
      </x:c>
      <x:c r="H264" s="17" t="str">
        <x:v>Study at Linnaeus University</x:v>
      </x:c>
      <x:c r="I264" s="17" t="str">
        <x:v>Linnaeus University</x:v>
      </x:c>
      <x:c r="J264" s="17" t="str">
        <x:v>official</x:v>
      </x:c>
      <x:c r="K264" s="17" t="str">
        <x:v>2026-09-11</x:v>
      </x:c>
      <x:c r="L264" s="17" t="str">
        <x:v>Current international-study guidance checked 2026-09-11; Fall 2027 dates unresolved</x:v>
      </x:c>
      <x:c r="M264" s="17" t="str">
        <x:v>high</x:v>
      </x:c>
      <x:c r="N264" s="17" t="str">
        <x:v>official page checked</x:v>
      </x:c>
      <x:c r="O264" s="17" t="str"/>
      <x:c r="P264" s="18" t="e">
        <x:f>HYPERLINK("https://www.lnu.se/en/education/study-at-linnaeus-university/","Open source")</x:f>
        <x:v>HYPERLINK is not implemented. linkLocation=https://www.lnu.se/en/education/study-at-linnaeus-university/, friendlyName=Open source</x:v>
      </x:c>
    </x:row>
    <x:row r="265" ht="46" customHeight="1">
      <x:c r="A265" s="17" t="str">
        <x:v>stage3src:96bfcd87bdfafe1663f0</x:v>
      </x:c>
      <x:c r="B265" s="17" t="str">
        <x:v>program</x:v>
      </x:c>
      <x:c r="C265" s="17" t="str">
        <x:v>Linnaeus University</x:v>
      </x:c>
      <x:c r="D265" s="17" t="str">
        <x:v>ror:00j9qag85:program:thesis-or-research-master-s:software-technology-master-programme-120-credits</x:v>
      </x:c>
      <x:c r="E265" s="17" t="str"/>
      <x:c r="F265" s="17" t="str">
        <x:v>program|research|admissions|eligibility|language|deadline|fees|tuition</x:v>
      </x:c>
      <x:c r="G265" s="17" t="str">
        <x:v>Exact English 120-credit route, Computer Science bachelor's requirement, Autumn 2026 dates and tuition, research methods, project work, and thesis.</x:v>
      </x:c>
      <x:c r="H265" s="17" t="str">
        <x:v>Software Technology, Master Programme</x:v>
      </x:c>
      <x:c r="I265" s="17" t="str">
        <x:v>Linnaeus University</x:v>
      </x:c>
      <x:c r="J265" s="17" t="str">
        <x:v>official</x:v>
      </x:c>
      <x:c r="K265" s="17" t="str">
        <x:v>2026-09-11</x:v>
      </x:c>
      <x:c r="L265" s="17" t="str">
        <x:v>Autumn 2026 page checked 2026-09-11</x:v>
      </x:c>
      <x:c r="M265" s="17" t="str">
        <x:v>high</x:v>
      </x:c>
      <x:c r="N265" s="17" t="str">
        <x:v>official page checked</x:v>
      </x:c>
      <x:c r="O265" s="17" t="str"/>
      <x:c r="P265" s="18" t="e">
        <x:f>HYPERLINK("https://www.lnu.se/en/programme/software-technology-master-programme-nada2/vaxjo-international-autumn/","Open source")</x:f>
        <x:v>HYPERLINK is not implemented. linkLocation=https://www.lnu.se/en/programme/software-technology-master-programme-nada2/vaxjo-international-autumn/, friendlyName=Open source</x:v>
      </x:c>
    </x:row>
    <x:row r="266" ht="46" customHeight="1">
      <x:c r="A266" s="17" t="str">
        <x:v>stage3src:46fb2697c0fbf5b4300e</x:v>
      </x:c>
      <x:c r="B266" s="17" t="str">
        <x:v>program</x:v>
      </x:c>
      <x:c r="C266" s="17" t="str">
        <x:v>University of Perugia</x:v>
      </x:c>
      <x:c r="D266" s="17" t="str">
        <x:v>ror:00x27da85:program:unclear:cross-path-catalog-review</x:v>
      </x:c>
      <x:c r="E266" s="17" t="str"/>
      <x:c r="F266" s="17" t="str">
        <x:v>discovery</x:v>
      </x:c>
      <x:c r="G266" s="17" t="str">
        <x:v>Stage 2 recorded this row as a discovery candidate; it does not independently verify an exact current research program, eligibility, or funding.</x:v>
      </x:c>
      <x:c r="H266" s="17" t="str">
        <x:v>Pass 2 Stage 2 candidate funnel</x:v>
      </x:c>
      <x:c r="I266" s="17" t="str">
        <x:v>Graduate audit pipeline</x:v>
      </x:c>
      <x:c r="J266" s="17" t="str">
        <x:v>derived</x:v>
      </x:c>
      <x:c r="K266" s="17" t="str">
        <x:v>2026-09-11</x:v>
      </x:c>
      <x:c r="L266" s="17" t="str">
        <x:v>Not cycle-specific</x:v>
      </x:c>
      <x:c r="M266" s="17" t="str">
        <x:v>low</x:v>
      </x:c>
      <x:c r="N266" s="17" t="str">
        <x:v>Discovery evidence only</x:v>
      </x:c>
      <x:c r="O266" s="17" t="str">
        <x:v>Use the source_record_paths field to trace the underlying discovery inputs.</x:v>
      </x:c>
      <x:c r="P266" s="18" t="e">
        <x:f>HYPERLINK("https://www.unipg.it","Open source")</x:f>
        <x:v>HYPERLINK is not implemented. linkLocation=https://www.unipg.it, friendlyName=Open source</x:v>
      </x:c>
    </x:row>
    <x:row r="267" ht="46" customHeight="1">
      <x:c r="A267" s="17" t="str">
        <x:v>stage3src:b1a01530aa8c97eb69fd</x:v>
      </x:c>
      <x:c r="B267" s="17" t="str">
        <x:v>program</x:v>
      </x:c>
      <x:c r="C267" s="17" t="str">
        <x:v>University of Bologna</x:v>
      </x:c>
      <x:c r="D267" s="17" t="str">
        <x:v>ror:01111rn36:program:unclear:cross-path-catalog-review</x:v>
      </x:c>
      <x:c r="E267" s="17" t="str"/>
      <x:c r="F267" s="17" t="str">
        <x:v>discovery</x:v>
      </x:c>
      <x:c r="G267" s="17" t="str">
        <x:v>Stage 2 recorded this row as a discovery candidate; it does not independently verify an exact current research program, eligibility, or funding.</x:v>
      </x:c>
      <x:c r="H267" s="17" t="str">
        <x:v>Pass 2 Stage 2 candidate funnel</x:v>
      </x:c>
      <x:c r="I267" s="17" t="str">
        <x:v>Graduate audit pipeline</x:v>
      </x:c>
      <x:c r="J267" s="17" t="str">
        <x:v>derived</x:v>
      </x:c>
      <x:c r="K267" s="17" t="str">
        <x:v>2026-09-11</x:v>
      </x:c>
      <x:c r="L267" s="17" t="str">
        <x:v>Not cycle-specific</x:v>
      </x:c>
      <x:c r="M267" s="17" t="str">
        <x:v>low</x:v>
      </x:c>
      <x:c r="N267" s="17" t="str">
        <x:v>Discovery evidence only</x:v>
      </x:c>
      <x:c r="O267" s="17" t="str">
        <x:v>Use the source_record_paths field to trace the underlying discovery inputs.</x:v>
      </x:c>
      <x:c r="P267" s="18" t="e">
        <x:f>HYPERLINK("https://www.unibo.it","Open source")</x:f>
        <x:v>HYPERLINK is not implemented. linkLocation=https://www.unibo.it, friendlyName=Open source</x:v>
      </x:c>
    </x:row>
    <x:row r="268" ht="46" customHeight="1">
      <x:c r="A268" s="17" t="str">
        <x:v>stage3src:6c35cbc208baedda034f</x:v>
      </x:c>
      <x:c r="B268" s="17" t="str">
        <x:v>program</x:v>
      </x:c>
      <x:c r="C268" s="17" t="str">
        <x:v>Lund University</x:v>
      </x:c>
      <x:c r="D268" s="17" t="str">
        <x:v>ror:012a77v79:program:thesis-or-research-master-s:master-s-programme-in-machine-learning-systems-and-control</x:v>
      </x:c>
      <x:c r="E268" s="17" t="str"/>
      <x:c r="F268" s="17" t="str">
        <x:v>funding|scholarship|tuition|summer</x:v>
      </x:c>
      <x:c r="G268" s="17" t="str">
        <x:v>Highly selective partial or full tuition scholarship, first-choice rule, and explicit exclusion of living costs.</x:v>
      </x:c>
      <x:c r="H268" s="17" t="str">
        <x:v>Lund University Global Scholarship</x:v>
      </x:c>
      <x:c r="I268" s="17" t="str">
        <x:v>Lund University</x:v>
      </x:c>
      <x:c r="J268" s="17" t="str">
        <x:v>official</x:v>
      </x:c>
      <x:c r="K268" s="17" t="str">
        <x:v>2026-09-11</x:v>
      </x:c>
      <x:c r="L268" s="17" t="str">
        <x:v>Current annual scholarship policy checked 2026-09-11</x:v>
      </x:c>
      <x:c r="M268" s="17" t="str">
        <x:v>high</x:v>
      </x:c>
      <x:c r="N268" s="17" t="str">
        <x:v>official page checked</x:v>
      </x:c>
      <x:c r="O268" s="17" t="str"/>
      <x:c r="P268" s="18" t="e">
        <x:f>HYPERLINK("https://www.lunduniversity.lu.se/study/admission-degree-studies/scholarships-and-awards/lund-university-global-scholarship","Open source")</x:f>
        <x:v>HYPERLINK is not implemented. linkLocation=https://www.lunduniversity.lu.se/study/admission-degree-studies/scholarships-and-awards/lund-university-global-scholarship, friendlyName=Open source</x:v>
      </x:c>
    </x:row>
    <x:row r="269" ht="46" customHeight="1">
      <x:c r="A269" s="17" t="str">
        <x:v>stage3src:71be109590827e416a46</x:v>
      </x:c>
      <x:c r="B269" s="17" t="str">
        <x:v>program</x:v>
      </x:c>
      <x:c r="C269" s="17" t="str">
        <x:v>Lund University</x:v>
      </x:c>
      <x:c r="D269" s="17" t="str">
        <x:v>ror:012a77v79:program:thesis-or-research-master-s:master-s-programme-in-machine-learning-systems-and-control</x:v>
      </x:c>
      <x:c r="E269" s="17" t="str"/>
      <x:c r="F269" s="17" t="str">
        <x:v>program|research|eligibility|language|admissions|deadline|tuition|fees</x:v>
      </x:c>
      <x:c r="G269" s="17" t="str">
        <x:v>Explicit Autumn 2027 program, exact prerequisites, selection, tuition, and application-window boundary.</x:v>
      </x:c>
      <x:c r="H269" s="17" t="str">
        <x:v>Machine Learning, Systems and Control — Master's Programme</x:v>
      </x:c>
      <x:c r="I269" s="17" t="str">
        <x:v>Lund University</x:v>
      </x:c>
      <x:c r="J269" s="17" t="str">
        <x:v>official</x:v>
      </x:c>
      <x:c r="K269" s="17" t="str">
        <x:v>2026-09-11</x:v>
      </x:c>
      <x:c r="L269" s="17" t="str">
        <x:v>Explicit Autumn 2027 cycle checked 2026-09-11</x:v>
      </x:c>
      <x:c r="M269" s="17" t="str">
        <x:v>high</x:v>
      </x:c>
      <x:c r="N269" s="17" t="str">
        <x:v>official page checked</x:v>
      </x:c>
      <x:c r="O269" s="17" t="str"/>
      <x:c r="P269" s="18" t="e">
        <x:f>HYPERLINK("https://www.lunduniversity.lu.se/study/machine-learning-systems-and-control-masters-programme-TAMSR","Open source")</x:f>
        <x:v>HYPERLINK is not implemented. linkLocation=https://www.lunduniversity.lu.se/study/machine-learning-systems-and-control-masters-programme-TAMSR, friendlyName=Open source</x:v>
      </x:c>
    </x:row>
    <x:row r="270" ht="46" customHeight="1">
      <x:c r="A270" s="17" t="str">
        <x:v>stage3src:28f5e5745050d72154f2</x:v>
      </x:c>
      <x:c r="B270" s="17" t="str">
        <x:v>program</x:v>
      </x:c>
      <x:c r="C270" s="17" t="str">
        <x:v>University of Groningen</x:v>
      </x:c>
      <x:c r="D270" s="17" t="str">
        <x:v>ror:012p63287:program:thesis-or-research-master-s:msc-computing-science-software-engineering-and-distributed-systems</x:v>
      </x:c>
      <x:c r="E270" s="17" t="str"/>
      <x:c r="F270" s="17" t="str">
        <x:v>program|research|admissions|eligibility|language|deadline|tuition|funding</x:v>
      </x:c>
      <x:c r="G270" s="17" t="str">
        <x:v>Current two-year English Computing Science MSc, SEDS track, May 1, 2027 deadline, admissions-board route, non-EU tuition, and scholarship pointers.</x:v>
      </x:c>
      <x:c r="H270" s="17" t="str">
        <x:v>Computing Science Master's</x:v>
      </x:c>
      <x:c r="I270" s="17" t="str">
        <x:v>University of Groningen</x:v>
      </x:c>
      <x:c r="J270" s="17" t="str">
        <x:v>official</x:v>
      </x:c>
      <x:c r="K270" s="17" t="str">
        <x:v>2026-09-10</x:v>
      </x:c>
      <x:c r="L270" s="17" t="str">
        <x:v>September 2027</x:v>
      </x:c>
      <x:c r="M270" s="17" t="str">
        <x:v>high</x:v>
      </x:c>
      <x:c r="N270" s="17" t="str">
        <x:v>official page checked</x:v>
      </x:c>
      <x:c r="O270" s="17" t="str"/>
      <x:c r="P270" s="18" t="e">
        <x:f>HYPERLINK("https://www.rug.nl/masters/computing-science/?lang=en","Open source")</x:f>
        <x:v>HYPERLINK is not implemented. linkLocation=https://www.rug.nl/masters/computing-science/?lang=en, friendlyName=Open source</x:v>
      </x:c>
    </x:row>
    <x:row r="271" ht="46" customHeight="1">
      <x:c r="A271" s="17" t="str">
        <x:v>stage3src:2a1893c334dda529751c</x:v>
      </x:c>
      <x:c r="B271" s="17" t="str">
        <x:v>program</x:v>
      </x:c>
      <x:c r="C271" s="17" t="str">
        <x:v>University of Groningen</x:v>
      </x:c>
      <x:c r="D271" s="17" t="str">
        <x:v>ror:012p63287:program:thesis-or-research-master-s:msc-computing-science-software-engineering-and-distributed-systems</x:v>
      </x:c>
      <x:c r="E271" s="17" t="str"/>
      <x:c r="F271" s="17" t="str">
        <x:v>admissions|eligibility|language|deadline|fees</x:v>
      </x:c>
      <x:c r="G271" s="17" t="str">
        <x:v>International qualification application procedure, required application fee, and admissions processing.</x:v>
      </x:c>
      <x:c r="H271" s="17" t="str">
        <x:v>MSc Admission with International Degree</x:v>
      </x:c>
      <x:c r="I271" s="17" t="str">
        <x:v>University of Groningen Faculty of Science and Engineering</x:v>
      </x:c>
      <x:c r="J271" s="17" t="str">
        <x:v>official</x:v>
      </x:c>
      <x:c r="K271" s="17" t="str">
        <x:v>2026-09-10</x:v>
      </x:c>
      <x:c r="L271" s="17" t="str">
        <x:v>Current guidance checked 2026-09-10</x:v>
      </x:c>
      <x:c r="M271" s="17" t="str">
        <x:v>high</x:v>
      </x:c>
      <x:c r="N271" s="17" t="str">
        <x:v>official page checked</x:v>
      </x:c>
      <x:c r="O271" s="17" t="str"/>
      <x:c r="P271" s="18" t="e">
        <x:f>HYPERLINK("https://www.rug.nl/fse/programme/admissions/msc/?lang=en","Open source")</x:f>
        <x:v>HYPERLINK is not implemented. linkLocation=https://www.rug.nl/fse/programme/admissions/msc/?lang=en, friendlyName=Open source</x:v>
      </x:c>
    </x:row>
    <x:row r="272" ht="46" customHeight="1">
      <x:c r="A272" s="17" t="str">
        <x:v>stage3src:c235daf81592f2004853</x:v>
      </x:c>
      <x:c r="B272" s="17" t="str">
        <x:v>program</x:v>
      </x:c>
      <x:c r="C272" s="17" t="str">
        <x:v>University of Groningen</x:v>
      </x:c>
      <x:c r="D272" s="17" t="str">
        <x:v>ror:012p63287:program:thesis-or-research-master-s:msc-computing-science-software-engineering-and-distributed-systems</x:v>
      </x:c>
      <x:c r="E272" s="17" t="str"/>
      <x:c r="F272" s="17" t="str">
        <x:v>funding|tuition|fees|health|deadline</x:v>
      </x:c>
      <x:c r="G272" s="17" t="str">
        <x:v>Nomination-only, highly selective Eric Bleumink award covering tuition, travel, subsistence, books, and health insurance for eligible nationalities.</x:v>
      </x:c>
      <x:c r="H272" s="17" t="str">
        <x:v>Eric Bleumink Fellowship</x:v>
      </x:c>
      <x:c r="I272" s="17" t="str">
        <x:v>University of Groningen</x:v>
      </x:c>
      <x:c r="J272" s="17" t="str">
        <x:v>official</x:v>
      </x:c>
      <x:c r="K272" s="17" t="str">
        <x:v>2026-09-10</x:v>
      </x:c>
      <x:c r="L272" s="17" t="str">
        <x:v>Current 2027-oriented guidance checked 2026-09-10</x:v>
      </x:c>
      <x:c r="M272" s="17" t="str">
        <x:v>high</x:v>
      </x:c>
      <x:c r="N272" s="17" t="str">
        <x:v>official page checked</x:v>
      </x:c>
      <x:c r="O272" s="17" t="str"/>
      <x:c r="P272" s="18" t="e">
        <x:f>HYPERLINK("https://www.rug.nl/education/scholarships/eric-bleumink-fellowship?lang=en","Open source")</x:f>
        <x:v>HYPERLINK is not implemented. linkLocation=https://www.rug.nl/education/scholarships/eric-bleumink-fellowship?lang=en, friendlyName=Open source</x:v>
      </x:c>
    </x:row>
    <x:row r="273" ht="46" customHeight="1">
      <x:c r="A273" s="17" t="str">
        <x:v>stage3src:13a5710b7c783af99a81</x:v>
      </x:c>
      <x:c r="B273" s="17" t="str">
        <x:v>program</x:v>
      </x:c>
      <x:c r="C273" s="17" t="str">
        <x:v>University of Cambridge</x:v>
      </x:c>
      <x:c r="D273" s="17" t="str">
        <x:v>ror:013meh722:program:phd:phd-in-computer-science</x:v>
      </x:c>
      <x:c r="E273" s="17" t="str"/>
      <x:c r="F273" s="17" t="str">
        <x:v>admissions</x:v>
      </x:c>
      <x:c r="G273" s="17" t="str">
        <x:v>Official program/admissions page; cycle label preserved in deep_programs.csv</x:v>
      </x:c>
      <x:c r="H273" s="17" t="str">
        <x:v>University of Cambridge — official evidence</x:v>
      </x:c>
      <x:c r="I273" s="17" t="str">
        <x:v>University of Cambridge</x:v>
      </x:c>
      <x:c r="J273" s="17" t="str">
        <x:v>official</x:v>
      </x:c>
      <x:c r="K273" s="17" t="str">
        <x:v>2026-09-09</x:v>
      </x:c>
      <x:c r="L273" s="17" t="str">
        <x:v>official 2027/28 cycle</x:v>
      </x:c>
      <x:c r="M273" s="17" t="str">
        <x:v>high</x:v>
      </x:c>
      <x:c r="N273" s="17" t="str">
        <x:v>accessible or indexed official page</x:v>
      </x:c>
      <x:c r="O273" s="17" t="str">
        <x:v>Search snippets were discovery only; final claim points to the official destination. Recheck cycle-specific facts when 2027 material opens.</x:v>
      </x:c>
      <x:c r="P273" s="18" t="e">
        <x:f>HYPERLINK("https://www.cst.cam.ac.uk/admissions/phd","Open source")</x:f>
        <x:v>HYPERLINK is not implemented. linkLocation=https://www.cst.cam.ac.uk/admissions/phd, friendlyName=Open source</x:v>
      </x:c>
    </x:row>
    <x:row r="274" ht="46" customHeight="1">
      <x:c r="A274" s="17" t="str">
        <x:v>stage3src:af2ea8b6771d5c80fdd2</x:v>
      </x:c>
      <x:c r="B274" s="17" t="str">
        <x:v>program</x:v>
      </x:c>
      <x:c r="C274" s="17" t="str">
        <x:v>University of Cambridge</x:v>
      </x:c>
      <x:c r="D274" s="17" t="str">
        <x:v>ror:013meh722:program:phd:phd-in-computer-science</x:v>
      </x:c>
      <x:c r="E274" s="17" t="str"/>
      <x:c r="F274" s="17" t="str">
        <x:v>language|admissions</x:v>
      </x:c>
      <x:c r="G274" s="17" t="str">
        <x:v>Official English-language or admissions evidence; waivers/test thresholds remain applicant-specific</x:v>
      </x:c>
      <x:c r="H274" s="17" t="str">
        <x:v>University of Cambridge — official evidence</x:v>
      </x:c>
      <x:c r="I274" s="17" t="str">
        <x:v>University of Cambridge</x:v>
      </x:c>
      <x:c r="J274" s="17" t="str">
        <x:v>official</x:v>
      </x:c>
      <x:c r="K274" s="17" t="str">
        <x:v>2026-09-09</x:v>
      </x:c>
      <x:c r="L274" s="17" t="str">
        <x:v>official 2027/28 cycle</x:v>
      </x:c>
      <x:c r="M274" s="17" t="str">
        <x:v>high</x:v>
      </x:c>
      <x:c r="N274" s="17" t="str">
        <x:v>accessible or indexed official page</x:v>
      </x:c>
      <x:c r="O274" s="17" t="str">
        <x:v>Search snippets were discovery only; final claim points to the official destination. Recheck cycle-specific facts when 2027 material opens.</x:v>
      </x:c>
      <x:c r="P274" s="18" t="e">
        <x:f>HYPERLINK("https://www.postgraduate.study.cam.ac.uk/international/competence-english","Open source")</x:f>
        <x:v>HYPERLINK is not implemented. linkLocation=https://www.postgraduate.study.cam.ac.uk/international/competence-english, friendlyName=Open source</x:v>
      </x:c>
    </x:row>
    <x:row r="275" ht="46" customHeight="1">
      <x:c r="A275" s="17" t="str">
        <x:v>stage3src:ed662d63395fe025a2ba</x:v>
      </x:c>
      <x:c r="B275" s="17" t="str">
        <x:v>program</x:v>
      </x:c>
      <x:c r="C275" s="17" t="str">
        <x:v>University of Cambridge</x:v>
      </x:c>
      <x:c r="D275" s="17" t="str">
        <x:v>ror:013meh722:program:phd:phd-in-computer-science</x:v>
      </x:c>
      <x:c r="E275" s="17" t="str"/>
      <x:c r="F275" s="17" t="str">
        <x:v>institution</x:v>
      </x:c>
      <x:c r="G275" s="17" t="str">
        <x:v>Official institutional profile/group page used to verify current role and research themes</x:v>
      </x:c>
      <x:c r="H275" s="17" t="str">
        <x:v>Alastair Beresford — official evidence</x:v>
      </x:c>
      <x:c r="I275" s="17" t="str">
        <x:v>University of Cambridge</x:v>
      </x:c>
      <x:c r="J275" s="17" t="str">
        <x:v>official</x:v>
      </x:c>
      <x:c r="K275" s="17" t="str">
        <x:v>2026-09-09</x:v>
      </x:c>
      <x:c r="L275" s="17" t="str">
        <x:v>current at 2026-09-09</x:v>
      </x:c>
      <x:c r="M275" s="17" t="str">
        <x:v>high</x:v>
      </x:c>
      <x:c r="N275" s="17" t="str">
        <x:v>accessible or indexed official page</x:v>
      </x:c>
      <x:c r="O275" s="17" t="str">
        <x:v>Search snippets were discovery only; final claim points to the official destination. Recheck cycle-specific facts when 2027 material opens.</x:v>
      </x:c>
      <x:c r="P275" s="18" t="e">
        <x:f>HYPERLINK("https://www.cst.cam.ac.uk/people/arb33","Open source")</x:f>
        <x:v>HYPERLINK is not implemented. linkLocation=https://www.cst.cam.ac.uk/people/arb33, friendlyName=Open source</x:v>
      </x:c>
    </x:row>
    <x:row r="276" ht="46" customHeight="1">
      <x:c r="A276" s="17" t="str">
        <x:v>stage3src:eb9a6f2c3c8ae4d26656</x:v>
      </x:c>
      <x:c r="B276" s="17" t="str">
        <x:v>program</x:v>
      </x:c>
      <x:c r="C276" s="17" t="str">
        <x:v>Luleå University of Technology</x:v>
      </x:c>
      <x:c r="D276" s="17" t="str">
        <x:v>ror:016st3p78:program:unclear:cross-path-catalog-review</x:v>
      </x:c>
      <x:c r="E276" s="17" t="str"/>
      <x:c r="F276" s="17" t="str">
        <x:v>discovery</x:v>
      </x:c>
      <x:c r="G276" s="17" t="str">
        <x:v>Stage 2 recorded this row as a discovery candidate; it does not independently verify an exact current research program, eligibility, or funding.</x:v>
      </x:c>
      <x:c r="H276" s="17" t="str">
        <x:v>Pass 2 Stage 2 candidate funnel</x:v>
      </x:c>
      <x:c r="I276" s="17" t="str">
        <x:v>Graduate audit pipeline</x:v>
      </x:c>
      <x:c r="J276" s="17" t="str">
        <x:v>derived</x:v>
      </x:c>
      <x:c r="K276" s="17" t="str">
        <x:v>2026-09-11</x:v>
      </x:c>
      <x:c r="L276" s="17" t="str">
        <x:v>Not cycle-specific</x:v>
      </x:c>
      <x:c r="M276" s="17" t="str">
        <x:v>low</x:v>
      </x:c>
      <x:c r="N276" s="17" t="str">
        <x:v>Discovery evidence only</x:v>
      </x:c>
      <x:c r="O276" s="17" t="str">
        <x:v>Use the source_record_paths field to trace the underlying discovery inputs.</x:v>
      </x:c>
      <x:c r="P276" s="18" t="e">
        <x:f>HYPERLINK("https://www.ltu.se","Open source")</x:f>
        <x:v>HYPERLINK is not implemented. linkLocation=https://www.ltu.se, friendlyName=Open source</x:v>
      </x:c>
    </x:row>
    <x:row r="277" ht="46" customHeight="1">
      <x:c r="A277" s="17" t="str">
        <x:v>stage3src:0cb95b6c6b17534e884f</x:v>
      </x:c>
      <x:c r="B277" s="17" t="str">
        <x:v>program</x:v>
      </x:c>
      <x:c r="C277" s="17" t="str">
        <x:v>Radboud University Nijmegen</x:v>
      </x:c>
      <x:c r="D277" s="17" t="str">
        <x:v>ror:016xsfp80:program:thesis-or-research-master-s:computing-science-msc-software-science</x:v>
      </x:c>
      <x:c r="E277" s="17" t="str"/>
      <x:c r="F277" s="17" t="str">
        <x:v>admissions|eligibility|language|deadline</x:v>
      </x:c>
      <x:c r="G277" s="17" t="str">
        <x:v>Research-university equivalency, 12-credit mathematics and theory gates, ten-EC bachelor's thesis, U.S.-degree English exemption, and September 2027 non-EU deadlines.</x:v>
      </x:c>
      <x:c r="H277" s="17" t="str">
        <x:v>Admission and application</x:v>
      </x:c>
      <x:c r="I277" s="17" t="str">
        <x:v>Radboud University</x:v>
      </x:c>
      <x:c r="J277" s="17" t="str">
        <x:v>official</x:v>
      </x:c>
      <x:c r="K277" s="17" t="str">
        <x:v>2026-09-10</x:v>
      </x:c>
      <x:c r="L277" s="17" t="str">
        <x:v>September 2027</x:v>
      </x:c>
      <x:c r="M277" s="17" t="str">
        <x:v>high</x:v>
      </x:c>
      <x:c r="N277" s="17" t="str">
        <x:v>official page checked</x:v>
      </x:c>
      <x:c r="O277" s="17" t="str"/>
      <x:c r="P277" s="18" t="e">
        <x:f>HYPERLINK("https://www.ru.nl/en/education/masters/software-science/admission-and-application","Open source")</x:f>
        <x:v>HYPERLINK is not implemented. linkLocation=https://www.ru.nl/en/education/masters/software-science/admission-and-application, friendlyName=Open source</x:v>
      </x:c>
    </x:row>
    <x:row r="278" ht="46" customHeight="1">
      <x:c r="A278" s="17" t="str">
        <x:v>stage3src:2a1c6a508abc800dd933</x:v>
      </x:c>
      <x:c r="B278" s="17" t="str">
        <x:v>program</x:v>
      </x:c>
      <x:c r="C278" s="17" t="str">
        <x:v>Radboud University Nijmegen</x:v>
      </x:c>
      <x:c r="D278" s="17" t="str">
        <x:v>ror:016xsfp80:program:thesis-or-research-master-s:computing-science-msc-software-science</x:v>
      </x:c>
      <x:c r="E278" s="17" t="str"/>
      <x:c r="F278" s="17" t="str">
        <x:v>funding|tuition|fees</x:v>
      </x:c>
      <x:c r="G278" s="17" t="str">
        <x:v>Highly selective 2027-2028 Radboud award count, tuition reduction, insurance/visa coverage, living-cost exclusion, eligibility, and application method.</x:v>
      </x:c>
      <x:c r="H278" s="17" t="str">
        <x:v>Radboud Scholarship Programme</x:v>
      </x:c>
      <x:c r="I278" s="17" t="str">
        <x:v>Radboud University</x:v>
      </x:c>
      <x:c r="J278" s="17" t="str">
        <x:v>official</x:v>
      </x:c>
      <x:c r="K278" s="17" t="str">
        <x:v>2026-09-10</x:v>
      </x:c>
      <x:c r="L278" s="17" t="str">
        <x:v>2027-2028</x:v>
      </x:c>
      <x:c r="M278" s="17" t="str">
        <x:v>high</x:v>
      </x:c>
      <x:c r="N278" s="17" t="str">
        <x:v>official page checked</x:v>
      </x:c>
      <x:c r="O278" s="17" t="str"/>
      <x:c r="P278" s="18" t="e">
        <x:f>HYPERLINK("https://www.ru.nl/en/education/scholarships/radboud-scholarship-programme","Open source")</x:f>
        <x:v>HYPERLINK is not implemented. linkLocation=https://www.ru.nl/en/education/scholarships/radboud-scholarship-programme, friendlyName=Open source</x:v>
      </x:c>
    </x:row>
    <x:row r="279" ht="46" customHeight="1">
      <x:c r="A279" s="17" t="str">
        <x:v>stage3src:31c85ad39ebf8af3eff4</x:v>
      </x:c>
      <x:c r="B279" s="17" t="str">
        <x:v>program</x:v>
      </x:c>
      <x:c r="C279" s="17" t="str">
        <x:v>Radboud University Nijmegen</x:v>
      </x:c>
      <x:c r="D279" s="17" t="str">
        <x:v>ror:016xsfp80:program:thesis-or-research-master-s:computing-science-msc-software-science</x:v>
      </x:c>
      <x:c r="E279" s="17" t="str"/>
      <x:c r="F279" s="17" t="str">
        <x:v>admissions|fees</x:v>
      </x:c>
      <x:c r="G279" s="17" t="str">
        <x:v>Non-EU handling fee is EUR 75, applies once rather than per application, and has limited exemption/refund rules.</x:v>
      </x:c>
      <x:c r="H279" s="17" t="str">
        <x:v>Handling fee</x:v>
      </x:c>
      <x:c r="I279" s="17" t="str">
        <x:v>Radboud University</x:v>
      </x:c>
      <x:c r="J279" s="17" t="str">
        <x:v>official</x:v>
      </x:c>
      <x:c r="K279" s="17" t="str">
        <x:v>2026-09-10</x:v>
      </x:c>
      <x:c r="L279" s="17" t="str">
        <x:v>Current page checked 2026-09-10</x:v>
      </x:c>
      <x:c r="M279" s="17" t="str">
        <x:v>high</x:v>
      </x:c>
      <x:c r="N279" s="17" t="str">
        <x:v>official page checked</x:v>
      </x:c>
      <x:c r="O279" s="17" t="str"/>
      <x:c r="P279" s="18" t="e">
        <x:f>HYPERLINK("https://www.ru.nl/en/education/studying-at-radboud-university/finances/handling-fee","Open source")</x:f>
        <x:v>HYPERLINK is not implemented. linkLocation=https://www.ru.nl/en/education/studying-at-radboud-university/finances/handling-fee, friendlyName=Open source</x:v>
      </x:c>
    </x:row>
    <x:row r="280" ht="46" customHeight="1">
      <x:c r="A280" s="17" t="str">
        <x:v>stage3src:ad9d294823337e56c788</x:v>
      </x:c>
      <x:c r="B280" s="17" t="str">
        <x:v>program</x:v>
      </x:c>
      <x:c r="C280" s="17" t="str">
        <x:v>Radboud University Nijmegen</x:v>
      </x:c>
      <x:c r="D280" s="17" t="str">
        <x:v>ror:016xsfp80:program:thesis-or-research-master-s:computing-science-msc-software-science</x:v>
      </x:c>
      <x:c r="E280" s="17" t="str"/>
      <x:c r="F280" s="17" t="str">
        <x:v>program</x:v>
      </x:c>
      <x:c r="G280" s="17" t="str">
        <x:v>Current Software Science specialization in Computing Science and its software-technology, analysis, and theory research focus.</x:v>
      </x:c>
      <x:c r="H280" s="17" t="str">
        <x:v>Software Science</x:v>
      </x:c>
      <x:c r="I280" s="17" t="str">
        <x:v>Radboud University</x:v>
      </x:c>
      <x:c r="J280" s="17" t="str">
        <x:v>official</x:v>
      </x:c>
      <x:c r="K280" s="17" t="str">
        <x:v>2026-09-10</x:v>
      </x:c>
      <x:c r="L280" s="17" t="str">
        <x:v>Current page checked 2026-09-10</x:v>
      </x:c>
      <x:c r="M280" s="17" t="str">
        <x:v>high</x:v>
      </x:c>
      <x:c r="N280" s="17" t="str">
        <x:v>official page checked</x:v>
      </x:c>
      <x:c r="O280" s="17" t="str"/>
      <x:c r="P280" s="18" t="e">
        <x:f>HYPERLINK("https://www.ru.nl/en/education/masters/software-science","Open source")</x:f>
        <x:v>HYPERLINK is not implemented. linkLocation=https://www.ru.nl/en/education/masters/software-science, friendlyName=Open source</x:v>
      </x:c>
    </x:row>
    <x:row r="281" ht="46" customHeight="1">
      <x:c r="A281" s="17" t="str">
        <x:v>stage3src:b6f5eeca3ac7929a5134</x:v>
      </x:c>
      <x:c r="B281" s="17" t="str">
        <x:v>program</x:v>
      </x:c>
      <x:c r="C281" s="17" t="str">
        <x:v>Radboud University Nijmegen</x:v>
      </x:c>
      <x:c r="D281" s="17" t="str">
        <x:v>ror:016xsfp80:program:thesis-or-research-master-s:computing-science-msc-software-science</x:v>
      </x:c>
      <x:c r="E281" s="17" t="str"/>
      <x:c r="F281" s="17" t="str">
        <x:v>tuition|funding</x:v>
      </x:c>
      <x:c r="G281" s="17" t="str">
        <x:v>2026-2027 non-EEA institutional tuition is EUR 19,714 and the program lists competitive partial scholarships.</x:v>
      </x:c>
      <x:c r="H281" s="17" t="str">
        <x:v>Tuition — Software Science</x:v>
      </x:c>
      <x:c r="I281" s="17" t="str">
        <x:v>Radboud University</x:v>
      </x:c>
      <x:c r="J281" s="17" t="str">
        <x:v>official</x:v>
      </x:c>
      <x:c r="K281" s="17" t="str">
        <x:v>2026-09-10</x:v>
      </x:c>
      <x:c r="L281" s="17" t="str">
        <x:v>2026-2027</x:v>
      </x:c>
      <x:c r="M281" s="17" t="str">
        <x:v>high</x:v>
      </x:c>
      <x:c r="N281" s="17" t="str">
        <x:v>official page checked</x:v>
      </x:c>
      <x:c r="O281" s="17" t="str"/>
      <x:c r="P281" s="18" t="e">
        <x:f>HYPERLINK("https://www.ru.nl/en/education/masters/software-science/tuition","Open source")</x:f>
        <x:v>HYPERLINK is not implemented. linkLocation=https://www.ru.nl/en/education/masters/software-science/tuition, friendlyName=Open source</x:v>
      </x:c>
    </x:row>
    <x:row r="282" ht="46" customHeight="1">
      <x:c r="A282" s="17" t="str">
        <x:v>stage3src:d0420dfe3eadea0a2429</x:v>
      </x:c>
      <x:c r="B282" s="17" t="str">
        <x:v>program</x:v>
      </x:c>
      <x:c r="C282" s="17" t="str">
        <x:v>Radboud University Nijmegen</x:v>
      </x:c>
      <x:c r="D282" s="17" t="str">
        <x:v>ror:016xsfp80:program:thesis-or-research-master-s:computing-science-msc-software-science</x:v>
      </x:c>
      <x:c r="E282" s="17" t="str"/>
      <x:c r="F282" s="17" t="str">
        <x:v>program</x:v>
      </x:c>
      <x:c r="G282" s="17" t="str">
        <x:v>Two-year 120 EC curriculum, 15 EC research internship, and 30 EC individual research thesis.</x:v>
      </x:c>
      <x:c r="H282" s="17" t="str">
        <x:v>Curriculum of Software Science</x:v>
      </x:c>
      <x:c r="I282" s="17" t="str">
        <x:v>Radboud University</x:v>
      </x:c>
      <x:c r="J282" s="17" t="str">
        <x:v>official</x:v>
      </x:c>
      <x:c r="K282" s="17" t="str">
        <x:v>2026-09-10</x:v>
      </x:c>
      <x:c r="L282" s="17" t="str">
        <x:v>2026-2027 provisional curriculum</x:v>
      </x:c>
      <x:c r="M282" s="17" t="str">
        <x:v>high</x:v>
      </x:c>
      <x:c r="N282" s="17" t="str">
        <x:v>official page checked</x:v>
      </x:c>
      <x:c r="O282" s="17" t="str"/>
      <x:c r="P282" s="18" t="e">
        <x:f>HYPERLINK("https://www.ru.nl/en/education/masters/software-science/study-programme/curriculum-of-software-science","Open source")</x:f>
        <x:v>HYPERLINK is not implemented. linkLocation=https://www.ru.nl/en/education/masters/software-science/study-programme/curriculum-of-software-science, friendlyName=Open source</x:v>
      </x:c>
    </x:row>
    <x:row r="283" ht="46" customHeight="1">
      <x:c r="A283" s="17" t="str">
        <x:v>stage3src:41961652904689feaad2</x:v>
      </x:c>
      <x:c r="B283" s="17" t="str">
        <x:v>program</x:v>
      </x:c>
      <x:c r="C283" s="17" t="str">
        <x:v>University of Patras</x:v>
      </x:c>
      <x:c r="D283" s="17" t="str">
        <x:v>ror:017wvtq80:program:unclear:cross-path-catalog-review</x:v>
      </x:c>
      <x:c r="E283" s="17" t="str"/>
      <x:c r="F283" s="17" t="str">
        <x:v>discovery</x:v>
      </x:c>
      <x:c r="G283" s="17" t="str">
        <x:v>Stage 2 recorded this row as a discovery candidate; it does not independently verify an exact current research program, eligibility, or funding.</x:v>
      </x:c>
      <x:c r="H283" s="17" t="str">
        <x:v>Pass 2 Stage 2 candidate funnel</x:v>
      </x:c>
      <x:c r="I283" s="17" t="str">
        <x:v>Graduate audit pipeline</x:v>
      </x:c>
      <x:c r="J283" s="17" t="str">
        <x:v>derived</x:v>
      </x:c>
      <x:c r="K283" s="17" t="str">
        <x:v>2026-09-11</x:v>
      </x:c>
      <x:c r="L283" s="17" t="str">
        <x:v>Not cycle-specific</x:v>
      </x:c>
      <x:c r="M283" s="17" t="str">
        <x:v>low</x:v>
      </x:c>
      <x:c r="N283" s="17" t="str">
        <x:v>Discovery evidence only</x:v>
      </x:c>
      <x:c r="O283" s="17" t="str">
        <x:v>Use the source_record_paths field to trace the underlying discovery inputs.</x:v>
      </x:c>
      <x:c r="P283" s="18" t="e">
        <x:f>HYPERLINK("https://www.upatras.gr","Open source")</x:f>
        <x:v>HYPERLINK is not implemented. linkLocation=https://www.upatras.gr, friendlyName=Open source</x:v>
      </x:c>
    </x:row>
    <x:row r="284" ht="46" customHeight="1">
      <x:c r="A284" s="17" t="str">
        <x:v>stage3src:b58334391a29b03877f0</x:v>
      </x:c>
      <x:c r="B284" s="17" t="str">
        <x:v>program</x:v>
      </x:c>
      <x:c r="C284" s="17" t="str">
        <x:v>University of Salerno</x:v>
      </x:c>
      <x:c r="D284" s="17" t="str">
        <x:v>ror:0192m2k53:program:unclear:cross-path-catalog-review</x:v>
      </x:c>
      <x:c r="E284" s="17" t="str"/>
      <x:c r="F284" s="17" t="str">
        <x:v>discovery</x:v>
      </x:c>
      <x:c r="G284" s="17" t="str">
        <x:v>Stage 2 recorded this row as a discovery candidate; it does not independently verify an exact current research program, eligibility, or funding.</x:v>
      </x:c>
      <x:c r="H284" s="17" t="str">
        <x:v>Pass 2 Stage 2 candidate funnel</x:v>
      </x:c>
      <x:c r="I284" s="17" t="str">
        <x:v>Graduate audit pipeline</x:v>
      </x:c>
      <x:c r="J284" s="17" t="str">
        <x:v>derived</x:v>
      </x:c>
      <x:c r="K284" s="17" t="str">
        <x:v>2026-09-11</x:v>
      </x:c>
      <x:c r="L284" s="17" t="str">
        <x:v>Not cycle-specific</x:v>
      </x:c>
      <x:c r="M284" s="17" t="str">
        <x:v>low</x:v>
      </x:c>
      <x:c r="N284" s="17" t="str">
        <x:v>Discovery evidence only</x:v>
      </x:c>
      <x:c r="O284" s="17" t="str">
        <x:v>Use the source_record_paths field to trace the underlying discovery inputs.</x:v>
      </x:c>
      <x:c r="P284" s="18" t="e">
        <x:f>HYPERLINK("https://web.unisa.it","Open source")</x:f>
        <x:v>HYPERLINK is not implemented. linkLocation=https://web.unisa.it, friendlyName=Open source</x:v>
      </x:c>
    </x:row>
    <x:row r="285" ht="46" customHeight="1">
      <x:c r="A285" s="17" t="str">
        <x:v>stage3src:b6964512a90c667db229</x:v>
      </x:c>
      <x:c r="B285" s="17" t="str">
        <x:v>program</x:v>
      </x:c>
      <x:c r="C285" s="17" t="str">
        <x:v>Algebra Bernays University</x:v>
      </x:c>
      <x:c r="D285" s="17" t="str">
        <x:v>ror:019m6wk21:program:unclear:cross-path-catalog-review</x:v>
      </x:c>
      <x:c r="E285" s="17" t="str"/>
      <x:c r="F285" s="17" t="str">
        <x:v>discovery</x:v>
      </x:c>
      <x:c r="G285" s="17" t="str">
        <x:v>Stage 2 recorded this row as a discovery candidate; it does not independently verify an exact current research program, eligibility, or funding.</x:v>
      </x:c>
      <x:c r="H285" s="17" t="str">
        <x:v>Pass 2 Stage 2 candidate funnel</x:v>
      </x:c>
      <x:c r="I285" s="17" t="str">
        <x:v>Graduate audit pipeline</x:v>
      </x:c>
      <x:c r="J285" s="17" t="str">
        <x:v>derived</x:v>
      </x:c>
      <x:c r="K285" s="17" t="str">
        <x:v>2026-09-11</x:v>
      </x:c>
      <x:c r="L285" s="17" t="str">
        <x:v>Not cycle-specific</x:v>
      </x:c>
      <x:c r="M285" s="17" t="str">
        <x:v>low</x:v>
      </x:c>
      <x:c r="N285" s="17" t="str">
        <x:v>Discovery evidence only</x:v>
      </x:c>
      <x:c r="O285" s="17" t="str">
        <x:v>Use the source_record_paths field to trace the underlying discovery inputs.</x:v>
      </x:c>
      <x:c r="P285" s="18" t="e">
        <x:f>HYPERLINK("https://www.algebra.hr/sveuciliste/","Open source")</x:f>
        <x:v>HYPERLINK is not implemented. linkLocation=https://www.algebra.hr/sveuciliste/, friendlyName=Open source</x:v>
      </x:c>
    </x:row>
    <x:row r="286" ht="46" customHeight="1">
      <x:c r="A286" s="17" t="str">
        <x:v>stage3src:c99c81b468c35f44d1ad</x:v>
      </x:c>
      <x:c r="B286" s="17" t="str">
        <x:v>program</x:v>
      </x:c>
      <x:c r="C286" s="17" t="str">
        <x:v>University of Warwick</x:v>
      </x:c>
      <x:c r="D286" s="17" t="str">
        <x:v>ror:01a77tt86:program:unclear:cross-path-catalog-review</x:v>
      </x:c>
      <x:c r="E286" s="17" t="str"/>
      <x:c r="F286" s="17" t="str">
        <x:v>discovery</x:v>
      </x:c>
      <x:c r="G286" s="17" t="str">
        <x:v>Stage 2 recorded this row as a discovery candidate; it does not independently verify an exact current research program, eligibility, or funding.</x:v>
      </x:c>
      <x:c r="H286" s="17" t="str">
        <x:v>Pass 2 Stage 2 candidate funnel</x:v>
      </x:c>
      <x:c r="I286" s="17" t="str">
        <x:v>Graduate audit pipeline</x:v>
      </x:c>
      <x:c r="J286" s="17" t="str">
        <x:v>derived</x:v>
      </x:c>
      <x:c r="K286" s="17" t="str">
        <x:v>2026-09-11</x:v>
      </x:c>
      <x:c r="L286" s="17" t="str">
        <x:v>Not cycle-specific</x:v>
      </x:c>
      <x:c r="M286" s="17" t="str">
        <x:v>low</x:v>
      </x:c>
      <x:c r="N286" s="17" t="str">
        <x:v>Discovery evidence only</x:v>
      </x:c>
      <x:c r="O286" s="17" t="str">
        <x:v>Use the source_record_paths field to trace the underlying discovery inputs.</x:v>
      </x:c>
      <x:c r="P286" s="18" t="e">
        <x:f>HYPERLINK("http://www2.warwick.ac.uk/","Open source")</x:f>
        <x:v>HYPERLINK is not implemented. linkLocation=http://www2.warwick.ac.uk/, friendlyName=Open source</x:v>
      </x:c>
    </x:row>
    <x:row r="287" ht="46" customHeight="1">
      <x:c r="A287" s="17" t="str">
        <x:v>stage3src:15a48dc3a83d77bd17c6</x:v>
      </x:c>
      <x:c r="B287" s="17" t="str">
        <x:v>program</x:v>
      </x:c>
      <x:c r="C287" s="17" t="str">
        <x:v>University of Bamberg</x:v>
      </x:c>
      <x:c r="D287" s="17" t="str">
        <x:v>ror:01c1w6d29:program:thesis-or-research-master-s:m-sc-international-software-systems-science</x:v>
      </x:c>
      <x:c r="E287" s="17" t="str"/>
      <x:c r="F287" s="17" t="str">
        <x:v>admissions|fees</x:v>
      </x:c>
      <x:c r="G287" s="17" t="str">
        <x:v>EUR 60 non-EU evaluation fee from Winter 2026/27, one fee for multiple same-semester applications, and no exceptions or discounts.</x:v>
      </x:c>
      <x:c r="H287" s="17" t="str">
        <x:v>Application Fees for Applicants from Non-EU States</x:v>
      </x:c>
      <x:c r="I287" s="17" t="str">
        <x:v>University of Bamberg</x:v>
      </x:c>
      <x:c r="J287" s="17" t="str">
        <x:v>official</x:v>
      </x:c>
      <x:c r="K287" s="17" t="str">
        <x:v>2026-09-11</x:v>
      </x:c>
      <x:c r="L287" s="17" t="str">
        <x:v>Winter 2026/27 onward; checked 2026-09-11</x:v>
      </x:c>
      <x:c r="M287" s="17" t="str">
        <x:v>high</x:v>
      </x:c>
      <x:c r="N287" s="17" t="str">
        <x:v>official page checked</x:v>
      </x:c>
      <x:c r="O287" s="17" t="str"/>
      <x:c r="P287" s="18" t="e">
        <x:f>HYPERLINK("https://www.uni-bamberg.de/en/studies/application-fees-non-eu-states/","Open source")</x:f>
        <x:v>HYPERLINK is not implemented. linkLocation=https://www.uni-bamberg.de/en/studies/application-fees-non-eu-states/, friendlyName=Open source</x:v>
      </x:c>
    </x:row>
    <x:row r="288" ht="46" customHeight="1">
      <x:c r="A288" s="17" t="str">
        <x:v>stage3src:9448bfbbe58b2e0190db</x:v>
      </x:c>
      <x:c r="B288" s="17" t="str">
        <x:v>program</x:v>
      </x:c>
      <x:c r="C288" s="17" t="str">
        <x:v>University of Bamberg</x:v>
      </x:c>
      <x:c r="D288" s="17" t="str">
        <x:v>ror:01c1w6d29:program:thesis-or-research-master-s:m-sc-international-software-systems-science</x:v>
      </x:c>
      <x:c r="E288" s="17" t="str"/>
      <x:c r="F288" s="17" t="str">
        <x:v>fees|funding</x:v>
      </x:c>
      <x:c r="G288" s="17" t="str">
        <x:v>The program advertises no tuition fees but does not promise a general living-cost stipend.</x:v>
      </x:c>
      <x:c r="H288" s="17" t="str">
        <x:v>Good Reasons for the Programme</x:v>
      </x:c>
      <x:c r="I288" s="17" t="str">
        <x:v>University of Bamberg</x:v>
      </x:c>
      <x:c r="J288" s="17" t="str">
        <x:v>official</x:v>
      </x:c>
      <x:c r="K288" s="17" t="str">
        <x:v>2026-09-11</x:v>
      </x:c>
      <x:c r="L288" s="17" t="str">
        <x:v>Current page checked 2026-09-11</x:v>
      </x:c>
      <x:c r="M288" s="17" t="str">
        <x:v>high</x:v>
      </x:c>
      <x:c r="N288" s="17" t="str">
        <x:v>official page checked</x:v>
      </x:c>
      <x:c r="O288" s="17" t="str"/>
      <x:c r="P288" s="18" t="e">
        <x:f>HYPERLINK("https://www.uni-bamberg.de/en/ma-isosysc/good-reasons/","Open source")</x:f>
        <x:v>HYPERLINK is not implemented. linkLocation=https://www.uni-bamberg.de/en/ma-isosysc/good-reasons/, friendlyName=Open source</x:v>
      </x:c>
    </x:row>
    <x:row r="289" ht="46" customHeight="1">
      <x:c r="A289" s="17" t="str">
        <x:v>stage3src:aefa6180d7bb6c3ceef4</x:v>
      </x:c>
      <x:c r="B289" s="17" t="str">
        <x:v>program</x:v>
      </x:c>
      <x:c r="C289" s="17" t="str">
        <x:v>University of Bamberg</x:v>
      </x:c>
      <x:c r="D289" s="17" t="str">
        <x:v>ror:01c1w6d29:program:thesis-or-research-master-s:m-sc-international-software-systems-science</x:v>
      </x:c>
      <x:c r="E289" s="17" t="str"/>
      <x:c r="F289" s="17" t="str">
        <x:v>program</x:v>
      </x:c>
      <x:c r="G289" s="17" t="str">
        <x:v>Current English-taught research master's and thesis structure.</x:v>
      </x:c>
      <x:c r="H289" s="17" t="str">
        <x:v>International Software Systems Science MSc</x:v>
      </x:c>
      <x:c r="I289" s="17" t="str">
        <x:v>University of Bamberg</x:v>
      </x:c>
      <x:c r="J289" s="17" t="str">
        <x:v>official</x:v>
      </x:c>
      <x:c r="K289" s="17" t="str">
        <x:v>2026-09-11</x:v>
      </x:c>
      <x:c r="L289" s="17" t="str">
        <x:v>Current page checked 2026-09-11</x:v>
      </x:c>
      <x:c r="M289" s="17" t="str">
        <x:v>high</x:v>
      </x:c>
      <x:c r="N289" s="17" t="str">
        <x:v>official page checked</x:v>
      </x:c>
      <x:c r="O289" s="17" t="str"/>
      <x:c r="P289" s="18" t="e">
        <x:f>HYPERLINK("https://www.uni-bamberg.de/en/ma-isosysc/","Open source")</x:f>
        <x:v>HYPERLINK is not implemented. linkLocation=https://www.uni-bamberg.de/en/ma-isosysc/, friendlyName=Open source</x:v>
      </x:c>
    </x:row>
    <x:row r="290" ht="46" customHeight="1">
      <x:c r="A290" s="17" t="str">
        <x:v>stage3src:f12bb7ef37b805709ef7</x:v>
      </x:c>
      <x:c r="B290" s="17" t="str">
        <x:v>program</x:v>
      </x:c>
      <x:c r="C290" s="17" t="str">
        <x:v>University of Bamberg</x:v>
      </x:c>
      <x:c r="D290" s="17" t="str">
        <x:v>ror:01c1w6d29:program:thesis-or-research-master-s:m-sc-international-software-systems-science</x:v>
      </x:c>
      <x:c r="E290" s="17" t="str"/>
      <x:c r="F290" s="17" t="str">
        <x:v>admissions|eligibility|language|deadline</x:v>
      </x:c>
      <x:c r="G290" s="17" t="str">
        <x:v>German 2.0 grade gate, 115-ECTS subject map, B2 English, conditional GRE or GATE, July 15 deadline, and non-EU processing warning.</x:v>
      </x:c>
      <x:c r="H290" s="17" t="str">
        <x:v>Admission</x:v>
      </x:c>
      <x:c r="I290" s="17" t="str">
        <x:v>University of Bamberg</x:v>
      </x:c>
      <x:c r="J290" s="17" t="str">
        <x:v>official</x:v>
      </x:c>
      <x:c r="K290" s="17" t="str">
        <x:v>2026-09-11</x:v>
      </x:c>
      <x:c r="L290" s="17" t="str">
        <x:v>Current recurring dates checked 2026-09-11</x:v>
      </x:c>
      <x:c r="M290" s="17" t="str">
        <x:v>high</x:v>
      </x:c>
      <x:c r="N290" s="17" t="str">
        <x:v>official page checked</x:v>
      </x:c>
      <x:c r="O290" s="17" t="str"/>
      <x:c r="P290" s="18" t="e">
        <x:f>HYPERLINK("https://www.uni-bamberg.de/en/ma-isosysc/admission/","Open source")</x:f>
        <x:v>HYPERLINK is not implemented. linkLocation=https://www.uni-bamberg.de/en/ma-isosysc/admission/, friendlyName=Open source</x:v>
      </x:c>
    </x:row>
    <x:row r="291" ht="46" customHeight="1">
      <x:c r="A291" s="17" t="str">
        <x:v>stage3src:fac91803224a1ec9025b</x:v>
      </x:c>
      <x:c r="B291" s="17" t="str">
        <x:v>program</x:v>
      </x:c>
      <x:c r="C291" s="17" t="str">
        <x:v>University of Lisbon</x:v>
      </x:c>
      <x:c r="D291" s="17" t="str">
        <x:v>ror:01c27hj86:program:unclear:cross-path-catalog-review</x:v>
      </x:c>
      <x:c r="E291" s="17" t="str"/>
      <x:c r="F291" s="17" t="str">
        <x:v>discovery</x:v>
      </x:c>
      <x:c r="G291" s="17" t="str">
        <x:v>Stage 2 recorded this row as a discovery candidate; it does not independently verify an exact current research program, eligibility, or funding.</x:v>
      </x:c>
      <x:c r="H291" s="17" t="str">
        <x:v>Pass 2 Stage 2 candidate funnel</x:v>
      </x:c>
      <x:c r="I291" s="17" t="str">
        <x:v>Graduate audit pipeline</x:v>
      </x:c>
      <x:c r="J291" s="17" t="str">
        <x:v>derived</x:v>
      </x:c>
      <x:c r="K291" s="17" t="str">
        <x:v>2026-09-11</x:v>
      </x:c>
      <x:c r="L291" s="17" t="str">
        <x:v>Not cycle-specific</x:v>
      </x:c>
      <x:c r="M291" s="17" t="str">
        <x:v>low</x:v>
      </x:c>
      <x:c r="N291" s="17" t="str">
        <x:v>Discovery evidence only</x:v>
      </x:c>
      <x:c r="O291" s="17" t="str">
        <x:v>Use the source_record_paths field to trace the underlying discovery inputs.</x:v>
      </x:c>
      <x:c r="P291" s="18" t="e">
        <x:f>HYPERLINK("https://www.ulisboa.pt","Open source")</x:f>
        <x:v>HYPERLINK is not implemented. linkLocation=https://www.ulisboa.pt, friendlyName=Open source</x:v>
      </x:c>
    </x:row>
    <x:row r="292" ht="46" customHeight="1">
      <x:c r="A292" s="17" t="str">
        <x:v>stage3src:4d5aa4cf45558d127f21</x:v>
      </x:c>
      <x:c r="B292" s="17" t="str">
        <x:v>program</x:v>
      </x:c>
      <x:c r="C292" s="17" t="str">
        <x:v>University of Regensburg</x:v>
      </x:c>
      <x:c r="D292" s="17" t="str">
        <x:v>ror:01eezs655:program:unclear:cross-path-catalog-review</x:v>
      </x:c>
      <x:c r="E292" s="17" t="str"/>
      <x:c r="F292" s="17" t="str">
        <x:v>discovery</x:v>
      </x:c>
      <x:c r="G292" s="17" t="str">
        <x:v>Stage 2 recorded this row as a discovery candidate; it does not independently verify an exact current research program, eligibility, or funding.</x:v>
      </x:c>
      <x:c r="H292" s="17" t="str">
        <x:v>Pass 2 Stage 2 candidate funnel</x:v>
      </x:c>
      <x:c r="I292" s="17" t="str">
        <x:v>Graduate audit pipeline</x:v>
      </x:c>
      <x:c r="J292" s="17" t="str">
        <x:v>derived</x:v>
      </x:c>
      <x:c r="K292" s="17" t="str">
        <x:v>2026-09-11</x:v>
      </x:c>
      <x:c r="L292" s="17" t="str">
        <x:v>Not cycle-specific</x:v>
      </x:c>
      <x:c r="M292" s="17" t="str">
        <x:v>low</x:v>
      </x:c>
      <x:c r="N292" s="17" t="str">
        <x:v>Discovery evidence only</x:v>
      </x:c>
      <x:c r="O292" s="17" t="str">
        <x:v>Use the source_record_paths field to trace the underlying discovery inputs.</x:v>
      </x:c>
      <x:c r="P292" s="18" t="e">
        <x:f>HYPERLINK("https://www.uni-regensburg.de","Open source")</x:f>
        <x:v>HYPERLINK is not implemented. linkLocation=https://www.uni-regensburg.de, friendlyName=Open source</x:v>
      </x:c>
    </x:row>
    <x:row r="293" ht="46" customHeight="1">
      <x:c r="A293" s="17" t="str">
        <x:v>stage3src:459675c9aa582b673986</x:v>
      </x:c>
      <x:c r="B293" s="17" t="str">
        <x:v>program</x:v>
      </x:c>
      <x:c r="C293" s="17" t="str">
        <x:v>Angel Kanchev University of Ruse</x:v>
      </x:c>
      <x:c r="D293" s="17" t="str">
        <x:v>ror:01g09ef73:program:unclear:cross-path-catalog-review</x:v>
      </x:c>
      <x:c r="E293" s="17" t="str"/>
      <x:c r="F293" s="17" t="str">
        <x:v>discovery</x:v>
      </x:c>
      <x:c r="G293" s="17" t="str">
        <x:v>Stage 2 recorded this row as a discovery candidate; it does not independently verify an exact current research program, eligibility, or funding.</x:v>
      </x:c>
      <x:c r="H293" s="17" t="str">
        <x:v>Pass 2 Stage 2 candidate funnel</x:v>
      </x:c>
      <x:c r="I293" s="17" t="str">
        <x:v>Graduate audit pipeline</x:v>
      </x:c>
      <x:c r="J293" s="17" t="str">
        <x:v>derived</x:v>
      </x:c>
      <x:c r="K293" s="17" t="str">
        <x:v>2026-09-11</x:v>
      </x:c>
      <x:c r="L293" s="17" t="str">
        <x:v>Not cycle-specific</x:v>
      </x:c>
      <x:c r="M293" s="17" t="str">
        <x:v>low</x:v>
      </x:c>
      <x:c r="N293" s="17" t="str">
        <x:v>Discovery evidence only</x:v>
      </x:c>
      <x:c r="O293" s="17" t="str">
        <x:v>Use the source_record_paths field to trace the underlying discovery inputs.</x:v>
      </x:c>
      <x:c r="P293" s="18" t="e">
        <x:f>HYPERLINK("https://www.uni-ruse.bg","Open source")</x:f>
        <x:v>HYPERLINK is not implemented. linkLocation=https://www.uni-ruse.bg, friendlyName=Open source</x:v>
      </x:c>
    </x:row>
    <x:row r="294" ht="46" customHeight="1">
      <x:c r="A294" s="17" t="str">
        <x:v>stage3src:0db59f8e431270919a51</x:v>
      </x:c>
      <x:c r="B294" s="17" t="str">
        <x:v>program</x:v>
      </x:c>
      <x:c r="C294" s="17" t="str">
        <x:v>University of L'Aquila</x:v>
      </x:c>
      <x:c r="D294" s="17" t="str">
        <x:v>ror:01j9p1r26:program:unclear:cross-path-catalog-review</x:v>
      </x:c>
      <x:c r="E294" s="17" t="str"/>
      <x:c r="F294" s="17" t="str">
        <x:v>discovery</x:v>
      </x:c>
      <x:c r="G294" s="17" t="str">
        <x:v>Stage 2 recorded this row as a discovery candidate; it does not independently verify an exact current research program, eligibility, or funding.</x:v>
      </x:c>
      <x:c r="H294" s="17" t="str">
        <x:v>Pass 2 Stage 2 candidate funnel</x:v>
      </x:c>
      <x:c r="I294" s="17" t="str">
        <x:v>Graduate audit pipeline</x:v>
      </x:c>
      <x:c r="J294" s="17" t="str">
        <x:v>derived</x:v>
      </x:c>
      <x:c r="K294" s="17" t="str">
        <x:v>2026-09-11</x:v>
      </x:c>
      <x:c r="L294" s="17" t="str">
        <x:v>Not cycle-specific</x:v>
      </x:c>
      <x:c r="M294" s="17" t="str">
        <x:v>low</x:v>
      </x:c>
      <x:c r="N294" s="17" t="str">
        <x:v>Discovery evidence only</x:v>
      </x:c>
      <x:c r="O294" s="17" t="str">
        <x:v>Use the source_record_paths field to trace the underlying discovery inputs.</x:v>
      </x:c>
      <x:c r="P294" s="18" t="e">
        <x:f>HYPERLINK("https://www.univaq.it","Open source")</x:f>
        <x:v>HYPERLINK is not implemented. linkLocation=https://www.univaq.it, friendlyName=Open source</x:v>
      </x:c>
    </x:row>
    <x:row r="295" ht="46" customHeight="1">
      <x:c r="A295" s="17" t="str">
        <x:v>stage3src:16068af7fce0ab931041</x:v>
      </x:c>
      <x:c r="B295" s="17" t="str">
        <x:v>program</x:v>
      </x:c>
      <x:c r="C295" s="17" t="str">
        <x:v>Saarland University</x:v>
      </x:c>
      <x:c r="D295" s="17" t="str">
        <x:v>ror:01jdpyv68:program:integrated-or-structured-doctorate:saarbr-cken-graduate-school-of-computer-science</x:v>
      </x:c>
      <x:c r="E295" s="17" t="str"/>
      <x:c r="F295" s="17" t="str">
        <x:v>admissions</x:v>
      </x:c>
      <x:c r="G295" s="17" t="str">
        <x:v>Official program/admissions page; cycle label preserved in deep_programs.csv</x:v>
      </x:c>
      <x:c r="H295" s="17" t="str">
        <x:v>Saarland University — official evidence</x:v>
      </x:c>
      <x:c r="I295" s="17" t="str">
        <x:v>Saarland University</x:v>
      </x:c>
      <x:c r="J295" s="17" t="str">
        <x:v>official</x:v>
      </x:c>
      <x:c r="K295" s="17" t="str">
        <x:v>2026-09-09</x:v>
      </x:c>
      <x:c r="L295" s="17" t="str">
        <x:v>latest official program description</x:v>
      </x:c>
      <x:c r="M295" s="17" t="str">
        <x:v>high</x:v>
      </x:c>
      <x:c r="N295" s="17" t="str">
        <x:v>accessible or indexed official page</x:v>
      </x:c>
      <x:c r="O295" s="17" t="str">
        <x:v>Search snippets were discovery only; final claim points to the official destination. Recheck cycle-specific facts when 2027 material opens.</x:v>
      </x:c>
      <x:c r="P295" s="18" t="e">
        <x:f>HYPERLINK("https://www.uni-saarland.de/en/future/computerscience.html","Open source")</x:f>
        <x:v>HYPERLINK is not implemented. linkLocation=https://www.uni-saarland.de/en/future/computerscience.html, friendlyName=Open source</x:v>
      </x:c>
    </x:row>
    <x:row r="296" ht="46" customHeight="1">
      <x:c r="A296" s="17" t="str">
        <x:v>stage3src:4df25c002064c54e07ee</x:v>
      </x:c>
      <x:c r="B296" s="17" t="str">
        <x:v>program</x:v>
      </x:c>
      <x:c r="C296" s="17" t="str">
        <x:v>Saarland University</x:v>
      </x:c>
      <x:c r="D296" s="17" t="str">
        <x:v>ror:01jdpyv68:program:integrated-or-structured-doctorate:saarbr-cken-graduate-school-of-computer-science</x:v>
      </x:c>
      <x:c r="E296" s="17" t="str"/>
      <x:c r="F296" s="17" t="str">
        <x:v>language|admissions</x:v>
      </x:c>
      <x:c r="G296" s="17" t="str">
        <x:v>Official English-language or admissions evidence; waivers/test thresholds remain applicant-specific</x:v>
      </x:c>
      <x:c r="H296" s="17" t="str">
        <x:v>Saarland University — official evidence</x:v>
      </x:c>
      <x:c r="I296" s="17" t="str">
        <x:v>Saarland University</x:v>
      </x:c>
      <x:c r="J296" s="17" t="str">
        <x:v>official</x:v>
      </x:c>
      <x:c r="K296" s="17" t="str">
        <x:v>2026-09-09</x:v>
      </x:c>
      <x:c r="L296" s="17" t="str">
        <x:v>latest official program description</x:v>
      </x:c>
      <x:c r="M296" s="17" t="str">
        <x:v>high</x:v>
      </x:c>
      <x:c r="N296" s="17" t="str">
        <x:v>accessible or indexed official page</x:v>
      </x:c>
      <x:c r="O296" s="17" t="str">
        <x:v>Search snippets were discovery only; final claim points to the official destination. Recheck cycle-specific facts when 2027 material opens.</x:v>
      </x:c>
      <x:c r="P296" s="18" t="e">
        <x:f>HYPERLINK("https://www.uni-saarland.de/en/future/computerscience.html","Open source")</x:f>
        <x:v>HYPERLINK is not implemented. linkLocation=https://www.uni-saarland.de/en/future/computerscience.html, friendlyName=Open source</x:v>
      </x:c>
    </x:row>
    <x:row r="297" ht="46" customHeight="1">
      <x:c r="A297" s="17" t="str">
        <x:v>stage3src:d888763032b58ee49e2f</x:v>
      </x:c>
      <x:c r="B297" s="17" t="str">
        <x:v>program</x:v>
      </x:c>
      <x:c r="C297" s="17" t="str">
        <x:v>Saarland University</x:v>
      </x:c>
      <x:c r="D297" s="17" t="str">
        <x:v>ror:01jdpyv68:program:integrated-or-structured-doctorate:saarbr-cken-graduate-school-of-computer-science</x:v>
      </x:c>
      <x:c r="E297" s="17" t="str"/>
      <x:c r="F297" s="17" t="str">
        <x:v>institution</x:v>
      </x:c>
      <x:c r="G297" s="17" t="str">
        <x:v>Official institutional profile/group page used to verify current role and research themes</x:v>
      </x:c>
      <x:c r="H297" s="17" t="str">
        <x:v>Andreas Zeller — official evidence</x:v>
      </x:c>
      <x:c r="I297" s="17" t="str">
        <x:v>Saarland University</x:v>
      </x:c>
      <x:c r="J297" s="17" t="str">
        <x:v>official</x:v>
      </x:c>
      <x:c r="K297" s="17" t="str">
        <x:v>2026-09-09</x:v>
      </x:c>
      <x:c r="L297" s="17" t="str">
        <x:v>current at 2026-09-09</x:v>
      </x:c>
      <x:c r="M297" s="17" t="str">
        <x:v>high</x:v>
      </x:c>
      <x:c r="N297" s="17" t="str">
        <x:v>accessible or indexed official page</x:v>
      </x:c>
      <x:c r="O297" s="17" t="str">
        <x:v>Search snippets were discovery only; final claim points to the official destination. Recheck cycle-specific facts when 2027 material opens.</x:v>
      </x:c>
      <x:c r="P297" s="18" t="e">
        <x:f>HYPERLINK("https://cispa.de/en/people/c01aze","Open source")</x:f>
        <x:v>HYPERLINK is not implemented. linkLocation=https://cispa.de/en/people/c01aze, friendlyName=Open source</x:v>
      </x:c>
    </x:row>
    <x:row r="298" ht="46" customHeight="1">
      <x:c r="A298" s="17" t="str">
        <x:v>stage3src:63935f26278a69d3bc9d</x:v>
      </x:c>
      <x:c r="B298" s="17" t="str">
        <x:v>program</x:v>
      </x:c>
      <x:c r="C298" s="17" t="str">
        <x:v>Saarland University</x:v>
      </x:c>
      <x:c r="D298" s="17" t="str">
        <x:v>ror:01jdpyv68:program:thesis-or-research-master-s:computer-science-m-sc</x:v>
      </x:c>
      <x:c r="E298" s="17" t="str"/>
      <x:c r="F298" s="17" t="str">
        <x:v>funding|tuition|fees|health|summer</x:v>
      </x:c>
      <x:c r="G298" s="17" t="str">
        <x:v>State-funded tuition for consecutive master's programs and competitive scholarship pathways without a universal living-cost guarantee.</x:v>
      </x:c>
      <x:c r="H298" s="17" t="str">
        <x:v>Financing Your Studies</x:v>
      </x:c>
      <x:c r="I298" s="17" t="str">
        <x:v>Saarland University</x:v>
      </x:c>
      <x:c r="J298" s="17" t="str">
        <x:v>official</x:v>
      </x:c>
      <x:c r="K298" s="17" t="str">
        <x:v>2026-09-11</x:v>
      </x:c>
      <x:c r="L298" s="17" t="str">
        <x:v>Current guide checked 2026-09-11</x:v>
      </x:c>
      <x:c r="M298" s="17" t="str">
        <x:v>high</x:v>
      </x:c>
      <x:c r="N298" s="17" t="str">
        <x:v>official page checked</x:v>
      </x:c>
      <x:c r="O298" s="17" t="str"/>
      <x:c r="P298" s="18" t="e">
        <x:f>HYPERLINK("https://www.uni-saarland.de/fileadmin/upload/studium/flyer/sprachen/financing-your-studies.pdf","Open source")</x:f>
        <x:v>HYPERLINK is not implemented. linkLocation=https://www.uni-saarland.de/fileadmin/upload/studium/flyer/sprachen/financing-your-studies.pdf, friendlyName=Open source</x:v>
      </x:c>
    </x:row>
    <x:row r="299" ht="46" customHeight="1">
      <x:c r="A299" s="17" t="str">
        <x:v>stage3src:91805b3b4ba6c463a213</x:v>
      </x:c>
      <x:c r="B299" s="17" t="str">
        <x:v>program</x:v>
      </x:c>
      <x:c r="C299" s="17" t="str">
        <x:v>Saarland University</x:v>
      </x:c>
      <x:c r="D299" s="17" t="str">
        <x:v>ror:01jdpyv68:program:thesis-or-research-master-s:computer-science-m-sc</x:v>
      </x:c>
      <x:c r="E299" s="17" t="str"/>
      <x:c r="F299" s="17" t="str">
        <x:v>program|research|admissions|eligibility|language|deadline</x:v>
      </x:c>
      <x:c r="G299" s="17" t="str">
        <x:v>Current research-driven English MSc, foreign bachelor's route, merit review, and C1 English rule excluding MOI-only evidence.</x:v>
      </x:c>
      <x:c r="H299" s="17" t="str">
        <x:v>Computer Science (M.Sc.)</x:v>
      </x:c>
      <x:c r="I299" s="17" t="str">
        <x:v>Saarland University</x:v>
      </x:c>
      <x:c r="J299" s="17" t="str">
        <x:v>official</x:v>
      </x:c>
      <x:c r="K299" s="17" t="str">
        <x:v>2026-09-11</x:v>
      </x:c>
      <x:c r="L299" s="17" t="str">
        <x:v>Current requirements checked 2026-09-11</x:v>
      </x:c>
      <x:c r="M299" s="17" t="str">
        <x:v>high</x:v>
      </x:c>
      <x:c r="N299" s="17" t="str">
        <x:v>official page checked</x:v>
      </x:c>
      <x:c r="O299" s="17" t="str"/>
      <x:c r="P299" s="18" t="e">
        <x:f>HYPERLINK("https://www.uni-saarland.de/en/study/programmes/master/informatics.html","Open source")</x:f>
        <x:v>HYPERLINK is not implemented. linkLocation=https://www.uni-saarland.de/en/study/programmes/master/informatics.html, friendlyName=Open source</x:v>
      </x:c>
    </x:row>
    <x:row r="300" ht="46" customHeight="1">
      <x:c r="A300" s="17" t="str">
        <x:v>stage3src:00846034311260a2f01b</x:v>
      </x:c>
      <x:c r="B300" s="17" t="str">
        <x:v>program</x:v>
      </x:c>
      <x:c r="C300" s="17" t="str">
        <x:v>Saarland University</x:v>
      </x:c>
      <x:c r="D300" s="17" t="str">
        <x:v>ror:01jdpyv68:program:thesis-or-research-master-s:m-sc-cybersecurity</x:v>
      </x:c>
      <x:c r="E300" s="17" t="str"/>
      <x:c r="F300" s="17" t="str">
        <x:v>program|admissions|eligibility|language|deadline|tuition|fees</x:v>
      </x:c>
      <x:c r="G300" s="17" t="str">
        <x:v>Current research master's, detailed curriculum gate, C1 certificate rule rejecting MOI, recurring deadlines, no tuition, and required semester fee.</x:v>
      </x:c>
      <x:c r="H300" s="17" t="str">
        <x:v>Cybersecurity (M.Sc.)</x:v>
      </x:c>
      <x:c r="I300" s="17" t="str">
        <x:v>Saarland University</x:v>
      </x:c>
      <x:c r="J300" s="17" t="str">
        <x:v>official</x:v>
      </x:c>
      <x:c r="K300" s="17" t="str">
        <x:v>2026-09-10</x:v>
      </x:c>
      <x:c r="L300" s="17" t="str">
        <x:v>Current program checked 2026-09-10</x:v>
      </x:c>
      <x:c r="M300" s="17" t="str">
        <x:v>high</x:v>
      </x:c>
      <x:c r="N300" s="17" t="str">
        <x:v>official page checked</x:v>
      </x:c>
      <x:c r="O300" s="17" t="str"/>
      <x:c r="P300" s="18" t="e">
        <x:f>HYPERLINK("https://www.uni-saarland.de/en/study/programmes/master/cybersecurity.html","Open source")</x:f>
        <x:v>HYPERLINK is not implemented. linkLocation=https://www.uni-saarland.de/en/study/programmes/master/cybersecurity.html, friendlyName=Open source</x:v>
      </x:c>
    </x:row>
    <x:row r="301" ht="46" customHeight="1">
      <x:c r="A301" s="17" t="str">
        <x:v>stage3src:d04745b7bf8fd941efed</x:v>
      </x:c>
      <x:c r="B301" s="17" t="str">
        <x:v>program</x:v>
      </x:c>
      <x:c r="C301" s="17" t="str">
        <x:v>Saarland University</x:v>
      </x:c>
      <x:c r="D301" s="17" t="str">
        <x:v>ror:01jdpyv68:program:thesis-or-research-master-s:m-sc-cybersecurity</x:v>
      </x:c>
      <x:c r="E301" s="17" t="str"/>
      <x:c r="F301" s="17" t="str">
        <x:v>funding|tuition|fees</x:v>
      </x:c>
      <x:c r="G301" s="17" t="str">
        <x:v>Consecutive master's tuition is state-funded, while living-cost support depends on external scholarships and personal financing rather than a program package.</x:v>
      </x:c>
      <x:c r="H301" s="17" t="str">
        <x:v>Financing Your Studies</x:v>
      </x:c>
      <x:c r="I301" s="17" t="str">
        <x:v>Saarland University</x:v>
      </x:c>
      <x:c r="J301" s="17" t="str">
        <x:v>official</x:v>
      </x:c>
      <x:c r="K301" s="17" t="str">
        <x:v>2026-09-10</x:v>
      </x:c>
      <x:c r="L301" s="17" t="str">
        <x:v>Current official guidance accessed 2026-09-10</x:v>
      </x:c>
      <x:c r="M301" s="17" t="str">
        <x:v>high</x:v>
      </x:c>
      <x:c r="N301" s="17" t="str">
        <x:v>official page checked</x:v>
      </x:c>
      <x:c r="O301" s="17" t="str"/>
      <x:c r="P301" s="18" t="e">
        <x:f>HYPERLINK("https://www.uni-saarland.de/fileadmin/upload/studium/flyer/sprachen/financing-your-studies.pdf","Open source")</x:f>
        <x:v>HYPERLINK is not implemented. linkLocation=https://www.uni-saarland.de/fileadmin/upload/studium/flyer/sprachen/financing-your-studies.pdf, friendlyName=Open source</x:v>
      </x:c>
    </x:row>
    <x:row r="302" ht="46" customHeight="1">
      <x:c r="A302" s="17" t="str">
        <x:v>stage3src:dd9f40c38897acb7617a</x:v>
      </x:c>
      <x:c r="B302" s="17" t="str">
        <x:v>program</x:v>
      </x:c>
      <x:c r="C302" s="17" t="str">
        <x:v>Eötvös Loránd University</x:v>
      </x:c>
      <x:c r="D302" s="17" t="str">
        <x:v>ror:01jsq2704:program:unclear:cross-path-catalog-review</x:v>
      </x:c>
      <x:c r="E302" s="17" t="str"/>
      <x:c r="F302" s="17" t="str">
        <x:v>discovery</x:v>
      </x:c>
      <x:c r="G302" s="17" t="str">
        <x:v>Stage 2 recorded this row as a discovery candidate; it does not independently verify an exact current research program, eligibility, or funding.</x:v>
      </x:c>
      <x:c r="H302" s="17" t="str">
        <x:v>Pass 2 Stage 2 candidate funnel</x:v>
      </x:c>
      <x:c r="I302" s="17" t="str">
        <x:v>Graduate audit pipeline</x:v>
      </x:c>
      <x:c r="J302" s="17" t="str">
        <x:v>derived</x:v>
      </x:c>
      <x:c r="K302" s="17" t="str">
        <x:v>2026-09-11</x:v>
      </x:c>
      <x:c r="L302" s="17" t="str">
        <x:v>Not cycle-specific</x:v>
      </x:c>
      <x:c r="M302" s="17" t="str">
        <x:v>low</x:v>
      </x:c>
      <x:c r="N302" s="17" t="str">
        <x:v>Discovery evidence only</x:v>
      </x:c>
      <x:c r="O302" s="17" t="str">
        <x:v>Use the source_record_paths field to trace the underlying discovery inputs.</x:v>
      </x:c>
      <x:c r="P302" s="18" t="e">
        <x:f>HYPERLINK("https://www.elte.hu","Open source")</x:f>
        <x:v>HYPERLINK is not implemented. linkLocation=https://www.elte.hu, friendlyName=Open source</x:v>
      </x:c>
    </x:row>
    <x:row r="303" ht="46" customHeight="1">
      <x:c r="A303" s="17" t="str">
        <x:v>stage3src:8ddbb1510156105c8072</x:v>
      </x:c>
      <x:c r="B303" s="17" t="str">
        <x:v>program</x:v>
      </x:c>
      <x:c r="C303" s="17" t="str">
        <x:v>Kaunas University of Technology</x:v>
      </x:c>
      <x:c r="D303" s="17" t="str">
        <x:v>ror:01me6gb93:program:unclear:cross-path-catalog-review</x:v>
      </x:c>
      <x:c r="E303" s="17" t="str"/>
      <x:c r="F303" s="17" t="str">
        <x:v>discovery</x:v>
      </x:c>
      <x:c r="G303" s="17" t="str">
        <x:v>Stage 2 recorded this row as a discovery candidate; it does not independently verify an exact current research program, eligibility, or funding.</x:v>
      </x:c>
      <x:c r="H303" s="17" t="str">
        <x:v>Pass 2 Stage 2 candidate funnel</x:v>
      </x:c>
      <x:c r="I303" s="17" t="str">
        <x:v>Graduate audit pipeline</x:v>
      </x:c>
      <x:c r="J303" s="17" t="str">
        <x:v>derived</x:v>
      </x:c>
      <x:c r="K303" s="17" t="str">
        <x:v>2026-09-11</x:v>
      </x:c>
      <x:c r="L303" s="17" t="str">
        <x:v>Not cycle-specific</x:v>
      </x:c>
      <x:c r="M303" s="17" t="str">
        <x:v>low</x:v>
      </x:c>
      <x:c r="N303" s="17" t="str">
        <x:v>Discovery evidence only</x:v>
      </x:c>
      <x:c r="O303" s="17" t="str">
        <x:v>Use the source_record_paths field to trace the underlying discovery inputs.</x:v>
      </x:c>
      <x:c r="P303" s="18" t="e">
        <x:f>HYPERLINK("https://en.ktu.edu","Open source")</x:f>
        <x:v>HYPERLINK is not implemented. linkLocation=https://en.ktu.edu, friendlyName=Open source</x:v>
      </x:c>
    </x:row>
    <x:row r="304" ht="46" customHeight="1">
      <x:c r="A304" s="17" t="str">
        <x:v>stage3src:07a6508c8800ac3b8c33</x:v>
      </x:c>
      <x:c r="B304" s="17" t="str">
        <x:v>program</x:v>
      </x:c>
      <x:c r="C304" s="17" t="str">
        <x:v>Politecnico di Milano</x:v>
      </x:c>
      <x:c r="D304" s="17" t="str">
        <x:v>ror:01nffqt88:program:thesis-or-research-master-s:master-s-degree-in-computer-science-and-engineering</x:v>
      </x:c>
      <x:c r="E304" s="17" t="str"/>
      <x:c r="F304" s="17" t="str">
        <x:v>program|research|structure|eligibility|language|prerequisites</x:v>
      </x:c>
      <x:c r="G304" s="17" t="str">
        <x:v>Current English Computer Science and Engineering master's, two-year 120-credit structure, 20-credit thesis, and foreign CS or engineering background guidance.</x:v>
      </x:c>
      <x:c r="H304" s="17" t="str">
        <x:v>Computer Science and Engineering</x:v>
      </x:c>
      <x:c r="I304" s="17" t="str">
        <x:v>Politecnico di Milano</x:v>
      </x:c>
      <x:c r="J304" s="17" t="str">
        <x:v>official</x:v>
      </x:c>
      <x:c r="K304" s="17" t="str">
        <x:v>2026-09-11</x:v>
      </x:c>
      <x:c r="L304" s="17" t="str">
        <x:v>Current program page checked 2026-09-11</x:v>
      </x:c>
      <x:c r="M304" s="17" t="str">
        <x:v>high</x:v>
      </x:c>
      <x:c r="N304" s="17" t="str">
        <x:v>official page checked</x:v>
      </x:c>
      <x:c r="O304" s="17" t="str"/>
      <x:c r="P304" s="18" t="e">
        <x:f>HYPERLINK("https://www.polimi.it/en/education/laurea-programmes/programme-detail/computer-science-and-engineering","Open source")</x:f>
        <x:v>HYPERLINK is not implemented. linkLocation=https://www.polimi.it/en/education/laurea-programmes/programme-detail/computer-science-and-engineering, friendlyName=Open source</x:v>
      </x:c>
    </x:row>
    <x:row r="305" ht="46" customHeight="1">
      <x:c r="A305" s="17" t="str">
        <x:v>stage3src:a026da540f6979b0b44e</x:v>
      </x:c>
      <x:c r="B305" s="17" t="str">
        <x:v>program</x:v>
      </x:c>
      <x:c r="C305" s="17" t="str">
        <x:v>Politecnico di Milano</x:v>
      </x:c>
      <x:c r="D305" s="17" t="str">
        <x:v>ror:01nffqt88:program:thesis-or-research-master-s:master-s-degree-in-computer-science-and-engineering</x:v>
      </x:c>
      <x:c r="E305" s="17" t="str"/>
      <x:c r="F305" s="17" t="str">
        <x:v>admissions|deadline|fee|simultaneous_application</x:v>
      </x:c>
      <x:c r="G305" s="17" t="str">
        <x:v>2026-27 September-intake calls, €50 and €150 fees, and the at-most-two-programme/one-acceptance rule.</x:v>
      </x:c>
      <x:c r="H305" s="17" t="str">
        <x:v>Foreign Qualification Application Deadlines</x:v>
      </x:c>
      <x:c r="I305" s="17" t="str">
        <x:v>Politecnico di Milano</x:v>
      </x:c>
      <x:c r="J305" s="17" t="str">
        <x:v>official</x:v>
      </x:c>
      <x:c r="K305" s="17" t="str">
        <x:v>2026-09-11</x:v>
      </x:c>
      <x:c r="L305" s="17" t="str">
        <x:v>2026-27 cycle checked 2026-09-11; Fall 2027 not published</x:v>
      </x:c>
      <x:c r="M305" s="17" t="str">
        <x:v>high</x:v>
      </x:c>
      <x:c r="N305" s="17" t="str">
        <x:v>official page checked</x:v>
      </x:c>
      <x:c r="O305" s="17" t="str"/>
      <x:c r="P305" s="18" t="e">
        <x:f>HYPERLINK("https://www.polimi.it/en/prospective-students/how-to-apply/admission-to-laurea-magistrale/foreign-qualification/deadlines","Open source")</x:f>
        <x:v>HYPERLINK is not implemented. linkLocation=https://www.polimi.it/en/prospective-students/how-to-apply/admission-to-laurea-magistrale/foreign-qualification/deadlines, friendlyName=Open source</x:v>
      </x:c>
    </x:row>
    <x:row r="306" ht="46" customHeight="1">
      <x:c r="A306" s="17" t="str">
        <x:v>stage3src:bd0a63e34150a816f884</x:v>
      </x:c>
      <x:c r="B306" s="17" t="str">
        <x:v>program</x:v>
      </x:c>
      <x:c r="C306" s="17" t="str">
        <x:v>Politecnico di Milano</x:v>
      </x:c>
      <x:c r="D306" s="17" t="str">
        <x:v>ror:01nffqt88:program:thesis-or-research-master-s:master-s-degree-in-computer-science-and-engineering</x:v>
      </x:c>
      <x:c r="E306" s="17" t="str"/>
      <x:c r="F306" s="17" t="str">
        <x:v>funding|tuition|stipend|deadline|international</x:v>
      </x:c>
      <x:c r="G306" s="17" t="str">
        <x:v>Competitive international merit scholarships, full tuition waivers, possible allowances up to €10,000 annually, and Early Bird timing.</x:v>
      </x:c>
      <x:c r="H306" s="17" t="str">
        <x:v>Scholarships</x:v>
      </x:c>
      <x:c r="I306" s="17" t="str">
        <x:v>Politecnico di Milano</x:v>
      </x:c>
      <x:c r="J306" s="17" t="str">
        <x:v>official</x:v>
      </x:c>
      <x:c r="K306" s="17" t="str">
        <x:v>2026-09-11</x:v>
      </x:c>
      <x:c r="L306" s="17" t="str">
        <x:v>2026-27 scholarship information checked 2026-09-11</x:v>
      </x:c>
      <x:c r="M306" s="17" t="str">
        <x:v>high</x:v>
      </x:c>
      <x:c r="N306" s="17" t="str">
        <x:v>official page checked</x:v>
      </x:c>
      <x:c r="O306" s="17" t="str"/>
      <x:c r="P306" s="18" t="e">
        <x:f>HYPERLINK("https://www.polimi.it/en/prospective-students/how-much-does-it-cost/scholarships","Open source")</x:f>
        <x:v>HYPERLINK is not implemented. linkLocation=https://www.polimi.it/en/prospective-students/how-much-does-it-cost/scholarships, friendlyName=Open source</x:v>
      </x:c>
    </x:row>
    <x:row r="307" ht="46" customHeight="1">
      <x:c r="A307" s="17" t="str">
        <x:v>stage3src:cf22a69f48acd1146b25</x:v>
      </x:c>
      <x:c r="B307" s="17" t="str">
        <x:v>program</x:v>
      </x:c>
      <x:c r="C307" s="17" t="str">
        <x:v>Politecnico di Milano</x:v>
      </x:c>
      <x:c r="D307" s="17" t="str">
        <x:v>ror:01nffqt88:program:unclear:cross-path-catalog-review</x:v>
      </x:c>
      <x:c r="E307" s="17" t="str"/>
      <x:c r="F307" s="17" t="str">
        <x:v>discovery</x:v>
      </x:c>
      <x:c r="G307" s="17" t="str">
        <x:v>Stage 2 recorded this row as a discovery candidate; it does not independently verify an exact current research program, eligibility, or funding.</x:v>
      </x:c>
      <x:c r="H307" s="17" t="str">
        <x:v>Pass 2 Stage 2 candidate funnel</x:v>
      </x:c>
      <x:c r="I307" s="17" t="str">
        <x:v>Graduate audit pipeline</x:v>
      </x:c>
      <x:c r="J307" s="17" t="str">
        <x:v>derived</x:v>
      </x:c>
      <x:c r="K307" s="17" t="str">
        <x:v>2026-09-11</x:v>
      </x:c>
      <x:c r="L307" s="17" t="str">
        <x:v>Not cycle-specific</x:v>
      </x:c>
      <x:c r="M307" s="17" t="str">
        <x:v>low</x:v>
      </x:c>
      <x:c r="N307" s="17" t="str">
        <x:v>Discovery evidence only</x:v>
      </x:c>
      <x:c r="O307" s="17" t="str">
        <x:v>Use the source_record_paths field to trace the underlying discovery inputs.</x:v>
      </x:c>
      <x:c r="P307" s="18" t="e">
        <x:f>HYPERLINK("https://polimi.it","Open source")</x:f>
        <x:v>HYPERLINK is not implemented. linkLocation=https://polimi.it, friendlyName=Open source</x:v>
      </x:c>
    </x:row>
    <x:row r="308" ht="46" customHeight="1">
      <x:c r="A308" s="17" t="str">
        <x:v>stage3src:072ad80b43c7b6e550d2</x:v>
      </x:c>
      <x:c r="B308" s="17" t="str">
        <x:v>program</x:v>
      </x:c>
      <x:c r="C308" s="17" t="str">
        <x:v>University of Edinburgh</x:v>
      </x:c>
      <x:c r="D308" s="17" t="str">
        <x:v>ror:01nrxwf90:program:phd:phd-informatics</x:v>
      </x:c>
      <x:c r="E308" s="17" t="str"/>
      <x:c r="F308" s="17" t="str">
        <x:v>admissions</x:v>
      </x:c>
      <x:c r="G308" s="17" t="str">
        <x:v>Official program/admissions page; cycle label preserved in deep_programs.csv</x:v>
      </x:c>
      <x:c r="H308" s="17" t="str">
        <x:v>University of Edinburgh — official evidence</x:v>
      </x:c>
      <x:c r="I308" s="17" t="str">
        <x:v>University of Edinburgh</x:v>
      </x:c>
      <x:c r="J308" s="17" t="str">
        <x:v>official</x:v>
      </x:c>
      <x:c r="K308" s="17" t="str">
        <x:v>2026-09-09</x:v>
      </x:c>
      <x:c r="L308" s="17" t="str">
        <x:v>latest 2026/27 funding and fee evidence</x:v>
      </x:c>
      <x:c r="M308" s="17" t="str">
        <x:v>high</x:v>
      </x:c>
      <x:c r="N308" s="17" t="str">
        <x:v>accessible or indexed official page</x:v>
      </x:c>
      <x:c r="O308" s="17" t="str">
        <x:v>Search snippets were discovery only; final claim points to the official destination. Recheck cycle-specific facts when 2027 material opens.</x:v>
      </x:c>
      <x:c r="P308" s="18" t="e">
        <x:f>HYPERLINK("https://informatics.ed.ac.uk/study-with-us/our-degrees/postgraduate-research-and-cdts/research-degrees","Open source")</x:f>
        <x:v>HYPERLINK is not implemented. linkLocation=https://informatics.ed.ac.uk/study-with-us/our-degrees/postgraduate-research-and-cdts/research-degrees, friendlyName=Open source</x:v>
      </x:c>
    </x:row>
    <x:row r="309" ht="46" customHeight="1">
      <x:c r="A309" s="17" t="str">
        <x:v>stage3src:5fb97a4681bb785eaf09</x:v>
      </x:c>
      <x:c r="B309" s="17" t="str">
        <x:v>program</x:v>
      </x:c>
      <x:c r="C309" s="17" t="str">
        <x:v>University of Edinburgh</x:v>
      </x:c>
      <x:c r="D309" s="17" t="str">
        <x:v>ror:01nrxwf90:program:phd:phd-informatics</x:v>
      </x:c>
      <x:c r="E309" s="17" t="str"/>
      <x:c r="F309" s="17" t="str">
        <x:v>fees</x:v>
      </x:c>
      <x:c r="G309" s="17" t="str">
        <x:v>Official 2026/27 fee schedule; not projected to 2027/28.</x:v>
      </x:c>
      <x:c r="H309" s="17" t="str">
        <x:v>University of Edinburgh — official evidence</x:v>
      </x:c>
      <x:c r="I309" s="17" t="str">
        <x:v>University of Edinburgh</x:v>
      </x:c>
      <x:c r="J309" s="17" t="str">
        <x:v>official</x:v>
      </x:c>
      <x:c r="K309" s="17" t="str">
        <x:v>2026-09-09</x:v>
      </x:c>
      <x:c r="L309" s="17" t="str">
        <x:v>current/latest-cycle, not projected</x:v>
      </x:c>
      <x:c r="M309" s="17" t="str">
        <x:v>high</x:v>
      </x:c>
      <x:c r="N309" s="17" t="str">
        <x:v>accessible or indexed official page</x:v>
      </x:c>
      <x:c r="O309" s="17" t="str">
        <x:v>Search snippets were discovery only; final claim points to the official destination. Recheck cycle-specific facts when 2027 material opens.</x:v>
      </x:c>
      <x:c r="P309" s="18" t="e">
        <x:f>HYPERLINK("https://registryservices.ed.ac.uk/tuition-fees/find/postgraduate-research/2026-2027/research-degrees","Open source")</x:f>
        <x:v>HYPERLINK is not implemented. linkLocation=https://registryservices.ed.ac.uk/tuition-fees/find/postgraduate-research/2026-2027/research-degrees, friendlyName=Open source</x:v>
      </x:c>
    </x:row>
    <x:row r="310" ht="46" customHeight="1">
      <x:c r="A310" s="17" t="str">
        <x:v>stage3src:7719ad3f59050d227a58</x:v>
      </x:c>
      <x:c r="B310" s="17" t="str">
        <x:v>program</x:v>
      </x:c>
      <x:c r="C310" s="17" t="str">
        <x:v>University of Edinburgh</x:v>
      </x:c>
      <x:c r="D310" s="17" t="str">
        <x:v>ror:01nrxwf90:program:phd:phd-informatics</x:v>
      </x:c>
      <x:c r="E310" s="17" t="str"/>
      <x:c r="F310" s="17" t="str">
        <x:v>language|admissions</x:v>
      </x:c>
      <x:c r="G310" s="17" t="str">
        <x:v>Official English-language or admissions evidence; waivers/test thresholds remain applicant-specific</x:v>
      </x:c>
      <x:c r="H310" s="17" t="str">
        <x:v>University of Edinburgh — official evidence</x:v>
      </x:c>
      <x:c r="I310" s="17" t="str">
        <x:v>University of Edinburgh</x:v>
      </x:c>
      <x:c r="J310" s="17" t="str">
        <x:v>official</x:v>
      </x:c>
      <x:c r="K310" s="17" t="str">
        <x:v>2026-09-09</x:v>
      </x:c>
      <x:c r="L310" s="17" t="str">
        <x:v>latest 2026/27 funding and fee evidence</x:v>
      </x:c>
      <x:c r="M310" s="17" t="str">
        <x:v>high</x:v>
      </x:c>
      <x:c r="N310" s="17" t="str">
        <x:v>accessible or indexed official page</x:v>
      </x:c>
      <x:c r="O310" s="17" t="str">
        <x:v>Search snippets were discovery only; final claim points to the official destination. Recheck cycle-specific facts when 2027 material opens.</x:v>
      </x:c>
      <x:c r="P310" s="18" t="e">
        <x:f>HYPERLINK("https://www.ed.ac.uk/studying/international/english/postgraduate","Open source")</x:f>
        <x:v>HYPERLINK is not implemented. linkLocation=https://www.ed.ac.uk/studying/international/english/postgraduate, friendlyName=Open source</x:v>
      </x:c>
    </x:row>
    <x:row r="311" ht="46" customHeight="1">
      <x:c r="A311" s="17" t="str">
        <x:v>stage3src:acb5b299235690705624</x:v>
      </x:c>
      <x:c r="B311" s="17" t="str">
        <x:v>program</x:v>
      </x:c>
      <x:c r="C311" s="17" t="str">
        <x:v>University of Edinburgh</x:v>
      </x:c>
      <x:c r="D311" s="17" t="str">
        <x:v>ror:01nrxwf90:program:phd:phd-informatics</x:v>
      </x:c>
      <x:c r="E311" s="17" t="str"/>
      <x:c r="F311" s="17" t="str">
        <x:v>institution</x:v>
      </x:c>
      <x:c r="G311" s="17" t="str">
        <x:v>Official institutional profile/group page used to verify current role and research themes</x:v>
      </x:c>
      <x:c r="H311" s="17" t="str">
        <x:v>David Aspinall — official evidence</x:v>
      </x:c>
      <x:c r="I311" s="17" t="str">
        <x:v>University of Edinburgh</x:v>
      </x:c>
      <x:c r="J311" s="17" t="str">
        <x:v>official</x:v>
      </x:c>
      <x:c r="K311" s="17" t="str">
        <x:v>2026-09-09</x:v>
      </x:c>
      <x:c r="L311" s="17" t="str">
        <x:v>current at 2026-09-09</x:v>
      </x:c>
      <x:c r="M311" s="17" t="str">
        <x:v>high</x:v>
      </x:c>
      <x:c r="N311" s="17" t="str">
        <x:v>accessible or indexed official page</x:v>
      </x:c>
      <x:c r="O311" s="17" t="str">
        <x:v>Search snippets were discovery only; final claim points to the official destination. Recheck cycle-specific facts when 2027 material opens.</x:v>
      </x:c>
      <x:c r="P311" s="18" t="e">
        <x:f>HYPERLINK("https://www.research.ed.ac.uk/en/persons/david-aspinall/","Open source")</x:f>
        <x:v>HYPERLINK is not implemented. linkLocation=https://www.research.ed.ac.uk/en/persons/david-aspinall/, friendlyName=Open source</x:v>
      </x:c>
    </x:row>
    <x:row r="312" ht="46" customHeight="1">
      <x:c r="A312" s="17" t="str">
        <x:v>stage3src:ed4c1e5eb9de23690623</x:v>
      </x:c>
      <x:c r="B312" s="17" t="str">
        <x:v>program</x:v>
      </x:c>
      <x:c r="C312" s="17" t="str">
        <x:v>University of Edinburgh</x:v>
      </x:c>
      <x:c r="D312" s="17" t="str">
        <x:v>ror:01nrxwf90:program:phd:phd-informatics</x:v>
      </x:c>
      <x:c r="E312" s="17" t="str"/>
      <x:c r="F312" s="17" t="str">
        <x:v>funding</x:v>
      </x:c>
      <x:c r="G312" s="17" t="str">
        <x:v>Official school funding page; award availability is competitive and cycle-specific.</x:v>
      </x:c>
      <x:c r="H312" s="17" t="str">
        <x:v>University of Edinburgh — official evidence</x:v>
      </x:c>
      <x:c r="I312" s="17" t="str">
        <x:v>University of Edinburgh</x:v>
      </x:c>
      <x:c r="J312" s="17" t="str">
        <x:v>official</x:v>
      </x:c>
      <x:c r="K312" s="17" t="str">
        <x:v>2026-09-09</x:v>
      </x:c>
      <x:c r="L312" s="17" t="str">
        <x:v>current/latest-cycle, not projected</x:v>
      </x:c>
      <x:c r="M312" s="17" t="str">
        <x:v>high</x:v>
      </x:c>
      <x:c r="N312" s="17" t="str">
        <x:v>accessible or indexed official page</x:v>
      </x:c>
      <x:c r="O312" s="17" t="str">
        <x:v>Search snippets were discovery only; final claim points to the official destination. Recheck cycle-specific facts when 2027 material opens.</x:v>
      </x:c>
      <x:c r="P312" s="18" t="e">
        <x:f>HYPERLINK("https://informatics.ed.ac.uk/study-with-us/our-degrees/postgraduate-research-and-cdts/postgraduate-research-funding-opportunities-0","Open source")</x:f>
        <x:v>HYPERLINK is not implemented. linkLocation=https://informatics.ed.ac.uk/study-with-us/our-degrees/postgraduate-research-and-cdts/postgraduate-research-funding-opportunities-0, friendlyName=Open source</x:v>
      </x:c>
    </x:row>
    <x:row r="313" ht="46" customHeight="1">
      <x:c r="A313" s="17" t="str">
        <x:v>stage3src:48b3598cc1b1c07d4228</x:v>
      </x:c>
      <x:c r="B313" s="17" t="str">
        <x:v>program</x:v>
      </x:c>
      <x:c r="C313" s="17" t="str">
        <x:v>University of Szeged</x:v>
      </x:c>
      <x:c r="D313" s="17" t="str">
        <x:v>ror:01pnej532:program:unclear:cross-path-catalog-review</x:v>
      </x:c>
      <x:c r="E313" s="17" t="str"/>
      <x:c r="F313" s="17" t="str">
        <x:v>discovery</x:v>
      </x:c>
      <x:c r="G313" s="17" t="str">
        <x:v>Stage 2 recorded this row as a discovery candidate; it does not independently verify an exact current research program, eligibility, or funding.</x:v>
      </x:c>
      <x:c r="H313" s="17" t="str">
        <x:v>Pass 2 Stage 2 candidate funnel</x:v>
      </x:c>
      <x:c r="I313" s="17" t="str">
        <x:v>Graduate audit pipeline</x:v>
      </x:c>
      <x:c r="J313" s="17" t="str">
        <x:v>derived</x:v>
      </x:c>
      <x:c r="K313" s="17" t="str">
        <x:v>2026-09-11</x:v>
      </x:c>
      <x:c r="L313" s="17" t="str">
        <x:v>Not cycle-specific</x:v>
      </x:c>
      <x:c r="M313" s="17" t="str">
        <x:v>low</x:v>
      </x:c>
      <x:c r="N313" s="17" t="str">
        <x:v>Discovery evidence only</x:v>
      </x:c>
      <x:c r="O313" s="17" t="str">
        <x:v>Use the source_record_paths field to trace the underlying discovery inputs.</x:v>
      </x:c>
      <x:c r="P313" s="18" t="e">
        <x:f>HYPERLINK("http://www.u-szeged.hu/","Open source")</x:f>
        <x:v>HYPERLINK is not implemented. linkLocation=http://www.u-szeged.hu/, friendlyName=Open source</x:v>
      </x:c>
    </x:row>
    <x:row r="314" ht="46" customHeight="1">
      <x:c r="A314" s="17" t="str">
        <x:v>stage3src:3a84368e45ed814d2bb4</x:v>
      </x:c>
      <x:c r="B314" s="17" t="str">
        <x:v>program</x:v>
      </x:c>
      <x:c r="C314" s="17" t="str">
        <x:v>Rheinland-Pfälzische Technische Universität Kaiserslautern-Landau</x:v>
      </x:c>
      <x:c r="D314" s="17" t="str">
        <x:v>ror:01qrts582:program:thesis-or-research-master-s:m-sc-computer-science</x:v>
      </x:c>
      <x:c r="E314" s="17" t="str"/>
      <x:c r="F314" s="17" t="str">
        <x:v>admissions|fees</x:v>
      </x:c>
      <x:c r="G314" s="17" t="str">
        <x:v>EUR 60 evaluation of foreign higher-education certificates for international master's applications at Kaiserslautern.</x:v>
      </x:c>
      <x:c r="H314" s="17" t="str">
        <x:v>Application</x:v>
      </x:c>
      <x:c r="I314" s="17" t="str">
        <x:v>RPTU Kaiserslautern-Landau</x:v>
      </x:c>
      <x:c r="J314" s="17" t="str">
        <x:v>official</x:v>
      </x:c>
      <x:c r="K314" s="17" t="str">
        <x:v>2026-09-11</x:v>
      </x:c>
      <x:c r="L314" s="17" t="str">
        <x:v>Current page checked 2026-09-11</x:v>
      </x:c>
      <x:c r="M314" s="17" t="str">
        <x:v>high</x:v>
      </x:c>
      <x:c r="N314" s="17" t="str">
        <x:v>official page checked</x:v>
      </x:c>
      <x:c r="O314" s="17" t="str"/>
      <x:c r="P314" s="18" t="e">
        <x:f>HYPERLINK("https://rptu.de/en/studies/prior-to-studies/application","Open source")</x:f>
        <x:v>HYPERLINK is not implemented. linkLocation=https://rptu.de/en/studies/prior-to-studies/application, friendlyName=Open source</x:v>
      </x:c>
    </x:row>
    <x:row r="315" ht="46" customHeight="1">
      <x:c r="A315" s="17" t="str">
        <x:v>stage3src:697ee9ecdf0dc0c9d326</x:v>
      </x:c>
      <x:c r="B315" s="17" t="str">
        <x:v>program</x:v>
      </x:c>
      <x:c r="C315" s="17" t="str">
        <x:v>Rheinland-Pfälzische Technische Universität Kaiserslautern-Landau</x:v>
      </x:c>
      <x:c r="D315" s="17" t="str">
        <x:v>ror:01qrts582:program:thesis-or-research-master-s:m-sc-computer-science</x:v>
      </x:c>
      <x:c r="E315" s="17" t="str"/>
      <x:c r="F315" s="17" t="str">
        <x:v>program|admissions|eligibility|language</x:v>
      </x:c>
      <x:c r="G315" s="17" t="str">
        <x:v>Current four-semester 120-ECTS English Computer Science MSc and research-oriented structure.</x:v>
      </x:c>
      <x:c r="H315" s="17" t="str">
        <x:v>Computer Science MSc</x:v>
      </x:c>
      <x:c r="I315" s="17" t="str">
        <x:v>RPTU Kaiserslautern-Landau</x:v>
      </x:c>
      <x:c r="J315" s="17" t="str">
        <x:v>official</x:v>
      </x:c>
      <x:c r="K315" s="17" t="str">
        <x:v>2026-09-11</x:v>
      </x:c>
      <x:c r="L315" s="17" t="str">
        <x:v>Current page checked 2026-09-11</x:v>
      </x:c>
      <x:c r="M315" s="17" t="str">
        <x:v>high</x:v>
      </x:c>
      <x:c r="N315" s="17" t="str">
        <x:v>official page checked</x:v>
      </x:c>
      <x:c r="O315" s="17" t="str"/>
      <x:c r="P315" s="18" t="e">
        <x:f>HYPERLINK("https://rptu.de/studienangebot/22777/Computer_Science-Computer_Science-master","Open source")</x:f>
        <x:v>HYPERLINK is not implemented. linkLocation=https://rptu.de/studienangebot/22777/Computer_Science-Computer_Science-master, friendlyName=Open source</x:v>
      </x:c>
    </x:row>
    <x:row r="316" ht="46" customHeight="1">
      <x:c r="A316" s="17" t="str">
        <x:v>stage3src:69c85a635d88cc7bc12f</x:v>
      </x:c>
      <x:c r="B316" s="17" t="str">
        <x:v>program</x:v>
      </x:c>
      <x:c r="C316" s="17" t="str">
        <x:v>Rheinland-Pfälzische Technische Universität Kaiserslautern-Landau</x:v>
      </x:c>
      <x:c r="D316" s="17" t="str">
        <x:v>ror:01qrts582:program:thesis-or-research-master-s:m-sc-computer-science</x:v>
      </x:c>
      <x:c r="E316" s="17" t="str"/>
      <x:c r="F316" s="17" t="str">
        <x:v>program|admissions|eligibility|funding</x:v>
      </x:c>
      <x:c r="G316" s="17" t="str">
        <x:v>Master's admission is subject to departmental aptitude and curriculum assessment; the regulations establish the research degree but no general living-cost funding promise.</x:v>
      </x:c>
      <x:c r="H316" s="17" t="str">
        <x:v>Examination Regulations for the Computer Science Master's Programs</x:v>
      </x:c>
      <x:c r="I316" s="17" t="str">
        <x:v>RPTU Department of Computer Science</x:v>
      </x:c>
      <x:c r="J316" s="17" t="str">
        <x:v>official</x:v>
      </x:c>
      <x:c r="K316" s="17" t="str">
        <x:v>2026-09-11</x:v>
      </x:c>
      <x:c r="L316" s="17" t="str">
        <x:v>Current regulations linked by department; checked 2026-09-11</x:v>
      </x:c>
      <x:c r="M316" s="17" t="str">
        <x:v>high</x:v>
      </x:c>
      <x:c r="N316" s="17" t="str">
        <x:v>official page checked</x:v>
      </x:c>
      <x:c r="O316" s="17" t="str"/>
      <x:c r="P316" s="18" t="e">
        <x:f>HYPERLINK("https://www.cs.rptu.de/en/studium/studierende/ordnungen/mpo/MasterFPO_2016_07_29_en.pdf","Open source")</x:f>
        <x:v>HYPERLINK is not implemented. linkLocation=https://www.cs.rptu.de/en/studium/studierende/ordnungen/mpo/MasterFPO_2016_07_29_en.pdf, friendlyName=Open source</x:v>
      </x:c>
    </x:row>
    <x:row r="317" ht="46" customHeight="1">
      <x:c r="A317" s="17" t="str">
        <x:v>stage3src:e23952417ea2240f6668</x:v>
      </x:c>
      <x:c r="B317" s="17" t="str">
        <x:v>program</x:v>
      </x:c>
      <x:c r="C317" s="17" t="str">
        <x:v>Rheinland-Pfälzische Technische Universität Kaiserslautern-Landau</x:v>
      </x:c>
      <x:c r="D317" s="17" t="str">
        <x:v>ror:01qrts582:program:thesis-or-research-master-s:m-sc-computer-science</x:v>
      </x:c>
      <x:c r="E317" s="17" t="str"/>
      <x:c r="F317" s="17" t="str">
        <x:v>admissions|eligibility|language|deadline</x:v>
      </x:c>
      <x:c r="G317" s="17" t="str">
        <x:v>International English-taught master's application route, program-specific portal deadlines, and general bachelor's and language requirements.</x:v>
      </x:c>
      <x:c r="H317" s="17" t="str">
        <x:v>Master Programs in English</x:v>
      </x:c>
      <x:c r="I317" s="17" t="str">
        <x:v>RPTU Kaiserslautern-Landau</x:v>
      </x:c>
      <x:c r="J317" s="17" t="str">
        <x:v>official</x:v>
      </x:c>
      <x:c r="K317" s="17" t="str">
        <x:v>2026-09-11</x:v>
      </x:c>
      <x:c r="L317" s="17" t="str">
        <x:v>Current portal guidance checked 2026-09-11</x:v>
      </x:c>
      <x:c r="M317" s="17" t="str">
        <x:v>high</x:v>
      </x:c>
      <x:c r="N317" s="17" t="str">
        <x:v>official page checked</x:v>
      </x:c>
      <x:c r="O317" s="17" t="str"/>
      <x:c r="P317" s="18" t="e">
        <x:f>HYPERLINK("https://rptu.de/international/master/prospective-students/master-programs/master-programs-in-english","Open source")</x:f>
        <x:v>HYPERLINK is not implemented. linkLocation=https://rptu.de/international/master/prospective-students/master-programs/master-programs-in-english, friendlyName=Open source</x:v>
      </x:c>
    </x:row>
    <x:row r="318" ht="46" customHeight="1">
      <x:c r="A318" s="17" t="str">
        <x:v>stage3src:6dcb645528f4ff1e150d</x:v>
      </x:c>
      <x:c r="B318" s="17" t="str">
        <x:v>program</x:v>
      </x:c>
      <x:c r="C318" s="17" t="str">
        <x:v>Université Libre de Bruxelles</x:v>
      </x:c>
      <x:c r="D318" s="17" t="str">
        <x:v>ror:01r9htc13:program:thesis-or-research-master-s:erasmus-mundus-joint-master-in-cybersecurity-cyberus</x:v>
      </x:c>
      <x:c r="E318" s="17" t="str"/>
      <x:c r="F318" s="17" t="str">
        <x:v>program|admissions|eligibility|deadline|funding|international</x:v>
      </x:c>
      <x:c r="G318" s="17" t="str">
        <x:v>Consortium structure and last published 2025 deadline and worldwide scholarship eligibility; no Fall 2027 call is displayed.</x:v>
      </x:c>
      <x:c r="H318" s="17" t="str">
        <x:v>CYBERUS</x:v>
      </x:c>
      <x:c r="I318" s="17" t="str">
        <x:v>CYBERUS Consortium</x:v>
      </x:c>
      <x:c r="J318" s="17" t="str">
        <x:v>official</x:v>
      </x:c>
      <x:c r="K318" s="17" t="str">
        <x:v>2026-09-11</x:v>
      </x:c>
      <x:c r="L318" s="17" t="str">
        <x:v>Last published call checked 2026-09-11</x:v>
      </x:c>
      <x:c r="M318" s="17" t="str">
        <x:v>high</x:v>
      </x:c>
      <x:c r="N318" s="17" t="str">
        <x:v>official page checked</x:v>
      </x:c>
      <x:c r="O318" s="17" t="str"/>
      <x:c r="P318" s="18" t="e">
        <x:f>HYPERLINK("https://master-cyberus.eu/","Open source")</x:f>
        <x:v>HYPERLINK is not implemented. linkLocation=https://master-cyberus.eu/, friendlyName=Open source</x:v>
      </x:c>
    </x:row>
    <x:row r="319" ht="46" customHeight="1">
      <x:c r="A319" s="17" t="str">
        <x:v>stage3src:7ea73b7d6074d05301c0</x:v>
      </x:c>
      <x:c r="B319" s="17" t="str">
        <x:v>program</x:v>
      </x:c>
      <x:c r="C319" s="17" t="str">
        <x:v>Université Libre de Bruxelles</x:v>
      </x:c>
      <x:c r="D319" s="17" t="str">
        <x:v>ror:01r9htc13:program:thesis-or-research-master-s:erasmus-mundus-joint-master-in-cybersecurity-cyberus</x:v>
      </x:c>
      <x:c r="E319" s="17" t="str"/>
      <x:c r="F319" s="17" t="str">
        <x:v>program|research|status</x:v>
      </x:c>
      <x:c r="G319" s="17" t="str">
        <x:v>ULB's 2026-27 English 120-credit CYBERUS focus, curriculum, master thesis, and internship.</x:v>
      </x:c>
      <x:c r="H319" s="17" t="str">
        <x:v>Master in Cybersecurity with Focus Erasmus Mundus Joint Master in Cybersecurity</x:v>
      </x:c>
      <x:c r="I319" s="17" t="str">
        <x:v>Université Libre de Bruxelles</x:v>
      </x:c>
      <x:c r="J319" s="17" t="str">
        <x:v>official</x:v>
      </x:c>
      <x:c r="K319" s="17" t="str">
        <x:v>2026-09-11</x:v>
      </x:c>
      <x:c r="L319" s="17" t="str">
        <x:v>2026-27 catalog</x:v>
      </x:c>
      <x:c r="M319" s="17" t="str">
        <x:v>high</x:v>
      </x:c>
      <x:c r="N319" s="17" t="str">
        <x:v>official page checked</x:v>
      </x:c>
      <x:c r="O319" s="17" t="str"/>
      <x:c r="P319" s="18" t="e">
        <x:f>HYPERLINK("https://www.ulb.be/en/programme/m-secum","Open source")</x:f>
        <x:v>HYPERLINK is not implemented. linkLocation=https://www.ulb.be/en/programme/m-secum, friendlyName=Open source</x:v>
      </x:c>
    </x:row>
    <x:row r="320" ht="46" customHeight="1">
      <x:c r="A320" s="17" t="str">
        <x:v>stage3src:a6a1b28ea51a0e96ca53</x:v>
      </x:c>
      <x:c r="B320" s="17" t="str">
        <x:v>program</x:v>
      </x:c>
      <x:c r="C320" s="17" t="str">
        <x:v>Université Libre de Bruxelles</x:v>
      </x:c>
      <x:c r="D320" s="17" t="str">
        <x:v>ror:01r9htc13:program:thesis-or-research-master-s:erasmus-mundus-joint-master-in-cybersecurity-cyberus</x:v>
      </x:c>
      <x:c r="E320" s="17" t="str"/>
      <x:c r="F320" s="17" t="str">
        <x:v>funding|tuition|international|conditions</x:v>
      </x:c>
      <x:c r="G320" s="17" t="str">
        <x:v>General Erasmus Mundus scholarships can cover participation costs and contribute to travel, visa, and living allowance, but program-specific current terms must come from the consortium.</x:v>
      </x:c>
      <x:c r="H320" s="17" t="str">
        <x:v>Erasmus Mundus Joint Masters</x:v>
      </x:c>
      <x:c r="I320" s="17" t="str">
        <x:v>European Commission</x:v>
      </x:c>
      <x:c r="J320" s="17" t="str">
        <x:v>official</x:v>
      </x:c>
      <x:c r="K320" s="17" t="str">
        <x:v>2026-09-11</x:v>
      </x:c>
      <x:c r="L320" s="17" t="str">
        <x:v>Current scheme guidance checked 2026-09-11</x:v>
      </x:c>
      <x:c r="M320" s="17" t="str">
        <x:v>high</x:v>
      </x:c>
      <x:c r="N320" s="17" t="str">
        <x:v>official page checked</x:v>
      </x:c>
      <x:c r="O320" s="17" t="str"/>
      <x:c r="P320" s="18" t="e">
        <x:f>HYPERLINK("https://erasmus-plus.ec.europa.eu/opportunities/individuals/students/erasmus-mundus-joint-masters","Open source")</x:f>
        <x:v>HYPERLINK is not implemented. linkLocation=https://erasmus-plus.ec.europa.eu/opportunities/individuals/students/erasmus-mundus-joint-masters, friendlyName=Open source</x:v>
      </x:c>
    </x:row>
    <x:row r="321" ht="46" customHeight="1">
      <x:c r="A321" s="17" t="str">
        <x:v>stage3src:9a87b1d7c454e9cd690a</x:v>
      </x:c>
      <x:c r="B321" s="17" t="str">
        <x:v>program</x:v>
      </x:c>
      <x:c r="C321" s="17" t="str">
        <x:v>University of Gothenburg</x:v>
      </x:c>
      <x:c r="D321" s="17" t="str">
        <x:v>ror:01tm6cn81:program:thesis-or-research-master-s:software-engineering-and-management-master-s-programme</x:v>
      </x:c>
      <x:c r="E321" s="17" t="str"/>
      <x:c r="F321" s="17" t="str">
        <x:v>funding|scholarship|tuition|deadline</x:v>
      </x:c>
      <x:c r="G321" s="17" t="str">
        <x:v>Axel Adler is a competitive full tuition waiver with no living or travel support.</x:v>
      </x:c>
      <x:c r="H321" s="17" t="str">
        <x:v>Axel Adler Scholarship</x:v>
      </x:c>
      <x:c r="I321" s="17" t="str">
        <x:v>University of Gothenburg</x:v>
      </x:c>
      <x:c r="J321" s="17" t="str">
        <x:v>official</x:v>
      </x:c>
      <x:c r="K321" s="17" t="str">
        <x:v>2026-09-10</x:v>
      </x:c>
      <x:c r="L321" s="17" t="str">
        <x:v>Latest 2026 terms; Fall 2027 deadline pending</x:v>
      </x:c>
      <x:c r="M321" s="17" t="str">
        <x:v>high</x:v>
      </x:c>
      <x:c r="N321" s="17" t="str">
        <x:v>official page checked</x:v>
      </x:c>
      <x:c r="O321" s="17" t="str"/>
      <x:c r="P321" s="18" t="e">
        <x:f>HYPERLINK("https://www.gu.se/node/688","Open source")</x:f>
        <x:v>HYPERLINK is not implemented. linkLocation=https://www.gu.se/node/688, friendlyName=Open source</x:v>
      </x:c>
    </x:row>
    <x:row r="322" ht="46" customHeight="1">
      <x:c r="A322" s="17" t="str">
        <x:v>stage3src:ef27c599ab0c7baa93b2</x:v>
      </x:c>
      <x:c r="B322" s="17" t="str">
        <x:v>program</x:v>
      </x:c>
      <x:c r="C322" s="17" t="str">
        <x:v>University of Gothenburg</x:v>
      </x:c>
      <x:c r="D322" s="17" t="str">
        <x:v>ror:01tm6cn81:program:thesis-or-research-master-s:software-engineering-and-management-master-s-programme</x:v>
      </x:c>
      <x:c r="E322" s="17" t="str"/>
      <x:c r="F322" s="17" t="str">
        <x:v>program|research|admissions|eligibility|language|deadline|fees|tuition|funding</x:v>
      </x:c>
      <x:c r="G322" s="17" t="str">
        <x:v>Explicit Autumn 2027 English 120-ECTS route, January 15 deadline, prerequisites, research preparation, SEK 294,000 tuition, and scholarship nomination route.</x:v>
      </x:c>
      <x:c r="H322" s="17" t="str">
        <x:v>Software Engineering and Management Master's Programme</x:v>
      </x:c>
      <x:c r="I322" s="17" t="str">
        <x:v>University of Gothenburg</x:v>
      </x:c>
      <x:c r="J322" s="17" t="str">
        <x:v>official</x:v>
      </x:c>
      <x:c r="K322" s="17" t="str">
        <x:v>2026-09-10</x:v>
      </x:c>
      <x:c r="L322" s="17" t="str">
        <x:v>Autumn 2027</x:v>
      </x:c>
      <x:c r="M322" s="17" t="str">
        <x:v>high</x:v>
      </x:c>
      <x:c r="N322" s="17" t="str">
        <x:v>official page checked</x:v>
      </x:c>
      <x:c r="O322" s="17" t="str"/>
      <x:c r="P322" s="18" t="e">
        <x:f>HYPERLINK("https://www.gu.se/en/study-gothenburg/software-engineering-and-management-masters-programme-n2sof","Open source")</x:f>
        <x:v>HYPERLINK is not implemented. linkLocation=https://www.gu.se/en/study-gothenburg/software-engineering-and-management-masters-programme-n2sof, friendlyName=Open source</x:v>
      </x:c>
    </x:row>
    <x:row r="323" ht="46" customHeight="1">
      <x:c r="A323" s="17" t="str">
        <x:v>stage3src:b0b41f5ffbaedd1bb2f1</x:v>
      </x:c>
      <x:c r="B323" s="17" t="str">
        <x:v>program</x:v>
      </x:c>
      <x:c r="C323" s="17" t="str">
        <x:v>University of Gothenburg</x:v>
      </x:c>
      <x:c r="D323" s="17" t="str">
        <x:v>ror:01tm6cn81:program:unclear:cross-path-catalog-review</x:v>
      </x:c>
      <x:c r="E323" s="17" t="str"/>
      <x:c r="F323" s="17" t="str">
        <x:v>discovery</x:v>
      </x:c>
      <x:c r="G323" s="17" t="str">
        <x:v>Stage 2 recorded this row as a discovery candidate; it does not independently verify an exact current research program, eligibility, or funding.</x:v>
      </x:c>
      <x:c r="H323" s="17" t="str">
        <x:v>Pass 2 Stage 2 candidate funnel</x:v>
      </x:c>
      <x:c r="I323" s="17" t="str">
        <x:v>Graduate audit pipeline</x:v>
      </x:c>
      <x:c r="J323" s="17" t="str">
        <x:v>derived</x:v>
      </x:c>
      <x:c r="K323" s="17" t="str">
        <x:v>2026-09-11</x:v>
      </x:c>
      <x:c r="L323" s="17" t="str">
        <x:v>Not cycle-specific</x:v>
      </x:c>
      <x:c r="M323" s="17" t="str">
        <x:v>low</x:v>
      </x:c>
      <x:c r="N323" s="17" t="str">
        <x:v>Discovery evidence only</x:v>
      </x:c>
      <x:c r="O323" s="17" t="str">
        <x:v>Use the source_record_paths field to trace the underlying discovery inputs.</x:v>
      </x:c>
      <x:c r="P323" s="18" t="e">
        <x:f>HYPERLINK("https://www.gu.se","Open source")</x:f>
        <x:v>HYPERLINK is not implemented. linkLocation=https://www.gu.se, friendlyName=Open source</x:v>
      </x:c>
    </x:row>
    <x:row r="324" ht="46" customHeight="1">
      <x:c r="A324" s="17" t="str">
        <x:v>stage3src:06d43cb3b2d9aee33c16</x:v>
      </x:c>
      <x:c r="B324" s="17" t="str">
        <x:v>program</x:v>
      </x:c>
      <x:c r="C324" s="17" t="str">
        <x:v>University of Göttingen</x:v>
      </x:c>
      <x:c r="D324" s="17" t="str">
        <x:v>ror:01y9bpm73:program:unclear:cross-path-catalog-review</x:v>
      </x:c>
      <x:c r="E324" s="17" t="str"/>
      <x:c r="F324" s="17" t="str">
        <x:v>discovery</x:v>
      </x:c>
      <x:c r="G324" s="17" t="str">
        <x:v>Stage 2 recorded this row as a discovery candidate; it does not independently verify an exact current research program, eligibility, or funding.</x:v>
      </x:c>
      <x:c r="H324" s="17" t="str">
        <x:v>Pass 2 Stage 2 candidate funnel</x:v>
      </x:c>
      <x:c r="I324" s="17" t="str">
        <x:v>Graduate audit pipeline</x:v>
      </x:c>
      <x:c r="J324" s="17" t="str">
        <x:v>derived</x:v>
      </x:c>
      <x:c r="K324" s="17" t="str">
        <x:v>2026-09-11</x:v>
      </x:c>
      <x:c r="L324" s="17" t="str">
        <x:v>Not cycle-specific</x:v>
      </x:c>
      <x:c r="M324" s="17" t="str">
        <x:v>low</x:v>
      </x:c>
      <x:c r="N324" s="17" t="str">
        <x:v>Discovery evidence only</x:v>
      </x:c>
      <x:c r="O324" s="17" t="str">
        <x:v>Use the source_record_paths field to trace the underlying discovery inputs.</x:v>
      </x:c>
      <x:c r="P324" s="18" t="e">
        <x:f>HYPERLINK("http://www.uni-goettingen.de/en/1.html","Open source")</x:f>
        <x:v>HYPERLINK is not implemented. linkLocation=http://www.uni-goettingen.de/en/1.html, friendlyName=Open source</x:v>
      </x:c>
    </x:row>
    <x:row r="325" ht="46" customHeight="1">
      <x:c r="A325" s="17" t="str">
        <x:v>stage3src:e7bf994f4c3786420fb3</x:v>
      </x:c>
      <x:c r="B325" s="17" t="str">
        <x:v>program</x:v>
      </x:c>
      <x:c r="C325" s="17" t="str">
        <x:v>University of Milano-Bicocca</x:v>
      </x:c>
      <x:c r="D325" s="17" t="str">
        <x:v>ror:01ynf4891:program:unclear:cross-path-catalog-review</x:v>
      </x:c>
      <x:c r="E325" s="17" t="str"/>
      <x:c r="F325" s="17" t="str">
        <x:v>discovery</x:v>
      </x:c>
      <x:c r="G325" s="17" t="str">
        <x:v>Stage 2 recorded this row as a discovery candidate; it does not independently verify an exact current research program, eligibility, or funding.</x:v>
      </x:c>
      <x:c r="H325" s="17" t="str">
        <x:v>Pass 2 Stage 2 candidate funnel</x:v>
      </x:c>
      <x:c r="I325" s="17" t="str">
        <x:v>Graduate audit pipeline</x:v>
      </x:c>
      <x:c r="J325" s="17" t="str">
        <x:v>derived</x:v>
      </x:c>
      <x:c r="K325" s="17" t="str">
        <x:v>2026-09-11</x:v>
      </x:c>
      <x:c r="L325" s="17" t="str">
        <x:v>Not cycle-specific</x:v>
      </x:c>
      <x:c r="M325" s="17" t="str">
        <x:v>low</x:v>
      </x:c>
      <x:c r="N325" s="17" t="str">
        <x:v>Discovery evidence only</x:v>
      </x:c>
      <x:c r="O325" s="17" t="str">
        <x:v>Use the source_record_paths field to trace the underlying discovery inputs.</x:v>
      </x:c>
      <x:c r="P325" s="18" t="e">
        <x:f>HYPERLINK("https://www.unimib.it","Open source")</x:f>
        <x:v>HYPERLINK is not implemented. linkLocation=https://www.unimib.it, friendlyName=Open source</x:v>
      </x:c>
    </x:row>
    <x:row r="326" ht="46" customHeight="1">
      <x:c r="A326" s="17" t="str">
        <x:v>stage3src:05cbbc91f0f5b81a30a7</x:v>
      </x:c>
      <x:c r="B326" s="17" t="str">
        <x:v>program</x:v>
      </x:c>
      <x:c r="C326" s="17" t="str">
        <x:v>Lappeenranta-Lahti University of Technology</x:v>
      </x:c>
      <x:c r="D326" s="17" t="str">
        <x:v>ror:0208vgz68:program:thesis-or-research-master-s:erasmus-mundus-joint-master-s-programme-software-engineers-for-green-deal-se4gd</x:v>
      </x:c>
      <x:c r="E326" s="17" t="str"/>
      <x:c r="F326" s="17" t="str">
        <x:v>program|research|admissions|eligibility|language|deadline</x:v>
      </x:c>
      <x:c r="G326" s="17" t="str">
        <x:v>Current SE4GD programme identity, joint-university structure, and software-engineering focus, without a published Fall 2027 call.</x:v>
      </x:c>
      <x:c r="H326" s="17" t="str">
        <x:v>Erasmus Mundus Master's Programme Software Engineers for Green Deal</x:v>
      </x:c>
      <x:c r="I326" s="17" t="str">
        <x:v>LUT University</x:v>
      </x:c>
      <x:c r="J326" s="17" t="str">
        <x:v>official</x:v>
      </x:c>
      <x:c r="K326" s="17" t="str">
        <x:v>2026-09-11</x:v>
      </x:c>
      <x:c r="L326" s="17" t="str">
        <x:v>Current page checked 2026-09-11; Fall 2027 call absent</x:v>
      </x:c>
      <x:c r="M326" s="17" t="str">
        <x:v>high</x:v>
      </x:c>
      <x:c r="N326" s="17" t="str">
        <x:v>official page checked</x:v>
      </x:c>
      <x:c r="O326" s="17" t="str"/>
      <x:c r="P326" s="18" t="e">
        <x:f>HYPERLINK("https://www.lut.fi/en/studies/tekniikka/erasmus-mundus-masters-programme-software-engineers-green-deal","Open source")</x:f>
        <x:v>HYPERLINK is not implemented. linkLocation=https://www.lut.fi/en/studies/tekniikka/erasmus-mundus-masters-programme-software-engineers-green-deal, friendlyName=Open source</x:v>
      </x:c>
    </x:row>
    <x:row r="327" ht="46" customHeight="1">
      <x:c r="A327" s="17" t="str">
        <x:v>stage3src:80045b06344f852093e7</x:v>
      </x:c>
      <x:c r="B327" s="17" t="str">
        <x:v>program</x:v>
      </x:c>
      <x:c r="C327" s="17" t="str">
        <x:v>Lappeenranta-Lahti University of Technology</x:v>
      </x:c>
      <x:c r="D327" s="17" t="str">
        <x:v>ror:0208vgz68:program:thesis-or-research-master-s:erasmus-mundus-joint-master-s-programme-software-engineers-for-green-deal-se4gd</x:v>
      </x:c>
      <x:c r="E327" s="17" t="str"/>
      <x:c r="F327" s="17" t="str">
        <x:v>program|research|status|funding|tuition|fees|summer</x:v>
      </x:c>
      <x:c r="G327" s="17" t="str">
        <x:v>Active 2026-27 SE4GD+ 120-ECTS curriculum, compulsory mobility, and advanced software-engineering outcomes; no Fall 2027 funding commitment.</x:v>
      </x:c>
      <x:c r="H327" s="17" t="str">
        <x:v>SE4GD+ Curriculum 2026-2027</x:v>
      </x:c>
      <x:c r="I327" s="17" t="str">
        <x:v>LUT University</x:v>
      </x:c>
      <x:c r="J327" s="17" t="str">
        <x:v>official</x:v>
      </x:c>
      <x:c r="K327" s="17" t="str">
        <x:v>2026-09-11</x:v>
      </x:c>
      <x:c r="L327" s="17" t="str">
        <x:v>2026-27 curriculum checked 2026-09-11</x:v>
      </x:c>
      <x:c r="M327" s="17" t="str">
        <x:v>high</x:v>
      </x:c>
      <x:c r="N327" s="17" t="str">
        <x:v>official page checked</x:v>
      </x:c>
      <x:c r="O327" s="17" t="str"/>
      <x:c r="P327" s="18" t="e">
        <x:f>HYPERLINK("https://forms.lut.fi/opinto-opas/Tutkinto.aspx?id=otm-a9416a4a-33bc-459c-a0cb-00ebdb7e6be6&amp;lang=en-US&amp;period=lut-curriculum-period-2026-2027","Open source")</x:f>
        <x:v>HYPERLINK is not implemented. linkLocation=https://forms.lut.fi/opinto-opas/Tutkinto.aspx?id=otm-a9416a4a-33bc-459c-a0cb-00ebdb7e6be6&amp;lang=en-US&amp;period=lut-curriculum-period-2026-2027, friendlyName=Open source</x:v>
      </x:c>
    </x:row>
    <x:row r="328" ht="46" customHeight="1">
      <x:c r="A328" s="17" t="str">
        <x:v>stage3src:cac79e1bd1924ad392b8</x:v>
      </x:c>
      <x:c r="B328" s="17" t="str">
        <x:v>program</x:v>
      </x:c>
      <x:c r="C328" s="17" t="str">
        <x:v>Lappeenranta-Lahti University of Technology</x:v>
      </x:c>
      <x:c r="D328" s="17" t="str">
        <x:v>ror:0208vgz68:program:thesis-or-research-master-s:master-s-programme-in-software-engineering-and-digital-transformation</x:v>
      </x:c>
      <x:c r="E328" s="17" t="str"/>
      <x:c r="F328" s="17" t="str">
        <x:v>program|research|admissions|eligibility|language|deadline|fees|tuition</x:v>
      </x:c>
      <x:c r="G328" s="17" t="str">
        <x:v>Renamed autumn 2027 English Software Engineering MSc, 120 ECTS, thesis, relevant computing prerequisites, March 31 deadline, EUR 100 fee, and EUR 15,000 annual tuition.</x:v>
      </x:c>
      <x:c r="H328" s="17" t="str">
        <x:v>Master's Programme in Software Engineering</x:v>
      </x:c>
      <x:c r="I328" s="17" t="str">
        <x:v>LUT University</x:v>
      </x:c>
      <x:c r="J328" s="17" t="str">
        <x:v>official</x:v>
      </x:c>
      <x:c r="K328" s="17" t="str">
        <x:v>2026-09-10</x:v>
      </x:c>
      <x:c r="L328" s="17" t="str">
        <x:v>Autumn 2027</x:v>
      </x:c>
      <x:c r="M328" s="17" t="str">
        <x:v>high</x:v>
      </x:c>
      <x:c r="N328" s="17" t="str">
        <x:v>official page checked</x:v>
      </x:c>
      <x:c r="O328" s="17" t="str"/>
      <x:c r="P328" s="18" t="e">
        <x:f>HYPERLINK("https://www.lut.fi/en/studies/technology/masters-programmes-technology/masters-programme-software-engineering","Open source")</x:f>
        <x:v>HYPERLINK is not implemented. linkLocation=https://www.lut.fi/en/studies/technology/masters-programmes-technology/masters-programme-software-engineering, friendlyName=Open source</x:v>
      </x:c>
    </x:row>
    <x:row r="329" ht="46" customHeight="1">
      <x:c r="A329" s="17" t="str">
        <x:v>stage3src:ec8b1d8aa04e4d253d7d</x:v>
      </x:c>
      <x:c r="B329" s="17" t="str">
        <x:v>program</x:v>
      </x:c>
      <x:c r="C329" s="17" t="str">
        <x:v>Lappeenranta-Lahti University of Technology</x:v>
      </x:c>
      <x:c r="D329" s="17" t="str">
        <x:v>ror:0208vgz68:program:thesis-or-research-master-s:master-s-programme-in-software-engineering-and-digital-transformation</x:v>
      </x:c>
      <x:c r="E329" s="17" t="str"/>
      <x:c r="F329" s="17" t="str">
        <x:v>funding|scholarship|tuition|fees</x:v>
      </x:c>
      <x:c r="G329" s="17" t="str">
        <x:v>No first-year master's scholarship, first-year early-bird discount, and conditional second-year tuition discount with no cash living stipend.</x:v>
      </x:c>
      <x:c r="H329" s="17" t="str">
        <x:v>Scholarship for Master's Studies</x:v>
      </x:c>
      <x:c r="I329" s="17" t="str">
        <x:v>LUT University</x:v>
      </x:c>
      <x:c r="J329" s="17" t="str">
        <x:v>official</x:v>
      </x:c>
      <x:c r="K329" s="17" t="str">
        <x:v>2026-09-10</x:v>
      </x:c>
      <x:c r="L329" s="17" t="str">
        <x:v>Current policy checked 2026-09-10</x:v>
      </x:c>
      <x:c r="M329" s="17" t="str">
        <x:v>high</x:v>
      </x:c>
      <x:c r="N329" s="17" t="str">
        <x:v>official page checked</x:v>
      </x:c>
      <x:c r="O329" s="17" t="str"/>
      <x:c r="P329" s="18" t="e">
        <x:f>HYPERLINK("https://elut.lut.fi/en/completing-studies/tuition-fee/scholarship-masters-studies","Open source")</x:f>
        <x:v>HYPERLINK is not implemented. linkLocation=https://elut.lut.fi/en/completing-studies/tuition-fee/scholarship-masters-studies, friendlyName=Open source</x:v>
      </x:c>
    </x:row>
    <x:row r="330" ht="46" customHeight="1">
      <x:c r="A330" s="17" t="str">
        <x:v>stage3src:58d10656849502bcb4fd</x:v>
      </x:c>
      <x:c r="B330" s="17" t="str">
        <x:v>program</x:v>
      </x:c>
      <x:c r="C330" s="17" t="str">
        <x:v>Lappeenranta-Lahti University of Technology</x:v>
      </x:c>
      <x:c r="D330" s="17" t="str">
        <x:v>ror:0208vgz68:program:unclear:cross-path-catalog-review</x:v>
      </x:c>
      <x:c r="E330" s="17" t="str"/>
      <x:c r="F330" s="17" t="str">
        <x:v>discovery</x:v>
      </x:c>
      <x:c r="G330" s="17" t="str">
        <x:v>Stage 2 recorded this row as a discovery candidate; it does not independently verify an exact current research program, eligibility, or funding.</x:v>
      </x:c>
      <x:c r="H330" s="17" t="str">
        <x:v>Pass 2 Stage 2 candidate funnel</x:v>
      </x:c>
      <x:c r="I330" s="17" t="str">
        <x:v>Graduate audit pipeline</x:v>
      </x:c>
      <x:c r="J330" s="17" t="str">
        <x:v>derived</x:v>
      </x:c>
      <x:c r="K330" s="17" t="str">
        <x:v>2026-09-11</x:v>
      </x:c>
      <x:c r="L330" s="17" t="str">
        <x:v>Not cycle-specific</x:v>
      </x:c>
      <x:c r="M330" s="17" t="str">
        <x:v>low</x:v>
      </x:c>
      <x:c r="N330" s="17" t="str">
        <x:v>Discovery evidence only</x:v>
      </x:c>
      <x:c r="O330" s="17" t="str">
        <x:v>Use the source_record_paths field to trace the underlying discovery inputs.</x:v>
      </x:c>
      <x:c r="P330" s="18" t="e">
        <x:f>HYPERLINK("https://www.lut.fi","Open source")</x:f>
        <x:v>HYPERLINK is not implemented. linkLocation=https://www.lut.fi, friendlyName=Open source</x:v>
      </x:c>
    </x:row>
    <x:row r="331" ht="46" customHeight="1">
      <x:c r="A331" s="17" t="str">
        <x:v>stage3src:598137ca8d0ccc9e02ca</x:v>
      </x:c>
      <x:c r="B331" s="17" t="str">
        <x:v>program</x:v>
      </x:c>
      <x:c r="C331" s="17" t="str">
        <x:v>Aalto University</x:v>
      </x:c>
      <x:c r="D331" s="17" t="str">
        <x:v>ror:020hwjq30:program:phd-requiring-a-master-s:doctoral-programme-in-science-computer-science</x:v>
      </x:c>
      <x:c r="E331" s="17" t="str"/>
      <x:c r="F331" s="17" t="str">
        <x:v>language|admissions</x:v>
      </x:c>
      <x:c r="G331" s="17" t="str">
        <x:v>Official English-language or admissions evidence; waivers/test thresholds remain applicant-specific</x:v>
      </x:c>
      <x:c r="H331" s="17" t="str">
        <x:v>Aalto University — official evidence</x:v>
      </x:c>
      <x:c r="I331" s="17" t="str">
        <x:v>Aalto University</x:v>
      </x:c>
      <x:c r="J331" s="17" t="str">
        <x:v>official</x:v>
      </x:c>
      <x:c r="K331" s="17" t="str">
        <x:v>2026-09-09</x:v>
      </x:c>
      <x:c r="L331" s="17" t="str">
        <x:v>latest 2026 cycle</x:v>
      </x:c>
      <x:c r="M331" s="17" t="str">
        <x:v>high</x:v>
      </x:c>
      <x:c r="N331" s="17" t="str">
        <x:v>accessible or indexed official page</x:v>
      </x:c>
      <x:c r="O331" s="17" t="str">
        <x:v>Search snippets were discovery only; final claim points to the official destination. Recheck cycle-specific facts when 2027 material opens.</x:v>
      </x:c>
      <x:c r="P331" s="18" t="e">
        <x:f>HYPERLINK("https://www.aalto.fi/en/doctoral-education/how-to-apply-for-doctoral-studies","Open source")</x:f>
        <x:v>HYPERLINK is not implemented. linkLocation=https://www.aalto.fi/en/doctoral-education/how-to-apply-for-doctoral-studies, friendlyName=Open source</x:v>
      </x:c>
    </x:row>
    <x:row r="332" ht="46" customHeight="1">
      <x:c r="A332" s="17" t="str">
        <x:v>stage3src:89d4ccf3583c3a5d711d</x:v>
      </x:c>
      <x:c r="B332" s="17" t="str">
        <x:v>program</x:v>
      </x:c>
      <x:c r="C332" s="17" t="str">
        <x:v>Aalto University</x:v>
      </x:c>
      <x:c r="D332" s="17" t="str">
        <x:v>ror:020hwjq30:program:phd-requiring-a-master-s:doctoral-programme-in-science-computer-science</x:v>
      </x:c>
      <x:c r="E332" s="17" t="str"/>
      <x:c r="F332" s="17" t="str">
        <x:v>institution</x:v>
      </x:c>
      <x:c r="G332" s="17" t="str">
        <x:v>Official institutional profile/group page used to verify current role and research themes</x:v>
      </x:c>
      <x:c r="H332" s="17" t="str">
        <x:v>Fabian Fagerholm — official evidence</x:v>
      </x:c>
      <x:c r="I332" s="17" t="str">
        <x:v>Aalto University</x:v>
      </x:c>
      <x:c r="J332" s="17" t="str">
        <x:v>official</x:v>
      </x:c>
      <x:c r="K332" s="17" t="str">
        <x:v>2026-09-09</x:v>
      </x:c>
      <x:c r="L332" s="17" t="str">
        <x:v>current at 2026-09-09</x:v>
      </x:c>
      <x:c r="M332" s="17" t="str">
        <x:v>high</x:v>
      </x:c>
      <x:c r="N332" s="17" t="str">
        <x:v>accessible or indexed official page</x:v>
      </x:c>
      <x:c r="O332" s="17" t="str">
        <x:v>Search snippets were discovery only; final claim points to the official destination. Recheck cycle-specific facts when 2027 material opens.</x:v>
      </x:c>
      <x:c r="P332" s="18" t="e">
        <x:f>HYPERLINK("https://www.aalto.fi/en/department-of-computer-science/faculty-0","Open source")</x:f>
        <x:v>HYPERLINK is not implemented. linkLocation=https://www.aalto.fi/en/department-of-computer-science/faculty-0, friendlyName=Open source</x:v>
      </x:c>
    </x:row>
    <x:row r="333" ht="46" customHeight="1">
      <x:c r="A333" s="17" t="str">
        <x:v>stage3src:b5779e8b9c4f59aa49a9</x:v>
      </x:c>
      <x:c r="B333" s="17" t="str">
        <x:v>program</x:v>
      </x:c>
      <x:c r="C333" s="17" t="str">
        <x:v>Aalto University</x:v>
      </x:c>
      <x:c r="D333" s="17" t="str">
        <x:v>ror:020hwjq30:program:phd-requiring-a-master-s:doctoral-programme-in-science-computer-science</x:v>
      </x:c>
      <x:c r="E333" s="17" t="str"/>
      <x:c r="F333" s="17" t="str">
        <x:v>admissions</x:v>
      </x:c>
      <x:c r="G333" s="17" t="str">
        <x:v>Official program/admissions page; cycle label preserved in deep_programs.csv</x:v>
      </x:c>
      <x:c r="H333" s="17" t="str">
        <x:v>Aalto University — official evidence</x:v>
      </x:c>
      <x:c r="I333" s="17" t="str">
        <x:v>Aalto University</x:v>
      </x:c>
      <x:c r="J333" s="17" t="str">
        <x:v>official</x:v>
      </x:c>
      <x:c r="K333" s="17" t="str">
        <x:v>2026-09-09</x:v>
      </x:c>
      <x:c r="L333" s="17" t="str">
        <x:v>latest 2026 cycle</x:v>
      </x:c>
      <x:c r="M333" s="17" t="str">
        <x:v>high</x:v>
      </x:c>
      <x:c r="N333" s="17" t="str">
        <x:v>accessible or indexed official page</x:v>
      </x:c>
      <x:c r="O333" s="17" t="str">
        <x:v>Search snippets were discovery only; final claim points to the official destination. Recheck cycle-specific facts when 2027 material opens.</x:v>
      </x:c>
      <x:c r="P333" s="18" t="e">
        <x:f>HYPERLINK("https://www.aalto.fi/en/study-options/aalto-doctoral-programme-in-science","Open source")</x:f>
        <x:v>HYPERLINK is not implemented. linkLocation=https://www.aalto.fi/en/study-options/aalto-doctoral-programme-in-science, friendlyName=Open source</x:v>
      </x:c>
    </x:row>
    <x:row r="334" ht="46" customHeight="1">
      <x:c r="A334" s="17" t="str">
        <x:v>stage3src:8d90ab20bb9395b88141</x:v>
      </x:c>
      <x:c r="B334" s="17" t="str">
        <x:v>program</x:v>
      </x:c>
      <x:c r="C334" s="17" t="str">
        <x:v>Aalto University</x:v>
      </x:c>
      <x:c r="D334" s="17" t="str">
        <x:v>ror:020hwjq30:program:thesis-or-research-master-s:computer-communication-and-information-sciences-msc-software-engineering</x:v>
      </x:c>
      <x:c r="E334" s="17" t="str"/>
      <x:c r="F334" s="17" t="str">
        <x:v>admissions|eligibility|deadline|fees</x:v>
      </x:c>
      <x:c r="G334" s="17" t="str">
        <x:v>Explicit Autumn 2027 dates, one form, maximum two ranked study options, and one-place rules.</x:v>
      </x:c>
      <x:c r="H334" s="17" t="str">
        <x:v>Apply to Master's Programmes</x:v>
      </x:c>
      <x:c r="I334" s="17" t="str">
        <x:v>Aalto University Admission Services</x:v>
      </x:c>
      <x:c r="J334" s="17" t="str">
        <x:v>official</x:v>
      </x:c>
      <x:c r="K334" s="17" t="str">
        <x:v>2026-09-10</x:v>
      </x:c>
      <x:c r="L334" s="17" t="str">
        <x:v>Autumn 2027</x:v>
      </x:c>
      <x:c r="M334" s="17" t="str">
        <x:v>high</x:v>
      </x:c>
      <x:c r="N334" s="17" t="str">
        <x:v>official page checked</x:v>
      </x:c>
      <x:c r="O334" s="17" t="str"/>
      <x:c r="P334" s="18" t="e">
        <x:f>HYPERLINK("https://www.aalto.fi/en/admission-services/apply-to-masters-programmes","Open source")</x:f>
        <x:v>HYPERLINK is not implemented. linkLocation=https://www.aalto.fi/en/admission-services/apply-to-masters-programmes, friendlyName=Open source</x:v>
      </x:c>
    </x:row>
    <x:row r="335" ht="46" customHeight="1">
      <x:c r="A335" s="17" t="str">
        <x:v>stage3src:b327f575e9b719fc4ee3</x:v>
      </x:c>
      <x:c r="B335" s="17" t="str">
        <x:v>program</x:v>
      </x:c>
      <x:c r="C335" s="17" t="str">
        <x:v>Aalto University</x:v>
      </x:c>
      <x:c r="D335" s="17" t="str">
        <x:v>ror:020hwjq30:program:thesis-or-research-master-s:computer-communication-and-information-sciences-msc-software-engineering</x:v>
      </x:c>
      <x:c r="E335" s="17" t="str"/>
      <x:c r="F335" s="17" t="str">
        <x:v>program|admissions|eligibility|language|fees</x:v>
      </x:c>
      <x:c r="G335" s="17" t="str">
        <x:v>Current two-year 120-ECTS Software Engineering MSc, 2027 criteria, required preparation, and EUR 17,000 tuition.</x:v>
      </x:c>
      <x:c r="H335" s="17" t="str">
        <x:v>Software Engineering, Master of Science (Technology)</x:v>
      </x:c>
      <x:c r="I335" s="17" t="str">
        <x:v>Aalto University</x:v>
      </x:c>
      <x:c r="J335" s="17" t="str">
        <x:v>official</x:v>
      </x:c>
      <x:c r="K335" s="17" t="str">
        <x:v>2026-09-10</x:v>
      </x:c>
      <x:c r="L335" s="17" t="str">
        <x:v>2027 criteria</x:v>
      </x:c>
      <x:c r="M335" s="17" t="str">
        <x:v>high</x:v>
      </x:c>
      <x:c r="N335" s="17" t="str">
        <x:v>official page checked</x:v>
      </x:c>
      <x:c r="O335" s="17" t="str"/>
      <x:c r="P335" s="18" t="e">
        <x:f>HYPERLINK("https://www.aalto.fi/en/study-options/software-engineering-master-of-science-technology","Open source")</x:f>
        <x:v>HYPERLINK is not implemented. linkLocation=https://www.aalto.fi/en/study-options/software-engineering-master-of-science-technology, friendlyName=Open source</x:v>
      </x:c>
    </x:row>
    <x:row r="336" ht="46" customHeight="1">
      <x:c r="A336" s="17" t="str">
        <x:v>stage3src:ddfbe8763d8c74c9361c</x:v>
      </x:c>
      <x:c r="B336" s="17" t="str">
        <x:v>program</x:v>
      </x:c>
      <x:c r="C336" s="17" t="str">
        <x:v>Aalto University</x:v>
      </x:c>
      <x:c r="D336" s="17" t="str">
        <x:v>ror:020hwjq30:program:thesis-or-research-master-s:computer-communication-and-information-sciences-msc-software-engineering</x:v>
      </x:c>
      <x:c r="E336" s="17" t="str"/>
      <x:c r="F336" s="17" t="str">
        <x:v>funding|fees</x:v>
      </x:c>
      <x:c r="G336" s="17" t="str">
        <x:v>Small number of competitive full tuition waivers, two-year normative duration, and no additional Aalto living-cost support.</x:v>
      </x:c>
      <x:c r="H336" s="17" t="str">
        <x:v>Scholarships and Tuition Fees</x:v>
      </x:c>
      <x:c r="I336" s="17" t="str">
        <x:v>Aalto University</x:v>
      </x:c>
      <x:c r="J336" s="17" t="str">
        <x:v>official</x:v>
      </x:c>
      <x:c r="K336" s="17" t="str">
        <x:v>2026-09-10</x:v>
      </x:c>
      <x:c r="L336" s="17" t="str">
        <x:v>2027 instructions partly pending autumn 2026</x:v>
      </x:c>
      <x:c r="M336" s="17" t="str">
        <x:v>high</x:v>
      </x:c>
      <x:c r="N336" s="17" t="str">
        <x:v>official page checked</x:v>
      </x:c>
      <x:c r="O336" s="17" t="str"/>
      <x:c r="P336" s="18" t="e">
        <x:f>HYPERLINK("https://www.aalto.fi/en/admission-services/scholarships-and-tuition-fees","Open source")</x:f>
        <x:v>HYPERLINK is not implemented. linkLocation=https://www.aalto.fi/en/admission-services/scholarships-and-tuition-fees, friendlyName=Open source</x:v>
      </x:c>
    </x:row>
    <x:row r="337" ht="46" customHeight="1">
      <x:c r="A337" s="17" t="str">
        <x:v>stage3src:debe9f0584f28f140f47</x:v>
      </x:c>
      <x:c r="B337" s="17" t="str">
        <x:v>program</x:v>
      </x:c>
      <x:c r="C337" s="17" t="str">
        <x:v>Aalto University</x:v>
      </x:c>
      <x:c r="D337" s="17" t="str">
        <x:v>ror:020hwjq30:program:thesis-or-research-master-s:computer-communication-and-information-sciences-msc-software-engineering</x:v>
      </x:c>
      <x:c r="E337" s="17" t="str"/>
      <x:c r="F337" s="17" t="str">
        <x:v>admissions|fees</x:v>
      </x:c>
      <x:c r="G337" s="17" t="str">
        <x:v>EUR 100 statutory fee, residence exemptions, and no fee waivers.</x:v>
      </x:c>
      <x:c r="H337" s="17" t="str">
        <x:v>Master's Admissions Frequently Asked Questions</x:v>
      </x:c>
      <x:c r="I337" s="17" t="str">
        <x:v>Aalto University Admission Services</x:v>
      </x:c>
      <x:c r="J337" s="17" t="str">
        <x:v>official</x:v>
      </x:c>
      <x:c r="K337" s="17" t="str">
        <x:v>2026-09-10</x:v>
      </x:c>
      <x:c r="L337" s="17" t="str">
        <x:v>Current page checked 2026-09-10</x:v>
      </x:c>
      <x:c r="M337" s="17" t="str">
        <x:v>high</x:v>
      </x:c>
      <x:c r="N337" s="17" t="str">
        <x:v>official page checked</x:v>
      </x:c>
      <x:c r="O337" s="17" t="str"/>
      <x:c r="P337" s="18" t="e">
        <x:f>HYPERLINK("https://www.aalto.fi/en/admission-services/masters-admissions-frequently-asked-questions","Open source")</x:f>
        <x:v>HYPERLINK is not implemented. linkLocation=https://www.aalto.fi/en/admission-services/masters-admissions-frequently-asked-questions, friendlyName=Open source</x:v>
      </x:c>
    </x:row>
    <x:row r="338" ht="46" customHeight="1">
      <x:c r="A338" s="17" t="str">
        <x:v>stage3src:52d99c4c67f40b89605a</x:v>
      </x:c>
      <x:c r="B338" s="17" t="str">
        <x:v>program</x:v>
      </x:c>
      <x:c r="C338" s="17" t="str">
        <x:v>KTH Royal Institute of Technology</x:v>
      </x:c>
      <x:c r="D338" s="17" t="str">
        <x:v>ror:026vcq606:program:phd-requiring-a-master-s:doctoral-programme-in-computer-science</x:v>
      </x:c>
      <x:c r="E338" s="17" t="str"/>
      <x:c r="F338" s="17" t="str">
        <x:v>admissions</x:v>
      </x:c>
      <x:c r="G338" s="17" t="str">
        <x:v>Official program/admissions page; cycle label preserved in deep_programs.csv</x:v>
      </x:c>
      <x:c r="H338" s="17" t="str">
        <x:v>KTH Royal Institute of Technology — official evidence</x:v>
      </x:c>
      <x:c r="I338" s="17" t="str">
        <x:v>KTH Royal Institute of Technology</x:v>
      </x:c>
      <x:c r="J338" s="17" t="str">
        <x:v>official</x:v>
      </x:c>
      <x:c r="K338" s="17" t="str">
        <x:v>2026-09-09</x:v>
      </x:c>
      <x:c r="L338" s="17" t="str">
        <x:v>position-specific</x:v>
      </x:c>
      <x:c r="M338" s="17" t="str">
        <x:v>high</x:v>
      </x:c>
      <x:c r="N338" s="17" t="str">
        <x:v>accessible or indexed official page</x:v>
      </x:c>
      <x:c r="O338" s="17" t="str">
        <x:v>Search snippets were discovery only; final claim points to the official destination. Recheck cycle-specific facts when 2027 material opens.</x:v>
      </x:c>
      <x:c r="P338" s="18" t="e">
        <x:f>HYPERLINK("https://www.kth.se/en/studies/phd","Open source")</x:f>
        <x:v>HYPERLINK is not implemented. linkLocation=https://www.kth.se/en/studies/phd, friendlyName=Open source</x:v>
      </x:c>
    </x:row>
    <x:row r="339" ht="46" customHeight="1">
      <x:c r="A339" s="17" t="str">
        <x:v>stage3src:7a107a921bbece0a914b</x:v>
      </x:c>
      <x:c r="B339" s="17" t="str">
        <x:v>program</x:v>
      </x:c>
      <x:c r="C339" s="17" t="str">
        <x:v>KTH Royal Institute of Technology</x:v>
      </x:c>
      <x:c r="D339" s="17" t="str">
        <x:v>ror:026vcq606:program:phd-requiring-a-master-s:doctoral-programme-in-computer-science</x:v>
      </x:c>
      <x:c r="E339" s="17" t="str"/>
      <x:c r="F339" s="17" t="str">
        <x:v>institution</x:v>
      </x:c>
      <x:c r="G339" s="17" t="str">
        <x:v>Official institutional profile/group page used to verify current role and research themes</x:v>
      </x:c>
      <x:c r="H339" s="17" t="str">
        <x:v>Martin Monperrus — official evidence</x:v>
      </x:c>
      <x:c r="I339" s="17" t="str">
        <x:v>KTH Royal Institute of Technology</x:v>
      </x:c>
      <x:c r="J339" s="17" t="str">
        <x:v>official</x:v>
      </x:c>
      <x:c r="K339" s="17" t="str">
        <x:v>2026-09-09</x:v>
      </x:c>
      <x:c r="L339" s="17" t="str">
        <x:v>current at 2026-09-09</x:v>
      </x:c>
      <x:c r="M339" s="17" t="str">
        <x:v>high</x:v>
      </x:c>
      <x:c r="N339" s="17" t="str">
        <x:v>accessible or indexed official page</x:v>
      </x:c>
      <x:c r="O339" s="17" t="str">
        <x:v>Search snippets were discovery only; final claim points to the official destination. Recheck cycle-specific facts when 2027 material opens.</x:v>
      </x:c>
      <x:c r="P339" s="18" t="e">
        <x:f>HYPERLINK("https://www.kth.se/profile/monp?l=en","Open source")</x:f>
        <x:v>HYPERLINK is not implemented. linkLocation=https://www.kth.se/profile/monp?l=en, friendlyName=Open source</x:v>
      </x:c>
    </x:row>
    <x:row r="340" ht="46" customHeight="1">
      <x:c r="A340" s="17" t="str">
        <x:v>stage3src:98fb876a03d9530507f7</x:v>
      </x:c>
      <x:c r="B340" s="17" t="str">
        <x:v>program</x:v>
      </x:c>
      <x:c r="C340" s="17" t="str">
        <x:v>KTH Royal Institute of Technology</x:v>
      </x:c>
      <x:c r="D340" s="17" t="str">
        <x:v>ror:026vcq606:program:phd-requiring-a-master-s:doctoral-programme-in-computer-science</x:v>
      </x:c>
      <x:c r="E340" s="17" t="str"/>
      <x:c r="F340" s="17" t="str">
        <x:v>language|admissions</x:v>
      </x:c>
      <x:c r="G340" s="17" t="str">
        <x:v>Official English-language or admissions evidence; waivers/test thresholds remain applicant-specific</x:v>
      </x:c>
      <x:c r="H340" s="17" t="str">
        <x:v>KTH Royal Institute of Technology — official evidence</x:v>
      </x:c>
      <x:c r="I340" s="17" t="str">
        <x:v>KTH Royal Institute of Technology</x:v>
      </x:c>
      <x:c r="J340" s="17" t="str">
        <x:v>official</x:v>
      </x:c>
      <x:c r="K340" s="17" t="str">
        <x:v>2026-09-09</x:v>
      </x:c>
      <x:c r="L340" s="17" t="str">
        <x:v>position-specific</x:v>
      </x:c>
      <x:c r="M340" s="17" t="str">
        <x:v>high</x:v>
      </x:c>
      <x:c r="N340" s="17" t="str">
        <x:v>accessible or indexed official page</x:v>
      </x:c>
      <x:c r="O340" s="17" t="str">
        <x:v>Search snippets were discovery only; final claim points to the official destination. Recheck cycle-specific facts when 2027 material opens.</x:v>
      </x:c>
      <x:c r="P340" s="18" t="e">
        <x:f>HYPERLINK("https://www.kth.se/en/studies/phd","Open source")</x:f>
        <x:v>HYPERLINK is not implemented. linkLocation=https://www.kth.se/en/studies/phd, friendlyName=Open source</x:v>
      </x:c>
    </x:row>
    <x:row r="341" ht="46" customHeight="1">
      <x:c r="A341" s="17" t="str">
        <x:v>stage3src:2f522a27eaa26cd54842</x:v>
      </x:c>
      <x:c r="B341" s="17" t="str">
        <x:v>program</x:v>
      </x:c>
      <x:c r="C341" s="17" t="str">
        <x:v>KTH Royal Institute of Technology</x:v>
      </x:c>
      <x:c r="D341" s="17" t="str">
        <x:v>ror:026vcq606:program:thesis-or-research-master-s:msc-computer-science</x:v>
      </x:c>
      <x:c r="E341" s="17" t="str"/>
      <x:c r="F341" s="17" t="str">
        <x:v>program|research|admissions|deadline</x:v>
      </x:c>
      <x:c r="G341" s="17" t="str">
        <x:v>Current 120-ECTS MSc, specializations, degree project, and explicit autumn 2027 cycle.</x:v>
      </x:c>
      <x:c r="H341" s="17" t="str">
        <x:v>MSc Computer Science</x:v>
      </x:c>
      <x:c r="I341" s="17" t="str">
        <x:v>KTH Royal Institute of Technology</x:v>
      </x:c>
      <x:c r="J341" s="17" t="str">
        <x:v>official</x:v>
      </x:c>
      <x:c r="K341" s="17" t="str">
        <x:v>2026-09-11</x:v>
      </x:c>
      <x:c r="L341" s="17" t="str">
        <x:v>Explicit autumn 2027 cycle checked 2026-09-11</x:v>
      </x:c>
      <x:c r="M341" s="17" t="str">
        <x:v>high</x:v>
      </x:c>
      <x:c r="N341" s="17" t="str">
        <x:v>official page checked</x:v>
      </x:c>
      <x:c r="O341" s="17" t="str"/>
      <x:c r="P341" s="18" t="e">
        <x:f>HYPERLINK("https://www.kth.se/en/studies/master/computer-science","Open source")</x:f>
        <x:v>HYPERLINK is not implemented. linkLocation=https://www.kth.se/en/studies/master/computer-science, friendlyName=Open source</x:v>
      </x:c>
    </x:row>
    <x:row r="342" ht="46" customHeight="1">
      <x:c r="A342" s="17" t="str">
        <x:v>stage3src:952d3d9f13b7dd7d4ff0</x:v>
      </x:c>
      <x:c r="B342" s="17" t="str">
        <x:v>program</x:v>
      </x:c>
      <x:c r="C342" s="17" t="str">
        <x:v>KTH Royal Institute of Technology</x:v>
      </x:c>
      <x:c r="D342" s="17" t="str">
        <x:v>ror:026vcq606:program:thesis-or-research-master-s:msc-computer-science</x:v>
      </x:c>
      <x:c r="E342" s="17" t="str"/>
      <x:c r="F342" s="17" t="str">
        <x:v>funding|tuition|deadline|health|summer</x:v>
      </x:c>
      <x:c r="G342" s="17" t="str">
        <x:v>Competitive two-year full-tuition KTH Scholarship, no living-cost coverage, progress condition, and 2027 dates.</x:v>
      </x:c>
      <x:c r="H342" s="17" t="str">
        <x:v>KTH Scholarship</x:v>
      </x:c>
      <x:c r="I342" s="17" t="str">
        <x:v>KTH Royal Institute of Technology</x:v>
      </x:c>
      <x:c r="J342" s="17" t="str">
        <x:v>official</x:v>
      </x:c>
      <x:c r="K342" s="17" t="str">
        <x:v>2026-09-11</x:v>
      </x:c>
      <x:c r="L342" s="17" t="str">
        <x:v>2027 scholarship cycle checked 2026-09-11</x:v>
      </x:c>
      <x:c r="M342" s="17" t="str">
        <x:v>high</x:v>
      </x:c>
      <x:c r="N342" s="17" t="str">
        <x:v>official page checked</x:v>
      </x:c>
      <x:c r="O342" s="17" t="str"/>
      <x:c r="P342" s="18" t="e">
        <x:f>HYPERLINK("https://www.kth.se/en/studies/2.25746/kth-scholarship-1.72827","Open source")</x:f>
        <x:v>HYPERLINK is not implemented. linkLocation=https://www.kth.se/en/studies/2.25746/kth-scholarship-1.72827, friendlyName=Open source</x:v>
      </x:c>
    </x:row>
    <x:row r="343" ht="46" customHeight="1">
      <x:c r="A343" s="17" t="str">
        <x:v>stage3src:9e43dfb76afa2c4e8869</x:v>
      </x:c>
      <x:c r="B343" s="17" t="str">
        <x:v>program</x:v>
      </x:c>
      <x:c r="C343" s="17" t="str">
        <x:v>KTH Royal Institute of Technology</x:v>
      </x:c>
      <x:c r="D343" s="17" t="str">
        <x:v>ror:026vcq606:program:thesis-or-research-master-s:msc-computer-science</x:v>
      </x:c>
      <x:c r="E343" s="17" t="str"/>
      <x:c r="F343" s="17" t="str">
        <x:v>admissions|fees|tuition</x:v>
      </x:c>
      <x:c r="G343" s="17" t="str">
        <x:v>SEK 900 application fee and SEK 385,000 total program tuition for fee-paying students.</x:v>
      </x:c>
      <x:c r="H343" s="17" t="str">
        <x:v>Fees for Computer Science</x:v>
      </x:c>
      <x:c r="I343" s="17" t="str">
        <x:v>KTH Royal Institute of Technology</x:v>
      </x:c>
      <x:c r="J343" s="17" t="str">
        <x:v>official</x:v>
      </x:c>
      <x:c r="K343" s="17" t="str">
        <x:v>2026-09-11</x:v>
      </x:c>
      <x:c r="L343" s="17" t="str">
        <x:v>Current fee page checked 2026-09-11</x:v>
      </x:c>
      <x:c r="M343" s="17" t="str">
        <x:v>high</x:v>
      </x:c>
      <x:c r="N343" s="17" t="str">
        <x:v>official page checked</x:v>
      </x:c>
      <x:c r="O343" s="17" t="str"/>
      <x:c r="P343" s="18" t="e">
        <x:f>HYPERLINK("https://www.kth.se/en/studies/master/computer-science/fees-communication-systems-1.909945","Open source")</x:f>
        <x:v>HYPERLINK is not implemented. linkLocation=https://www.kth.se/en/studies/master/computer-science/fees-communication-systems-1.909945, friendlyName=Open source</x:v>
      </x:c>
    </x:row>
    <x:row r="344" ht="46" customHeight="1">
      <x:c r="A344" s="17" t="str">
        <x:v>stage3src:f078ee41ae9a3ec2c5b6</x:v>
      </x:c>
      <x:c r="B344" s="17" t="str">
        <x:v>program</x:v>
      </x:c>
      <x:c r="C344" s="17" t="str">
        <x:v>KTH Royal Institute of Technology</x:v>
      </x:c>
      <x:c r="D344" s="17" t="str">
        <x:v>ror:026vcq606:program:thesis-or-research-master-s:msc-computer-science</x:v>
      </x:c>
      <x:c r="E344" s="17" t="str"/>
      <x:c r="F344" s="17" t="str">
        <x:v>admissions|eligibility|language</x:v>
      </x:c>
      <x:c r="G344" s="17" t="str">
        <x:v>Degree, 28.5-ECTS mathematics, 22.5-ECTS computing, English, selection, and four-program ranking requirements.</x:v>
      </x:c>
      <x:c r="H344" s="17" t="str">
        <x:v>Entry Requirements for Computer Science</x:v>
      </x:c>
      <x:c r="I344" s="17" t="str">
        <x:v>KTH Royal Institute of Technology</x:v>
      </x:c>
      <x:c r="J344" s="17" t="str">
        <x:v>official</x:v>
      </x:c>
      <x:c r="K344" s="17" t="str">
        <x:v>2026-09-11</x:v>
      </x:c>
      <x:c r="L344" s="17" t="str">
        <x:v>Autumn 2027 requirements checked 2026-09-11</x:v>
      </x:c>
      <x:c r="M344" s="17" t="str">
        <x:v>high</x:v>
      </x:c>
      <x:c r="N344" s="17" t="str">
        <x:v>official page checked</x:v>
      </x:c>
      <x:c r="O344" s="17" t="str"/>
      <x:c r="P344" s="18" t="e">
        <x:f>HYPERLINK("https://www.kth.se/en/studies/2.23106/master/computer-science/entry-requirements-computer-science-1.419975","Open source")</x:f>
        <x:v>HYPERLINK is not implemented. linkLocation=https://www.kth.se/en/studies/2.23106/master/computer-science/entry-requirements-computer-science-1.419975, friendlyName=Open source</x:v>
      </x:c>
    </x:row>
    <x:row r="345" ht="46" customHeight="1">
      <x:c r="A345" s="17" t="str">
        <x:v>stage3src:e682b6a61bd3eafdf5da</x:v>
      </x:c>
      <x:c r="B345" s="17" t="str">
        <x:v>program</x:v>
      </x:c>
      <x:c r="C345" s="17" t="str">
        <x:v>University of Manchester</x:v>
      </x:c>
      <x:c r="D345" s="17" t="str">
        <x:v>ror:027m9bs27:program:unclear:cross-path-catalog-review</x:v>
      </x:c>
      <x:c r="E345" s="17" t="str"/>
      <x:c r="F345" s="17" t="str">
        <x:v>discovery</x:v>
      </x:c>
      <x:c r="G345" s="17" t="str">
        <x:v>Stage 2 recorded this row as a discovery candidate; it does not independently verify an exact current research program, eligibility, or funding.</x:v>
      </x:c>
      <x:c r="H345" s="17" t="str">
        <x:v>Pass 2 Stage 2 candidate funnel</x:v>
      </x:c>
      <x:c r="I345" s="17" t="str">
        <x:v>Graduate audit pipeline</x:v>
      </x:c>
      <x:c r="J345" s="17" t="str">
        <x:v>derived</x:v>
      </x:c>
      <x:c r="K345" s="17" t="str">
        <x:v>2026-09-11</x:v>
      </x:c>
      <x:c r="L345" s="17" t="str">
        <x:v>Not cycle-specific</x:v>
      </x:c>
      <x:c r="M345" s="17" t="str">
        <x:v>low</x:v>
      </x:c>
      <x:c r="N345" s="17" t="str">
        <x:v>Discovery evidence only</x:v>
      </x:c>
      <x:c r="O345" s="17" t="str">
        <x:v>Use the source_record_paths field to trace the underlying discovery inputs.</x:v>
      </x:c>
      <x:c r="P345" s="18" t="e">
        <x:f>HYPERLINK("http://www.manchester.ac.uk/","Open source")</x:f>
        <x:v>HYPERLINK is not implemented. linkLocation=http://www.manchester.ac.uk/, friendlyName=Open source</x:v>
      </x:c>
    </x:row>
    <x:row r="346" ht="46" customHeight="1">
      <x:c r="A346" s="17" t="str">
        <x:v>stage3src:34c8d16f6876afaafc44</x:v>
      </x:c>
      <x:c r="B346" s="17" t="str">
        <x:v>program</x:v>
      </x:c>
      <x:c r="C346" s="17" t="str">
        <x:v>Åbo Akademi University</x:v>
      </x:c>
      <x:c r="D346" s="17" t="str">
        <x:v>ror:029pk6x14:program:thesis-or-research-master-s:erasmus-mundus-joint-master-in-engineering-of-data-intensive-intelligent-software-systems-ediss</x:v>
      </x:c>
      <x:c r="E346" s="17" t="str"/>
      <x:c r="F346" s="17" t="str">
        <x:v>funding|tuition|insurance|conditions|international</x:v>
      </x:c>
      <x:c r="G346" s="17" t="str">
        <x:v>Latest EMJM, EDISS, and tuition-waiver terms, including all-nationality eligibility, 1,400 monthly full award, participation-cost waiver, and insurance.</x:v>
      </x:c>
      <x:c r="H346" s="17" t="str">
        <x:v>Scholarships &amp; Fees</x:v>
      </x:c>
      <x:c r="I346" s="17" t="str">
        <x:v>EDISS Consortium</x:v>
      </x:c>
      <x:c r="J346" s="17" t="str">
        <x:v>official</x:v>
      </x:c>
      <x:c r="K346" s="17" t="str">
        <x:v>2026-09-11</x:v>
      </x:c>
      <x:c r="L346" s="17" t="str">
        <x:v>2026-28 intake terms; future call details pending</x:v>
      </x:c>
      <x:c r="M346" s="17" t="str">
        <x:v>high</x:v>
      </x:c>
      <x:c r="N346" s="17" t="str">
        <x:v>official page checked</x:v>
      </x:c>
      <x:c r="O346" s="17" t="str"/>
      <x:c r="P346" s="18" t="e">
        <x:f>HYPERLINK("https://www.master-ediss.eu/scholarship/","Open source")</x:f>
        <x:v>HYPERLINK is not implemented. linkLocation=https://www.master-ediss.eu/scholarship/, friendlyName=Open source</x:v>
      </x:c>
    </x:row>
    <x:row r="347" ht="46" customHeight="1">
      <x:c r="A347" s="17" t="str">
        <x:v>stage3src:bc55f5398d7fd33b6ac9</x:v>
      </x:c>
      <x:c r="B347" s="17" t="str">
        <x:v>program</x:v>
      </x:c>
      <x:c r="C347" s="17" t="str">
        <x:v>Åbo Akademi University</x:v>
      </x:c>
      <x:c r="D347" s="17" t="str">
        <x:v>ror:029pk6x14:program:thesis-or-research-master-s:erasmus-mundus-joint-master-in-engineering-of-data-intensive-intelligent-software-systems-ediss</x:v>
      </x:c>
      <x:c r="E347" s="17" t="str"/>
      <x:c r="F347" s="17" t="str">
        <x:v>admissions|eligibility|deadline|fees</x:v>
      </x:c>
      <x:c r="G347" s="17" t="str">
        <x:v>Latest 2026-28 scholarship, fee-waiver, and self-funded rounds and conditional completion route before July 31.</x:v>
      </x:c>
      <x:c r="H347" s="17" t="str">
        <x:v>Application Process</x:v>
      </x:c>
      <x:c r="I347" s="17" t="str">
        <x:v>EDISS Consortium</x:v>
      </x:c>
      <x:c r="J347" s="17" t="str">
        <x:v>official</x:v>
      </x:c>
      <x:c r="K347" s="17" t="str">
        <x:v>2026-09-11</x:v>
      </x:c>
      <x:c r="L347" s="17" t="str">
        <x:v>Latest 2026-28 intake; Fall 2027 dates not yet published</x:v>
      </x:c>
      <x:c r="M347" s="17" t="str">
        <x:v>high</x:v>
      </x:c>
      <x:c r="N347" s="17" t="str">
        <x:v>official page checked</x:v>
      </x:c>
      <x:c r="O347" s="17" t="str"/>
      <x:c r="P347" s="18" t="e">
        <x:f>HYPERLINK("https://www.master-ediss.eu/application-process/","Open source")</x:f>
        <x:v>HYPERLINK is not implemented. linkLocation=https://www.master-ediss.eu/application-process/, friendlyName=Open source</x:v>
      </x:c>
    </x:row>
    <x:row r="348" ht="46" customHeight="1">
      <x:c r="A348" s="17" t="str">
        <x:v>stage3src:e91d3da7288bd010ee91</x:v>
      </x:c>
      <x:c r="B348" s="17" t="str">
        <x:v>program</x:v>
      </x:c>
      <x:c r="C348" s="17" t="str">
        <x:v>Åbo Akademi University</x:v>
      </x:c>
      <x:c r="D348" s="17" t="str">
        <x:v>ror:029pk6x14:program:thesis-or-research-master-s:erasmus-mundus-joint-master-in-engineering-of-data-intensive-intelligent-software-systems-ediss</x:v>
      </x:c>
      <x:c r="E348" s="17" t="str"/>
      <x:c r="F348" s="17" t="str">
        <x:v>program|research|admissions|eligibility|international</x:v>
      </x:c>
      <x:c r="G348" s="17" t="str">
        <x:v>Two-year 120-ECTS joint program, CS or software engineering entry, mobility, internship, thesis, and international scope.</x:v>
      </x:c>
      <x:c r="H348" s="17" t="str">
        <x:v>Master's Programme in Engineering of Data-intensive Intelligent Software Systems</x:v>
      </x:c>
      <x:c r="I348" s="17" t="str">
        <x:v>Åbo Akademi University</x:v>
      </x:c>
      <x:c r="J348" s="17" t="str">
        <x:v>official</x:v>
      </x:c>
      <x:c r="K348" s="17" t="str">
        <x:v>2026-09-11</x:v>
      </x:c>
      <x:c r="L348" s="17" t="str">
        <x:v>Current program page checked 2026-09-11</x:v>
      </x:c>
      <x:c r="M348" s="17" t="str">
        <x:v>high</x:v>
      </x:c>
      <x:c r="N348" s="17" t="str">
        <x:v>official page checked</x:v>
      </x:c>
      <x:c r="O348" s="17" t="str"/>
      <x:c r="P348" s="18" t="e">
        <x:f>HYPERLINK("https://www.abo.fi/en/study-programme/masters-programme-in-engineering-of-data-intensive-intelligent-software-systems-ediss/","Open source")</x:f>
        <x:v>HYPERLINK is not implemented. linkLocation=https://www.abo.fi/en/study-programme/masters-programme-in-engineering-of-data-intensive-intelligent-software-systems-ediss/, friendlyName=Open source</x:v>
      </x:c>
    </x:row>
    <x:row r="349" ht="46" customHeight="1">
      <x:c r="A349" s="17" t="str">
        <x:v>stage3src:fcbbbd53c7d2e10478d7</x:v>
      </x:c>
      <x:c r="B349" s="17" t="str">
        <x:v>program</x:v>
      </x:c>
      <x:c r="C349" s="17" t="str">
        <x:v>Åbo Akademi University</x:v>
      </x:c>
      <x:c r="D349" s="17" t="str">
        <x:v>ror:029pk6x14:program:thesis-or-research-master-s:erasmus-mundus-joint-master-in-engineering-of-data-intensive-intelligent-software-systems-ediss</x:v>
      </x:c>
      <x:c r="E349" s="17" t="str"/>
      <x:c r="F349" s="17" t="str">
        <x:v>program|status|funding</x:v>
      </x:c>
      <x:c r="G349" s="17" t="str">
        <x:v>EDISS received renewed Erasmus Mundus funding through 2031 and expects about 50 additional scholarships across future rounds.</x:v>
      </x:c>
      <x:c r="H349" s="17" t="str">
        <x:v>EU invests EUR 3.6 million in Åbo Akademi University's EDISS programme</x:v>
      </x:c>
      <x:c r="I349" s="17" t="str">
        <x:v>Åbo Akademi University</x:v>
      </x:c>
      <x:c r="J349" s="17" t="str">
        <x:v>official</x:v>
      </x:c>
      <x:c r="K349" s="17" t="str">
        <x:v>2026-09-11</x:v>
      </x:c>
      <x:c r="L349" s="17" t="str">
        <x:v>Renewed project 2025-31</x:v>
      </x:c>
      <x:c r="M349" s="17" t="str">
        <x:v>high</x:v>
      </x:c>
      <x:c r="N349" s="17" t="str">
        <x:v>official page checked</x:v>
      </x:c>
      <x:c r="O349" s="17" t="str"/>
      <x:c r="P349" s="18" t="e">
        <x:f>HYPERLINK("https://www.abo.fi/nyheter/eu-satsar-36-miljoner-euro-pa-abo-akademis-internationella-magisterprogram-ediss/","Open source")</x:f>
        <x:v>HYPERLINK is not implemented. linkLocation=https://www.abo.fi/nyheter/eu-satsar-36-miljoner-euro-pa-abo-akademis-internationella-magisterprogram-ediss/, friendlyName=Open source</x:v>
      </x:c>
    </x:row>
    <x:row r="350" ht="46" customHeight="1">
      <x:c r="A350" s="17" t="str">
        <x:v>stage3src:6d271c80d7804de62105</x:v>
      </x:c>
      <x:c r="B350" s="17" t="str">
        <x:v>program</x:v>
      </x:c>
      <x:c r="C350" s="17" t="str">
        <x:v>Åbo Akademi University</x:v>
      </x:c>
      <x:c r="D350" s="17" t="str">
        <x:v>ror:029pk6x14:program:thesis-or-research-master-s:master-s-degree-programme-in-information-technology-computer-science</x:v>
      </x:c>
      <x:c r="E350" s="17" t="str"/>
      <x:c r="F350" s="17" t="str">
        <x:v>funding|tuition|fees</x:v>
      </x:c>
      <x:c r="G350" s="17" t="str">
        <x:v>Current EUR 12,000 annual tuition, EUR 4,000 annual tuition reduction, remaining tuition, progress conditions, and absence of living support.</x:v>
      </x:c>
      <x:c r="H350" s="17" t="str">
        <x:v>Scholarship Programme for Master's Students</x:v>
      </x:c>
      <x:c r="I350" s="17" t="str">
        <x:v>Åbo Akademi University</x:v>
      </x:c>
      <x:c r="J350" s="17" t="str">
        <x:v>official</x:v>
      </x:c>
      <x:c r="K350" s="17" t="str">
        <x:v>2026-09-11</x:v>
      </x:c>
      <x:c r="L350" s="17" t="str">
        <x:v>2026 entrant terms checked 2026-09-11</x:v>
      </x:c>
      <x:c r="M350" s="17" t="str">
        <x:v>high</x:v>
      </x:c>
      <x:c r="N350" s="17" t="str">
        <x:v>official page checked</x:v>
      </x:c>
      <x:c r="O350" s="17" t="str"/>
      <x:c r="P350" s="18" t="e">
        <x:f>HYPERLINK("https://www.abo.fi/en/study/apply/international-master-programmes/scholarship-programme-for-master-students/","Open source")</x:f>
        <x:v>HYPERLINK is not implemented. linkLocation=https://www.abo.fi/en/study/apply/international-master-programmes/scholarship-programme-for-master-students/, friendlyName=Open source</x:v>
      </x:c>
    </x:row>
    <x:row r="351" ht="46" customHeight="1">
      <x:c r="A351" s="17" t="str">
        <x:v>stage3src:a01d8a9aa5424e301422</x:v>
      </x:c>
      <x:c r="B351" s="17" t="str">
        <x:v>program</x:v>
      </x:c>
      <x:c r="C351" s="17" t="str">
        <x:v>Åbo Akademi University</x:v>
      </x:c>
      <x:c r="D351" s="17" t="str">
        <x:v>ror:029pk6x14:program:thesis-or-research-master-s:master-s-degree-programme-in-information-technology-computer-science</x:v>
      </x:c>
      <x:c r="E351" s="17" t="str"/>
      <x:c r="F351" s="17" t="str">
        <x:v>program|research|eligibility|language</x:v>
      </x:c>
      <x:c r="G351" s="17" t="str">
        <x:v>Current English 120-ECTS Information Technology master's, Computer Science route, subject focus, and thesis.</x:v>
      </x:c>
      <x:c r="H351" s="17" t="str">
        <x:v>Master's Degree Programme in Information Technology</x:v>
      </x:c>
      <x:c r="I351" s="17" t="str">
        <x:v>Åbo Akademi University</x:v>
      </x:c>
      <x:c r="J351" s="17" t="str">
        <x:v>official</x:v>
      </x:c>
      <x:c r="K351" s="17" t="str">
        <x:v>2026-09-11</x:v>
      </x:c>
      <x:c r="L351" s="17" t="str">
        <x:v>Current page checked 2026-09-11</x:v>
      </x:c>
      <x:c r="M351" s="17" t="str">
        <x:v>high</x:v>
      </x:c>
      <x:c r="N351" s="17" t="str">
        <x:v>official page checked</x:v>
      </x:c>
      <x:c r="O351" s="17" t="str"/>
      <x:c r="P351" s="18" t="e">
        <x:f>HYPERLINK("https://www.abo.fi/en/study-programme/masters-degree-programme-in-information-technology/","Open source")</x:f>
        <x:v>HYPERLINK is not implemented. linkLocation=https://www.abo.fi/en/study-programme/masters-degree-programme-in-information-technology/, friendlyName=Open source</x:v>
      </x:c>
    </x:row>
    <x:row r="352" ht="46" customHeight="1">
      <x:c r="A352" s="17" t="str">
        <x:v>stage3src:b2041e5dea5f4d947696</x:v>
      </x:c>
      <x:c r="B352" s="17" t="str">
        <x:v>program</x:v>
      </x:c>
      <x:c r="C352" s="17" t="str">
        <x:v>Åbo Akademi University</x:v>
      </x:c>
      <x:c r="D352" s="17" t="str">
        <x:v>ror:029pk6x14:program:thesis-or-research-master-s:master-s-degree-programme-in-information-technology-computer-science</x:v>
      </x:c>
      <x:c r="E352" s="17" t="str"/>
      <x:c r="F352" s="17" t="str">
        <x:v>eligibility|admissions|deadline|fees</x:v>
      </x:c>
      <x:c r="G352" s="17" t="str">
        <x:v>Relevant bachelor's and prerequisite areas, competitive selection, official Fall 2027 application dates, non-EU/EEA fee framework, and one-study-place rule.</x:v>
      </x:c>
      <x:c r="H352" s="17" t="str">
        <x:v>Admission to Master's Degree Programme in Information Technology</x:v>
      </x:c>
      <x:c r="I352" s="17" t="str">
        <x:v>Åbo Akademi University</x:v>
      </x:c>
      <x:c r="J352" s="17" t="str">
        <x:v>official</x:v>
      </x:c>
      <x:c r="K352" s="17" t="str">
        <x:v>2026-09-11</x:v>
      </x:c>
      <x:c r="L352" s="17" t="str">
        <x:v>2027 intake framework checked 2026-09-11</x:v>
      </x:c>
      <x:c r="M352" s="17" t="str">
        <x:v>high</x:v>
      </x:c>
      <x:c r="N352" s="17" t="str">
        <x:v>official page checked</x:v>
      </x:c>
      <x:c r="O352" s="17" t="str"/>
      <x:c r="P352" s="18" t="e">
        <x:f>HYPERLINK("https://www.abo.fi/en/study/apply/international-master-programmes/academic-requirements/admission-to-masters-degree-programme-in-information-technology/","Open source")</x:f>
        <x:v>HYPERLINK is not implemented. linkLocation=https://www.abo.fi/en/study/apply/international-master-programmes/academic-requirements/admission-to-masters-degree-programme-in-information-technology/, friendlyName=Open source</x:v>
      </x:c>
    </x:row>
    <x:row r="353" ht="46" customHeight="1">
      <x:c r="A353" s="17" t="str">
        <x:v>stage3src:e58807145cc82c46875d</x:v>
      </x:c>
      <x:c r="B353" s="17" t="str">
        <x:v>program</x:v>
      </x:c>
      <x:c r="C353" s="17" t="str">
        <x:v>Sapienza University of Rome</x:v>
      </x:c>
      <x:c r="D353" s="17" t="str">
        <x:v>ror:02be6w209:program:unclear:cross-path-catalog-review</x:v>
      </x:c>
      <x:c r="E353" s="17" t="str"/>
      <x:c r="F353" s="17" t="str">
        <x:v>discovery</x:v>
      </x:c>
      <x:c r="G353" s="17" t="str">
        <x:v>Stage 2 recorded this row as a discovery candidate; it does not independently verify an exact current research program, eligibility, or funding.</x:v>
      </x:c>
      <x:c r="H353" s="17" t="str">
        <x:v>Pass 2 Stage 2 candidate funnel</x:v>
      </x:c>
      <x:c r="I353" s="17" t="str">
        <x:v>Graduate audit pipeline</x:v>
      </x:c>
      <x:c r="J353" s="17" t="str">
        <x:v>derived</x:v>
      </x:c>
      <x:c r="K353" s="17" t="str">
        <x:v>2026-09-11</x:v>
      </x:c>
      <x:c r="L353" s="17" t="str">
        <x:v>Not cycle-specific</x:v>
      </x:c>
      <x:c r="M353" s="17" t="str">
        <x:v>low</x:v>
      </x:c>
      <x:c r="N353" s="17" t="str">
        <x:v>Discovery evidence only</x:v>
      </x:c>
      <x:c r="O353" s="17" t="str">
        <x:v>Use the source_record_paths field to trace the underlying discovery inputs.</x:v>
      </x:c>
      <x:c r="P353" s="18" t="e">
        <x:f>HYPERLINK("https://www.uniroma1.it","Open source")</x:f>
        <x:v>HYPERLINK is not implemented. linkLocation=https://www.uniroma1.it, friendlyName=Open source</x:v>
      </x:c>
    </x:row>
    <x:row r="354" ht="46" customHeight="1">
      <x:c r="A354" s="17" t="str">
        <x:v>stage3src:fb087ec48ddfcef890fe</x:v>
      </x:c>
      <x:c r="B354" s="17" t="str">
        <x:v>program</x:v>
      </x:c>
      <x:c r="C354" s="17" t="str">
        <x:v>Technische Hochschule Ingolstadt</x:v>
      </x:c>
      <x:c r="D354" s="17" t="str">
        <x:v>ror:02bxzcy64:program:unclear:cross-path-catalog-review</x:v>
      </x:c>
      <x:c r="E354" s="17" t="str"/>
      <x:c r="F354" s="17" t="str">
        <x:v>discovery</x:v>
      </x:c>
      <x:c r="G354" s="17" t="str">
        <x:v>Stage 2 recorded this row as a discovery candidate; it does not independently verify an exact current research program, eligibility, or funding.</x:v>
      </x:c>
      <x:c r="H354" s="17" t="str">
        <x:v>Pass 2 Stage 2 candidate funnel</x:v>
      </x:c>
      <x:c r="I354" s="17" t="str">
        <x:v>Graduate audit pipeline</x:v>
      </x:c>
      <x:c r="J354" s="17" t="str">
        <x:v>derived</x:v>
      </x:c>
      <x:c r="K354" s="17" t="str">
        <x:v>2026-09-11</x:v>
      </x:c>
      <x:c r="L354" s="17" t="str">
        <x:v>Not cycle-specific</x:v>
      </x:c>
      <x:c r="M354" s="17" t="str">
        <x:v>low</x:v>
      </x:c>
      <x:c r="N354" s="17" t="str">
        <x:v>Discovery evidence only</x:v>
      </x:c>
      <x:c r="O354" s="17" t="str">
        <x:v>Use the source_record_paths field to trace the underlying discovery inputs.</x:v>
      </x:c>
      <x:c r="P354" s="18" t="e">
        <x:f>HYPERLINK("https://www.thi.de","Open source")</x:f>
        <x:v>HYPERLINK is not implemented. linkLocation=https://www.thi.de, friendlyName=Open source</x:v>
      </x:c>
    </x:row>
    <x:row r="355" ht="46" customHeight="1">
      <x:c r="A355" s="17" t="str">
        <x:v>stage3src:78ed7d8af0d20cf3a7c8</x:v>
      </x:c>
      <x:c r="B355" s="17" t="str">
        <x:v>program</x:v>
      </x:c>
      <x:c r="C355" s="17" t="str">
        <x:v>Eindhoven University of Technology</x:v>
      </x:c>
      <x:c r="D355" s="17" t="str">
        <x:v>ror:02c2kyt77:program:unclear:cross-path-catalog-review</x:v>
      </x:c>
      <x:c r="E355" s="17" t="str"/>
      <x:c r="F355" s="17" t="str">
        <x:v>discovery</x:v>
      </x:c>
      <x:c r="G355" s="17" t="str">
        <x:v>Stage 2 recorded this row as a discovery candidate; it does not independently verify an exact current research program, eligibility, or funding.</x:v>
      </x:c>
      <x:c r="H355" s="17" t="str">
        <x:v>Pass 2 Stage 2 candidate funnel</x:v>
      </x:c>
      <x:c r="I355" s="17" t="str">
        <x:v>Graduate audit pipeline</x:v>
      </x:c>
      <x:c r="J355" s="17" t="str">
        <x:v>derived</x:v>
      </x:c>
      <x:c r="K355" s="17" t="str">
        <x:v>2026-09-11</x:v>
      </x:c>
      <x:c r="L355" s="17" t="str">
        <x:v>Not cycle-specific</x:v>
      </x:c>
      <x:c r="M355" s="17" t="str">
        <x:v>low</x:v>
      </x:c>
      <x:c r="N355" s="17" t="str">
        <x:v>Discovery evidence only</x:v>
      </x:c>
      <x:c r="O355" s="17" t="str">
        <x:v>Use the source_record_paths field to trace the underlying discovery inputs.</x:v>
      </x:c>
      <x:c r="P355" s="18" t="e">
        <x:f>HYPERLINK("https://www.tue.nl","Open source")</x:f>
        <x:v>HYPERLINK is not implemented. linkLocation=https://www.tue.nl, friendlyName=Open source</x:v>
      </x:c>
    </x:row>
    <x:row r="356" ht="46" customHeight="1">
      <x:c r="A356" s="17" t="str">
        <x:v>stage3src:1aec00407c8702e32ded</x:v>
      </x:c>
      <x:c r="B356" s="17" t="str">
        <x:v>program</x:v>
      </x:c>
      <x:c r="C356" s="17" t="str">
        <x:v>University of Zurich</x:v>
      </x:c>
      <x:c r="D356" s="17" t="str">
        <x:v>ror:02crff812:program:thesis-or-research-master-s:msc-in-informatics-software-systems</x:v>
      </x:c>
      <x:c r="E356" s="17" t="str"/>
      <x:c r="F356" s="17" t="str">
        <x:v>program</x:v>
      </x:c>
      <x:c r="G356" s="17" t="str">
        <x:v>Current Software Systems MSc in Informatics route.</x:v>
      </x:c>
      <x:c r="H356" s="17" t="str">
        <x:v>Software Systems Master's Program</x:v>
      </x:c>
      <x:c r="I356" s="17" t="str">
        <x:v>University of Zurich</x:v>
      </x:c>
      <x:c r="J356" s="17" t="str">
        <x:v>official</x:v>
      </x:c>
      <x:c r="K356" s="17" t="str">
        <x:v>2026-09-10</x:v>
      </x:c>
      <x:c r="L356" s="17" t="str">
        <x:v>Current page checked 2026-09-10</x:v>
      </x:c>
      <x:c r="M356" s="17" t="str">
        <x:v>high</x:v>
      </x:c>
      <x:c r="N356" s="17" t="str">
        <x:v>official page checked</x:v>
      </x:c>
      <x:c r="O356" s="17" t="str"/>
      <x:c r="P356" s="18" t="e">
        <x:f>HYPERLINK("https://www.uzh.ch/en/studies/programs/master/software_systems.html","Open source")</x:f>
        <x:v>HYPERLINK is not implemented. linkLocation=https://www.uzh.ch/en/studies/programs/master/software_systems.html, friendlyName=Open source</x:v>
      </x:c>
    </x:row>
    <x:row r="357" ht="46" customHeight="1">
      <x:c r="A357" s="17" t="str">
        <x:v>stage3src:2cd0604a087a07147732</x:v>
      </x:c>
      <x:c r="B357" s="17" t="str">
        <x:v>program</x:v>
      </x:c>
      <x:c r="C357" s="17" t="str">
        <x:v>University of Zurich</x:v>
      </x:c>
      <x:c r="D357" s="17" t="str">
        <x:v>ror:02crff812:program:thesis-or-research-master-s:msc-in-informatics-software-systems</x:v>
      </x:c>
      <x:c r="E357" s="17" t="str"/>
      <x:c r="F357" s="17" t="str">
        <x:v>program|eligibility</x:v>
      </x:c>
      <x:c r="G357" s="17" t="str">
        <x:v>Informatics master's structure includes a 90-ECTS major and 30-ECTS thesis.</x:v>
      </x:c>
      <x:c r="H357" s="17" t="str">
        <x:v>Master's Program in Informatics</x:v>
      </x:c>
      <x:c r="I357" s="17" t="str">
        <x:v>University of Zurich Department of Informatics</x:v>
      </x:c>
      <x:c r="J357" s="17" t="str">
        <x:v>official</x:v>
      </x:c>
      <x:c r="K357" s="17" t="str">
        <x:v>2026-09-10</x:v>
      </x:c>
      <x:c r="L357" s="17" t="str">
        <x:v>Current page checked 2026-09-10</x:v>
      </x:c>
      <x:c r="M357" s="17" t="str">
        <x:v>high</x:v>
      </x:c>
      <x:c r="N357" s="17" t="str">
        <x:v>official page checked</x:v>
      </x:c>
      <x:c r="O357" s="17" t="str"/>
      <x:c r="P357" s="18" t="e">
        <x:f>HYPERLINK("https://www.ifi.uzh.ch/en/studies/msc.html","Open source")</x:f>
        <x:v>HYPERLINK is not implemented. linkLocation=https://www.ifi.uzh.ch/en/studies/msc.html, friendlyName=Open source</x:v>
      </x:c>
    </x:row>
    <x:row r="358" ht="46" customHeight="1">
      <x:c r="A358" s="17" t="str">
        <x:v>stage3src:598eb2e7d900ebb37f26</x:v>
      </x:c>
      <x:c r="B358" s="17" t="str">
        <x:v>program</x:v>
      </x:c>
      <x:c r="C358" s="17" t="str">
        <x:v>University of Zurich</x:v>
      </x:c>
      <x:c r="D358" s="17" t="str">
        <x:v>ror:02crff812:program:thesis-or-research-master-s:msc-in-informatics-software-systems</x:v>
      </x:c>
      <x:c r="E358" s="17" t="str"/>
      <x:c r="F358" s="17" t="str">
        <x:v>funding|fees</x:v>
      </x:c>
      <x:c r="G358" s="17" t="str">
        <x:v>UZH finance guidance does not establish a dedicated international master's package and restricts prospective-student support eligibility.</x:v>
      </x:c>
      <x:c r="H358" s="17" t="str">
        <x:v>Financing Your Studies</x:v>
      </x:c>
      <x:c r="I358" s="17" t="str">
        <x:v>University of Zurich</x:v>
      </x:c>
      <x:c r="J358" s="17" t="str">
        <x:v>official</x:v>
      </x:c>
      <x:c r="K358" s="17" t="str">
        <x:v>2026-09-10</x:v>
      </x:c>
      <x:c r="L358" s="17" t="str">
        <x:v>Current page checked 2026-09-10</x:v>
      </x:c>
      <x:c r="M358" s="17" t="str">
        <x:v>high</x:v>
      </x:c>
      <x:c r="N358" s="17" t="str">
        <x:v>official page checked</x:v>
      </x:c>
      <x:c r="O358" s="17" t="str"/>
      <x:c r="P358" s="18" t="e">
        <x:f>HYPERLINK("https://www.students.uzh.ch/en/advice/finances.html","Open source")</x:f>
        <x:v>HYPERLINK is not implemented. linkLocation=https://www.students.uzh.ch/en/advice/finances.html, friendlyName=Open source</x:v>
      </x:c>
    </x:row>
    <x:row r="359" ht="46" customHeight="1">
      <x:c r="A359" s="17" t="str">
        <x:v>stage3src:cba6ac2a805c239a0ba9</x:v>
      </x:c>
      <x:c r="B359" s="17" t="str">
        <x:v>program</x:v>
      </x:c>
      <x:c r="C359" s="17" t="str">
        <x:v>University of Zurich</x:v>
      </x:c>
      <x:c r="D359" s="17" t="str">
        <x:v>ror:02crff812:program:thesis-or-research-master-s:msc-in-informatics-software-systems</x:v>
      </x:c>
      <x:c r="E359" s="17" t="str"/>
      <x:c r="F359" s="17" t="str">
        <x:v>admissions|deadline|fees</x:v>
      </x:c>
      <x:c r="G359" s="17" t="str">
        <x:v>General application deadline and official application, tuition, surcharge, and semester-fee categories.</x:v>
      </x:c>
      <x:c r="H359" s="17" t="str">
        <x:v>Fees and Contributions</x:v>
      </x:c>
      <x:c r="I359" s="17" t="str">
        <x:v>University of Zurich</x:v>
      </x:c>
      <x:c r="J359" s="17" t="str">
        <x:v>official</x:v>
      </x:c>
      <x:c r="K359" s="17" t="str">
        <x:v>2026-09-10</x:v>
      </x:c>
      <x:c r="L359" s="17" t="str">
        <x:v>Current fee schedule checked 2026-09-10</x:v>
      </x:c>
      <x:c r="M359" s="17" t="str">
        <x:v>high</x:v>
      </x:c>
      <x:c r="N359" s="17" t="str">
        <x:v>official page checked</x:v>
      </x:c>
      <x:c r="O359" s="17" t="str"/>
      <x:c r="P359" s="18" t="e">
        <x:f>HYPERLINK("https://www.uzh.ch/en/studies/application/fees.html","Open source")</x:f>
        <x:v>HYPERLINK is not implemented. linkLocation=https://www.uzh.ch/en/studies/application/fees.html, friendlyName=Open source</x:v>
      </x:c>
    </x:row>
    <x:row r="360" ht="46" customHeight="1">
      <x:c r="A360" s="17" t="str">
        <x:v>stage3src:e916458e09b1b47a6d95</x:v>
      </x:c>
      <x:c r="B360" s="17" t="str">
        <x:v>program</x:v>
      </x:c>
      <x:c r="C360" s="17" t="str">
        <x:v>University of Zurich</x:v>
      </x:c>
      <x:c r="D360" s="17" t="str">
        <x:v>ror:02crff812:program:thesis-or-research-master-s:msc-in-informatics-software-systems</x:v>
      </x:c>
      <x:c r="E360" s="17" t="str"/>
      <x:c r="F360" s="17" t="str">
        <x:v>admissions|eligibility|language</x:v>
      </x:c>
      <x:c r="G360" s="17" t="str">
        <x:v>GRE is mandatory for degrees outside EU/EFTA/UK and prior Informatics curriculum is reviewed with possible additional requirements.</x:v>
      </x:c>
      <x:c r="H360" s="17" t="str">
        <x:v>Master's Admission in Informatics</x:v>
      </x:c>
      <x:c r="I360" s="17" t="str">
        <x:v>University of Zurich Faculty of Business, Economics and Informatics</x:v>
      </x:c>
      <x:c r="J360" s="17" t="str">
        <x:v>official</x:v>
      </x:c>
      <x:c r="K360" s="17" t="str">
        <x:v>2026-09-10</x:v>
      </x:c>
      <x:c r="L360" s="17" t="str">
        <x:v>Current page checked 2026-09-10</x:v>
      </x:c>
      <x:c r="M360" s="17" t="str">
        <x:v>high</x:v>
      </x:c>
      <x:c r="N360" s="17" t="str">
        <x:v>official page checked</x:v>
      </x:c>
      <x:c r="O360" s="17" t="str"/>
      <x:c r="P360" s="18" t="e">
        <x:f>HYPERLINK("https://www.oec.uzh.ch/en/studies/admission/master/it.html","Open source")</x:f>
        <x:v>HYPERLINK is not implemented. linkLocation=https://www.oec.uzh.ch/en/studies/admission/master/it.html, friendlyName=Open source</x:v>
      </x:c>
    </x:row>
    <x:row r="361" ht="46" customHeight="1">
      <x:c r="A361" s="17" t="str">
        <x:v>stage3src:1293f531f9a5a88d26dc</x:v>
      </x:c>
      <x:c r="B361" s="17" t="str">
        <x:v>program</x:v>
      </x:c>
      <x:c r="C361" s="17" t="str">
        <x:v>University of Zurich</x:v>
      </x:c>
      <x:c r="D361" s="17" t="str">
        <x:v>ror:02crff812:program:unclear:cross-path-catalog-review</x:v>
      </x:c>
      <x:c r="E361" s="17" t="str"/>
      <x:c r="F361" s="17" t="str">
        <x:v>discovery</x:v>
      </x:c>
      <x:c r="G361" s="17" t="str">
        <x:v>Stage 2 recorded this row as a discovery candidate; it does not independently verify an exact current research program, eligibility, or funding.</x:v>
      </x:c>
      <x:c r="H361" s="17" t="str">
        <x:v>Pass 2 Stage 2 candidate funnel</x:v>
      </x:c>
      <x:c r="I361" s="17" t="str">
        <x:v>Graduate audit pipeline</x:v>
      </x:c>
      <x:c r="J361" s="17" t="str">
        <x:v>derived</x:v>
      </x:c>
      <x:c r="K361" s="17" t="str">
        <x:v>2026-09-11</x:v>
      </x:c>
      <x:c r="L361" s="17" t="str">
        <x:v>Not cycle-specific</x:v>
      </x:c>
      <x:c r="M361" s="17" t="str">
        <x:v>low</x:v>
      </x:c>
      <x:c r="N361" s="17" t="str">
        <x:v>Discovery evidence only</x:v>
      </x:c>
      <x:c r="O361" s="17" t="str">
        <x:v>Use the source_record_paths field to trace the underlying discovery inputs.</x:v>
      </x:c>
      <x:c r="P361" s="18" t="e">
        <x:f>HYPERLINK("https://uzh.ch/de.html","Open source")</x:f>
        <x:v>HYPERLINK is not implemented. linkLocation=https://uzh.ch/de.html, friendlyName=Open source</x:v>
      </x:c>
    </x:row>
    <x:row r="362" ht="46" customHeight="1">
      <x:c r="A362" s="17" t="str">
        <x:v>stage3src:6e2595da66fdff9109bf</x:v>
      </x:c>
      <x:c r="B362" s="17" t="str">
        <x:v>program</x:v>
      </x:c>
      <x:c r="C362" s="17" t="str">
        <x:v>Delft University of Technology</x:v>
      </x:c>
      <x:c r="D362" s="17" t="str">
        <x:v>ror:02e2c7k09:program:phd-requiring-a-master-s:phd-vacancies-in-computer-science-software-engineering</x:v>
      </x:c>
      <x:c r="E362" s="17" t="str"/>
      <x:c r="F362" s="17" t="str">
        <x:v>admissions|program</x:v>
      </x:c>
      <x:c r="G362" s="17" t="str">
        <x:v>Official careers portal establishes the employment-vacancy application model; no Fall 2027 vacancy was present.</x:v>
      </x:c>
      <x:c r="H362" s="17" t="str">
        <x:v>Delft University of Technology — official evidence</x:v>
      </x:c>
      <x:c r="I362" s="17" t="str">
        <x:v>Delft University of Technology</x:v>
      </x:c>
      <x:c r="J362" s="17" t="str">
        <x:v>official</x:v>
      </x:c>
      <x:c r="K362" s="17" t="str">
        <x:v>2026-09-09</x:v>
      </x:c>
      <x:c r="L362" s="17" t="str">
        <x:v>current/latest-cycle, not projected</x:v>
      </x:c>
      <x:c r="M362" s="17" t="str">
        <x:v>high</x:v>
      </x:c>
      <x:c r="N362" s="17" t="str">
        <x:v>accessible or indexed official page</x:v>
      </x:c>
      <x:c r="O362" s="17" t="str">
        <x:v>Search snippets were discovery only; final claim points to the official destination. Recheck cycle-specific facts when 2027 material opens.</x:v>
      </x:c>
      <x:c r="P362" s="18" t="e">
        <x:f>HYPERLINK("https://careers.tudelft.nl/","Open source")</x:f>
        <x:v>HYPERLINK is not implemented. linkLocation=https://careers.tudelft.nl/, friendlyName=Open source</x:v>
      </x:c>
    </x:row>
    <x:row r="363" ht="46" customHeight="1">
      <x:c r="A363" s="17" t="str">
        <x:v>stage3src:a28e15871df24d851e84</x:v>
      </x:c>
      <x:c r="B363" s="17" t="str">
        <x:v>program</x:v>
      </x:c>
      <x:c r="C363" s="17" t="str">
        <x:v>Delft University of Technology</x:v>
      </x:c>
      <x:c r="D363" s="17" t="str">
        <x:v>ror:02e2c7k09:program:phd-requiring-a-master-s:phd-vacancies-in-computer-science-software-engineering</x:v>
      </x:c>
      <x:c r="E363" s="17" t="str"/>
      <x:c r="F363" s="17" t="str">
        <x:v>admissions</x:v>
      </x:c>
      <x:c r="G363" s="17" t="str">
        <x:v>Official program/admissions page; cycle label preserved in deep_programs.csv</x:v>
      </x:c>
      <x:c r="H363" s="17" t="str">
        <x:v>Delft University of Technology — official evidence</x:v>
      </x:c>
      <x:c r="I363" s="17" t="str">
        <x:v>Delft University of Technology</x:v>
      </x:c>
      <x:c r="J363" s="17" t="str">
        <x:v>official</x:v>
      </x:c>
      <x:c r="K363" s="17" t="str">
        <x:v>2026-09-09</x:v>
      </x:c>
      <x:c r="L363" s="17" t="str">
        <x:v>position-specific</x:v>
      </x:c>
      <x:c r="M363" s="17" t="str">
        <x:v>high</x:v>
      </x:c>
      <x:c r="N363" s="17" t="str">
        <x:v>accessible or indexed official page</x:v>
      </x:c>
      <x:c r="O363" s="17" t="str">
        <x:v>Search snippets were discovery only; final claim points to the official destination. Recheck cycle-specific facts when 2027 material opens.</x:v>
      </x:c>
      <x:c r="P363" s="18" t="e">
        <x:f>HYPERLINK("https://careers.tudelft.nl/","Open source")</x:f>
        <x:v>HYPERLINK is not implemented. linkLocation=https://careers.tudelft.nl/, friendlyName=Open source</x:v>
      </x:c>
    </x:row>
    <x:row r="364" ht="46" customHeight="1">
      <x:c r="A364" s="17" t="str">
        <x:v>stage3src:aa1baf9ccacad44cc942</x:v>
      </x:c>
      <x:c r="B364" s="17" t="str">
        <x:v>program</x:v>
      </x:c>
      <x:c r="C364" s="17" t="str">
        <x:v>Delft University of Technology</x:v>
      </x:c>
      <x:c r="D364" s="17" t="str">
        <x:v>ror:02e2c7k09:program:phd-requiring-a-master-s:phd-vacancies-in-computer-science-software-engineering</x:v>
      </x:c>
      <x:c r="E364" s="17" t="str"/>
      <x:c r="F364" s="17" t="str">
        <x:v>language|admissions</x:v>
      </x:c>
      <x:c r="G364" s="17" t="str">
        <x:v>Official English-language or admissions evidence; waivers/test thresholds remain applicant-specific</x:v>
      </x:c>
      <x:c r="H364" s="17" t="str">
        <x:v>Delft University of Technology — official evidence</x:v>
      </x:c>
      <x:c r="I364" s="17" t="str">
        <x:v>Delft University of Technology</x:v>
      </x:c>
      <x:c r="J364" s="17" t="str">
        <x:v>official</x:v>
      </x:c>
      <x:c r="K364" s="17" t="str">
        <x:v>2026-09-09</x:v>
      </x:c>
      <x:c r="L364" s="17" t="str">
        <x:v>position-specific</x:v>
      </x:c>
      <x:c r="M364" s="17" t="str">
        <x:v>high</x:v>
      </x:c>
      <x:c r="N364" s="17" t="str">
        <x:v>accessible or indexed official page</x:v>
      </x:c>
      <x:c r="O364" s="17" t="str">
        <x:v>Search snippets were discovery only; final claim points to the official destination. Recheck cycle-specific facts when 2027 material opens.</x:v>
      </x:c>
      <x:c r="P364" s="18" t="e">
        <x:f>HYPERLINK("https://careers.tudelft.nl/","Open source")</x:f>
        <x:v>HYPERLINK is not implemented. linkLocation=https://careers.tudelft.nl/, friendlyName=Open source</x:v>
      </x:c>
    </x:row>
    <x:row r="365" ht="46" customHeight="1">
      <x:c r="A365" s="17" t="str">
        <x:v>stage3src:dce57102378d284318fe</x:v>
      </x:c>
      <x:c r="B365" s="17" t="str">
        <x:v>program</x:v>
      </x:c>
      <x:c r="C365" s="17" t="str">
        <x:v>Delft University of Technology</x:v>
      </x:c>
      <x:c r="D365" s="17" t="str">
        <x:v>ror:02e2c7k09:program:phd-requiring-a-master-s:phd-vacancies-in-computer-science-software-engineering</x:v>
      </x:c>
      <x:c r="E365" s="17" t="str"/>
      <x:c r="F365" s="17" t="str">
        <x:v>institution</x:v>
      </x:c>
      <x:c r="G365" s="17" t="str">
        <x:v>Official institutional profile/group page used to verify current role and research themes</x:v>
      </x:c>
      <x:c r="H365" s="17" t="str">
        <x:v>Arie van Deursen — official evidence</x:v>
      </x:c>
      <x:c r="I365" s="17" t="str">
        <x:v>Delft University of Technology</x:v>
      </x:c>
      <x:c r="J365" s="17" t="str">
        <x:v>official</x:v>
      </x:c>
      <x:c r="K365" s="17" t="str">
        <x:v>2026-09-09</x:v>
      </x:c>
      <x:c r="L365" s="17" t="str">
        <x:v>current at 2026-09-09</x:v>
      </x:c>
      <x:c r="M365" s="17" t="str">
        <x:v>high</x:v>
      </x:c>
      <x:c r="N365" s="17" t="str">
        <x:v>accessible or indexed official page</x:v>
      </x:c>
      <x:c r="O365" s="17" t="str">
        <x:v>Search snippets were discovery only; final claim points to the official destination. Recheck cycle-specific facts when 2027 material opens.</x:v>
      </x:c>
      <x:c r="P365" s="18" t="e">
        <x:f>HYPERLINK("https://research.tudelft.nl/en/persons/a-van-deursen/","Open source")</x:f>
        <x:v>HYPERLINK is not implemented. linkLocation=https://research.tudelft.nl/en/persons/a-van-deursen/, friendlyName=Open source</x:v>
      </x:c>
    </x:row>
    <x:row r="366" ht="46" customHeight="1">
      <x:c r="A366" s="17" t="str">
        <x:v>stage3src:1b7c6a22e491592cec1f</x:v>
      </x:c>
      <x:c r="B366" s="17" t="str">
        <x:v>program</x:v>
      </x:c>
      <x:c r="C366" s="17" t="str">
        <x:v>Université Polytechnique Hauts-de-France</x:v>
      </x:c>
      <x:c r="D366" s="17" t="str">
        <x:v>ror:02ezch769:program:unclear:cross-path-catalog-review</x:v>
      </x:c>
      <x:c r="E366" s="17" t="str"/>
      <x:c r="F366" s="17" t="str">
        <x:v>discovery</x:v>
      </x:c>
      <x:c r="G366" s="17" t="str">
        <x:v>Stage 2 recorded this row as a discovery candidate; it does not independently verify an exact current research program, eligibility, or funding.</x:v>
      </x:c>
      <x:c r="H366" s="17" t="str">
        <x:v>Pass 2 Stage 2 candidate funnel</x:v>
      </x:c>
      <x:c r="I366" s="17" t="str">
        <x:v>Graduate audit pipeline</x:v>
      </x:c>
      <x:c r="J366" s="17" t="str">
        <x:v>derived</x:v>
      </x:c>
      <x:c r="K366" s="17" t="str">
        <x:v>2026-09-11</x:v>
      </x:c>
      <x:c r="L366" s="17" t="str">
        <x:v>Not cycle-specific</x:v>
      </x:c>
      <x:c r="M366" s="17" t="str">
        <x:v>low</x:v>
      </x:c>
      <x:c r="N366" s="17" t="str">
        <x:v>Discovery evidence only</x:v>
      </x:c>
      <x:c r="O366" s="17" t="str">
        <x:v>Use the source_record_paths field to trace the underlying discovery inputs.</x:v>
      </x:c>
      <x:c r="P366" s="18" t="e">
        <x:f>HYPERLINK("https://www.uphf.fr","Open source")</x:f>
        <x:v>HYPERLINK is not implemented. linkLocation=https://www.uphf.fr, friendlyName=Open source</x:v>
      </x:c>
    </x:row>
    <x:row r="367" ht="46" customHeight="1">
      <x:c r="A367" s="17" t="str">
        <x:v>stage3src:54e9b781e38c2017d6f2</x:v>
      </x:c>
      <x:c r="B367" s="17" t="str">
        <x:v>program</x:v>
      </x:c>
      <x:c r="C367" s="17" t="str">
        <x:v>Aristotle University of Thessaloniki</x:v>
      </x:c>
      <x:c r="D367" s="17" t="str">
        <x:v>ror:02j61yw88:program:unclear:cross-path-catalog-review</x:v>
      </x:c>
      <x:c r="E367" s="17" t="str"/>
      <x:c r="F367" s="17" t="str">
        <x:v>discovery</x:v>
      </x:c>
      <x:c r="G367" s="17" t="str">
        <x:v>Stage 2 recorded this row as a discovery candidate; it does not independently verify an exact current research program, eligibility, or funding.</x:v>
      </x:c>
      <x:c r="H367" s="17" t="str">
        <x:v>Pass 2 Stage 2 candidate funnel</x:v>
      </x:c>
      <x:c r="I367" s="17" t="str">
        <x:v>Graduate audit pipeline</x:v>
      </x:c>
      <x:c r="J367" s="17" t="str">
        <x:v>derived</x:v>
      </x:c>
      <x:c r="K367" s="17" t="str">
        <x:v>2026-09-11</x:v>
      </x:c>
      <x:c r="L367" s="17" t="str">
        <x:v>Not cycle-specific</x:v>
      </x:c>
      <x:c r="M367" s="17" t="str">
        <x:v>low</x:v>
      </x:c>
      <x:c r="N367" s="17" t="str">
        <x:v>Discovery evidence only</x:v>
      </x:c>
      <x:c r="O367" s="17" t="str">
        <x:v>Use the source_record_paths field to trace the underlying discovery inputs.</x:v>
      </x:c>
      <x:c r="P367" s="18" t="e">
        <x:f>HYPERLINK("https://www.auth.gr","Open source")</x:f>
        <x:v>HYPERLINK is not implemented. linkLocation=https://www.auth.gr, friendlyName=Open source</x:v>
      </x:c>
    </x:row>
    <x:row r="368" ht="46" customHeight="1">
      <x:c r="A368" s="17" t="str">
        <x:v>stage3src:037912243bd49179d4e1</x:v>
      </x:c>
      <x:c r="B368" s="17" t="str">
        <x:v>program</x:v>
      </x:c>
      <x:c r="C368" s="17" t="str">
        <x:v>University College London</x:v>
      </x:c>
      <x:c r="D368" s="17" t="str">
        <x:v>ror:02jx3x895:program:integrated-or-structured-doctorate:computer-science-mphil-phd</x:v>
      </x:c>
      <x:c r="E368" s="17" t="str"/>
      <x:c r="F368" s="17" t="str">
        <x:v>language|admissions</x:v>
      </x:c>
      <x:c r="G368" s="17" t="str">
        <x:v>Official English-language or admissions evidence; waivers/test thresholds remain applicant-specific</x:v>
      </x:c>
      <x:c r="H368" s="17" t="str">
        <x:v>University College London — official evidence</x:v>
      </x:c>
      <x:c r="I368" s="17" t="str">
        <x:v>University College London</x:v>
      </x:c>
      <x:c r="J368" s="17" t="str">
        <x:v>official</x:v>
      </x:c>
      <x:c r="K368" s="17" t="str">
        <x:v>2026-09-09</x:v>
      </x:c>
      <x:c r="L368" s="17" t="str">
        <x:v>official 2027/28 cycle</x:v>
      </x:c>
      <x:c r="M368" s="17" t="str">
        <x:v>high</x:v>
      </x:c>
      <x:c r="N368" s="17" t="str">
        <x:v>accessible or indexed official page</x:v>
      </x:c>
      <x:c r="O368" s="17" t="str">
        <x:v>Search snippets were discovery only; final claim points to the official destination. Recheck cycle-specific facts when 2027 material opens.</x:v>
      </x:c>
      <x:c r="P368" s="18" t="e">
        <x:f>HYPERLINK("https://www.ucl.ac.uk/prospective-students/graduate/english-language-requirements","Open source")</x:f>
        <x:v>HYPERLINK is not implemented. linkLocation=https://www.ucl.ac.uk/prospective-students/graduate/english-language-requirements, friendlyName=Open source</x:v>
      </x:c>
    </x:row>
    <x:row r="369" ht="46" customHeight="1">
      <x:c r="A369" s="17" t="str">
        <x:v>stage3src:428916ca4f036c31e97d</x:v>
      </x:c>
      <x:c r="B369" s="17" t="str">
        <x:v>program</x:v>
      </x:c>
      <x:c r="C369" s="17" t="str">
        <x:v>University College London</x:v>
      </x:c>
      <x:c r="D369" s="17" t="str">
        <x:v>ror:02jx3x895:program:integrated-or-structured-doctorate:computer-science-mphil-phd</x:v>
      </x:c>
      <x:c r="E369" s="17" t="str"/>
      <x:c r="F369" s="17" t="str">
        <x:v>admissions</x:v>
      </x:c>
      <x:c r="G369" s="17" t="str">
        <x:v>Official program/admissions page; cycle label preserved in deep_programs.csv</x:v>
      </x:c>
      <x:c r="H369" s="17" t="str">
        <x:v>University College London — official evidence</x:v>
      </x:c>
      <x:c r="I369" s="17" t="str">
        <x:v>University College London</x:v>
      </x:c>
      <x:c r="J369" s="17" t="str">
        <x:v>official</x:v>
      </x:c>
      <x:c r="K369" s="17" t="str">
        <x:v>2026-09-09</x:v>
      </x:c>
      <x:c r="L369" s="17" t="str">
        <x:v>official 2027/28 cycle</x:v>
      </x:c>
      <x:c r="M369" s="17" t="str">
        <x:v>high</x:v>
      </x:c>
      <x:c r="N369" s="17" t="str">
        <x:v>accessible or indexed official page</x:v>
      </x:c>
      <x:c r="O369" s="17" t="str">
        <x:v>Search snippets were discovery only; final claim points to the official destination. Recheck cycle-specific facts when 2027 material opens.</x:v>
      </x:c>
      <x:c r="P369" s="18" t="e">
        <x:f>HYPERLINK("https://www.ucl.ac.uk/study/prospective-students/graduate/courses/computer-science-mphilphd","Open source")</x:f>
        <x:v>HYPERLINK is not implemented. linkLocation=https://www.ucl.ac.uk/study/prospective-students/graduate/courses/computer-science-mphilphd, friendlyName=Open source</x:v>
      </x:c>
    </x:row>
    <x:row r="370" ht="46" customHeight="1">
      <x:c r="A370" s="17" t="str">
        <x:v>stage3src:a5db83b833fa6c23890d</x:v>
      </x:c>
      <x:c r="B370" s="17" t="str">
        <x:v>program</x:v>
      </x:c>
      <x:c r="C370" s="17" t="str">
        <x:v>University College London</x:v>
      </x:c>
      <x:c r="D370" s="17" t="str">
        <x:v>ror:02jx3x895:program:integrated-or-structured-doctorate:computer-science-mphil-phd</x:v>
      </x:c>
      <x:c r="E370" s="17" t="str"/>
      <x:c r="F370" s="17" t="str">
        <x:v>institution</x:v>
      </x:c>
      <x:c r="G370" s="17" t="str">
        <x:v>Official institutional profile/group page used to verify current role and research themes</x:v>
      </x:c>
      <x:c r="H370" s="17" t="str">
        <x:v>Earl Barr — official evidence</x:v>
      </x:c>
      <x:c r="I370" s="17" t="str">
        <x:v>University College London</x:v>
      </x:c>
      <x:c r="J370" s="17" t="str">
        <x:v>official</x:v>
      </x:c>
      <x:c r="K370" s="17" t="str">
        <x:v>2026-09-09</x:v>
      </x:c>
      <x:c r="L370" s="17" t="str">
        <x:v>current at 2026-09-09</x:v>
      </x:c>
      <x:c r="M370" s="17" t="str">
        <x:v>high</x:v>
      </x:c>
      <x:c r="N370" s="17" t="str">
        <x:v>accessible or indexed official page</x:v>
      </x:c>
      <x:c r="O370" s="17" t="str">
        <x:v>Search snippets were discovery only; final claim points to the official destination. Recheck cycle-specific facts when 2027 material opens.</x:v>
      </x:c>
      <x:c r="P370" s="18" t="e">
        <x:f>HYPERLINK("https://www.ucl.ac.uk/engineering/computer-science/research/research-groups-and-centres/software-systems-engineering-group/people","Open source")</x:f>
        <x:v>HYPERLINK is not implemented. linkLocation=https://www.ucl.ac.uk/engineering/computer-science/research/research-groups-and-centres/software-systems-engineering-group/people, friendlyName=Open source</x:v>
      </x:c>
    </x:row>
    <x:row r="371" ht="46" customHeight="1">
      <x:c r="A371" s="17" t="str">
        <x:v>stage3src:6389aff14067ac7121ae</x:v>
      </x:c>
      <x:c r="B371" s="17" t="str">
        <x:v>program</x:v>
      </x:c>
      <x:c r="C371" s="17" t="str">
        <x:v>Technical University of Munich</x:v>
      </x:c>
      <x:c r="D371" s="17" t="str">
        <x:v>ror:02kkvpp62:program:unclear:cross-path-catalog-review</x:v>
      </x:c>
      <x:c r="E371" s="17" t="str"/>
      <x:c r="F371" s="17" t="str">
        <x:v>discovery</x:v>
      </x:c>
      <x:c r="G371" s="17" t="str">
        <x:v>Stage 2 recorded this row as a discovery candidate; it does not independently verify an exact current research program, eligibility, or funding.</x:v>
      </x:c>
      <x:c r="H371" s="17" t="str">
        <x:v>Pass 2 Stage 2 candidate funnel</x:v>
      </x:c>
      <x:c r="I371" s="17" t="str">
        <x:v>Graduate audit pipeline</x:v>
      </x:c>
      <x:c r="J371" s="17" t="str">
        <x:v>derived</x:v>
      </x:c>
      <x:c r="K371" s="17" t="str">
        <x:v>2026-09-11</x:v>
      </x:c>
      <x:c r="L371" s="17" t="str">
        <x:v>Not cycle-specific</x:v>
      </x:c>
      <x:c r="M371" s="17" t="str">
        <x:v>low</x:v>
      </x:c>
      <x:c r="N371" s="17" t="str">
        <x:v>Discovery evidence only</x:v>
      </x:c>
      <x:c r="O371" s="17" t="str">
        <x:v>Use the source_record_paths field to trace the underlying discovery inputs.</x:v>
      </x:c>
      <x:c r="P371" s="18" t="e">
        <x:f>HYPERLINK("https://www.tum.de","Open source")</x:f>
        <x:v>HYPERLINK is not implemented. linkLocation=https://www.tum.de, friendlyName=Open source</x:v>
      </x:c>
    </x:row>
    <x:row r="372" ht="46" customHeight="1">
      <x:c r="A372" s="17" t="str">
        <x:v>stage3src:41568af2d3bfa88b7b3c</x:v>
      </x:c>
      <x:c r="B372" s="17" t="str">
        <x:v>program</x:v>
      </x:c>
      <x:c r="C372" s="17" t="str">
        <x:v>University of Stavanger</x:v>
      </x:c>
      <x:c r="D372" s="17" t="str">
        <x:v>ror:02qte9q33:program:unclear:cross-path-catalog-review</x:v>
      </x:c>
      <x:c r="E372" s="17" t="str"/>
      <x:c r="F372" s="17" t="str">
        <x:v>discovery</x:v>
      </x:c>
      <x:c r="G372" s="17" t="str">
        <x:v>Stage 2 recorded this row as a discovery candidate; it does not independently verify an exact current research program, eligibility, or funding.</x:v>
      </x:c>
      <x:c r="H372" s="17" t="str">
        <x:v>Pass 2 Stage 2 candidate funnel</x:v>
      </x:c>
      <x:c r="I372" s="17" t="str">
        <x:v>Graduate audit pipeline</x:v>
      </x:c>
      <x:c r="J372" s="17" t="str">
        <x:v>derived</x:v>
      </x:c>
      <x:c r="K372" s="17" t="str">
        <x:v>2026-09-11</x:v>
      </x:c>
      <x:c r="L372" s="17" t="str">
        <x:v>Not cycle-specific</x:v>
      </x:c>
      <x:c r="M372" s="17" t="str">
        <x:v>low</x:v>
      </x:c>
      <x:c r="N372" s="17" t="str">
        <x:v>Discovery evidence only</x:v>
      </x:c>
      <x:c r="O372" s="17" t="str">
        <x:v>Use the source_record_paths field to trace the underlying discovery inputs.</x:v>
      </x:c>
      <x:c r="P372" s="18" t="e">
        <x:f>HYPERLINK("https://www.uis.no","Open source")</x:f>
        <x:v>HYPERLINK is not implemented. linkLocation=https://www.uis.no, friendlyName=Open source</x:v>
      </x:c>
    </x:row>
    <x:row r="373" ht="46" customHeight="1">
      <x:c r="A373" s="17" t="str">
        <x:v>stage3src:915ba9981c493852bbd1</x:v>
      </x:c>
      <x:c r="B373" s="17" t="str">
        <x:v>program</x:v>
      </x:c>
      <x:c r="C373" s="17" t="str">
        <x:v>Université Grenoble Alpes</x:v>
      </x:c>
      <x:c r="D373" s="17" t="str">
        <x:v>ror:02rx3b187:program:unclear:cross-path-catalog-review</x:v>
      </x:c>
      <x:c r="E373" s="17" t="str"/>
      <x:c r="F373" s="17" t="str">
        <x:v>discovery</x:v>
      </x:c>
      <x:c r="G373" s="17" t="str">
        <x:v>Stage 2 recorded this row as a discovery candidate; it does not independently verify an exact current research program, eligibility, or funding.</x:v>
      </x:c>
      <x:c r="H373" s="17" t="str">
        <x:v>Pass 2 Stage 2 candidate funnel</x:v>
      </x:c>
      <x:c r="I373" s="17" t="str">
        <x:v>Graduate audit pipeline</x:v>
      </x:c>
      <x:c r="J373" s="17" t="str">
        <x:v>derived</x:v>
      </x:c>
      <x:c r="K373" s="17" t="str">
        <x:v>2026-09-11</x:v>
      </x:c>
      <x:c r="L373" s="17" t="str">
        <x:v>Not cycle-specific</x:v>
      </x:c>
      <x:c r="M373" s="17" t="str">
        <x:v>low</x:v>
      </x:c>
      <x:c r="N373" s="17" t="str">
        <x:v>Discovery evidence only</x:v>
      </x:c>
      <x:c r="O373" s="17" t="str">
        <x:v>Use the source_record_paths field to trace the underlying discovery inputs.</x:v>
      </x:c>
      <x:c r="P373" s="18" t="e">
        <x:f>HYPERLINK("https://www.univ-grenoble-alpes.fr","Open source")</x:f>
        <x:v>HYPERLINK is not implemented. linkLocation=https://www.univ-grenoble-alpes.fr, friendlyName=Open source</x:v>
      </x:c>
    </x:row>
    <x:row r="374" ht="46" customHeight="1">
      <x:c r="A374" s="17" t="str">
        <x:v>stage3src:3314b0aed2176481ffed</x:v>
      </x:c>
      <x:c r="B374" s="17" t="str">
        <x:v>program</x:v>
      </x:c>
      <x:c r="C374" s="17" t="str">
        <x:v>Trinity College Dublin</x:v>
      </x:c>
      <x:c r="D374" s="17" t="str">
        <x:v>ror:02tyrky19:program:phd:phd-in-computer-science-and-statistics</x:v>
      </x:c>
      <x:c r="E374" s="17" t="str"/>
      <x:c r="F374" s="17" t="str">
        <x:v>admissions</x:v>
      </x:c>
      <x:c r="G374" s="17" t="str">
        <x:v>Official program/admissions page; cycle label preserved in deep_programs.csv</x:v>
      </x:c>
      <x:c r="H374" s="17" t="str">
        <x:v>Trinity College Dublin — official evidence</x:v>
      </x:c>
      <x:c r="I374" s="17" t="str">
        <x:v>Trinity College Dublin</x:v>
      </x:c>
      <x:c r="J374" s="17" t="str">
        <x:v>official</x:v>
      </x:c>
      <x:c r="K374" s="17" t="str">
        <x:v>2026-09-09</x:v>
      </x:c>
      <x:c r="L374" s="17" t="str">
        <x:v>latest published cycles, not Fall 2027</x:v>
      </x:c>
      <x:c r="M374" s="17" t="str">
        <x:v>high</x:v>
      </x:c>
      <x:c r="N374" s="17" t="str">
        <x:v>accessible or indexed official page</x:v>
      </x:c>
      <x:c r="O374" s="17" t="str">
        <x:v>Search snippets were discovery only; final claim points to the official destination. Recheck cycle-specific facts when 2027 material opens.</x:v>
      </x:c>
      <x:c r="P374" s="18" t="e">
        <x:f>HYPERLINK("https://www.tcd.ie/courses/postgraduate/postgraduate-research/engineering-mathematics-and-science/school-of-computer-science-and-statistics/","Open source")</x:f>
        <x:v>HYPERLINK is not implemented. linkLocation=https://www.tcd.ie/courses/postgraduate/postgraduate-research/engineering-mathematics-and-science/school-of-computer-science-and-statistics/, friendlyName=Open source</x:v>
      </x:c>
    </x:row>
    <x:row r="375" ht="46" customHeight="1">
      <x:c r="A375" s="17" t="str">
        <x:v>stage3src:555eda45018e13fe9aed</x:v>
      </x:c>
      <x:c r="B375" s="17" t="str">
        <x:v>program</x:v>
      </x:c>
      <x:c r="C375" s="17" t="str">
        <x:v>Trinity College Dublin</x:v>
      </x:c>
      <x:c r="D375" s="17" t="str">
        <x:v>ror:02tyrky19:program:phd:phd-in-computer-science-and-statistics</x:v>
      </x:c>
      <x:c r="E375" s="17" t="str"/>
      <x:c r="F375" s="17" t="str">
        <x:v>fees|program</x:v>
      </x:c>
      <x:c r="G375" s="17" t="str">
        <x:v>Official 2026/27 fee source; the MSc research amount is explicitly not substituted for the PhD fee.</x:v>
      </x:c>
      <x:c r="H375" s="17" t="str">
        <x:v>Trinity College Dublin — official evidence</x:v>
      </x:c>
      <x:c r="I375" s="17" t="str">
        <x:v>Trinity College Dublin</x:v>
      </x:c>
      <x:c r="J375" s="17" t="str">
        <x:v>official</x:v>
      </x:c>
      <x:c r="K375" s="17" t="str">
        <x:v>2026-09-09</x:v>
      </x:c>
      <x:c r="L375" s="17" t="str">
        <x:v>current/latest-cycle, not projected</x:v>
      </x:c>
      <x:c r="M375" s="17" t="str">
        <x:v>high</x:v>
      </x:c>
      <x:c r="N375" s="17" t="str">
        <x:v>accessible or indexed official page</x:v>
      </x:c>
      <x:c r="O375" s="17" t="str">
        <x:v>Search snippets were discovery only; final claim points to the official destination. Recheck cycle-specific facts when 2027 material opens.</x:v>
      </x:c>
      <x:c r="P375" s="18" t="e">
        <x:f>HYPERLINK("https://www.tcd.ie/courses/postgraduate/fees/","Open source")</x:f>
        <x:v>HYPERLINK is not implemented. linkLocation=https://www.tcd.ie/courses/postgraduate/fees/, friendlyName=Open source</x:v>
      </x:c>
    </x:row>
    <x:row r="376" ht="46" customHeight="1">
      <x:c r="A376" s="17" t="str">
        <x:v>stage3src:6481a834161e40e25375</x:v>
      </x:c>
      <x:c r="B376" s="17" t="str">
        <x:v>program</x:v>
      </x:c>
      <x:c r="C376" s="17" t="str">
        <x:v>Trinity College Dublin</x:v>
      </x:c>
      <x:c r="D376" s="17" t="str">
        <x:v>ror:02tyrky19:program:phd:phd-in-computer-science-and-statistics</x:v>
      </x:c>
      <x:c r="E376" s="17" t="str"/>
      <x:c r="F376" s="17" t="str">
        <x:v>language|admissions</x:v>
      </x:c>
      <x:c r="G376" s="17" t="str">
        <x:v>Official English-language or admissions evidence; waivers/test thresholds remain applicant-specific</x:v>
      </x:c>
      <x:c r="H376" s="17" t="str">
        <x:v>Trinity College Dublin — official evidence</x:v>
      </x:c>
      <x:c r="I376" s="17" t="str">
        <x:v>Trinity College Dublin</x:v>
      </x:c>
      <x:c r="J376" s="17" t="str">
        <x:v>official</x:v>
      </x:c>
      <x:c r="K376" s="17" t="str">
        <x:v>2026-09-09</x:v>
      </x:c>
      <x:c r="L376" s="17" t="str">
        <x:v>latest published cycles, not Fall 2027</x:v>
      </x:c>
      <x:c r="M376" s="17" t="str">
        <x:v>high</x:v>
      </x:c>
      <x:c r="N376" s="17" t="str">
        <x:v>accessible or indexed official page</x:v>
      </x:c>
      <x:c r="O376" s="17" t="str">
        <x:v>Search snippets were discovery only; final claim points to the official destination. Recheck cycle-specific facts when 2027 material opens.</x:v>
      </x:c>
      <x:c r="P376" s="18" t="e">
        <x:f>HYPERLINK("https://www.tcd.ie/study/international/how-to-apply/english-language-requirements/","Open source")</x:f>
        <x:v>HYPERLINK is not implemented. linkLocation=https://www.tcd.ie/study/international/how-to-apply/english-language-requirements/, friendlyName=Open source</x:v>
      </x:c>
    </x:row>
    <x:row r="377" ht="46" customHeight="1">
      <x:c r="A377" s="17" t="str">
        <x:v>stage3src:c846caa9c69a5c3c5efd</x:v>
      </x:c>
      <x:c r="B377" s="17" t="str">
        <x:v>program</x:v>
      </x:c>
      <x:c r="C377" s="17" t="str">
        <x:v>Trinity College Dublin</x:v>
      </x:c>
      <x:c r="D377" s="17" t="str">
        <x:v>ror:02tyrky19:program:phd:phd-in-computer-science-and-statistics</x:v>
      </x:c>
      <x:c r="E377" s="17" t="str"/>
      <x:c r="F377" s="17" t="str">
        <x:v>institution</x:v>
      </x:c>
      <x:c r="G377" s="17" t="str">
        <x:v>Official institutional profile/group page used to verify current role and research themes</x:v>
      </x:c>
      <x:c r="H377" s="17" t="str">
        <x:v>Siobhán Clarke — official evidence</x:v>
      </x:c>
      <x:c r="I377" s="17" t="str">
        <x:v>Trinity College Dublin</x:v>
      </x:c>
      <x:c r="J377" s="17" t="str">
        <x:v>official</x:v>
      </x:c>
      <x:c r="K377" s="17" t="str">
        <x:v>2026-09-09</x:v>
      </x:c>
      <x:c r="L377" s="17" t="str">
        <x:v>current at 2026-09-09</x:v>
      </x:c>
      <x:c r="M377" s="17" t="str">
        <x:v>high</x:v>
      </x:c>
      <x:c r="N377" s="17" t="str">
        <x:v>accessible or indexed official page</x:v>
      </x:c>
      <x:c r="O377" s="17" t="str">
        <x:v>Search snippets were discovery only; final claim points to the official destination. Recheck cycle-specific facts when 2027 material opens.</x:v>
      </x:c>
      <x:c r="P377" s="18" t="e">
        <x:f>HYPERLINK("https://www.tcd.ie/research/profiles/index.php?profile=sclarke&amp;prpublications=true","Open source")</x:f>
        <x:v>HYPERLINK is not implemented. linkLocation=https://www.tcd.ie/research/profiles/index.php?profile=sclarke&amp;prpublications=true, friendlyName=Open source</x:v>
      </x:c>
    </x:row>
    <x:row r="378" ht="46" customHeight="1">
      <x:c r="A378" s="17" t="str">
        <x:v>stage3src:0fe90ffe7513ab61409f</x:v>
      </x:c>
      <x:c r="B378" s="17" t="str">
        <x:v>program</x:v>
      </x:c>
      <x:c r="C378" s="17" t="str">
        <x:v>Ukrainian Free University</x:v>
      </x:c>
      <x:c r="D378" s="17" t="str">
        <x:v>ror:02ywmkj38:program:unclear:cross-path-catalog-review</x:v>
      </x:c>
      <x:c r="E378" s="17" t="str"/>
      <x:c r="F378" s="17" t="str">
        <x:v>discovery</x:v>
      </x:c>
      <x:c r="G378" s="17" t="str">
        <x:v>Stage 2 recorded this row as a discovery candidate; it does not independently verify an exact current research program, eligibility, or funding.</x:v>
      </x:c>
      <x:c r="H378" s="17" t="str">
        <x:v>Pass 2 Stage 2 candidate funnel</x:v>
      </x:c>
      <x:c r="I378" s="17" t="str">
        <x:v>Graduate audit pipeline</x:v>
      </x:c>
      <x:c r="J378" s="17" t="str">
        <x:v>derived</x:v>
      </x:c>
      <x:c r="K378" s="17" t="str">
        <x:v>2026-09-11</x:v>
      </x:c>
      <x:c r="L378" s="17" t="str">
        <x:v>Not cycle-specific</x:v>
      </x:c>
      <x:c r="M378" s="17" t="str">
        <x:v>low</x:v>
      </x:c>
      <x:c r="N378" s="17" t="str">
        <x:v>Discovery evidence only</x:v>
      </x:c>
      <x:c r="O378" s="17" t="str">
        <x:v>Use the source_record_paths field to trace the underlying discovery inputs.</x:v>
      </x:c>
      <x:c r="P378" s="18" t="e">
        <x:f>HYPERLINK("https://www.ufu-muenchen.de/uk","Open source")</x:f>
        <x:v>HYPERLINK is not implemented. linkLocation=https://www.ufu-muenchen.de/uk, friendlyName=Open source</x:v>
      </x:c>
    </x:row>
    <x:row r="379" ht="46" customHeight="1">
      <x:c r="A379" s="17" t="str">
        <x:v>stage3src:0b2158e6dbdb509914a6</x:v>
      </x:c>
      <x:c r="B379" s="17" t="str">
        <x:v>program</x:v>
      </x:c>
      <x:c r="C379" s="17" t="str">
        <x:v>Tampere University</x:v>
      </x:c>
      <x:c r="D379" s="17" t="str">
        <x:v>ror:033003e23:program:thesis-or-research-master-s:master-s-programme-in-ai-native-software</x:v>
      </x:c>
      <x:c r="E379" s="17" t="str"/>
      <x:c r="F379" s="17" t="str">
        <x:v>funding|tuition|fees</x:v>
      </x:c>
      <x:c r="G379" s="17" t="str">
        <x:v>EUR 12,000 current annual tuition, limited 50% tuition scholarship, early-bird reduction, and exclusion of living costs.</x:v>
      </x:c>
      <x:c r="H379" s="17" t="str">
        <x:v>Tuition Fees and Scholarships</x:v>
      </x:c>
      <x:c r="I379" s="17" t="str">
        <x:v>Tampere University</x:v>
      </x:c>
      <x:c r="J379" s="17" t="str">
        <x:v>official</x:v>
      </x:c>
      <x:c r="K379" s="17" t="str">
        <x:v>2026-09-11</x:v>
      </x:c>
      <x:c r="L379" s="17" t="str">
        <x:v>2026 terms checked 2026-09-11</x:v>
      </x:c>
      <x:c r="M379" s="17" t="str">
        <x:v>high</x:v>
      </x:c>
      <x:c r="N379" s="17" t="str">
        <x:v>official page checked</x:v>
      </x:c>
      <x:c r="O379" s="17" t="str"/>
      <x:c r="P379" s="18" t="e">
        <x:f>HYPERLINK("https://www.tuni.fi/en/tau/financial-matters/tuition-fees-and-scholarships","Open source")</x:f>
        <x:v>HYPERLINK is not implemented. linkLocation=https://www.tuni.fi/en/tau/financial-matters/tuition-fees-and-scholarships, friendlyName=Open source</x:v>
      </x:c>
    </x:row>
    <x:row r="380" ht="46" customHeight="1">
      <x:c r="A380" s="17" t="str">
        <x:v>stage3src:602e8f642c9591984163</x:v>
      </x:c>
      <x:c r="B380" s="17" t="str">
        <x:v>program</x:v>
      </x:c>
      <x:c r="C380" s="17" t="str">
        <x:v>Tampere University</x:v>
      </x:c>
      <x:c r="D380" s="17" t="str">
        <x:v>ror:033003e23:program:thesis-or-research-master-s:master-s-programme-in-ai-native-software</x:v>
      </x:c>
      <x:c r="E380" s="17" t="str"/>
      <x:c r="F380" s="17" t="str">
        <x:v>admissions|deadline|fees</x:v>
      </x:c>
      <x:c r="G380" s="17" t="str">
        <x:v>Official Fall 2027 application and attachment dates, two-programme limit, and completion-document timing framework.</x:v>
      </x:c>
      <x:c r="H380" s="17" t="str">
        <x:v>Applying to Tampere University Master's Programmes</x:v>
      </x:c>
      <x:c r="I380" s="17" t="str">
        <x:v>Tampere University</x:v>
      </x:c>
      <x:c r="J380" s="17" t="str">
        <x:v>official</x:v>
      </x:c>
      <x:c r="K380" s="17" t="str">
        <x:v>2026-09-11</x:v>
      </x:c>
      <x:c r="L380" s="17" t="str">
        <x:v>2027 intake dates checked 2026-09-11</x:v>
      </x:c>
      <x:c r="M380" s="17" t="str">
        <x:v>high</x:v>
      </x:c>
      <x:c r="N380" s="17" t="str">
        <x:v>official page checked</x:v>
      </x:c>
      <x:c r="O380" s="17" t="str"/>
      <x:c r="P380" s="18" t="e">
        <x:f>HYPERLINK("https://www.tuni.fi/en/tau/masters-programmes/applying","Open source")</x:f>
        <x:v>HYPERLINK is not implemented. linkLocation=https://www.tuni.fi/en/tau/masters-programmes/applying, friendlyName=Open source</x:v>
      </x:c>
    </x:row>
    <x:row r="381" ht="46" customHeight="1">
      <x:c r="A381" s="17" t="str">
        <x:v>stage3src:7d5551e4afcddf39e920</x:v>
      </x:c>
      <x:c r="B381" s="17" t="str">
        <x:v>program</x:v>
      </x:c>
      <x:c r="C381" s="17" t="str">
        <x:v>Tampere University</x:v>
      </x:c>
      <x:c r="D381" s="17" t="str">
        <x:v>ror:033003e23:program:thesis-or-research-master-s:master-s-programme-in-ai-native-software</x:v>
      </x:c>
      <x:c r="E381" s="17" t="str"/>
      <x:c r="F381" s="17" t="str">
        <x:v>program|research|eligibility|language|tuition</x:v>
      </x:c>
      <x:c r="G381" s="17" t="str">
        <x:v>Current English 120-ECTS two-year AI-Native Software master's, thesis component, current tuition, and pending 2027 criteria.</x:v>
      </x:c>
      <x:c r="H381" s="17" t="str">
        <x:v>Master's Programme in AI-Native Software</x:v>
      </x:c>
      <x:c r="I381" s="17" t="str">
        <x:v>Tampere University</x:v>
      </x:c>
      <x:c r="J381" s="17" t="str">
        <x:v>official</x:v>
      </x:c>
      <x:c r="K381" s="17" t="str">
        <x:v>2026-09-11</x:v>
      </x:c>
      <x:c r="L381" s="17" t="str">
        <x:v>Current page checked 2026-09-11</x:v>
      </x:c>
      <x:c r="M381" s="17" t="str">
        <x:v>high</x:v>
      </x:c>
      <x:c r="N381" s="17" t="str">
        <x:v>official page checked</x:v>
      </x:c>
      <x:c r="O381" s="17" t="str"/>
      <x:c r="P381" s="18" t="e">
        <x:f>HYPERLINK("https://www.tuni.fi/en/tau/masters-programmes/ai-native-software-computing-sciences-and-electrical-engineering","Open source")</x:f>
        <x:v>HYPERLINK is not implemented. linkLocation=https://www.tuni.fi/en/tau/masters-programmes/ai-native-software-computing-sciences-and-electrical-engineering, friendlyName=Open source</x:v>
      </x:c>
    </x:row>
    <x:row r="382" ht="46" customHeight="1">
      <x:c r="A382" s="17" t="str">
        <x:v>stage3src:5e74721bcbbacb8edab5</x:v>
      </x:c>
      <x:c r="B382" s="17" t="str">
        <x:v>program</x:v>
      </x:c>
      <x:c r="C382" s="17" t="str">
        <x:v>Justus-Liebig-Universität Gießen</x:v>
      </x:c>
      <x:c r="D382" s="17" t="str">
        <x:v>ror:033eqas34:program:unclear:cross-path-catalog-review</x:v>
      </x:c>
      <x:c r="E382" s="17" t="str"/>
      <x:c r="F382" s="17" t="str">
        <x:v>discovery</x:v>
      </x:c>
      <x:c r="G382" s="17" t="str">
        <x:v>Stage 2 recorded this row as a discovery candidate; it does not independently verify an exact current research program, eligibility, or funding.</x:v>
      </x:c>
      <x:c r="H382" s="17" t="str">
        <x:v>Pass 2 Stage 2 candidate funnel</x:v>
      </x:c>
      <x:c r="I382" s="17" t="str">
        <x:v>Graduate audit pipeline</x:v>
      </x:c>
      <x:c r="J382" s="17" t="str">
        <x:v>derived</x:v>
      </x:c>
      <x:c r="K382" s="17" t="str">
        <x:v>2026-09-11</x:v>
      </x:c>
      <x:c r="L382" s="17" t="str">
        <x:v>Not cycle-specific</x:v>
      </x:c>
      <x:c r="M382" s="17" t="str">
        <x:v>low</x:v>
      </x:c>
      <x:c r="N382" s="17" t="str">
        <x:v>Discovery evidence only</x:v>
      </x:c>
      <x:c r="O382" s="17" t="str">
        <x:v>Use the source_record_paths field to trace the underlying discovery inputs.</x:v>
      </x:c>
      <x:c r="P382" s="18" t="e">
        <x:f>HYPERLINK("https://www.uni-giessen.de","Open source")</x:f>
        <x:v>HYPERLINK is not implemented. linkLocation=https://www.uni-giessen.de, friendlyName=Open source</x:v>
      </x:c>
    </x:row>
    <x:row r="383" ht="46" customHeight="1">
      <x:c r="A383" s="17" t="str">
        <x:v>stage3src:27cecfa8ff06e5b49e1c</x:v>
      </x:c>
      <x:c r="B383" s="17" t="str">
        <x:v>program</x:v>
      </x:c>
      <x:c r="C383" s="17" t="str">
        <x:v>Mälardalen University</x:v>
      </x:c>
      <x:c r="D383" s="17" t="str">
        <x:v>ror:033vfbz75:program:thesis-or-research-master-s:master-s-programme-in-software-engineering</x:v>
      </x:c>
      <x:c r="E383" s="17" t="str"/>
      <x:c r="F383" s="17" t="str">
        <x:v>funding|tuition|deadline</x:v>
      </x:c>
      <x:c r="G383" s="17" t="str">
        <x:v>Limited first-choice scholarship covering 100% tuition through normal program progress but excluding living expenses; Autumn 2027 cycle opens October 2026.</x:v>
      </x:c>
      <x:c r="H383" s="17" t="str">
        <x:v>Mälardalen University scholarship programme</x:v>
      </x:c>
      <x:c r="I383" s="17" t="str">
        <x:v>Mälardalen University</x:v>
      </x:c>
      <x:c r="J383" s="17" t="str">
        <x:v>official</x:v>
      </x:c>
      <x:c r="K383" s="17" t="str">
        <x:v>2026-09-11</x:v>
      </x:c>
      <x:c r="L383" s="17" t="str">
        <x:v>Autumn 2027 scholarship notice checked 2026-09-11</x:v>
      </x:c>
      <x:c r="M383" s="17" t="str">
        <x:v>high</x:v>
      </x:c>
      <x:c r="N383" s="17" t="str">
        <x:v>official page checked</x:v>
      </x:c>
      <x:c r="O383" s="17" t="str"/>
      <x:c r="P383" s="18" t="e">
        <x:f>HYPERLINK("https://www.mdu.se/en/malardalen-university/education/international/application-and-admission/malardalen-university-scholarship-programme","Open source")</x:f>
        <x:v>HYPERLINK is not implemented. linkLocation=https://www.mdu.se/en/malardalen-university/education/international/application-and-admission/malardalen-university-scholarship-programme, friendlyName=Open source</x:v>
      </x:c>
    </x:row>
    <x:row r="384" ht="46" customHeight="1">
      <x:c r="A384" s="17" t="str">
        <x:v>stage3src:86d8a39fa660d0f7cfa7</x:v>
      </x:c>
      <x:c r="B384" s="17" t="str">
        <x:v>program</x:v>
      </x:c>
      <x:c r="C384" s="17" t="str">
        <x:v>Mälardalen University</x:v>
      </x:c>
      <x:c r="D384" s="17" t="str">
        <x:v>ror:033vfbz75:program:thesis-or-research-master-s:master-s-programme-in-software-engineering</x:v>
      </x:c>
      <x:c r="E384" s="17" t="str"/>
      <x:c r="F384" s="17" t="str">
        <x:v>program|research|admissions|eligibility|language|deadline|fees|tuition</x:v>
      </x:c>
      <x:c r="G384" s="17" t="str">
        <x:v>English two-year 120-credit program, subject-credit entry rules, software verification/security/distributed-systems curriculum, 30-credit thesis, and Autumn 2026 tuition.</x:v>
      </x:c>
      <x:c r="H384" s="17" t="str">
        <x:v>Master's Programme in Software Engineering</x:v>
      </x:c>
      <x:c r="I384" s="17" t="str">
        <x:v>Mälardalen University</x:v>
      </x:c>
      <x:c r="J384" s="17" t="str">
        <x:v>official</x:v>
      </x:c>
      <x:c r="K384" s="17" t="str">
        <x:v>2026-09-11</x:v>
      </x:c>
      <x:c r="L384" s="17" t="str">
        <x:v>Autumn 2026 page checked 2026-09-11</x:v>
      </x:c>
      <x:c r="M384" s="17" t="str">
        <x:v>high</x:v>
      </x:c>
      <x:c r="N384" s="17" t="str">
        <x:v>official page checked</x:v>
      </x:c>
      <x:c r="O384" s="17" t="str"/>
      <x:c r="P384" s="18" t="e">
        <x:f>HYPERLINK("https://www.mdu.se/en/malardalen-university/education/international/programme/masters-programme-in-software-engineering","Open source")</x:f>
        <x:v>HYPERLINK is not implemented. linkLocation=https://www.mdu.se/en/malardalen-university/education/international/programme/masters-programme-in-software-engineering, friendlyName=Open source</x:v>
      </x:c>
    </x:row>
    <x:row r="385" ht="46" customHeight="1">
      <x:c r="A385" s="17" t="str">
        <x:v>stage3src:34ec8dfadcbc6ec66e2d</x:v>
      </x:c>
      <x:c r="B385" s="17" t="str">
        <x:v>program</x:v>
      </x:c>
      <x:c r="C385" s="17" t="str">
        <x:v>University of Copenhagen</x:v>
      </x:c>
      <x:c r="D385" s="17" t="str">
        <x:v>ror:035b05819:program:thesis-or-research-master-s:msc-in-computer-science</x:v>
      </x:c>
      <x:c r="E385" s="17" t="str"/>
      <x:c r="F385" s="17" t="str">
        <x:v>admissions|fees|tuition</x:v>
      </x:c>
      <x:c r="G385" s="17" t="str">
        <x:v>DKK 1,120 one-per-round application deposit, up-to-three-program boundary, exemptions, and semester tuition model.</x:v>
      </x:c>
      <x:c r="H385" s="17" t="str">
        <x:v>Application Deposit Fee and Tuition Fees</x:v>
      </x:c>
      <x:c r="I385" s="17" t="str">
        <x:v>University of Copenhagen</x:v>
      </x:c>
      <x:c r="J385" s="17" t="str">
        <x:v>official</x:v>
      </x:c>
      <x:c r="K385" s="17" t="str">
        <x:v>2026-09-11</x:v>
      </x:c>
      <x:c r="L385" s="17" t="str">
        <x:v>Current fee policy checked 2026-09-11</x:v>
      </x:c>
      <x:c r="M385" s="17" t="str">
        <x:v>high</x:v>
      </x:c>
      <x:c r="N385" s="17" t="str">
        <x:v>official page checked</x:v>
      </x:c>
      <x:c r="O385" s="17" t="str"/>
      <x:c r="P385" s="18" t="e">
        <x:f>HYPERLINK("https://www.ku.dk/studies/masters/application-and-admission/tuition-fees","Open source")</x:f>
        <x:v>HYPERLINK is not implemented. linkLocation=https://www.ku.dk/studies/masters/application-and-admission/tuition-fees, friendlyName=Open source</x:v>
      </x:c>
    </x:row>
    <x:row r="386" ht="46" customHeight="1">
      <x:c r="A386" s="17" t="str">
        <x:v>stage3src:685e92d77ae944e0e1f0</x:v>
      </x:c>
      <x:c r="B386" s="17" t="str">
        <x:v>program</x:v>
      </x:c>
      <x:c r="C386" s="17" t="str">
        <x:v>University of Copenhagen</x:v>
      </x:c>
      <x:c r="D386" s="17" t="str">
        <x:v>ror:035b05819:program:thesis-or-research-master-s:msc-in-computer-science</x:v>
      </x:c>
      <x:c r="E386" s="17" t="str"/>
      <x:c r="F386" s="17" t="str">
        <x:v>admissions|eligibility|language</x:v>
      </x:c>
      <x:c r="G386" s="17" t="str">
        <x:v>English B evidence and accepted documentation requirements.</x:v>
      </x:c>
      <x:c r="H386" s="17" t="str">
        <x:v>Language Requirements</x:v>
      </x:c>
      <x:c r="I386" s="17" t="str">
        <x:v>University of Copenhagen</x:v>
      </x:c>
      <x:c r="J386" s="17" t="str">
        <x:v>official</x:v>
      </x:c>
      <x:c r="K386" s="17" t="str">
        <x:v>2026-09-11</x:v>
      </x:c>
      <x:c r="L386" s="17" t="str">
        <x:v>Current policy checked 2026-09-11</x:v>
      </x:c>
      <x:c r="M386" s="17" t="str">
        <x:v>high</x:v>
      </x:c>
      <x:c r="N386" s="17" t="str">
        <x:v>official page checked</x:v>
      </x:c>
      <x:c r="O386" s="17" t="str"/>
      <x:c r="P386" s="18" t="e">
        <x:f>HYPERLINK("https://www.ku.dk/studies/masters/application-and-admission/language-requirements","Open source")</x:f>
        <x:v>HYPERLINK is not implemented. linkLocation=https://www.ku.dk/studies/masters/application-and-admission/language-requirements, friendlyName=Open source</x:v>
      </x:c>
    </x:row>
    <x:row r="387" ht="46" customHeight="1">
      <x:c r="A387" s="17" t="str">
        <x:v>stage3src:a1151219401ae8485fa5</x:v>
      </x:c>
      <x:c r="B387" s="17" t="str">
        <x:v>program</x:v>
      </x:c>
      <x:c r="C387" s="17" t="str">
        <x:v>University of Copenhagen</x:v>
      </x:c>
      <x:c r="D387" s="17" t="str">
        <x:v>ror:035b05819:program:thesis-or-research-master-s:msc-in-computer-science</x:v>
      </x:c>
      <x:c r="E387" s="17" t="str"/>
      <x:c r="F387" s="17" t="str">
        <x:v>program|research|admissions|eligibility|deadline</x:v>
      </x:c>
      <x:c r="G387" s="17" t="str">
        <x:v>Current two-year English MSc, detailed ECTS prerequisites, documents, and recurring January 15 non-EU deadline.</x:v>
      </x:c>
      <x:c r="H387" s="17" t="str">
        <x:v>MSc in Computer Science</x:v>
      </x:c>
      <x:c r="I387" s="17" t="str">
        <x:v>University of Copenhagen</x:v>
      </x:c>
      <x:c r="J387" s="17" t="str">
        <x:v>official</x:v>
      </x:c>
      <x:c r="K387" s="17" t="str">
        <x:v>2026-09-11</x:v>
      </x:c>
      <x:c r="L387" s="17" t="str">
        <x:v>Current recurring cycle checked 2026-09-11</x:v>
      </x:c>
      <x:c r="M387" s="17" t="str">
        <x:v>high</x:v>
      </x:c>
      <x:c r="N387" s="17" t="str">
        <x:v>official page checked</x:v>
      </x:c>
      <x:c r="O387" s="17" t="str"/>
      <x:c r="P387" s="18" t="e">
        <x:f>HYPERLINK("https://www.ku.dk/studies/masters/computer-science","Open source")</x:f>
        <x:v>HYPERLINK is not implemented. linkLocation=https://www.ku.dk/studies/masters/computer-science, friendlyName=Open source</x:v>
      </x:c>
    </x:row>
    <x:row r="388" ht="46" customHeight="1">
      <x:c r="A388" s="17" t="str">
        <x:v>stage3src:f20d2f231c06bdd5b396</x:v>
      </x:c>
      <x:c r="B388" s="17" t="str">
        <x:v>program</x:v>
      </x:c>
      <x:c r="C388" s="17" t="str">
        <x:v>University of Copenhagen</x:v>
      </x:c>
      <x:c r="D388" s="17" t="str">
        <x:v>ror:035b05819:program:thesis-or-research-master-s:msc-in-computer-science</x:v>
      </x:c>
      <x:c r="E388" s="17" t="str"/>
      <x:c r="F388" s="17" t="str">
        <x:v>funding|tuition|fees|health|summer</x:v>
      </x:c>
      <x:c r="G388" s="17" t="str">
        <x:v>Limited merit-based Danish Government Scholarship, automatic non-EU consideration, and possible full/partial tuition or living support.</x:v>
      </x:c>
      <x:c r="H388" s="17" t="str">
        <x:v>Scholarships for Full Degree Students</x:v>
      </x:c>
      <x:c r="I388" s="17" t="str">
        <x:v>University of Copenhagen</x:v>
      </x:c>
      <x:c r="J388" s="17" t="str">
        <x:v>official</x:v>
      </x:c>
      <x:c r="K388" s="17" t="str">
        <x:v>2026-09-11</x:v>
      </x:c>
      <x:c r="L388" s="17" t="str">
        <x:v>Current policy checked 2026-09-11</x:v>
      </x:c>
      <x:c r="M388" s="17" t="str">
        <x:v>high</x:v>
      </x:c>
      <x:c r="N388" s="17" t="str">
        <x:v>official page checked</x:v>
      </x:c>
      <x:c r="O388" s="17" t="str"/>
      <x:c r="P388" s="18" t="e">
        <x:f>HYPERLINK("https://www.ku.dk/studies/masters/application-and-admission/scholarships","Open source")</x:f>
        <x:v>HYPERLINK is not implemented. linkLocation=https://www.ku.dk/studies/masters/application-and-admission/scholarships, friendlyName=Open source</x:v>
      </x:c>
    </x:row>
    <x:row r="389" ht="46" customHeight="1">
      <x:c r="A389" s="17" t="str">
        <x:v>stage3src:98bba3e1873b6a306c49</x:v>
      </x:c>
      <x:c r="B389" s="17" t="str">
        <x:v>program</x:v>
      </x:c>
      <x:c r="C389" s="17" t="str">
        <x:v>University of Copenhagen</x:v>
      </x:c>
      <x:c r="D389" s="17" t="str">
        <x:v>ror:035b05819:program:unclear:cross-path-catalog-review</x:v>
      </x:c>
      <x:c r="E389" s="17" t="str"/>
      <x:c r="F389" s="17" t="str">
        <x:v>discovery</x:v>
      </x:c>
      <x:c r="G389" s="17" t="str">
        <x:v>Stage 2 recorded this row as a discovery candidate; it does not independently verify an exact current research program, eligibility, or funding.</x:v>
      </x:c>
      <x:c r="H389" s="17" t="str">
        <x:v>Pass 2 Stage 2 candidate funnel</x:v>
      </x:c>
      <x:c r="I389" s="17" t="str">
        <x:v>Graduate audit pipeline</x:v>
      </x:c>
      <x:c r="J389" s="17" t="str">
        <x:v>derived</x:v>
      </x:c>
      <x:c r="K389" s="17" t="str">
        <x:v>2026-09-11</x:v>
      </x:c>
      <x:c r="L389" s="17" t="str">
        <x:v>Not cycle-specific</x:v>
      </x:c>
      <x:c r="M389" s="17" t="str">
        <x:v>low</x:v>
      </x:c>
      <x:c r="N389" s="17" t="str">
        <x:v>Discovery evidence only</x:v>
      </x:c>
      <x:c r="O389" s="17" t="str">
        <x:v>Use the source_record_paths field to trace the underlying discovery inputs.</x:v>
      </x:c>
      <x:c r="P389" s="18" t="e">
        <x:f>HYPERLINK("https://www.ku.dk","Open source")</x:f>
        <x:v>HYPERLINK is not implemented. linkLocation=https://www.ku.dk, friendlyName=Open source</x:v>
      </x:c>
    </x:row>
    <x:row r="390" ht="46" customHeight="1">
      <x:c r="A390" s="17" t="str">
        <x:v>stage3src:4da8997d809dbc4cc014</x:v>
      </x:c>
      <x:c r="B390" s="17" t="str">
        <x:v>program</x:v>
      </x:c>
      <x:c r="C390" s="17" t="str">
        <x:v>University of Luxembourg</x:v>
      </x:c>
      <x:c r="D390" s="17" t="str">
        <x:v>ror:036x5ad56:program:phd-requiring-a-master-s:doctoral-programme-in-computer-science-and-computer-engineering</x:v>
      </x:c>
      <x:c r="E390" s="17" t="str"/>
      <x:c r="F390" s="17" t="str">
        <x:v>institution</x:v>
      </x:c>
      <x:c r="G390" s="17" t="str">
        <x:v>Official institutional profile/group page used to verify current role and research themes</x:v>
      </x:c>
      <x:c r="H390" s="17" t="str">
        <x:v>Lionel Briand — official evidence</x:v>
      </x:c>
      <x:c r="I390" s="17" t="str">
        <x:v>University of Luxembourg</x:v>
      </x:c>
      <x:c r="J390" s="17" t="str">
        <x:v>official</x:v>
      </x:c>
      <x:c r="K390" s="17" t="str">
        <x:v>2026-09-09</x:v>
      </x:c>
      <x:c r="L390" s="17" t="str">
        <x:v>current at 2026-09-09</x:v>
      </x:c>
      <x:c r="M390" s="17" t="str">
        <x:v>high</x:v>
      </x:c>
      <x:c r="N390" s="17" t="str">
        <x:v>accessible or indexed official page</x:v>
      </x:c>
      <x:c r="O390" s="17" t="str">
        <x:v>Search snippets were discovery only; final claim points to the official destination. Recheck cycle-specific facts when 2027 material opens.</x:v>
      </x:c>
      <x:c r="P390" s="18" t="e">
        <x:f>HYPERLINK("https://www.uni.lu/snt-en/people/lionel-briand/","Open source")</x:f>
        <x:v>HYPERLINK is not implemented. linkLocation=https://www.uni.lu/snt-en/people/lionel-briand/, friendlyName=Open source</x:v>
      </x:c>
    </x:row>
    <x:row r="391" ht="46" customHeight="1">
      <x:c r="A391" s="17" t="str">
        <x:v>stage3src:815649e184baa7bd1f1c</x:v>
      </x:c>
      <x:c r="B391" s="17" t="str">
        <x:v>program</x:v>
      </x:c>
      <x:c r="C391" s="17" t="str">
        <x:v>University of Luxembourg</x:v>
      </x:c>
      <x:c r="D391" s="17" t="str">
        <x:v>ror:036x5ad56:program:phd-requiring-a-master-s:doctoral-programme-in-computer-science-and-computer-engineering</x:v>
      </x:c>
      <x:c r="E391" s="17" t="str"/>
      <x:c r="F391" s="17" t="str">
        <x:v>funding|program</x:v>
      </x:c>
      <x:c r="G391" s="17" t="str">
        <x:v>Official live vacancy supplied a precise current salary example; it is not represented as a Fall 2027 opening.</x:v>
      </x:c>
      <x:c r="H391" s="17" t="str">
        <x:v>University of Luxembourg — official evidence</x:v>
      </x:c>
      <x:c r="I391" s="17" t="str">
        <x:v>University of Luxembourg</x:v>
      </x:c>
      <x:c r="J391" s="17" t="str">
        <x:v>official</x:v>
      </x:c>
      <x:c r="K391" s="17" t="str">
        <x:v>2026-09-09</x:v>
      </x:c>
      <x:c r="L391" s="17" t="str">
        <x:v>current/latest-cycle, not projected</x:v>
      </x:c>
      <x:c r="M391" s="17" t="str">
        <x:v>high</x:v>
      </x:c>
      <x:c r="N391" s="17" t="str">
        <x:v>accessible or indexed official page</x:v>
      </x:c>
      <x:c r="O391" s="17" t="str">
        <x:v>Search snippets were discovery only; final claim points to the official destination. Recheck cycle-specific facts when 2027 material opens.</x:v>
      </x:c>
      <x:c r="P391" s="18" t="e">
        <x:f>HYPERLINK("https://www.uni.lu/en/jobs/doctoral-researcher-in-computer-science/","Open source")</x:f>
        <x:v>HYPERLINK is not implemented. linkLocation=https://www.uni.lu/en/jobs/doctoral-researcher-in-computer-science/, friendlyName=Open source</x:v>
      </x:c>
    </x:row>
    <x:row r="392" ht="46" customHeight="1">
      <x:c r="A392" s="17" t="str">
        <x:v>stage3src:c324f9fb5c5cf5da4fd1</x:v>
      </x:c>
      <x:c r="B392" s="17" t="str">
        <x:v>program</x:v>
      </x:c>
      <x:c r="C392" s="17" t="str">
        <x:v>University of Luxembourg</x:v>
      </x:c>
      <x:c r="D392" s="17" t="str">
        <x:v>ror:036x5ad56:program:phd-requiring-a-master-s:doctoral-programme-in-computer-science-and-computer-engineering</x:v>
      </x:c>
      <x:c r="E392" s="17" t="str"/>
      <x:c r="F392" s="17" t="str">
        <x:v>admissions</x:v>
      </x:c>
      <x:c r="G392" s="17" t="str">
        <x:v>Official program/admissions page; cycle label preserved in deep_programs.csv</x:v>
      </x:c>
      <x:c r="H392" s="17" t="str">
        <x:v>University of Luxembourg — official evidence</x:v>
      </x:c>
      <x:c r="I392" s="17" t="str">
        <x:v>University of Luxembourg</x:v>
      </x:c>
      <x:c r="J392" s="17" t="str">
        <x:v>official</x:v>
      </x:c>
      <x:c r="K392" s="17" t="str">
        <x:v>2026-09-09</x:v>
      </x:c>
      <x:c r="L392" s="17" t="str">
        <x:v>rolling/latest official page</x:v>
      </x:c>
      <x:c r="M392" s="17" t="str">
        <x:v>high</x:v>
      </x:c>
      <x:c r="N392" s="17" t="str">
        <x:v>accessible or indexed official page</x:v>
      </x:c>
      <x:c r="O392" s="17" t="str">
        <x:v>Search snippets were discovery only; final claim points to the official destination. Recheck cycle-specific facts when 2027 material opens.</x:v>
      </x:c>
      <x:c r="P392" s="18" t="e">
        <x:f>HYPERLINK("https://www.uni.lu/research-en/doctoral-education/dsse/computer-engineering/","Open source")</x:f>
        <x:v>HYPERLINK is not implemented. linkLocation=https://www.uni.lu/research-en/doctoral-education/dsse/computer-engineering/, friendlyName=Open source</x:v>
      </x:c>
    </x:row>
    <x:row r="393" ht="46" customHeight="1">
      <x:c r="A393" s="17" t="str">
        <x:v>stage3src:d4b5e4c252c76b148b22</x:v>
      </x:c>
      <x:c r="B393" s="17" t="str">
        <x:v>program</x:v>
      </x:c>
      <x:c r="C393" s="17" t="str">
        <x:v>University of Luxembourg</x:v>
      </x:c>
      <x:c r="D393" s="17" t="str">
        <x:v>ror:036x5ad56:program:phd-requiring-a-master-s:doctoral-programme-in-computer-science-and-computer-engineering</x:v>
      </x:c>
      <x:c r="E393" s="17" t="str"/>
      <x:c r="F393" s="17" t="str">
        <x:v>language|admissions</x:v>
      </x:c>
      <x:c r="G393" s="17" t="str">
        <x:v>Official English-language or admissions evidence; waivers/test thresholds remain applicant-specific</x:v>
      </x:c>
      <x:c r="H393" s="17" t="str">
        <x:v>University of Luxembourg — official evidence</x:v>
      </x:c>
      <x:c r="I393" s="17" t="str">
        <x:v>University of Luxembourg</x:v>
      </x:c>
      <x:c r="J393" s="17" t="str">
        <x:v>official</x:v>
      </x:c>
      <x:c r="K393" s="17" t="str">
        <x:v>2026-09-09</x:v>
      </x:c>
      <x:c r="L393" s="17" t="str">
        <x:v>rolling/latest official page</x:v>
      </x:c>
      <x:c r="M393" s="17" t="str">
        <x:v>high</x:v>
      </x:c>
      <x:c r="N393" s="17" t="str">
        <x:v>accessible or indexed official page</x:v>
      </x:c>
      <x:c r="O393" s="17" t="str">
        <x:v>Search snippets were discovery only; final claim points to the official destination. Recheck cycle-specific facts when 2027 material opens.</x:v>
      </x:c>
      <x:c r="P393" s="18" t="e">
        <x:f>HYPERLINK("https://www.uni.lu/research-en/doctoral-education/dsse/computer-engineering/","Open source")</x:f>
        <x:v>HYPERLINK is not implemented. linkLocation=https://www.uni.lu/research-en/doctoral-education/dsse/computer-engineering/, friendlyName=Open source</x:v>
      </x:c>
    </x:row>
    <x:row r="394" ht="46" customHeight="1">
      <x:c r="A394" s="17" t="str">
        <x:v>stage3src:1a5e25e6b4ccff1421f2</x:v>
      </x:c>
      <x:c r="B394" s="17" t="str">
        <x:v>program</x:v>
      </x:c>
      <x:c r="C394" s="17" t="str">
        <x:v>University of Luxembourg</x:v>
      </x:c>
      <x:c r="D394" s="17" t="str">
        <x:v>ror:036x5ad56:program:thesis-or-research-master-s:master-in-information-and-computer-sciences</x:v>
      </x:c>
      <x:c r="E394" s="17" t="str"/>
      <x:c r="F394" s="17" t="str">
        <x:v>program|research</x:v>
      </x:c>
      <x:c r="G394" s="17" t="str">
        <x:v>Current 120-ECTS English research-oriented master's, research involvement, and thesis route.</x:v>
      </x:c>
      <x:c r="H394" s="17" t="str">
        <x:v>Master in Information and Computer Sciences</x:v>
      </x:c>
      <x:c r="I394" s="17" t="str">
        <x:v>University of Luxembourg</x:v>
      </x:c>
      <x:c r="J394" s="17" t="str">
        <x:v>official</x:v>
      </x:c>
      <x:c r="K394" s="17" t="str">
        <x:v>2026-09-11</x:v>
      </x:c>
      <x:c r="L394" s="17" t="str">
        <x:v>Current page checked 2026-09-11</x:v>
      </x:c>
      <x:c r="M394" s="17" t="str">
        <x:v>high</x:v>
      </x:c>
      <x:c r="N394" s="17" t="str">
        <x:v>official page browser-reviewed; automated retrieval exception</x:v>
      </x:c>
      <x:c r="O394" s="17" t="str"/>
      <x:c r="P394" s="18" t="e">
        <x:f>HYPERLINK("https://www.uni.lu/fstm-en/study-programs/master-in-information-and-computer-sciences/","Open source")</x:f>
        <x:v>HYPERLINK is not implemented. linkLocation=https://www.uni.lu/fstm-en/study-programs/master-in-information-and-computer-sciences/, friendlyName=Open source</x:v>
      </x:c>
    </x:row>
    <x:row r="395" ht="46" customHeight="1">
      <x:c r="A395" s="17" t="str">
        <x:v>stage3src:860bf82a58d53e0ed3de</x:v>
      </x:c>
      <x:c r="B395" s="17" t="str">
        <x:v>program</x:v>
      </x:c>
      <x:c r="C395" s="17" t="str">
        <x:v>University of Luxembourg</x:v>
      </x:c>
      <x:c r="D395" s="17" t="str">
        <x:v>ror:036x5ad56:program:thesis-or-research-master-s:master-in-information-and-computer-sciences</x:v>
      </x:c>
      <x:c r="E395" s="17" t="str"/>
      <x:c r="F395" s="17" t="str">
        <x:v>admissions|eligibility|language|deadline|fees|tuition</x:v>
      </x:c>
      <x:c r="G395" s="17" t="str">
        <x:v>Degree, B2 English, prerequisite, selection, current deadlines, semester fee, and scholarship link.</x:v>
      </x:c>
      <x:c r="H395" s="17" t="str">
        <x:v>Apply to the Master in Information and Computer Sciences</x:v>
      </x:c>
      <x:c r="I395" s="17" t="str">
        <x:v>University of Luxembourg</x:v>
      </x:c>
      <x:c r="J395" s="17" t="str">
        <x:v>official</x:v>
      </x:c>
      <x:c r="K395" s="17" t="str">
        <x:v>2026-09-11</x:v>
      </x:c>
      <x:c r="L395" s="17" t="str">
        <x:v>Latest labeled 2026-27 cycle checked 2026-09-11</x:v>
      </x:c>
      <x:c r="M395" s="17" t="str">
        <x:v>high</x:v>
      </x:c>
      <x:c r="N395" s="17" t="str">
        <x:v>official page checked</x:v>
      </x:c>
      <x:c r="O395" s="17" t="str"/>
      <x:c r="P395" s="18" t="e">
        <x:f>HYPERLINK("https://www.uni.lu/fstm-en/study-programs/master-in-information-and-computer-sciences/admissions/","Open source")</x:f>
        <x:v>HYPERLINK is not implemented. linkLocation=https://www.uni.lu/fstm-en/study-programs/master-in-information-and-computer-sciences/admissions/, friendlyName=Open source</x:v>
      </x:c>
    </x:row>
    <x:row r="396" ht="46" customHeight="1">
      <x:c r="A396" s="17" t="str">
        <x:v>stage3src:8645e54e2db352ec0912</x:v>
      </x:c>
      <x:c r="B396" s="17" t="str">
        <x:v>program</x:v>
      </x:c>
      <x:c r="C396" s="17" t="str">
        <x:v>University of Luxembourg</x:v>
      </x:c>
      <x:c r="D396" s="17" t="str">
        <x:v>ror:036x5ad56:program:thesis-or-research-master-s:master-in-information-and-computer-sciences</x:v>
      </x:c>
      <x:c r="E396" s="17" t="str"/>
      <x:c r="F396" s="17" t="str">
        <x:v>funding|scholarship|tuition|summer</x:v>
      </x:c>
      <x:c r="G396" s="17" t="str">
        <x:v>Limited Guillaume Dupaix award value, one-year duration, accommodation component, and no tuition waiver.</x:v>
      </x:c>
      <x:c r="H396" s="17" t="str">
        <x:v>Guillaume Dupaix International Scholarship</x:v>
      </x:c>
      <x:c r="I396" s="17" t="str">
        <x:v>University of Luxembourg</x:v>
      </x:c>
      <x:c r="J396" s="17" t="str">
        <x:v>official</x:v>
      </x:c>
      <x:c r="K396" s="17" t="str">
        <x:v>2026-09-11</x:v>
      </x:c>
      <x:c r="L396" s="17" t="str">
        <x:v>Current award page checked 2026-09-11</x:v>
      </x:c>
      <x:c r="M396" s="17" t="str">
        <x:v>high</x:v>
      </x:c>
      <x:c r="N396" s="17" t="str">
        <x:v>official page browser-reviewed; automated retrieval exception</x:v>
      </x:c>
      <x:c r="O396" s="17" t="str"/>
      <x:c r="P396" s="18" t="e">
        <x:f>HYPERLINK("https://www.uni.lu/life-en/financial-support/scholarships/guillaume-dupaix-international-scholarship/","Open source")</x:f>
        <x:v>HYPERLINK is not implemented. linkLocation=https://www.uni.lu/life-en/financial-support/scholarships/guillaume-dupaix-international-scholarship/, friendlyName=Open source</x:v>
      </x:c>
    </x:row>
    <x:row r="397" ht="46" customHeight="1">
      <x:c r="A397" s="17" t="str">
        <x:v>stage3src:32abe303055a15a45edf</x:v>
      </x:c>
      <x:c r="B397" s="17" t="str">
        <x:v>program</x:v>
      </x:c>
      <x:c r="C397" s="17" t="str">
        <x:v>University of Minho</x:v>
      </x:c>
      <x:c r="D397" s="17" t="str">
        <x:v>ror:037wpkx04:program:thesis-or-research-master-s:master-in-informatics-engineering</x:v>
      </x:c>
      <x:c r="E397" s="17" t="str"/>
      <x:c r="F397" s="17" t="str">
        <x:v>admissions|eligibility|international|deadline|fee</x:v>
      </x:c>
      <x:c r="G397" s="17" t="str">
        <x:v>International master's application route, prohibition on applying before first-cycle completion, 2026-27 rounds, and €44 fee.</x:v>
      </x:c>
      <x:c r="H397" s="17" t="str">
        <x:v>Applications to Master's Degrees</x:v>
      </x:c>
      <x:c r="I397" s="17" t="str">
        <x:v>University of Minho</x:v>
      </x:c>
      <x:c r="J397" s="17" t="str">
        <x:v>official</x:v>
      </x:c>
      <x:c r="K397" s="17" t="str">
        <x:v>2026-09-11</x:v>
      </x:c>
      <x:c r="L397" s="17" t="str">
        <x:v>2026-27 schedule checked 2026-09-11; Fall 2027 not published</x:v>
      </x:c>
      <x:c r="M397" s="17" t="str">
        <x:v>high</x:v>
      </x:c>
      <x:c r="N397" s="17" t="str">
        <x:v>official page checked</x:v>
      </x:c>
      <x:c r="O397" s="17" t="str"/>
      <x:c r="P397" s="18" t="e">
        <x:f>HYPERLINK("https://alunos.uminho.pt/EN/candidates/MastersDegrees","Open source")</x:f>
        <x:v>HYPERLINK is not implemented. linkLocation=https://alunos.uminho.pt/EN/candidates/MastersDegrees, friendlyName=Open source</x:v>
      </x:c>
    </x:row>
    <x:row r="398" ht="46" customHeight="1">
      <x:c r="A398" s="17" t="str">
        <x:v>stage3src:4be33248767a06d80902</x:v>
      </x:c>
      <x:c r="B398" s="17" t="str">
        <x:v>program</x:v>
      </x:c>
      <x:c r="C398" s="17" t="str">
        <x:v>University of Minho</x:v>
      </x:c>
      <x:c r="D398" s="17" t="str">
        <x:v>ror:037wpkx04:program:thesis-or-research-master-s:master-in-informatics-engineering</x:v>
      </x:c>
      <x:c r="E398" s="17" t="str"/>
      <x:c r="F398" s="17" t="str">
        <x:v>program|structure|status</x:v>
      </x:c>
      <x:c r="G398" s="17" t="str">
        <x:v>Current Master in Informatics Engineering, two-year four-semester 120-ECTS structure, and programme status.</x:v>
      </x:c>
      <x:c r="H398" s="17" t="str">
        <x:v>Master in Informatics Engineering</x:v>
      </x:c>
      <x:c r="I398" s="17" t="str">
        <x:v>University of Minho School of Engineering</x:v>
      </x:c>
      <x:c r="J398" s="17" t="str">
        <x:v>official</x:v>
      </x:c>
      <x:c r="K398" s="17" t="str">
        <x:v>2026-09-11</x:v>
      </x:c>
      <x:c r="L398" s="17" t="str">
        <x:v>Current catalogue checked 2026-09-11</x:v>
      </x:c>
      <x:c r="M398" s="17" t="str">
        <x:v>high</x:v>
      </x:c>
      <x:c r="N398" s="17" t="str">
        <x:v>official page checked</x:v>
      </x:c>
      <x:c r="O398" s="17" t="str"/>
      <x:c r="P398" s="18" t="e">
        <x:f>HYPERLINK("https://www.eng.uminho.pt/en/study/_layouts/15/uminho.portaisuoei.ui/pages/catalogocursodetail.aspx?catid=16&amp;itemid=5482","Open source")</x:f>
        <x:v>HYPERLINK is not implemented. linkLocation=https://www.eng.uminho.pt/en/study/_layouts/15/uminho.portaisuoei.ui/pages/catalogocursodetail.aspx?catid=16&amp;itemid=5482, friendlyName=Open source</x:v>
      </x:c>
    </x:row>
    <x:row r="399" ht="46" customHeight="1">
      <x:c r="A399" s="17" t="str">
        <x:v>stage3src:9d583b5cf8d50d255e44</x:v>
      </x:c>
      <x:c r="B399" s="17" t="str">
        <x:v>program</x:v>
      </x:c>
      <x:c r="C399" s="17" t="str">
        <x:v>University of Minho</x:v>
      </x:c>
      <x:c r="D399" s="17" t="str">
        <x:v>ror:037wpkx04:program:thesis-or-research-master-s:master-in-informatics-engineering</x:v>
      </x:c>
      <x:c r="E399" s="17" t="str"/>
      <x:c r="F399" s="17" t="str">
        <x:v>research|structure|prerequisites</x:v>
      </x:c>
      <x:c r="G399" s="17" t="str">
        <x:v>Current programme curriculum including 45-ECTS dissertation and advanced software, security, distributed-systems, and formal-methods subjects.</x:v>
      </x:c>
      <x:c r="H399" s="17" t="str">
        <x:v>Courses</x:v>
      </x:c>
      <x:c r="I399" s="17" t="str">
        <x:v>University of Minho Master in Informatics Engineering</x:v>
      </x:c>
      <x:c r="J399" s="17" t="str">
        <x:v>official</x:v>
      </x:c>
      <x:c r="K399" s="17" t="str">
        <x:v>2026-09-11</x:v>
      </x:c>
      <x:c r="L399" s="17" t="str">
        <x:v>Current curriculum checked 2026-09-11</x:v>
      </x:c>
      <x:c r="M399" s="17" t="str">
        <x:v>high</x:v>
      </x:c>
      <x:c r="N399" s="17" t="str">
        <x:v>official page checked</x:v>
      </x:c>
      <x:c r="O399" s="17" t="str"/>
      <x:c r="P399" s="18" t="e">
        <x:f>HYPERLINK("https://mei.di.uminho.pt/courses/","Open source")</x:f>
        <x:v>HYPERLINK is not implemented. linkLocation=https://mei.di.uminho.pt/courses/, friendlyName=Open source</x:v>
      </x:c>
    </x:row>
    <x:row r="400" ht="46" customHeight="1">
      <x:c r="A400" s="17" t="str">
        <x:v>stage3src:b03a86b931909251e7db</x:v>
      </x:c>
      <x:c r="B400" s="17" t="str">
        <x:v>program</x:v>
      </x:c>
      <x:c r="C400" s="17" t="str">
        <x:v>University of Minho</x:v>
      </x:c>
      <x:c r="D400" s="17" t="str">
        <x:v>ror:037wpkx04:program:thesis-or-research-master-s:master-in-informatics-engineering</x:v>
      </x:c>
      <x:c r="E400" s="17" t="str"/>
      <x:c r="F400" s="17" t="str">
        <x:v>funding|scholarship|conditions</x:v>
      </x:c>
      <x:c r="G400" s="17" t="str">
        <x:v>Academic merit scholarship is based on outstanding performance after enrollment and does not establish a guaranteed entry package.</x:v>
      </x:c>
      <x:c r="H400" s="17" t="str">
        <x:v>Academic Merit Scholarship</x:v>
      </x:c>
      <x:c r="I400" s="17" t="str">
        <x:v>University of Minho</x:v>
      </x:c>
      <x:c r="J400" s="17" t="str">
        <x:v>official</x:v>
      </x:c>
      <x:c r="K400" s="17" t="str">
        <x:v>2026-09-11</x:v>
      </x:c>
      <x:c r="L400" s="17" t="str">
        <x:v>Current scholarship page checked 2026-09-11</x:v>
      </x:c>
      <x:c r="M400" s="17" t="str">
        <x:v>high</x:v>
      </x:c>
      <x:c r="N400" s="17" t="str">
        <x:v>official page checked</x:v>
      </x:c>
      <x:c r="O400" s="17" t="str"/>
      <x:c r="P400" s="18" t="e">
        <x:f>HYPERLINK("https://www.eeg.uminho.pt/en/study/premios-escolares-teste/Pages/academic-merit-scholarship.aspx","Open source")</x:f>
        <x:v>HYPERLINK is not implemented. linkLocation=https://www.eeg.uminho.pt/en/study/premios-escolares-teste/Pages/academic-merit-scholarship.aspx, friendlyName=Open source</x:v>
      </x:c>
    </x:row>
    <x:row r="401" ht="46" customHeight="1">
      <x:c r="A401" s="17" t="str">
        <x:v>stage3src:7ac992fb64c3d780c993</x:v>
      </x:c>
      <x:c r="B401" s="17" t="str">
        <x:v>program</x:v>
      </x:c>
      <x:c r="C401" s="17" t="str">
        <x:v>University of Minho</x:v>
      </x:c>
      <x:c r="D401" s="17" t="str">
        <x:v>ror:037wpkx04:program:unclear:cross-path-catalog-review</x:v>
      </x:c>
      <x:c r="E401" s="17" t="str"/>
      <x:c r="F401" s="17" t="str">
        <x:v>discovery</x:v>
      </x:c>
      <x:c r="G401" s="17" t="str">
        <x:v>Stage 2 recorded this row as a discovery candidate; it does not independently verify an exact current research program, eligibility, or funding.</x:v>
      </x:c>
      <x:c r="H401" s="17" t="str">
        <x:v>Pass 2 Stage 2 candidate funnel</x:v>
      </x:c>
      <x:c r="I401" s="17" t="str">
        <x:v>Graduate audit pipeline</x:v>
      </x:c>
      <x:c r="J401" s="17" t="str">
        <x:v>derived</x:v>
      </x:c>
      <x:c r="K401" s="17" t="str">
        <x:v>2026-09-11</x:v>
      </x:c>
      <x:c r="L401" s="17" t="str">
        <x:v>Not cycle-specific</x:v>
      </x:c>
      <x:c r="M401" s="17" t="str">
        <x:v>low</x:v>
      </x:c>
      <x:c r="N401" s="17" t="str">
        <x:v>Discovery evidence only</x:v>
      </x:c>
      <x:c r="O401" s="17" t="str">
        <x:v>Use the source_record_paths field to trace the underlying discovery inputs.</x:v>
      </x:c>
      <x:c r="P401" s="18" t="e">
        <x:f>HYPERLINK("https://www.uminho.pt","Open source")</x:f>
        <x:v>HYPERLINK is not implemented. linkLocation=https://www.uminho.pt, friendlyName=Open source</x:v>
      </x:c>
    </x:row>
    <x:row r="402" ht="46" customHeight="1">
      <x:c r="A402" s="17" t="str">
        <x:v>stage3src:f572c7a44756405fc103</x:v>
      </x:c>
      <x:c r="B402" s="17" t="str">
        <x:v>program</x:v>
      </x:c>
      <x:c r="C402" s="17" t="str">
        <x:v>Hellenic Mediterranean University</x:v>
      </x:c>
      <x:c r="D402" s="17" t="str">
        <x:v>ror:039ce0m20:program:phd-requiring-a-master-s:electrical-and-computer-engineering-phd</x:v>
      </x:c>
      <x:c r="E402" s="17" t="str"/>
      <x:c r="F402" s="17" t="str">
        <x:v>discovery</x:v>
      </x:c>
      <x:c r="G402" s="17" t="str">
        <x:v>Stage 2 recorded this row as a discovery candidate; it does not independently verify an exact current research program, eligibility, or funding.</x:v>
      </x:c>
      <x:c r="H402" s="17" t="str">
        <x:v>Pass 2 Stage 2 candidate funnel</x:v>
      </x:c>
      <x:c r="I402" s="17" t="str">
        <x:v>Graduate audit pipeline</x:v>
      </x:c>
      <x:c r="J402" s="17" t="str">
        <x:v>derived</x:v>
      </x:c>
      <x:c r="K402" s="17" t="str">
        <x:v>2026-09-11</x:v>
      </x:c>
      <x:c r="L402" s="17" t="str">
        <x:v>Not cycle-specific</x:v>
      </x:c>
      <x:c r="M402" s="17" t="str">
        <x:v>medium</x:v>
      </x:c>
      <x:c r="N402" s="17" t="str">
        <x:v>Discovery evidence only</x:v>
      </x:c>
      <x:c r="O402" s="17" t="str">
        <x:v>Use the source_record_paths field to trace the underlying discovery inputs.</x:v>
      </x:c>
      <x:c r="P402" s="18" t="e">
        <x:f>HYPERLINK("https://ece.hmu.gr/en/doctoral-ph-d-studies-program/","Open source")</x:f>
        <x:v>HYPERLINK is not implemented. linkLocation=https://ece.hmu.gr/en/doctoral-ph-d-studies-program/, friendlyName=Open source</x:v>
      </x:c>
    </x:row>
    <x:row r="403" ht="46" customHeight="1">
      <x:c r="A403" s="17" t="str">
        <x:v>stage3src:b4a73024719f19ae561b</x:v>
      </x:c>
      <x:c r="B403" s="17" t="str">
        <x:v>program</x:v>
      </x:c>
      <x:c r="C403" s="17" t="str">
        <x:v>Hellenic Mediterranean University</x:v>
      </x:c>
      <x:c r="D403" s="17" t="str">
        <x:v>ror:039ce0m20:program:thesis-or-research-master-s:informatics-engineering-msc</x:v>
      </x:c>
      <x:c r="E403" s="17" t="str"/>
      <x:c r="F403" s="17" t="str">
        <x:v>discovery</x:v>
      </x:c>
      <x:c r="G403" s="17" t="str">
        <x:v>Stage 2 recorded this row as a discovery candidate; it does not independently verify an exact current research program, eligibility, or funding.</x:v>
      </x:c>
      <x:c r="H403" s="17" t="str">
        <x:v>Pass 2 Stage 2 candidate funnel</x:v>
      </x:c>
      <x:c r="I403" s="17" t="str">
        <x:v>Graduate audit pipeline</x:v>
      </x:c>
      <x:c r="J403" s="17" t="str">
        <x:v>derived</x:v>
      </x:c>
      <x:c r="K403" s="17" t="str">
        <x:v>2026-09-11</x:v>
      </x:c>
      <x:c r="L403" s="17" t="str">
        <x:v>Not cycle-specific</x:v>
      </x:c>
      <x:c r="M403" s="17" t="str">
        <x:v>medium</x:v>
      </x:c>
      <x:c r="N403" s="17" t="str">
        <x:v>Discovery evidence only</x:v>
      </x:c>
      <x:c r="O403" s="17" t="str">
        <x:v>Use the source_record_paths field to trace the underlying discovery inputs.</x:v>
      </x:c>
      <x:c r="P403" s="18" t="e">
        <x:f>HYPERLINK("https://hmu.gr/en/postgraduate-studies/postgraduate-programs/","Open source")</x:f>
        <x:v>HYPERLINK is not implemented. linkLocation=https://hmu.gr/en/postgraduate-studies/postgraduate-programs/, friendlyName=Open source</x:v>
      </x:c>
    </x:row>
    <x:row r="404" ht="46" customHeight="1">
      <x:c r="A404" s="17" t="str">
        <x:v>stage3src:35b90f3e1e30c890f342</x:v>
      </x:c>
      <x:c r="B404" s="17" t="str">
        <x:v>program</x:v>
      </x:c>
      <x:c r="C404" s="17" t="str">
        <x:v>University of Pisa</x:v>
      </x:c>
      <x:c r="D404" s="17" t="str">
        <x:v>ror:03ad39j10:program:thesis-or-research-master-s:master-s-degree-in-computer-science</x:v>
      </x:c>
      <x:c r="E404" s="17" t="str"/>
      <x:c r="F404" s="17" t="str">
        <x:v>admissions|deadline|eligibility|language</x:v>
      </x:c>
      <x:c r="G404" s="17" t="str">
        <x:v>2026–27 international application dates and English-taught master's enrollment route.</x:v>
      </x:c>
      <x:c r="H404" s="17" t="str">
        <x:v>Master's degrees held in English</x:v>
      </x:c>
      <x:c r="I404" s="17" t="str">
        <x:v>University of Pisa</x:v>
      </x:c>
      <x:c r="J404" s="17" t="str">
        <x:v>official</x:v>
      </x:c>
      <x:c r="K404" s="17" t="str">
        <x:v>2026-09-11</x:v>
      </x:c>
      <x:c r="L404" s="17" t="str">
        <x:v>2026–27 checked 2026-09-11</x:v>
      </x:c>
      <x:c r="M404" s="17" t="str">
        <x:v>high</x:v>
      </x:c>
      <x:c r="N404" s="17" t="str">
        <x:v>official page checked</x:v>
      </x:c>
      <x:c r="O404" s="17" t="str"/>
      <x:c r="P404" s="18" t="e">
        <x:f>HYPERLINK("https://www.unipi.it/en/education/registration/enrolment-and-registration/enrolment-for-international-students/masters-degree-held-in-english/","Open source")</x:f>
        <x:v>HYPERLINK is not implemented. linkLocation=https://www.unipi.it/en/education/registration/enrolment-and-registration/enrolment-for-international-students/masters-degree-held-in-english/, friendlyName=Open source</x:v>
      </x:c>
    </x:row>
    <x:row r="405" ht="46" customHeight="1">
      <x:c r="A405" s="17" t="str">
        <x:v>stage3src:79c198887091a4b3d6ac</x:v>
      </x:c>
      <x:c r="B405" s="17" t="str">
        <x:v>program</x:v>
      </x:c>
      <x:c r="C405" s="17" t="str">
        <x:v>University of Pisa</x:v>
      </x:c>
      <x:c r="D405" s="17" t="str">
        <x:v>ror:03ad39j10:program:thesis-or-research-master-s:master-s-degree-in-computer-science</x:v>
      </x:c>
      <x:c r="E405" s="17" t="str"/>
      <x:c r="F405" s="17" t="str">
        <x:v>tuition|fees|funding</x:v>
      </x:c>
      <x:c r="G405" s="17" t="str">
        <x:v>2026–27 maximum tuition and scholarship links for international students.</x:v>
      </x:c>
      <x:c r="H405" s="17" t="str">
        <x:v>University fees and scholarships</x:v>
      </x:c>
      <x:c r="I405" s="17" t="str">
        <x:v>University of Pisa</x:v>
      </x:c>
      <x:c r="J405" s="17" t="str">
        <x:v>official</x:v>
      </x:c>
      <x:c r="K405" s="17" t="str">
        <x:v>2026-09-11</x:v>
      </x:c>
      <x:c r="L405" s="17" t="str">
        <x:v>2026–27 checked 2026-09-11</x:v>
      </x:c>
      <x:c r="M405" s="17" t="str">
        <x:v>high</x:v>
      </x:c>
      <x:c r="N405" s="17" t="str">
        <x:v>official page checked</x:v>
      </x:c>
      <x:c r="O405" s="17" t="str"/>
      <x:c r="P405" s="18" t="e">
        <x:f>HYPERLINK("https://www.unipi.it/en/education/registration/enrolment-and-registration/enrolment-for-international-students/university-fees-and-scholarships/","Open source")</x:f>
        <x:v>HYPERLINK is not implemented. linkLocation=https://www.unipi.it/en/education/registration/enrolment-and-registration/enrolment-for-international-students/university-fees-and-scholarships/, friendlyName=Open source</x:v>
      </x:c>
    </x:row>
    <x:row r="406" ht="46" customHeight="1">
      <x:c r="A406" s="17" t="str">
        <x:v>stage3src:81cdff5b69ad08ff06a0</x:v>
      </x:c>
      <x:c r="B406" s="17" t="str">
        <x:v>program</x:v>
      </x:c>
      <x:c r="C406" s="17" t="str">
        <x:v>University of Pisa</x:v>
      </x:c>
      <x:c r="D406" s="17" t="str">
        <x:v>ror:03ad39j10:program:thesis-or-research-master-s:master-s-degree-in-computer-science</x:v>
      </x:c>
      <x:c r="E406" s="17" t="str"/>
      <x:c r="F406" s="17" t="str">
        <x:v>program|research|eligibility|language</x:v>
      </x:c>
      <x:c r="G406" s="17" t="str">
        <x:v>Current English Computer Science master's, Foundations of Software route, dissertation, and 72-credit subject prerequisites.</x:v>
      </x:c>
      <x:c r="H406" s="17" t="str">
        <x:v>Master's Degree in Computer Science</x:v>
      </x:c>
      <x:c r="I406" s="17" t="str">
        <x:v>University of Pisa</x:v>
      </x:c>
      <x:c r="J406" s="17" t="str">
        <x:v>official</x:v>
      </x:c>
      <x:c r="K406" s="17" t="str">
        <x:v>2026-09-11</x:v>
      </x:c>
      <x:c r="L406" s="17" t="str">
        <x:v>Current page checked 2026-09-11</x:v>
      </x:c>
      <x:c r="M406" s="17" t="str">
        <x:v>high</x:v>
      </x:c>
      <x:c r="N406" s="17" t="str">
        <x:v>official page checked</x:v>
      </x:c>
      <x:c r="O406" s="17" t="str"/>
      <x:c r="P406" s="18" t="e">
        <x:f>HYPERLINK("https://www.unipi.it/en/education/courses/master-degree/computer-science-wif-lm-en/","Open source")</x:f>
        <x:v>HYPERLINK is not implemented. linkLocation=https://www.unipi.it/en/education/courses/master-degree/computer-science-wif-lm-en/, friendlyName=Open source</x:v>
      </x:c>
    </x:row>
    <x:row r="407" ht="46" customHeight="1">
      <x:c r="A407" s="17" t="str">
        <x:v>stage3src:d960b48d3e2ea6300876</x:v>
      </x:c>
      <x:c r="B407" s="17" t="str">
        <x:v>program</x:v>
      </x:c>
      <x:c r="C407" s="17" t="str">
        <x:v>University of Pisa</x:v>
      </x:c>
      <x:c r="D407" s="17" t="str">
        <x:v>ror:03ad39j10:program:thesis-or-research-master-s:master-s-degree-in-computer-science</x:v>
      </x:c>
      <x:c r="E407" s="17" t="str"/>
      <x:c r="F407" s="17" t="str">
        <x:v>funding|tuition|fees|summer</x:v>
      </x:c>
      <x:c r="G407" s="17" t="str">
        <x:v>2026–27 DSU deadline and tuition, accommodation or rent, meals, and cash benefit route.</x:v>
      </x:c>
      <x:c r="H407" s="17" t="str">
        <x:v>DSU Scholarship</x:v>
      </x:c>
      <x:c r="I407" s="17" t="str">
        <x:v>University of Pisa</x:v>
      </x:c>
      <x:c r="J407" s="17" t="str">
        <x:v>official</x:v>
      </x:c>
      <x:c r="K407" s="17" t="str">
        <x:v>2026-09-11</x:v>
      </x:c>
      <x:c r="L407" s="17" t="str">
        <x:v>2026–27 checked 2026-09-11</x:v>
      </x:c>
      <x:c r="M407" s="17" t="str">
        <x:v>high</x:v>
      </x:c>
      <x:c r="N407" s="17" t="str">
        <x:v>official page checked</x:v>
      </x:c>
      <x:c r="O407" s="17" t="str"/>
      <x:c r="P407" s="18" t="e">
        <x:f>HYPERLINK("https://www.unipi.it/en/education/registration/enrolment-and-registration/enrolment-for-international-students/dsu-scholarship-university-of-pisa/","Open source")</x:f>
        <x:v>HYPERLINK is not implemented. linkLocation=https://www.unipi.it/en/education/registration/enrolment-and-registration/enrolment-for-international-students/dsu-scholarship-university-of-pisa/, friendlyName=Open source</x:v>
      </x:c>
    </x:row>
    <x:row r="408" ht="46" customHeight="1">
      <x:c r="A408" s="17" t="str">
        <x:v>stage3src:2c6ec86811c640e31957</x:v>
      </x:c>
      <x:c r="B408" s="17" t="str">
        <x:v>program</x:v>
      </x:c>
      <x:c r="C408" s="17" t="str">
        <x:v>University of Potsdam</x:v>
      </x:c>
      <x:c r="D408" s="17" t="str">
        <x:v>ror:03bnmw459:program:thesis-or-research-master-s:m-sc-computer-science</x:v>
      </x:c>
      <x:c r="E408" s="17" t="str"/>
      <x:c r="F408" s="17" t="str">
        <x:v>program|admissions|eligibility|language|fees</x:v>
      </x:c>
      <x:c r="G408" s="17" t="str">
        <x:v>Current English 120-CP research MSc, 30-CP thesis, relevant 180-ECTS entry, C1 English, no tuition, and semester-fee requirement.</x:v>
      </x:c>
      <x:c r="H408" s="17" t="str">
        <x:v>Computer Science MSc</x:v>
      </x:c>
      <x:c r="I408" s="17" t="str">
        <x:v>University of Potsdam</x:v>
      </x:c>
      <x:c r="J408" s="17" t="str">
        <x:v>official</x:v>
      </x:c>
      <x:c r="K408" s="17" t="str">
        <x:v>2026-09-11</x:v>
      </x:c>
      <x:c r="L408" s="17" t="str">
        <x:v>Current page checked 2026-09-11</x:v>
      </x:c>
      <x:c r="M408" s="17" t="str">
        <x:v>high</x:v>
      </x:c>
      <x:c r="N408" s="17" t="str">
        <x:v>official page checked</x:v>
      </x:c>
      <x:c r="O408" s="17" t="str"/>
      <x:c r="P408" s="18" t="e">
        <x:f>HYPERLINK("https://www.uni-potsdam.de/en/studium/what-to-study/master/computer-science","Open source")</x:f>
        <x:v>HYPERLINK is not implemented. linkLocation=https://www.uni-potsdam.de/en/studium/what-to-study/master/computer-science, friendlyName=Open source</x:v>
      </x:c>
    </x:row>
    <x:row r="409" ht="46" customHeight="1">
      <x:c r="A409" s="17" t="str">
        <x:v>stage3src:95f0a0758507408f7094</x:v>
      </x:c>
      <x:c r="B409" s="17" t="str">
        <x:v>program</x:v>
      </x:c>
      <x:c r="C409" s="17" t="str">
        <x:v>University of Potsdam</x:v>
      </x:c>
      <x:c r="D409" s="17" t="str">
        <x:v>ror:03bnmw459:program:thesis-or-research-master-s:m-sc-computer-science</x:v>
      </x:c>
      <x:c r="E409" s="17" t="str"/>
      <x:c r="F409" s="17" t="str">
        <x:v>fees|funding</x:v>
      </x:c>
      <x:c r="G409" s="17" t="str">
        <x:v>Current EUR 372.80 semester fee and estimated insurance costs; no general program living stipend is stated.</x:v>
      </x:c>
      <x:c r="H409" s="17" t="str">
        <x:v>Costs at a Glance</x:v>
      </x:c>
      <x:c r="I409" s="17" t="str">
        <x:v>University of Potsdam</x:v>
      </x:c>
      <x:c r="J409" s="17" t="str">
        <x:v>official</x:v>
      </x:c>
      <x:c r="K409" s="17" t="str">
        <x:v>2026-09-11</x:v>
      </x:c>
      <x:c r="L409" s="17" t="str">
        <x:v>Current costs checked 2026-09-11</x:v>
      </x:c>
      <x:c r="M409" s="17" t="str">
        <x:v>high</x:v>
      </x:c>
      <x:c r="N409" s="17" t="str">
        <x:v>official page checked</x:v>
      </x:c>
      <x:c r="O409" s="17" t="str"/>
      <x:c r="P409" s="18" t="e">
        <x:f>HYPERLINK("https://www.uni-potsdam.de/en/studium/studying/financing-funding-housing/costs-at-a-glance","Open source")</x:f>
        <x:v>HYPERLINK is not implemented. linkLocation=https://www.uni-potsdam.de/en/studium/studying/financing-funding-housing/costs-at-a-glance, friendlyName=Open source</x:v>
      </x:c>
    </x:row>
    <x:row r="410" ht="46" customHeight="1">
      <x:c r="A410" s="17" t="str">
        <x:v>stage3src:aa74031bca4c9ccff41c</x:v>
      </x:c>
      <x:c r="B410" s="17" t="str">
        <x:v>program</x:v>
      </x:c>
      <x:c r="C410" s="17" t="str">
        <x:v>University of Potsdam</x:v>
      </x:c>
      <x:c r="D410" s="17" t="str">
        <x:v>ror:03bnmw459:program:thesis-or-research-master-s:m-sc-computer-science</x:v>
      </x:c>
      <x:c r="E410" s="17" t="str"/>
      <x:c r="F410" s="17" t="str">
        <x:v>admissions|fees</x:v>
      </x:c>
      <x:c r="G410" s="17" t="str">
        <x:v>Master's application has no university processing fee; foreign-degree applicants may require VPD; no tuition is charged and semester fees apply.</x:v>
      </x:c>
      <x:c r="H410" s="17" t="str">
        <x:v>Master's Application Frequently Asked Questions</x:v>
      </x:c>
      <x:c r="I410" s="17" t="str">
        <x:v>University of Potsdam</x:v>
      </x:c>
      <x:c r="J410" s="17" t="str">
        <x:v>official</x:v>
      </x:c>
      <x:c r="K410" s="17" t="str">
        <x:v>2026-09-11</x:v>
      </x:c>
      <x:c r="L410" s="17" t="str">
        <x:v>Current page checked 2026-09-11</x:v>
      </x:c>
      <x:c r="M410" s="17" t="str">
        <x:v>high</x:v>
      </x:c>
      <x:c r="N410" s="17" t="str">
        <x:v>official page checked</x:v>
      </x:c>
      <x:c r="O410" s="17" t="str"/>
      <x:c r="P410" s="18" t="e">
        <x:f>HYPERLINK("https://www.uni-potsdam.de/en/studium/application-enrollment/application-master/consecutive/frequently-asked-questions.html","Open source")</x:f>
        <x:v>HYPERLINK is not implemented. linkLocation=https://www.uni-potsdam.de/en/studium/application-enrollment/application-master/consecutive/frequently-asked-questions.html, friendlyName=Open source</x:v>
      </x:c>
    </x:row>
    <x:row r="411" ht="46" customHeight="1">
      <x:c r="A411" s="17" t="str">
        <x:v>stage3src:e0704d9d3e01082d512c</x:v>
      </x:c>
      <x:c r="B411" s="17" t="str">
        <x:v>program</x:v>
      </x:c>
      <x:c r="C411" s="17" t="str">
        <x:v>University of Potsdam</x:v>
      </x:c>
      <x:c r="D411" s="17" t="str">
        <x:v>ror:03bnmw459:program:thesis-or-research-master-s:m-sc-computer-science</x:v>
      </x:c>
      <x:c r="E411" s="17" t="str"/>
      <x:c r="F411" s="17" t="str">
        <x:v>admissions|deadline</x:v>
      </x:c>
      <x:c r="G411" s="17" t="str">
        <x:v>Latest published Computer Science winter application start date is June 1 for Winter 2026/27.</x:v>
      </x:c>
      <x:c r="H411" s="17" t="str">
        <x:v>Master's Application and Enrollment</x:v>
      </x:c>
      <x:c r="I411" s="17" t="str">
        <x:v>University of Potsdam</x:v>
      </x:c>
      <x:c r="J411" s="17" t="str">
        <x:v>official</x:v>
      </x:c>
      <x:c r="K411" s="17" t="str">
        <x:v>2026-09-11</x:v>
      </x:c>
      <x:c r="L411" s="17" t="str">
        <x:v>Winter 2026/27; checked 2026-09-11</x:v>
      </x:c>
      <x:c r="M411" s="17" t="str">
        <x:v>high</x:v>
      </x:c>
      <x:c r="N411" s="17" t="str">
        <x:v>official page checked</x:v>
      </x:c>
      <x:c r="O411" s="17" t="str"/>
      <x:c r="P411" s="18" t="e">
        <x:f>HYPERLINK("https://www.uni-potsdam.de/en/studium/application-enrollment/application-master","Open source")</x:f>
        <x:v>HYPERLINK is not implemented. linkLocation=https://www.uni-potsdam.de/en/studium/application-enrollment/application-master, friendlyName=Open source</x:v>
      </x:c>
    </x:row>
    <x:row r="412" ht="46" customHeight="1">
      <x:c r="A412" s="17" t="str">
        <x:v>stage3src:142a0e9ffb6de13fcf35</x:v>
      </x:c>
      <x:c r="B412" s="17" t="str">
        <x:v>program</x:v>
      </x:c>
      <x:c r="C412" s="17" t="str">
        <x:v>Polytechnic University of Bari</x:v>
      </x:c>
      <x:c r="D412" s="17" t="str">
        <x:v>ror:03c44v465:program:unclear:cross-path-catalog-review</x:v>
      </x:c>
      <x:c r="E412" s="17" t="str"/>
      <x:c r="F412" s="17" t="str">
        <x:v>discovery</x:v>
      </x:c>
      <x:c r="G412" s="17" t="str">
        <x:v>Stage 2 recorded this row as a discovery candidate; it does not independently verify an exact current research program, eligibility, or funding.</x:v>
      </x:c>
      <x:c r="H412" s="17" t="str">
        <x:v>Pass 2 Stage 2 candidate funnel</x:v>
      </x:c>
      <x:c r="I412" s="17" t="str">
        <x:v>Graduate audit pipeline</x:v>
      </x:c>
      <x:c r="J412" s="17" t="str">
        <x:v>derived</x:v>
      </x:c>
      <x:c r="K412" s="17" t="str">
        <x:v>2026-09-11</x:v>
      </x:c>
      <x:c r="L412" s="17" t="str">
        <x:v>Not cycle-specific</x:v>
      </x:c>
      <x:c r="M412" s="17" t="str">
        <x:v>low</x:v>
      </x:c>
      <x:c r="N412" s="17" t="str">
        <x:v>Discovery evidence only</x:v>
      </x:c>
      <x:c r="O412" s="17" t="str">
        <x:v>Use the source_record_paths field to trace the underlying discovery inputs.</x:v>
      </x:c>
      <x:c r="P412" s="18" t="e">
        <x:f>HYPERLINK("http://www.poliba.it/","Open source")</x:f>
        <x:v>HYPERLINK is not implemented. linkLocation=http://www.poliba.it/, friendlyName=Open source</x:v>
      </x:c>
    </x:row>
    <x:row r="413" ht="46" customHeight="1">
      <x:c r="A413" s="17" t="str">
        <x:v>stage3src:b606058cd5538679aedb</x:v>
      </x:c>
      <x:c r="B413" s="17" t="str">
        <x:v>program</x:v>
      </x:c>
      <x:c r="C413" s="17" t="str">
        <x:v>University of West London</x:v>
      </x:c>
      <x:c r="D413" s="17" t="str">
        <x:v>ror:03e5mzp60:program:unclear:cross-path-catalog-review</x:v>
      </x:c>
      <x:c r="E413" s="17" t="str"/>
      <x:c r="F413" s="17" t="str">
        <x:v>discovery</x:v>
      </x:c>
      <x:c r="G413" s="17" t="str">
        <x:v>Stage 2 recorded this row as a discovery candidate; it does not independently verify an exact current research program, eligibility, or funding.</x:v>
      </x:c>
      <x:c r="H413" s="17" t="str">
        <x:v>Pass 2 Stage 2 candidate funnel</x:v>
      </x:c>
      <x:c r="I413" s="17" t="str">
        <x:v>Graduate audit pipeline</x:v>
      </x:c>
      <x:c r="J413" s="17" t="str">
        <x:v>derived</x:v>
      </x:c>
      <x:c r="K413" s="17" t="str">
        <x:v>2026-09-11</x:v>
      </x:c>
      <x:c r="L413" s="17" t="str">
        <x:v>Not cycle-specific</x:v>
      </x:c>
      <x:c r="M413" s="17" t="str">
        <x:v>low</x:v>
      </x:c>
      <x:c r="N413" s="17" t="str">
        <x:v>Discovery evidence only</x:v>
      </x:c>
      <x:c r="O413" s="17" t="str">
        <x:v>Use the source_record_paths field to trace the underlying discovery inputs.</x:v>
      </x:c>
      <x:c r="P413" s="18" t="e">
        <x:f>HYPERLINK("https://www.uwl.ac.uk","Open source")</x:f>
        <x:v>HYPERLINK is not implemented. linkLocation=https://www.uwl.ac.uk, friendlyName=Open source</x:v>
      </x:c>
    </x:row>
    <x:row r="414" ht="46" customHeight="1">
      <x:c r="A414" s="17" t="str">
        <x:v>stage3src:d05913505aa0bd43c25a</x:v>
      </x:c>
      <x:c r="B414" s="17" t="str">
        <x:v>program</x:v>
      </x:c>
      <x:c r="C414" s="17" t="str">
        <x:v>BI Norwegian Business School</x:v>
      </x:c>
      <x:c r="D414" s="17" t="str">
        <x:v>ror:03ez40v33:program:unclear:cross-path-catalog-review</x:v>
      </x:c>
      <x:c r="E414" s="17" t="str"/>
      <x:c r="F414" s="17" t="str">
        <x:v>discovery</x:v>
      </x:c>
      <x:c r="G414" s="17" t="str">
        <x:v>Stage 2 recorded this row as a discovery candidate; it does not independently verify an exact current research program, eligibility, or funding.</x:v>
      </x:c>
      <x:c r="H414" s="17" t="str">
        <x:v>Pass 2 Stage 2 candidate funnel</x:v>
      </x:c>
      <x:c r="I414" s="17" t="str">
        <x:v>Graduate audit pipeline</x:v>
      </x:c>
      <x:c r="J414" s="17" t="str">
        <x:v>derived</x:v>
      </x:c>
      <x:c r="K414" s="17" t="str">
        <x:v>2026-09-11</x:v>
      </x:c>
      <x:c r="L414" s="17" t="str">
        <x:v>Not cycle-specific</x:v>
      </x:c>
      <x:c r="M414" s="17" t="str">
        <x:v>low</x:v>
      </x:c>
      <x:c r="N414" s="17" t="str">
        <x:v>Discovery evidence only</x:v>
      </x:c>
      <x:c r="O414" s="17" t="str">
        <x:v>Use the source_record_paths field to trace the underlying discovery inputs.</x:v>
      </x:c>
      <x:c r="P414" s="18" t="e">
        <x:f>HYPERLINK("http://www.bi.edu/","Open source")</x:f>
        <x:v>HYPERLINK is not implemented. linkLocation=http://www.bi.edu/, friendlyName=Open source</x:v>
      </x:c>
    </x:row>
    <x:row r="415" ht="46" customHeight="1">
      <x:c r="A415" s="17" t="str">
        <x:v>stage3src:7ec4e93280811ec3230b</x:v>
      </x:c>
      <x:c r="B415" s="17" t="str">
        <x:v>program</x:v>
      </x:c>
      <x:c r="C415" s="17" t="str">
        <x:v>Universitat Politècnica de Catalunya</x:v>
      </x:c>
      <x:c r="D415" s="17" t="str">
        <x:v>ror:03mb6wj31:program:unclear:cross-path-catalog-review</x:v>
      </x:c>
      <x:c r="E415" s="17" t="str"/>
      <x:c r="F415" s="17" t="str">
        <x:v>discovery</x:v>
      </x:c>
      <x:c r="G415" s="17" t="str">
        <x:v>Stage 2 recorded this row as a discovery candidate; it does not independently verify an exact current research program, eligibility, or funding.</x:v>
      </x:c>
      <x:c r="H415" s="17" t="str">
        <x:v>Pass 2 Stage 2 candidate funnel</x:v>
      </x:c>
      <x:c r="I415" s="17" t="str">
        <x:v>Graduate audit pipeline</x:v>
      </x:c>
      <x:c r="J415" s="17" t="str">
        <x:v>derived</x:v>
      </x:c>
      <x:c r="K415" s="17" t="str">
        <x:v>2026-09-11</x:v>
      </x:c>
      <x:c r="L415" s="17" t="str">
        <x:v>Not cycle-specific</x:v>
      </x:c>
      <x:c r="M415" s="17" t="str">
        <x:v>low</x:v>
      </x:c>
      <x:c r="N415" s="17" t="str">
        <x:v>Discovery evidence only</x:v>
      </x:c>
      <x:c r="O415" s="17" t="str">
        <x:v>Use the source_record_paths field to trace the underlying discovery inputs.</x:v>
      </x:c>
      <x:c r="P415" s="18" t="e">
        <x:f>HYPERLINK("https://www.upc.edu","Open source")</x:f>
        <x:v>HYPERLINK is not implemented. linkLocation=https://www.upc.edu, friendlyName=Open source</x:v>
      </x:c>
    </x:row>
    <x:row r="416" ht="46" customHeight="1">
      <x:c r="A416" s="17" t="str">
        <x:v>stage3src:316be437c55b2ba51746</x:v>
      </x:c>
      <x:c r="B416" s="17" t="str">
        <x:v>program</x:v>
      </x:c>
      <x:c r="C416" s="17" t="str">
        <x:v>Universidad Politécnica de Madrid</x:v>
      </x:c>
      <x:c r="D416" s="17" t="str">
        <x:v>ror:03n6nwv02:program:unclear:cross-path-catalog-review</x:v>
      </x:c>
      <x:c r="E416" s="17" t="str"/>
      <x:c r="F416" s="17" t="str">
        <x:v>discovery</x:v>
      </x:c>
      <x:c r="G416" s="17" t="str">
        <x:v>Stage 2 recorded this row as a discovery candidate; it does not independently verify an exact current research program, eligibility, or funding.</x:v>
      </x:c>
      <x:c r="H416" s="17" t="str">
        <x:v>Pass 2 Stage 2 candidate funnel</x:v>
      </x:c>
      <x:c r="I416" s="17" t="str">
        <x:v>Graduate audit pipeline</x:v>
      </x:c>
      <x:c r="J416" s="17" t="str">
        <x:v>derived</x:v>
      </x:c>
      <x:c r="K416" s="17" t="str">
        <x:v>2026-09-11</x:v>
      </x:c>
      <x:c r="L416" s="17" t="str">
        <x:v>Not cycle-specific</x:v>
      </x:c>
      <x:c r="M416" s="17" t="str">
        <x:v>low</x:v>
      </x:c>
      <x:c r="N416" s="17" t="str">
        <x:v>Discovery evidence only</x:v>
      </x:c>
      <x:c r="O416" s="17" t="str">
        <x:v>Use the source_record_paths field to trace the underlying discovery inputs.</x:v>
      </x:c>
      <x:c r="P416" s="18" t="e">
        <x:f>HYPERLINK("https://www.upm.es","Open source")</x:f>
        <x:v>HYPERLINK is not implemented. linkLocation=https://www.upm.es, friendlyName=Open source</x:v>
      </x:c>
    </x:row>
    <x:row r="417" ht="46" customHeight="1">
      <x:c r="A417" s="17" t="str">
        <x:v>stage3src:1da667e91c82bcf0c7ed</x:v>
      </x:c>
      <x:c r="B417" s="17" t="str">
        <x:v>program</x:v>
      </x:c>
      <x:c r="C417" s="17" t="str">
        <x:v>Technische Universität Berlin</x:v>
      </x:c>
      <x:c r="D417" s="17" t="str">
        <x:v>ror:03v4gjf40:program:thesis-or-research-master-s:computer-science-informatik-m-sc</x:v>
      </x:c>
      <x:c r="E417" s="17" t="str"/>
      <x:c r="F417" s="17" t="str">
        <x:v>funding|tuition|fees</x:v>
      </x:c>
      <x:c r="G417" s="17" t="str">
        <x:v>No tuition, required semester fee, external and limited university scholarship menu, and no program-level living-cost package.</x:v>
      </x:c>
      <x:c r="H417" s="17" t="str">
        <x:v>Financing Your Studies</x:v>
      </x:c>
      <x:c r="I417" s="17" t="str">
        <x:v>Technische Universität Berlin</x:v>
      </x:c>
      <x:c r="J417" s="17" t="str">
        <x:v>official</x:v>
      </x:c>
      <x:c r="K417" s="17" t="str">
        <x:v>2026-09-10</x:v>
      </x:c>
      <x:c r="L417" s="17" t="str">
        <x:v>Current funding guidance checked 2026-09-10</x:v>
      </x:c>
      <x:c r="M417" s="17" t="str">
        <x:v>high</x:v>
      </x:c>
      <x:c r="N417" s="17" t="str">
        <x:v>official page checked</x:v>
      </x:c>
      <x:c r="O417" s="17" t="str">
        <x:v>Current semester amount cross-checked at https://www.tu.berlin/en/studying/organizing-your-studies/topics-a-z/semester-fees.</x:v>
      </x:c>
      <x:c r="P417" s="18" t="e">
        <x:f>HYPERLINK("https://www.tu.berlin/en/studying/organizing-your-studies/financing-your-studies/","Open source")</x:f>
        <x:v>HYPERLINK is not implemented. linkLocation=https://www.tu.berlin/en/studying/organizing-your-studies/financing-your-studies/, friendlyName=Open source</x:v>
      </x:c>
    </x:row>
    <x:row r="418" ht="46" customHeight="1">
      <x:c r="A418" s="17" t="str">
        <x:v>stage3src:20316fbd9acc53daec70</x:v>
      </x:c>
      <x:c r="B418" s="17" t="str">
        <x:v>program</x:v>
      </x:c>
      <x:c r="C418" s="17" t="str">
        <x:v>Technische Universität Berlin</x:v>
      </x:c>
      <x:c r="D418" s="17" t="str">
        <x:v>ror:03v4gjf40:program:thesis-or-research-master-s:computer-science-informatik-m-sc</x:v>
      </x:c>
      <x:c r="E418" s="17" t="str"/>
      <x:c r="F418" s="17" t="str">
        <x:v>program|admissions|eligibility|language</x:v>
      </x:c>
      <x:c r="G418" s="17" t="str">
        <x:v>Current master's route, exact credit buckets, B2 English, VPD process, and examination-board equivalency decision.</x:v>
      </x:c>
      <x:c r="H418" s="17" t="str">
        <x:v>M.Sc. Computer Science: Application and Admission</x:v>
      </x:c>
      <x:c r="I418" s="17" t="str">
        <x:v>Technische Universität Berlin Faculty IV</x:v>
      </x:c>
      <x:c r="J418" s="17" t="str">
        <x:v>official</x:v>
      </x:c>
      <x:c r="K418" s="17" t="str">
        <x:v>2026-09-10</x:v>
      </x:c>
      <x:c r="L418" s="17" t="str">
        <x:v>Current admission rules checked 2026-09-10</x:v>
      </x:c>
      <x:c r="M418" s="17" t="str">
        <x:v>high</x:v>
      </x:c>
      <x:c r="N418" s="17" t="str">
        <x:v>official page checked</x:v>
      </x:c>
      <x:c r="O418" s="17" t="str"/>
      <x:c r="P418" s="18" t="e">
        <x:f>HYPERLINK("https://www.tu.berlin/en/eecs/academics-teaching/study-offer/masters-programs/msc-computer-science-informatik/msc-cs-in-application-admission","Open source")</x:f>
        <x:v>HYPERLINK is not implemented. linkLocation=https://www.tu.berlin/en/eecs/academics-teaching/study-offer/masters-programs/msc-computer-science-informatik/msc-cs-in-application-admission, friendlyName=Open source</x:v>
      </x:c>
    </x:row>
    <x:row r="419" ht="46" customHeight="1">
      <x:c r="A419" s="17" t="str">
        <x:v>stage3src:73a94f161215af58b4de</x:v>
      </x:c>
      <x:c r="B419" s="17" t="str">
        <x:v>program</x:v>
      </x:c>
      <x:c r="C419" s="17" t="str">
        <x:v>Technische Universität Berlin</x:v>
      </x:c>
      <x:c r="D419" s="17" t="str">
        <x:v>ror:03v4gjf40:program:thesis-or-research-master-s:computer-science-informatik-m-sc</x:v>
      </x:c>
      <x:c r="E419" s="17" t="str"/>
      <x:c r="F419" s="17" t="str">
        <x:v>admissions|deadline|fees</x:v>
      </x:c>
      <x:c r="G419" s="17" t="str">
        <x:v>Foreign-degree VPD requirement, uni-assist processing fee, one-master's-application-per-semester rule, and latest published application process.</x:v>
      </x:c>
      <x:c r="H419" s="17" t="str">
        <x:v>Applying with a Primary University Degree from a Foreign University</x:v>
      </x:c>
      <x:c r="I419" s="17" t="str">
        <x:v>Technische Universität Berlin Office of Student Affairs</x:v>
      </x:c>
      <x:c r="J419" s="17" t="str">
        <x:v>official</x:v>
      </x:c>
      <x:c r="K419" s="17" t="str">
        <x:v>2026-09-10</x:v>
      </x:c>
      <x:c r="L419" s="17" t="str">
        <x:v>Latest 2026-2027 process checked 2026-09-10</x:v>
      </x:c>
      <x:c r="M419" s="17" t="str">
        <x:v>high</x:v>
      </x:c>
      <x:c r="N419" s="17" t="str">
        <x:v>official page checked</x:v>
      </x:c>
      <x:c r="O419" s="17" t="str"/>
      <x:c r="P419" s="18" t="e">
        <x:f>HYPERLINK("https://www.tu.berlin/en/i-a-office-of-student-affairs/masters-application-enrollment/application/applying-with-a-primary-university-degree-from-a-foreign-university","Open source")</x:f>
        <x:v>HYPERLINK is not implemented. linkLocation=https://www.tu.berlin/en/i-a-office-of-student-affairs/masters-application-enrollment/application/applying-with-a-primary-university-degree-from-a-foreign-university, friendlyName=Open source</x:v>
      </x:c>
    </x:row>
    <x:row r="420" ht="46" customHeight="1">
      <x:c r="A420" s="17" t="str">
        <x:v>stage3src:36d0dcad8c0cccf3434f</x:v>
      </x:c>
      <x:c r="B420" s="17" t="str">
        <x:v>program</x:v>
      </x:c>
      <x:c r="C420" s="17" t="str">
        <x:v>Technische Universität Berlin</x:v>
      </x:c>
      <x:c r="D420" s="17" t="str">
        <x:v>ror:03v4gjf40:program:unclear:cross-path-catalog-review</x:v>
      </x:c>
      <x:c r="E420" s="17" t="str"/>
      <x:c r="F420" s="17" t="str">
        <x:v>discovery</x:v>
      </x:c>
      <x:c r="G420" s="17" t="str">
        <x:v>Stage 2 recorded this row as a discovery candidate; it does not independently verify an exact current research program, eligibility, or funding.</x:v>
      </x:c>
      <x:c r="H420" s="17" t="str">
        <x:v>Pass 2 Stage 2 candidate funnel</x:v>
      </x:c>
      <x:c r="I420" s="17" t="str">
        <x:v>Graduate audit pipeline</x:v>
      </x:c>
      <x:c r="J420" s="17" t="str">
        <x:v>derived</x:v>
      </x:c>
      <x:c r="K420" s="17" t="str">
        <x:v>2026-09-11</x:v>
      </x:c>
      <x:c r="L420" s="17" t="str">
        <x:v>Not cycle-specific</x:v>
      </x:c>
      <x:c r="M420" s="17" t="str">
        <x:v>low</x:v>
      </x:c>
      <x:c r="N420" s="17" t="str">
        <x:v>Discovery evidence only</x:v>
      </x:c>
      <x:c r="O420" s="17" t="str">
        <x:v>Use the source_record_paths field to trace the underlying discovery inputs.</x:v>
      </x:c>
      <x:c r="P420" s="18" t="e">
        <x:f>HYPERLINK("https://www.tu.berlin","Open source")</x:f>
        <x:v>HYPERLINK is not implemented. linkLocation=https://www.tu.berlin, friendlyName=Open source</x:v>
      </x:c>
    </x:row>
    <x:row r="421" ht="46" customHeight="1">
      <x:c r="A421" s="17" t="str">
        <x:v>stage3src:31f1a78a073cefadeb4f</x:v>
      </x:c>
      <x:c r="B421" s="17" t="str">
        <x:v>program</x:v>
      </x:c>
      <x:c r="C421" s="17" t="str">
        <x:v>Université Paris-Saclay</x:v>
      </x:c>
      <x:c r="D421" s="17" t="str">
        <x:v>ror:03xjwb503:program:unclear:cross-path-catalog-review</x:v>
      </x:c>
      <x:c r="E421" s="17" t="str"/>
      <x:c r="F421" s="17" t="str">
        <x:v>discovery</x:v>
      </x:c>
      <x:c r="G421" s="17" t="str">
        <x:v>Stage 2 recorded this row as a discovery candidate; it does not independently verify an exact current research program, eligibility, or funding.</x:v>
      </x:c>
      <x:c r="H421" s="17" t="str">
        <x:v>Pass 2 Stage 2 candidate funnel</x:v>
      </x:c>
      <x:c r="I421" s="17" t="str">
        <x:v>Graduate audit pipeline</x:v>
      </x:c>
      <x:c r="J421" s="17" t="str">
        <x:v>derived</x:v>
      </x:c>
      <x:c r="K421" s="17" t="str">
        <x:v>2026-09-11</x:v>
      </x:c>
      <x:c r="L421" s="17" t="str">
        <x:v>Not cycle-specific</x:v>
      </x:c>
      <x:c r="M421" s="17" t="str">
        <x:v>low</x:v>
      </x:c>
      <x:c r="N421" s="17" t="str">
        <x:v>Discovery evidence only</x:v>
      </x:c>
      <x:c r="O421" s="17" t="str">
        <x:v>Use the source_record_paths field to trace the underlying discovery inputs.</x:v>
      </x:c>
      <x:c r="P421" s="18" t="e">
        <x:f>HYPERLINK("http://www.universite-paris-saclay.fr/fr","Open source")</x:f>
        <x:v>HYPERLINK is not implemented. linkLocation=http://www.universite-paris-saclay.fr/fr, friendlyName=Open source</x:v>
      </x:c>
    </x:row>
    <x:row r="422" ht="46" customHeight="1">
      <x:c r="A422" s="17" t="str">
        <x:v>stage3src:04e98a087793606cedf3</x:v>
      </x:c>
      <x:c r="B422" s="17" t="str">
        <x:v>program</x:v>
      </x:c>
      <x:c r="C422" s="17" t="str">
        <x:v>University of Oulu</x:v>
      </x:c>
      <x:c r="D422" s="17" t="str">
        <x:v>ror:03yj89h83:program:thesis-or-research-master-s:master-s-in-software-engineering-and-information-systems</x:v>
      </x:c>
      <x:c r="E422" s="17" t="str"/>
      <x:c r="F422" s="17" t="str">
        <x:v>program|research|admissions|eligibility|language|deadline|tuition|funding</x:v>
      </x:c>
      <x:c r="G422" s="17" t="str">
        <x:v>Current English 120-credit master's, January 2027 window, non-EU tuition, partial waiver, and software-engineering focus.</x:v>
      </x:c>
      <x:c r="H422" s="17" t="str">
        <x:v>Master's in Software Engineering and Information Systems</x:v>
      </x:c>
      <x:c r="I422" s="17" t="str">
        <x:v>University of Oulu</x:v>
      </x:c>
      <x:c r="J422" s="17" t="str">
        <x:v>official</x:v>
      </x:c>
      <x:c r="K422" s="17" t="str">
        <x:v>2026-09-10</x:v>
      </x:c>
      <x:c r="L422" s="17" t="str">
        <x:v>January 2027</x:v>
      </x:c>
      <x:c r="M422" s="17" t="str">
        <x:v>high</x:v>
      </x:c>
      <x:c r="N422" s="17" t="str">
        <x:v>official page checked</x:v>
      </x:c>
      <x:c r="O422" s="17" t="str"/>
      <x:c r="P422" s="18" t="e">
        <x:f>HYPERLINK("https://www.oulu.fi/en/apply/masters-software-engineering-and-information-systems","Open source")</x:f>
        <x:v>HYPERLINK is not implemented. linkLocation=https://www.oulu.fi/en/apply/masters-software-engineering-and-information-systems, friendlyName=Open source</x:v>
      </x:c>
    </x:row>
    <x:row r="423" ht="46" customHeight="1">
      <x:c r="A423" s="17" t="str">
        <x:v>stage3src:08f413b889b2508fe591</x:v>
      </x:c>
      <x:c r="B423" s="17" t="str">
        <x:v>program</x:v>
      </x:c>
      <x:c r="C423" s="17" t="str">
        <x:v>University of Oulu</x:v>
      </x:c>
      <x:c r="D423" s="17" t="str">
        <x:v>ror:03yj89h83:program:thesis-or-research-master-s:master-s-in-software-engineering-and-information-systems</x:v>
      </x:c>
      <x:c r="E423" s="17" t="str"/>
      <x:c r="F423" s="17" t="str">
        <x:v>admissions|fees|funding|tuition|deadline</x:v>
      </x:c>
      <x:c r="G423" s="17" t="str">
        <x:v>EUR 10,000 fee and partial early-payment or continuing-student waiver conditions without full living support.</x:v>
      </x:c>
      <x:c r="H423" s="17" t="str">
        <x:v>Tuition Fees and Scholarships for International Applicants</x:v>
      </x:c>
      <x:c r="I423" s="17" t="str">
        <x:v>University of Oulu</x:v>
      </x:c>
      <x:c r="J423" s="17" t="str">
        <x:v>official</x:v>
      </x:c>
      <x:c r="K423" s="17" t="str">
        <x:v>2026-09-10</x:v>
      </x:c>
      <x:c r="L423" s="17" t="str">
        <x:v>Latest 2026-2027 fee policy; 2027-2028 confirmation required</x:v>
      </x:c>
      <x:c r="M423" s="17" t="str">
        <x:v>high</x:v>
      </x:c>
      <x:c r="N423" s="17" t="str">
        <x:v>official page checked</x:v>
      </x:c>
      <x:c r="O423" s="17" t="str"/>
      <x:c r="P423" s="18" t="e">
        <x:f>HYPERLINK("https://www.oulu.fi/en/apply/how-apply/university-oulu-tuition-fees-and-scholarships-for-international-applicants","Open source")</x:f>
        <x:v>HYPERLINK is not implemented. linkLocation=https://www.oulu.fi/en/apply/how-apply/university-oulu-tuition-fees-and-scholarships-for-international-applicants, friendlyName=Open source</x:v>
      </x:c>
    </x:row>
    <x:row r="424" ht="46" customHeight="1">
      <x:c r="A424" s="17" t="str">
        <x:v>stage3src:d25a9522a227bac0c9b4</x:v>
      </x:c>
      <x:c r="B424" s="17" t="str">
        <x:v>program</x:v>
      </x:c>
      <x:c r="C424" s="17" t="str">
        <x:v>University of Oulu</x:v>
      </x:c>
      <x:c r="D424" s="17" t="str">
        <x:v>ror:03yj89h83:program:thesis-or-research-master-s:master-s-in-software-engineering-and-information-systems</x:v>
      </x:c>
      <x:c r="E424" s="17" t="str"/>
      <x:c r="F424" s="17" t="str">
        <x:v>program|research|eligibility</x:v>
      </x:c>
      <x:c r="G424" s="17" t="str">
        <x:v>English curriculum, research methods, R&amp;D project, software-engineering orientation, and master's thesis structure.</x:v>
      </x:c>
      <x:c r="H424" s="17" t="str">
        <x:v>ITEE Study Programme 2026-2027</x:v>
      </x:c>
      <x:c r="I424" s="17" t="str">
        <x:v>University of Oulu</x:v>
      </x:c>
      <x:c r="J424" s="17" t="str">
        <x:v>official</x:v>
      </x:c>
      <x:c r="K424" s="17" t="str">
        <x:v>2026-09-10</x:v>
      </x:c>
      <x:c r="L424" s="17" t="str">
        <x:v>2026-2027 curriculum</x:v>
      </x:c>
      <x:c r="M424" s="17" t="str">
        <x:v>high</x:v>
      </x:c>
      <x:c r="N424" s="17" t="str">
        <x:v>official page checked</x:v>
      </x:c>
      <x:c r="O424" s="17" t="str"/>
      <x:c r="P424" s="18" t="e">
        <x:f>HYPERLINK("https://opas.peppi.oulu.fi/en/masters-programmes-2-years/faculty-of-information-technology-and-electrical-engineering/11740/10965?period=2026-2027","Open source")</x:f>
        <x:v>HYPERLINK is not implemented. linkLocation=https://opas.peppi.oulu.fi/en/masters-programmes-2-years/faculty-of-information-technology-and-electrical-engineering/11740/10965?period=2026-2027, friendlyName=Open source</x:v>
      </x:c>
    </x:row>
    <x:row r="425" ht="46" customHeight="1">
      <x:c r="A425" s="17" t="str">
        <x:v>stage3src:1439766b548863314c0f</x:v>
      </x:c>
      <x:c r="B425" s="17" t="str">
        <x:v>program</x:v>
      </x:c>
      <x:c r="C425" s="17" t="str">
        <x:v>University of Oulu</x:v>
      </x:c>
      <x:c r="D425" s="17" t="str">
        <x:v>ror:03yj89h83:program:unclear:cross-path-catalog-review</x:v>
      </x:c>
      <x:c r="E425" s="17" t="str"/>
      <x:c r="F425" s="17" t="str">
        <x:v>discovery</x:v>
      </x:c>
      <x:c r="G425" s="17" t="str">
        <x:v>Stage 2 recorded this row as a discovery candidate; it does not independently verify an exact current research program, eligibility, or funding.</x:v>
      </x:c>
      <x:c r="H425" s="17" t="str">
        <x:v>Pass 2 Stage 2 candidate funnel</x:v>
      </x:c>
      <x:c r="I425" s="17" t="str">
        <x:v>Graduate audit pipeline</x:v>
      </x:c>
      <x:c r="J425" s="17" t="str">
        <x:v>derived</x:v>
      </x:c>
      <x:c r="K425" s="17" t="str">
        <x:v>2026-09-11</x:v>
      </x:c>
      <x:c r="L425" s="17" t="str">
        <x:v>Not cycle-specific</x:v>
      </x:c>
      <x:c r="M425" s="17" t="str">
        <x:v>low</x:v>
      </x:c>
      <x:c r="N425" s="17" t="str">
        <x:v>Discovery evidence only</x:v>
      </x:c>
      <x:c r="O425" s="17" t="str">
        <x:v>Use the source_record_paths field to trace the underlying discovery inputs.</x:v>
      </x:c>
      <x:c r="P425" s="18" t="e">
        <x:f>HYPERLINK("https://www.oulu.fi","Open source")</x:f>
        <x:v>HYPERLINK is not implemented. linkLocation=https://www.oulu.fi, friendlyName=Open source</x:v>
      </x:c>
    </x:row>
    <x:row r="426" ht="46" customHeight="1">
      <x:c r="A426" s="17" t="str">
        <x:v>stage3src:115a884580a0396cf7c8</x:v>
      </x:c>
      <x:c r="B426" s="17" t="str">
        <x:v>program</x:v>
      </x:c>
      <x:c r="C426" s="17" t="str">
        <x:v>University of Southern Denmark</x:v>
      </x:c>
      <x:c r="D426" s="17" t="str">
        <x:v>ror:03yrrjy16:program:thesis-or-research-master-s:software-engineering-msc-in-engineering</x:v>
      </x:c>
      <x:c r="E426" s="17" t="str"/>
      <x:c r="F426" s="17" t="str">
        <x:v>admissions|eligibility|language|deadline</x:v>
      </x:c>
      <x:c r="G426" s="17" t="str">
        <x:v>Relevant bachelor's route, exact ECTS prerequisites, supplementation limits, English proof, fee-paying interview ranking, and February 1 non-EU deadline.</x:v>
      </x:c>
      <x:c r="H426" s="17" t="str">
        <x:v>Entry requirements and admission — Software Engineering MSc</x:v>
      </x:c>
      <x:c r="I426" s="17" t="str">
        <x:v>University of Southern Denmark</x:v>
      </x:c>
      <x:c r="J426" s="17" t="str">
        <x:v>official</x:v>
      </x:c>
      <x:c r="K426" s="17" t="str">
        <x:v>2026-09-11</x:v>
      </x:c>
      <x:c r="L426" s="17" t="str">
        <x:v>Current recurring September-intake rules checked 2026-09-11</x:v>
      </x:c>
      <x:c r="M426" s="17" t="str">
        <x:v>high</x:v>
      </x:c>
      <x:c r="N426" s="17" t="str">
        <x:v>official page checked</x:v>
      </x:c>
      <x:c r="O426" s="17" t="str"/>
      <x:c r="P426" s="18" t="e">
        <x:f>HYPERLINK("https://www.sdu.dk/en/uddannelse/kandidat/softwareengineering/adgangskrav","Open source")</x:f>
        <x:v>HYPERLINK is not implemented. linkLocation=https://www.sdu.dk/en/uddannelse/kandidat/softwareengineering/adgangskrav, friendlyName=Open source</x:v>
      </x:c>
    </x:row>
    <x:row r="427" ht="46" customHeight="1">
      <x:c r="A427" s="17" t="str">
        <x:v>stage3src:97f07e558f9b5c66dc1e</x:v>
      </x:c>
      <x:c r="B427" s="17" t="str">
        <x:v>program</x:v>
      </x:c>
      <x:c r="C427" s="17" t="str">
        <x:v>University of Southern Denmark</x:v>
      </x:c>
      <x:c r="D427" s="17" t="str">
        <x:v>ror:03yrrjy16:program:thesis-or-research-master-s:software-engineering-msc-in-engineering</x:v>
      </x:c>
      <x:c r="E427" s="17" t="str"/>
      <x:c r="F427" s="17" t="str">
        <x:v>funding|tuition|fees</x:v>
      </x:c>
      <x:c r="G427" s="17" t="str">
        <x:v>EUR 17,300 annual non-EU tuition and limited scholarships tied to named programs that do not include Odense Software Engineering.</x:v>
      </x:c>
      <x:c r="H427" s="17" t="str">
        <x:v>Tuition fees and scholarships</x:v>
      </x:c>
      <x:c r="I427" s="17" t="str">
        <x:v>University of Southern Denmark</x:v>
      </x:c>
      <x:c r="J427" s="17" t="str">
        <x:v>official</x:v>
      </x:c>
      <x:c r="K427" s="17" t="str">
        <x:v>2026-09-11</x:v>
      </x:c>
      <x:c r="L427" s="17" t="str">
        <x:v>2026/current page checked 2026-09-11</x:v>
      </x:c>
      <x:c r="M427" s="17" t="str">
        <x:v>high</x:v>
      </x:c>
      <x:c r="N427" s="17" t="str">
        <x:v>official page checked</x:v>
      </x:c>
      <x:c r="O427" s="17" t="str"/>
      <x:c r="P427" s="18" t="e">
        <x:f>HYPERLINK("https://www.sdu.dk/en/uddannelse/fees_and_funding/scholarships","Open source")</x:f>
        <x:v>HYPERLINK is not implemented. linkLocation=https://www.sdu.dk/en/uddannelse/fees_and_funding/scholarships, friendlyName=Open source</x:v>
      </x:c>
    </x:row>
    <x:row r="428" ht="46" customHeight="1">
      <x:c r="A428" s="17" t="str">
        <x:v>stage3src:c0bce9a5091e488a1bb4</x:v>
      </x:c>
      <x:c r="B428" s="17" t="str">
        <x:v>program</x:v>
      </x:c>
      <x:c r="C428" s="17" t="str">
        <x:v>University of Southern Denmark</x:v>
      </x:c>
      <x:c r="D428" s="17" t="str">
        <x:v>ror:03yrrjy16:program:thesis-or-research-master-s:software-engineering-msc-in-engineering</x:v>
      </x:c>
      <x:c r="E428" s="17" t="str"/>
      <x:c r="F428" s="17" t="str">
        <x:v>program|research</x:v>
      </x:c>
      <x:c r="G428" s="17" t="str">
        <x:v>Current English-taught two-year Software Engineering MSc in Engineering, research-integrated curriculum, and master's thesis.</x:v>
      </x:c>
      <x:c r="H428" s="17" t="str">
        <x:v>Software Engineering — MSc in Engineering</x:v>
      </x:c>
      <x:c r="I428" s="17" t="str">
        <x:v>University of Southern Denmark</x:v>
      </x:c>
      <x:c r="J428" s="17" t="str">
        <x:v>official</x:v>
      </x:c>
      <x:c r="K428" s="17" t="str">
        <x:v>2026-09-11</x:v>
      </x:c>
      <x:c r="L428" s="17" t="str">
        <x:v>Current page checked 2026-09-11</x:v>
      </x:c>
      <x:c r="M428" s="17" t="str">
        <x:v>high</x:v>
      </x:c>
      <x:c r="N428" s="17" t="str">
        <x:v>official page checked</x:v>
      </x:c>
      <x:c r="O428" s="17" t="str"/>
      <x:c r="P428" s="18" t="e">
        <x:f>HYPERLINK("https://www.sdu.dk/en/uddannelse/kandidat/softwareengineering","Open source")</x:f>
        <x:v>HYPERLINK is not implemented. linkLocation=https://www.sdu.dk/en/uddannelse/kandidat/softwareengineering, friendlyName=Open source</x:v>
      </x:c>
    </x:row>
    <x:row r="429" ht="46" customHeight="1">
      <x:c r="A429" s="17" t="str">
        <x:v>stage3src:90604fbd60b74d4b3a98</x:v>
      </x:c>
      <x:c r="B429" s="17" t="str">
        <x:v>program</x:v>
      </x:c>
      <x:c r="C429" s="17" t="str">
        <x:v>University of Tartu</x:v>
      </x:c>
      <x:c r="D429" s="17" t="str">
        <x:v>ror:03z77qz90:program:phd-requiring-a-master-s:phd-in-information-technology-computer-science</x:v>
      </x:c>
      <x:c r="E429" s="17" t="str"/>
      <x:c r="F429" s="17" t="str">
        <x:v>language|admissions</x:v>
      </x:c>
      <x:c r="G429" s="17" t="str">
        <x:v>Official English-language or admissions evidence; waivers/test thresholds remain applicant-specific</x:v>
      </x:c>
      <x:c r="H429" s="17" t="str">
        <x:v>University of Tartu — official evidence</x:v>
      </x:c>
      <x:c r="I429" s="17" t="str">
        <x:v>University of Tartu</x:v>
      </x:c>
      <x:c r="J429" s="17" t="str">
        <x:v>official</x:v>
      </x:c>
      <x:c r="K429" s="17" t="str">
        <x:v>2026-09-09</x:v>
      </x:c>
      <x:c r="L429" s="17" t="str">
        <x:v>latest 2026/27 cycle</x:v>
      </x:c>
      <x:c r="M429" s="17" t="str">
        <x:v>high</x:v>
      </x:c>
      <x:c r="N429" s="17" t="str">
        <x:v>accessible or indexed official page</x:v>
      </x:c>
      <x:c r="O429" s="17" t="str">
        <x:v>Search snippets were discovery only; final claim points to the official destination. Recheck cycle-specific facts when 2027 material opens.</x:v>
      </x:c>
      <x:c r="P429" s="18" t="e">
        <x:f>HYPERLINK("https://ut.ee/en/curriculum/computer-science","Open source")</x:f>
        <x:v>HYPERLINK is not implemented. linkLocation=https://ut.ee/en/curriculum/computer-science, friendlyName=Open source</x:v>
      </x:c>
    </x:row>
    <x:row r="430" ht="46" customHeight="1">
      <x:c r="A430" s="17" t="str">
        <x:v>stage3src:b51ccf108d2614234ad8</x:v>
      </x:c>
      <x:c r="B430" s="17" t="str">
        <x:v>program</x:v>
      </x:c>
      <x:c r="C430" s="17" t="str">
        <x:v>University of Tartu</x:v>
      </x:c>
      <x:c r="D430" s="17" t="str">
        <x:v>ror:03z77qz90:program:phd-requiring-a-master-s:phd-in-information-technology-computer-science</x:v>
      </x:c>
      <x:c r="E430" s="17" t="str"/>
      <x:c r="F430" s="17" t="str">
        <x:v>institution</x:v>
      </x:c>
      <x:c r="G430" s="17" t="str">
        <x:v>Official institutional profile/group page used to verify current role and research themes</x:v>
      </x:c>
      <x:c r="H430" s="17" t="str">
        <x:v>Marlon Dumas — official evidence</x:v>
      </x:c>
      <x:c r="I430" s="17" t="str">
        <x:v>University of Tartu</x:v>
      </x:c>
      <x:c r="J430" s="17" t="str">
        <x:v>official</x:v>
      </x:c>
      <x:c r="K430" s="17" t="str">
        <x:v>2026-09-09</x:v>
      </x:c>
      <x:c r="L430" s="17" t="str">
        <x:v>current at 2026-09-09</x:v>
      </x:c>
      <x:c r="M430" s="17" t="str">
        <x:v>high</x:v>
      </x:c>
      <x:c r="N430" s="17" t="str">
        <x:v>accessible or indexed official page</x:v>
      </x:c>
      <x:c r="O430" s="17" t="str">
        <x:v>Search snippets were discovery only; final claim points to the official destination. Recheck cycle-specific facts when 2027 material opens.</x:v>
      </x:c>
      <x:c r="P430" s="18" t="e">
        <x:f>HYPERLINK("https://ut.ee/en/employee/marlon-dumas","Open source")</x:f>
        <x:v>HYPERLINK is not implemented. linkLocation=https://ut.ee/en/employee/marlon-dumas, friendlyName=Open source</x:v>
      </x:c>
    </x:row>
    <x:row r="431" ht="46" customHeight="1">
      <x:c r="A431" s="17" t="str">
        <x:v>stage3src:e6c2e11c2282c6589bab</x:v>
      </x:c>
      <x:c r="B431" s="17" t="str">
        <x:v>program</x:v>
      </x:c>
      <x:c r="C431" s="17" t="str">
        <x:v>University of Tartu</x:v>
      </x:c>
      <x:c r="D431" s="17" t="str">
        <x:v>ror:03z77qz90:program:phd-requiring-a-master-s:phd-in-information-technology-computer-science</x:v>
      </x:c>
      <x:c r="E431" s="17" t="str"/>
      <x:c r="F431" s="17" t="str">
        <x:v>admissions</x:v>
      </x:c>
      <x:c r="G431" s="17" t="str">
        <x:v>Official program/admissions page; cycle label preserved in deep_programs.csv</x:v>
      </x:c>
      <x:c r="H431" s="17" t="str">
        <x:v>University of Tartu — official evidence</x:v>
      </x:c>
      <x:c r="I431" s="17" t="str">
        <x:v>University of Tartu</x:v>
      </x:c>
      <x:c r="J431" s="17" t="str">
        <x:v>official</x:v>
      </x:c>
      <x:c r="K431" s="17" t="str">
        <x:v>2026-09-09</x:v>
      </x:c>
      <x:c r="L431" s="17" t="str">
        <x:v>latest 2026/27 cycle</x:v>
      </x:c>
      <x:c r="M431" s="17" t="str">
        <x:v>high</x:v>
      </x:c>
      <x:c r="N431" s="17" t="str">
        <x:v>accessible or indexed official page</x:v>
      </x:c>
      <x:c r="O431" s="17" t="str">
        <x:v>Search snippets were discovery only; final claim points to the official destination. Recheck cycle-specific facts when 2027 material opens.</x:v>
      </x:c>
      <x:c r="P431" s="18" t="e">
        <x:f>HYPERLINK("https://ut.ee/en/curriculum/computer-science","Open source")</x:f>
        <x:v>HYPERLINK is not implemented. linkLocation=https://ut.ee/en/curriculum/computer-science, friendlyName=Open source</x:v>
      </x:c>
    </x:row>
    <x:row r="432" ht="46" customHeight="1">
      <x:c r="A432" s="17" t="str">
        <x:v>stage3src:3350d510a76bdb897ac4</x:v>
      </x:c>
      <x:c r="B432" s="17" t="str">
        <x:v>program</x:v>
      </x:c>
      <x:c r="C432" s="17" t="str">
        <x:v>University of Tartu</x:v>
      </x:c>
      <x:c r="D432" s="17" t="str">
        <x:v>ror:03z77qz90:program:thesis-or-research-master-s:master-s-in-computer-science</x:v>
      </x:c>
      <x:c r="E432" s="17" t="str"/>
      <x:c r="F432" s="17" t="str">
        <x:v>funding</x:v>
      </x:c>
      <x:c r="G432" s="17" t="str">
        <x:v>EUR 300 monthly master's specialization stipend and full-time/progress conditions.</x:v>
      </x:c>
      <x:c r="H432" s="17" t="str">
        <x:v>Specialisation Stipend of Information Technology Curricula</x:v>
      </x:c>
      <x:c r="I432" s="17" t="str">
        <x:v>University of Tartu</x:v>
      </x:c>
      <x:c r="J432" s="17" t="str">
        <x:v>official</x:v>
      </x:c>
      <x:c r="K432" s="17" t="str">
        <x:v>2026-09-11</x:v>
      </x:c>
      <x:c r="L432" s="17" t="str">
        <x:v>Current stipend rules checked 2026-09-11</x:v>
      </x:c>
      <x:c r="M432" s="17" t="str">
        <x:v>high</x:v>
      </x:c>
      <x:c r="N432" s="17" t="str">
        <x:v>official page checked</x:v>
      </x:c>
      <x:c r="O432" s="17" t="str"/>
      <x:c r="P432" s="18" t="e">
        <x:f>HYPERLINK("https://ut.ee/en/content/specialisation-stipends-information-technology-curricula","Open source")</x:f>
        <x:v>HYPERLINK is not implemented. linkLocation=https://ut.ee/en/content/specialisation-stipends-information-technology-curricula, friendlyName=Open source</x:v>
      </x:c>
    </x:row>
    <x:row r="433" ht="46" customHeight="1">
      <x:c r="A433" s="17" t="str">
        <x:v>stage3src:a77401c7acbe389d05d6</x:v>
      </x:c>
      <x:c r="B433" s="17" t="str">
        <x:v>program</x:v>
      </x:c>
      <x:c r="C433" s="17" t="str">
        <x:v>University of Tartu</x:v>
      </x:c>
      <x:c r="D433" s="17" t="str">
        <x:v>ror:03z77qz90:program:thesis-or-research-master-s:master-s-in-computer-science</x:v>
      </x:c>
      <x:c r="E433" s="17" t="str"/>
      <x:c r="F433" s="17" t="str">
        <x:v>program|research|admissions|eligibility|language|deadline|tuition</x:v>
      </x:c>
      <x:c r="G433" s="17" t="str">
        <x:v>Current MSc degree, bachelor's and 24-ECTS route, admissions weighting, recurring dates, and EUR 7,200 annual tuition.</x:v>
      </x:c>
      <x:c r="H433" s="17" t="str">
        <x:v>Computer Science</x:v>
      </x:c>
      <x:c r="I433" s="17" t="str">
        <x:v>University of Tartu</x:v>
      </x:c>
      <x:c r="J433" s="17" t="str">
        <x:v>official</x:v>
      </x:c>
      <x:c r="K433" s="17" t="str">
        <x:v>2026-09-11</x:v>
      </x:c>
      <x:c r="L433" s="17" t="str">
        <x:v>Current 2026/27 curriculum and recurring dates checked 2026-09-11</x:v>
      </x:c>
      <x:c r="M433" s="17" t="str">
        <x:v>high</x:v>
      </x:c>
      <x:c r="N433" s="17" t="str">
        <x:v>official page checked</x:v>
      </x:c>
      <x:c r="O433" s="17" t="str"/>
      <x:c r="P433" s="18" t="e">
        <x:f>HYPERLINK("https://ut.ee/en/curriculum/computer-science","Open source")</x:f>
        <x:v>HYPERLINK is not implemented. linkLocation=https://ut.ee/en/curriculum/computer-science, friendlyName=Open source</x:v>
      </x:c>
    </x:row>
    <x:row r="434" ht="46" customHeight="1">
      <x:c r="A434" s="17" t="str">
        <x:v>stage3src:e82373e48cd6d884d66d</x:v>
      </x:c>
      <x:c r="B434" s="17" t="str">
        <x:v>program</x:v>
      </x:c>
      <x:c r="C434" s="17" t="str">
        <x:v>University of Tartu</x:v>
      </x:c>
      <x:c r="D434" s="17" t="str">
        <x:v>ror:03z77qz90:program:thesis-or-research-master-s:master-s-in-computer-science</x:v>
      </x:c>
      <x:c r="E434" s="17" t="str"/>
      <x:c r="F434" s="17" t="str">
        <x:v>funding|tuition|fees|health|summer</x:v>
      </x:c>
      <x:c r="G434" s="17" t="str">
        <x:v>Competitive institute scholarships and stipend amounts without a universal full-cost package.</x:v>
      </x:c>
      <x:c r="H434" s="17" t="str">
        <x:v>Scholarships</x:v>
      </x:c>
      <x:c r="I434" s="17" t="str">
        <x:v>University of Tartu Institute of Computer Science</x:v>
      </x:c>
      <x:c r="J434" s="17" t="str">
        <x:v>official</x:v>
      </x:c>
      <x:c r="K434" s="17" t="str">
        <x:v>2026-09-11</x:v>
      </x:c>
      <x:c r="L434" s="17" t="str">
        <x:v>Current scholarship page checked 2026-09-11</x:v>
      </x:c>
      <x:c r="M434" s="17" t="str">
        <x:v>high</x:v>
      </x:c>
      <x:c r="N434" s="17" t="str">
        <x:v>official page checked</x:v>
      </x:c>
      <x:c r="O434" s="17" t="str"/>
      <x:c r="P434" s="18" t="e">
        <x:f>HYPERLINK("https://cs.ut.ee/en/scholarships","Open source")</x:f>
        <x:v>HYPERLINK is not implemented. linkLocation=https://cs.ut.ee/en/scholarships, friendlyName=Open source</x:v>
      </x:c>
    </x:row>
    <x:row r="435" ht="46" customHeight="1">
      <x:c r="A435" s="17" t="str">
        <x:v>stage3src:ed00cbaeff9d6090c5c3</x:v>
      </x:c>
      <x:c r="B435" s="17" t="str">
        <x:v>program</x:v>
      </x:c>
      <x:c r="C435" s="17" t="str">
        <x:v>University of Tartu</x:v>
      </x:c>
      <x:c r="D435" s="17" t="str">
        <x:v>ror:03z77qz90:program:thesis-or-research-master-s:master-s-in-computer-science</x:v>
      </x:c>
      <x:c r="E435" s="17" t="str"/>
      <x:c r="F435" s="17" t="str">
        <x:v>admissions|fees</x:v>
      </x:c>
      <x:c r="G435" s="17" t="str">
        <x:v>EUR 100 international application fee and four exhaustive exemption categories.</x:v>
      </x:c>
      <x:c r="H435" s="17" t="str">
        <x:v>Application Fee</x:v>
      </x:c>
      <x:c r="I435" s="17" t="str">
        <x:v>University of Tartu</x:v>
      </x:c>
      <x:c r="J435" s="17" t="str">
        <x:v>official</x:v>
      </x:c>
      <x:c r="K435" s="17" t="str">
        <x:v>2026-09-11</x:v>
      </x:c>
      <x:c r="L435" s="17" t="str">
        <x:v>Current fee policy checked 2026-09-11</x:v>
      </x:c>
      <x:c r="M435" s="17" t="str">
        <x:v>high</x:v>
      </x:c>
      <x:c r="N435" s="17" t="str">
        <x:v>official page checked</x:v>
      </x:c>
      <x:c r="O435" s="17" t="str"/>
      <x:c r="P435" s="18" t="e">
        <x:f>HYPERLINK("https://ut.ee/en/content/application-fee","Open source")</x:f>
        <x:v>HYPERLINK is not implemented. linkLocation=https://ut.ee/en/content/application-fee, friendlyName=Open source</x:v>
      </x:c>
    </x:row>
    <x:row r="436" ht="46" customHeight="1">
      <x:c r="A436" s="17" t="str">
        <x:v>stage3src:16ab1d538da68072fbe4</x:v>
      </x:c>
      <x:c r="B436" s="17" t="str">
        <x:v>program</x:v>
      </x:c>
      <x:c r="C436" s="17" t="str">
        <x:v>University of Helsinki</x:v>
      </x:c>
      <x:c r="D436" s="17" t="str">
        <x:v>ror:040af2s02:program:phd-requiring-a-master-s:doctoral-programme-in-science-computer-science</x:v>
      </x:c>
      <x:c r="E436" s="17" t="str"/>
      <x:c r="F436" s="17" t="str">
        <x:v>language|admissions</x:v>
      </x:c>
      <x:c r="G436" s="17" t="str">
        <x:v>Official English-language or admissions evidence; waivers/test thresholds remain applicant-specific</x:v>
      </x:c>
      <x:c r="H436" s="17" t="str">
        <x:v>University of Helsinki — official evidence</x:v>
      </x:c>
      <x:c r="I436" s="17" t="str">
        <x:v>University of Helsinki</x:v>
      </x:c>
      <x:c r="J436" s="17" t="str">
        <x:v>official</x:v>
      </x:c>
      <x:c r="K436" s="17" t="str">
        <x:v>2026-09-09</x:v>
      </x:c>
      <x:c r="L436" s="17" t="str">
        <x:v>latest 2026 cycle</x:v>
      </x:c>
      <x:c r="M436" s="17" t="str">
        <x:v>high</x:v>
      </x:c>
      <x:c r="N436" s="17" t="str">
        <x:v>accessible or indexed official page</x:v>
      </x:c>
      <x:c r="O436" s="17" t="str">
        <x:v>Search snippets were discovery only; final claim points to the official destination. Recheck cycle-specific facts when 2027 material opens.</x:v>
      </x:c>
      <x:c r="P436" s="18" t="e">
        <x:f>HYPERLINK("https://www.helsinki.fi/en/admissions-and-education/apply-doctoral-programmes","Open source")</x:f>
        <x:v>HYPERLINK is not implemented. linkLocation=https://www.helsinki.fi/en/admissions-and-education/apply-doctoral-programmes, friendlyName=Open source</x:v>
      </x:c>
    </x:row>
    <x:row r="437" ht="46" customHeight="1">
      <x:c r="A437" s="17" t="str">
        <x:v>stage3src:a9725a512e0f7ed2cb69</x:v>
      </x:c>
      <x:c r="B437" s="17" t="str">
        <x:v>program</x:v>
      </x:c>
      <x:c r="C437" s="17" t="str">
        <x:v>University of Helsinki</x:v>
      </x:c>
      <x:c r="D437" s="17" t="str">
        <x:v>ror:040af2s02:program:phd-requiring-a-master-s:doctoral-programme-in-science-computer-science</x:v>
      </x:c>
      <x:c r="E437" s="17" t="str"/>
      <x:c r="F437" s="17" t="str">
        <x:v>institution</x:v>
      </x:c>
      <x:c r="G437" s="17" t="str">
        <x:v>Official institutional profile/group page used to verify current role and research themes</x:v>
      </x:c>
      <x:c r="H437" s="17" t="str">
        <x:v>Mika Mäntylä — official evidence</x:v>
      </x:c>
      <x:c r="I437" s="17" t="str">
        <x:v>University of Helsinki</x:v>
      </x:c>
      <x:c r="J437" s="17" t="str">
        <x:v>official</x:v>
      </x:c>
      <x:c r="K437" s="17" t="str">
        <x:v>2026-09-09</x:v>
      </x:c>
      <x:c r="L437" s="17" t="str">
        <x:v>current at 2026-09-09</x:v>
      </x:c>
      <x:c r="M437" s="17" t="str">
        <x:v>high</x:v>
      </x:c>
      <x:c r="N437" s="17" t="str">
        <x:v>accessible or indexed official page</x:v>
      </x:c>
      <x:c r="O437" s="17" t="str">
        <x:v>Search snippets were discovery only; final claim points to the official destination. Recheck cycle-specific facts when 2027 material opens.</x:v>
      </x:c>
      <x:c r="P437" s="18" t="e">
        <x:f>HYPERLINK("https://www.helsinki.fi/en/researchgroups/empirical-software-engineering/people","Open source")</x:f>
        <x:v>HYPERLINK is not implemented. linkLocation=https://www.helsinki.fi/en/researchgroups/empirical-software-engineering/people, friendlyName=Open source</x:v>
      </x:c>
    </x:row>
    <x:row r="438" ht="46" customHeight="1">
      <x:c r="A438" s="17" t="str">
        <x:v>stage3src:e0040fe98af8e8d69883</x:v>
      </x:c>
      <x:c r="B438" s="17" t="str">
        <x:v>program</x:v>
      </x:c>
      <x:c r="C438" s="17" t="str">
        <x:v>University of Helsinki</x:v>
      </x:c>
      <x:c r="D438" s="17" t="str">
        <x:v>ror:040af2s02:program:phd-requiring-a-master-s:doctoral-programme-in-science-computer-science</x:v>
      </x:c>
      <x:c r="E438" s="17" t="str"/>
      <x:c r="F438" s="17" t="str">
        <x:v>admissions</x:v>
      </x:c>
      <x:c r="G438" s="17" t="str">
        <x:v>Official program/admissions page; cycle label preserved in deep_programs.csv</x:v>
      </x:c>
      <x:c r="H438" s="17" t="str">
        <x:v>University of Helsinki — official evidence</x:v>
      </x:c>
      <x:c r="I438" s="17" t="str">
        <x:v>University of Helsinki</x:v>
      </x:c>
      <x:c r="J438" s="17" t="str">
        <x:v>official</x:v>
      </x:c>
      <x:c r="K438" s="17" t="str">
        <x:v>2026-09-09</x:v>
      </x:c>
      <x:c r="L438" s="17" t="str">
        <x:v>latest 2026 cycle</x:v>
      </x:c>
      <x:c r="M438" s="17" t="str">
        <x:v>high</x:v>
      </x:c>
      <x:c r="N438" s="17" t="str">
        <x:v>accessible or indexed official page</x:v>
      </x:c>
      <x:c r="O438" s="17" t="str">
        <x:v>Search snippets were discovery only; final claim points to the official destination. Recheck cycle-specific facts when 2027 material opens.</x:v>
      </x:c>
      <x:c r="P438" s="18" t="e">
        <x:f>HYPERLINK("https://www.helsinki.fi/en/admissions-and-education/apply-doctoral-programmes","Open source")</x:f>
        <x:v>HYPERLINK is not implemented. linkLocation=https://www.helsinki.fi/en/admissions-and-education/apply-doctoral-programmes, friendlyName=Open source</x:v>
      </x:c>
    </x:row>
    <x:row r="439" ht="46" customHeight="1">
      <x:c r="A439" s="17" t="str">
        <x:v>stage3src:2bb45c45e33e682e0102</x:v>
      </x:c>
      <x:c r="B439" s="17" t="str">
        <x:v>program</x:v>
      </x:c>
      <x:c r="C439" s="17" t="str">
        <x:v>University of Helsinki</x:v>
      </x:c>
      <x:c r="D439" s="17" t="str">
        <x:v>ror:040af2s02:program:thesis-or-research-master-s:master-s-programme-in-computer-science</x:v>
      </x:c>
      <x:c r="E439" s="17" t="str"/>
      <x:c r="F439" s="17" t="str">
        <x:v>program|research</x:v>
      </x:c>
      <x:c r="G439" s="17" t="str">
        <x:v>120-ECTS structure and 30-ECTS master's thesis.</x:v>
      </x:c>
      <x:c r="H439" s="17" t="str">
        <x:v>Structure, Content and Courses</x:v>
      </x:c>
      <x:c r="I439" s="17" t="str">
        <x:v>University of Helsinki</x:v>
      </x:c>
      <x:c r="J439" s="17" t="str">
        <x:v>official</x:v>
      </x:c>
      <x:c r="K439" s="17" t="str">
        <x:v>2026-09-11</x:v>
      </x:c>
      <x:c r="L439" s="17" t="str">
        <x:v>Current curriculum checked 2026-09-11</x:v>
      </x:c>
      <x:c r="M439" s="17" t="str">
        <x:v>high</x:v>
      </x:c>
      <x:c r="N439" s="17" t="str">
        <x:v>official page checked</x:v>
      </x:c>
      <x:c r="O439" s="17" t="str"/>
      <x:c r="P439" s="18" t="e">
        <x:f>HYPERLINK("https://www.helsinki.fi/en/degree-programmes/computer-science-masters-programme/studying/structure-content-and-courses","Open source")</x:f>
        <x:v>HYPERLINK is not implemented. linkLocation=https://www.helsinki.fi/en/degree-programmes/computer-science-masters-programme/studying/structure-content-and-courses, friendlyName=Open source</x:v>
      </x:c>
    </x:row>
    <x:row r="440" ht="46" customHeight="1">
      <x:c r="A440" s="17" t="str">
        <x:v>stage3src:6f7164968ea5c8d31f70</x:v>
      </x:c>
      <x:c r="B440" s="17" t="str">
        <x:v>program</x:v>
      </x:c>
      <x:c r="C440" s="17" t="str">
        <x:v>University of Helsinki</x:v>
      </x:c>
      <x:c r="D440" s="17" t="str">
        <x:v>ror:040af2s02:program:thesis-or-research-master-s:master-s-programme-in-computer-science</x:v>
      </x:c>
      <x:c r="E440" s="17" t="str"/>
      <x:c r="F440" s="17" t="str">
        <x:v>admissions|eligibility|language|fees</x:v>
      </x:c>
      <x:c r="G440" s="17" t="str">
        <x:v>Applicable bachelor's, relevant studies, language-evidence, national fee, and application-form boundaries.</x:v>
      </x:c>
      <x:c r="H440" s="17" t="str">
        <x:v>Eligibility to Apply</x:v>
      </x:c>
      <x:c r="I440" s="17" t="str">
        <x:v>University of Helsinki</x:v>
      </x:c>
      <x:c r="J440" s="17" t="str">
        <x:v>official</x:v>
      </x:c>
      <x:c r="K440" s="17" t="str">
        <x:v>2026-09-11</x:v>
      </x:c>
      <x:c r="L440" s="17" t="str">
        <x:v>Autumn 2027 guidance checked 2026-09-11</x:v>
      </x:c>
      <x:c r="M440" s="17" t="str">
        <x:v>high</x:v>
      </x:c>
      <x:c r="N440" s="17" t="str">
        <x:v>official page checked</x:v>
      </x:c>
      <x:c r="O440" s="17" t="str"/>
      <x:c r="P440" s="18" t="e">
        <x:f>HYPERLINK("https://www.helsinki.fi/en/admissions-and-education/apply-bachelors-and-masters-programmes/apply-international-masters-programmes/eligibility-apply","Open source")</x:f>
        <x:v>HYPERLINK is not implemented. linkLocation=https://www.helsinki.fi/en/admissions-and-education/apply-bachelors-and-masters-programmes/apply-international-masters-programmes/eligibility-apply, friendlyName=Open source</x:v>
      </x:c>
    </x:row>
    <x:row r="441" ht="46" customHeight="1">
      <x:c r="A441" s="17" t="str">
        <x:v>stage3src:b088dc1864cb17aa5322</x:v>
      </x:c>
      <x:c r="B441" s="17" t="str">
        <x:v>program</x:v>
      </x:c>
      <x:c r="C441" s="17" t="str">
        <x:v>University of Helsinki</x:v>
      </x:c>
      <x:c r="D441" s="17" t="str">
        <x:v>ror:040af2s02:program:thesis-or-research-master-s:master-s-programme-in-computer-science</x:v>
      </x:c>
      <x:c r="E441" s="17" t="str"/>
      <x:c r="F441" s="17" t="str">
        <x:v>funding|tuition|fees|health|summer|deadline</x:v>
      </x:c>
      <x:c r="G441" s="17" t="str">
        <x:v>Very limited 50- or 100-percent waivers, most at 50 percent, two-year progress condition, and no living support.</x:v>
      </x:c>
      <x:c r="H441" s="17" t="str">
        <x:v>Tuition Fees and Scholarship Programme</x:v>
      </x:c>
      <x:c r="I441" s="17" t="str">
        <x:v>University of Helsinki</x:v>
      </x:c>
      <x:c r="J441" s="17" t="str">
        <x:v>official</x:v>
      </x:c>
      <x:c r="K441" s="17" t="str">
        <x:v>2026-09-11</x:v>
      </x:c>
      <x:c r="L441" s="17" t="str">
        <x:v>Autumn 2027 guidance checked 2026-09-11</x:v>
      </x:c>
      <x:c r="M441" s="17" t="str">
        <x:v>high</x:v>
      </x:c>
      <x:c r="N441" s="17" t="str">
        <x:v>official page checked</x:v>
      </x:c>
      <x:c r="O441" s="17" t="str"/>
      <x:c r="P441" s="18" t="e">
        <x:f>HYPERLINK("https://www.helsinki.fi/en/admissions-and-education/apply-bachelors-and-masters-programmes/tuition-fees-and-scholarship-programme","Open source")</x:f>
        <x:v>HYPERLINK is not implemented. linkLocation=https://www.helsinki.fi/en/admissions-and-education/apply-bachelors-and-masters-programmes/tuition-fees-and-scholarship-programme, friendlyName=Open source</x:v>
      </x:c>
    </x:row>
    <x:row r="442" ht="46" customHeight="1">
      <x:c r="A442" s="17" t="str">
        <x:v>stage3src:f11505dad834f1c145af</x:v>
      </x:c>
      <x:c r="B442" s="17" t="str">
        <x:v>program</x:v>
      </x:c>
      <x:c r="C442" s="17" t="str">
        <x:v>University of Helsinki</x:v>
      </x:c>
      <x:c r="D442" s="17" t="str">
        <x:v>ror:040af2s02:program:thesis-or-research-master-s:master-s-programme-in-computer-science</x:v>
      </x:c>
      <x:c r="E442" s="17" t="str"/>
      <x:c r="F442" s="17" t="str">
        <x:v>program|research|admissions|deadline|tuition</x:v>
      </x:c>
      <x:c r="G442" s="17" t="str">
        <x:v>Current two-year program, EUR 15,000 annual tuition, and explicit January 5–19, 2027 application period.</x:v>
      </x:c>
      <x:c r="H442" s="17" t="str">
        <x:v>Master's Programme in Computer Science</x:v>
      </x:c>
      <x:c r="I442" s="17" t="str">
        <x:v>University of Helsinki</x:v>
      </x:c>
      <x:c r="J442" s="17" t="str">
        <x:v>official</x:v>
      </x:c>
      <x:c r="K442" s="17" t="str">
        <x:v>2026-09-11</x:v>
      </x:c>
      <x:c r="L442" s="17" t="str">
        <x:v>Explicit autumn 2027 cycle checked 2026-09-11</x:v>
      </x:c>
      <x:c r="M442" s="17" t="str">
        <x:v>high</x:v>
      </x:c>
      <x:c r="N442" s="17" t="str">
        <x:v>official page checked</x:v>
      </x:c>
      <x:c r="O442" s="17" t="str"/>
      <x:c r="P442" s="18" t="e">
        <x:f>HYPERLINK("https://www.helsinki.fi/en/degree-programmes/computer-science-masters-programme","Open source")</x:f>
        <x:v>HYPERLINK is not implemented. linkLocation=https://www.helsinki.fi/en/degree-programmes/computer-science-masters-programme, friendlyName=Open source</x:v>
      </x:c>
    </x:row>
    <x:row r="443" ht="46" customHeight="1">
      <x:c r="A443" s="17" t="str">
        <x:v>stage3src:601ae4a18c5cfafae272</x:v>
      </x:c>
      <x:c r="B443" s="17" t="str">
        <x:v>program</x:v>
      </x:c>
      <x:c r="C443" s="17" t="str">
        <x:v>Chalmers University of Technology</x:v>
      </x:c>
      <x:c r="D443" s="17" t="str">
        <x:v>ror:040wg7k59:program:thesis-or-research-master-s:computer-science-msc</x:v>
      </x:c>
      <x:c r="E443" s="17" t="str"/>
      <x:c r="F443" s="17" t="str">
        <x:v>admissions|eligibility|language|fees|funding</x:v>
      </x:c>
      <x:c r="G443" s="17" t="str">
        <x:v>General bachelor's equivalency, ranked national application, tuition-liable scholarship step, and applicant-document process.</x:v>
      </x:c>
      <x:c r="H443" s="17" t="str">
        <x:v>Apply for Master's Programmes</x:v>
      </x:c>
      <x:c r="I443" s="17" t="str">
        <x:v>Chalmers University of Technology</x:v>
      </x:c>
      <x:c r="J443" s="17" t="str">
        <x:v>official</x:v>
      </x:c>
      <x:c r="K443" s="17" t="str">
        <x:v>2026-09-10</x:v>
      </x:c>
      <x:c r="L443" s="17" t="str">
        <x:v>Current page checked 2026-09-10</x:v>
      </x:c>
      <x:c r="M443" s="17" t="str">
        <x:v>high</x:v>
      </x:c>
      <x:c r="N443" s="17" t="str">
        <x:v>official page checked</x:v>
      </x:c>
      <x:c r="O443" s="17" t="str"/>
      <x:c r="P443" s="18" t="e">
        <x:f>HYPERLINK("https://www.chalmers.se/en/education/application-and-admission/how-to-apply-from-application-to-admission/apply-for-masters-programmes/","Open source")</x:f>
        <x:v>HYPERLINK is not implemented. linkLocation=https://www.chalmers.se/en/education/application-and-admission/how-to-apply-from-application-to-admission/apply-for-masters-programmes/, friendlyName=Open source</x:v>
      </x:c>
    </x:row>
    <x:row r="444" ht="46" customHeight="1">
      <x:c r="A444" s="17" t="str">
        <x:v>stage3src:a3ff9ca687d47e2a3927</x:v>
      </x:c>
      <x:c r="B444" s="17" t="str">
        <x:v>program</x:v>
      </x:c>
      <x:c r="C444" s="17" t="str">
        <x:v>Chalmers University of Technology</x:v>
      </x:c>
      <x:c r="D444" s="17" t="str">
        <x:v>ror:040wg7k59:program:thesis-or-research-master-s:computer-science-msc</x:v>
      </x:c>
      <x:c r="E444" s="17" t="str"/>
      <x:c r="F444" s="17" t="str">
        <x:v>funding|fees</x:v>
      </x:c>
      <x:c r="G444" s="17" t="str">
        <x:v>Swedish Institute and university scholarships are competitive; the page does not establish an applicant-specific award or adequate living-cost package.</x:v>
      </x:c>
      <x:c r="H444" s="17" t="str">
        <x:v>Scholarships</x:v>
      </x:c>
      <x:c r="I444" s="17" t="str">
        <x:v>University Admissions in Sweden</x:v>
      </x:c>
      <x:c r="J444" s="17" t="str">
        <x:v>official</x:v>
      </x:c>
      <x:c r="K444" s="17" t="str">
        <x:v>2026-09-10</x:v>
      </x:c>
      <x:c r="L444" s="17" t="str">
        <x:v>Current page checked 2026-09-10</x:v>
      </x:c>
      <x:c r="M444" s="17" t="str">
        <x:v>high</x:v>
      </x:c>
      <x:c r="N444" s="17" t="str">
        <x:v>official page checked</x:v>
      </x:c>
      <x:c r="O444" s="17" t="str"/>
      <x:c r="P444" s="18" t="e">
        <x:f>HYPERLINK("https://www.universityadmissions.se/en/fees-scholarships-residence-permit/scholarships/","Open source")</x:f>
        <x:v>HYPERLINK is not implemented. linkLocation=https://www.universityadmissions.se/en/fees-scholarships-residence-permit/scholarships/, friendlyName=Open source</x:v>
      </x:c>
    </x:row>
    <x:row r="445" ht="46" customHeight="1">
      <x:c r="A445" s="17" t="str">
        <x:v>stage3src:ac86cd1906210aece1a4</x:v>
      </x:c>
      <x:c r="B445" s="17" t="str">
        <x:v>program</x:v>
      </x:c>
      <x:c r="C445" s="17" t="str">
        <x:v>Chalmers University of Technology</x:v>
      </x:c>
      <x:c r="D445" s="17" t="str">
        <x:v>ror:040wg7k59:program:thesis-or-research-master-s:computer-science-msc</x:v>
      </x:c>
      <x:c r="E445" s="17" t="str"/>
      <x:c r="F445" s="17" t="str">
        <x:v>admissions|fees</x:v>
      </x:c>
      <x:c r="G445" s="17" t="str">
        <x:v>Non-EU/EEA applicants generally pay a 900 SEK application fee once per semester application.</x:v>
      </x:c>
      <x:c r="H445" s="17" t="str">
        <x:v>Terms and Conditions for Application Fee Payments</x:v>
      </x:c>
      <x:c r="I445" s="17" t="str">
        <x:v>University Admissions in Sweden / Swedish Council for Higher Education</x:v>
      </x:c>
      <x:c r="J445" s="17" t="str">
        <x:v>official</x:v>
      </x:c>
      <x:c r="K445" s="17" t="str">
        <x:v>2026-09-10</x:v>
      </x:c>
      <x:c r="L445" s="17" t="str">
        <x:v>Current page checked 2026-09-10</x:v>
      </x:c>
      <x:c r="M445" s="17" t="str">
        <x:v>high</x:v>
      </x:c>
      <x:c r="N445" s="17" t="str">
        <x:v>official page checked</x:v>
      </x:c>
      <x:c r="O445" s="17" t="str"/>
      <x:c r="P445" s="18" t="e">
        <x:f>HYPERLINK("https://www.universityadmissions.se/en/fees-scholarships-residence-permit/terms-and-conditions/","Open source")</x:f>
        <x:v>HYPERLINK is not implemented. linkLocation=https://www.universityadmissions.se/en/fees-scholarships-residence-permit/terms-and-conditions/, friendlyName=Open source</x:v>
      </x:c>
    </x:row>
    <x:row r="446" ht="46" customHeight="1">
      <x:c r="A446" s="17" t="str">
        <x:v>stage3src:ec4ea4c612263c9d4799</x:v>
      </x:c>
      <x:c r="B446" s="17" t="str">
        <x:v>program</x:v>
      </x:c>
      <x:c r="C446" s="17" t="str">
        <x:v>Chalmers University of Technology</x:v>
      </x:c>
      <x:c r="D446" s="17" t="str">
        <x:v>ror:040wg7k59:program:thesis-or-research-master-s:computer-science-msc</x:v>
      </x:c>
      <x:c r="E446" s="17" t="str"/>
      <x:c r="F446" s="17" t="str">
        <x:v>program|admissions|eligibility|language|deadline|fees</x:v>
      </x:c>
      <x:c r="G446" s="17" t="str">
        <x:v>Current English two-year MSc, research orientation, detailed course prerequisites, and October 16, 2026 to January 15, 2027 application window.</x:v>
      </x:c>
      <x:c r="H446" s="17" t="str">
        <x:v>Computer Science, MSc</x:v>
      </x:c>
      <x:c r="I446" s="17" t="str">
        <x:v>Chalmers University of Technology</x:v>
      </x:c>
      <x:c r="J446" s="17" t="str">
        <x:v>official</x:v>
      </x:c>
      <x:c r="K446" s="17" t="str">
        <x:v>2026-09-10</x:v>
      </x:c>
      <x:c r="L446" s="17" t="str">
        <x:v>Fall 2027</x:v>
      </x:c>
      <x:c r="M446" s="17" t="str">
        <x:v>high</x:v>
      </x:c>
      <x:c r="N446" s="17" t="str">
        <x:v>official page checked</x:v>
      </x:c>
      <x:c r="O446" s="17" t="str"/>
      <x:c r="P446" s="18" t="e">
        <x:f>HYPERLINK("https://www.chalmers.se/en/education/find-masters-programme/computer-science-msc/","Open source")</x:f>
        <x:v>HYPERLINK is not implemented. linkLocation=https://www.chalmers.se/en/education/find-masters-programme/computer-science-msc/, friendlyName=Open source</x:v>
      </x:c>
    </x:row>
    <x:row r="447" ht="46" customHeight="1">
      <x:c r="A447" s="17" t="str">
        <x:v>stage3src:92c9f6bdf515ee440abb</x:v>
      </x:c>
      <x:c r="B447" s="17" t="str">
        <x:v>program</x:v>
      </x:c>
      <x:c r="C447" s="17" t="str">
        <x:v>Chalmers University of Technology</x:v>
      </x:c>
      <x:c r="D447" s="17" t="str">
        <x:v>ror:040wg7k59:program:thesis-or-research-master-s:software-engineering-msc</x:v>
      </x:c>
      <x:c r="E447" s="17" t="str"/>
      <x:c r="F447" s="17" t="str">
        <x:v>funding|tuition|fees|health|summer|deadline</x:v>
      </x:c>
      <x:c r="G447" s="17" t="str">
        <x:v>Separate 2027 scholarship competition for fee-paying master's applicants without a guaranteed award or published universal living package.</x:v>
      </x:c>
      <x:c r="H447" s="17" t="str">
        <x:v>Scholarships for Fee-paying Students</x:v>
      </x:c>
      <x:c r="I447" s="17" t="str">
        <x:v>Chalmers University of Technology</x:v>
      </x:c>
      <x:c r="J447" s="17" t="str">
        <x:v>official</x:v>
      </x:c>
      <x:c r="K447" s="17" t="str">
        <x:v>2026-09-11</x:v>
      </x:c>
      <x:c r="L447" s="17" t="str">
        <x:v>2027 scholarship window checked 2026-09-11</x:v>
      </x:c>
      <x:c r="M447" s="17" t="str">
        <x:v>high</x:v>
      </x:c>
      <x:c r="N447" s="17" t="str">
        <x:v>official page checked</x:v>
      </x:c>
      <x:c r="O447" s="17" t="str"/>
      <x:c r="P447" s="18" t="e">
        <x:f>HYPERLINK("https://www.chalmers.se/en/education/application-and-admission/scholarships-for-fee-paying-students/","Open source")</x:f>
        <x:v>HYPERLINK is not implemented. linkLocation=https://www.chalmers.se/en/education/application-and-admission/scholarships-for-fee-paying-students/, friendlyName=Open source</x:v>
      </x:c>
    </x:row>
    <x:row r="448" ht="46" customHeight="1">
      <x:c r="A448" s="17" t="str">
        <x:v>stage3src:a7fff8faba0f654eaba8</x:v>
      </x:c>
      <x:c r="B448" s="17" t="str">
        <x:v>program</x:v>
      </x:c>
      <x:c r="C448" s="17" t="str">
        <x:v>Chalmers University of Technology</x:v>
      </x:c>
      <x:c r="D448" s="17" t="str">
        <x:v>ror:040wg7k59:program:thesis-or-research-master-s:software-engineering-msc</x:v>
      </x:c>
      <x:c r="E448" s="17" t="str"/>
      <x:c r="F448" s="17" t="str">
        <x:v>program|research|admissions|eligibility|language|deadline|tuition</x:v>
      </x:c>
      <x:c r="G448" s="17" t="str">
        <x:v>Current English two-year Software Engineering MSc, exact prerequisite buckets, research-linked specializations, and January 15, 2027 deadline.</x:v>
      </x:c>
      <x:c r="H448" s="17" t="str">
        <x:v>Software Engineering, MSc</x:v>
      </x:c>
      <x:c r="I448" s="17" t="str">
        <x:v>Chalmers University of Technology</x:v>
      </x:c>
      <x:c r="J448" s="17" t="str">
        <x:v>official</x:v>
      </x:c>
      <x:c r="K448" s="17" t="str">
        <x:v>2026-09-11</x:v>
      </x:c>
      <x:c r="L448" s="17" t="str">
        <x:v>Fall 2027</x:v>
      </x:c>
      <x:c r="M448" s="17" t="str">
        <x:v>high</x:v>
      </x:c>
      <x:c r="N448" s="17" t="str">
        <x:v>official page checked</x:v>
      </x:c>
      <x:c r="O448" s="17" t="str"/>
      <x:c r="P448" s="18" t="e">
        <x:f>HYPERLINK("https://www.chalmers.se/en/education/find-masters-programme/software-engineering-msc/","Open source")</x:f>
        <x:v>HYPERLINK is not implemented. linkLocation=https://www.chalmers.se/en/education/find-masters-programme/software-engineering-msc/, friendlyName=Open source</x:v>
      </x:c>
    </x:row>
    <x:row r="449" ht="46" customHeight="1">
      <x:c r="A449" s="17" t="str">
        <x:v>stage3src:f042949c5b0c47d5e1de</x:v>
      </x:c>
      <x:c r="B449" s="17" t="str">
        <x:v>program</x:v>
      </x:c>
      <x:c r="C449" s="17" t="str">
        <x:v>Chalmers University of Technology</x:v>
      </x:c>
      <x:c r="D449" s="17" t="str">
        <x:v>ror:040wg7k59:program:unclear:cross-path-catalog-review</x:v>
      </x:c>
      <x:c r="E449" s="17" t="str"/>
      <x:c r="F449" s="17" t="str">
        <x:v>discovery</x:v>
      </x:c>
      <x:c r="G449" s="17" t="str">
        <x:v>Stage 2 recorded this row as a discovery candidate; it does not independently verify an exact current research program, eligibility, or funding.</x:v>
      </x:c>
      <x:c r="H449" s="17" t="str">
        <x:v>Pass 2 Stage 2 candidate funnel</x:v>
      </x:c>
      <x:c r="I449" s="17" t="str">
        <x:v>Graduate audit pipeline</x:v>
      </x:c>
      <x:c r="J449" s="17" t="str">
        <x:v>derived</x:v>
      </x:c>
      <x:c r="K449" s="17" t="str">
        <x:v>2026-09-11</x:v>
      </x:c>
      <x:c r="L449" s="17" t="str">
        <x:v>Not cycle-specific</x:v>
      </x:c>
      <x:c r="M449" s="17" t="str">
        <x:v>low</x:v>
      </x:c>
      <x:c r="N449" s="17" t="str">
        <x:v>Discovery evidence only</x:v>
      </x:c>
      <x:c r="O449" s="17" t="str">
        <x:v>Use the source_record_paths field to trace the underlying discovery inputs.</x:v>
      </x:c>
      <x:c r="P449" s="18" t="e">
        <x:f>HYPERLINK("https://www.chalmers.se","Open source")</x:f>
        <x:v>HYPERLINK is not implemented. linkLocation=https://www.chalmers.se, friendlyName=Open source</x:v>
      </x:c>
    </x:row>
    <x:row r="450" ht="46" customHeight="1">
      <x:c r="A450" s="17" t="str">
        <x:v>stage3src:5d1c54ebbcb9cd98d0cd</x:v>
      </x:c>
      <x:c r="B450" s="17" t="str">
        <x:v>program</x:v>
      </x:c>
      <x:c r="C450" s="17" t="str">
        <x:v>Imperial College London</x:v>
      </x:c>
      <x:c r="D450" s="17" t="str">
        <x:v>ror:041kmwe10:program:phd:phd-in-computing</x:v>
      </x:c>
      <x:c r="E450" s="17" t="str"/>
      <x:c r="F450" s="17" t="str">
        <x:v>language|admissions</x:v>
      </x:c>
      <x:c r="G450" s="17" t="str">
        <x:v>Official English-language or admissions evidence; waivers/test thresholds remain applicant-specific</x:v>
      </x:c>
      <x:c r="H450" s="17" t="str">
        <x:v>Imperial College London — official evidence</x:v>
      </x:c>
      <x:c r="I450" s="17" t="str">
        <x:v>Imperial College London</x:v>
      </x:c>
      <x:c r="J450" s="17" t="str">
        <x:v>official</x:v>
      </x:c>
      <x:c r="K450" s="17" t="str">
        <x:v>2026-09-09</x:v>
      </x:c>
      <x:c r="L450" s="17" t="str">
        <x:v>latest available page; 2027 deadline not published in captured evidence</x:v>
      </x:c>
      <x:c r="M450" s="17" t="str">
        <x:v>high</x:v>
      </x:c>
      <x:c r="N450" s="17" t="str">
        <x:v>accessible or indexed official page</x:v>
      </x:c>
      <x:c r="O450" s="17" t="str">
        <x:v>Search snippets were discovery only; final claim points to the official destination. Recheck cycle-specific facts when 2027 material opens.</x:v>
      </x:c>
      <x:c r="P450" s="18" t="e">
        <x:f>HYPERLINK("https://www.imperial.ac.uk/study/apply/postgraduate-taught/english-language-requirements/","Open source")</x:f>
        <x:v>HYPERLINK is not implemented. linkLocation=https://www.imperial.ac.uk/study/apply/postgraduate-taught/english-language-requirements/, friendlyName=Open source</x:v>
      </x:c>
    </x:row>
    <x:row r="451" ht="46" customHeight="1">
      <x:c r="A451" s="17" t="str">
        <x:v>stage3src:dc775184c955169f955f</x:v>
      </x:c>
      <x:c r="B451" s="17" t="str">
        <x:v>program</x:v>
      </x:c>
      <x:c r="C451" s="17" t="str">
        <x:v>Imperial College London</x:v>
      </x:c>
      <x:c r="D451" s="17" t="str">
        <x:v>ror:041kmwe10:program:phd:phd-in-computing</x:v>
      </x:c>
      <x:c r="E451" s="17" t="str"/>
      <x:c r="F451" s="17" t="str">
        <x:v>institution</x:v>
      </x:c>
      <x:c r="G451" s="17" t="str">
        <x:v>Official institutional profile/group page used to verify current role and research themes</x:v>
      </x:c>
      <x:c r="H451" s="17" t="str">
        <x:v>Cristian Cadar — official evidence</x:v>
      </x:c>
      <x:c r="I451" s="17" t="str">
        <x:v>Imperial College London</x:v>
      </x:c>
      <x:c r="J451" s="17" t="str">
        <x:v>official</x:v>
      </x:c>
      <x:c r="K451" s="17" t="str">
        <x:v>2026-09-09</x:v>
      </x:c>
      <x:c r="L451" s="17" t="str">
        <x:v>current at 2026-09-09</x:v>
      </x:c>
      <x:c r="M451" s="17" t="str">
        <x:v>high</x:v>
      </x:c>
      <x:c r="N451" s="17" t="str">
        <x:v>accessible or indexed official page</x:v>
      </x:c>
      <x:c r="O451" s="17" t="str">
        <x:v>Search snippets were discovery only; final claim points to the official destination. Recheck cycle-specific facts when 2027 material opens.</x:v>
      </x:c>
      <x:c r="P451" s="18" t="e">
        <x:f>HYPERLINK("https://profiles.imperial.ac.uk/c.cadar","Open source")</x:f>
        <x:v>HYPERLINK is not implemented. linkLocation=https://profiles.imperial.ac.uk/c.cadar, friendlyName=Open source</x:v>
      </x:c>
    </x:row>
    <x:row r="452" ht="46" customHeight="1">
      <x:c r="A452" s="17" t="str">
        <x:v>stage3src:e9957a5517514f757ebb</x:v>
      </x:c>
      <x:c r="B452" s="17" t="str">
        <x:v>program</x:v>
      </x:c>
      <x:c r="C452" s="17" t="str">
        <x:v>Imperial College London</x:v>
      </x:c>
      <x:c r="D452" s="17" t="str">
        <x:v>ror:041kmwe10:program:phd:phd-in-computing</x:v>
      </x:c>
      <x:c r="E452" s="17" t="str"/>
      <x:c r="F452" s="17" t="str">
        <x:v>admissions</x:v>
      </x:c>
      <x:c r="G452" s="17" t="str">
        <x:v>Official program/admissions page; cycle label preserved in deep_programs.csv</x:v>
      </x:c>
      <x:c r="H452" s="17" t="str">
        <x:v>Imperial College London — official evidence</x:v>
      </x:c>
      <x:c r="I452" s="17" t="str">
        <x:v>Imperial College London</x:v>
      </x:c>
      <x:c r="J452" s="17" t="str">
        <x:v>official</x:v>
      </x:c>
      <x:c r="K452" s="17" t="str">
        <x:v>2026-09-09</x:v>
      </x:c>
      <x:c r="L452" s="17" t="str">
        <x:v>latest available page; 2027 deadline not published in captured evidence</x:v>
      </x:c>
      <x:c r="M452" s="17" t="str">
        <x:v>high</x:v>
      </x:c>
      <x:c r="N452" s="17" t="str">
        <x:v>accessible or indexed official page</x:v>
      </x:c>
      <x:c r="O452" s="17" t="str">
        <x:v>Search snippets were discovery only; final claim points to the official destination. Recheck cycle-specific facts when 2027 material opens.</x:v>
      </x:c>
      <x:c r="P452" s="18" t="e">
        <x:f>HYPERLINK("https://www.imperial.ac.uk/computing/prospective-students/phd/","Open source")</x:f>
        <x:v>HYPERLINK is not implemented. linkLocation=https://www.imperial.ac.uk/computing/prospective-students/phd/, friendlyName=Open source</x:v>
      </x:c>
    </x:row>
    <x:row r="453" ht="46" customHeight="1">
      <x:c r="A453" s="17" t="str">
        <x:v>stage3src:341f553a713fd4df6116</x:v>
      </x:c>
      <x:c r="B453" s="17" t="str">
        <x:v>program</x:v>
      </x:c>
      <x:c r="C453" s="17" t="str">
        <x:v>University of Bonn</x:v>
      </x:c>
      <x:c r="D453" s="17" t="str">
        <x:v>ror:041nas322:program:thesis-or-research-master-s:computer-science-msc</x:v>
      </x:c>
      <x:c r="E453" s="17" t="str"/>
      <x:c r="F453" s="17" t="str">
        <x:v>fees|funding</x:v>
      </x:c>
      <x:c r="G453" s="17" t="str">
        <x:v>The public university charges no tuition and no application fee; semester social contribution remains payable and no funding promise is made.</x:v>
      </x:c>
      <x:c r="H453" s="17" t="str">
        <x:v>Costs</x:v>
      </x:c>
      <x:c r="I453" s="17" t="str">
        <x:v>University of Bonn</x:v>
      </x:c>
      <x:c r="J453" s="17" t="str">
        <x:v>official</x:v>
      </x:c>
      <x:c r="K453" s="17" t="str">
        <x:v>2026-09-10</x:v>
      </x:c>
      <x:c r="L453" s="17" t="str">
        <x:v>Current page checked 2026-09-10</x:v>
      </x:c>
      <x:c r="M453" s="17" t="str">
        <x:v>high</x:v>
      </x:c>
      <x:c r="N453" s="17" t="str">
        <x:v>official page checked</x:v>
      </x:c>
      <x:c r="O453" s="17" t="str"/>
      <x:c r="P453" s="18" t="e">
        <x:f>HYPERLINK("https://www.uni-bonn.de/en/studying/application-admission-and-enrollment/costs","Open source")</x:f>
        <x:v>HYPERLINK is not implemented. linkLocation=https://www.uni-bonn.de/en/studying/application-admission-and-enrollment/costs, friendlyName=Open source</x:v>
      </x:c>
    </x:row>
    <x:row r="454" ht="46" customHeight="1">
      <x:c r="A454" s="17" t="str">
        <x:v>stage3src:5fb989611fe962d4dc68</x:v>
      </x:c>
      <x:c r="B454" s="17" t="str">
        <x:v>program</x:v>
      </x:c>
      <x:c r="C454" s="17" t="str">
        <x:v>University of Bonn</x:v>
      </x:c>
      <x:c r="D454" s="17" t="str">
        <x:v>ror:041nas322:program:thesis-or-research-master-s:computer-science-msc</x:v>
      </x:c>
      <x:c r="E454" s="17" t="str"/>
      <x:c r="F454" s="17" t="str">
        <x:v>admissions|eligibility|deadline</x:v>
      </x:c>
      <x:c r="G454" s="17" t="str">
        <x:v>Competitive selection, application process, and applicant-specific deadline handling.</x:v>
      </x:c>
      <x:c r="H454" s="17" t="str">
        <x:v>Application for the Master's Program</x:v>
      </x:c>
      <x:c r="I454" s="17" t="str">
        <x:v>University of Bonn Institute of Computer Science</x:v>
      </x:c>
      <x:c r="J454" s="17" t="str">
        <x:v>official</x:v>
      </x:c>
      <x:c r="K454" s="17" t="str">
        <x:v>2026-09-10</x:v>
      </x:c>
      <x:c r="L454" s="17" t="str">
        <x:v>Current page checked 2026-09-10</x:v>
      </x:c>
      <x:c r="M454" s="17" t="str">
        <x:v>high</x:v>
      </x:c>
      <x:c r="N454" s="17" t="str">
        <x:v>official page checked</x:v>
      </x:c>
      <x:c r="O454" s="17" t="str"/>
      <x:c r="P454" s="18" t="e">
        <x:f>HYPERLINK("https://www.informatik.uni-bonn.de/en/studies/master-programs/master-program-application","Open source")</x:f>
        <x:v>HYPERLINK is not implemented. linkLocation=https://www.informatik.uni-bonn.de/en/studies/master-programs/master-program-application, friendlyName=Open source</x:v>
      </x:c>
    </x:row>
    <x:row r="455" ht="46" customHeight="1">
      <x:c r="A455" s="17" t="str">
        <x:v>stage3src:6fdb7d208674eee414c9</x:v>
      </x:c>
      <x:c r="B455" s="17" t="str">
        <x:v>program</x:v>
      </x:c>
      <x:c r="C455" s="17" t="str">
        <x:v>University of Bonn</x:v>
      </x:c>
      <x:c r="D455" s="17" t="str">
        <x:v>ror:041nas322:program:thesis-or-research-master-s:computer-science-msc</x:v>
      </x:c>
      <x:c r="E455" s="17" t="str"/>
      <x:c r="F455" s="17" t="str">
        <x:v>program|admissions|eligibility|language</x:v>
      </x:c>
      <x:c r="G455" s="17" t="str">
        <x:v>Current 120-ECTS English MSc and detailed prerequisite ECTS and thesis requirements.</x:v>
      </x:c>
      <x:c r="H455" s="17" t="str">
        <x:v>Computer Science MSc</x:v>
      </x:c>
      <x:c r="I455" s="17" t="str">
        <x:v>University of Bonn</x:v>
      </x:c>
      <x:c r="J455" s="17" t="str">
        <x:v>official</x:v>
      </x:c>
      <x:c r="K455" s="17" t="str">
        <x:v>2026-09-10</x:v>
      </x:c>
      <x:c r="L455" s="17" t="str">
        <x:v>Current page checked 2026-09-10</x:v>
      </x:c>
      <x:c r="M455" s="17" t="str">
        <x:v>high</x:v>
      </x:c>
      <x:c r="N455" s="17" t="str">
        <x:v>official page checked</x:v>
      </x:c>
      <x:c r="O455" s="17" t="str"/>
      <x:c r="P455" s="18" t="e">
        <x:f>HYPERLINK("https://www.uni-bonn.de/en/studying/degree-programs/degree-programs-a-z/computer-science-msc","Open source")</x:f>
        <x:v>HYPERLINK is not implemented. linkLocation=https://www.uni-bonn.de/en/studying/degree-programs/degree-programs-a-z/computer-science-msc, friendlyName=Open source</x:v>
      </x:c>
    </x:row>
    <x:row r="456" ht="46" customHeight="1">
      <x:c r="A456" s="17" t="str">
        <x:v>stage3src:f5b54d10f663bcdd93a7</x:v>
      </x:c>
      <x:c r="B456" s="17" t="str">
        <x:v>program</x:v>
      </x:c>
      <x:c r="C456" s="17" t="str">
        <x:v>University of Bonn</x:v>
      </x:c>
      <x:c r="D456" s="17" t="str">
        <x:v>ror:041nas322:program:thesis-or-research-master-s:computer-science-msc</x:v>
      </x:c>
      <x:c r="E456" s="17" t="str"/>
      <x:c r="F456" s="17" t="str">
        <x:v>admissions|deadline</x:v>
      </x:c>
      <x:c r="G456" s="17" t="str">
        <x:v>Winter 2027/2028 application dates are not yet announced.</x:v>
      </x:c>
      <x:c r="H456" s="17" t="str">
        <x:v>Deadlines at a Glance</x:v>
      </x:c>
      <x:c r="I456" s="17" t="str">
        <x:v>University of Bonn Institute of Computer Science</x:v>
      </x:c>
      <x:c r="J456" s="17" t="str">
        <x:v>official</x:v>
      </x:c>
      <x:c r="K456" s="17" t="str">
        <x:v>2026-09-10</x:v>
      </x:c>
      <x:c r="L456" s="17" t="str">
        <x:v>Winter 2027/2028 pending</x:v>
      </x:c>
      <x:c r="M456" s="17" t="str">
        <x:v>high</x:v>
      </x:c>
      <x:c r="N456" s="17" t="str">
        <x:v>official page checked</x:v>
      </x:c>
      <x:c r="O456" s="17" t="str"/>
      <x:c r="P456" s="18" t="e">
        <x:f>HYPERLINK("https://www.informatik.uni-bonn.de/en/studies/examination-office/deadlines-at-a-glance","Open source")</x:f>
        <x:v>HYPERLINK is not implemented. linkLocation=https://www.informatik.uni-bonn.de/en/studies/examination-office/deadlines-at-a-glance, friendlyName=Open source</x:v>
      </x:c>
    </x:row>
    <x:row r="457" ht="46" customHeight="1">
      <x:c r="A457" s="17" t="str">
        <x:v>stage3src:0fca2dc2668e51994ead</x:v>
      </x:c>
      <x:c r="B457" s="17" t="str">
        <x:v>program</x:v>
      </x:c>
      <x:c r="C457" s="17" t="str">
        <x:v>Universidade do Porto</x:v>
      </x:c>
      <x:c r="D457" s="17" t="str">
        <x:v>ror:043pwc612:program:thesis-or-research-master-s:master-in-informatics-and-computing-engineering</x:v>
      </x:c>
      <x:c r="E457" s="17" t="str"/>
      <x:c r="F457" s="17" t="str">
        <x:v>admissions|deadline|cycle</x:v>
      </x:c>
      <x:c r="G457" s="17" t="str">
        <x:v>Official 2026-27 MEIC application page and its current closed status; no Fall 2027 schedule is yet shown.</x:v>
      </x:c>
      <x:c r="H457" s="17" t="str">
        <x:v>Applications 2026/2027</x:v>
      </x:c>
      <x:c r="I457" s="17" t="str">
        <x:v>University of Porto Faculty of Engineering</x:v>
      </x:c>
      <x:c r="J457" s="17" t="str">
        <x:v>official</x:v>
      </x:c>
      <x:c r="K457" s="17" t="str">
        <x:v>2026-09-11</x:v>
      </x:c>
      <x:c r="L457" s="17" t="str">
        <x:v>2026-27 page checked 2026-09-11; Fall 2027 not published</x:v>
      </x:c>
      <x:c r="M457" s="17" t="str">
        <x:v>high</x:v>
      </x:c>
      <x:c r="N457" s="17" t="str">
        <x:v>official page checked</x:v>
      </x:c>
      <x:c r="O457" s="17" t="str"/>
      <x:c r="P457" s="18" t="e">
        <x:f>HYPERLINK("https://fe.up.pt/meic/applications/2026-2027/","Open source")</x:f>
        <x:v>HYPERLINK is not implemented. linkLocation=https://fe.up.pt/meic/applications/2026-2027/, friendlyName=Open source</x:v>
      </x:c>
    </x:row>
    <x:row r="458" ht="46" customHeight="1">
      <x:c r="A458" s="17" t="str">
        <x:v>stage3src:b365830cb6412f5269ec</x:v>
      </x:c>
      <x:c r="B458" s="17" t="str">
        <x:v>program</x:v>
      </x:c>
      <x:c r="C458" s="17" t="str">
        <x:v>Universidade do Porto</x:v>
      </x:c>
      <x:c r="D458" s="17" t="str">
        <x:v>ror:043pwc612:program:thesis-or-research-master-s:master-in-informatics-and-computing-engineering</x:v>
      </x:c>
      <x:c r="E458" s="17" t="str"/>
      <x:c r="F458" s="17" t="str">
        <x:v>funding|tuition|international</x:v>
      </x:c>
      <x:c r="G458" s="17" t="str">
        <x:v>FEUP tuition varies and merit, incentive, and external funding mechanisms exist, without a universal international full-funding commitment.</x:v>
      </x:c>
      <x:c r="H458" s="17" t="str">
        <x:v>Master's Degree Information and Tuition Fees</x:v>
      </x:c>
      <x:c r="I458" s="17" t="str">
        <x:v>University of Porto Faculty of Engineering</x:v>
      </x:c>
      <x:c r="J458" s="17" t="str">
        <x:v>official</x:v>
      </x:c>
      <x:c r="K458" s="17" t="str">
        <x:v>2026-09-11</x:v>
      </x:c>
      <x:c r="L458" s="17" t="str">
        <x:v>Current fees and funding page checked 2026-09-11</x:v>
      </x:c>
      <x:c r="M458" s="17" t="str">
        <x:v>high</x:v>
      </x:c>
      <x:c r="N458" s="17" t="str">
        <x:v>official page checked</x:v>
      </x:c>
      <x:c r="O458" s="17" t="str"/>
      <x:c r="P458" s="18" t="e">
        <x:f>HYPERLINK("https://www.up.pt/feup/en/study/masters-degree/information-and-tuition-fees/","Open source")</x:f>
        <x:v>HYPERLINK is not implemented. linkLocation=https://www.up.pt/feup/en/study/masters-degree/information-and-tuition-fees/, friendlyName=Open source</x:v>
      </x:c>
    </x:row>
    <x:row r="459" ht="46" customHeight="1">
      <x:c r="A459" s="17" t="str">
        <x:v>stage3src:d7294c1f4f09e7aac78e</x:v>
      </x:c>
      <x:c r="B459" s="17" t="str">
        <x:v>program</x:v>
      </x:c>
      <x:c r="C459" s="17" t="str">
        <x:v>Universidade do Porto</x:v>
      </x:c>
      <x:c r="D459" s="17" t="str">
        <x:v>ror:043pwc612:program:thesis-or-research-master-s:master-in-informatics-and-computing-engineering</x:v>
      </x:c>
      <x:c r="E459" s="17" t="str"/>
      <x:c r="F459" s="17" t="str">
        <x:v>program|research|structure|language|fee</x:v>
      </x:c>
      <x:c r="G459" s="17" t="str">
        <x:v>Current English MEIC, two-year 120-ECTS structure, 30-ECTS original scientific dissertation, computing subject breadth, and €55 application fee.</x:v>
      </x:c>
      <x:c r="H459" s="17" t="str">
        <x:v>Master in Informatics and Computing Engineering</x:v>
      </x:c>
      <x:c r="I459" s="17" t="str">
        <x:v>University of Porto Faculty of Engineering</x:v>
      </x:c>
      <x:c r="J459" s="17" t="str">
        <x:v>official</x:v>
      </x:c>
      <x:c r="K459" s="17" t="str">
        <x:v>2026-09-11</x:v>
      </x:c>
      <x:c r="L459" s="17" t="str">
        <x:v>Current programme page checked 2026-09-11</x:v>
      </x:c>
      <x:c r="M459" s="17" t="str">
        <x:v>high</x:v>
      </x:c>
      <x:c r="N459" s="17" t="str">
        <x:v>official page checked</x:v>
      </x:c>
      <x:c r="O459" s="17" t="str"/>
      <x:c r="P459" s="18" t="e">
        <x:f>HYPERLINK("https://fe.up.pt/estudar/meic/?lang=en","Open source")</x:f>
        <x:v>HYPERLINK is not implemented. linkLocation=https://fe.up.pt/estudar/meic/?lang=en, friendlyName=Open source</x:v>
      </x:c>
    </x:row>
    <x:row r="460" ht="46" customHeight="1">
      <x:c r="A460" s="17" t="str">
        <x:v>stage3src:3dacd3c9a6c8a93981a3</x:v>
      </x:c>
      <x:c r="B460" s="17" t="str">
        <x:v>program</x:v>
      </x:c>
      <x:c r="C460" s="17" t="str">
        <x:v>Universidade do Porto</x:v>
      </x:c>
      <x:c r="D460" s="17" t="str">
        <x:v>ror:043pwc612:program:unclear:cross-path-catalog-review</x:v>
      </x:c>
      <x:c r="E460" s="17" t="str"/>
      <x:c r="F460" s="17" t="str">
        <x:v>discovery</x:v>
      </x:c>
      <x:c r="G460" s="17" t="str">
        <x:v>Stage 2 recorded this row as a discovery candidate; it does not independently verify an exact current research program, eligibility, or funding.</x:v>
      </x:c>
      <x:c r="H460" s="17" t="str">
        <x:v>Pass 2 Stage 2 candidate funnel</x:v>
      </x:c>
      <x:c r="I460" s="17" t="str">
        <x:v>Graduate audit pipeline</x:v>
      </x:c>
      <x:c r="J460" s="17" t="str">
        <x:v>derived</x:v>
      </x:c>
      <x:c r="K460" s="17" t="str">
        <x:v>2026-09-11</x:v>
      </x:c>
      <x:c r="L460" s="17" t="str">
        <x:v>Not cycle-specific</x:v>
      </x:c>
      <x:c r="M460" s="17" t="str">
        <x:v>low</x:v>
      </x:c>
      <x:c r="N460" s="17" t="str">
        <x:v>Discovery evidence only</x:v>
      </x:c>
      <x:c r="O460" s="17" t="str">
        <x:v>Use the source_record_paths field to trace the underlying discovery inputs.</x:v>
      </x:c>
      <x:c r="P460" s="18" t="e">
        <x:f>HYPERLINK("https://www.up.pt","Open source")</x:f>
        <x:v>HYPERLINK is not implemented. linkLocation=https://www.up.pt, friendlyName=Open source</x:v>
      </x:c>
    </x:row>
    <x:row r="461" ht="46" customHeight="1">
      <x:c r="A461" s="17" t="str">
        <x:v>stage3src:cc34c13975cec400fc99</x:v>
      </x:c>
      <x:c r="B461" s="17" t="str">
        <x:v>program</x:v>
      </x:c>
      <x:c r="C461" s="17" t="str">
        <x:v>University of Stirling</x:v>
      </x:c>
      <x:c r="D461" s="17" t="str">
        <x:v>ror:045wgfr59:program:unclear:cross-path-catalog-review</x:v>
      </x:c>
      <x:c r="E461" s="17" t="str"/>
      <x:c r="F461" s="17" t="str">
        <x:v>discovery</x:v>
      </x:c>
      <x:c r="G461" s="17" t="str">
        <x:v>Stage 2 recorded this row as a discovery candidate; it does not independently verify an exact current research program, eligibility, or funding.</x:v>
      </x:c>
      <x:c r="H461" s="17" t="str">
        <x:v>Pass 2 Stage 2 candidate funnel</x:v>
      </x:c>
      <x:c r="I461" s="17" t="str">
        <x:v>Graduate audit pipeline</x:v>
      </x:c>
      <x:c r="J461" s="17" t="str">
        <x:v>derived</x:v>
      </x:c>
      <x:c r="K461" s="17" t="str">
        <x:v>2026-09-11</x:v>
      </x:c>
      <x:c r="L461" s="17" t="str">
        <x:v>Not cycle-specific</x:v>
      </x:c>
      <x:c r="M461" s="17" t="str">
        <x:v>low</x:v>
      </x:c>
      <x:c r="N461" s="17" t="str">
        <x:v>Discovery evidence only</x:v>
      </x:c>
      <x:c r="O461" s="17" t="str">
        <x:v>Use the source_record_paths field to trace the underlying discovery inputs.</x:v>
      </x:c>
      <x:c r="P461" s="18" t="e">
        <x:f>HYPERLINK("https://www.stir.ac.uk","Open source")</x:f>
        <x:v>HYPERLINK is not implemented. linkLocation=https://www.stir.ac.uk, friendlyName=Open source</x:v>
      </x:c>
    </x:row>
    <x:row r="462" ht="46" customHeight="1">
      <x:c r="A462" s="17" t="str">
        <x:v>stage3src:f345f551f5a7d014dd0c</x:v>
      </x:c>
      <x:c r="B462" s="17" t="str">
        <x:v>program</x:v>
      </x:c>
      <x:c r="C462" s="17" t="str">
        <x:v>City St George's, University of London</x:v>
      </x:c>
      <x:c r="D462" s="17" t="str">
        <x:v>ror:047ybhc09:program:unclear:cross-path-catalog-review</x:v>
      </x:c>
      <x:c r="E462" s="17" t="str"/>
      <x:c r="F462" s="17" t="str">
        <x:v>discovery</x:v>
      </x:c>
      <x:c r="G462" s="17" t="str">
        <x:v>Stage 2 recorded this row as a discovery candidate; it does not independently verify an exact current research program, eligibility, or funding.</x:v>
      </x:c>
      <x:c r="H462" s="17" t="str">
        <x:v>Pass 2 Stage 2 candidate funnel</x:v>
      </x:c>
      <x:c r="I462" s="17" t="str">
        <x:v>Graduate audit pipeline</x:v>
      </x:c>
      <x:c r="J462" s="17" t="str">
        <x:v>derived</x:v>
      </x:c>
      <x:c r="K462" s="17" t="str">
        <x:v>2026-09-11</x:v>
      </x:c>
      <x:c r="L462" s="17" t="str">
        <x:v>Not cycle-specific</x:v>
      </x:c>
      <x:c r="M462" s="17" t="str">
        <x:v>low</x:v>
      </x:c>
      <x:c r="N462" s="17" t="str">
        <x:v>Discovery evidence only</x:v>
      </x:c>
      <x:c r="O462" s="17" t="str">
        <x:v>Use the source_record_paths field to trace the underlying discovery inputs.</x:v>
      </x:c>
      <x:c r="P462" s="18" t="e">
        <x:f>HYPERLINK("https://www.citystgeorges.ac.uk","Open source")</x:f>
        <x:v>HYPERLINK is not implemented. linkLocation=https://www.citystgeorges.ac.uk, friendlyName=Open source</x:v>
      </x:c>
    </x:row>
    <x:row r="463" ht="46" customHeight="1">
      <x:c r="A463" s="17" t="str">
        <x:v>stage3src:1073f85f933446bd51d6</x:v>
      </x:c>
      <x:c r="B463" s="17" t="str">
        <x:v>program</x:v>
      </x:c>
      <x:c r="C463" s="17" t="str">
        <x:v>Uppsala University</x:v>
      </x:c>
      <x:c r="D463" s="17" t="str">
        <x:v>ror:048a87296:program:thesis-or-research-master-s:master-s-programme-in-computer-science</x:v>
      </x:c>
      <x:c r="E463" s="17" t="str"/>
      <x:c r="F463" s="17" t="str">
        <x:v>program|research|eligibility|language|tuition|deadline</x:v>
      </x:c>
      <x:c r="G463" s="17" t="str">
        <x:v>Current 120-credit English MSc, exact subject prerequisites, selection, tuition, and latest program deadline.</x:v>
      </x:c>
      <x:c r="H463" s="17" t="str">
        <x:v>Master's Programme in Computer Science</x:v>
      </x:c>
      <x:c r="I463" s="17" t="str">
        <x:v>Uppsala University</x:v>
      </x:c>
      <x:c r="J463" s="17" t="str">
        <x:v>official</x:v>
      </x:c>
      <x:c r="K463" s="17" t="str">
        <x:v>2026-09-11</x:v>
      </x:c>
      <x:c r="L463" s="17" t="str">
        <x:v>Autumn 2026 program page checked 2026-09-11</x:v>
      </x:c>
      <x:c r="M463" s="17" t="str">
        <x:v>high</x:v>
      </x:c>
      <x:c r="N463" s="17" t="str">
        <x:v>official page checked</x:v>
      </x:c>
      <x:c r="O463" s="17" t="str"/>
      <x:c r="P463" s="18" t="e">
        <x:f>HYPERLINK("https://www.uu.se/en/study/programme/masters-programme-computer-science","Open source")</x:f>
        <x:v>HYPERLINK is not implemented. linkLocation=https://www.uu.se/en/study/programme/masters-programme-computer-science, friendlyName=Open source</x:v>
      </x:c>
    </x:row>
    <x:row r="464" ht="46" customHeight="1">
      <x:c r="A464" s="17" t="str">
        <x:v>stage3src:80c6fdd483ebac594014</x:v>
      </x:c>
      <x:c r="B464" s="17" t="str">
        <x:v>program</x:v>
      </x:c>
      <x:c r="C464" s="17" t="str">
        <x:v>Uppsala University</x:v>
      </x:c>
      <x:c r="D464" s="17" t="str">
        <x:v>ror:048a87296:program:thesis-or-research-master-s:master-s-programme-in-computer-science</x:v>
      </x:c>
      <x:c r="E464" s="17" t="str"/>
      <x:c r="F464" s="17" t="str">
        <x:v>funding|scholarship|tuition|summer</x:v>
      </x:c>
      <x:c r="G464" s="17" t="str">
        <x:v>Limited competitive scholarships cover full tuition but not living costs.</x:v>
      </x:c>
      <x:c r="H464" s="17" t="str">
        <x:v>Scholarships for Master's Students</x:v>
      </x:c>
      <x:c r="I464" s="17" t="str">
        <x:v>Uppsala University</x:v>
      </x:c>
      <x:c r="J464" s="17" t="str">
        <x:v>official</x:v>
      </x:c>
      <x:c r="K464" s="17" t="str">
        <x:v>2026-09-11</x:v>
      </x:c>
      <x:c r="L464" s="17" t="str">
        <x:v>Updated 2026-07-06 and checked 2026-09-11</x:v>
      </x:c>
      <x:c r="M464" s="17" t="str">
        <x:v>high</x:v>
      </x:c>
      <x:c r="N464" s="17" t="str">
        <x:v>official page checked</x:v>
      </x:c>
      <x:c r="O464" s="17" t="str"/>
      <x:c r="P464" s="18" t="e">
        <x:f>HYPERLINK("https://www.uu.se/en/study/masters-studies/scholarships","Open source")</x:f>
        <x:v>HYPERLINK is not implemented. linkLocation=https://www.uu.se/en/study/masters-studies/scholarships, friendlyName=Open source</x:v>
      </x:c>
    </x:row>
    <x:row r="465" ht="46" customHeight="1">
      <x:c r="A465" s="17" t="str">
        <x:v>stage3src:fe65d55c20114c60bb4e</x:v>
      </x:c>
      <x:c r="B465" s="17" t="str">
        <x:v>program</x:v>
      </x:c>
      <x:c r="C465" s="17" t="str">
        <x:v>Uppsala University</x:v>
      </x:c>
      <x:c r="D465" s="17" t="str">
        <x:v>ror:048a87296:program:thesis-or-research-master-s:master-s-programme-in-computer-science</x:v>
      </x:c>
      <x:c r="E465" s="17" t="str"/>
      <x:c r="F465" s="17" t="str">
        <x:v>admissions|deadline|eligibility|fees</x:v>
      </x:c>
      <x:c r="G465" s="17" t="str">
        <x:v>Next application opens mid-October 2026 and closes mid-January 2027, with complete-document and fee requirements.</x:v>
      </x:c>
      <x:c r="H465" s="17" t="str">
        <x:v>Apply to a Master's Programme</x:v>
      </x:c>
      <x:c r="I465" s="17" t="str">
        <x:v>Uppsala University</x:v>
      </x:c>
      <x:c r="J465" s="17" t="str">
        <x:v>official</x:v>
      </x:c>
      <x:c r="K465" s="17" t="str">
        <x:v>2026-09-11</x:v>
      </x:c>
      <x:c r="L465" s="17" t="str">
        <x:v>Next Autumn 2027 window checked 2026-09-11</x:v>
      </x:c>
      <x:c r="M465" s="17" t="str">
        <x:v>high</x:v>
      </x:c>
      <x:c r="N465" s="17" t="str">
        <x:v>official page checked</x:v>
      </x:c>
      <x:c r="O465" s="17" t="str"/>
      <x:c r="P465" s="18" t="e">
        <x:f>HYPERLINK("https://www.uu.se/en/study/masters-studies/application.html","Open source")</x:f>
        <x:v>HYPERLINK is not implemented. linkLocation=https://www.uu.se/en/study/masters-studies/application.html, friendlyName=Open source</x:v>
      </x:c>
    </x:row>
    <x:row r="466" ht="46" customHeight="1">
      <x:c r="A466" s="17" t="str">
        <x:v>stage3src:6b883e057abfc4cbc1d8</x:v>
      </x:c>
      <x:c r="B466" s="17" t="str">
        <x:v>program</x:v>
      </x:c>
      <x:c r="C466" s="17" t="str">
        <x:v>National University of Ireland, Maynooth</x:v>
      </x:c>
      <x:c r="D466" s="17" t="str">
        <x:v>ror:048nfjm95:program:unclear:cross-path-catalog-review</x:v>
      </x:c>
      <x:c r="E466" s="17" t="str"/>
      <x:c r="F466" s="17" t="str">
        <x:v>discovery</x:v>
      </x:c>
      <x:c r="G466" s="17" t="str">
        <x:v>Stage 2 recorded this row as a discovery candidate; it does not independently verify an exact current research program, eligibility, or funding.</x:v>
      </x:c>
      <x:c r="H466" s="17" t="str">
        <x:v>Pass 2 Stage 2 candidate funnel</x:v>
      </x:c>
      <x:c r="I466" s="17" t="str">
        <x:v>Graduate audit pipeline</x:v>
      </x:c>
      <x:c r="J466" s="17" t="str">
        <x:v>derived</x:v>
      </x:c>
      <x:c r="K466" s="17" t="str">
        <x:v>2026-09-11</x:v>
      </x:c>
      <x:c r="L466" s="17" t="str">
        <x:v>Not cycle-specific</x:v>
      </x:c>
      <x:c r="M466" s="17" t="str">
        <x:v>low</x:v>
      </x:c>
      <x:c r="N466" s="17" t="str">
        <x:v>Discovery evidence only</x:v>
      </x:c>
      <x:c r="O466" s="17" t="str">
        <x:v>Use the source_record_paths field to trace the underlying discovery inputs.</x:v>
      </x:c>
      <x:c r="P466" s="18" t="e">
        <x:f>HYPERLINK("https://www.maynoothuniversity.ie/","Open source")</x:f>
        <x:v>HYPERLINK is not implemented. linkLocation=https://www.maynoothuniversity.ie/, friendlyName=Open source</x:v>
      </x:c>
    </x:row>
    <x:row r="467" ht="46" customHeight="1">
      <x:c r="A467" s="17" t="str">
        <x:v>stage3src:996a1f4f4d8c6e6c4db3</x:v>
      </x:c>
      <x:c r="B467" s="17" t="str">
        <x:v>program</x:v>
      </x:c>
      <x:c r="C467" s="17" t="str">
        <x:v>Dublin City University</x:v>
      </x:c>
      <x:c r="D467" s="17" t="str">
        <x:v>ror:04a1a1e81:program:unclear:cross-path-catalog-review</x:v>
      </x:c>
      <x:c r="E467" s="17" t="str"/>
      <x:c r="F467" s="17" t="str">
        <x:v>discovery</x:v>
      </x:c>
      <x:c r="G467" s="17" t="str">
        <x:v>Stage 2 recorded this row as a discovery candidate; it does not independently verify an exact current research program, eligibility, or funding.</x:v>
      </x:c>
      <x:c r="H467" s="17" t="str">
        <x:v>Pass 2 Stage 2 candidate funnel</x:v>
      </x:c>
      <x:c r="I467" s="17" t="str">
        <x:v>Graduate audit pipeline</x:v>
      </x:c>
      <x:c r="J467" s="17" t="str">
        <x:v>derived</x:v>
      </x:c>
      <x:c r="K467" s="17" t="str">
        <x:v>2026-09-11</x:v>
      </x:c>
      <x:c r="L467" s="17" t="str">
        <x:v>Not cycle-specific</x:v>
      </x:c>
      <x:c r="M467" s="17" t="str">
        <x:v>low</x:v>
      </x:c>
      <x:c r="N467" s="17" t="str">
        <x:v>Discovery evidence only</x:v>
      </x:c>
      <x:c r="O467" s="17" t="str">
        <x:v>Use the source_record_paths field to trace the underlying discovery inputs.</x:v>
      </x:c>
      <x:c r="P467" s="18" t="e">
        <x:f>HYPERLINK("https://www.dcu.ie","Open source")</x:f>
        <x:v>HYPERLINK is not implemented. linkLocation=https://www.dcu.ie, friendlyName=Open source</x:v>
      </x:c>
    </x:row>
    <x:row r="468" ht="46" customHeight="1">
      <x:c r="A468" s="17" t="str">
        <x:v>stage3src:ced9f69f055879bcc4eb</x:v>
      </x:c>
      <x:c r="B468" s="17" t="str">
        <x:v>program</x:v>
      </x:c>
      <x:c r="C468" s="17" t="str">
        <x:v>Tilburg University</x:v>
      </x:c>
      <x:c r="D468" s="17" t="str">
        <x:v>ror:04b8v1s79:program:unclear:cross-path-catalog-review</x:v>
      </x:c>
      <x:c r="E468" s="17" t="str"/>
      <x:c r="F468" s="17" t="str">
        <x:v>discovery</x:v>
      </x:c>
      <x:c r="G468" s="17" t="str">
        <x:v>Stage 2 recorded this row as a discovery candidate; it does not independently verify an exact current research program, eligibility, or funding.</x:v>
      </x:c>
      <x:c r="H468" s="17" t="str">
        <x:v>Pass 2 Stage 2 candidate funnel</x:v>
      </x:c>
      <x:c r="I468" s="17" t="str">
        <x:v>Graduate audit pipeline</x:v>
      </x:c>
      <x:c r="J468" s="17" t="str">
        <x:v>derived</x:v>
      </x:c>
      <x:c r="K468" s="17" t="str">
        <x:v>2026-09-11</x:v>
      </x:c>
      <x:c r="L468" s="17" t="str">
        <x:v>Not cycle-specific</x:v>
      </x:c>
      <x:c r="M468" s="17" t="str">
        <x:v>low</x:v>
      </x:c>
      <x:c r="N468" s="17" t="str">
        <x:v>Discovery evidence only</x:v>
      </x:c>
      <x:c r="O468" s="17" t="str">
        <x:v>Use the source_record_paths field to trace the underlying discovery inputs.</x:v>
      </x:c>
      <x:c r="P468" s="18" t="e">
        <x:f>HYPERLINK("https://www.tilburguniversity.edu/","Open source")</x:f>
        <x:v>HYPERLINK is not implemented. linkLocation=https://www.tilburguniversity.edu/, friendlyName=Open source</x:v>
      </x:c>
    </x:row>
    <x:row r="469" ht="46" customHeight="1">
      <x:c r="A469" s="17" t="str">
        <x:v>stage3src:9627841cb911e0618af7</x:v>
      </x:c>
      <x:c r="B469" s="17" t="str">
        <x:v>program</x:v>
      </x:c>
      <x:c r="C469" s="17" t="str">
        <x:v>University of London</x:v>
      </x:c>
      <x:c r="D469" s="17" t="str">
        <x:v>ror:04cw6st05:program:unclear:cross-path-catalog-review</x:v>
      </x:c>
      <x:c r="E469" s="17" t="str"/>
      <x:c r="F469" s="17" t="str">
        <x:v>discovery</x:v>
      </x:c>
      <x:c r="G469" s="17" t="str">
        <x:v>Stage 2 recorded this row as a discovery candidate; it does not independently verify an exact current research program, eligibility, or funding.</x:v>
      </x:c>
      <x:c r="H469" s="17" t="str">
        <x:v>Pass 2 Stage 2 candidate funnel</x:v>
      </x:c>
      <x:c r="I469" s="17" t="str">
        <x:v>Graduate audit pipeline</x:v>
      </x:c>
      <x:c r="J469" s="17" t="str">
        <x:v>derived</x:v>
      </x:c>
      <x:c r="K469" s="17" t="str">
        <x:v>2026-09-11</x:v>
      </x:c>
      <x:c r="L469" s="17" t="str">
        <x:v>Not cycle-specific</x:v>
      </x:c>
      <x:c r="M469" s="17" t="str">
        <x:v>low</x:v>
      </x:c>
      <x:c r="N469" s="17" t="str">
        <x:v>Discovery evidence only</x:v>
      </x:c>
      <x:c r="O469" s="17" t="str">
        <x:v>Use the source_record_paths field to trace the underlying discovery inputs.</x:v>
      </x:c>
      <x:c r="P469" s="18" t="e">
        <x:f>HYPERLINK("https://london.ac.uk","Open source")</x:f>
        <x:v>HYPERLINK is not implemented. linkLocation=https://london.ac.uk, friendlyName=Open source</x:v>
      </x:c>
    </x:row>
    <x:row r="470" ht="46" customHeight="1">
      <x:c r="A470" s="17" t="str">
        <x:v>stage3src:27c5728cb325f9487e60</x:v>
      </x:c>
      <x:c r="B470" s="17" t="str">
        <x:v>program</x:v>
      </x:c>
      <x:c r="C470" s="17" t="str">
        <x:v>TU Wien</x:v>
      </x:c>
      <x:c r="D470" s="17" t="str">
        <x:v>ror:04d836q62:program:thesis-or-research-master-s:master-s-programme-logic-and-artificial-intelligence</x:v>
      </x:c>
      <x:c r="E470" s="17" t="str"/>
      <x:c r="F470" s="17" t="str">
        <x:v>program|admissions|eligibility|language</x:v>
      </x:c>
      <x:c r="G470" s="17" t="str">
        <x:v>Current 120-ECTS English Logic and Artificial Intelligence master's, thesis, exact prerequisite-credit requirements, and up-to-30-ECTS supplement rule.</x:v>
      </x:c>
      <x:c r="H470" s="17" t="str">
        <x:v>Logic and Artificial Intelligence</x:v>
      </x:c>
      <x:c r="I470" s="17" t="str">
        <x:v>TU Wien</x:v>
      </x:c>
      <x:c r="J470" s="17" t="str">
        <x:v>official</x:v>
      </x:c>
      <x:c r="K470" s="17" t="str">
        <x:v>2026-09-10</x:v>
      </x:c>
      <x:c r="L470" s="17" t="str">
        <x:v>Current page checked 2026-09-10</x:v>
      </x:c>
      <x:c r="M470" s="17" t="str">
        <x:v>high</x:v>
      </x:c>
      <x:c r="N470" s="17" t="str">
        <x:v>official page checked</x:v>
      </x:c>
      <x:c r="O470" s="17" t="str"/>
      <x:c r="P470" s="18" t="e">
        <x:f>HYPERLINK("https://www.tuwien.at/en/studies/studies/master-programmes/informatics/logic-and-artificial-intelligence","Open source")</x:f>
        <x:v>HYPERLINK is not implemented. linkLocation=https://www.tuwien.at/en/studies/studies/master-programmes/informatics/logic-and-artificial-intelligence, friendlyName=Open source</x:v>
      </x:c>
    </x:row>
    <x:row r="471" ht="46" customHeight="1">
      <x:c r="A471" s="17" t="str">
        <x:v>stage3src:8dcafd2eb3a4f3334f88</x:v>
      </x:c>
      <x:c r="B471" s="17" t="str">
        <x:v>program</x:v>
      </x:c>
      <x:c r="C471" s="17" t="str">
        <x:v>TU Wien</x:v>
      </x:c>
      <x:c r="D471" s="17" t="str">
        <x:v>ror:04d836q62:program:thesis-or-research-master-s:master-s-programme-logic-and-artificial-intelligence</x:v>
      </x:c>
      <x:c r="E471" s="17" t="str"/>
      <x:c r="F471" s="17" t="str">
        <x:v>admissions|eligibility|language|deadline</x:v>
      </x:c>
      <x:c r="G471" s="17" t="str">
        <x:v>International master's admission process and separate non-EU timing framework.</x:v>
      </x:c>
      <x:c r="H471" s="17" t="str">
        <x:v>Admission to a Master's Programme</x:v>
      </x:c>
      <x:c r="I471" s="17" t="str">
        <x:v>TU Wien</x:v>
      </x:c>
      <x:c r="J471" s="17" t="str">
        <x:v>official</x:v>
      </x:c>
      <x:c r="K471" s="17" t="str">
        <x:v>2026-09-10</x:v>
      </x:c>
      <x:c r="L471" s="17" t="str">
        <x:v>Latest published framework checked 2026-09-10</x:v>
      </x:c>
      <x:c r="M471" s="17" t="str">
        <x:v>high</x:v>
      </x:c>
      <x:c r="N471" s="17" t="str">
        <x:v>official page checked</x:v>
      </x:c>
      <x:c r="O471" s="17" t="str"/>
      <x:c r="P471" s="18" t="e">
        <x:f>HYPERLINK("https://www.tuwien.at/en/studies/admission/admission-to-a-masters-programme","Open source")</x:f>
        <x:v>HYPERLINK is not implemented. linkLocation=https://www.tuwien.at/en/studies/admission/admission-to-a-masters-programme, friendlyName=Open source</x:v>
      </x:c>
    </x:row>
    <x:row r="472" ht="46" customHeight="1">
      <x:c r="A472" s="17" t="str">
        <x:v>stage3src:faedecf6cfb351b57d44</x:v>
      </x:c>
      <x:c r="B472" s="17" t="str">
        <x:v>program</x:v>
      </x:c>
      <x:c r="C472" s="17" t="str">
        <x:v>TU Wien</x:v>
      </x:c>
      <x:c r="D472" s="17" t="str">
        <x:v>ror:04d836q62:program:thesis-or-research-master-s:master-s-programme-logic-and-artificial-intelligence</x:v>
      </x:c>
      <x:c r="E472" s="17" t="str"/>
      <x:c r="F472" s="17" t="str">
        <x:v>fees|funding</x:v>
      </x:c>
      <x:c r="G472" s="17" t="str">
        <x:v>Non-EU semester tuition, additional Students' Union fee, and country/status-specific exemption framework; no program funding promise.</x:v>
      </x:c>
      <x:c r="H472" s="17" t="str">
        <x:v>Students' Union Fee and Tuition Fee</x:v>
      </x:c>
      <x:c r="I472" s="17" t="str">
        <x:v>TU Wien</x:v>
      </x:c>
      <x:c r="J472" s="17" t="str">
        <x:v>official</x:v>
      </x:c>
      <x:c r="K472" s="17" t="str">
        <x:v>2026-09-10</x:v>
      </x:c>
      <x:c r="L472" s="17" t="str">
        <x:v>Current fee schedule checked 2026-09-10</x:v>
      </x:c>
      <x:c r="M472" s="17" t="str">
        <x:v>high</x:v>
      </x:c>
      <x:c r="N472" s="17" t="str">
        <x:v>official page checked</x:v>
      </x:c>
      <x:c r="O472" s="17" t="str"/>
      <x:c r="P472" s="18" t="e">
        <x:f>HYPERLINK("https://www.tuwien.at/en/studies/admission/students-union-fee-and-tuition-fee/tuition-fee","Open source")</x:f>
        <x:v>HYPERLINK is not implemented. linkLocation=https://www.tuwien.at/en/studies/admission/students-union-fee-and-tuition-fee/tuition-fee, friendlyName=Open source</x:v>
      </x:c>
    </x:row>
    <x:row r="473" ht="46" customHeight="1">
      <x:c r="A473" s="17" t="str">
        <x:v>stage3src:d97d0182811a7306d10b</x:v>
      </x:c>
      <x:c r="B473" s="17" t="str">
        <x:v>program</x:v>
      </x:c>
      <x:c r="C473" s="17" t="str">
        <x:v>Robert Gordon University</x:v>
      </x:c>
      <x:c r="D473" s="17" t="str">
        <x:v>ror:04f0qj703:program:unclear:cross-path-catalog-review</x:v>
      </x:c>
      <x:c r="E473" s="17" t="str"/>
      <x:c r="F473" s="17" t="str">
        <x:v>discovery</x:v>
      </x:c>
      <x:c r="G473" s="17" t="str">
        <x:v>Stage 2 recorded this row as a discovery candidate; it does not independently verify an exact current research program, eligibility, or funding.</x:v>
      </x:c>
      <x:c r="H473" s="17" t="str">
        <x:v>Pass 2 Stage 2 candidate funnel</x:v>
      </x:c>
      <x:c r="I473" s="17" t="str">
        <x:v>Graduate audit pipeline</x:v>
      </x:c>
      <x:c r="J473" s="17" t="str">
        <x:v>derived</x:v>
      </x:c>
      <x:c r="K473" s="17" t="str">
        <x:v>2026-09-11</x:v>
      </x:c>
      <x:c r="L473" s="17" t="str">
        <x:v>Not cycle-specific</x:v>
      </x:c>
      <x:c r="M473" s="17" t="str">
        <x:v>low</x:v>
      </x:c>
      <x:c r="N473" s="17" t="str">
        <x:v>Discovery evidence only</x:v>
      </x:c>
      <x:c r="O473" s="17" t="str">
        <x:v>Use the source_record_paths field to trace the underlying discovery inputs.</x:v>
      </x:c>
      <x:c r="P473" s="18" t="e">
        <x:f>HYPERLINK("https://rgu.ac.uk","Open source")</x:f>
        <x:v>HYPERLINK is not implemented. linkLocation=https://rgu.ac.uk, friendlyName=Open source</x:v>
      </x:c>
    </x:row>
    <x:row r="474" ht="46" customHeight="1">
      <x:c r="A474" s="17" t="str">
        <x:v>stage3src:1b2405ee4a2975a36b36</x:v>
      </x:c>
      <x:c r="B474" s="17" t="str">
        <x:v>program</x:v>
      </x:c>
      <x:c r="C474" s="17" t="str">
        <x:v>Lancaster University</x:v>
      </x:c>
      <x:c r="D474" s="17" t="str">
        <x:v>ror:04f2nsd36:program:unclear:cross-path-catalog-review</x:v>
      </x:c>
      <x:c r="E474" s="17" t="str"/>
      <x:c r="F474" s="17" t="str">
        <x:v>discovery</x:v>
      </x:c>
      <x:c r="G474" s="17" t="str">
        <x:v>Stage 2 recorded this row as a discovery candidate; it does not independently verify an exact current research program, eligibility, or funding.</x:v>
      </x:c>
      <x:c r="H474" s="17" t="str">
        <x:v>Pass 2 Stage 2 candidate funnel</x:v>
      </x:c>
      <x:c r="I474" s="17" t="str">
        <x:v>Graduate audit pipeline</x:v>
      </x:c>
      <x:c r="J474" s="17" t="str">
        <x:v>derived</x:v>
      </x:c>
      <x:c r="K474" s="17" t="str">
        <x:v>2026-09-11</x:v>
      </x:c>
      <x:c r="L474" s="17" t="str">
        <x:v>Not cycle-specific</x:v>
      </x:c>
      <x:c r="M474" s="17" t="str">
        <x:v>low</x:v>
      </x:c>
      <x:c r="N474" s="17" t="str">
        <x:v>Discovery evidence only</x:v>
      </x:c>
      <x:c r="O474" s="17" t="str">
        <x:v>Use the source_record_paths field to trace the underlying discovery inputs.</x:v>
      </x:c>
      <x:c r="P474" s="18" t="e">
        <x:f>HYPERLINK("https://www.lancaster.ac.uk","Open source")</x:f>
        <x:v>HYPERLINK is not implemented. linkLocation=https://www.lancaster.ac.uk, friendlyName=Open source</x:v>
      </x:c>
    </x:row>
    <x:row r="475" ht="46" customHeight="1">
      <x:c r="A475" s="17" t="str">
        <x:v>stage3src:69556439404e1919be96</x:v>
      </x:c>
      <x:c r="B475" s="17" t="str">
        <x:v>program</x:v>
      </x:c>
      <x:c r="C475" s="17" t="str">
        <x:v>IU International University of Applied Sciences</x:v>
      </x:c>
      <x:c r="D475" s="17" t="str">
        <x:v>ror:04fdat027:program:unclear:cross-path-catalog-review</x:v>
      </x:c>
      <x:c r="E475" s="17" t="str"/>
      <x:c r="F475" s="17" t="str">
        <x:v>discovery</x:v>
      </x:c>
      <x:c r="G475" s="17" t="str">
        <x:v>Stage 2 recorded this row as a discovery candidate; it does not independently verify an exact current research program, eligibility, or funding.</x:v>
      </x:c>
      <x:c r="H475" s="17" t="str">
        <x:v>Pass 2 Stage 2 candidate funnel</x:v>
      </x:c>
      <x:c r="I475" s="17" t="str">
        <x:v>Graduate audit pipeline</x:v>
      </x:c>
      <x:c r="J475" s="17" t="str">
        <x:v>derived</x:v>
      </x:c>
      <x:c r="K475" s="17" t="str">
        <x:v>2026-09-11</x:v>
      </x:c>
      <x:c r="L475" s="17" t="str">
        <x:v>Not cycle-specific</x:v>
      </x:c>
      <x:c r="M475" s="17" t="str">
        <x:v>low</x:v>
      </x:c>
      <x:c r="N475" s="17" t="str">
        <x:v>Discovery evidence only</x:v>
      </x:c>
      <x:c r="O475" s="17" t="str">
        <x:v>Use the source_record_paths field to trace the underlying discovery inputs.</x:v>
      </x:c>
      <x:c r="P475" s="18" t="e">
        <x:f>HYPERLINK("https://www.iu.org","Open source")</x:f>
        <x:v>HYPERLINK is not implemented. linkLocation=https://www.iu.org, friendlyName=Open source</x:v>
      </x:c>
    </x:row>
    <x:row r="476" ht="46" customHeight="1">
      <x:c r="A476" s="17" t="str">
        <x:v>stage3src:23e66fe7c60d9a840be6</x:v>
      </x:c>
      <x:c r="B476" s="17" t="str">
        <x:v>program</x:v>
      </x:c>
      <x:c r="C476" s="17" t="str">
        <x:v>Royal Holloway University of London</x:v>
      </x:c>
      <x:c r="D476" s="17" t="str">
        <x:v>ror:04g2vpn86:program:unclear:cross-path-catalog-review</x:v>
      </x:c>
      <x:c r="E476" s="17" t="str"/>
      <x:c r="F476" s="17" t="str">
        <x:v>discovery</x:v>
      </x:c>
      <x:c r="G476" s="17" t="str">
        <x:v>Stage 2 recorded this row as a discovery candidate; it does not independently verify an exact current research program, eligibility, or funding.</x:v>
      </x:c>
      <x:c r="H476" s="17" t="str">
        <x:v>Pass 2 Stage 2 candidate funnel</x:v>
      </x:c>
      <x:c r="I476" s="17" t="str">
        <x:v>Graduate audit pipeline</x:v>
      </x:c>
      <x:c r="J476" s="17" t="str">
        <x:v>derived</x:v>
      </x:c>
      <x:c r="K476" s="17" t="str">
        <x:v>2026-09-11</x:v>
      </x:c>
      <x:c r="L476" s="17" t="str">
        <x:v>Not cycle-specific</x:v>
      </x:c>
      <x:c r="M476" s="17" t="str">
        <x:v>low</x:v>
      </x:c>
      <x:c r="N476" s="17" t="str">
        <x:v>Discovery evidence only</x:v>
      </x:c>
      <x:c r="O476" s="17" t="str">
        <x:v>Use the source_record_paths field to trace the underlying discovery inputs.</x:v>
      </x:c>
      <x:c r="P476" s="18" t="e">
        <x:f>HYPERLINK("https://www.royalholloway.ac.uk/","Open source")</x:f>
        <x:v>HYPERLINK is not implemented. linkLocation=https://www.royalholloway.ac.uk/, friendlyName=Open source</x:v>
      </x:c>
    </x:row>
    <x:row r="477" ht="46" customHeight="1">
      <x:c r="A477" s="17" t="str">
        <x:v>stage3src:d3e849f1721318930227</x:v>
      </x:c>
      <x:c r="B477" s="17" t="str">
        <x:v>program</x:v>
      </x:c>
      <x:c r="C477" s="17" t="str">
        <x:v>National and Kapodistrian University of Athens</x:v>
      </x:c>
      <x:c r="D477" s="17" t="str">
        <x:v>ror:04gnjpq42:program:unclear:cross-path-catalog-review</x:v>
      </x:c>
      <x:c r="E477" s="17" t="str"/>
      <x:c r="F477" s="17" t="str">
        <x:v>discovery</x:v>
      </x:c>
      <x:c r="G477" s="17" t="str">
        <x:v>Stage 2 recorded this row as a discovery candidate; it does not independently verify an exact current research program, eligibility, or funding.</x:v>
      </x:c>
      <x:c r="H477" s="17" t="str">
        <x:v>Pass 2 Stage 2 candidate funnel</x:v>
      </x:c>
      <x:c r="I477" s="17" t="str">
        <x:v>Graduate audit pipeline</x:v>
      </x:c>
      <x:c r="J477" s="17" t="str">
        <x:v>derived</x:v>
      </x:c>
      <x:c r="K477" s="17" t="str">
        <x:v>2026-09-11</x:v>
      </x:c>
      <x:c r="L477" s="17" t="str">
        <x:v>Not cycle-specific</x:v>
      </x:c>
      <x:c r="M477" s="17" t="str">
        <x:v>low</x:v>
      </x:c>
      <x:c r="N477" s="17" t="str">
        <x:v>Discovery evidence only</x:v>
      </x:c>
      <x:c r="O477" s="17" t="str">
        <x:v>Use the source_record_paths field to trace the underlying discovery inputs.</x:v>
      </x:c>
      <x:c r="P477" s="18" t="e">
        <x:f>HYPERLINK("https://www.uoa.gr","Open source")</x:f>
        <x:v>HYPERLINK is not implemented. linkLocation=https://www.uoa.gr, friendlyName=Open source</x:v>
      </x:c>
    </x:row>
    <x:row r="478" ht="46" customHeight="1">
      <x:c r="A478" s="17" t="str">
        <x:v>stage3src:740012022702017af385</x:v>
      </x:c>
      <x:c r="B478" s="17" t="str">
        <x:v>program</x:v>
      </x:c>
      <x:c r="C478" s="17" t="str">
        <x:v>University of Florence</x:v>
      </x:c>
      <x:c r="D478" s="17" t="str">
        <x:v>ror:04jr1s763:program:thesis-or-research-master-s:msc-in-software-science-and-technology</x:v>
      </x:c>
      <x:c r="E478" s="17" t="str"/>
      <x:c r="F478" s="17" t="str">
        <x:v>program|research|eligibility|language</x:v>
      </x:c>
      <x:c r="G478" s="17" t="str">
        <x:v>Current unrestricted English LM-18 Software degree, two-year structure, subject focus, and thesis component.</x:v>
      </x:c>
      <x:c r="H478" s="17" t="str">
        <x:v>Software: Science and Technology</x:v>
      </x:c>
      <x:c r="I478" s="17" t="str">
        <x:v>University of Florence</x:v>
      </x:c>
      <x:c r="J478" s="17" t="str">
        <x:v>official</x:v>
      </x:c>
      <x:c r="K478" s="17" t="str">
        <x:v>2026-09-11</x:v>
      </x:c>
      <x:c r="L478" s="17" t="str">
        <x:v>Current page checked 2026-09-11</x:v>
      </x:c>
      <x:c r="M478" s="17" t="str">
        <x:v>high</x:v>
      </x:c>
      <x:c r="N478" s="17" t="str">
        <x:v>official page checked</x:v>
      </x:c>
      <x:c r="O478" s="17" t="str"/>
      <x:c r="P478" s="18" t="e">
        <x:f>HYPERLINK("https://www.unifi.it/en/study-us/degree-programs/second-cycle-degree/software-science-and-technology","Open source")</x:f>
        <x:v>HYPERLINK is not implemented. linkLocation=https://www.unifi.it/en/study-us/degree-programs/second-cycle-degree/software-science-and-technology, friendlyName=Open source</x:v>
      </x:c>
    </x:row>
    <x:row r="479" ht="46" customHeight="1">
      <x:c r="A479" s="17" t="str">
        <x:v>stage3src:99bbaf9ce6e9873c0aca</x:v>
      </x:c>
      <x:c r="B479" s="17" t="str">
        <x:v>program</x:v>
      </x:c>
      <x:c r="C479" s="17" t="str">
        <x:v>University of Florence</x:v>
      </x:c>
      <x:c r="D479" s="17" t="str">
        <x:v>ror:04jr1s763:program:thesis-or-research-master-s:msc-in-software-science-and-technology</x:v>
      </x:c>
      <x:c r="E479" s="17" t="str"/>
      <x:c r="F479" s="17" t="str">
        <x:v>funding|tuition|fees|summer</x:v>
      </x:c>
      <x:c r="G479" s="17" t="str">
        <x:v>2026–27 DSU deadline, cash, meals, housing-if-available, and annual service period.</x:v>
      </x:c>
      <x:c r="H479" s="17" t="str">
        <x:v>Scholarship</x:v>
      </x:c>
      <x:c r="I479" s="17" t="str">
        <x:v>DSU Toscana</x:v>
      </x:c>
      <x:c r="J479" s="17" t="str">
        <x:v>official</x:v>
      </x:c>
      <x:c r="K479" s="17" t="str">
        <x:v>2026-09-11</x:v>
      </x:c>
      <x:c r="L479" s="17" t="str">
        <x:v>2026–27 checked 2026-09-11</x:v>
      </x:c>
      <x:c r="M479" s="17" t="str">
        <x:v>high</x:v>
      </x:c>
      <x:c r="N479" s="17" t="str">
        <x:v>official page checked</x:v>
      </x:c>
      <x:c r="O479" s="17" t="str"/>
      <x:c r="P479" s="18" t="e">
        <x:f>HYPERLINK("https://www.dsu.toscana.it/borsa-di-studio","Open source")</x:f>
        <x:v>HYPERLINK is not implemented. linkLocation=https://www.dsu.toscana.it/borsa-di-studio, friendlyName=Open source</x:v>
      </x:c>
    </x:row>
    <x:row r="480" ht="46" customHeight="1">
      <x:c r="A480" s="17" t="str">
        <x:v>stage3src:9a2026194e8751e04f72</x:v>
      </x:c>
      <x:c r="B480" s="17" t="str">
        <x:v>program</x:v>
      </x:c>
      <x:c r="C480" s="17" t="str">
        <x:v>University of Florence</x:v>
      </x:c>
      <x:c r="D480" s="17" t="str">
        <x:v>ror:04jr1s763:program:thesis-or-research-master-s:msc-in-software-science-and-technology</x:v>
      </x:c>
      <x:c r="E480" s="17" t="str"/>
      <x:c r="F480" s="17" t="str">
        <x:v>funding|eligibility</x:v>
      </x:c>
      <x:c r="G480" s="17" t="str">
        <x:v>Extra-EU translated and legalized economic documentation and developing-country certification route.</x:v>
      </x:c>
      <x:c r="H480" s="17" t="str">
        <x:v>Foreign Students</x:v>
      </x:c>
      <x:c r="I480" s="17" t="str">
        <x:v>DSU Toscana</x:v>
      </x:c>
      <x:c r="J480" s="17" t="str">
        <x:v>official</x:v>
      </x:c>
      <x:c r="K480" s="17" t="str">
        <x:v>2026-09-11</x:v>
      </x:c>
      <x:c r="L480" s="17" t="str">
        <x:v>Current page checked 2026-09-11</x:v>
      </x:c>
      <x:c r="M480" s="17" t="str">
        <x:v>high</x:v>
      </x:c>
      <x:c r="N480" s="17" t="str">
        <x:v>official page checked</x:v>
      </x:c>
      <x:c r="O480" s="17" t="str"/>
      <x:c r="P480" s="18" t="e">
        <x:f>HYPERLINK("https://www.dsu.toscana.it/-/foreign-students","Open source")</x:f>
        <x:v>HYPERLINK is not implemented. linkLocation=https://www.dsu.toscana.it/-/foreign-students, friendlyName=Open source</x:v>
      </x:c>
    </x:row>
    <x:row r="481" ht="46" customHeight="1">
      <x:c r="A481" s="17" t="str">
        <x:v>stage3src:c09f310c3684a4a31d4f</x:v>
      </x:c>
      <x:c r="B481" s="17" t="str">
        <x:v>program</x:v>
      </x:c>
      <x:c r="C481" s="17" t="str">
        <x:v>University of Florence</x:v>
      </x:c>
      <x:c r="D481" s="17" t="str">
        <x:v>ror:04jr1s763:program:thesis-or-research-master-s:msc-in-software-science-and-technology</x:v>
      </x:c>
      <x:c r="E481" s="17" t="str"/>
      <x:c r="F481" s="17" t="str">
        <x:v>admissions|eligibility|language|deadline|fees</x:v>
      </x:c>
      <x:c r="G481" s="17" t="str">
        <x:v>2026–27 international application date, EUR 20 fee, and English-medium prior-degree evidence route.</x:v>
      </x:c>
      <x:c r="H481" s="17" t="str">
        <x:v>Software: Science and Technology application listing</x:v>
      </x:c>
      <x:c r="I481" s="17" t="str">
        <x:v>University of Florence</x:v>
      </x:c>
      <x:c r="J481" s="17" t="str">
        <x:v>official</x:v>
      </x:c>
      <x:c r="K481" s="17" t="str">
        <x:v>2026-09-11</x:v>
      </x:c>
      <x:c r="L481" s="17" t="str">
        <x:v>2026–27 checked 2026-09-11</x:v>
      </x:c>
      <x:c r="M481" s="17" t="str">
        <x:v>high</x:v>
      </x:c>
      <x:c r="N481" s="17" t="str">
        <x:v>official page checked</x:v>
      </x:c>
      <x:c r="O481" s="17" t="str">
        <x:v>Official listing was indexed but denied automated page rendering; claims were cross-checked against the official listing metadata.</x:v>
      </x:c>
      <x:c r="P481" s="18" t="e">
        <x:f>HYPERLINK("https://apply.unifi.it/courses/course/97-software-science-and-technology","Open source")</x:f>
        <x:v>HYPERLINK is not implemented. linkLocation=https://apply.unifi.it/courses/course/97-software-science-and-technology, friendlyName=Open source</x:v>
      </x:c>
    </x:row>
    <x:row r="482" ht="46" customHeight="1">
      <x:c r="A482" s="17" t="str">
        <x:v>stage3src:2a021cd053ce9a00ed09</x:v>
      </x:c>
      <x:c r="B482" s="17" t="str">
        <x:v>program</x:v>
      </x:c>
      <x:c r="C482" s="17" t="str">
        <x:v>University of Brighton</x:v>
      </x:c>
      <x:c r="D482" s="17" t="str">
        <x:v>ror:04kp2b655:program:unclear:cross-path-catalog-review</x:v>
      </x:c>
      <x:c r="E482" s="17" t="str"/>
      <x:c r="F482" s="17" t="str">
        <x:v>discovery</x:v>
      </x:c>
      <x:c r="G482" s="17" t="str">
        <x:v>Stage 2 recorded this row as a discovery candidate; it does not independently verify an exact current research program, eligibility, or funding.</x:v>
      </x:c>
      <x:c r="H482" s="17" t="str">
        <x:v>Pass 2 Stage 2 candidate funnel</x:v>
      </x:c>
      <x:c r="I482" s="17" t="str">
        <x:v>Graduate audit pipeline</x:v>
      </x:c>
      <x:c r="J482" s="17" t="str">
        <x:v>derived</x:v>
      </x:c>
      <x:c r="K482" s="17" t="str">
        <x:v>2026-09-11</x:v>
      </x:c>
      <x:c r="L482" s="17" t="str">
        <x:v>Not cycle-specific</x:v>
      </x:c>
      <x:c r="M482" s="17" t="str">
        <x:v>low</x:v>
      </x:c>
      <x:c r="N482" s="17" t="str">
        <x:v>Discovery evidence only</x:v>
      </x:c>
      <x:c r="O482" s="17" t="str">
        <x:v>Use the source_record_paths field to trace the underlying discovery inputs.</x:v>
      </x:c>
      <x:c r="P482" s="18" t="e">
        <x:f>HYPERLINK("https://www.brighton.ac.uk","Open source")</x:f>
        <x:v>HYPERLINK is not implemented. linkLocation=https://www.brighton.ac.uk, friendlyName=Open source</x:v>
      </x:c>
    </x:row>
    <x:row r="483" ht="46" customHeight="1">
      <x:c r="A483" s="17" t="str">
        <x:v>stage3src:06257626c22f4d050609</x:v>
      </x:c>
      <x:c r="B483" s="17" t="str">
        <x:v>program</x:v>
      </x:c>
      <x:c r="C483" s="17" t="str">
        <x:v>Universidad de Alcalá</x:v>
      </x:c>
      <x:c r="D483" s="17" t="str">
        <x:v>ror:04pmn0e78:program:unclear:cross-path-catalog-review</x:v>
      </x:c>
      <x:c r="E483" s="17" t="str"/>
      <x:c r="F483" s="17" t="str">
        <x:v>discovery</x:v>
      </x:c>
      <x:c r="G483" s="17" t="str">
        <x:v>Stage 2 recorded this row as a discovery candidate; it does not independently verify an exact current research program, eligibility, or funding.</x:v>
      </x:c>
      <x:c r="H483" s="17" t="str">
        <x:v>Pass 2 Stage 2 candidate funnel</x:v>
      </x:c>
      <x:c r="I483" s="17" t="str">
        <x:v>Graduate audit pipeline</x:v>
      </x:c>
      <x:c r="J483" s="17" t="str">
        <x:v>derived</x:v>
      </x:c>
      <x:c r="K483" s="17" t="str">
        <x:v>2026-09-11</x:v>
      </x:c>
      <x:c r="L483" s="17" t="str">
        <x:v>Not cycle-specific</x:v>
      </x:c>
      <x:c r="M483" s="17" t="str">
        <x:v>low</x:v>
      </x:c>
      <x:c r="N483" s="17" t="str">
        <x:v>Discovery evidence only</x:v>
      </x:c>
      <x:c r="O483" s="17" t="str">
        <x:v>Use the source_record_paths field to trace the underlying discovery inputs.</x:v>
      </x:c>
      <x:c r="P483" s="18" t="e">
        <x:f>HYPERLINK("https://uah.es","Open source")</x:f>
        <x:v>HYPERLINK is not implemented. linkLocation=https://uah.es, friendlyName=Open source</x:v>
      </x:c>
    </x:row>
    <x:row r="484" ht="46" customHeight="1">
      <x:c r="A484" s="17" t="str">
        <x:v>stage3src:575aec48144b45125652</x:v>
      </x:c>
      <x:c r="B484" s="17" t="str">
        <x:v>program</x:v>
      </x:c>
      <x:c r="C484" s="17" t="str">
        <x:v>Clausthal University of Technology</x:v>
      </x:c>
      <x:c r="D484" s="17" t="str">
        <x:v>ror:04qb8nc58:program:unclear:cross-path-catalog-review</x:v>
      </x:c>
      <x:c r="E484" s="17" t="str"/>
      <x:c r="F484" s="17" t="str">
        <x:v>discovery</x:v>
      </x:c>
      <x:c r="G484" s="17" t="str">
        <x:v>Stage 2 recorded this row as a discovery candidate; it does not independently verify an exact current research program, eligibility, or funding.</x:v>
      </x:c>
      <x:c r="H484" s="17" t="str">
        <x:v>Pass 2 Stage 2 candidate funnel</x:v>
      </x:c>
      <x:c r="I484" s="17" t="str">
        <x:v>Graduate audit pipeline</x:v>
      </x:c>
      <x:c r="J484" s="17" t="str">
        <x:v>derived</x:v>
      </x:c>
      <x:c r="K484" s="17" t="str">
        <x:v>2026-09-11</x:v>
      </x:c>
      <x:c r="L484" s="17" t="str">
        <x:v>Not cycle-specific</x:v>
      </x:c>
      <x:c r="M484" s="17" t="str">
        <x:v>low</x:v>
      </x:c>
      <x:c r="N484" s="17" t="str">
        <x:v>Discovery evidence only</x:v>
      </x:c>
      <x:c r="O484" s="17" t="str">
        <x:v>Use the source_record_paths field to trace the underlying discovery inputs.</x:v>
      </x:c>
      <x:c r="P484" s="18" t="e">
        <x:f>HYPERLINK("https://www.tu-clausthal.de","Open source")</x:f>
        <x:v>HYPERLINK is not implemented. linkLocation=https://www.tu-clausthal.de, friendlyName=Open source</x:v>
      </x:c>
    </x:row>
    <x:row r="485" ht="46" customHeight="1">
      <x:c r="A485" s="17" t="str">
        <x:v>stage3src:4e78f8b437e42b3bc4bc</x:v>
      </x:c>
      <x:c r="B485" s="17" t="str">
        <x:v>program</x:v>
      </x:c>
      <x:c r="C485" s="17" t="str">
        <x:v>Technical University of Denmark</x:v>
      </x:c>
      <x:c r="D485" s="17" t="str">
        <x:v>ror:04qtj9h94:program:phd-requiring-a-master-s:phd-programme-dtu-compute</x:v>
      </x:c>
      <x:c r="E485" s="17" t="str"/>
      <x:c r="F485" s="17" t="str">
        <x:v>language|admissions</x:v>
      </x:c>
      <x:c r="G485" s="17" t="str">
        <x:v>Official English-language or admissions evidence; waivers/test thresholds remain applicant-specific</x:v>
      </x:c>
      <x:c r="H485" s="17" t="str">
        <x:v>Technical University of Denmark — official evidence</x:v>
      </x:c>
      <x:c r="I485" s="17" t="str">
        <x:v>Technical University of Denmark</x:v>
      </x:c>
      <x:c r="J485" s="17" t="str">
        <x:v>official</x:v>
      </x:c>
      <x:c r="K485" s="17" t="str">
        <x:v>2026-09-09</x:v>
      </x:c>
      <x:c r="L485" s="17" t="str">
        <x:v>position-specific</x:v>
      </x:c>
      <x:c r="M485" s="17" t="str">
        <x:v>high</x:v>
      </x:c>
      <x:c r="N485" s="17" t="str">
        <x:v>accessible or indexed official page</x:v>
      </x:c>
      <x:c r="O485" s="17" t="str">
        <x:v>Search snippets were discovery only; final claim points to the official destination. Recheck cycle-specific facts when 2027 material opens.</x:v>
      </x:c>
      <x:c r="P485" s="18" t="e">
        <x:f>HYPERLINK("https://www.dtu.dk/english/education/phd/intro","Open source")</x:f>
        <x:v>HYPERLINK is not implemented. linkLocation=https://www.dtu.dk/english/education/phd/intro, friendlyName=Open source</x:v>
      </x:c>
    </x:row>
    <x:row r="486" ht="46" customHeight="1">
      <x:c r="A486" s="17" t="str">
        <x:v>stage3src:7372d83b9d620023ac93</x:v>
      </x:c>
      <x:c r="B486" s="17" t="str">
        <x:v>program</x:v>
      </x:c>
      <x:c r="C486" s="17" t="str">
        <x:v>Technical University of Denmark</x:v>
      </x:c>
      <x:c r="D486" s="17" t="str">
        <x:v>ror:04qtj9h94:program:phd-requiring-a-master-s:phd-programme-dtu-compute</x:v>
      </x:c>
      <x:c r="E486" s="17" t="str"/>
      <x:c r="F486" s="17" t="str">
        <x:v>admissions</x:v>
      </x:c>
      <x:c r="G486" s="17" t="str">
        <x:v>Official program/admissions page; cycle label preserved in deep_programs.csv</x:v>
      </x:c>
      <x:c r="H486" s="17" t="str">
        <x:v>Technical University of Denmark — official evidence</x:v>
      </x:c>
      <x:c r="I486" s="17" t="str">
        <x:v>Technical University of Denmark</x:v>
      </x:c>
      <x:c r="J486" s="17" t="str">
        <x:v>official</x:v>
      </x:c>
      <x:c r="K486" s="17" t="str">
        <x:v>2026-09-09</x:v>
      </x:c>
      <x:c r="L486" s="17" t="str">
        <x:v>position-specific</x:v>
      </x:c>
      <x:c r="M486" s="17" t="str">
        <x:v>high</x:v>
      </x:c>
      <x:c r="N486" s="17" t="str">
        <x:v>accessible or indexed official page</x:v>
      </x:c>
      <x:c r="O486" s="17" t="str">
        <x:v>Search snippets were discovery only; final claim points to the official destination. Recheck cycle-specific facts when 2027 material opens.</x:v>
      </x:c>
      <x:c r="P486" s="18" t="e">
        <x:f>HYPERLINK("https://www.dtu.dk/english/education/phd/intro","Open source")</x:f>
        <x:v>HYPERLINK is not implemented. linkLocation=https://www.dtu.dk/english/education/phd/intro, friendlyName=Open source</x:v>
      </x:c>
    </x:row>
    <x:row r="487" ht="46" customHeight="1">
      <x:c r="A487" s="17" t="str">
        <x:v>stage3src:adbd06007d47796e8726</x:v>
      </x:c>
      <x:c r="B487" s="17" t="str">
        <x:v>program</x:v>
      </x:c>
      <x:c r="C487" s="17" t="str">
        <x:v>Technical University of Denmark</x:v>
      </x:c>
      <x:c r="D487" s="17" t="str">
        <x:v>ror:04qtj9h94:program:phd-requiring-a-master-s:phd-programme-dtu-compute</x:v>
      </x:c>
      <x:c r="E487" s="17" t="str"/>
      <x:c r="F487" s="17" t="str">
        <x:v>institution</x:v>
      </x:c>
      <x:c r="G487" s="17" t="str">
        <x:v>Official institutional profile/group page used to verify current role and research themes</x:v>
      </x:c>
      <x:c r="H487" s="17" t="str">
        <x:v>Ekkart Kindler — official evidence</x:v>
      </x:c>
      <x:c r="I487" s="17" t="str">
        <x:v>Technical University of Denmark</x:v>
      </x:c>
      <x:c r="J487" s="17" t="str">
        <x:v>official</x:v>
      </x:c>
      <x:c r="K487" s="17" t="str">
        <x:v>2026-09-09</x:v>
      </x:c>
      <x:c r="L487" s="17" t="str">
        <x:v>current at 2026-09-09</x:v>
      </x:c>
      <x:c r="M487" s="17" t="str">
        <x:v>high</x:v>
      </x:c>
      <x:c r="N487" s="17" t="str">
        <x:v>accessible or indexed official page</x:v>
      </x:c>
      <x:c r="O487" s="17" t="str">
        <x:v>Search snippets were discovery only; final claim points to the official destination. Recheck cycle-specific facts when 2027 material opens.</x:v>
      </x:c>
      <x:c r="P487" s="18" t="e">
        <x:f>HYPERLINK("https://orbit.dtu.dk/en/persons/ekkart-kindler/","Open source")</x:f>
        <x:v>HYPERLINK is not implemented. linkLocation=https://orbit.dtu.dk/en/persons/ekkart-kindler/, friendlyName=Open source</x:v>
      </x:c>
    </x:row>
    <x:row r="488" ht="46" customHeight="1">
      <x:c r="A488" s="17" t="str">
        <x:v>stage3src:2489d1ecca4a6ac44d5a</x:v>
      </x:c>
      <x:c r="B488" s="17" t="str">
        <x:v>program</x:v>
      </x:c>
      <x:c r="C488" s="17" t="str">
        <x:v>Technical University of Denmark</x:v>
      </x:c>
      <x:c r="D488" s="17" t="str">
        <x:v>ror:04qtj9h94:program:thesis-or-research-master-s:msc-eng-in-computer-science-and-engineering</x:v>
      </x:c>
      <x:c r="E488" s="17" t="str"/>
      <x:c r="F488" s="17" t="str">
        <x:v>program|research</x:v>
      </x:c>
      <x:c r="G488" s="17" t="str">
        <x:v>Current 120-ECTS MSc Eng, software and systems specializations, and master's thesis.</x:v>
      </x:c>
      <x:c r="H488" s="17" t="str">
        <x:v>MSc Eng in Computer Science and Engineering</x:v>
      </x:c>
      <x:c r="I488" s="17" t="str">
        <x:v>Technical University of Denmark</x:v>
      </x:c>
      <x:c r="J488" s="17" t="str">
        <x:v>official</x:v>
      </x:c>
      <x:c r="K488" s="17" t="str">
        <x:v>2026-09-11</x:v>
      </x:c>
      <x:c r="L488" s="17" t="str">
        <x:v>Current page checked 2026-09-11</x:v>
      </x:c>
      <x:c r="M488" s="17" t="str">
        <x:v>high</x:v>
      </x:c>
      <x:c r="N488" s="17" t="str">
        <x:v>official page checked</x:v>
      </x:c>
      <x:c r="O488" s="17" t="str"/>
      <x:c r="P488" s="18" t="e">
        <x:f>HYPERLINK("https://www.dtu.dk/english/education/graduate/msc-programmes/computer-science-and-engineering","Open source")</x:f>
        <x:v>HYPERLINK is not implemented. linkLocation=https://www.dtu.dk/english/education/graduate/msc-programmes/computer-science-and-engineering, friendlyName=Open source</x:v>
      </x:c>
    </x:row>
    <x:row r="489" ht="46" customHeight="1">
      <x:c r="A489" s="17" t="str">
        <x:v>stage3src:3153c231d67d97e9281d</x:v>
      </x:c>
      <x:c r="B489" s="17" t="str">
        <x:v>program</x:v>
      </x:c>
      <x:c r="C489" s="17" t="str">
        <x:v>Technical University of Denmark</x:v>
      </x:c>
      <x:c r="D489" s="17" t="str">
        <x:v>ror:04qtj9h94:program:thesis-or-research-master-s:msc-eng-in-computer-science-and-engineering</x:v>
      </x:c>
      <x:c r="E489" s="17" t="str"/>
      <x:c r="F489" s="17" t="str">
        <x:v>funding|scholarship|tuition|summer</x:v>
      </x:c>
      <x:c r="G489" s="17" t="str">
        <x:v>Very limited two-year tuition waiver, Autumn-only eligibility, January 15 deadline, separate statement, and merit criteria.</x:v>
      </x:c>
      <x:c r="H489" s="17" t="str">
        <x:v>Tuition Fee Waivers for International MSc Students</x:v>
      </x:c>
      <x:c r="I489" s="17" t="str">
        <x:v>Technical University of Denmark</x:v>
      </x:c>
      <x:c r="J489" s="17" t="str">
        <x:v>official</x:v>
      </x:c>
      <x:c r="K489" s="17" t="str">
        <x:v>2026-09-11</x:v>
      </x:c>
      <x:c r="L489" s="17" t="str">
        <x:v>Current policy checked 2026-09-11</x:v>
      </x:c>
      <x:c r="M489" s="17" t="str">
        <x:v>high</x:v>
      </x:c>
      <x:c r="N489" s="17" t="str">
        <x:v>official page checked</x:v>
      </x:c>
      <x:c r="O489" s="17" t="str"/>
      <x:c r="P489" s="18" t="e">
        <x:f>HYPERLINK("https://www.dtu.dk/english/education/graduate/fees-and-funding/tuition_fee_waivers","Open source")</x:f>
        <x:v>HYPERLINK is not implemented. linkLocation=https://www.dtu.dk/english/education/graduate/fees-and-funding/tuition_fee_waivers, friendlyName=Open source</x:v>
      </x:c>
    </x:row>
    <x:row r="490" ht="46" customHeight="1">
      <x:c r="A490" s="17" t="str">
        <x:v>stage3src:3f9ed39e934de9ed5d95</x:v>
      </x:c>
      <x:c r="B490" s="17" t="str">
        <x:v>program</x:v>
      </x:c>
      <x:c r="C490" s="17" t="str">
        <x:v>Technical University of Denmark</x:v>
      </x:c>
      <x:c r="D490" s="17" t="str">
        <x:v>ror:04qtj9h94:program:thesis-or-research-master-s:msc-eng-in-computer-science-and-engineering</x:v>
      </x:c>
      <x:c r="E490" s="17" t="str"/>
      <x:c r="F490" s="17" t="str">
        <x:v>tuition|fees</x:v>
      </x:c>
      <x:c r="G490" s="17" t="str">
        <x:v>Current EUR 7,500 per-semester and EUR 30,000 total tuition, with revision warning.</x:v>
      </x:c>
      <x:c r="H490" s="17" t="str">
        <x:v>Fees and Funding for Paying Students</x:v>
      </x:c>
      <x:c r="I490" s="17" t="str">
        <x:v>Technical University of Denmark</x:v>
      </x:c>
      <x:c r="J490" s="17" t="str">
        <x:v>official</x:v>
      </x:c>
      <x:c r="K490" s="17" t="str">
        <x:v>2026-09-11</x:v>
      </x:c>
      <x:c r="L490" s="17" t="str">
        <x:v>Current page checked 2026-09-11</x:v>
      </x:c>
      <x:c r="M490" s="17" t="str">
        <x:v>high</x:v>
      </x:c>
      <x:c r="N490" s="17" t="str">
        <x:v>official page checked</x:v>
      </x:c>
      <x:c r="O490" s="17" t="str"/>
      <x:c r="P490" s="18" t="e">
        <x:f>HYPERLINK("https://www.dtu.dk/english/education/graduate/fees-and-funding","Open source")</x:f>
        <x:v>HYPERLINK is not implemented. linkLocation=https://www.dtu.dk/english/education/graduate/fees-and-funding, friendlyName=Open source</x:v>
      </x:c>
    </x:row>
    <x:row r="491" ht="46" customHeight="1">
      <x:c r="A491" s="17" t="str">
        <x:v>stage3src:e000525e80ae260fe856</x:v>
      </x:c>
      <x:c r="B491" s="17" t="str">
        <x:v>program</x:v>
      </x:c>
      <x:c r="C491" s="17" t="str">
        <x:v>Technical University of Denmark</x:v>
      </x:c>
      <x:c r="D491" s="17" t="str">
        <x:v>ror:04qtj9h94:program:thesis-or-research-master-s:msc-eng-in-computer-science-and-engineering</x:v>
      </x:c>
      <x:c r="E491" s="17" t="str"/>
      <x:c r="F491" s="17" t="str">
        <x:v>admissions|eligibility</x:v>
      </x:c>
      <x:c r="G491" s="17" t="str">
        <x:v>Exact 75-ECTS international prerequisite allocation and limited-intake assessment.</x:v>
      </x:c>
      <x:c r="H491" s="17" t="str">
        <x:v>Prerequisites for Computer Science and Engineering</x:v>
      </x:c>
      <x:c r="I491" s="17" t="str">
        <x:v>Technical University of Denmark</x:v>
      </x:c>
      <x:c r="J491" s="17" t="str">
        <x:v>official</x:v>
      </x:c>
      <x:c r="K491" s="17" t="str">
        <x:v>2026-09-11</x:v>
      </x:c>
      <x:c r="L491" s="17" t="str">
        <x:v>Current requirements checked 2026-09-11</x:v>
      </x:c>
      <x:c r="M491" s="17" t="str">
        <x:v>high</x:v>
      </x:c>
      <x:c r="N491" s="17" t="str">
        <x:v>official page checked</x:v>
      </x:c>
      <x:c r="O491" s="17" t="str"/>
      <x:c r="P491" s="18" t="e">
        <x:f>HYPERLINK("https://www.dtu.dk/english/education/graduate/msc-programmes/computer-science-and-engineering/prerequisites","Open source")</x:f>
        <x:v>HYPERLINK is not implemented. linkLocation=https://www.dtu.dk/english/education/graduate/msc-programmes/computer-science-and-engineering/prerequisites, friendlyName=Open source</x:v>
      </x:c>
    </x:row>
    <x:row r="492" ht="46" customHeight="1">
      <x:c r="A492" s="17" t="str">
        <x:v>stage3src:f16957820c9b387b7864</x:v>
      </x:c>
      <x:c r="B492" s="17" t="str">
        <x:v>program</x:v>
      </x:c>
      <x:c r="C492" s="17" t="str">
        <x:v>Technical University of Denmark</x:v>
      </x:c>
      <x:c r="D492" s="17" t="str">
        <x:v>ror:04qtj9h94:program:thesis-or-research-master-s:msc-eng-in-computer-science-and-engineering</x:v>
      </x:c>
      <x:c r="E492" s="17" t="str"/>
      <x:c r="F492" s="17" t="str">
        <x:v>admissions|fees|deadline</x:v>
      </x:c>
      <x:c r="G492" s="17" t="str">
        <x:v>EUR 100 non-EU application fee, January 15 Autumn deadline, exemptions, and coverage of two priorities.</x:v>
      </x:c>
      <x:c r="H492" s="17" t="str">
        <x:v>How to Pay Application Fees</x:v>
      </x:c>
      <x:c r="I492" s="17" t="str">
        <x:v>Technical University of Denmark</x:v>
      </x:c>
      <x:c r="J492" s="17" t="str">
        <x:v>official</x:v>
      </x:c>
      <x:c r="K492" s="17" t="str">
        <x:v>2026-09-11</x:v>
      </x:c>
      <x:c r="L492" s="17" t="str">
        <x:v>Current fee policy checked 2026-09-11</x:v>
      </x:c>
      <x:c r="M492" s="17" t="str">
        <x:v>high</x:v>
      </x:c>
      <x:c r="N492" s="17" t="str">
        <x:v>official page checked</x:v>
      </x:c>
      <x:c r="O492" s="17" t="str"/>
      <x:c r="P492" s="18" t="e">
        <x:f>HYPERLINK("https://www.dtu.dk/english/education/graduate/fees-and-funding/application_fee","Open source")</x:f>
        <x:v>HYPERLINK is not implemented. linkLocation=https://www.dtu.dk/english/education/graduate/fees-and-funding/application_fee, friendlyName=Open source</x:v>
      </x:c>
    </x:row>
    <x:row r="493" ht="46" customHeight="1">
      <x:c r="A493" s="17" t="str">
        <x:v>stage3src:e1641576da6c29286924</x:v>
      </x:c>
      <x:c r="B493" s="17" t="str">
        <x:v>program</x:v>
      </x:c>
      <x:c r="C493" s="17" t="str">
        <x:v>Karlsruhe Institute of Technology</x:v>
      </x:c>
      <x:c r="D493" s="17" t="str">
        <x:v>ror:04t3en479:program:unclear:cross-path-catalog-review</x:v>
      </x:c>
      <x:c r="E493" s="17" t="str"/>
      <x:c r="F493" s="17" t="str">
        <x:v>discovery</x:v>
      </x:c>
      <x:c r="G493" s="17" t="str">
        <x:v>Stage 2 recorded this row as a discovery candidate; it does not independently verify an exact current research program, eligibility, or funding.</x:v>
      </x:c>
      <x:c r="H493" s="17" t="str">
        <x:v>Pass 2 Stage 2 candidate funnel</x:v>
      </x:c>
      <x:c r="I493" s="17" t="str">
        <x:v>Graduate audit pipeline</x:v>
      </x:c>
      <x:c r="J493" s="17" t="str">
        <x:v>derived</x:v>
      </x:c>
      <x:c r="K493" s="17" t="str">
        <x:v>2026-09-11</x:v>
      </x:c>
      <x:c r="L493" s="17" t="str">
        <x:v>Not cycle-specific</x:v>
      </x:c>
      <x:c r="M493" s="17" t="str">
        <x:v>low</x:v>
      </x:c>
      <x:c r="N493" s="17" t="str">
        <x:v>Discovery evidence only</x:v>
      </x:c>
      <x:c r="O493" s="17" t="str">
        <x:v>Use the source_record_paths field to trace the underlying discovery inputs.</x:v>
      </x:c>
      <x:c r="P493" s="18" t="e">
        <x:f>HYPERLINK("https://www.kit.edu","Open source")</x:f>
        <x:v>HYPERLINK is not implemented. linkLocation=https://www.kit.edu, friendlyName=Open source</x:v>
      </x:c>
    </x:row>
    <x:row r="494" ht="46" customHeight="1">
      <x:c r="A494" s="17" t="str">
        <x:v>stage3src:290c5498efa2c6408a31</x:v>
      </x:c>
      <x:c r="B494" s="17" t="str">
        <x:v>program</x:v>
      </x:c>
      <x:c r="C494" s="17" t="str">
        <x:v>School of Pedagogical and Technological Education</x:v>
      </x:c>
      <x:c r="D494" s="17" t="str">
        <x:v>ror:04v3r9z94:program:unclear:cross-path-catalog-review</x:v>
      </x:c>
      <x:c r="E494" s="17" t="str"/>
      <x:c r="F494" s="17" t="str">
        <x:v>discovery</x:v>
      </x:c>
      <x:c r="G494" s="17" t="str">
        <x:v>Stage 2 recorded this row as a discovery candidate; it does not independently verify an exact current research program, eligibility, or funding.</x:v>
      </x:c>
      <x:c r="H494" s="17" t="str">
        <x:v>Pass 2 Stage 2 candidate funnel</x:v>
      </x:c>
      <x:c r="I494" s="17" t="str">
        <x:v>Graduate audit pipeline</x:v>
      </x:c>
      <x:c r="J494" s="17" t="str">
        <x:v>derived</x:v>
      </x:c>
      <x:c r="K494" s="17" t="str">
        <x:v>2026-09-11</x:v>
      </x:c>
      <x:c r="L494" s="17" t="str">
        <x:v>Not cycle-specific</x:v>
      </x:c>
      <x:c r="M494" s="17" t="str">
        <x:v>low</x:v>
      </x:c>
      <x:c r="N494" s="17" t="str">
        <x:v>Discovery evidence only</x:v>
      </x:c>
      <x:c r="O494" s="17" t="str">
        <x:v>Use the source_record_paths field to trace the underlying discovery inputs.</x:v>
      </x:c>
      <x:c r="P494" s="18" t="e">
        <x:f>HYPERLINK("https://www.aspete.gr","Open source")</x:f>
        <x:v>HYPERLINK is not implemented. linkLocation=https://www.aspete.gr, friendlyName=Open source</x:v>
      </x:c>
    </x:row>
    <x:row r="495" ht="46" customHeight="1">
      <x:c r="A495" s="17" t="str">
        <x:v>stage3src:16929e50561862ab0257</x:v>
      </x:c>
      <x:c r="B495" s="17" t="str">
        <x:v>program</x:v>
      </x:c>
      <x:c r="C495" s="17" t="str">
        <x:v>University of Stuttgart</x:v>
      </x:c>
      <x:c r="D495" s="17" t="str">
        <x:v>ror:04vnq7t77:program:thesis-or-research-master-s:computer-science-m-sc</x:v>
      </x:c>
      <x:c r="E495" s="17" t="str"/>
      <x:c r="F495" s="17" t="str">
        <x:v>program|research|admissions|eligibility|language|deadline</x:v>
      </x:c>
      <x:c r="G495" s="17" t="str">
        <x:v>Current English Computer Science MSc, C1 English, related bachelor's route, research orientation, majors, and January 15 application deadline.</x:v>
      </x:c>
      <x:c r="H495" s="17" t="str">
        <x:v>Computer Science M.Sc. for Prospective Students</x:v>
      </x:c>
      <x:c r="I495" s="17" t="str">
        <x:v>University of Stuttgart</x:v>
      </x:c>
      <x:c r="J495" s="17" t="str">
        <x:v>official</x:v>
      </x:c>
      <x:c r="K495" s="17" t="str">
        <x:v>2026-09-10</x:v>
      </x:c>
      <x:c r="L495" s="17" t="str">
        <x:v>Current recurring application window checked 2026-09-10</x:v>
      </x:c>
      <x:c r="M495" s="17" t="str">
        <x:v>high</x:v>
      </x:c>
      <x:c r="N495" s="17" t="str">
        <x:v>official page checked</x:v>
      </x:c>
      <x:c r="O495" s="17" t="str"/>
      <x:c r="P495" s="18" t="e">
        <x:f>HYPERLINK("https://www.uni-stuttgart.de/en/study/study-programs/Computer-Science-M.Sc-00007./","Open source")</x:f>
        <x:v>HYPERLINK is not implemented. linkLocation=https://www.uni-stuttgart.de/en/study/study-programs/Computer-Science-M.Sc-00007./, friendlyName=Open source</x:v>
      </x:c>
    </x:row>
    <x:row r="496" ht="46" customHeight="1">
      <x:c r="A496" s="17" t="str">
        <x:v>stage3src:4292d458a3cc42517e03</x:v>
      </x:c>
      <x:c r="B496" s="17" t="str">
        <x:v>program</x:v>
      </x:c>
      <x:c r="C496" s="17" t="str">
        <x:v>University of Stuttgart</x:v>
      </x:c>
      <x:c r="D496" s="17" t="str">
        <x:v>ror:04vnq7t77:program:thesis-or-research-master-s:computer-science-m-sc</x:v>
      </x:c>
      <x:c r="E496" s="17" t="str"/>
      <x:c r="F496" s="17" t="str">
        <x:v>funding|tuition|fees|health</x:v>
      </x:c>
      <x:c r="G496" s="17" t="str">
        <x:v>EUR 1,500 non-EU tuition per semester plus the current EUR 184 semester fee and statutory exemption boundaries.</x:v>
      </x:c>
      <x:c r="H496" s="17" t="str">
        <x:v>Tuition Fees for International Students</x:v>
      </x:c>
      <x:c r="I496" s="17" t="str">
        <x:v>University of Stuttgart</x:v>
      </x:c>
      <x:c r="J496" s="17" t="str">
        <x:v>official</x:v>
      </x:c>
      <x:c r="K496" s="17" t="str">
        <x:v>2026-09-10</x:v>
      </x:c>
      <x:c r="L496" s="17" t="str">
        <x:v>Current fee policy checked 2026-09-10</x:v>
      </x:c>
      <x:c r="M496" s="17" t="str">
        <x:v>high</x:v>
      </x:c>
      <x:c r="N496" s="17" t="str">
        <x:v>official page checked</x:v>
      </x:c>
      <x:c r="O496" s="17" t="str"/>
      <x:c r="P496" s="18" t="e">
        <x:f>HYPERLINK("https://www.student.uni-stuttgart.de/en/organizing-studies/formalities/tuition-and-fees/tuition-fee/","Open source")</x:f>
        <x:v>HYPERLINK is not implemented. linkLocation=https://www.student.uni-stuttgart.de/en/organizing-studies/formalities/tuition-and-fees/tuition-fee/, friendlyName=Open source</x:v>
      </x:c>
    </x:row>
    <x:row r="497" ht="46" customHeight="1">
      <x:c r="A497" s="17" t="str">
        <x:v>stage3src:e021229dd3ce1bfb0e54</x:v>
      </x:c>
      <x:c r="B497" s="17" t="str">
        <x:v>program</x:v>
      </x:c>
      <x:c r="C497" s="17" t="str">
        <x:v>University of Stuttgart</x:v>
      </x:c>
      <x:c r="D497" s="17" t="str">
        <x:v>ror:04vnq7t77:program:thesis-or-research-master-s:computer-science-m-sc</x:v>
      </x:c>
      <x:c r="E497" s="17" t="str"/>
      <x:c r="F497" s="17" t="str">
        <x:v>admissions|eligibility|deadline</x:v>
      </x:c>
      <x:c r="G497" s="17" t="str">
        <x:v>English-program admission regulation and November 15-January 15 winter-semester application period.</x:v>
      </x:c>
      <x:c r="H497" s="17" t="str">
        <x:v>Admission Regulations for Master's Programs Taught in English</x:v>
      </x:c>
      <x:c r="I497" s="17" t="str">
        <x:v>University of Stuttgart</x:v>
      </x:c>
      <x:c r="J497" s="17" t="str">
        <x:v>official</x:v>
      </x:c>
      <x:c r="K497" s="17" t="str">
        <x:v>2026-09-10</x:v>
      </x:c>
      <x:c r="L497" s="17" t="str">
        <x:v>Current rules checked 2026-09-10</x:v>
      </x:c>
      <x:c r="M497" s="17" t="str">
        <x:v>high</x:v>
      </x:c>
      <x:c r="N497" s="17" t="str">
        <x:v>official page checked</x:v>
      </x:c>
      <x:c r="O497" s="17" t="str"/>
      <x:c r="P497" s="18" t="e">
        <x:f>HYPERLINK("https://www.uni-stuttgart.de/en/study/application/master/admission/index.html","Open source")</x:f>
        <x:v>HYPERLINK is not implemented. linkLocation=https://www.uni-stuttgart.de/en/study/application/master/admission/index.html, friendlyName=Open source</x:v>
      </x:c>
    </x:row>
    <x:row r="498" ht="46" customHeight="1">
      <x:c r="A498" s="17" t="str">
        <x:v>stage3src:90b96251cb1d4c39a91a</x:v>
      </x:c>
      <x:c r="B498" s="17" t="str">
        <x:v>program</x:v>
      </x:c>
      <x:c r="C498" s="17" t="str">
        <x:v>University of Stuttgart</x:v>
      </x:c>
      <x:c r="D498" s="17" t="str">
        <x:v>ror:04vnq7t77:program:unclear:cross-path-catalog-review</x:v>
      </x:c>
      <x:c r="E498" s="17" t="str"/>
      <x:c r="F498" s="17" t="str">
        <x:v>discovery</x:v>
      </x:c>
      <x:c r="G498" s="17" t="str">
        <x:v>Stage 2 recorded this row as a discovery candidate; it does not independently verify an exact current research program, eligibility, or funding.</x:v>
      </x:c>
      <x:c r="H498" s="17" t="str">
        <x:v>Pass 2 Stage 2 candidate funnel</x:v>
      </x:c>
      <x:c r="I498" s="17" t="str">
        <x:v>Graduate audit pipeline</x:v>
      </x:c>
      <x:c r="J498" s="17" t="str">
        <x:v>derived</x:v>
      </x:c>
      <x:c r="K498" s="17" t="str">
        <x:v>2026-09-11</x:v>
      </x:c>
      <x:c r="L498" s="17" t="str">
        <x:v>Not cycle-specific</x:v>
      </x:c>
      <x:c r="M498" s="17" t="str">
        <x:v>low</x:v>
      </x:c>
      <x:c r="N498" s="17" t="str">
        <x:v>Discovery evidence only</x:v>
      </x:c>
      <x:c r="O498" s="17" t="str">
        <x:v>Use the source_record_paths field to trace the underlying discovery inputs.</x:v>
      </x:c>
      <x:c r="P498" s="18" t="e">
        <x:f>HYPERLINK("http://www.uni-stuttgart.de/home/index.en.html","Open source")</x:f>
        <x:v>HYPERLINK is not implemented. linkLocation=http://www.uni-stuttgart.de/home/index.en.html, friendlyName=Open source</x:v>
      </x:c>
    </x:row>
    <x:row r="499" ht="46" customHeight="1">
      <x:c r="A499" s="17" t="str">
        <x:v>stage3src:c2a9f88457fc3d1a9817</x:v>
      </x:c>
      <x:c r="B499" s="17" t="str">
        <x:v>program</x:v>
      </x:c>
      <x:c r="C499" s="17" t="str">
        <x:v>University of Liverpool</x:v>
      </x:c>
      <x:c r="D499" s="17" t="str">
        <x:v>ror:04xs57h96:program:unclear:cross-path-catalog-review</x:v>
      </x:c>
      <x:c r="E499" s="17" t="str"/>
      <x:c r="F499" s="17" t="str">
        <x:v>discovery</x:v>
      </x:c>
      <x:c r="G499" s="17" t="str">
        <x:v>Stage 2 recorded this row as a discovery candidate; it does not independently verify an exact current research program, eligibility, or funding.</x:v>
      </x:c>
      <x:c r="H499" s="17" t="str">
        <x:v>Pass 2 Stage 2 candidate funnel</x:v>
      </x:c>
      <x:c r="I499" s="17" t="str">
        <x:v>Graduate audit pipeline</x:v>
      </x:c>
      <x:c r="J499" s="17" t="str">
        <x:v>derived</x:v>
      </x:c>
      <x:c r="K499" s="17" t="str">
        <x:v>2026-09-11</x:v>
      </x:c>
      <x:c r="L499" s="17" t="str">
        <x:v>Not cycle-specific</x:v>
      </x:c>
      <x:c r="M499" s="17" t="str">
        <x:v>low</x:v>
      </x:c>
      <x:c r="N499" s="17" t="str">
        <x:v>Discovery evidence only</x:v>
      </x:c>
      <x:c r="O499" s="17" t="str">
        <x:v>Use the source_record_paths field to trace the underlying discovery inputs.</x:v>
      </x:c>
      <x:c r="P499" s="18" t="e">
        <x:f>HYPERLINK("http://www.liv.ac.uk/","Open source")</x:f>
        <x:v>HYPERLINK is not implemented. linkLocation=http://www.liv.ac.uk/, friendlyName=Open source</x:v>
      </x:c>
    </x:row>
    <x:row r="500" ht="46" customHeight="1">
      <x:c r="A500" s="17" t="str">
        <x:v>stage3src:250f82da3bfd0d2b3fe7</x:v>
      </x:c>
      <x:c r="B500" s="17" t="str">
        <x:v>program</x:v>
      </x:c>
      <x:c r="C500" s="17" t="str">
        <x:v>University of Coimbra</x:v>
      </x:c>
      <x:c r="D500" s="17" t="str">
        <x:v>ror:04z8k9a98:program:thesis-or-research-master-s:master-in-informatics-engineering</x:v>
      </x:c>
      <x:c r="E500" s="17" t="str"/>
      <x:c r="F500" s="17" t="str">
        <x:v>program|research|admissions|eligibility|language|deadline</x:v>
      </x:c>
      <x:c r="G500" s="17" t="str">
        <x:v>Current two-year 120-ECTS program, software engineering and cybersecurity specializations, foreign-degree route, 42-ECTS dissertation/internship, and 2026-27 application phases.</x:v>
      </x:c>
      <x:c r="H500" s="17" t="str">
        <x:v>Master in Informatics Engineering</x:v>
      </x:c>
      <x:c r="I500" s="17" t="str">
        <x:v>University of Coimbra</x:v>
      </x:c>
      <x:c r="J500" s="17" t="str">
        <x:v>official</x:v>
      </x:c>
      <x:c r="K500" s="17" t="str">
        <x:v>2026-09-11</x:v>
      </x:c>
      <x:c r="L500" s="17" t="str">
        <x:v>2026-27 page checked 2026-09-11</x:v>
      </x:c>
      <x:c r="M500" s="17" t="str">
        <x:v>high</x:v>
      </x:c>
      <x:c r="N500" s="17" t="str">
        <x:v>official page checked</x:v>
      </x:c>
      <x:c r="O500" s="17" t="str"/>
      <x:c r="P500" s="18" t="e">
        <x:f>HYPERLINK("https://www.uc.pt/en/fctuc/dei/education/masters/master-in-informatics-engineering/","Open source")</x:f>
        <x:v>HYPERLINK is not implemented. linkLocation=https://www.uc.pt/en/fctuc/dei/education/masters/master-in-informatics-engineering/, friendlyName=Open source</x:v>
      </x:c>
    </x:row>
    <x:row r="501" ht="46" customHeight="1">
      <x:c r="A501" s="17" t="str">
        <x:v>stage3src:96912dbc5ee300b0d011</x:v>
      </x:c>
      <x:c r="B501" s="17" t="str">
        <x:v>program</x:v>
      </x:c>
      <x:c r="C501" s="17" t="str">
        <x:v>University of Coimbra</x:v>
      </x:c>
      <x:c r="D501" s="17" t="str">
        <x:v>ror:04z8k9a98:program:thesis-or-research-master-s:master-in-informatics-engineering</x:v>
      </x:c>
      <x:c r="E501" s="17" t="str"/>
      <x:c r="F501" s="17" t="str">
        <x:v>funding|tuition|fees</x:v>
      </x:c>
      <x:c r="G501" s="17" t="str">
        <x:v>EUR 2,000 tuition-support scholarship for admitted full-time international master's students through the normal program duration.</x:v>
      </x:c>
      <x:c r="H501" s="17" t="str">
        <x:v>Incentive Scholarship for Master’s Degree Research and Scientific Production</x:v>
      </x:c>
      <x:c r="I501" s="17" t="str">
        <x:v>University of Coimbra</x:v>
      </x:c>
      <x:c r="J501" s="17" t="str">
        <x:v>official</x:v>
      </x:c>
      <x:c r="K501" s="17" t="str">
        <x:v>2026-09-11</x:v>
      </x:c>
      <x:c r="L501" s="17" t="str">
        <x:v>Current scholarship regulation page checked 2026-09-11</x:v>
      </x:c>
      <x:c r="M501" s="17" t="str">
        <x:v>high</x:v>
      </x:c>
      <x:c r="N501" s="17" t="str">
        <x:v>official page checked</x:v>
      </x:c>
      <x:c r="O501" s="17" t="str"/>
      <x:c r="P501" s="18" t="e">
        <x:f>HYPERLINK("https://www.uc.pt/en/academic-services/awards-scholarships-uc/incentive-masters-research/","Open source")</x:f>
        <x:v>HYPERLINK is not implemented. linkLocation=https://www.uc.pt/en/academic-services/awards-scholarships-uc/incentive-masters-research/, friendlyName=Open source</x:v>
      </x:c>
    </x:row>
    <x:row r="502" ht="46" customHeight="1">
      <x:c r="A502" s="17" t="str">
        <x:v>stage3src:5771a3bce90b7ed09014</x:v>
      </x:c>
      <x:c r="B502" s="17" t="str">
        <x:v>program</x:v>
      </x:c>
      <x:c r="C502" s="17" t="str">
        <x:v>University of Coimbra</x:v>
      </x:c>
      <x:c r="D502" s="17" t="str">
        <x:v>ror:04z8k9a98:program:unclear:cross-path-catalog-review</x:v>
      </x:c>
      <x:c r="E502" s="17" t="str"/>
      <x:c r="F502" s="17" t="str">
        <x:v>discovery</x:v>
      </x:c>
      <x:c r="G502" s="17" t="str">
        <x:v>Stage 2 recorded this row as a discovery candidate; it does not independently verify an exact current research program, eligibility, or funding.</x:v>
      </x:c>
      <x:c r="H502" s="17" t="str">
        <x:v>Pass 2 Stage 2 candidate funnel</x:v>
      </x:c>
      <x:c r="I502" s="17" t="str">
        <x:v>Graduate audit pipeline</x:v>
      </x:c>
      <x:c r="J502" s="17" t="str">
        <x:v>derived</x:v>
      </x:c>
      <x:c r="K502" s="17" t="str">
        <x:v>2026-09-11</x:v>
      </x:c>
      <x:c r="L502" s="17" t="str">
        <x:v>Not cycle-specific</x:v>
      </x:c>
      <x:c r="M502" s="17" t="str">
        <x:v>low</x:v>
      </x:c>
      <x:c r="N502" s="17" t="str">
        <x:v>Discovery evidence only</x:v>
      </x:c>
      <x:c r="O502" s="17" t="str">
        <x:v>Use the source_record_paths field to trace the underlying discovery inputs.</x:v>
      </x:c>
      <x:c r="P502" s="18" t="e">
        <x:f>HYPERLINK("https://www.uc.pt","Open source")</x:f>
        <x:v>HYPERLINK is not implemented. linkLocation=https://www.uc.pt, friendlyName=Open source</x:v>
      </x:c>
    </x:row>
    <x:row r="503" ht="46" customHeight="1">
      <x:c r="A503" s="17" t="str">
        <x:v>stage3src:9ae8218151c82a307be5</x:v>
      </x:c>
      <x:c r="B503" s="17" t="str">
        <x:v>program</x:v>
      </x:c>
      <x:c r="C503" s="17" t="str">
        <x:v>University of Naples Federico II</x:v>
      </x:c>
      <x:c r="D503" s="17" t="str">
        <x:v>ror:05290cv24:program:unclear:cross-path-catalog-review</x:v>
      </x:c>
      <x:c r="E503" s="17" t="str"/>
      <x:c r="F503" s="17" t="str">
        <x:v>discovery</x:v>
      </x:c>
      <x:c r="G503" s="17" t="str">
        <x:v>Stage 2 recorded this row as a discovery candidate; it does not independently verify an exact current research program, eligibility, or funding.</x:v>
      </x:c>
      <x:c r="H503" s="17" t="str">
        <x:v>Pass 2 Stage 2 candidate funnel</x:v>
      </x:c>
      <x:c r="I503" s="17" t="str">
        <x:v>Graduate audit pipeline</x:v>
      </x:c>
      <x:c r="J503" s="17" t="str">
        <x:v>derived</x:v>
      </x:c>
      <x:c r="K503" s="17" t="str">
        <x:v>2026-09-11</x:v>
      </x:c>
      <x:c r="L503" s="17" t="str">
        <x:v>Not cycle-specific</x:v>
      </x:c>
      <x:c r="M503" s="17" t="str">
        <x:v>low</x:v>
      </x:c>
      <x:c r="N503" s="17" t="str">
        <x:v>Discovery evidence only</x:v>
      </x:c>
      <x:c r="O503" s="17" t="str">
        <x:v>Use the source_record_paths field to trace the underlying discovery inputs.</x:v>
      </x:c>
      <x:c r="P503" s="18" t="e">
        <x:f>HYPERLINK("https://www.unina.it","Open source")</x:f>
        <x:v>HYPERLINK is not implemented. linkLocation=https://www.unina.it, friendlyName=Open source</x:v>
      </x:c>
    </x:row>
    <x:row r="504" ht="46" customHeight="1">
      <x:c r="A504" s="17" t="str">
        <x:v>stage3src:1427b826690ac5eb33fb</x:v>
      </x:c>
      <x:c r="B504" s="17" t="str">
        <x:v>program</x:v>
      </x:c>
      <x:c r="C504" s="17" t="str">
        <x:v>University of Oxford</x:v>
      </x:c>
      <x:c r="D504" s="17" t="str">
        <x:v>ror:052gg0110:program:phd:dphil-in-computer-science</x:v>
      </x:c>
      <x:c r="E504" s="17" t="str"/>
      <x:c r="F504" s="17" t="str">
        <x:v>language|admissions</x:v>
      </x:c>
      <x:c r="G504" s="17" t="str">
        <x:v>Official English-language or admissions evidence; waivers/test thresholds remain applicant-specific</x:v>
      </x:c>
      <x:c r="H504" s="17" t="str">
        <x:v>University of Oxford — official evidence</x:v>
      </x:c>
      <x:c r="I504" s="17" t="str">
        <x:v>University of Oxford</x:v>
      </x:c>
      <x:c r="J504" s="17" t="str">
        <x:v>official</x:v>
      </x:c>
      <x:c r="K504" s="17" t="str">
        <x:v>2026-09-09</x:v>
      </x:c>
      <x:c r="L504" s="17" t="str">
        <x:v>latest official page, mixed-cycle warning</x:v>
      </x:c>
      <x:c r="M504" s="17" t="str">
        <x:v>high</x:v>
      </x:c>
      <x:c r="N504" s="17" t="str">
        <x:v>accessible or indexed official page</x:v>
      </x:c>
      <x:c r="O504" s="17" t="str">
        <x:v>Search snippets were discovery only; final claim points to the official destination. Recheck cycle-specific facts when 2027 material opens.</x:v>
      </x:c>
      <x:c r="P504" s="18" t="e">
        <x:f>HYPERLINK("https://www.ox.ac.uk/admissions/graduate/international-applicants/english-language-requirements","Open source")</x:f>
        <x:v>HYPERLINK is not implemented. linkLocation=https://www.ox.ac.uk/admissions/graduate/international-applicants/english-language-requirements, friendlyName=Open source</x:v>
      </x:c>
    </x:row>
    <x:row r="505" ht="46" customHeight="1">
      <x:c r="A505" s="17" t="str">
        <x:v>stage3src:dec7f4ed3bb640e30d98</x:v>
      </x:c>
      <x:c r="B505" s="17" t="str">
        <x:v>program</x:v>
      </x:c>
      <x:c r="C505" s="17" t="str">
        <x:v>University of Oxford</x:v>
      </x:c>
      <x:c r="D505" s="17" t="str">
        <x:v>ror:052gg0110:program:phd:dphil-in-computer-science</x:v>
      </x:c>
      <x:c r="E505" s="17" t="str"/>
      <x:c r="F505" s="17" t="str">
        <x:v>admissions</x:v>
      </x:c>
      <x:c r="G505" s="17" t="str">
        <x:v>Official program/admissions page; cycle label preserved in deep_programs.csv</x:v>
      </x:c>
      <x:c r="H505" s="17" t="str">
        <x:v>University of Oxford — official evidence</x:v>
      </x:c>
      <x:c r="I505" s="17" t="str">
        <x:v>University of Oxford</x:v>
      </x:c>
      <x:c r="J505" s="17" t="str">
        <x:v>official</x:v>
      </x:c>
      <x:c r="K505" s="17" t="str">
        <x:v>2026-09-09</x:v>
      </x:c>
      <x:c r="L505" s="17" t="str">
        <x:v>latest official page, mixed-cycle warning</x:v>
      </x:c>
      <x:c r="M505" s="17" t="str">
        <x:v>high</x:v>
      </x:c>
      <x:c r="N505" s="17" t="str">
        <x:v>accessible or indexed official page</x:v>
      </x:c>
      <x:c r="O505" s="17" t="str">
        <x:v>Search snippets were discovery only; final claim points to the official destination. Recheck cycle-specific facts when 2027 material opens.</x:v>
      </x:c>
      <x:c r="P505" s="18" t="e">
        <x:f>HYPERLINK("https://www.ox.ac.uk/admissions/graduate/courses/dphil-computer-science","Open source")</x:f>
        <x:v>HYPERLINK is not implemented. linkLocation=https://www.ox.ac.uk/admissions/graduate/courses/dphil-computer-science, friendlyName=Open source</x:v>
      </x:c>
    </x:row>
    <x:row r="506" ht="46" customHeight="1">
      <x:c r="A506" s="17" t="str">
        <x:v>stage3src:ee187334aeadcaa110b6</x:v>
      </x:c>
      <x:c r="B506" s="17" t="str">
        <x:v>program</x:v>
      </x:c>
      <x:c r="C506" s="17" t="str">
        <x:v>University of Oxford</x:v>
      </x:c>
      <x:c r="D506" s="17" t="str">
        <x:v>ror:052gg0110:program:phd:dphil-in-computer-science</x:v>
      </x:c>
      <x:c r="E506" s="17" t="str"/>
      <x:c r="F506" s="17" t="str">
        <x:v>institution</x:v>
      </x:c>
      <x:c r="G506" s="17" t="str">
        <x:v>Official institutional profile/group page used to verify current role and research themes</x:v>
      </x:c>
      <x:c r="H506" s="17" t="str">
        <x:v>Michael Wooldridge — official evidence</x:v>
      </x:c>
      <x:c r="I506" s="17" t="str">
        <x:v>University of Oxford</x:v>
      </x:c>
      <x:c r="J506" s="17" t="str">
        <x:v>official</x:v>
      </x:c>
      <x:c r="K506" s="17" t="str">
        <x:v>2026-09-09</x:v>
      </x:c>
      <x:c r="L506" s="17" t="str">
        <x:v>current at 2026-09-09</x:v>
      </x:c>
      <x:c r="M506" s="17" t="str">
        <x:v>high</x:v>
      </x:c>
      <x:c r="N506" s="17" t="str">
        <x:v>accessible or indexed official page</x:v>
      </x:c>
      <x:c r="O506" s="17" t="str">
        <x:v>Search snippets were discovery only; final claim points to the official destination. Recheck cycle-specific facts when 2027 material opens.</x:v>
      </x:c>
      <x:c r="P506" s="18" t="e">
        <x:f>HYPERLINK("https://www.cs.ox.ac.uk/people/michael.wooldridge/","Open source")</x:f>
        <x:v>HYPERLINK is not implemented. linkLocation=https://www.cs.ox.ac.uk/people/michael.wooldridge/, friendlyName=Open source</x:v>
      </x:c>
    </x:row>
    <x:row r="507" ht="46" customHeight="1">
      <x:c r="A507" s="17" t="str">
        <x:v>stage3src:772db63c74f313873ac1</x:v>
      </x:c>
      <x:c r="B507" s="17" t="str">
        <x:v>program</x:v>
      </x:c>
      <x:c r="C507" s="17" t="str">
        <x:v>Technical University of Sofia</x:v>
      </x:c>
      <x:c r="D507" s="17" t="str">
        <x:v>ror:052prhs50:program:unclear:cross-path-catalog-review</x:v>
      </x:c>
      <x:c r="E507" s="17" t="str"/>
      <x:c r="F507" s="17" t="str">
        <x:v>discovery</x:v>
      </x:c>
      <x:c r="G507" s="17" t="str">
        <x:v>Stage 2 recorded this row as a discovery candidate; it does not independently verify an exact current research program, eligibility, or funding.</x:v>
      </x:c>
      <x:c r="H507" s="17" t="str">
        <x:v>Pass 2 Stage 2 candidate funnel</x:v>
      </x:c>
      <x:c r="I507" s="17" t="str">
        <x:v>Graduate audit pipeline</x:v>
      </x:c>
      <x:c r="J507" s="17" t="str">
        <x:v>derived</x:v>
      </x:c>
      <x:c r="K507" s="17" t="str">
        <x:v>2026-09-11</x:v>
      </x:c>
      <x:c r="L507" s="17" t="str">
        <x:v>Not cycle-specific</x:v>
      </x:c>
      <x:c r="M507" s="17" t="str">
        <x:v>low</x:v>
      </x:c>
      <x:c r="N507" s="17" t="str">
        <x:v>Discovery evidence only</x:v>
      </x:c>
      <x:c r="O507" s="17" t="str">
        <x:v>Use the source_record_paths field to trace the underlying discovery inputs.</x:v>
      </x:c>
      <x:c r="P507" s="18" t="e">
        <x:f>HYPERLINK("http://www.tu-sofia.bg/","Open source")</x:f>
        <x:v>HYPERLINK is not implemented. linkLocation=http://www.tu-sofia.bg/, friendlyName=Open source</x:v>
      </x:c>
    </x:row>
    <x:row r="508" ht="46" customHeight="1">
      <x:c r="A508" s="17" t="str">
        <x:v>stage3src:b261f20983e3dcb53f7a</x:v>
      </x:c>
      <x:c r="B508" s="17" t="str">
        <x:v>program</x:v>
      </x:c>
      <x:c r="C508" s="17" t="str">
        <x:v>Johannes Kepler University of Linz</x:v>
      </x:c>
      <x:c r="D508" s="17" t="str">
        <x:v>ror:052r2xn60:program:unclear:cross-path-catalog-review</x:v>
      </x:c>
      <x:c r="E508" s="17" t="str"/>
      <x:c r="F508" s="17" t="str">
        <x:v>discovery</x:v>
      </x:c>
      <x:c r="G508" s="17" t="str">
        <x:v>Stage 2 recorded this row as a discovery candidate; it does not independently verify an exact current research program, eligibility, or funding.</x:v>
      </x:c>
      <x:c r="H508" s="17" t="str">
        <x:v>Pass 2 Stage 2 candidate funnel</x:v>
      </x:c>
      <x:c r="I508" s="17" t="str">
        <x:v>Graduate audit pipeline</x:v>
      </x:c>
      <x:c r="J508" s="17" t="str">
        <x:v>derived</x:v>
      </x:c>
      <x:c r="K508" s="17" t="str">
        <x:v>2026-09-11</x:v>
      </x:c>
      <x:c r="L508" s="17" t="str">
        <x:v>Not cycle-specific</x:v>
      </x:c>
      <x:c r="M508" s="17" t="str">
        <x:v>low</x:v>
      </x:c>
      <x:c r="N508" s="17" t="str">
        <x:v>Discovery evidence only</x:v>
      </x:c>
      <x:c r="O508" s="17" t="str">
        <x:v>Use the source_record_paths field to trace the underlying discovery inputs.</x:v>
      </x:c>
      <x:c r="P508" s="18" t="e">
        <x:f>HYPERLINK("https://www.jku.at","Open source")</x:f>
        <x:v>HYPERLINK is not implemented. linkLocation=https://www.jku.at, friendlyName=Open source</x:v>
      </x:c>
    </x:row>
    <x:row r="509" ht="46" customHeight="1">
      <x:c r="A509" s="17" t="str">
        <x:v>stage3src:44fb57927b05c67d2e26</x:v>
      </x:c>
      <x:c r="B509" s="17" t="str">
        <x:v>program</x:v>
      </x:c>
      <x:c r="C509" s="17" t="str">
        <x:v>Ludwig-Maximilians-Universität München</x:v>
      </x:c>
      <x:c r="D509" s="17" t="str">
        <x:v>ror:05591te55:program:unclear:cross-path-catalog-review</x:v>
      </x:c>
      <x:c r="E509" s="17" t="str"/>
      <x:c r="F509" s="17" t="str">
        <x:v>discovery</x:v>
      </x:c>
      <x:c r="G509" s="17" t="str">
        <x:v>Stage 2 recorded this row as a discovery candidate; it does not independently verify an exact current research program, eligibility, or funding.</x:v>
      </x:c>
      <x:c r="H509" s="17" t="str">
        <x:v>Pass 2 Stage 2 candidate funnel</x:v>
      </x:c>
      <x:c r="I509" s="17" t="str">
        <x:v>Graduate audit pipeline</x:v>
      </x:c>
      <x:c r="J509" s="17" t="str">
        <x:v>derived</x:v>
      </x:c>
      <x:c r="K509" s="17" t="str">
        <x:v>2026-09-11</x:v>
      </x:c>
      <x:c r="L509" s="17" t="str">
        <x:v>Not cycle-specific</x:v>
      </x:c>
      <x:c r="M509" s="17" t="str">
        <x:v>low</x:v>
      </x:c>
      <x:c r="N509" s="17" t="str">
        <x:v>Discovery evidence only</x:v>
      </x:c>
      <x:c r="O509" s="17" t="str">
        <x:v>Use the source_record_paths field to trace the underlying discovery inputs.</x:v>
      </x:c>
      <x:c r="P509" s="18" t="e">
        <x:f>HYPERLINK("https://www.lmu.de","Open source")</x:f>
        <x:v>HYPERLINK is not implemented. linkLocation=https://www.lmu.de, friendlyName=Open source</x:v>
      </x:c>
    </x:row>
    <x:row r="510" ht="46" customHeight="1">
      <x:c r="A510" s="17" t="str">
        <x:v>stage3src:f8be2164e1ccb4fb0386</x:v>
      </x:c>
      <x:c r="B510" s="17" t="str">
        <x:v>program</x:v>
      </x:c>
      <x:c r="C510" s="17" t="str">
        <x:v>Paderborn University</x:v>
      </x:c>
      <x:c r="D510" s="17" t="str">
        <x:v>ror:058kzsd48:program:thesis-or-research-master-s:m-sc-computer-science</x:v>
      </x:c>
      <x:c r="E510" s="17" t="str"/>
      <x:c r="F510" s="17" t="str">
        <x:v>eligibility|admissions|language|deadline</x:v>
      </x:c>
      <x:c r="G510" s="17" t="str">
        <x:v>Detailed credit buckets, German-grade threshold, GRE or dMat framework, English minima, and international deadlines.</x:v>
      </x:c>
      <x:c r="H510" s="17" t="str">
        <x:v>Information for International Students</x:v>
      </x:c>
      <x:c r="I510" s="17" t="str">
        <x:v>Paderborn University Department of Computer Science</x:v>
      </x:c>
      <x:c r="J510" s="17" t="str">
        <x:v>official</x:v>
      </x:c>
      <x:c r="K510" s="17" t="str">
        <x:v>2026-09-11</x:v>
      </x:c>
      <x:c r="L510" s="17" t="str">
        <x:v>Current page checked 2026-09-11</x:v>
      </x:c>
      <x:c r="M510" s="17" t="str">
        <x:v>high</x:v>
      </x:c>
      <x:c r="N510" s="17" t="str">
        <x:v>official page checked</x:v>
      </x:c>
      <x:c r="O510" s="17" t="str"/>
      <x:c r="P510" s="18" t="e">
        <x:f>HYPERLINK("https://cs.uni-paderborn.de/en/studies/getting-started/information-for-international-students","Open source")</x:f>
        <x:v>HYPERLINK is not implemented. linkLocation=https://cs.uni-paderborn.de/en/studies/getting-started/information-for-international-students, friendlyName=Open source</x:v>
      </x:c>
    </x:row>
    <x:row r="511" ht="46" customHeight="1">
      <x:c r="A511" s="17" t="str">
        <x:v>stage3src:fc11bb69ba57ab43aaa8</x:v>
      </x:c>
      <x:c r="B511" s="17" t="str">
        <x:v>program</x:v>
      </x:c>
      <x:c r="C511" s="17" t="str">
        <x:v>Paderborn University</x:v>
      </x:c>
      <x:c r="D511" s="17" t="str">
        <x:v>ror:058kzsd48:program:thesis-or-research-master-s:m-sc-computer-science</x:v>
      </x:c>
      <x:c r="E511" s="17" t="str"/>
      <x:c r="F511" s="17" t="str">
        <x:v>program|research|eligibility|admissions</x:v>
      </x:c>
      <x:c r="G511" s="17" t="str">
        <x:v>Current English Computer Science MSc, research orientation, thesis, and entry pathway.</x:v>
      </x:c>
      <x:c r="H511" s="17" t="str">
        <x:v>Computer Science M.Sc.</x:v>
      </x:c>
      <x:c r="I511" s="17" t="str">
        <x:v>Paderborn University</x:v>
      </x:c>
      <x:c r="J511" s="17" t="str">
        <x:v>official</x:v>
      </x:c>
      <x:c r="K511" s="17" t="str">
        <x:v>2026-09-11</x:v>
      </x:c>
      <x:c r="L511" s="17" t="str">
        <x:v>Current page checked 2026-09-11</x:v>
      </x:c>
      <x:c r="M511" s="17" t="str">
        <x:v>high</x:v>
      </x:c>
      <x:c r="N511" s="17" t="str">
        <x:v>official page checked</x:v>
      </x:c>
      <x:c r="O511" s="17" t="str"/>
      <x:c r="P511" s="18" t="e">
        <x:f>HYPERLINK("https://www.uni-paderborn.de/en/studyoffer/course_of_study/computer-science-master","Open source")</x:f>
        <x:v>HYPERLINK is not implemented. linkLocation=https://www.uni-paderborn.de/en/studyoffer/course_of_study/computer-science-master, friendlyName=Open source</x:v>
      </x:c>
    </x:row>
    <x:row r="512" ht="46" customHeight="1">
      <x:c r="A512" s="17" t="str">
        <x:v>stage3src:fc791c65d9e1d2c1b232</x:v>
      </x:c>
      <x:c r="B512" s="17" t="str">
        <x:v>program</x:v>
      </x:c>
      <x:c r="C512" s="17" t="str">
        <x:v>Paderborn University</x:v>
      </x:c>
      <x:c r="D512" s="17" t="str">
        <x:v>ror:058kzsd48:program:thesis-or-research-master-s:m-sc-computer-science</x:v>
      </x:c>
      <x:c r="E512" s="17" t="str"/>
      <x:c r="F512" s="17" t="str">
        <x:v>funding|tuition|fees</x:v>
      </x:c>
      <x:c r="G512" s="17" t="str">
        <x:v>No-tuition policy, semester contribution context, estimated monthly living costs, and reliance on external scholarships rather than a universal package.</x:v>
      </x:c>
      <x:c r="H512" s="17" t="str">
        <x:v>Finances</x:v>
      </x:c>
      <x:c r="I512" s="17" t="str">
        <x:v>Paderborn University International Office</x:v>
      </x:c>
      <x:c r="J512" s="17" t="str">
        <x:v>official</x:v>
      </x:c>
      <x:c r="K512" s="17" t="str">
        <x:v>2026-09-11</x:v>
      </x:c>
      <x:c r="L512" s="17" t="str">
        <x:v>Current page checked 2026-09-11</x:v>
      </x:c>
      <x:c r="M512" s="17" t="str">
        <x:v>high</x:v>
      </x:c>
      <x:c r="N512" s="17" t="str">
        <x:v>official page checked</x:v>
      </x:c>
      <x:c r="O512" s="17" t="str"/>
      <x:c r="P512" s="18" t="e">
        <x:f>HYPERLINK("https://www.uni-paderborn.de/en/studies/international-office/degree-students/live-in-paderborn-and-on-campus/finances","Open source")</x:f>
        <x:v>HYPERLINK is not implemented. linkLocation=https://www.uni-paderborn.de/en/studies/international-office/degree-students/live-in-paderborn-and-on-campus/finances, friendlyName=Open source</x:v>
      </x:c>
    </x:row>
    <x:row r="513" ht="46" customHeight="1">
      <x:c r="A513" s="17" t="str">
        <x:v>stage3src:1370b42ccd57c2682860</x:v>
      </x:c>
      <x:c r="B513" s="17" t="str">
        <x:v>program</x:v>
      </x:c>
      <x:c r="C513" s="17" t="str">
        <x:v>ETH Zurich</x:v>
      </x:c>
      <x:c r="D513" s="17" t="str">
        <x:v>ror:05a28rw58:program:direct-entry-phd:direct-doctorate-in-computer-science</x:v>
      </x:c>
      <x:c r="E513" s="17" t="str"/>
      <x:c r="F513" s="17" t="str">
        <x:v>institution</x:v>
      </x:c>
      <x:c r="G513" s="17" t="str">
        <x:v>Official institutional profile/group page used to verify current role and research themes</x:v>
      </x:c>
      <x:c r="H513" s="17" t="str">
        <x:v>Martin Vechev — official evidence</x:v>
      </x:c>
      <x:c r="I513" s="17" t="str">
        <x:v>ETH Zurich</x:v>
      </x:c>
      <x:c r="J513" s="17" t="str">
        <x:v>official</x:v>
      </x:c>
      <x:c r="K513" s="17" t="str">
        <x:v>2026-09-09</x:v>
      </x:c>
      <x:c r="L513" s="17" t="str">
        <x:v>current at 2026-09-09</x:v>
      </x:c>
      <x:c r="M513" s="17" t="str">
        <x:v>high</x:v>
      </x:c>
      <x:c r="N513" s="17" t="str">
        <x:v>accessible or indexed official page</x:v>
      </x:c>
      <x:c r="O513" s="17" t="str">
        <x:v>Search snippets were discovery only; final claim points to the official destination. Recheck cycle-specific facts when 2027 material opens.</x:v>
      </x:c>
      <x:c r="P513" s="18" t="e">
        <x:f>HYPERLINK("https://www.sri.inf.ethz.ch/people/martin","Open source")</x:f>
        <x:v>HYPERLINK is not implemented. linkLocation=https://www.sri.inf.ethz.ch/people/martin, friendlyName=Open source</x:v>
      </x:c>
    </x:row>
    <x:row r="514" ht="46" customHeight="1">
      <x:c r="A514" s="17" t="str">
        <x:v>stage3src:40b8193d585b15370a3a</x:v>
      </x:c>
      <x:c r="B514" s="17" t="str">
        <x:v>program</x:v>
      </x:c>
      <x:c r="C514" s="17" t="str">
        <x:v>ETH Zurich</x:v>
      </x:c>
      <x:c r="D514" s="17" t="str">
        <x:v>ror:05a28rw58:program:direct-entry-phd:direct-doctorate-in-computer-science</x:v>
      </x:c>
      <x:c r="E514" s="17" t="str"/>
      <x:c r="F514" s="17" t="str">
        <x:v>funding|program</x:v>
      </x:c>
      <x:c r="G514" s="17" t="str">
        <x:v>Official ETH overview states that most doctoral candidates are employed as scientific assistants; an individual contract is still required.</x:v>
      </x:c>
      <x:c r="H514" s="17" t="str">
        <x:v>ETH Zurich — official evidence</x:v>
      </x:c>
      <x:c r="I514" s="17" t="str">
        <x:v>ETH Zurich</x:v>
      </x:c>
      <x:c r="J514" s="17" t="str">
        <x:v>official</x:v>
      </x:c>
      <x:c r="K514" s="17" t="str">
        <x:v>2026-09-09</x:v>
      </x:c>
      <x:c r="L514" s="17" t="str">
        <x:v>current/latest-cycle, not projected</x:v>
      </x:c>
      <x:c r="M514" s="17" t="str">
        <x:v>high</x:v>
      </x:c>
      <x:c r="N514" s="17" t="str">
        <x:v>accessible or indexed official page</x:v>
      </x:c>
      <x:c r="O514" s="17" t="str">
        <x:v>Search snippets were discovery only; final claim points to the official destination. Recheck cycle-specific facts when 2027 material opens.</x:v>
      </x:c>
      <x:c r="P514" s="18" t="e">
        <x:f>HYPERLINK("https://ethz.ch/en/doctorate.html","Open source")</x:f>
        <x:v>HYPERLINK is not implemented. linkLocation=https://ethz.ch/en/doctorate.html, friendlyName=Open source</x:v>
      </x:c>
    </x:row>
    <x:row r="515" ht="46" customHeight="1">
      <x:c r="A515" s="17" t="str">
        <x:v>stage3src:715928769d6db1b9b670</x:v>
      </x:c>
      <x:c r="B515" s="17" t="str">
        <x:v>program</x:v>
      </x:c>
      <x:c r="C515" s="17" t="str">
        <x:v>ETH Zurich</x:v>
      </x:c>
      <x:c r="D515" s="17" t="str">
        <x:v>ror:05a28rw58:program:direct-entry-phd:direct-doctorate-in-computer-science</x:v>
      </x:c>
      <x:c r="E515" s="17" t="str"/>
      <x:c r="F515" s="17" t="str">
        <x:v>admissions</x:v>
      </x:c>
      <x:c r="G515" s="17" t="str">
        <x:v>Official program/admissions page; cycle label preserved in deep_programs.csv</x:v>
      </x:c>
      <x:c r="H515" s="17" t="str">
        <x:v>ETH Zurich — official evidence</x:v>
      </x:c>
      <x:c r="I515" s="17" t="str">
        <x:v>ETH Zurich</x:v>
      </x:c>
      <x:c r="J515" s="17" t="str">
        <x:v>official</x:v>
      </x:c>
      <x:c r="K515" s="17" t="str">
        <x:v>2026-09-09</x:v>
      </x:c>
      <x:c r="L515" s="17" t="str">
        <x:v>latest official route page</x:v>
      </x:c>
      <x:c r="M515" s="17" t="str">
        <x:v>high</x:v>
      </x:c>
      <x:c r="N515" s="17" t="str">
        <x:v>accessible or indexed official page</x:v>
      </x:c>
      <x:c r="O515" s="17" t="str">
        <x:v>Search snippets were discovery only; final claim points to the official destination. Recheck cycle-specific facts when 2027 material opens.</x:v>
      </x:c>
      <x:c r="P515" s="18" t="e">
        <x:f>HYPERLINK("https://inf.ethz.ch/doctorate/direct-doctorate-computer-science.html","Open source")</x:f>
        <x:v>HYPERLINK is not implemented. linkLocation=https://inf.ethz.ch/doctorate/direct-doctorate-computer-science.html, friendlyName=Open source</x:v>
      </x:c>
    </x:row>
    <x:row r="516" ht="46" customHeight="1">
      <x:c r="A516" s="17" t="str">
        <x:v>stage3src:784bb469913e23300e6b</x:v>
      </x:c>
      <x:c r="B516" s="17" t="str">
        <x:v>program</x:v>
      </x:c>
      <x:c r="C516" s="17" t="str">
        <x:v>ETH Zurich</x:v>
      </x:c>
      <x:c r="D516" s="17" t="str">
        <x:v>ror:05a28rw58:program:direct-entry-phd:direct-doctorate-in-computer-science</x:v>
      </x:c>
      <x:c r="E516" s="17" t="str"/>
      <x:c r="F516" s="17" t="str">
        <x:v>language|admissions</x:v>
      </x:c>
      <x:c r="G516" s="17" t="str">
        <x:v>Official English-language or admissions evidence; waivers/test thresholds remain applicant-specific</x:v>
      </x:c>
      <x:c r="H516" s="17" t="str">
        <x:v>ETH Zurich — official evidence</x:v>
      </x:c>
      <x:c r="I516" s="17" t="str">
        <x:v>ETH Zurich</x:v>
      </x:c>
      <x:c r="J516" s="17" t="str">
        <x:v>official</x:v>
      </x:c>
      <x:c r="K516" s="17" t="str">
        <x:v>2026-09-09</x:v>
      </x:c>
      <x:c r="L516" s="17" t="str">
        <x:v>latest official route page</x:v>
      </x:c>
      <x:c r="M516" s="17" t="str">
        <x:v>high</x:v>
      </x:c>
      <x:c r="N516" s="17" t="str">
        <x:v>accessible or indexed official page</x:v>
      </x:c>
      <x:c r="O516" s="17" t="str">
        <x:v>Search snippets were discovery only; final claim points to the official destination. Recheck cycle-specific facts when 2027 material opens.</x:v>
      </x:c>
      <x:c r="P516" s="18" t="e">
        <x:f>HYPERLINK("https://ethz.ch/students/en/doctorate/transferable-skills/languages.html","Open source")</x:f>
        <x:v>HYPERLINK is not implemented. linkLocation=https://ethz.ch/students/en/doctorate/transferable-skills/languages.html, friendlyName=Open source</x:v>
      </x:c>
    </x:row>
    <x:row r="517" ht="46" customHeight="1">
      <x:c r="A517" s="17" t="str">
        <x:v>stage3src:6d7fc3ff70d2c4545974</x:v>
      </x:c>
      <x:c r="B517" s="17" t="str">
        <x:v>program</x:v>
      </x:c>
      <x:c r="C517" s="17" t="str">
        <x:v>ETH Zurich</x:v>
      </x:c>
      <x:c r="D517" s="17" t="str">
        <x:v>ror:05a28rw58:program:phd-requiring-a-master-s:doctoral-study-programme-in-computer-science</x:v>
      </x:c>
      <x:c r="E517" s="17" t="str"/>
      <x:c r="F517" s="17" t="str">
        <x:v>language|admissions</x:v>
      </x:c>
      <x:c r="G517" s="17" t="str">
        <x:v>Official English-language or admissions evidence; waivers/test thresholds remain applicant-specific</x:v>
      </x:c>
      <x:c r="H517" s="17" t="str">
        <x:v>ETH Zurich — official evidence</x:v>
      </x:c>
      <x:c r="I517" s="17" t="str">
        <x:v>ETH Zurich</x:v>
      </x:c>
      <x:c r="J517" s="17" t="str">
        <x:v>official</x:v>
      </x:c>
      <x:c r="K517" s="17" t="str">
        <x:v>2026-09-09</x:v>
      </x:c>
      <x:c r="L517" s="17" t="str">
        <x:v>rolling/position-specific</x:v>
      </x:c>
      <x:c r="M517" s="17" t="str">
        <x:v>high</x:v>
      </x:c>
      <x:c r="N517" s="17" t="str">
        <x:v>accessible or indexed official page</x:v>
      </x:c>
      <x:c r="O517" s="17" t="str">
        <x:v>Search snippets were discovery only; final claim points to the official destination. Recheck cycle-specific facts when 2027 material opens.</x:v>
      </x:c>
      <x:c r="P517" s="18" t="e">
        <x:f>HYPERLINK("https://ethz.ch/students/en/doctorate/transferable-skills/languages.html","Open source")</x:f>
        <x:v>HYPERLINK is not implemented. linkLocation=https://ethz.ch/students/en/doctorate/transferable-skills/languages.html, friendlyName=Open source</x:v>
      </x:c>
    </x:row>
    <x:row r="518" ht="46" customHeight="1">
      <x:c r="A518" s="17" t="str">
        <x:v>stage3src:87b504d84bcba5d7ce1f</x:v>
      </x:c>
      <x:c r="B518" s="17" t="str">
        <x:v>program</x:v>
      </x:c>
      <x:c r="C518" s="17" t="str">
        <x:v>ETH Zurich</x:v>
      </x:c>
      <x:c r="D518" s="17" t="str">
        <x:v>ror:05a28rw58:program:phd-requiring-a-master-s:doctoral-study-programme-in-computer-science</x:v>
      </x:c>
      <x:c r="E518" s="17" t="str"/>
      <x:c r="F518" s="17" t="str">
        <x:v>funding|program</x:v>
      </x:c>
      <x:c r="G518" s="17" t="str">
        <x:v>Official ETH overview states that most doctoral candidates are employed as scientific assistants; an individual contract is still required.</x:v>
      </x:c>
      <x:c r="H518" s="17" t="str">
        <x:v>ETH Zurich — official evidence</x:v>
      </x:c>
      <x:c r="I518" s="17" t="str">
        <x:v>ETH Zurich</x:v>
      </x:c>
      <x:c r="J518" s="17" t="str">
        <x:v>official</x:v>
      </x:c>
      <x:c r="K518" s="17" t="str">
        <x:v>2026-09-09</x:v>
      </x:c>
      <x:c r="L518" s="17" t="str">
        <x:v>current/latest-cycle, not projected</x:v>
      </x:c>
      <x:c r="M518" s="17" t="str">
        <x:v>high</x:v>
      </x:c>
      <x:c r="N518" s="17" t="str">
        <x:v>accessible or indexed official page</x:v>
      </x:c>
      <x:c r="O518" s="17" t="str">
        <x:v>Search snippets were discovery only; final claim points to the official destination. Recheck cycle-specific facts when 2027 material opens.</x:v>
      </x:c>
      <x:c r="P518" s="18" t="e">
        <x:f>HYPERLINK("https://ethz.ch/en/doctorate.html","Open source")</x:f>
        <x:v>HYPERLINK is not implemented. linkLocation=https://ethz.ch/en/doctorate.html, friendlyName=Open source</x:v>
      </x:c>
    </x:row>
    <x:row r="519" ht="46" customHeight="1">
      <x:c r="A519" s="17" t="str">
        <x:v>stage3src:a56e5098133d9ed9e25f</x:v>
      </x:c>
      <x:c r="B519" s="17" t="str">
        <x:v>program</x:v>
      </x:c>
      <x:c r="C519" s="17" t="str">
        <x:v>ETH Zurich</x:v>
      </x:c>
      <x:c r="D519" s="17" t="str">
        <x:v>ror:05a28rw58:program:phd-requiring-a-master-s:doctoral-study-programme-in-computer-science</x:v>
      </x:c>
      <x:c r="E519" s="17" t="str"/>
      <x:c r="F519" s="17" t="str">
        <x:v>admissions</x:v>
      </x:c>
      <x:c r="G519" s="17" t="str">
        <x:v>Official program/admissions page; cycle label preserved in deep_programs.csv</x:v>
      </x:c>
      <x:c r="H519" s="17" t="str">
        <x:v>ETH Zurich — official evidence</x:v>
      </x:c>
      <x:c r="I519" s="17" t="str">
        <x:v>ETH Zurich</x:v>
      </x:c>
      <x:c r="J519" s="17" t="str">
        <x:v>official</x:v>
      </x:c>
      <x:c r="K519" s="17" t="str">
        <x:v>2026-09-09</x:v>
      </x:c>
      <x:c r="L519" s="17" t="str">
        <x:v>rolling/position-specific</x:v>
      </x:c>
      <x:c r="M519" s="17" t="str">
        <x:v>high</x:v>
      </x:c>
      <x:c r="N519" s="17" t="str">
        <x:v>accessible or indexed official page</x:v>
      </x:c>
      <x:c r="O519" s="17" t="str">
        <x:v>Search snippets were discovery only; final claim points to the official destination. Recheck cycle-specific facts when 2027 material opens.</x:v>
      </x:c>
      <x:c r="P519" s="18" t="e">
        <x:f>HYPERLINK("https://inf.ethz.ch/doctorate.html","Open source")</x:f>
        <x:v>HYPERLINK is not implemented. linkLocation=https://inf.ethz.ch/doctorate.html, friendlyName=Open source</x:v>
      </x:c>
    </x:row>
    <x:row r="520" ht="46" customHeight="1">
      <x:c r="A520" s="17" t="str">
        <x:v>stage3src:d9edd5aee6f49d5a081f</x:v>
      </x:c>
      <x:c r="B520" s="17" t="str">
        <x:v>program</x:v>
      </x:c>
      <x:c r="C520" s="17" t="str">
        <x:v>ETH Zurich</x:v>
      </x:c>
      <x:c r="D520" s="17" t="str">
        <x:v>ror:05a28rw58:program:phd-requiring-a-master-s:doctoral-study-programme-in-computer-science</x:v>
      </x:c>
      <x:c r="E520" s="17" t="str"/>
      <x:c r="F520" s="17" t="str">
        <x:v>institution</x:v>
      </x:c>
      <x:c r="G520" s="17" t="str">
        <x:v>Official institutional profile/group page used to verify current role and research themes</x:v>
      </x:c>
      <x:c r="H520" s="17" t="str">
        <x:v>Martin Vechev — official evidence</x:v>
      </x:c>
      <x:c r="I520" s="17" t="str">
        <x:v>ETH Zurich</x:v>
      </x:c>
      <x:c r="J520" s="17" t="str">
        <x:v>official</x:v>
      </x:c>
      <x:c r="K520" s="17" t="str">
        <x:v>2026-09-09</x:v>
      </x:c>
      <x:c r="L520" s="17" t="str">
        <x:v>current at 2026-09-09</x:v>
      </x:c>
      <x:c r="M520" s="17" t="str">
        <x:v>high</x:v>
      </x:c>
      <x:c r="N520" s="17" t="str">
        <x:v>accessible or indexed official page</x:v>
      </x:c>
      <x:c r="O520" s="17" t="str">
        <x:v>Search snippets were discovery only; final claim points to the official destination. Recheck cycle-specific facts when 2027 material opens.</x:v>
      </x:c>
      <x:c r="P520" s="18" t="e">
        <x:f>HYPERLINK("https://www.sri.inf.ethz.ch/people/martin","Open source")</x:f>
        <x:v>HYPERLINK is not implemented. linkLocation=https://www.sri.inf.ethz.ch/people/martin, friendlyName=Open source</x:v>
      </x:c>
    </x:row>
    <x:row r="521" ht="46" customHeight="1">
      <x:c r="A521" s="17" t="str">
        <x:v>stage3src:6f58589726c602127aac</x:v>
      </x:c>
      <x:c r="B521" s="17" t="str">
        <x:v>program</x:v>
      </x:c>
      <x:c r="C521" s="17" t="str">
        <x:v>Reykjavík University</x:v>
      </x:c>
      <x:c r="D521" s="17" t="str">
        <x:v>ror:05d2kyx68:program:unclear:cross-path-catalog-review</x:v>
      </x:c>
      <x:c r="E521" s="17" t="str"/>
      <x:c r="F521" s="17" t="str">
        <x:v>discovery</x:v>
      </x:c>
      <x:c r="G521" s="17" t="str">
        <x:v>Stage 2 recorded this row as a discovery candidate; it does not independently verify an exact current research program, eligibility, or funding.</x:v>
      </x:c>
      <x:c r="H521" s="17" t="str">
        <x:v>Pass 2 Stage 2 candidate funnel</x:v>
      </x:c>
      <x:c r="I521" s="17" t="str">
        <x:v>Graduate audit pipeline</x:v>
      </x:c>
      <x:c r="J521" s="17" t="str">
        <x:v>derived</x:v>
      </x:c>
      <x:c r="K521" s="17" t="str">
        <x:v>2026-09-11</x:v>
      </x:c>
      <x:c r="L521" s="17" t="str">
        <x:v>Not cycle-specific</x:v>
      </x:c>
      <x:c r="M521" s="17" t="str">
        <x:v>low</x:v>
      </x:c>
      <x:c r="N521" s="17" t="str">
        <x:v>Discovery evidence only</x:v>
      </x:c>
      <x:c r="O521" s="17" t="str">
        <x:v>Use the source_record_paths field to trace the underlying discovery inputs.</x:v>
      </x:c>
      <x:c r="P521" s="18" t="e">
        <x:f>HYPERLINK("https://www.ru.is","Open source")</x:f>
        <x:v>HYPERLINK is not implemented. linkLocation=https://www.ru.is, friendlyName=Open source</x:v>
      </x:c>
    </x:row>
    <x:row r="522" ht="46" customHeight="1">
      <x:c r="A522" s="17" t="str">
        <x:v>stage3src:742c3cf19ba8d856f793</x:v>
      </x:c>
      <x:c r="B522" s="17" t="str">
        <x:v>program</x:v>
      </x:c>
      <x:c r="C522" s="17" t="str">
        <x:v>KU Leuven</x:v>
      </x:c>
      <x:c r="D522" s="17" t="str">
        <x:v>ror:05f950310:program:phd-requiring-a-master-s:doctoral-programme-in-computer-science</x:v>
      </x:c>
      <x:c r="E522" s="17" t="str"/>
      <x:c r="F522" s="17" t="str">
        <x:v>institution</x:v>
      </x:c>
      <x:c r="G522" s="17" t="str">
        <x:v>Official institutional profile/group page used to verify current role and research themes</x:v>
      </x:c>
      <x:c r="H522" s="17" t="str">
        <x:v>Wouter Joosen — official evidence</x:v>
      </x:c>
      <x:c r="I522" s="17" t="str">
        <x:v>KU Leuven</x:v>
      </x:c>
      <x:c r="J522" s="17" t="str">
        <x:v>official</x:v>
      </x:c>
      <x:c r="K522" s="17" t="str">
        <x:v>2026-09-09</x:v>
      </x:c>
      <x:c r="L522" s="17" t="str">
        <x:v>current at 2026-09-09</x:v>
      </x:c>
      <x:c r="M522" s="17" t="str">
        <x:v>high</x:v>
      </x:c>
      <x:c r="N522" s="17" t="str">
        <x:v>accessible or indexed official page</x:v>
      </x:c>
      <x:c r="O522" s="17" t="str">
        <x:v>Search snippets were discovery only; final claim points to the official destination. Recheck cycle-specific facts when 2027 material opens.</x:v>
      </x:c>
      <x:c r="P522" s="18" t="e">
        <x:f>HYPERLINK("https://distrinet.cs.kuleuven.be/people/WouterJoosen","Open source")</x:f>
        <x:v>HYPERLINK is not implemented. linkLocation=https://distrinet.cs.kuleuven.be/people/WouterJoosen, friendlyName=Open source</x:v>
      </x:c>
    </x:row>
    <x:row r="523" ht="46" customHeight="1">
      <x:c r="A523" s="17" t="str">
        <x:v>stage3src:8cf279a8d0f9effc3832</x:v>
      </x:c>
      <x:c r="B523" s="17" t="str">
        <x:v>program</x:v>
      </x:c>
      <x:c r="C523" s="17" t="str">
        <x:v>KU Leuven</x:v>
      </x:c>
      <x:c r="D523" s="17" t="str">
        <x:v>ror:05f950310:program:phd-requiring-a-master-s:doctoral-programme-in-computer-science</x:v>
      </x:c>
      <x:c r="E523" s="17" t="str"/>
      <x:c r="F523" s="17" t="str">
        <x:v>language|admissions</x:v>
      </x:c>
      <x:c r="G523" s="17" t="str">
        <x:v>Official English-language or admissions evidence; waivers/test thresholds remain applicant-specific</x:v>
      </x:c>
      <x:c r="H523" s="17" t="str">
        <x:v>KU Leuven — official evidence</x:v>
      </x:c>
      <x:c r="I523" s="17" t="str">
        <x:v>KU Leuven</x:v>
      </x:c>
      <x:c r="J523" s="17" t="str">
        <x:v>official</x:v>
      </x:c>
      <x:c r="K523" s="17" t="str">
        <x:v>2026-09-09</x:v>
      </x:c>
      <x:c r="L523" s="17" t="str">
        <x:v>rolling/position-specific</x:v>
      </x:c>
      <x:c r="M523" s="17" t="str">
        <x:v>high</x:v>
      </x:c>
      <x:c r="N523" s="17" t="str">
        <x:v>accessible or indexed official page</x:v>
      </x:c>
      <x:c r="O523" s="17" t="str">
        <x:v>Search snippets were discovery only; final claim points to the official destination. Recheck cycle-specific facts when 2027 material opens.</x:v>
      </x:c>
      <x:c r="P523" s="18" t="e">
        <x:f>HYPERLINK("https://www.kuleuven.be/english/apply/application-instructions/instructions-doctoral","Open source")</x:f>
        <x:v>HYPERLINK is not implemented. linkLocation=https://www.kuleuven.be/english/apply/application-instructions/instructions-doctoral, friendlyName=Open source</x:v>
      </x:c>
    </x:row>
    <x:row r="524" ht="46" customHeight="1">
      <x:c r="A524" s="17" t="str">
        <x:v>stage3src:93b926e6caf5683cf842</x:v>
      </x:c>
      <x:c r="B524" s="17" t="str">
        <x:v>program</x:v>
      </x:c>
      <x:c r="C524" s="17" t="str">
        <x:v>KU Leuven</x:v>
      </x:c>
      <x:c r="D524" s="17" t="str">
        <x:v>ror:05f950310:program:phd-requiring-a-master-s:doctoral-programme-in-computer-science</x:v>
      </x:c>
      <x:c r="E524" s="17" t="str"/>
      <x:c r="F524" s="17" t="str">
        <x:v>admissions</x:v>
      </x:c>
      <x:c r="G524" s="17" t="str">
        <x:v>Official program/admissions page; cycle label preserved in deep_programs.csv</x:v>
      </x:c>
      <x:c r="H524" s="17" t="str">
        <x:v>KU Leuven — official evidence</x:v>
      </x:c>
      <x:c r="I524" s="17" t="str">
        <x:v>KU Leuven</x:v>
      </x:c>
      <x:c r="J524" s="17" t="str">
        <x:v>official</x:v>
      </x:c>
      <x:c r="K524" s="17" t="str">
        <x:v>2026-09-09</x:v>
      </x:c>
      <x:c r="L524" s="17" t="str">
        <x:v>rolling/position-specific</x:v>
      </x:c>
      <x:c r="M524" s="17" t="str">
        <x:v>high</x:v>
      </x:c>
      <x:c r="N524" s="17" t="str">
        <x:v>accessible or indexed official page</x:v>
      </x:c>
      <x:c r="O524" s="17" t="str">
        <x:v>Search snippets were discovery only; final claim points to the official destination. Recheck cycle-specific facts when 2027 material opens.</x:v>
      </x:c>
      <x:c r="P524" s="18" t="e">
        <x:f>HYPERLINK("https://www.kuleuven.be/english/apply/application-instructions/instructions-doctoral","Open source")</x:f>
        <x:v>HYPERLINK is not implemented. linkLocation=https://www.kuleuven.be/english/apply/application-instructions/instructions-doctoral, friendlyName=Open source</x:v>
      </x:c>
    </x:row>
    <x:row r="525" ht="46" customHeight="1">
      <x:c r="A525" s="17" t="str">
        <x:v>stage3src:fbd408f5fe2965f62337</x:v>
      </x:c>
      <x:c r="B525" s="17" t="str">
        <x:v>program</x:v>
      </x:c>
      <x:c r="C525" s="17" t="str">
        <x:v>University of Macedonia</x:v>
      </x:c>
      <x:c r="D525" s="17" t="str">
        <x:v>ror:05fg6gr82:program:unclear:cross-path-catalog-review</x:v>
      </x:c>
      <x:c r="E525" s="17" t="str"/>
      <x:c r="F525" s="17" t="str">
        <x:v>discovery</x:v>
      </x:c>
      <x:c r="G525" s="17" t="str">
        <x:v>Stage 2 recorded this row as a discovery candidate; it does not independently verify an exact current research program, eligibility, or funding.</x:v>
      </x:c>
      <x:c r="H525" s="17" t="str">
        <x:v>Pass 2 Stage 2 candidate funnel</x:v>
      </x:c>
      <x:c r="I525" s="17" t="str">
        <x:v>Graduate audit pipeline</x:v>
      </x:c>
      <x:c r="J525" s="17" t="str">
        <x:v>derived</x:v>
      </x:c>
      <x:c r="K525" s="17" t="str">
        <x:v>2026-09-11</x:v>
      </x:c>
      <x:c r="L525" s="17" t="str">
        <x:v>Not cycle-specific</x:v>
      </x:c>
      <x:c r="M525" s="17" t="str">
        <x:v>low</x:v>
      </x:c>
      <x:c r="N525" s="17" t="str">
        <x:v>Discovery evidence only</x:v>
      </x:c>
      <x:c r="O525" s="17" t="str">
        <x:v>Use the source_record_paths field to trace the underlying discovery inputs.</x:v>
      </x:c>
      <x:c r="P525" s="18" t="e">
        <x:f>HYPERLINK("https://www.uom.gr","Open source")</x:f>
        <x:v>HYPERLINK is not implemented. linkLocation=https://www.uom.gr, friendlyName=Open source</x:v>
      </x:c>
    </x:row>
    <x:row r="526" ht="46" customHeight="1">
      <x:c r="A526" s="17" t="str">
        <x:v>stage3src:11a8d58da705205ab6a6</x:v>
      </x:c>
      <x:c r="B526" s="17" t="str">
        <x:v>program</x:v>
      </x:c>
      <x:c r="C526" s="17" t="str">
        <x:v>Technische Universität Darmstadt</x:v>
      </x:c>
      <x:c r="D526" s="17" t="str">
        <x:v>ror:05n911h24:program:thesis-or-research-master-s:m-sc-computer-science</x:v>
      </x:c>
      <x:c r="E526" s="17" t="str"/>
      <x:c r="F526" s="17" t="str">
        <x:v>funding</x:v>
      </x:c>
      <x:c r="G526" s="17" t="str">
        <x:v>Limited international scholarship information does not establish a general Computer Science MSc funding package.</x:v>
      </x:c>
      <x:c r="H526" s="17" t="str">
        <x:v>Financing and Scholarships for International Students</x:v>
      </x:c>
      <x:c r="I526" s="17" t="str">
        <x:v>Technical University of Darmstadt</x:v>
      </x:c>
      <x:c r="J526" s="17" t="str">
        <x:v>official</x:v>
      </x:c>
      <x:c r="K526" s="17" t="str">
        <x:v>2026-09-11</x:v>
      </x:c>
      <x:c r="L526" s="17" t="str">
        <x:v>Current page checked 2026-09-11</x:v>
      </x:c>
      <x:c r="M526" s="17" t="str">
        <x:v>high</x:v>
      </x:c>
      <x:c r="N526" s="17" t="str">
        <x:v>official page checked</x:v>
      </x:c>
      <x:c r="O526" s="17" t="str"/>
      <x:c r="P526" s="18" t="e">
        <x:f>HYPERLINK("https://www.tu-darmstadt.de/studieren/studierende_tu/internationale_studierende_1/studienfinanzierung_und_stipendien_international/studienfinanzierung_stipendien/index.en.jsp","Open source")</x:f>
        <x:v>HYPERLINK is not implemented. linkLocation=https://www.tu-darmstadt.de/studieren/studierende_tu/internationale_studierende_1/studienfinanzierung_und_stipendien_international/studienfinanzierung_stipendien/index.en.jsp, friendlyName=Open source</x:v>
      </x:c>
    </x:row>
    <x:row r="527" ht="46" customHeight="1">
      <x:c r="A527" s="17" t="str">
        <x:v>stage3src:5bd33a80f9e58fa64365</x:v>
      </x:c>
      <x:c r="B527" s="17" t="str">
        <x:v>program</x:v>
      </x:c>
      <x:c r="C527" s="17" t="str">
        <x:v>Technische Universität Darmstadt</x:v>
      </x:c>
      <x:c r="D527" s="17" t="str">
        <x:v>ror:05n911h24:program:thesis-or-research-master-s:m-sc-computer-science</x:v>
      </x:c>
      <x:c r="E527" s="17" t="str"/>
      <x:c r="F527" s="17" t="str">
        <x:v>program|eligibility|language|deadline</x:v>
      </x:c>
      <x:c r="G527" s="17" t="str">
        <x:v>Current English 120-CP Computer Science MSc, thesis, 180-CP degree basis, C1 English, and recurring deadlines.</x:v>
      </x:c>
      <x:c r="H527" s="17" t="str">
        <x:v>M.Sc. Computer Science</x:v>
      </x:c>
      <x:c r="I527" s="17" t="str">
        <x:v>Technical University of Darmstadt Department of Computer Science</x:v>
      </x:c>
      <x:c r="J527" s="17" t="str">
        <x:v>official</x:v>
      </x:c>
      <x:c r="K527" s="17" t="str">
        <x:v>2026-09-11</x:v>
      </x:c>
      <x:c r="L527" s="17" t="str">
        <x:v>Current recurring dates checked 2026-09-11</x:v>
      </x:c>
      <x:c r="M527" s="17" t="str">
        <x:v>high</x:v>
      </x:c>
      <x:c r="N527" s="17" t="str">
        <x:v>official page checked</x:v>
      </x:c>
      <x:c r="O527" s="17" t="str"/>
      <x:c r="P527" s="18" t="e">
        <x:f>HYPERLINK("https://www.informatik.tu-darmstadt.de/studium_fb20/im_studium/studiengaenge_liste/computer_science_msc.en.jsp","Open source")</x:f>
        <x:v>HYPERLINK is not implemented. linkLocation=https://www.informatik.tu-darmstadt.de/studium_fb20/im_studium/studiengaenge_liste/computer_science_msc.en.jsp, friendlyName=Open source</x:v>
      </x:c>
    </x:row>
    <x:row r="528" ht="46" customHeight="1">
      <x:c r="A528" s="17" t="str">
        <x:v>stage3src:bedc19d74a370aca6a2b</x:v>
      </x:c>
      <x:c r="B528" s="17" t="str">
        <x:v>program</x:v>
      </x:c>
      <x:c r="C528" s="17" t="str">
        <x:v>Technische Universität Darmstadt</x:v>
      </x:c>
      <x:c r="D528" s="17" t="str">
        <x:v>ror:05n911h24:program:thesis-or-research-master-s:m-sc-computer-science</x:v>
      </x:c>
      <x:c r="E528" s="17" t="str"/>
      <x:c r="F528" s="17" t="str">
        <x:v>fees</x:v>
      </x:c>
      <x:c r="G528" s="17" t="str">
        <x:v>Winter 2026/27 semester contribution of EUR 402.68.</x:v>
      </x:c>
      <x:c r="H528" s="17" t="str">
        <x:v>Semester Fee</x:v>
      </x:c>
      <x:c r="I528" s="17" t="str">
        <x:v>Technical University of Darmstadt</x:v>
      </x:c>
      <x:c r="J528" s="17" t="str">
        <x:v>official</x:v>
      </x:c>
      <x:c r="K528" s="17" t="str">
        <x:v>2026-09-11</x:v>
      </x:c>
      <x:c r="L528" s="17" t="str">
        <x:v>Winter 2026/27; checked 2026-09-11</x:v>
      </x:c>
      <x:c r="M528" s="17" t="str">
        <x:v>high</x:v>
      </x:c>
      <x:c r="N528" s="17" t="str">
        <x:v>official page checked</x:v>
      </x:c>
      <x:c r="O528" s="17" t="str"/>
      <x:c r="P528" s="18" t="e">
        <x:f>HYPERLINK("https://www.tu-darmstadt.de/studieren/studieren_von_a_bis_z/artikel_details_de_en_286144.en.jsp","Open source")</x:f>
        <x:v>HYPERLINK is not implemented. linkLocation=https://www.tu-darmstadt.de/studieren/studieren_von_a_bis_z/artikel_details_de_en_286144.en.jsp, friendlyName=Open source</x:v>
      </x:c>
    </x:row>
    <x:row r="529" ht="46" customHeight="1">
      <x:c r="A529" s="17" t="str">
        <x:v>stage3src:e6d89a5f2f1150e7cc7f</x:v>
      </x:c>
      <x:c r="B529" s="17" t="str">
        <x:v>program</x:v>
      </x:c>
      <x:c r="C529" s="17" t="str">
        <x:v>Technische Universität Darmstadt</x:v>
      </x:c>
      <x:c r="D529" s="17" t="str">
        <x:v>ror:05n911h24:program:thesis-or-research-master-s:m-sc-computer-science</x:v>
      </x:c>
      <x:c r="E529" s="17" t="str"/>
      <x:c r="F529" s="17" t="str">
        <x:v>admissions|eligibility|language|deadline|fees</x:v>
      </x:c>
      <x:c r="G529" s="17" t="str">
        <x:v>One-English-program rule, 60-ECTS competence assessment, possible entrance exam, English-medium-degree evidence, and hard-copy deadline requirement.</x:v>
      </x:c>
      <x:c r="H529" s="17" t="str">
        <x:v>Application and Admission</x:v>
      </x:c>
      <x:c r="I529" s="17" t="str">
        <x:v>Technical University of Darmstadt Department of Computer Science</x:v>
      </x:c>
      <x:c r="J529" s="17" t="str">
        <x:v>official</x:v>
      </x:c>
      <x:c r="K529" s="17" t="str">
        <x:v>2026-09-11</x:v>
      </x:c>
      <x:c r="L529" s="17" t="str">
        <x:v>Current page checked 2026-09-11</x:v>
      </x:c>
      <x:c r="M529" s="17" t="str">
        <x:v>high</x:v>
      </x:c>
      <x:c r="N529" s="17" t="str">
        <x:v>official page checked</x:v>
      </x:c>
      <x:c r="O529" s="17" t="str"/>
      <x:c r="P529" s="18" t="e">
        <x:f>HYPERLINK("https://www.informatik.tu-darmstadt.de/studium_fb20/vor_dem_studium/bewerbung_1/bewerbung_2.en.jsp","Open source")</x:f>
        <x:v>HYPERLINK is not implemented. linkLocation=https://www.informatik.tu-darmstadt.de/studium_fb20/vor_dem_studium/bewerbung_1/bewerbung_2.en.jsp, friendlyName=Open source</x:v>
      </x:c>
    </x:row>
    <x:row r="530" ht="46" customHeight="1">
      <x:c r="A530" s="17" t="str">
        <x:v>stage3src:5460302f64eedca10a3f</x:v>
      </x:c>
      <x:c r="B530" s="17" t="str">
        <x:v>program</x:v>
      </x:c>
      <x:c r="C530" s="17" t="str">
        <x:v>University of Klagenfurt</x:v>
      </x:c>
      <x:c r="D530" s="17" t="str">
        <x:v>ror:05q9m0937:program:thesis-or-research-master-s:master-s-degree-programme-informatics</x:v>
      </x:c>
      <x:c r="E530" s="17" t="str"/>
      <x:c r="F530" s="17" t="str">
        <x:v>funding|tuition|fees</x:v>
      </x:c>
      <x:c r="G530" s="17" t="str">
        <x:v>EUR 300 monthly Klagenfurt Scholarship, two-year design, EEA or long-term-resident third-country eligibility, and spring 2027 deadline announcement; it is not a full-cost guarantee.</x:v>
      </x:c>
      <x:c r="H530" s="17" t="str">
        <x:v>Applying for a Klagenfurt Scholarship</x:v>
      </x:c>
      <x:c r="I530" s="17" t="str">
        <x:v>University of Klagenfurt</x:v>
      </x:c>
      <x:c r="J530" s="17" t="str">
        <x:v>official</x:v>
      </x:c>
      <x:c r="K530" s="17" t="str">
        <x:v>2026-09-11</x:v>
      </x:c>
      <x:c r="L530" s="17" t="str">
        <x:v>2027-28 notice checked 2026-09-11</x:v>
      </x:c>
      <x:c r="M530" s="17" t="str">
        <x:v>high</x:v>
      </x:c>
      <x:c r="N530" s="17" t="str">
        <x:v>official page checked</x:v>
      </x:c>
      <x:c r="O530" s="17" t="str"/>
      <x:c r="P530" s="18" t="e">
        <x:f>HYPERLINK("https://www.aau.at/en/partners-sponsors/supporting-the-university/the-klagenfurt-scholarship/applying-for-a-klagenfurt-scholarship/","Open source")</x:f>
        <x:v>HYPERLINK is not implemented. linkLocation=https://www.aau.at/en/partners-sponsors/supporting-the-university/the-klagenfurt-scholarship/applying-for-a-klagenfurt-scholarship/, friendlyName=Open source</x:v>
      </x:c>
    </x:row>
    <x:row r="531" ht="46" customHeight="1">
      <x:c r="A531" s="17" t="str">
        <x:v>stage3src:bd72b8cac993741e84bf</x:v>
      </x:c>
      <x:c r="B531" s="17" t="str">
        <x:v>program</x:v>
      </x:c>
      <x:c r="C531" s="17" t="str">
        <x:v>University of Klagenfurt</x:v>
      </x:c>
      <x:c r="D531" s="17" t="str">
        <x:v>ror:05q9m0937:program:thesis-or-research-master-s:master-s-degree-programme-informatics</x:v>
      </x:c>
      <x:c r="E531" s="17" t="str"/>
      <x:c r="F531" s="17" t="str">
        <x:v>program|research|eligibility|language</x:v>
      </x:c>
      <x:c r="G531" s="17" t="str">
        <x:v>Current 120-ECTS English Informatics master's, equivalent-degree route, possible supplementary exams, B2 English, specializations, and thesis.</x:v>
      </x:c>
      <x:c r="H531" s="17" t="str">
        <x:v>Master's Degree Programme Informatics</x:v>
      </x:c>
      <x:c r="I531" s="17" t="str">
        <x:v>University of Klagenfurt</x:v>
      </x:c>
      <x:c r="J531" s="17" t="str">
        <x:v>official</x:v>
      </x:c>
      <x:c r="K531" s="17" t="str">
        <x:v>2026-09-11</x:v>
      </x:c>
      <x:c r="L531" s="17" t="str">
        <x:v>Current page checked 2026-09-11</x:v>
      </x:c>
      <x:c r="M531" s="17" t="str">
        <x:v>high</x:v>
      </x:c>
      <x:c r="N531" s="17" t="str">
        <x:v>official page checked</x:v>
      </x:c>
      <x:c r="O531" s="17" t="str"/>
      <x:c r="P531" s="18" t="e">
        <x:f>HYPERLINK("https://www.aau.at/en/studien/master-informatics/","Open source")</x:f>
        <x:v>HYPERLINK is not implemented. linkLocation=https://www.aau.at/en/studien/master-informatics/, friendlyName=Open source</x:v>
      </x:c>
    </x:row>
    <x:row r="532" ht="46" customHeight="1">
      <x:c r="A532" s="17" t="str">
        <x:v>stage3src:c1414970566e67e5c662</x:v>
      </x:c>
      <x:c r="B532" s="17" t="str">
        <x:v>program</x:v>
      </x:c>
      <x:c r="C532" s="17" t="str">
        <x:v>University of Klagenfurt</x:v>
      </x:c>
      <x:c r="D532" s="17" t="str">
        <x:v>ror:05q9m0937:program:thesis-or-research-master-s:master-s-degree-programme-informatics</x:v>
      </x:c>
      <x:c r="E532" s="17" t="str"/>
      <x:c r="F532" s="17" t="str">
        <x:v>admissions|eligibility|deadline</x:v>
      </x:c>
      <x:c r="G532" s="17" t="str">
        <x:v>General master's procedure and latest non-EU winter-semester submission period.</x:v>
      </x:c>
      <x:c r="H532" s="17" t="str">
        <x:v>Admission to Master's Degree Programmes</x:v>
      </x:c>
      <x:c r="I532" s="17" t="str">
        <x:v>University of Klagenfurt</x:v>
      </x:c>
      <x:c r="J532" s="17" t="str">
        <x:v>official</x:v>
      </x:c>
      <x:c r="K532" s="17" t="str">
        <x:v>2026-09-11</x:v>
      </x:c>
      <x:c r="L532" s="17" t="str">
        <x:v>Winter semester 2026-27 checked 2026-09-11</x:v>
      </x:c>
      <x:c r="M532" s="17" t="str">
        <x:v>high</x:v>
      </x:c>
      <x:c r="N532" s="17" t="str">
        <x:v>official page checked</x:v>
      </x:c>
      <x:c r="O532" s="17" t="str"/>
      <x:c r="P532" s="18" t="e">
        <x:f>HYPERLINK("https://www.aau.at/en/study/studying-at-aau/applying/admission-master-programme/","Open source")</x:f>
        <x:v>HYPERLINK is not implemented. linkLocation=https://www.aau.at/en/study/studying-at-aau/applying/admission-master-programme/, friendlyName=Open source</x:v>
      </x:c>
    </x:row>
    <x:row r="533" ht="46" customHeight="1">
      <x:c r="A533" s="17" t="str">
        <x:v>stage3src:4aae6a955f731f24d27d</x:v>
      </x:c>
      <x:c r="B533" s="17" t="str">
        <x:v>program</x:v>
      </x:c>
      <x:c r="C533" s="17" t="str">
        <x:v>Karlstad University</x:v>
      </x:c>
      <x:c r="D533" s="17" t="str">
        <x:v>ror:05s754026:program:thesis-or-research-master-s:master-in-computer-science</x:v>
      </x:c>
      <x:c r="E533" s="17" t="str"/>
      <x:c r="F533" s="17" t="str">
        <x:v>funding|tuition|fees|deadline</x:v>
      </x:c>
      <x:c r="G533" s="17" t="str">
        <x:v>Program-listed 50 percent tuition scholarship, limited awards, first-priority rule, and living-cost exclusion.</x:v>
      </x:c>
      <x:c r="H533" s="17" t="str">
        <x:v>Karlstad University Global Scholarship</x:v>
      </x:c>
      <x:c r="I533" s="17" t="str">
        <x:v>Karlstad University</x:v>
      </x:c>
      <x:c r="J533" s="17" t="str">
        <x:v>official</x:v>
      </x:c>
      <x:c r="K533" s="17" t="str">
        <x:v>2026-09-10</x:v>
      </x:c>
      <x:c r="L533" s="17" t="str">
        <x:v>Latest call checked 2026-09-11</x:v>
      </x:c>
      <x:c r="M533" s="17" t="str">
        <x:v>high</x:v>
      </x:c>
      <x:c r="N533" s="17" t="str">
        <x:v>official page checked</x:v>
      </x:c>
      <x:c r="O533" s="17" t="str"/>
      <x:c r="P533" s="18" t="e">
        <x:f>HYPERLINK("https://www.kau.se/en/karlstad-university-global-scholarship","Open source")</x:f>
        <x:v>HYPERLINK is not implemented. linkLocation=https://www.kau.se/en/karlstad-university-global-scholarship, friendlyName=Open source</x:v>
      </x:c>
    </x:row>
    <x:row r="534" ht="46" customHeight="1">
      <x:c r="A534" s="17" t="str">
        <x:v>stage3src:4f3dc74f30daec42d542</x:v>
      </x:c>
      <x:c r="B534" s="17" t="str">
        <x:v>program</x:v>
      </x:c>
      <x:c r="C534" s="17" t="str">
        <x:v>Karlstad University</x:v>
      </x:c>
      <x:c r="D534" s="17" t="str">
        <x:v>ror:05s754026:program:thesis-or-research-master-s:master-in-computer-science</x:v>
      </x:c>
      <x:c r="E534" s="17" t="str"/>
      <x:c r="F534" s="17" t="str">
        <x:v>program|research|eligibility|admissions|deadline|tuition</x:v>
      </x:c>
      <x:c r="G534" s="17" t="str">
        <x:v>Autumn 2027 program, 120-credit structure, named prerequisites, English delivery, thesis, deadline, and tuition.</x:v>
      </x:c>
      <x:c r="H534" s="17" t="str">
        <x:v>Master in Computer Science</x:v>
      </x:c>
      <x:c r="I534" s="17" t="str">
        <x:v>Karlstad University</x:v>
      </x:c>
      <x:c r="J534" s="17" t="str">
        <x:v>official</x:v>
      </x:c>
      <x:c r="K534" s="17" t="str">
        <x:v>2026-09-10</x:v>
      </x:c>
      <x:c r="L534" s="17" t="str">
        <x:v>Autumn 2027 page checked 2026-09-11</x:v>
      </x:c>
      <x:c r="M534" s="17" t="str">
        <x:v>high</x:v>
      </x:c>
      <x:c r="N534" s="17" t="str">
        <x:v>official page checked</x:v>
      </x:c>
      <x:c r="O534" s="17" t="str"/>
      <x:c r="P534" s="18" t="e">
        <x:f>HYPERLINK("https://www.kau.se/en/cs/education/programmes-and-courses/programmes/master-computer-science","Open source")</x:f>
        <x:v>HYPERLINK is not implemented. linkLocation=https://www.kau.se/en/cs/education/programmes-and-courses/programmes/master-computer-science, friendlyName=Open source</x:v>
      </x:c>
    </x:row>
    <x:row r="535" ht="46" customHeight="1">
      <x:c r="A535" s="17" t="str">
        <x:v>stage3src:5c7d20bbd139cbe1ce84</x:v>
      </x:c>
      <x:c r="B535" s="17" t="str">
        <x:v>program</x:v>
      </x:c>
      <x:c r="C535" s="17" t="str">
        <x:v>Karlstad University</x:v>
      </x:c>
      <x:c r="D535" s="17" t="str">
        <x:v>ror:05s754026:program:thesis-or-research-master-s:master-in-computer-science</x:v>
      </x:c>
      <x:c r="E535" s="17" t="str"/>
      <x:c r="F535" s="17" t="str">
        <x:v>admissions|language|fees|deadline</x:v>
      </x:c>
      <x:c r="G535" s="17" t="str">
        <x:v>Central application, ranking, fee, documents, and English framework.</x:v>
      </x:c>
      <x:c r="H535" s="17" t="str">
        <x:v>Apply to Sweden</x:v>
      </x:c>
      <x:c r="I535" s="17" t="str">
        <x:v>University Admissions in Sweden</x:v>
      </x:c>
      <x:c r="J535" s="17" t="str">
        <x:v>official</x:v>
      </x:c>
      <x:c r="K535" s="17" t="str">
        <x:v>2026-09-10</x:v>
      </x:c>
      <x:c r="L535" s="17" t="str">
        <x:v>Current framework checked 2026-09-11</x:v>
      </x:c>
      <x:c r="M535" s="17" t="str">
        <x:v>high</x:v>
      </x:c>
      <x:c r="N535" s="17" t="str">
        <x:v>official page checked</x:v>
      </x:c>
      <x:c r="O535" s="17" t="str"/>
      <x:c r="P535" s="18" t="e">
        <x:f>HYPERLINK("https://www.universityadmissions.se/intl/start","Open source")</x:f>
        <x:v>HYPERLINK is not implemented. linkLocation=https://www.universityadmissions.se/intl/start, friendlyName=Open source</x:v>
      </x:c>
    </x:row>
    <x:row r="536" ht="46" customHeight="1">
      <x:c r="A536" s="17" t="str">
        <x:v>stage3src:77c62323c166650ac414</x:v>
      </x:c>
      <x:c r="B536" s="17" t="str">
        <x:v>program</x:v>
      </x:c>
      <x:c r="C536" s="17" t="str">
        <x:v>Institut polytechnique de Grenoble</x:v>
      </x:c>
      <x:c r="D536" s="17" t="str">
        <x:v>ror:05sbt2524:program:unclear:cross-path-catalog-review</x:v>
      </x:c>
      <x:c r="E536" s="17" t="str"/>
      <x:c r="F536" s="17" t="str">
        <x:v>discovery</x:v>
      </x:c>
      <x:c r="G536" s="17" t="str">
        <x:v>Stage 2 recorded this row as a discovery candidate; it does not independently verify an exact current research program, eligibility, or funding.</x:v>
      </x:c>
      <x:c r="H536" s="17" t="str">
        <x:v>Pass 2 Stage 2 candidate funnel</x:v>
      </x:c>
      <x:c r="I536" s="17" t="str">
        <x:v>Graduate audit pipeline</x:v>
      </x:c>
      <x:c r="J536" s="17" t="str">
        <x:v>derived</x:v>
      </x:c>
      <x:c r="K536" s="17" t="str">
        <x:v>2026-09-11</x:v>
      </x:c>
      <x:c r="L536" s="17" t="str">
        <x:v>Not cycle-specific</x:v>
      </x:c>
      <x:c r="M536" s="17" t="str">
        <x:v>low</x:v>
      </x:c>
      <x:c r="N536" s="17" t="str">
        <x:v>Discovery evidence only</x:v>
      </x:c>
      <x:c r="O536" s="17" t="str">
        <x:v>Use the source_record_paths field to trace the underlying discovery inputs.</x:v>
      </x:c>
      <x:c r="P536" s="18" t="e">
        <x:f>HYPERLINK("https://www.grenoble-inp.fr/","Open source")</x:f>
        <x:v>HYPERLINK is not implemented. linkLocation=https://www.grenoble-inp.fr/, friendlyName=Open source</x:v>
      </x:c>
    </x:row>
    <x:row r="537" ht="46" customHeight="1">
      <x:c r="A537" s="17" t="str">
        <x:v>stage3src:01188c3b0545de961d03</x:v>
      </x:c>
      <x:c r="B537" s="17" t="str">
        <x:v>program</x:v>
      </x:c>
      <x:c r="C537" s="17" t="str">
        <x:v>University of Trento</x:v>
      </x:c>
      <x:c r="D537" s="17" t="str">
        <x:v>ror:05trd4x28:program:thesis-or-research-master-s:master-s-degree-in-computer-science</x:v>
      </x:c>
      <x:c r="E537" s="17" t="str"/>
      <x:c r="F537" s="17" t="str">
        <x:v>program|admissions|eligibility|language</x:v>
      </x:c>
      <x:c r="G537" s="17" t="str">
        <x:v>Current two-year, 120-credit English Computer Science master's with research tracks and thesis context.</x:v>
      </x:c>
      <x:c r="H537" s="17" t="str">
        <x:v>Computer Science Master's Degree</x:v>
      </x:c>
      <x:c r="I537" s="17" t="str">
        <x:v>University of Trento</x:v>
      </x:c>
      <x:c r="J537" s="17" t="str">
        <x:v>official</x:v>
      </x:c>
      <x:c r="K537" s="17" t="str">
        <x:v>2026-09-10</x:v>
      </x:c>
      <x:c r="L537" s="17" t="str">
        <x:v>Current program checked 2026-09-10</x:v>
      </x:c>
      <x:c r="M537" s="17" t="str">
        <x:v>high</x:v>
      </x:c>
      <x:c r="N537" s="17" t="str">
        <x:v>official page checked</x:v>
      </x:c>
      <x:c r="O537" s="17" t="str"/>
      <x:c r="P537" s="18" t="e">
        <x:f>HYPERLINK("https://corsi.unitn.it/en/computer-science-master","Open source")</x:f>
        <x:v>HYPERLINK is not implemented. linkLocation=https://corsi.unitn.it/en/computer-science-master, friendlyName=Open source</x:v>
      </x:c>
    </x:row>
    <x:row r="538" ht="46" customHeight="1">
      <x:c r="A538" s="17" t="str">
        <x:v>stage3src:76444a567bd5c7ae4576</x:v>
      </x:c>
      <x:c r="B538" s="17" t="str">
        <x:v>program</x:v>
      </x:c>
      <x:c r="C538" s="17" t="str">
        <x:v>University of Trento</x:v>
      </x:c>
      <x:c r="D538" s="17" t="str">
        <x:v>ror:05trd4x28:program:thesis-or-research-master-s:master-s-degree-in-computer-science</x:v>
      </x:c>
      <x:c r="E538" s="17" t="str"/>
      <x:c r="F538" s="17" t="str">
        <x:v>admissions|eligibility|language|deadline|fees</x:v>
      </x:c>
      <x:c r="G538" s="17" t="str">
        <x:v>Latest non-European call, March 4, 2026 deadline, EUR 30 fee, document and B2 requirements, ranking, confirmation, and visa steps.</x:v>
      </x:c>
      <x:c r="H538" s="17" t="str">
        <x:v>Admission and Enrollment for Non-European Citizens</x:v>
      </x:c>
      <x:c r="I538" s="17" t="str">
        <x:v>University of Trento</x:v>
      </x:c>
      <x:c r="J538" s="17" t="str">
        <x:v>official</x:v>
      </x:c>
      <x:c r="K538" s="17" t="str">
        <x:v>2026-09-10</x:v>
      </x:c>
      <x:c r="L538" s="17" t="str">
        <x:v>2026-2027 call; 2027-2028 not yet published</x:v>
      </x:c>
      <x:c r="M538" s="17" t="str">
        <x:v>high</x:v>
      </x:c>
      <x:c r="N538" s="17" t="str">
        <x:v>official page checked</x:v>
      </x:c>
      <x:c r="O538" s="17" t="str"/>
      <x:c r="P538" s="18" t="e">
        <x:f>HYPERLINK("https://corsi.unitn.it/en/computer-science/enrollment/admission-non-european-citizens","Open source")</x:f>
        <x:v>HYPERLINK is not implemented. linkLocation=https://corsi.unitn.it/en/computer-science/enrollment/admission-non-european-citizens, friendlyName=Open source</x:v>
      </x:c>
    </x:row>
    <x:row r="539" ht="46" customHeight="1">
      <x:c r="A539" s="17" t="str">
        <x:v>stage3src:a806c53064cfd559301f</x:v>
      </x:c>
      <x:c r="B539" s="17" t="str">
        <x:v>program</x:v>
      </x:c>
      <x:c r="C539" s="17" t="str">
        <x:v>University of Trento</x:v>
      </x:c>
      <x:c r="D539" s="17" t="str">
        <x:v>ror:05trd4x28:program:thesis-or-research-master-s:master-s-degree-in-computer-science</x:v>
      </x:c>
      <x:c r="E539" s="17" t="str"/>
      <x:c r="F539" s="17" t="str">
        <x:v>funding|tuition|fees</x:v>
      </x:c>
      <x:c r="G539" s="17" t="str">
        <x:v>Limited non-EU merit scholarship amounts, tuition exemption, two-year maximum, credit-based renewal, and merit-ranked tuition bands.</x:v>
      </x:c>
      <x:c r="H539" s="17" t="str">
        <x:v>Scholarships for International Students</x:v>
      </x:c>
      <x:c r="I539" s="17" t="str">
        <x:v>University of Trento</x:v>
      </x:c>
      <x:c r="J539" s="17" t="str">
        <x:v>official</x:v>
      </x:c>
      <x:c r="K539" s="17" t="str">
        <x:v>2026-09-10</x:v>
      </x:c>
      <x:c r="L539" s="17" t="str">
        <x:v>Current funding rules checked 2026-09-10</x:v>
      </x:c>
      <x:c r="M539" s="17" t="str">
        <x:v>high</x:v>
      </x:c>
      <x:c r="N539" s="17" t="str">
        <x:v>official page checked</x:v>
      </x:c>
      <x:c r="O539" s="17" t="str">
        <x:v>Tuition bands cross-checked at https://www.unitn.it/en/study/fees-scholarships-accommodation/tuition-fees/non-eu-citizens/masters-degrees-english.</x:v>
      </x:c>
      <x:c r="P539" s="18" t="e">
        <x:f>HYPERLINK("https://www.unitn.it/en/study/fees-scholarships-accommodation/scholarships-and-awards/scholarships-international-students","Open source")</x:f>
        <x:v>HYPERLINK is not implemented. linkLocation=https://www.unitn.it/en/study/fees-scholarships-accommodation/scholarships-and-awards/scholarships-international-students, friendlyName=Open source</x:v>
      </x:c>
    </x:row>
    <x:row r="540" ht="46" customHeight="1">
      <x:c r="A540" s="17" t="str">
        <x:v>stage3src:b1cdc16d481f1dd85493</x:v>
      </x:c>
      <x:c r="B540" s="17" t="str">
        <x:v>program</x:v>
      </x:c>
      <x:c r="C540" s="17" t="str">
        <x:v>University of Trento</x:v>
      </x:c>
      <x:c r="D540" s="17" t="str">
        <x:v>ror:05trd4x28:program:unclear:cross-path-catalog-review</x:v>
      </x:c>
      <x:c r="E540" s="17" t="str"/>
      <x:c r="F540" s="17" t="str">
        <x:v>discovery</x:v>
      </x:c>
      <x:c r="G540" s="17" t="str">
        <x:v>Stage 2 recorded this row as a discovery candidate; it does not independently verify an exact current research program, eligibility, or funding.</x:v>
      </x:c>
      <x:c r="H540" s="17" t="str">
        <x:v>Pass 2 Stage 2 candidate funnel</x:v>
      </x:c>
      <x:c r="I540" s="17" t="str">
        <x:v>Graduate audit pipeline</x:v>
      </x:c>
      <x:c r="J540" s="17" t="str">
        <x:v>derived</x:v>
      </x:c>
      <x:c r="K540" s="17" t="str">
        <x:v>2026-09-11</x:v>
      </x:c>
      <x:c r="L540" s="17" t="str">
        <x:v>Not cycle-specific</x:v>
      </x:c>
      <x:c r="M540" s="17" t="str">
        <x:v>low</x:v>
      </x:c>
      <x:c r="N540" s="17" t="str">
        <x:v>Discovery evidence only</x:v>
      </x:c>
      <x:c r="O540" s="17" t="str">
        <x:v>Use the source_record_paths field to trace the underlying discovery inputs.</x:v>
      </x:c>
      <x:c r="P540" s="18" t="e">
        <x:f>HYPERLINK("https://unitn.it","Open source")</x:f>
        <x:v>HYPERLINK is not implemented. linkLocation=https://unitn.it, friendlyName=Open source</x:v>
      </x:c>
    </x:row>
    <x:row r="541" ht="46" customHeight="1">
      <x:c r="A541" s="17" t="str">
        <x:v>stage3src:04180248722f50134c75</x:v>
      </x:c>
      <x:c r="B541" s="17" t="str">
        <x:v>program</x:v>
      </x:c>
      <x:c r="C541" s="17" t="str">
        <x:v>Norwegian University of Science and Technology</x:v>
      </x:c>
      <x:c r="D541" s="17" t="str">
        <x:v>ror:05xg72x27:program:thesis-or-research-master-s:erasmus-mundus-joint-master-in-cybersecurity-and-assurance-cybersure</x:v>
      </x:c>
      <x:c r="E541" s="17" t="str"/>
      <x:c r="F541" s="17" t="str">
        <x:v>program|research|structure</x:v>
      </x:c>
      <x:c r="G541" s="17" t="str">
        <x:v>Two-year 120-ECTS English joint program, mobility structure, second-year tracks, and thesis component.</x:v>
      </x:c>
      <x:c r="H541" s="17" t="str">
        <x:v>Cybersecurity and Assurance</x:v>
      </x:c>
      <x:c r="I541" s="17" t="str">
        <x:v>Norwegian University of Science and Technology</x:v>
      </x:c>
      <x:c r="J541" s="17" t="str">
        <x:v>official</x:v>
      </x:c>
      <x:c r="K541" s="17" t="str">
        <x:v>2026-09-11</x:v>
      </x:c>
      <x:c r="L541" s="17" t="str">
        <x:v>Fall 2027 program page</x:v>
      </x:c>
      <x:c r="M541" s="17" t="str">
        <x:v>high</x:v>
      </x:c>
      <x:c r="N541" s="17" t="str">
        <x:v>official page checked</x:v>
      </x:c>
      <x:c r="O541" s="17" t="str"/>
      <x:c r="P541" s="18" t="e">
        <x:f>HYPERLINK("https://www.ntnu.edu/studies/mscybsure","Open source")</x:f>
        <x:v>HYPERLINK is not implemented. linkLocation=https://www.ntnu.edu/studies/mscybsure, friendlyName=Open source</x:v>
      </x:c>
    </x:row>
    <x:row r="542" ht="46" customHeight="1">
      <x:c r="A542" s="17" t="str">
        <x:v>stage3src:9b355cafdada89c8c835</x:v>
      </x:c>
      <x:c r="B542" s="17" t="str">
        <x:v>program</x:v>
      </x:c>
      <x:c r="C542" s="17" t="str">
        <x:v>Norwegian University of Science and Technology</x:v>
      </x:c>
      <x:c r="D542" s="17" t="str">
        <x:v>ror:05xg72x27:program:thesis-or-research-master-s:erasmus-mundus-joint-master-in-cybersecurity-and-assurance-cybersure</x:v>
      </x:c>
      <x:c r="E542" s="17" t="str"/>
      <x:c r="F542" s="17" t="str">
        <x:v>program|research|admissions|eligibility|language|deadline|fees|funding|international</x:v>
      </x:c>
      <x:c r="G542" s="17" t="str">
        <x:v>2027 dates, non-EU final-degree deadline, relevant-degree and English requirements, all-nationality scope, and full or partial scholarship availability.</x:v>
      </x:c>
      <x:c r="H542" s="17" t="str">
        <x:v>Admission</x:v>
      </x:c>
      <x:c r="I542" s="17" t="str">
        <x:v>CYBERSURE Consortium</x:v>
      </x:c>
      <x:c r="J542" s="17" t="str">
        <x:v>official</x:v>
      </x:c>
      <x:c r="K542" s="17" t="str">
        <x:v>2026-09-11</x:v>
      </x:c>
      <x:c r="L542" s="17" t="str">
        <x:v>2027 intake</x:v>
      </x:c>
      <x:c r="M542" s="17" t="str">
        <x:v>high</x:v>
      </x:c>
      <x:c r="N542" s="17" t="str">
        <x:v>official page checked</x:v>
      </x:c>
      <x:c r="O542" s="17" t="str"/>
      <x:c r="P542" s="18" t="e">
        <x:f>HYPERLINK("https://www.cybersure-master.eu/admission","Open source")</x:f>
        <x:v>HYPERLINK is not implemented. linkLocation=https://www.cybersure-master.eu/admission, friendlyName=Open source</x:v>
      </x:c>
    </x:row>
    <x:row r="543" ht="46" customHeight="1">
      <x:c r="A543" s="17" t="str">
        <x:v>stage3src:c1eb771580a2ce76283b</x:v>
      </x:c>
      <x:c r="B543" s="17" t="str">
        <x:v>program</x:v>
      </x:c>
      <x:c r="C543" s="17" t="str">
        <x:v>Norwegian University of Science and Technology</x:v>
      </x:c>
      <x:c r="D543" s="17" t="str">
        <x:v>ror:05xg72x27:program:thesis-or-research-master-s:erasmus-mundus-joint-master-in-cybersecurity-and-assurance-cybersure</x:v>
      </x:c>
      <x:c r="E543" s="17" t="str"/>
      <x:c r="F543" s="17" t="str">
        <x:v>funding|tuition|international</x:v>
      </x:c>
      <x:c r="G543" s="17" t="str">
        <x:v>Erasmus Mundus students are exempt from NTNU tuition fees; ordinary non-EU tuition rules do not override the joint-program exemption.</x:v>
      </x:c>
      <x:c r="H543" s="17" t="str">
        <x:v>Tuition Fees</x:v>
      </x:c>
      <x:c r="I543" s="17" t="str">
        <x:v>Norwegian University of Science and Technology</x:v>
      </x:c>
      <x:c r="J543" s="17" t="str">
        <x:v>official</x:v>
      </x:c>
      <x:c r="K543" s="17" t="str">
        <x:v>2026-09-11</x:v>
      </x:c>
      <x:c r="L543" s="17" t="str">
        <x:v>2026-27 policy checked 2026-09-11</x:v>
      </x:c>
      <x:c r="M543" s="17" t="str">
        <x:v>high</x:v>
      </x:c>
      <x:c r="N543" s="17" t="str">
        <x:v>official page checked</x:v>
      </x:c>
      <x:c r="O543" s="17" t="str"/>
      <x:c r="P543" s="18" t="e">
        <x:f>HYPERLINK("https://www.ntnu.edu/studies/tuition-fee","Open source")</x:f>
        <x:v>HYPERLINK is not implemented. linkLocation=https://www.ntnu.edu/studies/tuition-fee, friendlyName=Open source</x:v>
      </x:c>
    </x:row>
    <x:row r="544" ht="46" customHeight="1">
      <x:c r="A544" s="17" t="str">
        <x:v>stage3src:bba2a21bc8a76b0d95fc</x:v>
      </x:c>
      <x:c r="B544" s="17" t="str">
        <x:v>program</x:v>
      </x:c>
      <x:c r="C544" s="17" t="str">
        <x:v>Norwegian University of Science and Technology</x:v>
      </x:c>
      <x:c r="D544" s="17" t="str">
        <x:v>ror:05xg72x27:program:unclear:cross-path-catalog-review</x:v>
      </x:c>
      <x:c r="E544" s="17" t="str"/>
      <x:c r="F544" s="17" t="str">
        <x:v>discovery</x:v>
      </x:c>
      <x:c r="G544" s="17" t="str">
        <x:v>Stage 2 recorded this row as a discovery candidate; it does not independently verify an exact current research program, eligibility, or funding.</x:v>
      </x:c>
      <x:c r="H544" s="17" t="str">
        <x:v>Pass 2 Stage 2 candidate funnel</x:v>
      </x:c>
      <x:c r="I544" s="17" t="str">
        <x:v>Graduate audit pipeline</x:v>
      </x:c>
      <x:c r="J544" s="17" t="str">
        <x:v>derived</x:v>
      </x:c>
      <x:c r="K544" s="17" t="str">
        <x:v>2026-09-11</x:v>
      </x:c>
      <x:c r="L544" s="17" t="str">
        <x:v>Not cycle-specific</x:v>
      </x:c>
      <x:c r="M544" s="17" t="str">
        <x:v>low</x:v>
      </x:c>
      <x:c r="N544" s="17" t="str">
        <x:v>Discovery evidence only</x:v>
      </x:c>
      <x:c r="O544" s="17" t="str">
        <x:v>Use the source_record_paths field to trace the underlying discovery inputs.</x:v>
      </x:c>
      <x:c r="P544" s="18" t="e">
        <x:f>HYPERLINK("https://www.ntnu.edu","Open source")</x:f>
        <x:v>HYPERLINK is not implemented. linkLocation=https://www.ntnu.edu, friendlyName=Open source</x:v>
      </x:c>
    </x:row>
    <x:row r="545" ht="46" customHeight="1">
      <x:c r="A545" s="17" t="str">
        <x:v>stage3src:3d9fa9b10150095fcfa5</x:v>
      </x:c>
      <x:c r="B545" s="17" t="str">
        <x:v>program</x:v>
      </x:c>
      <x:c r="C545" s="17" t="str">
        <x:v>University of Passau</x:v>
      </x:c>
      <x:c r="D545" s="17" t="str">
        <x:v>ror:05ydjnb78:program:thesis-or-research-master-s:m-sc-computer-science</x:v>
      </x:c>
      <x:c r="E545" s="17" t="str"/>
      <x:c r="F545" s="17" t="str">
        <x:v>program|admissions|eligibility|language|deadline|tuition</x:v>
      </x:c>
      <x:c r="G545" s="17" t="str">
        <x:v>Current master's, 110-ECTS and grade-or-rank gates, final-project evidence, English and German rules, application window, and no tuition.</x:v>
      </x:c>
      <x:c r="H545" s="17" t="str">
        <x:v>M.Sc. Computer Science</x:v>
      </x:c>
      <x:c r="I545" s="17" t="str">
        <x:v>University of Passau</x:v>
      </x:c>
      <x:c r="J545" s="17" t="str">
        <x:v>official</x:v>
      </x:c>
      <x:c r="K545" s="17" t="str">
        <x:v>2026-09-10</x:v>
      </x:c>
      <x:c r="L545" s="17" t="str">
        <x:v>Current program checked 2026-09-10</x:v>
      </x:c>
      <x:c r="M545" s="17" t="str">
        <x:v>high</x:v>
      </x:c>
      <x:c r="N545" s="17" t="str">
        <x:v>official page checked</x:v>
      </x:c>
      <x:c r="O545" s="17" t="str"/>
      <x:c r="P545" s="18" t="e">
        <x:f>HYPERLINK("https://www.uni-passau.de/en/msc-computer-science","Open source")</x:f>
        <x:v>HYPERLINK is not implemented. linkLocation=https://www.uni-passau.de/en/msc-computer-science, friendlyName=Open source</x:v>
      </x:c>
    </x:row>
    <x:row r="546" ht="46" customHeight="1">
      <x:c r="A546" s="17" t="str">
        <x:v>stage3src:c59f20a7f5831d4ba7fa</x:v>
      </x:c>
      <x:c r="B546" s="17" t="str">
        <x:v>program</x:v>
      </x:c>
      <x:c r="C546" s="17" t="str">
        <x:v>University of Passau</x:v>
      </x:c>
      <x:c r="D546" s="17" t="str">
        <x:v>ror:05ydjnb78:program:thesis-or-research-master-s:m-sc-computer-science</x:v>
      </x:c>
      <x:c r="E546" s="17" t="str"/>
      <x:c r="F546" s="17" t="str">
        <x:v>funding|tuition|fees</x:v>
      </x:c>
      <x:c r="G546" s="17" t="str">
        <x:v>No tuition, EUR 126.90 winter 2026-2027 semester fee, monthly living-cost and insurance estimates, visa proof-of-funds floor, and absence of an entry funding package.</x:v>
      </x:c>
      <x:c r="H546" s="17" t="str">
        <x:v>Cost of Living and Funding Options</x:v>
      </x:c>
      <x:c r="I546" s="17" t="str">
        <x:v>University of Passau</x:v>
      </x:c>
      <x:c r="J546" s="17" t="str">
        <x:v>official</x:v>
      </x:c>
      <x:c r="K546" s="17" t="str">
        <x:v>2026-09-10</x:v>
      </x:c>
      <x:c r="L546" s="17" t="str">
        <x:v>Current cost guidance checked 2026-09-10</x:v>
      </x:c>
      <x:c r="M546" s="17" t="str">
        <x:v>high</x:v>
      </x:c>
      <x:c r="N546" s="17" t="str">
        <x:v>official page checked</x:v>
      </x:c>
      <x:c r="O546" s="17" t="str">
        <x:v>Semester amount cross-checked at https://www.uni-passau.de/en/costs-funding/enrolment-fee.</x:v>
      </x:c>
      <x:c r="P546" s="18" t="e">
        <x:f>HYPERLINK("https://www.uni-passau.de/en/costs-and-funding","Open source")</x:f>
        <x:v>HYPERLINK is not implemented. linkLocation=https://www.uni-passau.de/en/costs-and-funding, friendlyName=Open source</x:v>
      </x:c>
    </x:row>
    <x:row r="547" ht="46" customHeight="1">
      <x:c r="A547" s="17" t="str">
        <x:v>stage3src:afa93d45ccbe8e559cde</x:v>
      </x:c>
      <x:c r="B547" s="17" t="str">
        <x:v>program</x:v>
      </x:c>
      <x:c r="C547" s="17" t="str">
        <x:v>University of Passau</x:v>
      </x:c>
      <x:c r="D547" s="17" t="str">
        <x:v>ror:05ydjnb78:program:unclear:cross-path-catalog-review</x:v>
      </x:c>
      <x:c r="E547" s="17" t="str"/>
      <x:c r="F547" s="17" t="str">
        <x:v>discovery</x:v>
      </x:c>
      <x:c r="G547" s="17" t="str">
        <x:v>Stage 2 recorded this row as a discovery candidate; it does not independently verify an exact current research program, eligibility, or funding.</x:v>
      </x:c>
      <x:c r="H547" s="17" t="str">
        <x:v>Pass 2 Stage 2 candidate funnel</x:v>
      </x:c>
      <x:c r="I547" s="17" t="str">
        <x:v>Graduate audit pipeline</x:v>
      </x:c>
      <x:c r="J547" s="17" t="str">
        <x:v>derived</x:v>
      </x:c>
      <x:c r="K547" s="17" t="str">
        <x:v>2026-09-11</x:v>
      </x:c>
      <x:c r="L547" s="17" t="str">
        <x:v>Not cycle-specific</x:v>
      </x:c>
      <x:c r="M547" s="17" t="str">
        <x:v>low</x:v>
      </x:c>
      <x:c r="N547" s="17" t="str">
        <x:v>Discovery evidence only</x:v>
      </x:c>
      <x:c r="O547" s="17" t="str">
        <x:v>Use the source_record_paths field to trace the underlying discovery inputs.</x:v>
      </x:c>
      <x:c r="P547" s="18" t="e">
        <x:f>HYPERLINK("http://www.uni-passau.de/en/","Open source")</x:f>
        <x:v>HYPERLINK is not implemented. linkLocation=http://www.uni-passau.de/en/, friendlyName=Open source</x:v>
      </x:c>
    </x:row>
    <x:row r="548" ht="46" customHeight="1">
      <x:c r="A548" s="17" t="str">
        <x:v>stage3src:9224b79b3d0ee1dfe597</x:v>
      </x:c>
      <x:c r="B548" s="17" t="str">
        <x:v>program</x:v>
      </x:c>
      <x:c r="C548" s="17" t="str">
        <x:v>Linköping University</x:v>
      </x:c>
      <x:c r="D548" s="17" t="str">
        <x:v>ror:05ynxx418:program:thesis-or-research-master-s:computer-science-master-s-programme-120-credits</x:v>
      </x:c>
      <x:c r="E548" s="17" t="str"/>
      <x:c r="F548" s="17" t="str">
        <x:v>admissions|language|fees|deadline</x:v>
      </x:c>
      <x:c r="G548" s="17" t="str">
        <x:v>Central application, fee, ranking, documentation, and English framework.</x:v>
      </x:c>
      <x:c r="H548" s="17" t="str">
        <x:v>How to apply</x:v>
      </x:c>
      <x:c r="I548" s="17" t="str">
        <x:v>Linköping University</x:v>
      </x:c>
      <x:c r="J548" s="17" t="str">
        <x:v>official</x:v>
      </x:c>
      <x:c r="K548" s="17" t="str">
        <x:v>2026-09-10</x:v>
      </x:c>
      <x:c r="L548" s="17" t="str">
        <x:v>Autumn 2027 guidance checked 2026-09-11</x:v>
      </x:c>
      <x:c r="M548" s="17" t="str">
        <x:v>high</x:v>
      </x:c>
      <x:c r="N548" s="17" t="str">
        <x:v>official page checked</x:v>
      </x:c>
      <x:c r="O548" s="17" t="str"/>
      <x:c r="P548" s="18" t="e">
        <x:f>HYPERLINK("https://liu.se/en/education/application-and-admission/how-to-apply","Open source")</x:f>
        <x:v>HYPERLINK is not implemented. linkLocation=https://liu.se/en/education/application-and-admission/how-to-apply, friendlyName=Open source</x:v>
      </x:c>
    </x:row>
    <x:row r="549" ht="46" customHeight="1">
      <x:c r="A549" s="17" t="str">
        <x:v>stage3src:c2c4b3c20cdb67cd2d8d</x:v>
      </x:c>
      <x:c r="B549" s="17" t="str">
        <x:v>program</x:v>
      </x:c>
      <x:c r="C549" s="17" t="str">
        <x:v>Linköping University</x:v>
      </x:c>
      <x:c r="D549" s="17" t="str">
        <x:v>ror:05ynxx418:program:thesis-or-research-master-s:computer-science-master-s-programme-120-credits</x:v>
      </x:c>
      <x:c r="E549" s="17" t="str"/>
      <x:c r="F549" s="17" t="str">
        <x:v>program|research|eligibility|admissions|deadline|tuition</x:v>
      </x:c>
      <x:c r="G549" s="17" t="str">
        <x:v>Autumn 2027 program, broad computing eligibility, English delivery, 120-credit structure, deadline, and tuition.</x:v>
      </x:c>
      <x:c r="H549" s="17" t="str">
        <x:v>Computer Science, Master's Programme, 120 credits</x:v>
      </x:c>
      <x:c r="I549" s="17" t="str">
        <x:v>Linköping University</x:v>
      </x:c>
      <x:c r="J549" s="17" t="str">
        <x:v>official</x:v>
      </x:c>
      <x:c r="K549" s="17" t="str">
        <x:v>2026-09-10</x:v>
      </x:c>
      <x:c r="L549" s="17" t="str">
        <x:v>Autumn 2027 page checked 2026-09-11</x:v>
      </x:c>
      <x:c r="M549" s="17" t="str">
        <x:v>high</x:v>
      </x:c>
      <x:c r="N549" s="17" t="str">
        <x:v>official page checked</x:v>
      </x:c>
      <x:c r="O549" s="17" t="str"/>
      <x:c r="P549" s="18" t="e">
        <x:f>HYPERLINK("https://liu.se/en/education/program/6mics","Open source")</x:f>
        <x:v>HYPERLINK is not implemented. linkLocation=https://liu.se/en/education/program/6mics, friendlyName=Open source</x:v>
      </x:c>
    </x:row>
    <x:row r="550" ht="46" customHeight="1">
      <x:c r="A550" s="17" t="str">
        <x:v>stage3src:c8d83d91e6a35f9a7885</x:v>
      </x:c>
      <x:c r="B550" s="17" t="str">
        <x:v>program</x:v>
      </x:c>
      <x:c r="C550" s="17" t="str">
        <x:v>Linköping University</x:v>
      </x:c>
      <x:c r="D550" s="17" t="str">
        <x:v>ror:05ynxx418:program:thesis-or-research-master-s:computer-science-master-s-programme-120-credits</x:v>
      </x:c>
      <x:c r="E550" s="17" t="str"/>
      <x:c r="F550" s="17" t="str">
        <x:v>program|research|eligibility</x:v>
      </x:c>
      <x:c r="G550" s="17" t="str">
        <x:v>Current curriculum and 30-credit scientific thesis requirement.</x:v>
      </x:c>
      <x:c r="H550" s="17" t="str">
        <x:v>Programme syllabus 6MICS</x:v>
      </x:c>
      <x:c r="I550" s="17" t="str">
        <x:v>Linköping University</x:v>
      </x:c>
      <x:c r="J550" s="17" t="str">
        <x:v>official</x:v>
      </x:c>
      <x:c r="K550" s="17" t="str">
        <x:v>2026-09-10</x:v>
      </x:c>
      <x:c r="L550" s="17" t="str">
        <x:v>Current syllabus checked 2026-09-11</x:v>
      </x:c>
      <x:c r="M550" s="17" t="str">
        <x:v>high</x:v>
      </x:c>
      <x:c r="N550" s="17" t="str">
        <x:v>official page checked</x:v>
      </x:c>
      <x:c r="O550" s="17" t="str"/>
      <x:c r="P550" s="18" t="e">
        <x:f>HYPERLINK("https://studieinfo.liu.se/en/program/6mics/5140","Open source")</x:f>
        <x:v>HYPERLINK is not implemented. linkLocation=https://studieinfo.liu.se/en/program/6mics/5140, friendlyName=Open source</x:v>
      </x:c>
    </x:row>
    <x:row r="551" ht="46" customHeight="1">
      <x:c r="A551" s="17" t="str">
        <x:v>stage3src:d5cbe08d337e0666cb82</x:v>
      </x:c>
      <x:c r="B551" s="17" t="str">
        <x:v>program</x:v>
      </x:c>
      <x:c r="C551" s="17" t="str">
        <x:v>Linköping University</x:v>
      </x:c>
      <x:c r="D551" s="17" t="str">
        <x:v>ror:05ynxx418:program:thesis-or-research-master-s:computer-science-master-s-programme-120-credits</x:v>
      </x:c>
      <x:c r="E551" s="17" t="str"/>
      <x:c r="F551" s="17" t="str">
        <x:v>funding|tuition|fees|deadline</x:v>
      </x:c>
      <x:c r="G551" s="17" t="str">
        <x:v>Limited first-priority scholarship, normally 50 percent tuition, academic benchmark, and exclusion of living costs.</x:v>
      </x:c>
      <x:c r="H551" s="17" t="str">
        <x:v>Scholarships for international students</x:v>
      </x:c>
      <x:c r="I551" s="17" t="str">
        <x:v>Linköping University</x:v>
      </x:c>
      <x:c r="J551" s="17" t="str">
        <x:v>official</x:v>
      </x:c>
      <x:c r="K551" s="17" t="str">
        <x:v>2026-09-10</x:v>
      </x:c>
      <x:c r="L551" s="17" t="str">
        <x:v>Latest call checked 2026-09-11</x:v>
      </x:c>
      <x:c r="M551" s="17" t="str">
        <x:v>high</x:v>
      </x:c>
      <x:c r="N551" s="17" t="str">
        <x:v>official page checked</x:v>
      </x:c>
      <x:c r="O551" s="17" t="str"/>
      <x:c r="P551" s="18" t="e">
        <x:f>HYPERLINK("https://liu.se/en/article/scholarships","Open source")</x:f>
        <x:v>HYPERLINK is not implemented. linkLocation=https://liu.se/en/article/scholarships, friendlyName=Open source</x:v>
      </x:c>
    </x:row>
    <x:row r="552" ht="46" customHeight="1">
      <x:c r="A552" s="17" t="str">
        <x:v>stage3src:06d466e4e038edb2146a</x:v>
      </x:c>
      <x:c r="B552" s="17" t="str">
        <x:v>program</x:v>
      </x:c>
      <x:c r="C552" s="17" t="str">
        <x:v>Alabama A &amp; M University</x:v>
      </x:c>
      <x:c r="D552" s="17" t="str">
        <x:v>us:ipeds:100654:program:unclear:ipeds-discovery-signal-computer-and-information-sciences-general-cip-11-0101</x:v>
      </x:c>
      <x:c r="E552" s="17" t="str"/>
      <x:c r="F552" s="17" t="str">
        <x:v>discovery</x:v>
      </x:c>
      <x:c r="G552" s="17" t="str">
        <x:v>Stage 2 recorded this row as a discovery candidate; it does not independently verify an exact current research program, eligibility, or funding.</x:v>
      </x:c>
      <x:c r="H552" s="17" t="str">
        <x:v>Pass 2 Stage 2 candidate funnel</x:v>
      </x:c>
      <x:c r="I552" s="17" t="str">
        <x:v>Graduate audit pipeline</x:v>
      </x:c>
      <x:c r="J552" s="17" t="str">
        <x:v>derived</x:v>
      </x:c>
      <x:c r="K552" s="17" t="str">
        <x:v>2026-09-11</x:v>
      </x:c>
      <x:c r="L552" s="17" t="str">
        <x:v>Not cycle-specific</x:v>
      </x:c>
      <x:c r="M552" s="17" t="str">
        <x:v>low</x:v>
      </x:c>
      <x:c r="N552" s="17" t="str">
        <x:v>Discovery evidence only</x:v>
      </x:c>
      <x:c r="O552" s="17" t="str">
        <x:v>Use the source_record_paths field to trace the underlying discovery inputs.</x:v>
      </x:c>
      <x:c r="P552" s="18" t="e">
        <x:f>HYPERLINK("https://www.aamu.edu","Open source")</x:f>
        <x:v>HYPERLINK is not implemented. linkLocation=https://www.aamu.edu, friendlyName=Open source</x:v>
      </x:c>
    </x:row>
    <x:row r="553" ht="46" customHeight="1">
      <x:c r="A553" s="17" t="str">
        <x:v>stage3src:e2d6fa6b136f544aa91c</x:v>
      </x:c>
      <x:c r="B553" s="17" t="str">
        <x:v>program</x:v>
      </x:c>
      <x:c r="C553" s="17" t="str">
        <x:v>Alabama A &amp; M University</x:v>
      </x:c>
      <x:c r="D553" s="17" t="str">
        <x:v>us:ipeds:100654:program:unclear:ipeds-discovery-signal-electrical-and-electronics-engineering-cip-14-1001</x:v>
      </x:c>
      <x:c r="E553" s="17" t="str"/>
      <x:c r="F553" s="17" t="str">
        <x:v>discovery</x:v>
      </x:c>
      <x:c r="G553" s="17" t="str">
        <x:v>Stage 2 recorded this row as a discovery candidate; it does not independently verify an exact current research program, eligibility, or funding.</x:v>
      </x:c>
      <x:c r="H553" s="17" t="str">
        <x:v>Pass 2 Stage 2 candidate funnel</x:v>
      </x:c>
      <x:c r="I553" s="17" t="str">
        <x:v>Graduate audit pipeline</x:v>
      </x:c>
      <x:c r="J553" s="17" t="str">
        <x:v>derived</x:v>
      </x:c>
      <x:c r="K553" s="17" t="str">
        <x:v>2026-09-11</x:v>
      </x:c>
      <x:c r="L553" s="17" t="str">
        <x:v>Not cycle-specific</x:v>
      </x:c>
      <x:c r="M553" s="17" t="str">
        <x:v>low</x:v>
      </x:c>
      <x:c r="N553" s="17" t="str">
        <x:v>Discovery evidence only</x:v>
      </x:c>
      <x:c r="O553" s="17" t="str">
        <x:v>Use the source_record_paths field to trace the underlying discovery inputs.</x:v>
      </x:c>
      <x:c r="P553" s="18" t="e">
        <x:f>HYPERLINK("https://www.aamu.edu","Open source")</x:f>
        <x:v>HYPERLINK is not implemented. linkLocation=https://www.aamu.edu, friendlyName=Open source</x:v>
      </x:c>
    </x:row>
    <x:row r="554" ht="46" customHeight="1">
      <x:c r="A554" s="17" t="str">
        <x:v>stage3src:0c2c1d9127c9dea8af4a</x:v>
      </x:c>
      <x:c r="B554" s="17" t="str">
        <x:v>program</x:v>
      </x:c>
      <x:c r="C554" s="17" t="str">
        <x:v>University of Alabama at Birmingham</x:v>
      </x:c>
      <x:c r="D554" s="17" t="str">
        <x:v>us:ipeds:100663:program:phd:ph-d-in-computer-science</x:v>
      </x:c>
      <x:c r="E554" s="17" t="str"/>
      <x:c r="F554" s="17" t="str">
        <x:v>funding|fees</x:v>
      </x:c>
      <x:c r="G554" s="17" t="str">
        <x:v>A majority of admitted doctoral students receive RA or TA support; calendar-year RA and Blazer fellowship benefit descriptions are published without a universal guarantee.</x:v>
      </x:c>
      <x:c r="H554" s="17" t="str">
        <x:v>Financial Aid</x:v>
      </x:c>
      <x:c r="I554" s="17" t="str">
        <x:v>UAB Department of Computer Science</x:v>
      </x:c>
      <x:c r="J554" s="17" t="str">
        <x:v>official</x:v>
      </x:c>
      <x:c r="K554" s="17" t="str">
        <x:v>2026-09-11</x:v>
      </x:c>
      <x:c r="L554" s="17" t="str">
        <x:v>Current page checked 2026-09-11</x:v>
      </x:c>
      <x:c r="M554" s="17" t="str">
        <x:v>high</x:v>
      </x:c>
      <x:c r="N554" s="17" t="str">
        <x:v>official page checked</x:v>
      </x:c>
      <x:c r="O554" s="17" t="str"/>
      <x:c r="P554" s="18" t="e">
        <x:f>HYPERLINK("https://www.uab.edu/cas/computerscience/graduate-programs/financial-aid","Open source")</x:f>
        <x:v>HYPERLINK is not implemented. linkLocation=https://www.uab.edu/cas/computerscience/graduate-programs/financial-aid, friendlyName=Open source</x:v>
      </x:c>
    </x:row>
    <x:row r="555" ht="46" customHeight="1">
      <x:c r="A555" s="17" t="str">
        <x:v>stage3src:1c65897cea61f9ea6783</x:v>
      </x:c>
      <x:c r="B555" s="17" t="str">
        <x:v>program</x:v>
      </x:c>
      <x:c r="C555" s="17" t="str">
        <x:v>University of Alabama at Birmingham</x:v>
      </x:c>
      <x:c r="D555" s="17" t="str">
        <x:v>us:ipeds:100663:program:phd:ph-d-in-computer-science</x:v>
      </x:c>
      <x:c r="E555" s="17" t="str"/>
      <x:c r="F555" s="17" t="str">
        <x:v>admissions|fees|deadline</x:v>
      </x:c>
      <x:c r="G555" s="17" t="str">
        <x:v>International application checklist and USD 60 application fee.</x:v>
      </x:c>
      <x:c r="H555" s="17" t="str">
        <x:v>PhD Application Checklist</x:v>
      </x:c>
      <x:c r="I555" s="17" t="str">
        <x:v>UAB Department of Computer Science</x:v>
      </x:c>
      <x:c r="J555" s="17" t="str">
        <x:v>official</x:v>
      </x:c>
      <x:c r="K555" s="17" t="str">
        <x:v>2026-09-11</x:v>
      </x:c>
      <x:c r="L555" s="17" t="str">
        <x:v>Current page checked 2026-09-11</x:v>
      </x:c>
      <x:c r="M555" s="17" t="str">
        <x:v>high</x:v>
      </x:c>
      <x:c r="N555" s="17" t="str">
        <x:v>official page checked</x:v>
      </x:c>
      <x:c r="O555" s="17" t="str"/>
      <x:c r="P555" s="18" t="e">
        <x:f>HYPERLINK("https://www.uab.edu/cas/computerscience/graduate-programs/doctoral-program/phd-checklist","Open source")</x:f>
        <x:v>HYPERLINK is not implemented. linkLocation=https://www.uab.edu/cas/computerscience/graduate-programs/doctoral-program/phd-checklist, friendlyName=Open source</x:v>
      </x:c>
    </x:row>
    <x:row r="556" ht="46" customHeight="1">
      <x:c r="A556" s="17" t="str">
        <x:v>stage3src:5065660ed38a58088448</x:v>
      </x:c>
      <x:c r="B556" s="17" t="str">
        <x:v>program</x:v>
      </x:c>
      <x:c r="C556" s="17" t="str">
        <x:v>University of Alabama at Birmingham</x:v>
      </x:c>
      <x:c r="D556" s="17" t="str">
        <x:v>us:ipeds:100663:program:phd:ph-d-in-computer-science</x:v>
      </x:c>
      <x:c r="E556" s="17" t="str"/>
      <x:c r="F556" s="17" t="str">
        <x:v>admissions|eligibility|language|deadline</x:v>
      </x:c>
      <x:c r="G556" s="17" t="str">
        <x:v>Direct bachelor's entry, no hard GPA cutoff, typical 3.5 major GPA, prerequisites, English thresholds, no GRE, January 15 deadline, and faculty-contact guidance.</x:v>
      </x:c>
      <x:c r="H556" s="17" t="str">
        <x:v>Doctoral Admissions</x:v>
      </x:c>
      <x:c r="I556" s="17" t="str">
        <x:v>UAB Department of Computer Science</x:v>
      </x:c>
      <x:c r="J556" s="17" t="str">
        <x:v>official</x:v>
      </x:c>
      <x:c r="K556" s="17" t="str">
        <x:v>2026-09-11</x:v>
      </x:c>
      <x:c r="L556" s="17" t="str">
        <x:v>Current recurring deadline checked 2026-09-11</x:v>
      </x:c>
      <x:c r="M556" s="17" t="str">
        <x:v>high</x:v>
      </x:c>
      <x:c r="N556" s="17" t="str">
        <x:v>official page checked</x:v>
      </x:c>
      <x:c r="O556" s="17" t="str"/>
      <x:c r="P556" s="18" t="e">
        <x:f>HYPERLINK("https://www.uab.edu/cas/computerscience/graduate-programs/doctoral-program/doctoral-admissions","Open source")</x:f>
        <x:v>HYPERLINK is not implemented. linkLocation=https://www.uab.edu/cas/computerscience/graduate-programs/doctoral-program/doctoral-admissions, friendlyName=Open source</x:v>
      </x:c>
    </x:row>
    <x:row r="557" ht="46" customHeight="1">
      <x:c r="A557" s="17" t="str">
        <x:v>stage3src:be56556f4cffbe139ebc</x:v>
      </x:c>
      <x:c r="B557" s="17" t="str">
        <x:v>program</x:v>
      </x:c>
      <x:c r="C557" s="17" t="str">
        <x:v>University of Alabama at Birmingham</x:v>
      </x:c>
      <x:c r="D557" s="17" t="str">
        <x:v>us:ipeds:100663:program:phd:ph-d-in-computer-science</x:v>
      </x:c>
      <x:c r="E557" s="17" t="str"/>
      <x:c r="F557" s="17" t="str">
        <x:v>program</x:v>
      </x:c>
      <x:c r="G557" s="17" t="str">
        <x:v>Current research PhD program and dissertation route.</x:v>
      </x:c>
      <x:c r="H557" s="17" t="str">
        <x:v>Doctoral Program</x:v>
      </x:c>
      <x:c r="I557" s="17" t="str">
        <x:v>UAB Department of Computer Science</x:v>
      </x:c>
      <x:c r="J557" s="17" t="str">
        <x:v>official</x:v>
      </x:c>
      <x:c r="K557" s="17" t="str">
        <x:v>2026-09-11</x:v>
      </x:c>
      <x:c r="L557" s="17" t="str">
        <x:v>Current page checked 2026-09-11</x:v>
      </x:c>
      <x:c r="M557" s="17" t="str">
        <x:v>high</x:v>
      </x:c>
      <x:c r="N557" s="17" t="str">
        <x:v>official page checked</x:v>
      </x:c>
      <x:c r="O557" s="17" t="str"/>
      <x:c r="P557" s="18" t="e">
        <x:f>HYPERLINK("https://www.uab.edu/cas/computerscience/graduate-programs/doctoral-program","Open source")</x:f>
        <x:v>HYPERLINK is not implemented. linkLocation=https://www.uab.edu/cas/computerscience/graduate-programs/doctoral-program, friendlyName=Open source</x:v>
      </x:c>
    </x:row>
    <x:row r="558" ht="46" customHeight="1">
      <x:c r="A558" s="17" t="str">
        <x:v>stage3src:75c82f6a2df81726a297</x:v>
      </x:c>
      <x:c r="B558" s="17" t="str">
        <x:v>program</x:v>
      </x:c>
      <x:c r="C558" s="17" t="str">
        <x:v>University of Alabama at Birmingham</x:v>
      </x:c>
      <x:c r="D558" s="17" t="str">
        <x:v>us:ipeds:100663:program:unclear:ipeds-discovery-signal-computer-and-information-sciences-general-cip-11-0101</x:v>
      </x:c>
      <x:c r="E558" s="17" t="str"/>
      <x:c r="F558" s="17" t="str">
        <x:v>discovery</x:v>
      </x:c>
      <x:c r="G558" s="17" t="str">
        <x:v>Stage 2 recorded this row as a discovery candidate; it does not independently verify an exact current research program, eligibility, or funding.</x:v>
      </x:c>
      <x:c r="H558" s="17" t="str">
        <x:v>Pass 2 Stage 2 candidate funnel</x:v>
      </x:c>
      <x:c r="I558" s="17" t="str">
        <x:v>Graduate audit pipeline</x:v>
      </x:c>
      <x:c r="J558" s="17" t="str">
        <x:v>derived</x:v>
      </x:c>
      <x:c r="K558" s="17" t="str">
        <x:v>2026-09-11</x:v>
      </x:c>
      <x:c r="L558" s="17" t="str">
        <x:v>Not cycle-specific</x:v>
      </x:c>
      <x:c r="M558" s="17" t="str">
        <x:v>low</x:v>
      </x:c>
      <x:c r="N558" s="17" t="str">
        <x:v>Discovery evidence only</x:v>
      </x:c>
      <x:c r="O558" s="17" t="str">
        <x:v>Use the source_record_paths field to trace the underlying discovery inputs.</x:v>
      </x:c>
      <x:c r="P558" s="18" t="e">
        <x:f>HYPERLINK("https://www.uab.edu","Open source")</x:f>
        <x:v>HYPERLINK is not implemented. linkLocation=https://www.uab.edu, friendlyName=Open source</x:v>
      </x:c>
    </x:row>
    <x:row r="559" ht="46" customHeight="1">
      <x:c r="A559" s="17" t="str">
        <x:v>stage3src:c90655ed2a7ea832e6ea</x:v>
      </x:c>
      <x:c r="B559" s="17" t="str">
        <x:v>program</x:v>
      </x:c>
      <x:c r="C559" s="17" t="str">
        <x:v>University of Alabama at Birmingham</x:v>
      </x:c>
      <x:c r="D559" s="17" t="str">
        <x:v>us:ipeds:100663:program:unclear:ipeds-discovery-signal-computer-and-information-systems-security-auditing-information-assurance-cip-11-1003</x:v>
      </x:c>
      <x:c r="E559" s="17" t="str"/>
      <x:c r="F559" s="17" t="str">
        <x:v>discovery</x:v>
      </x:c>
      <x:c r="G559" s="17" t="str">
        <x:v>Stage 2 recorded this row as a discovery candidate; it does not independently verify an exact current research program, eligibility, or funding.</x:v>
      </x:c>
      <x:c r="H559" s="17" t="str">
        <x:v>Pass 2 Stage 2 candidate funnel</x:v>
      </x:c>
      <x:c r="I559" s="17" t="str">
        <x:v>Graduate audit pipeline</x:v>
      </x:c>
      <x:c r="J559" s="17" t="str">
        <x:v>derived</x:v>
      </x:c>
      <x:c r="K559" s="17" t="str">
        <x:v>2026-09-11</x:v>
      </x:c>
      <x:c r="L559" s="17" t="str">
        <x:v>Not cycle-specific</x:v>
      </x:c>
      <x:c r="M559" s="17" t="str">
        <x:v>low</x:v>
      </x:c>
      <x:c r="N559" s="17" t="str">
        <x:v>Discovery evidence only</x:v>
      </x:c>
      <x:c r="O559" s="17" t="str">
        <x:v>Use the source_record_paths field to trace the underlying discovery inputs.</x:v>
      </x:c>
      <x:c r="P559" s="18" t="e">
        <x:f>HYPERLINK("https://www.uab.edu","Open source")</x:f>
        <x:v>HYPERLINK is not implemented. linkLocation=https://www.uab.edu, friendlyName=Open source</x:v>
      </x:c>
    </x:row>
    <x:row r="560" ht="46" customHeight="1">
      <x:c r="A560" s="17" t="str">
        <x:v>stage3src:37b32007e3cf666ed1cc</x:v>
      </x:c>
      <x:c r="B560" s="17" t="str">
        <x:v>program</x:v>
      </x:c>
      <x:c r="C560" s="17" t="str">
        <x:v>University of Alabama at Birmingham</x:v>
      </x:c>
      <x:c r="D560" s="17" t="str">
        <x:v>us:ipeds:100663:program:unclear:ipeds-discovery-signal-computer-engineering-general-cip-14-0901</x:v>
      </x:c>
      <x:c r="E560" s="17" t="str"/>
      <x:c r="F560" s="17" t="str">
        <x:v>discovery</x:v>
      </x:c>
      <x:c r="G560" s="17" t="str">
        <x:v>Stage 2 recorded this row as a discovery candidate; it does not independently verify an exact current research program, eligibility, or funding.</x:v>
      </x:c>
      <x:c r="H560" s="17" t="str">
        <x:v>Pass 2 Stage 2 candidate funnel</x:v>
      </x:c>
      <x:c r="I560" s="17" t="str">
        <x:v>Graduate audit pipeline</x:v>
      </x:c>
      <x:c r="J560" s="17" t="str">
        <x:v>derived</x:v>
      </x:c>
      <x:c r="K560" s="17" t="str">
        <x:v>2026-09-11</x:v>
      </x:c>
      <x:c r="L560" s="17" t="str">
        <x:v>Not cycle-specific</x:v>
      </x:c>
      <x:c r="M560" s="17" t="str">
        <x:v>low</x:v>
      </x:c>
      <x:c r="N560" s="17" t="str">
        <x:v>Discovery evidence only</x:v>
      </x:c>
      <x:c r="O560" s="17" t="str">
        <x:v>Use the source_record_paths field to trace the underlying discovery inputs.</x:v>
      </x:c>
      <x:c r="P560" s="18" t="e">
        <x:f>HYPERLINK("https://www.uab.edu","Open source")</x:f>
        <x:v>HYPERLINK is not implemented. linkLocation=https://www.uab.edu, friendlyName=Open source</x:v>
      </x:c>
    </x:row>
    <x:row r="561" ht="46" customHeight="1">
      <x:c r="A561" s="17" t="str">
        <x:v>stage3src:419ab5519c9f3555e6df</x:v>
      </x:c>
      <x:c r="B561" s="17" t="str">
        <x:v>program</x:v>
      </x:c>
      <x:c r="C561" s="17" t="str">
        <x:v>University of Alabama at Birmingham</x:v>
      </x:c>
      <x:c r="D561" s="17" t="str">
        <x:v>us:ipeds:100663:program:unclear:ipeds-discovery-signal-information-science-studies-cip-11-0401</x:v>
      </x:c>
      <x:c r="E561" s="17" t="str"/>
      <x:c r="F561" s="17" t="str">
        <x:v>discovery</x:v>
      </x:c>
      <x:c r="G561" s="17" t="str">
        <x:v>Stage 2 recorded this row as a discovery candidate; it does not independently verify an exact current research program, eligibility, or funding.</x:v>
      </x:c>
      <x:c r="H561" s="17" t="str">
        <x:v>Pass 2 Stage 2 candidate funnel</x:v>
      </x:c>
      <x:c r="I561" s="17" t="str">
        <x:v>Graduate audit pipeline</x:v>
      </x:c>
      <x:c r="J561" s="17" t="str">
        <x:v>derived</x:v>
      </x:c>
      <x:c r="K561" s="17" t="str">
        <x:v>2026-09-11</x:v>
      </x:c>
      <x:c r="L561" s="17" t="str">
        <x:v>Not cycle-specific</x:v>
      </x:c>
      <x:c r="M561" s="17" t="str">
        <x:v>low</x:v>
      </x:c>
      <x:c r="N561" s="17" t="str">
        <x:v>Discovery evidence only</x:v>
      </x:c>
      <x:c r="O561" s="17" t="str">
        <x:v>Use the source_record_paths field to trace the underlying discovery inputs.</x:v>
      </x:c>
      <x:c r="P561" s="18" t="e">
        <x:f>HYPERLINK("https://www.uab.edu","Open source")</x:f>
        <x:v>HYPERLINK is not implemented. linkLocation=https://www.uab.edu, friendlyName=Open source</x:v>
      </x:c>
    </x:row>
    <x:row r="562" ht="46" customHeight="1">
      <x:c r="A562" s="17" t="str">
        <x:v>stage3src:48c30ed682c2e76f356f</x:v>
      </x:c>
      <x:c r="B562" s="17" t="str">
        <x:v>program</x:v>
      </x:c>
      <x:c r="C562" s="17" t="str">
        <x:v>University of Alabama in Huntsville</x:v>
      </x:c>
      <x:c r="D562" s="17" t="str">
        <x:v>us:ipeds:100706:program:phd:computer-science-ph-d</x:v>
      </x:c>
      <x:c r="E562" s="17" t="str"/>
      <x:c r="F562" s="17" t="str">
        <x:v>program|research|eligibility|admissions|funding</x:v>
      </x:c>
      <x:c r="G562" s="17" t="str">
        <x:v>Current Computer Science PhD, departmental review and prerequisites, research-interest materials, GTA doctoral restriction, and faculty-level GRA mechanism.</x:v>
      </x:c>
      <x:c r="H562" s="17" t="str">
        <x:v>Computer Science Graduate Programs</x:v>
      </x:c>
      <x:c r="I562" s="17" t="str">
        <x:v>University of Alabama in Huntsville Department of Computer Science</x:v>
      </x:c>
      <x:c r="J562" s="17" t="str">
        <x:v>official</x:v>
      </x:c>
      <x:c r="K562" s="17" t="str">
        <x:v>2026-09-11</x:v>
      </x:c>
      <x:c r="L562" s="17" t="str">
        <x:v>Current page checked 2026-09-11</x:v>
      </x:c>
      <x:c r="M562" s="17" t="str">
        <x:v>high</x:v>
      </x:c>
      <x:c r="N562" s="17" t="str">
        <x:v>official page checked</x:v>
      </x:c>
      <x:c r="O562" s="17" t="str"/>
      <x:c r="P562" s="18" t="e">
        <x:f>HYPERLINK("https://www.uah.edu/science/departments/computer-science/cs-graduate-programs","Open source")</x:f>
        <x:v>HYPERLINK is not implemented. linkLocation=https://www.uah.edu/science/departments/computer-science/cs-graduate-programs, friendlyName=Open source</x:v>
      </x:c>
    </x:row>
    <x:row r="563" ht="46" customHeight="1">
      <x:c r="A563" s="17" t="str">
        <x:v>stage3src:86e42615b8a07d37af19</x:v>
      </x:c>
      <x:c r="B563" s="17" t="str">
        <x:v>program</x:v>
      </x:c>
      <x:c r="C563" s="17" t="str">
        <x:v>University of Alabama in Huntsville</x:v>
      </x:c>
      <x:c r="D563" s="17" t="str">
        <x:v>us:ipeds:100706:program:phd:computer-science-ph-d</x:v>
      </x:c>
      <x:c r="E563" s="17" t="str"/>
      <x:c r="F563" s="17" t="str">
        <x:v>admissions|eligibility|deadline|fees</x:v>
      </x:c>
      <x:c r="G563" s="17" t="str">
        <x:v>General bachelor's-equivalent and 3.0 unconditional standard, USD 60 fee, one-program-at-a-time rule, waiver categories, and latest published deadlines.</x:v>
      </x:c>
      <x:c r="H563" s="17" t="str">
        <x:v>Apply for Graduate Admission</x:v>
      </x:c>
      <x:c r="I563" s="17" t="str">
        <x:v>University of Alabama in Huntsville</x:v>
      </x:c>
      <x:c r="J563" s="17" t="str">
        <x:v>official</x:v>
      </x:c>
      <x:c r="K563" s="17" t="str">
        <x:v>2026-09-11</x:v>
      </x:c>
      <x:c r="L563" s="17" t="str">
        <x:v>Fall 2026 and Spring 2027 dates checked 2026-09-11</x:v>
      </x:c>
      <x:c r="M563" s="17" t="str">
        <x:v>high</x:v>
      </x:c>
      <x:c r="N563" s="17" t="str">
        <x:v>official page checked</x:v>
      </x:c>
      <x:c r="O563" s="17" t="str"/>
      <x:c r="P563" s="18" t="e">
        <x:f>HYPERLINK("https://www.uah.edu/admissions/graduate/apply-for-admission","Open source")</x:f>
        <x:v>HYPERLINK is not implemented. linkLocation=https://www.uah.edu/admissions/graduate/apply-for-admission, friendlyName=Open source</x:v>
      </x:c>
    </x:row>
    <x:row r="564" ht="46" customHeight="1">
      <x:c r="A564" s="17" t="str">
        <x:v>stage3src:e68d5e2600ca0cca391e</x:v>
      </x:c>
      <x:c r="B564" s="17" t="str">
        <x:v>program</x:v>
      </x:c>
      <x:c r="C564" s="17" t="str">
        <x:v>University of Alabama in Huntsville</x:v>
      </x:c>
      <x:c r="D564" s="17" t="str">
        <x:v>us:ipeds:100706:program:phd:computer-science-ph-d</x:v>
      </x:c>
      <x:c r="E564" s="17" t="str"/>
      <x:c r="F564" s="17" t="str">
        <x:v>funding|tuition|fees</x:v>
      </x:c>
      <x:c r="G564" s="17" t="str">
        <x:v>Competitive GTA/GRA routes, appointment limits, tuition-and-fee support language, stipend ranges, and absence of a universal award.</x:v>
      </x:c>
      <x:c r="H564" s="17" t="str">
        <x:v>Graduate Assistantships</x:v>
      </x:c>
      <x:c r="I564" s="17" t="str">
        <x:v>University of Alabama in Huntsville</x:v>
      </x:c>
      <x:c r="J564" s="17" t="str">
        <x:v>official</x:v>
      </x:c>
      <x:c r="K564" s="17" t="str">
        <x:v>2026-09-11</x:v>
      </x:c>
      <x:c r="L564" s="17" t="str">
        <x:v>Current page checked 2026-09-11</x:v>
      </x:c>
      <x:c r="M564" s="17" t="str">
        <x:v>high</x:v>
      </x:c>
      <x:c r="N564" s="17" t="str">
        <x:v>official page checked</x:v>
      </x:c>
      <x:c r="O564" s="17" t="str"/>
      <x:c r="P564" s="18" t="e">
        <x:f>HYPERLINK("https://www.uah.edu/admissions/graduate/financial-aid/assistantships","Open source")</x:f>
        <x:v>HYPERLINK is not implemented. linkLocation=https://www.uah.edu/admissions/graduate/financial-aid/assistantships, friendlyName=Open source</x:v>
      </x:c>
    </x:row>
    <x:row r="565" ht="46" customHeight="1">
      <x:c r="A565" s="17" t="str">
        <x:v>stage3src:c8eef2b20d52d7c3e54a</x:v>
      </x:c>
      <x:c r="B565" s="17" t="str">
        <x:v>program</x:v>
      </x:c>
      <x:c r="C565" s="17" t="str">
        <x:v>University of Alabama in Huntsville</x:v>
      </x:c>
      <x:c r="D565" s="17" t="str">
        <x:v>us:ipeds:100706:program:unclear:ipeds-discovery-signal-computer-and-information-sciences-general-cip-11-0101</x:v>
      </x:c>
      <x:c r="E565" s="17" t="str"/>
      <x:c r="F565" s="17" t="str">
        <x:v>discovery</x:v>
      </x:c>
      <x:c r="G565" s="17" t="str">
        <x:v>Stage 2 recorded this row as a discovery candidate; it does not independently verify an exact current research program, eligibility, or funding.</x:v>
      </x:c>
      <x:c r="H565" s="17" t="str">
        <x:v>Pass 2 Stage 2 candidate funnel</x:v>
      </x:c>
      <x:c r="I565" s="17" t="str">
        <x:v>Graduate audit pipeline</x:v>
      </x:c>
      <x:c r="J565" s="17" t="str">
        <x:v>derived</x:v>
      </x:c>
      <x:c r="K565" s="17" t="str">
        <x:v>2026-09-11</x:v>
      </x:c>
      <x:c r="L565" s="17" t="str">
        <x:v>Not cycle-specific</x:v>
      </x:c>
      <x:c r="M565" s="17" t="str">
        <x:v>low</x:v>
      </x:c>
      <x:c r="N565" s="17" t="str">
        <x:v>Discovery evidence only</x:v>
      </x:c>
      <x:c r="O565" s="17" t="str">
        <x:v>Use the source_record_paths field to trace the underlying discovery inputs.</x:v>
      </x:c>
      <x:c r="P565" s="18" t="e">
        <x:f>HYPERLINK("https://www.uah.edu","Open source")</x:f>
        <x:v>HYPERLINK is not implemented. linkLocation=https://www.uah.edu, friendlyName=Open source</x:v>
      </x:c>
    </x:row>
    <x:row r="566" ht="46" customHeight="1">
      <x:c r="A566" s="17" t="str">
        <x:v>stage3src:fd4605b8f5037514bffd</x:v>
      </x:c>
      <x:c r="B566" s="17" t="str">
        <x:v>program</x:v>
      </x:c>
      <x:c r="C566" s="17" t="str">
        <x:v>University of Alabama in Huntsville</x:v>
      </x:c>
      <x:c r="D566" s="17" t="str">
        <x:v>us:ipeds:100706:program:unclear:ipeds-discovery-signal-computer-and-information-systems-security-auditing-information-assurance-cip-11-1003</x:v>
      </x:c>
      <x:c r="E566" s="17" t="str"/>
      <x:c r="F566" s="17" t="str">
        <x:v>discovery</x:v>
      </x:c>
      <x:c r="G566" s="17" t="str">
        <x:v>Stage 2 recorded this row as a discovery candidate; it does not independently verify an exact current research program, eligibility, or funding.</x:v>
      </x:c>
      <x:c r="H566" s="17" t="str">
        <x:v>Pass 2 Stage 2 candidate funnel</x:v>
      </x:c>
      <x:c r="I566" s="17" t="str">
        <x:v>Graduate audit pipeline</x:v>
      </x:c>
      <x:c r="J566" s="17" t="str">
        <x:v>derived</x:v>
      </x:c>
      <x:c r="K566" s="17" t="str">
        <x:v>2026-09-11</x:v>
      </x:c>
      <x:c r="L566" s="17" t="str">
        <x:v>Not cycle-specific</x:v>
      </x:c>
      <x:c r="M566" s="17" t="str">
        <x:v>low</x:v>
      </x:c>
      <x:c r="N566" s="17" t="str">
        <x:v>Discovery evidence only</x:v>
      </x:c>
      <x:c r="O566" s="17" t="str">
        <x:v>Use the source_record_paths field to trace the underlying discovery inputs.</x:v>
      </x:c>
      <x:c r="P566" s="18" t="e">
        <x:f>HYPERLINK("https://www.uah.edu","Open source")</x:f>
        <x:v>HYPERLINK is not implemented. linkLocation=https://www.uah.edu, friendlyName=Open source</x:v>
      </x:c>
    </x:row>
    <x:row r="567" ht="46" customHeight="1">
      <x:c r="A567" s="17" t="str">
        <x:v>stage3src:b4c70ea524b23e6650e3</x:v>
      </x:c>
      <x:c r="B567" s="17" t="str">
        <x:v>program</x:v>
      </x:c>
      <x:c r="C567" s="17" t="str">
        <x:v>University of Alabama in Huntsville</x:v>
      </x:c>
      <x:c r="D567" s="17" t="str">
        <x:v>us:ipeds:100706:program:unclear:ipeds-discovery-signal-computer-engineering-general-cip-14-0901</x:v>
      </x:c>
      <x:c r="E567" s="17" t="str"/>
      <x:c r="F567" s="17" t="str">
        <x:v>discovery</x:v>
      </x:c>
      <x:c r="G567" s="17" t="str">
        <x:v>Stage 2 recorded this row as a discovery candidate; it does not independently verify an exact current research program, eligibility, or funding.</x:v>
      </x:c>
      <x:c r="H567" s="17" t="str">
        <x:v>Pass 2 Stage 2 candidate funnel</x:v>
      </x:c>
      <x:c r="I567" s="17" t="str">
        <x:v>Graduate audit pipeline</x:v>
      </x:c>
      <x:c r="J567" s="17" t="str">
        <x:v>derived</x:v>
      </x:c>
      <x:c r="K567" s="17" t="str">
        <x:v>2026-09-11</x:v>
      </x:c>
      <x:c r="L567" s="17" t="str">
        <x:v>Not cycle-specific</x:v>
      </x:c>
      <x:c r="M567" s="17" t="str">
        <x:v>low</x:v>
      </x:c>
      <x:c r="N567" s="17" t="str">
        <x:v>Discovery evidence only</x:v>
      </x:c>
      <x:c r="O567" s="17" t="str">
        <x:v>Use the source_record_paths field to trace the underlying discovery inputs.</x:v>
      </x:c>
      <x:c r="P567" s="18" t="e">
        <x:f>HYPERLINK("https://www.uah.edu","Open source")</x:f>
        <x:v>HYPERLINK is not implemented. linkLocation=https://www.uah.edu, friendlyName=Open source</x:v>
      </x:c>
    </x:row>
    <x:row r="568" ht="46" customHeight="1">
      <x:c r="A568" s="17" t="str">
        <x:v>stage3src:7b0690b59ae1c09df85b</x:v>
      </x:c>
      <x:c r="B568" s="17" t="str">
        <x:v>program</x:v>
      </x:c>
      <x:c r="C568" s="17" t="str">
        <x:v>University of Alabama in Huntsville</x:v>
      </x:c>
      <x:c r="D568" s="17" t="str">
        <x:v>us:ipeds:100706:program:unclear:ipeds-discovery-signal-computer-science-cip-11-0701</x:v>
      </x:c>
      <x:c r="E568" s="17" t="str"/>
      <x:c r="F568" s="17" t="str">
        <x:v>discovery</x:v>
      </x:c>
      <x:c r="G568" s="17" t="str">
        <x:v>Stage 2 recorded this row as a discovery candidate; it does not independently verify an exact current research program, eligibility, or funding.</x:v>
      </x:c>
      <x:c r="H568" s="17" t="str">
        <x:v>Pass 2 Stage 2 candidate funnel</x:v>
      </x:c>
      <x:c r="I568" s="17" t="str">
        <x:v>Graduate audit pipeline</x:v>
      </x:c>
      <x:c r="J568" s="17" t="str">
        <x:v>derived</x:v>
      </x:c>
      <x:c r="K568" s="17" t="str">
        <x:v>2026-09-11</x:v>
      </x:c>
      <x:c r="L568" s="17" t="str">
        <x:v>Not cycle-specific</x:v>
      </x:c>
      <x:c r="M568" s="17" t="str">
        <x:v>low</x:v>
      </x:c>
      <x:c r="N568" s="17" t="str">
        <x:v>Discovery evidence only</x:v>
      </x:c>
      <x:c r="O568" s="17" t="str">
        <x:v>Use the source_record_paths field to trace the underlying discovery inputs.</x:v>
      </x:c>
      <x:c r="P568" s="18" t="e">
        <x:f>HYPERLINK("https://www.uah.edu","Open source")</x:f>
        <x:v>HYPERLINK is not implemented. linkLocation=https://www.uah.edu, friendlyName=Open source</x:v>
      </x:c>
    </x:row>
    <x:row r="569" ht="46" customHeight="1">
      <x:c r="A569" s="17" t="str">
        <x:v>stage3src:a78bb38e16f57c32f43f</x:v>
      </x:c>
      <x:c r="B569" s="17" t="str">
        <x:v>program</x:v>
      </x:c>
      <x:c r="C569" s="17" t="str">
        <x:v>University of Alabama in Huntsville</x:v>
      </x:c>
      <x:c r="D569" s="17" t="str">
        <x:v>us:ipeds:100706:program:unclear:ipeds-discovery-signal-electrical-and-electronics-engineering-cip-14-1001</x:v>
      </x:c>
      <x:c r="E569" s="17" t="str"/>
      <x:c r="F569" s="17" t="str">
        <x:v>discovery</x:v>
      </x:c>
      <x:c r="G569" s="17" t="str">
        <x:v>Stage 2 recorded this row as a discovery candidate; it does not independently verify an exact current research program, eligibility, or funding.</x:v>
      </x:c>
      <x:c r="H569" s="17" t="str">
        <x:v>Pass 2 Stage 2 candidate funnel</x:v>
      </x:c>
      <x:c r="I569" s="17" t="str">
        <x:v>Graduate audit pipeline</x:v>
      </x:c>
      <x:c r="J569" s="17" t="str">
        <x:v>derived</x:v>
      </x:c>
      <x:c r="K569" s="17" t="str">
        <x:v>2026-09-11</x:v>
      </x:c>
      <x:c r="L569" s="17" t="str">
        <x:v>Not cycle-specific</x:v>
      </x:c>
      <x:c r="M569" s="17" t="str">
        <x:v>low</x:v>
      </x:c>
      <x:c r="N569" s="17" t="str">
        <x:v>Discovery evidence only</x:v>
      </x:c>
      <x:c r="O569" s="17" t="str">
        <x:v>Use the source_record_paths field to trace the underlying discovery inputs.</x:v>
      </x:c>
      <x:c r="P569" s="18" t="e">
        <x:f>HYPERLINK("https://www.uah.edu","Open source")</x:f>
        <x:v>HYPERLINK is not implemented. linkLocation=https://www.uah.edu, friendlyName=Open source</x:v>
      </x:c>
    </x:row>
    <x:row r="570" ht="46" customHeight="1">
      <x:c r="A570" s="17" t="str">
        <x:v>stage3src:57416e3c42e4155a9a8e</x:v>
      </x:c>
      <x:c r="B570" s="17" t="str">
        <x:v>program</x:v>
      </x:c>
      <x:c r="C570" s="17" t="str">
        <x:v>The University of Alabama</x:v>
      </x:c>
      <x:c r="D570" s="17" t="str">
        <x:v>us:ipeds:100751:program:phd:ph-d-in-computer-science</x:v>
      </x:c>
      <x:c r="E570" s="17" t="str"/>
      <x:c r="F570" s="17" t="str">
        <x:v>admissions|deadline|funding|tuition</x:v>
      </x:c>
      <x:c r="G570" s="17" t="str">
        <x:v>February 28 department timing, automatic assistantship consideration, competitive half-time GTA/GRA route, academic-year full tuition, and performance conditions.</x:v>
      </x:c>
      <x:c r="H570" s="17" t="str">
        <x:v>Graduate Admissions</x:v>
      </x:c>
      <x:c r="I570" s="17" t="str">
        <x:v>The University of Alabama Department of Computer Science</x:v>
      </x:c>
      <x:c r="J570" s="17" t="str">
        <x:v>official</x:v>
      </x:c>
      <x:c r="K570" s="17" t="str">
        <x:v>2026-09-10</x:v>
      </x:c>
      <x:c r="L570" s="17" t="str">
        <x:v>Current guidance checked 2026-09-10</x:v>
      </x:c>
      <x:c r="M570" s="17" t="str">
        <x:v>high</x:v>
      </x:c>
      <x:c r="N570" s="17" t="str">
        <x:v>official page checked</x:v>
      </x:c>
      <x:c r="O570" s="17" t="str"/>
      <x:c r="P570" s="18" t="e">
        <x:f>HYPERLINK("https://cs.ua.edu/admissions/","Open source")</x:f>
        <x:v>HYPERLINK is not implemented. linkLocation=https://cs.ua.edu/admissions/, friendlyName=Open source</x:v>
      </x:c>
    </x:row>
    <x:row r="571" ht="46" customHeight="1">
      <x:c r="A571" s="17" t="str">
        <x:v>stage3src:9c07455ac4e5e904a5d4</x:v>
      </x:c>
      <x:c r="B571" s="17" t="str">
        <x:v>program</x:v>
      </x:c>
      <x:c r="C571" s="17" t="str">
        <x:v>The University of Alabama</x:v>
      </x:c>
      <x:c r="D571" s="17" t="str">
        <x:v>us:ipeds:100751:program:phd:ph-d-in-computer-science</x:v>
      </x:c>
      <x:c r="E571" s="17" t="str"/>
      <x:c r="F571" s="17" t="str">
        <x:v>admissions|eligibility|fees|funding|tuition</x:v>
      </x:c>
      <x:c r="G571" s="17" t="str">
        <x:v>USD 80 international fee per submission, maximum two active degree-program applications, waiver categories, and assistantship tuition, health, fee, and summer boundaries.</x:v>
      </x:c>
      <x:c r="H571" s="17" t="str">
        <x:v>Admission Requirements and Materials; Assistantship FAQs</x:v>
      </x:c>
      <x:c r="I571" s="17" t="str">
        <x:v>The University of Alabama Graduate School</x:v>
      </x:c>
      <x:c r="J571" s="17" t="str">
        <x:v>official</x:v>
      </x:c>
      <x:c r="K571" s="17" t="str">
        <x:v>2026-09-10</x:v>
      </x:c>
      <x:c r="L571" s="17" t="str">
        <x:v>Current guidance checked 2026-09-10</x:v>
      </x:c>
      <x:c r="M571" s="17" t="str">
        <x:v>high</x:v>
      </x:c>
      <x:c r="N571" s="17" t="str">
        <x:v>official page checked</x:v>
      </x:c>
      <x:c r="O571" s="17" t="str">
        <x:v>Assistantship coverage cross-checked against https://graduate.ua.edu/students/assistantship-faq/.</x:v>
      </x:c>
      <x:c r="P571" s="18" t="e">
        <x:f>HYPERLINK("https://graduate.ua.edu/applicants/requirements/","Open source")</x:f>
        <x:v>HYPERLINK is not implemented. linkLocation=https://graduate.ua.edu/applicants/requirements/, friendlyName=Open source</x:v>
      </x:c>
    </x:row>
    <x:row r="572" ht="46" customHeight="1">
      <x:c r="A572" s="17" t="str">
        <x:v>stage3src:df6be79bb92f2cca2dbb</x:v>
      </x:c>
      <x:c r="B572" s="17" t="str">
        <x:v>program</x:v>
      </x:c>
      <x:c r="C572" s="17" t="str">
        <x:v>The University of Alabama</x:v>
      </x:c>
      <x:c r="D572" s="17" t="str">
        <x:v>us:ipeds:100751:program:phd:ph-d-in-computer-science</x:v>
      </x:c>
      <x:c r="E572" s="17" t="str"/>
      <x:c r="F572" s="17" t="str">
        <x:v>program|admissions|eligibility</x:v>
      </x:c>
      <x:c r="G572" s="17" t="str">
        <x:v>Current Computer Science PhD, 3.5 GPA requirement, programming and core-CS preparation, faculty-interest expectation, and dissertation structure.</x:v>
      </x:c>
      <x:c r="H572" s="17" t="str">
        <x:v>Computer Science, Ph.D.</x:v>
      </x:c>
      <x:c r="I572" s="17" t="str">
        <x:v>The University of Alabama Graduate Catalog</x:v>
      </x:c>
      <x:c r="J572" s="17" t="str">
        <x:v>official</x:v>
      </x:c>
      <x:c r="K572" s="17" t="str">
        <x:v>2026-09-10</x:v>
      </x:c>
      <x:c r="L572" s="17" t="str">
        <x:v>Current catalog checked 2026-09-10</x:v>
      </x:c>
      <x:c r="M572" s="17" t="str">
        <x:v>high</x:v>
      </x:c>
      <x:c r="N572" s="17" t="str">
        <x:v>official page checked</x:v>
      </x:c>
      <x:c r="O572" s="17" t="str"/>
      <x:c r="P572" s="18" t="e">
        <x:f>HYPERLINK("https://catalog.ua.edu/graduate/engineering/computer-science/phd/","Open source")</x:f>
        <x:v>HYPERLINK is not implemented. linkLocation=https://catalog.ua.edu/graduate/engineering/computer-science/phd/, friendlyName=Open source</x:v>
      </x:c>
    </x:row>
    <x:row r="573" ht="46" customHeight="1">
      <x:c r="A573" s="17" t="str">
        <x:v>stage3src:9fc3fbb5d12c813b5f79</x:v>
      </x:c>
      <x:c r="B573" s="17" t="str">
        <x:v>program</x:v>
      </x:c>
      <x:c r="C573" s="17" t="str">
        <x:v>The University of Alabama</x:v>
      </x:c>
      <x:c r="D573" s="17" t="str">
        <x:v>us:ipeds:100751:program:unclear:ipeds-discovery-signal-computer-and-information-sciences-general-cip-11-0101</x:v>
      </x:c>
      <x:c r="E573" s="17" t="str"/>
      <x:c r="F573" s="17" t="str">
        <x:v>discovery</x:v>
      </x:c>
      <x:c r="G573" s="17" t="str">
        <x:v>Stage 2 recorded this row as a discovery candidate; it does not independently verify an exact current research program, eligibility, or funding.</x:v>
      </x:c>
      <x:c r="H573" s="17" t="str">
        <x:v>Pass 2 Stage 2 candidate funnel</x:v>
      </x:c>
      <x:c r="I573" s="17" t="str">
        <x:v>Graduate audit pipeline</x:v>
      </x:c>
      <x:c r="J573" s="17" t="str">
        <x:v>derived</x:v>
      </x:c>
      <x:c r="K573" s="17" t="str">
        <x:v>2026-09-11</x:v>
      </x:c>
      <x:c r="L573" s="17" t="str">
        <x:v>Not cycle-specific</x:v>
      </x:c>
      <x:c r="M573" s="17" t="str">
        <x:v>low</x:v>
      </x:c>
      <x:c r="N573" s="17" t="str">
        <x:v>Discovery evidence only</x:v>
      </x:c>
      <x:c r="O573" s="17" t="str">
        <x:v>Use the source_record_paths field to trace the underlying discovery inputs.</x:v>
      </x:c>
      <x:c r="P573" s="18" t="e">
        <x:f>HYPERLINK("https://www.ua.edu","Open source")</x:f>
        <x:v>HYPERLINK is not implemented. linkLocation=https://www.ua.edu, friendlyName=Open source</x:v>
      </x:c>
    </x:row>
    <x:row r="574" ht="46" customHeight="1">
      <x:c r="A574" s="17" t="str">
        <x:v>stage3src:f28998d917cee3cf5428</x:v>
      </x:c>
      <x:c r="B574" s="17" t="str">
        <x:v>program</x:v>
      </x:c>
      <x:c r="C574" s="17" t="str">
        <x:v>The University of Alabama</x:v>
      </x:c>
      <x:c r="D574" s="17" t="str">
        <x:v>us:ipeds:100751:program:unclear:ipeds-discovery-signal-electrical-and-electronics-engineering-cip-14-1001</x:v>
      </x:c>
      <x:c r="E574" s="17" t="str"/>
      <x:c r="F574" s="17" t="str">
        <x:v>discovery</x:v>
      </x:c>
      <x:c r="G574" s="17" t="str">
        <x:v>Stage 2 recorded this row as a discovery candidate; it does not independently verify an exact current research program, eligibility, or funding.</x:v>
      </x:c>
      <x:c r="H574" s="17" t="str">
        <x:v>Pass 2 Stage 2 candidate funnel</x:v>
      </x:c>
      <x:c r="I574" s="17" t="str">
        <x:v>Graduate audit pipeline</x:v>
      </x:c>
      <x:c r="J574" s="17" t="str">
        <x:v>derived</x:v>
      </x:c>
      <x:c r="K574" s="17" t="str">
        <x:v>2026-09-11</x:v>
      </x:c>
      <x:c r="L574" s="17" t="str">
        <x:v>Not cycle-specific</x:v>
      </x:c>
      <x:c r="M574" s="17" t="str">
        <x:v>low</x:v>
      </x:c>
      <x:c r="N574" s="17" t="str">
        <x:v>Discovery evidence only</x:v>
      </x:c>
      <x:c r="O574" s="17" t="str">
        <x:v>Use the source_record_paths field to trace the underlying discovery inputs.</x:v>
      </x:c>
      <x:c r="P574" s="18" t="e">
        <x:f>HYPERLINK("https://www.ua.edu","Open source")</x:f>
        <x:v>HYPERLINK is not implemented. linkLocation=https://www.ua.edu, friendlyName=Open source</x:v>
      </x:c>
    </x:row>
    <x:row r="575" ht="46" customHeight="1">
      <x:c r="A575" s="17" t="str">
        <x:v>stage3src:15abe8f85a9eed5a5995</x:v>
      </x:c>
      <x:c r="B575" s="17" t="str">
        <x:v>program</x:v>
      </x:c>
      <x:c r="C575" s="17" t="str">
        <x:v>Athens State University</x:v>
      </x:c>
      <x:c r="D575" s="17" t="str">
        <x:v>us:ipeds:100812:program:unclear:ipeds-discovery-signal-computer-and-information-systems-security-auditing-information-assurance-cip-11-1003</x:v>
      </x:c>
      <x:c r="E575" s="17" t="str"/>
      <x:c r="F575" s="17" t="str">
        <x:v>discovery</x:v>
      </x:c>
      <x:c r="G575" s="17" t="str">
        <x:v>Stage 2 recorded this row as a discovery candidate; it does not independently verify an exact current research program, eligibility, or funding.</x:v>
      </x:c>
      <x:c r="H575" s="17" t="str">
        <x:v>Pass 2 Stage 2 candidate funnel</x:v>
      </x:c>
      <x:c r="I575" s="17" t="str">
        <x:v>Graduate audit pipeline</x:v>
      </x:c>
      <x:c r="J575" s="17" t="str">
        <x:v>derived</x:v>
      </x:c>
      <x:c r="K575" s="17" t="str">
        <x:v>2026-09-11</x:v>
      </x:c>
      <x:c r="L575" s="17" t="str">
        <x:v>Not cycle-specific</x:v>
      </x:c>
      <x:c r="M575" s="17" t="str">
        <x:v>low</x:v>
      </x:c>
      <x:c r="N575" s="17" t="str">
        <x:v>Discovery evidence only</x:v>
      </x:c>
      <x:c r="O575" s="17" t="str">
        <x:v>Use the source_record_paths field to trace the underlying discovery inputs.</x:v>
      </x:c>
      <x:c r="P575" s="18" t="e">
        <x:f>HYPERLINK("https://www.athens.edu","Open source")</x:f>
        <x:v>HYPERLINK is not implemented. linkLocation=https://www.athens.edu, friendlyName=Open source</x:v>
      </x:c>
    </x:row>
    <x:row r="576" ht="46" customHeight="1">
      <x:c r="A576" s="17" t="str">
        <x:v>stage3src:aad4aa0ea435b53da50d</x:v>
      </x:c>
      <x:c r="B576" s="17" t="str">
        <x:v>program</x:v>
      </x:c>
      <x:c r="C576" s="17" t="str">
        <x:v>Auburn University at Montgomery</x:v>
      </x:c>
      <x:c r="D576" s="17" t="str">
        <x:v>us:ipeds:100830:program:unclear:ipeds-discovery-signal-computer-and-information-systems-security-auditing-information-assurance-cip-11-1003</x:v>
      </x:c>
      <x:c r="E576" s="17" t="str"/>
      <x:c r="F576" s="17" t="str">
        <x:v>discovery</x:v>
      </x:c>
      <x:c r="G576" s="17" t="str">
        <x:v>Stage 2 recorded this row as a discovery candidate; it does not independently verify an exact current research program, eligibility, or funding.</x:v>
      </x:c>
      <x:c r="H576" s="17" t="str">
        <x:v>Pass 2 Stage 2 candidate funnel</x:v>
      </x:c>
      <x:c r="I576" s="17" t="str">
        <x:v>Graduate audit pipeline</x:v>
      </x:c>
      <x:c r="J576" s="17" t="str">
        <x:v>derived</x:v>
      </x:c>
      <x:c r="K576" s="17" t="str">
        <x:v>2026-09-11</x:v>
      </x:c>
      <x:c r="L576" s="17" t="str">
        <x:v>Not cycle-specific</x:v>
      </x:c>
      <x:c r="M576" s="17" t="str">
        <x:v>low</x:v>
      </x:c>
      <x:c r="N576" s="17" t="str">
        <x:v>Discovery evidence only</x:v>
      </x:c>
      <x:c r="O576" s="17" t="str">
        <x:v>Use the source_record_paths field to trace the underlying discovery inputs.</x:v>
      </x:c>
      <x:c r="P576" s="18" t="e">
        <x:f>HYPERLINK("https://www.aum.edu","Open source")</x:f>
        <x:v>HYPERLINK is not implemented. linkLocation=https://www.aum.edu, friendlyName=Open source</x:v>
      </x:c>
    </x:row>
    <x:row r="577" ht="46" customHeight="1">
      <x:c r="A577" s="17" t="str">
        <x:v>stage3src:424efae571ffcc0632d2</x:v>
      </x:c>
      <x:c r="B577" s="17" t="str">
        <x:v>program</x:v>
      </x:c>
      <x:c r="C577" s="17" t="str">
        <x:v>Auburn University at Montgomery</x:v>
      </x:c>
      <x:c r="D577" s="17" t="str">
        <x:v>us:ipeds:100830:program:unclear:ipeds-discovery-signal-computer-science-cip-11-0701</x:v>
      </x:c>
      <x:c r="E577" s="17" t="str"/>
      <x:c r="F577" s="17" t="str">
        <x:v>discovery</x:v>
      </x:c>
      <x:c r="G577" s="17" t="str">
        <x:v>Stage 2 recorded this row as a discovery candidate; it does not independently verify an exact current research program, eligibility, or funding.</x:v>
      </x:c>
      <x:c r="H577" s="17" t="str">
        <x:v>Pass 2 Stage 2 candidate funnel</x:v>
      </x:c>
      <x:c r="I577" s="17" t="str">
        <x:v>Graduate audit pipeline</x:v>
      </x:c>
      <x:c r="J577" s="17" t="str">
        <x:v>derived</x:v>
      </x:c>
      <x:c r="K577" s="17" t="str">
        <x:v>2026-09-11</x:v>
      </x:c>
      <x:c r="L577" s="17" t="str">
        <x:v>Not cycle-specific</x:v>
      </x:c>
      <x:c r="M577" s="17" t="str">
        <x:v>low</x:v>
      </x:c>
      <x:c r="N577" s="17" t="str">
        <x:v>Discovery evidence only</x:v>
      </x:c>
      <x:c r="O577" s="17" t="str">
        <x:v>Use the source_record_paths field to trace the underlying discovery inputs.</x:v>
      </x:c>
      <x:c r="P577" s="18" t="e">
        <x:f>HYPERLINK("https://www.aum.edu","Open source")</x:f>
        <x:v>HYPERLINK is not implemented. linkLocation=https://www.aum.edu, friendlyName=Open source</x:v>
      </x:c>
    </x:row>
    <x:row r="578" ht="46" customHeight="1">
      <x:c r="A578" s="17" t="str">
        <x:v>stage3src:648710991b6d765275e8</x:v>
      </x:c>
      <x:c r="B578" s="17" t="str">
        <x:v>program</x:v>
      </x:c>
      <x:c r="C578" s="17" t="str">
        <x:v>Auburn University at Montgomery</x:v>
      </x:c>
      <x:c r="D578" s="17" t="str">
        <x:v>us:ipeds:100830:program:unclear:ipeds-discovery-signal-information-technology-cip-11-0103</x:v>
      </x:c>
      <x:c r="E578" s="17" t="str"/>
      <x:c r="F578" s="17" t="str">
        <x:v>discovery</x:v>
      </x:c>
      <x:c r="G578" s="17" t="str">
        <x:v>Stage 2 recorded this row as a discovery candidate; it does not independently verify an exact current research program, eligibility, or funding.</x:v>
      </x:c>
      <x:c r="H578" s="17" t="str">
        <x:v>Pass 2 Stage 2 candidate funnel</x:v>
      </x:c>
      <x:c r="I578" s="17" t="str">
        <x:v>Graduate audit pipeline</x:v>
      </x:c>
      <x:c r="J578" s="17" t="str">
        <x:v>derived</x:v>
      </x:c>
      <x:c r="K578" s="17" t="str">
        <x:v>2026-09-11</x:v>
      </x:c>
      <x:c r="L578" s="17" t="str">
        <x:v>Not cycle-specific</x:v>
      </x:c>
      <x:c r="M578" s="17" t="str">
        <x:v>low</x:v>
      </x:c>
      <x:c r="N578" s="17" t="str">
        <x:v>Discovery evidence only</x:v>
      </x:c>
      <x:c r="O578" s="17" t="str">
        <x:v>Use the source_record_paths field to trace the underlying discovery inputs.</x:v>
      </x:c>
      <x:c r="P578" s="18" t="e">
        <x:f>HYPERLINK("https://www.aum.edu","Open source")</x:f>
        <x:v>HYPERLINK is not implemented. linkLocation=https://www.aum.edu, friendlyName=Open source</x:v>
      </x:c>
    </x:row>
    <x:row r="579" ht="46" customHeight="1">
      <x:c r="A579" s="17" t="str">
        <x:v>stage3src:33739c509fa9a739e841</x:v>
      </x:c>
      <x:c r="B579" s="17" t="str">
        <x:v>program</x:v>
      </x:c>
      <x:c r="C579" s="17" t="str">
        <x:v>Auburn University</x:v>
      </x:c>
      <x:c r="D579" s="17" t="str">
        <x:v>us:ipeds:100858:program:phd:phd-in-computer-science-and-software-engineering</x:v>
      </x:c>
      <x:c r="E579" s="17" t="str"/>
      <x:c r="F579" s="17" t="str">
        <x:v>program|admissions|eligibility|language</x:v>
      </x:c>
      <x:c r="G579" s="17" t="str">
        <x:v>Exact direct-bachelor's PhD route, 3.0 GPA floor, required GRE minimums, English thresholds, and dissertation structure.</x:v>
      </x:c>
      <x:c r="H579" s="17" t="str">
        <x:v>PhD in Computer Science and Software Engineering</x:v>
      </x:c>
      <x:c r="I579" s="17" t="str">
        <x:v>Auburn University Samuel Ginn College of Engineering</x:v>
      </x:c>
      <x:c r="J579" s="17" t="str">
        <x:v>official</x:v>
      </x:c>
      <x:c r="K579" s="17" t="str">
        <x:v>2026-09-11</x:v>
      </x:c>
      <x:c r="L579" s="17" t="str">
        <x:v>Current page checked 2026-09-11</x:v>
      </x:c>
      <x:c r="M579" s="17" t="str">
        <x:v>high</x:v>
      </x:c>
      <x:c r="N579" s="17" t="str">
        <x:v>official page checked</x:v>
      </x:c>
      <x:c r="O579" s="17" t="str"/>
      <x:c r="P579" s="18" t="e">
        <x:f>HYPERLINK("https://www.eng.auburn.edu/program/phd-computer-science-software-engineering.html","Open source")</x:f>
        <x:v>HYPERLINK is not implemented. linkLocation=https://www.eng.auburn.edu/program/phd-computer-science-software-engineering.html, friendlyName=Open source</x:v>
      </x:c>
    </x:row>
    <x:row r="580" ht="46" customHeight="1">
      <x:c r="A580" s="17" t="str">
        <x:v>stage3src:4faa2e77fed5bc969300</x:v>
      </x:c>
      <x:c r="B580" s="17" t="str">
        <x:v>program</x:v>
      </x:c>
      <x:c r="C580" s="17" t="str">
        <x:v>Auburn University</x:v>
      </x:c>
      <x:c r="D580" s="17" t="str">
        <x:v>us:ipeds:100858:program:phd:phd-in-computer-science-and-software-engineering</x:v>
      </x:c>
      <x:c r="E580" s="17" t="str"/>
      <x:c r="F580" s="17" t="str">
        <x:v>admissions|deadline|fees|language</x:v>
      </x:c>
      <x:c r="G580" s="17" t="str">
        <x:v>USD 70 international fee, limited waiver categories, dual-degree exception, 90-day international timing guidance, and case-by-case English exemption.</x:v>
      </x:c>
      <x:c r="H580" s="17" t="str">
        <x:v>Admissions FAQs</x:v>
      </x:c>
      <x:c r="I580" s="17" t="str">
        <x:v>Auburn University Graduate School</x:v>
      </x:c>
      <x:c r="J580" s="17" t="str">
        <x:v>official</x:v>
      </x:c>
      <x:c r="K580" s="17" t="str">
        <x:v>2026-09-11</x:v>
      </x:c>
      <x:c r="L580" s="17" t="str">
        <x:v>Current guidance checked 2026-09-11</x:v>
      </x:c>
      <x:c r="M580" s="17" t="str">
        <x:v>high</x:v>
      </x:c>
      <x:c r="N580" s="17" t="str">
        <x:v>official page checked</x:v>
      </x:c>
      <x:c r="O580" s="17" t="str"/>
      <x:c r="P580" s="18" t="e">
        <x:f>HYPERLINK("https://graduate.auburn.edu/admissions/admissions-faqs.php","Open source")</x:f>
        <x:v>HYPERLINK is not implemented. linkLocation=https://graduate.auburn.edu/admissions/admissions-faqs.php, friendlyName=Open source</x:v>
      </x:c>
    </x:row>
    <x:row r="581" ht="46" customHeight="1">
      <x:c r="A581" s="17" t="str">
        <x:v>stage3src:826583ab87fdea53841c</x:v>
      </x:c>
      <x:c r="B581" s="17" t="str">
        <x:v>program</x:v>
      </x:c>
      <x:c r="C581" s="17" t="str">
        <x:v>Auburn University</x:v>
      </x:c>
      <x:c r="D581" s="17" t="str">
        <x:v>us:ipeds:100858:program:phd:phd-in-computer-science-and-software-engineering</x:v>
      </x:c>
      <x:c r="E581" s="17" t="str"/>
      <x:c r="F581" s="17" t="str">
        <x:v>funding|fees</x:v>
      </x:c>
      <x:c r="G581" s="17" t="str">
        <x:v>Assistantships provide a stipend and may waive some or all tuition, while student fees remain payable; no universal award is stated.</x:v>
      </x:c>
      <x:c r="H581" s="17" t="str">
        <x:v>Tuition and Funding</x:v>
      </x:c>
      <x:c r="I581" s="17" t="str">
        <x:v>Auburn University Graduate School</x:v>
      </x:c>
      <x:c r="J581" s="17" t="str">
        <x:v>official</x:v>
      </x:c>
      <x:c r="K581" s="17" t="str">
        <x:v>2026-09-11</x:v>
      </x:c>
      <x:c r="L581" s="17" t="str">
        <x:v>Current page checked 2026-09-11</x:v>
      </x:c>
      <x:c r="M581" s="17" t="str">
        <x:v>high</x:v>
      </x:c>
      <x:c r="N581" s="17" t="str">
        <x:v>official page checked</x:v>
      </x:c>
      <x:c r="O581" s="17" t="str"/>
      <x:c r="P581" s="18" t="e">
        <x:f>HYPERLINK("https://graduate.auburn.edu/admissions/tuition-funding/index.php","Open source")</x:f>
        <x:v>HYPERLINK is not implemented. linkLocation=https://graduate.auburn.edu/admissions/tuition-funding/index.php, friendlyName=Open source</x:v>
      </x:c>
    </x:row>
    <x:row r="582" ht="46" customHeight="1">
      <x:c r="A582" s="17" t="str">
        <x:v>stage3src:7eab57682ad67229fe59</x:v>
      </x:c>
      <x:c r="B582" s="17" t="str">
        <x:v>program</x:v>
      </x:c>
      <x:c r="C582" s="17" t="str">
        <x:v>Auburn University</x:v>
      </x:c>
      <x:c r="D582" s="17" t="str">
        <x:v>us:ipeds:100858:program:unclear:ipeds-discovery-signal-computer-and-information-systems-security-auditing-information-assurance-cip-11-1003</x:v>
      </x:c>
      <x:c r="E582" s="17" t="str"/>
      <x:c r="F582" s="17" t="str">
        <x:v>discovery</x:v>
      </x:c>
      <x:c r="G582" s="17" t="str">
        <x:v>Stage 2 recorded this row as a discovery candidate; it does not independently verify an exact current research program, eligibility, or funding.</x:v>
      </x:c>
      <x:c r="H582" s="17" t="str">
        <x:v>Pass 2 Stage 2 candidate funnel</x:v>
      </x:c>
      <x:c r="I582" s="17" t="str">
        <x:v>Graduate audit pipeline</x:v>
      </x:c>
      <x:c r="J582" s="17" t="str">
        <x:v>derived</x:v>
      </x:c>
      <x:c r="K582" s="17" t="str">
        <x:v>2026-09-11</x:v>
      </x:c>
      <x:c r="L582" s="17" t="str">
        <x:v>Not cycle-specific</x:v>
      </x:c>
      <x:c r="M582" s="17" t="str">
        <x:v>low</x:v>
      </x:c>
      <x:c r="N582" s="17" t="str">
        <x:v>Discovery evidence only</x:v>
      </x:c>
      <x:c r="O582" s="17" t="str">
        <x:v>Use the source_record_paths field to trace the underlying discovery inputs.</x:v>
      </x:c>
      <x:c r="P582" s="18" t="e">
        <x:f>HYPERLINK("https://www.auburn.edu","Open source")</x:f>
        <x:v>HYPERLINK is not implemented. linkLocation=https://www.auburn.edu, friendlyName=Open source</x:v>
      </x:c>
    </x:row>
    <x:row r="583" ht="46" customHeight="1">
      <x:c r="A583" s="17" t="str">
        <x:v>stage3src:7eefb16e8db0618c0928</x:v>
      </x:c>
      <x:c r="B583" s="17" t="str">
        <x:v>program</x:v>
      </x:c>
      <x:c r="C583" s="17" t="str">
        <x:v>Auburn University</x:v>
      </x:c>
      <x:c r="D583" s="17" t="str">
        <x:v>us:ipeds:100858:program:unclear:ipeds-discovery-signal-computer-engineering-general-cip-14-0901</x:v>
      </x:c>
      <x:c r="E583" s="17" t="str"/>
      <x:c r="F583" s="17" t="str">
        <x:v>discovery</x:v>
      </x:c>
      <x:c r="G583" s="17" t="str">
        <x:v>Stage 2 recorded this row as a discovery candidate; it does not independently verify an exact current research program, eligibility, or funding.</x:v>
      </x:c>
      <x:c r="H583" s="17" t="str">
        <x:v>Pass 2 Stage 2 candidate funnel</x:v>
      </x:c>
      <x:c r="I583" s="17" t="str">
        <x:v>Graduate audit pipeline</x:v>
      </x:c>
      <x:c r="J583" s="17" t="str">
        <x:v>derived</x:v>
      </x:c>
      <x:c r="K583" s="17" t="str">
        <x:v>2026-09-11</x:v>
      </x:c>
      <x:c r="L583" s="17" t="str">
        <x:v>Not cycle-specific</x:v>
      </x:c>
      <x:c r="M583" s="17" t="str">
        <x:v>low</x:v>
      </x:c>
      <x:c r="N583" s="17" t="str">
        <x:v>Discovery evidence only</x:v>
      </x:c>
      <x:c r="O583" s="17" t="str">
        <x:v>Use the source_record_paths field to trace the underlying discovery inputs.</x:v>
      </x:c>
      <x:c r="P583" s="18" t="e">
        <x:f>HYPERLINK("https://www.auburn.edu","Open source")</x:f>
        <x:v>HYPERLINK is not implemented. linkLocation=https://www.auburn.edu, friendlyName=Open source</x:v>
      </x:c>
    </x:row>
    <x:row r="584" ht="46" customHeight="1">
      <x:c r="A584" s="17" t="str">
        <x:v>stage3src:3087cf6fc1053197c1e8</x:v>
      </x:c>
      <x:c r="B584" s="17" t="str">
        <x:v>program</x:v>
      </x:c>
      <x:c r="C584" s="17" t="str">
        <x:v>Auburn University</x:v>
      </x:c>
      <x:c r="D584" s="17" t="str">
        <x:v>us:ipeds:100858:program:unclear:ipeds-discovery-signal-electrical-and-electronics-engineering-cip-14-1001</x:v>
      </x:c>
      <x:c r="E584" s="17" t="str"/>
      <x:c r="F584" s="17" t="str">
        <x:v>discovery</x:v>
      </x:c>
      <x:c r="G584" s="17" t="str">
        <x:v>Stage 2 recorded this row as a discovery candidate; it does not independently verify an exact current research program, eligibility, or funding.</x:v>
      </x:c>
      <x:c r="H584" s="17" t="str">
        <x:v>Pass 2 Stage 2 candidate funnel</x:v>
      </x:c>
      <x:c r="I584" s="17" t="str">
        <x:v>Graduate audit pipeline</x:v>
      </x:c>
      <x:c r="J584" s="17" t="str">
        <x:v>derived</x:v>
      </x:c>
      <x:c r="K584" s="17" t="str">
        <x:v>2026-09-11</x:v>
      </x:c>
      <x:c r="L584" s="17" t="str">
        <x:v>Not cycle-specific</x:v>
      </x:c>
      <x:c r="M584" s="17" t="str">
        <x:v>low</x:v>
      </x:c>
      <x:c r="N584" s="17" t="str">
        <x:v>Discovery evidence only</x:v>
      </x:c>
      <x:c r="O584" s="17" t="str">
        <x:v>Use the source_record_paths field to trace the underlying discovery inputs.</x:v>
      </x:c>
      <x:c r="P584" s="18" t="e">
        <x:f>HYPERLINK("https://www.auburn.edu","Open source")</x:f>
        <x:v>HYPERLINK is not implemented. linkLocation=https://www.auburn.edu, friendlyName=Open source</x:v>
      </x:c>
    </x:row>
    <x:row r="585" ht="46" customHeight="1">
      <x:c r="A585" s="17" t="str">
        <x:v>stage3src:baa506fac690d7623960</x:v>
      </x:c>
      <x:c r="B585" s="17" t="str">
        <x:v>program</x:v>
      </x:c>
      <x:c r="C585" s="17" t="str">
        <x:v>Auburn University</x:v>
      </x:c>
      <x:c r="D585" s="17" t="str">
        <x:v>us:ipeds:100858:program:unclear:ipeds-discovery-signal-human-centered-technology-design-cip-11-0105</x:v>
      </x:c>
      <x:c r="E585" s="17" t="str"/>
      <x:c r="F585" s="17" t="str">
        <x:v>discovery</x:v>
      </x:c>
      <x:c r="G585" s="17" t="str">
        <x:v>Stage 2 recorded this row as a discovery candidate; it does not independently verify an exact current research program, eligibility, or funding.</x:v>
      </x:c>
      <x:c r="H585" s="17" t="str">
        <x:v>Pass 2 Stage 2 candidate funnel</x:v>
      </x:c>
      <x:c r="I585" s="17" t="str">
        <x:v>Graduate audit pipeline</x:v>
      </x:c>
      <x:c r="J585" s="17" t="str">
        <x:v>derived</x:v>
      </x:c>
      <x:c r="K585" s="17" t="str">
        <x:v>2026-09-11</x:v>
      </x:c>
      <x:c r="L585" s="17" t="str">
        <x:v>Not cycle-specific</x:v>
      </x:c>
      <x:c r="M585" s="17" t="str">
        <x:v>low</x:v>
      </x:c>
      <x:c r="N585" s="17" t="str">
        <x:v>Discovery evidence only</x:v>
      </x:c>
      <x:c r="O585" s="17" t="str">
        <x:v>Use the source_record_paths field to trace the underlying discovery inputs.</x:v>
      </x:c>
      <x:c r="P585" s="18" t="e">
        <x:f>HYPERLINK("https://www.auburn.edu","Open source")</x:f>
        <x:v>HYPERLINK is not implemented. linkLocation=https://www.auburn.edu, friendlyName=Open source</x:v>
      </x:c>
    </x:row>
    <x:row r="586" ht="46" customHeight="1">
      <x:c r="A586" s="17" t="str">
        <x:v>stage3src:ba0164100dbcb1722039</x:v>
      </x:c>
      <x:c r="B586" s="17" t="str">
        <x:v>program</x:v>
      </x:c>
      <x:c r="C586" s="17" t="str">
        <x:v>South University-Montgomery</x:v>
      </x:c>
      <x:c r="D586" s="17" t="str">
        <x:v>us:ipeds:101116:program:unclear:ipeds-discovery-signal-information-science-studies-cip-11-0401</x:v>
      </x:c>
      <x:c r="E586" s="17" t="str"/>
      <x:c r="F586" s="17" t="str">
        <x:v>discovery</x:v>
      </x:c>
      <x:c r="G586" s="17" t="str">
        <x:v>Stage 2 recorded this row as a discovery candidate; it does not independently verify an exact current research program, eligibility, or funding.</x:v>
      </x:c>
      <x:c r="H586" s="17" t="str">
        <x:v>Pass 2 Stage 2 candidate funnel</x:v>
      </x:c>
      <x:c r="I586" s="17" t="str">
        <x:v>Graduate audit pipeline</x:v>
      </x:c>
      <x:c r="J586" s="17" t="str">
        <x:v>derived</x:v>
      </x:c>
      <x:c r="K586" s="17" t="str">
        <x:v>2026-09-11</x:v>
      </x:c>
      <x:c r="L586" s="17" t="str">
        <x:v>Not cycle-specific</x:v>
      </x:c>
      <x:c r="M586" s="17" t="str">
        <x:v>low</x:v>
      </x:c>
      <x:c r="N586" s="17" t="str">
        <x:v>Discovery evidence only</x:v>
      </x:c>
      <x:c r="O586" s="17" t="str">
        <x:v>Use the source_record_paths field to trace the underlying discovery inputs.</x:v>
      </x:c>
      <x:c r="P586" s="18" t="e">
        <x:f>HYPERLINK("https://www.southuniversity.edu","Open source")</x:f>
        <x:v>HYPERLINK is not implemented. linkLocation=https://www.southuniversity.edu, friendlyName=Open source</x:v>
      </x:c>
    </x:row>
    <x:row r="587" ht="46" customHeight="1">
      <x:c r="A587" s="17" t="str">
        <x:v>stage3src:910d78d35eb23532564b</x:v>
      </x:c>
      <x:c r="B587" s="17" t="str">
        <x:v>program</x:v>
      </x:c>
      <x:c r="C587" s="17" t="str">
        <x:v>Jacksonville State University</x:v>
      </x:c>
      <x:c r="D587" s="17" t="str">
        <x:v>us:ipeds:101480:program:unclear:ipeds-discovery-signal-computer-and-information-sciences-general-cip-11-0101</x:v>
      </x:c>
      <x:c r="E587" s="17" t="str"/>
      <x:c r="F587" s="17" t="str">
        <x:v>discovery</x:v>
      </x:c>
      <x:c r="G587" s="17" t="str">
        <x:v>Stage 2 recorded this row as a discovery candidate; it does not independently verify an exact current research program, eligibility, or funding.</x:v>
      </x:c>
      <x:c r="H587" s="17" t="str">
        <x:v>Pass 2 Stage 2 candidate funnel</x:v>
      </x:c>
      <x:c r="I587" s="17" t="str">
        <x:v>Graduate audit pipeline</x:v>
      </x:c>
      <x:c r="J587" s="17" t="str">
        <x:v>derived</x:v>
      </x:c>
      <x:c r="K587" s="17" t="str">
        <x:v>2026-09-11</x:v>
      </x:c>
      <x:c r="L587" s="17" t="str">
        <x:v>Not cycle-specific</x:v>
      </x:c>
      <x:c r="M587" s="17" t="str">
        <x:v>low</x:v>
      </x:c>
      <x:c r="N587" s="17" t="str">
        <x:v>Discovery evidence only</x:v>
      </x:c>
      <x:c r="O587" s="17" t="str">
        <x:v>Use the source_record_paths field to trace the underlying discovery inputs.</x:v>
      </x:c>
      <x:c r="P587" s="18" t="e">
        <x:f>HYPERLINK("https://www.jsu.edu","Open source")</x:f>
        <x:v>HYPERLINK is not implemented. linkLocation=https://www.jsu.edu, friendlyName=Open source</x:v>
      </x:c>
    </x:row>
    <x:row r="588" ht="46" customHeight="1">
      <x:c r="A588" s="17" t="str">
        <x:v>stage3src:32f26124cdf62496be47</x:v>
      </x:c>
      <x:c r="B588" s="17" t="str">
        <x:v>program</x:v>
      </x:c>
      <x:c r="C588" s="17" t="str">
        <x:v>University of South Alabama</x:v>
      </x:c>
      <x:c r="D588" s="17" t="str">
        <x:v>us:ipeds:102094:program:unclear:ipeds-discovery-signal-computer-and-information-sciences-general-cip-11-0101</x:v>
      </x:c>
      <x:c r="E588" s="17" t="str"/>
      <x:c r="F588" s="17" t="str">
        <x:v>discovery</x:v>
      </x:c>
      <x:c r="G588" s="17" t="str">
        <x:v>Stage 2 recorded this row as a discovery candidate; it does not independently verify an exact current research program, eligibility, or funding.</x:v>
      </x:c>
      <x:c r="H588" s="17" t="str">
        <x:v>Pass 2 Stage 2 candidate funnel</x:v>
      </x:c>
      <x:c r="I588" s="17" t="str">
        <x:v>Graduate audit pipeline</x:v>
      </x:c>
      <x:c r="J588" s="17" t="str">
        <x:v>derived</x:v>
      </x:c>
      <x:c r="K588" s="17" t="str">
        <x:v>2026-09-11</x:v>
      </x:c>
      <x:c r="L588" s="17" t="str">
        <x:v>Not cycle-specific</x:v>
      </x:c>
      <x:c r="M588" s="17" t="str">
        <x:v>low</x:v>
      </x:c>
      <x:c r="N588" s="17" t="str">
        <x:v>Discovery evidence only</x:v>
      </x:c>
      <x:c r="O588" s="17" t="str">
        <x:v>Use the source_record_paths field to trace the underlying discovery inputs.</x:v>
      </x:c>
      <x:c r="P588" s="18" t="e">
        <x:f>HYPERLINK("https://www.southalabama.edu","Open source")</x:f>
        <x:v>HYPERLINK is not implemented. linkLocation=https://www.southalabama.edu, friendlyName=Open source</x:v>
      </x:c>
    </x:row>
    <x:row r="589" ht="46" customHeight="1">
      <x:c r="A589" s="17" t="str">
        <x:v>stage3src:551ba6c64460fc12cfda</x:v>
      </x:c>
      <x:c r="B589" s="17" t="str">
        <x:v>program</x:v>
      </x:c>
      <x:c r="C589" s="17" t="str">
        <x:v>University of South Alabama</x:v>
      </x:c>
      <x:c r="D589" s="17" t="str">
        <x:v>us:ipeds:102094:program:unclear:ipeds-discovery-signal-computer-and-information-systems-security-auditing-information-assurance-cip-11-1003</x:v>
      </x:c>
      <x:c r="E589" s="17" t="str"/>
      <x:c r="F589" s="17" t="str">
        <x:v>discovery</x:v>
      </x:c>
      <x:c r="G589" s="17" t="str">
        <x:v>Stage 2 recorded this row as a discovery candidate; it does not independently verify an exact current research program, eligibility, or funding.</x:v>
      </x:c>
      <x:c r="H589" s="17" t="str">
        <x:v>Pass 2 Stage 2 candidate funnel</x:v>
      </x:c>
      <x:c r="I589" s="17" t="str">
        <x:v>Graduate audit pipeline</x:v>
      </x:c>
      <x:c r="J589" s="17" t="str">
        <x:v>derived</x:v>
      </x:c>
      <x:c r="K589" s="17" t="str">
        <x:v>2026-09-11</x:v>
      </x:c>
      <x:c r="L589" s="17" t="str">
        <x:v>Not cycle-specific</x:v>
      </x:c>
      <x:c r="M589" s="17" t="str">
        <x:v>low</x:v>
      </x:c>
      <x:c r="N589" s="17" t="str">
        <x:v>Discovery evidence only</x:v>
      </x:c>
      <x:c r="O589" s="17" t="str">
        <x:v>Use the source_record_paths field to trace the underlying discovery inputs.</x:v>
      </x:c>
      <x:c r="P589" s="18" t="e">
        <x:f>HYPERLINK("https://www.southalabama.edu","Open source")</x:f>
        <x:v>HYPERLINK is not implemented. linkLocation=https://www.southalabama.edu, friendlyName=Open source</x:v>
      </x:c>
    </x:row>
    <x:row r="590" ht="46" customHeight="1">
      <x:c r="A590" s="17" t="str">
        <x:v>stage3src:518736b58f32c8f63d8e</x:v>
      </x:c>
      <x:c r="B590" s="17" t="str">
        <x:v>program</x:v>
      </x:c>
      <x:c r="C590" s="17" t="str">
        <x:v>University of South Alabama</x:v>
      </x:c>
      <x:c r="D590" s="17" t="str">
        <x:v>us:ipeds:102094:program:unclear:ipeds-discovery-signal-computer-science-cip-11-0701</x:v>
      </x:c>
      <x:c r="E590" s="17" t="str"/>
      <x:c r="F590" s="17" t="str">
        <x:v>discovery</x:v>
      </x:c>
      <x:c r="G590" s="17" t="str">
        <x:v>Stage 2 recorded this row as a discovery candidate; it does not independently verify an exact current research program, eligibility, or funding.</x:v>
      </x:c>
      <x:c r="H590" s="17" t="str">
        <x:v>Pass 2 Stage 2 candidate funnel</x:v>
      </x:c>
      <x:c r="I590" s="17" t="str">
        <x:v>Graduate audit pipeline</x:v>
      </x:c>
      <x:c r="J590" s="17" t="str">
        <x:v>derived</x:v>
      </x:c>
      <x:c r="K590" s="17" t="str">
        <x:v>2026-09-11</x:v>
      </x:c>
      <x:c r="L590" s="17" t="str">
        <x:v>Not cycle-specific</x:v>
      </x:c>
      <x:c r="M590" s="17" t="str">
        <x:v>low</x:v>
      </x:c>
      <x:c r="N590" s="17" t="str">
        <x:v>Discovery evidence only</x:v>
      </x:c>
      <x:c r="O590" s="17" t="str">
        <x:v>Use the source_record_paths field to trace the underlying discovery inputs.</x:v>
      </x:c>
      <x:c r="P590" s="18" t="e">
        <x:f>HYPERLINK("https://www.southalabama.edu","Open source")</x:f>
        <x:v>HYPERLINK is not implemented. linkLocation=https://www.southalabama.edu, friendlyName=Open source</x:v>
      </x:c>
    </x:row>
    <x:row r="591" ht="46" customHeight="1">
      <x:c r="A591" s="17" t="str">
        <x:v>stage3src:fe4954c567479c39a7ff</x:v>
      </x:c>
      <x:c r="B591" s="17" t="str">
        <x:v>program</x:v>
      </x:c>
      <x:c r="C591" s="17" t="str">
        <x:v>University of South Alabama</x:v>
      </x:c>
      <x:c r="D591" s="17" t="str">
        <x:v>us:ipeds:102094:program:unclear:ipeds-discovery-signal-electrical-and-electronics-engineering-cip-14-1001</x:v>
      </x:c>
      <x:c r="E591" s="17" t="str"/>
      <x:c r="F591" s="17" t="str">
        <x:v>discovery</x:v>
      </x:c>
      <x:c r="G591" s="17" t="str">
        <x:v>Stage 2 recorded this row as a discovery candidate; it does not independently verify an exact current research program, eligibility, or funding.</x:v>
      </x:c>
      <x:c r="H591" s="17" t="str">
        <x:v>Pass 2 Stage 2 candidate funnel</x:v>
      </x:c>
      <x:c r="I591" s="17" t="str">
        <x:v>Graduate audit pipeline</x:v>
      </x:c>
      <x:c r="J591" s="17" t="str">
        <x:v>derived</x:v>
      </x:c>
      <x:c r="K591" s="17" t="str">
        <x:v>2026-09-11</x:v>
      </x:c>
      <x:c r="L591" s="17" t="str">
        <x:v>Not cycle-specific</x:v>
      </x:c>
      <x:c r="M591" s="17" t="str">
        <x:v>low</x:v>
      </x:c>
      <x:c r="N591" s="17" t="str">
        <x:v>Discovery evidence only</x:v>
      </x:c>
      <x:c r="O591" s="17" t="str">
        <x:v>Use the source_record_paths field to trace the underlying discovery inputs.</x:v>
      </x:c>
      <x:c r="P591" s="18" t="e">
        <x:f>HYPERLINK("https://www.southalabama.edu","Open source")</x:f>
        <x:v>HYPERLINK is not implemented. linkLocation=https://www.southalabama.edu, friendlyName=Open source</x:v>
      </x:c>
    </x:row>
    <x:row r="592" ht="46" customHeight="1">
      <x:c r="A592" s="17" t="str">
        <x:v>stage3src:0c16cd7e7a2617ae50fa</x:v>
      </x:c>
      <x:c r="B592" s="17" t="str">
        <x:v>program</x:v>
      </x:c>
      <x:c r="C592" s="17" t="str">
        <x:v>University of South Alabama</x:v>
      </x:c>
      <x:c r="D592" s="17" t="str">
        <x:v>us:ipeds:102094:program:unclear:ipeds-discovery-signal-information-science-studies-cip-11-0401</x:v>
      </x:c>
      <x:c r="E592" s="17" t="str"/>
      <x:c r="F592" s="17" t="str">
        <x:v>discovery</x:v>
      </x:c>
      <x:c r="G592" s="17" t="str">
        <x:v>Stage 2 recorded this row as a discovery candidate; it does not independently verify an exact current research program, eligibility, or funding.</x:v>
      </x:c>
      <x:c r="H592" s="17" t="str">
        <x:v>Pass 2 Stage 2 candidate funnel</x:v>
      </x:c>
      <x:c r="I592" s="17" t="str">
        <x:v>Graduate audit pipeline</x:v>
      </x:c>
      <x:c r="J592" s="17" t="str">
        <x:v>derived</x:v>
      </x:c>
      <x:c r="K592" s="17" t="str">
        <x:v>2026-09-11</x:v>
      </x:c>
      <x:c r="L592" s="17" t="str">
        <x:v>Not cycle-specific</x:v>
      </x:c>
      <x:c r="M592" s="17" t="str">
        <x:v>low</x:v>
      </x:c>
      <x:c r="N592" s="17" t="str">
        <x:v>Discovery evidence only</x:v>
      </x:c>
      <x:c r="O592" s="17" t="str">
        <x:v>Use the source_record_paths field to trace the underlying discovery inputs.</x:v>
      </x:c>
      <x:c r="P592" s="18" t="e">
        <x:f>HYPERLINK("https://www.southalabama.edu","Open source")</x:f>
        <x:v>HYPERLINK is not implemented. linkLocation=https://www.southalabama.edu, friendlyName=Open source</x:v>
      </x:c>
    </x:row>
    <x:row r="593" ht="46" customHeight="1">
      <x:c r="A593" s="17" t="str">
        <x:v>stage3src:46419b31cb36973f39fe</x:v>
      </x:c>
      <x:c r="B593" s="17" t="str">
        <x:v>program</x:v>
      </x:c>
      <x:c r="C593" s="17" t="str">
        <x:v>Talladega College</x:v>
      </x:c>
      <x:c r="D593" s="17" t="str">
        <x:v>us:ipeds:102298:program:unclear:ipeds-discovery-signal-computer-and-information-systems-security-auditing-information-assurance-cip-11-1003</x:v>
      </x:c>
      <x:c r="E593" s="17" t="str"/>
      <x:c r="F593" s="17" t="str">
        <x:v>discovery</x:v>
      </x:c>
      <x:c r="G593" s="17" t="str">
        <x:v>Stage 2 recorded this row as a discovery candidate; it does not independently verify an exact current research program, eligibility, or funding.</x:v>
      </x:c>
      <x:c r="H593" s="17" t="str">
        <x:v>Pass 2 Stage 2 candidate funnel</x:v>
      </x:c>
      <x:c r="I593" s="17" t="str">
        <x:v>Graduate audit pipeline</x:v>
      </x:c>
      <x:c r="J593" s="17" t="str">
        <x:v>derived</x:v>
      </x:c>
      <x:c r="K593" s="17" t="str">
        <x:v>2026-09-11</x:v>
      </x:c>
      <x:c r="L593" s="17" t="str">
        <x:v>Not cycle-specific</x:v>
      </x:c>
      <x:c r="M593" s="17" t="str">
        <x:v>low</x:v>
      </x:c>
      <x:c r="N593" s="17" t="str">
        <x:v>Discovery evidence only</x:v>
      </x:c>
      <x:c r="O593" s="17" t="str">
        <x:v>Use the source_record_paths field to trace the underlying discovery inputs.</x:v>
      </x:c>
      <x:c r="P593" s="18" t="e">
        <x:f>HYPERLINK("https://www.talladega.edu","Open source")</x:f>
        <x:v>HYPERLINK is not implemented. linkLocation=https://www.talladega.edu, friendlyName=Open source</x:v>
      </x:c>
    </x:row>
    <x:row r="594" ht="46" customHeight="1">
      <x:c r="A594" s="17" t="str">
        <x:v>stage3src:a7fb96c8a0f73709567b</x:v>
      </x:c>
      <x:c r="B594" s="17" t="str">
        <x:v>program</x:v>
      </x:c>
      <x:c r="C594" s="17" t="str">
        <x:v>Troy University</x:v>
      </x:c>
      <x:c r="D594" s="17" t="str">
        <x:v>us:ipeds:102368:program:unclear:ipeds-discovery-signal-computer-and-information-sciences-general-cip-11-0101</x:v>
      </x:c>
      <x:c r="E594" s="17" t="str"/>
      <x:c r="F594" s="17" t="str">
        <x:v>discovery</x:v>
      </x:c>
      <x:c r="G594" s="17" t="str">
        <x:v>Stage 2 recorded this row as a discovery candidate; it does not independently verify an exact current research program, eligibility, or funding.</x:v>
      </x:c>
      <x:c r="H594" s="17" t="str">
        <x:v>Pass 2 Stage 2 candidate funnel</x:v>
      </x:c>
      <x:c r="I594" s="17" t="str">
        <x:v>Graduate audit pipeline</x:v>
      </x:c>
      <x:c r="J594" s="17" t="str">
        <x:v>derived</x:v>
      </x:c>
      <x:c r="K594" s="17" t="str">
        <x:v>2026-09-11</x:v>
      </x:c>
      <x:c r="L594" s="17" t="str">
        <x:v>Not cycle-specific</x:v>
      </x:c>
      <x:c r="M594" s="17" t="str">
        <x:v>low</x:v>
      </x:c>
      <x:c r="N594" s="17" t="str">
        <x:v>Discovery evidence only</x:v>
      </x:c>
      <x:c r="O594" s="17" t="str">
        <x:v>Use the source_record_paths field to trace the underlying discovery inputs.</x:v>
      </x:c>
      <x:c r="P594" s="18" t="e">
        <x:f>HYPERLINK("https://www.troy.edu","Open source")</x:f>
        <x:v>HYPERLINK is not implemented. linkLocation=https://www.troy.edu, friendlyName=Open source</x:v>
      </x:c>
    </x:row>
    <x:row r="595" ht="46" customHeight="1">
      <x:c r="A595" s="17" t="str">
        <x:v>stage3src:27e725f85b9462d448f1</x:v>
      </x:c>
      <x:c r="B595" s="17" t="str">
        <x:v>program</x:v>
      </x:c>
      <x:c r="C595" s="17" t="str">
        <x:v>Tuskegee University</x:v>
      </x:c>
      <x:c r="D595" s="17" t="str">
        <x:v>us:ipeds:102377:program:unclear:ipeds-discovery-signal-electrical-and-electronics-engineering-cip-14-1001</x:v>
      </x:c>
      <x:c r="E595" s="17" t="str"/>
      <x:c r="F595" s="17" t="str">
        <x:v>discovery</x:v>
      </x:c>
      <x:c r="G595" s="17" t="str">
        <x:v>Stage 2 recorded this row as a discovery candidate; it does not independently verify an exact current research program, eligibility, or funding.</x:v>
      </x:c>
      <x:c r="H595" s="17" t="str">
        <x:v>Pass 2 Stage 2 candidate funnel</x:v>
      </x:c>
      <x:c r="I595" s="17" t="str">
        <x:v>Graduate audit pipeline</x:v>
      </x:c>
      <x:c r="J595" s="17" t="str">
        <x:v>derived</x:v>
      </x:c>
      <x:c r="K595" s="17" t="str">
        <x:v>2026-09-11</x:v>
      </x:c>
      <x:c r="L595" s="17" t="str">
        <x:v>Not cycle-specific</x:v>
      </x:c>
      <x:c r="M595" s="17" t="str">
        <x:v>low</x:v>
      </x:c>
      <x:c r="N595" s="17" t="str">
        <x:v>Discovery evidence only</x:v>
      </x:c>
      <x:c r="O595" s="17" t="str">
        <x:v>Use the source_record_paths field to trace the underlying discovery inputs.</x:v>
      </x:c>
      <x:c r="P595" s="18" t="e">
        <x:f>HYPERLINK("https://www.tuskegee.edu","Open source")</x:f>
        <x:v>HYPERLINK is not implemented. linkLocation=https://www.tuskegee.edu, friendlyName=Open source</x:v>
      </x:c>
    </x:row>
    <x:row r="596" ht="46" customHeight="1">
      <x:c r="A596" s="17" t="str">
        <x:v>stage3src:51b72dd50a949c09a505</x:v>
      </x:c>
      <x:c r="B596" s="17" t="str">
        <x:v>program</x:v>
      </x:c>
      <x:c r="C596" s="17" t="str">
        <x:v>University of Alaska Fairbanks</x:v>
      </x:c>
      <x:c r="D596" s="17" t="str">
        <x:v>us:ipeds:102614:program:unclear:ipeds-discovery-signal-computer-science-cip-11-0701</x:v>
      </x:c>
      <x:c r="E596" s="17" t="str"/>
      <x:c r="F596" s="17" t="str">
        <x:v>discovery</x:v>
      </x:c>
      <x:c r="G596" s="17" t="str">
        <x:v>Stage 2 recorded this row as a discovery candidate; it does not independently verify an exact current research program, eligibility, or funding.</x:v>
      </x:c>
      <x:c r="H596" s="17" t="str">
        <x:v>Pass 2 Stage 2 candidate funnel</x:v>
      </x:c>
      <x:c r="I596" s="17" t="str">
        <x:v>Graduate audit pipeline</x:v>
      </x:c>
      <x:c r="J596" s="17" t="str">
        <x:v>derived</x:v>
      </x:c>
      <x:c r="K596" s="17" t="str">
        <x:v>2026-09-11</x:v>
      </x:c>
      <x:c r="L596" s="17" t="str">
        <x:v>Not cycle-specific</x:v>
      </x:c>
      <x:c r="M596" s="17" t="str">
        <x:v>low</x:v>
      </x:c>
      <x:c r="N596" s="17" t="str">
        <x:v>Discovery evidence only</x:v>
      </x:c>
      <x:c r="O596" s="17" t="str">
        <x:v>Use the source_record_paths field to trace the underlying discovery inputs.</x:v>
      </x:c>
      <x:c r="P596" s="18" t="e">
        <x:f>HYPERLINK("https://www.uaf.edu","Open source")</x:f>
        <x:v>HYPERLINK is not implemented. linkLocation=https://www.uaf.edu, friendlyName=Open source</x:v>
      </x:c>
    </x:row>
    <x:row r="597" ht="46" customHeight="1">
      <x:c r="A597" s="17" t="str">
        <x:v>stage3src:b3625c09e96d604ce77b</x:v>
      </x:c>
      <x:c r="B597" s="17" t="str">
        <x:v>program</x:v>
      </x:c>
      <x:c r="C597" s="17" t="str">
        <x:v>University of Alaska Fairbanks</x:v>
      </x:c>
      <x:c r="D597" s="17" t="str">
        <x:v>us:ipeds:102614:program:unclear:ipeds-discovery-signal-electrical-and-electronics-engineering-cip-14-1001</x:v>
      </x:c>
      <x:c r="E597" s="17" t="str"/>
      <x:c r="F597" s="17" t="str">
        <x:v>discovery</x:v>
      </x:c>
      <x:c r="G597" s="17" t="str">
        <x:v>Stage 2 recorded this row as a discovery candidate; it does not independently verify an exact current research program, eligibility, or funding.</x:v>
      </x:c>
      <x:c r="H597" s="17" t="str">
        <x:v>Pass 2 Stage 2 candidate funnel</x:v>
      </x:c>
      <x:c r="I597" s="17" t="str">
        <x:v>Graduate audit pipeline</x:v>
      </x:c>
      <x:c r="J597" s="17" t="str">
        <x:v>derived</x:v>
      </x:c>
      <x:c r="K597" s="17" t="str">
        <x:v>2026-09-11</x:v>
      </x:c>
      <x:c r="L597" s="17" t="str">
        <x:v>Not cycle-specific</x:v>
      </x:c>
      <x:c r="M597" s="17" t="str">
        <x:v>low</x:v>
      </x:c>
      <x:c r="N597" s="17" t="str">
        <x:v>Discovery evidence only</x:v>
      </x:c>
      <x:c r="O597" s="17" t="str">
        <x:v>Use the source_record_paths field to trace the underlying discovery inputs.</x:v>
      </x:c>
      <x:c r="P597" s="18" t="e">
        <x:f>HYPERLINK("https://www.uaf.edu","Open source")</x:f>
        <x:v>HYPERLINK is not implemented. linkLocation=https://www.uaf.edu, friendlyName=Open source</x:v>
      </x:c>
    </x:row>
    <x:row r="598" ht="46" customHeight="1">
      <x:c r="A598" s="17" t="str">
        <x:v>stage3src:9c9377aefdbb42a56e57</x:v>
      </x:c>
      <x:c r="B598" s="17" t="str">
        <x:v>program</x:v>
      </x:c>
      <x:c r="C598" s="17" t="str">
        <x:v>Arizona State University Campus Immersion</x:v>
      </x:c>
      <x:c r="D598" s="17" t="str">
        <x:v>us:ipeds:104151:program:phd:computer-science-phd</x:v>
      </x:c>
      <x:c r="E598" s="17" t="str"/>
      <x:c r="F598" s="17" t="str">
        <x:v>program|research|admissions|eligibility|language|deadline</x:v>
      </x:c>
      <x:c r="G598" s="17" t="str">
        <x:v>Current Computer Science PhD, research areas, exceptional bachelor's entry, 3.50 last-60-hour threshold, materials, and recurring priority deadline.</x:v>
      </x:c>
      <x:c r="H598" s="17" t="str">
        <x:v>Computer Science, PhD</x:v>
      </x:c>
      <x:c r="I598" s="17" t="str">
        <x:v>Arizona State University</x:v>
      </x:c>
      <x:c r="J598" s="17" t="str">
        <x:v>official</x:v>
      </x:c>
      <x:c r="K598" s="17" t="str">
        <x:v>2026-09-11</x:v>
      </x:c>
      <x:c r="L598" s="17" t="str">
        <x:v>Current recurring table checked 2026-09-11</x:v>
      </x:c>
      <x:c r="M598" s="17" t="str">
        <x:v>high</x:v>
      </x:c>
      <x:c r="N598" s="17" t="str">
        <x:v>official page checked</x:v>
      </x:c>
      <x:c r="O598" s="17" t="str"/>
      <x:c r="P598" s="18" t="e">
        <x:f>HYPERLINK("https://degrees.asu.edu/masters-phd/major/ASU00/ESCOMSCPHD/computer-science-phd/","Open source")</x:f>
        <x:v>HYPERLINK is not implemented. linkLocation=https://degrees.asu.edu/masters-phd/major/ASU00/ESCOMSCPHD/computer-science-phd/, friendlyName=Open source</x:v>
      </x:c>
    </x:row>
    <x:row r="599" ht="46" customHeight="1">
      <x:c r="A599" s="17" t="str">
        <x:v>stage3src:eb5605904d01ae5d549a</x:v>
      </x:c>
      <x:c r="B599" s="17" t="str">
        <x:v>program</x:v>
      </x:c>
      <x:c r="C599" s="17" t="str">
        <x:v>Arizona State University Campus Immersion</x:v>
      </x:c>
      <x:c r="D599" s="17" t="str">
        <x:v>us:ipeds:104151:program:phd:computer-science-phd</x:v>
      </x:c>
      <x:c r="E599" s="17" t="str"/>
      <x:c r="F599" s="17" t="str">
        <x:v>funding|tuition|fees|health|summer</x:v>
      </x:c>
      <x:c r="G599" s="17" t="str">
        <x:v>Limited written-aid offers, assistantship mechanisms, doctoral stipend policy, and explicit applicant responsibility when no written funding is offered.</x:v>
      </x:c>
      <x:c r="H599" s="17" t="str">
        <x:v>Teaching and Research Assistantships, Fellowships and Awards</x:v>
      </x:c>
      <x:c r="I599" s="17" t="str">
        <x:v>Arizona State University</x:v>
      </x:c>
      <x:c r="J599" s="17" t="str">
        <x:v>official</x:v>
      </x:c>
      <x:c r="K599" s="17" t="str">
        <x:v>2026-09-11</x:v>
      </x:c>
      <x:c r="L599" s="17" t="str">
        <x:v>Current policy checked 2026-09-11</x:v>
      </x:c>
      <x:c r="M599" s="17" t="str">
        <x:v>high</x:v>
      </x:c>
      <x:c r="N599" s="17" t="str">
        <x:v>official page checked</x:v>
      </x:c>
      <x:c r="O599" s="17" t="str"/>
      <x:c r="P599" s="18" t="e">
        <x:f>HYPERLINK("https://scai.engineering.asu.edu/teaching-research-assistantships-fellowships-awards/","Open source")</x:f>
        <x:v>HYPERLINK is not implemented. linkLocation=https://scai.engineering.asu.edu/teaching-research-assistantships-fellowships-awards/, friendlyName=Open source</x:v>
      </x:c>
    </x:row>
    <x:row r="600" ht="46" customHeight="1">
      <x:c r="A600" s="17" t="str">
        <x:v>stage3src:e1ab1bd0b649ce5c0df7</x:v>
      </x:c>
      <x:c r="B600" s="17" t="str">
        <x:v>program</x:v>
      </x:c>
      <x:c r="C600" s="17" t="str">
        <x:v>Arizona State University Campus Immersion</x:v>
      </x:c>
      <x:c r="D600" s="17" t="str">
        <x:v>us:ipeds:104151:program:unclear:ipeds-discovery-signal-computer-engineering-general-cip-14-0901</x:v>
      </x:c>
      <x:c r="E600" s="17" t="str"/>
      <x:c r="F600" s="17" t="str">
        <x:v>discovery</x:v>
      </x:c>
      <x:c r="G600" s="17" t="str">
        <x:v>Stage 2 recorded this row as a discovery candidate; it does not independently verify an exact current research program, eligibility, or funding.</x:v>
      </x:c>
      <x:c r="H600" s="17" t="str">
        <x:v>Pass 2 Stage 2 candidate funnel</x:v>
      </x:c>
      <x:c r="I600" s="17" t="str">
        <x:v>Graduate audit pipeline</x:v>
      </x:c>
      <x:c r="J600" s="17" t="str">
        <x:v>derived</x:v>
      </x:c>
      <x:c r="K600" s="17" t="str">
        <x:v>2026-09-11</x:v>
      </x:c>
      <x:c r="L600" s="17" t="str">
        <x:v>Not cycle-specific</x:v>
      </x:c>
      <x:c r="M600" s="17" t="str">
        <x:v>low</x:v>
      </x:c>
      <x:c r="N600" s="17" t="str">
        <x:v>Discovery evidence only</x:v>
      </x:c>
      <x:c r="O600" s="17" t="str">
        <x:v>Use the source_record_paths field to trace the underlying discovery inputs.</x:v>
      </x:c>
      <x:c r="P600" s="18" t="e">
        <x:f>HYPERLINK("https://www.asu.edu","Open source")</x:f>
        <x:v>HYPERLINK is not implemented. linkLocation=https://www.asu.edu, friendlyName=Open source</x:v>
      </x:c>
    </x:row>
    <x:row r="601" ht="46" customHeight="1">
      <x:c r="A601" s="17" t="str">
        <x:v>stage3src:3ee8007c8703be9f83ec</x:v>
      </x:c>
      <x:c r="B601" s="17" t="str">
        <x:v>program</x:v>
      </x:c>
      <x:c r="C601" s="17" t="str">
        <x:v>Arizona State University Campus Immersion</x:v>
      </x:c>
      <x:c r="D601" s="17" t="str">
        <x:v>us:ipeds:104151:program:unclear:ipeds-discovery-signal-computer-science-cip-11-0701</x:v>
      </x:c>
      <x:c r="E601" s="17" t="str"/>
      <x:c r="F601" s="17" t="str">
        <x:v>discovery</x:v>
      </x:c>
      <x:c r="G601" s="17" t="str">
        <x:v>Stage 2 recorded this row as a discovery candidate; it does not independently verify an exact current research program, eligibility, or funding.</x:v>
      </x:c>
      <x:c r="H601" s="17" t="str">
        <x:v>Pass 2 Stage 2 candidate funnel</x:v>
      </x:c>
      <x:c r="I601" s="17" t="str">
        <x:v>Graduate audit pipeline</x:v>
      </x:c>
      <x:c r="J601" s="17" t="str">
        <x:v>derived</x:v>
      </x:c>
      <x:c r="K601" s="17" t="str">
        <x:v>2026-09-11</x:v>
      </x:c>
      <x:c r="L601" s="17" t="str">
        <x:v>Not cycle-specific</x:v>
      </x:c>
      <x:c r="M601" s="17" t="str">
        <x:v>low</x:v>
      </x:c>
      <x:c r="N601" s="17" t="str">
        <x:v>Discovery evidence only</x:v>
      </x:c>
      <x:c r="O601" s="17" t="str">
        <x:v>Use the source_record_paths field to trace the underlying discovery inputs.</x:v>
      </x:c>
      <x:c r="P601" s="18" t="e">
        <x:f>HYPERLINK("https://www.asu.edu","Open source")</x:f>
        <x:v>HYPERLINK is not implemented. linkLocation=https://www.asu.edu, friendlyName=Open source</x:v>
      </x:c>
    </x:row>
    <x:row r="602" ht="46" customHeight="1">
      <x:c r="A602" s="17" t="str">
        <x:v>stage3src:e84b9a7f6d873312c924</x:v>
      </x:c>
      <x:c r="B602" s="17" t="str">
        <x:v>program</x:v>
      </x:c>
      <x:c r="C602" s="17" t="str">
        <x:v>Arizona State University Campus Immersion</x:v>
      </x:c>
      <x:c r="D602" s="17" t="str">
        <x:v>us:ipeds:104151:program:unclear:ipeds-discovery-signal-computer-software-engineering-cip-14-0903</x:v>
      </x:c>
      <x:c r="E602" s="17" t="str"/>
      <x:c r="F602" s="17" t="str">
        <x:v>discovery</x:v>
      </x:c>
      <x:c r="G602" s="17" t="str">
        <x:v>Stage 2 recorded this row as a discovery candidate; it does not independently verify an exact current research program, eligibility, or funding.</x:v>
      </x:c>
      <x:c r="H602" s="17" t="str">
        <x:v>Pass 2 Stage 2 candidate funnel</x:v>
      </x:c>
      <x:c r="I602" s="17" t="str">
        <x:v>Graduate audit pipeline</x:v>
      </x:c>
      <x:c r="J602" s="17" t="str">
        <x:v>derived</x:v>
      </x:c>
      <x:c r="K602" s="17" t="str">
        <x:v>2026-09-11</x:v>
      </x:c>
      <x:c r="L602" s="17" t="str">
        <x:v>Not cycle-specific</x:v>
      </x:c>
      <x:c r="M602" s="17" t="str">
        <x:v>low</x:v>
      </x:c>
      <x:c r="N602" s="17" t="str">
        <x:v>Discovery evidence only</x:v>
      </x:c>
      <x:c r="O602" s="17" t="str">
        <x:v>Use the source_record_paths field to trace the underlying discovery inputs.</x:v>
      </x:c>
      <x:c r="P602" s="18" t="e">
        <x:f>HYPERLINK("https://www.asu.edu","Open source")</x:f>
        <x:v>HYPERLINK is not implemented. linkLocation=https://www.asu.edu, friendlyName=Open source</x:v>
      </x:c>
    </x:row>
    <x:row r="603" ht="46" customHeight="1">
      <x:c r="A603" s="17" t="str">
        <x:v>stage3src:eb4dc63ae2c56138a665</x:v>
      </x:c>
      <x:c r="B603" s="17" t="str">
        <x:v>program</x:v>
      </x:c>
      <x:c r="C603" s="17" t="str">
        <x:v>Arizona State University Campus Immersion</x:v>
      </x:c>
      <x:c r="D603" s="17" t="str">
        <x:v>us:ipeds:104151:program:unclear:ipeds-discovery-signal-data-analytics-general-cip-30-7101</x:v>
      </x:c>
      <x:c r="E603" s="17" t="str"/>
      <x:c r="F603" s="17" t="str">
        <x:v>discovery</x:v>
      </x:c>
      <x:c r="G603" s="17" t="str">
        <x:v>Stage 2 recorded this row as a discovery candidate; it does not independently verify an exact current research program, eligibility, or funding.</x:v>
      </x:c>
      <x:c r="H603" s="17" t="str">
        <x:v>Pass 2 Stage 2 candidate funnel</x:v>
      </x:c>
      <x:c r="I603" s="17" t="str">
        <x:v>Graduate audit pipeline</x:v>
      </x:c>
      <x:c r="J603" s="17" t="str">
        <x:v>derived</x:v>
      </x:c>
      <x:c r="K603" s="17" t="str">
        <x:v>2026-09-11</x:v>
      </x:c>
      <x:c r="L603" s="17" t="str">
        <x:v>Not cycle-specific</x:v>
      </x:c>
      <x:c r="M603" s="17" t="str">
        <x:v>low</x:v>
      </x:c>
      <x:c r="N603" s="17" t="str">
        <x:v>Discovery evidence only</x:v>
      </x:c>
      <x:c r="O603" s="17" t="str">
        <x:v>Use the source_record_paths field to trace the underlying discovery inputs.</x:v>
      </x:c>
      <x:c r="P603" s="18" t="e">
        <x:f>HYPERLINK("https://www.asu.edu","Open source")</x:f>
        <x:v>HYPERLINK is not implemented. linkLocation=https://www.asu.edu, friendlyName=Open source</x:v>
      </x:c>
    </x:row>
    <x:row r="604" ht="46" customHeight="1">
      <x:c r="A604" s="17" t="str">
        <x:v>stage3src:c720a2aa79b39ac16e11</x:v>
      </x:c>
      <x:c r="B604" s="17" t="str">
        <x:v>program</x:v>
      </x:c>
      <x:c r="C604" s="17" t="str">
        <x:v>Arizona State University Campus Immersion</x:v>
      </x:c>
      <x:c r="D604" s="17" t="str">
        <x:v>us:ipeds:104151:program:unclear:ipeds-discovery-signal-electrical-and-electronics-engineering-cip-14-1001</x:v>
      </x:c>
      <x:c r="E604" s="17" t="str"/>
      <x:c r="F604" s="17" t="str">
        <x:v>discovery</x:v>
      </x:c>
      <x:c r="G604" s="17" t="str">
        <x:v>Stage 2 recorded this row as a discovery candidate; it does not independently verify an exact current research program, eligibility, or funding.</x:v>
      </x:c>
      <x:c r="H604" s="17" t="str">
        <x:v>Pass 2 Stage 2 candidate funnel</x:v>
      </x:c>
      <x:c r="I604" s="17" t="str">
        <x:v>Graduate audit pipeline</x:v>
      </x:c>
      <x:c r="J604" s="17" t="str">
        <x:v>derived</x:v>
      </x:c>
      <x:c r="K604" s="17" t="str">
        <x:v>2026-09-11</x:v>
      </x:c>
      <x:c r="L604" s="17" t="str">
        <x:v>Not cycle-specific</x:v>
      </x:c>
      <x:c r="M604" s="17" t="str">
        <x:v>low</x:v>
      </x:c>
      <x:c r="N604" s="17" t="str">
        <x:v>Discovery evidence only</x:v>
      </x:c>
      <x:c r="O604" s="17" t="str">
        <x:v>Use the source_record_paths field to trace the underlying discovery inputs.</x:v>
      </x:c>
      <x:c r="P604" s="18" t="e">
        <x:f>HYPERLINK("https://www.asu.edu","Open source")</x:f>
        <x:v>HYPERLINK is not implemented. linkLocation=https://www.asu.edu, friendlyName=Open source</x:v>
      </x:c>
    </x:row>
    <x:row r="605" ht="46" customHeight="1">
      <x:c r="A605" s="17" t="str">
        <x:v>stage3src:37d7ff6c53946f2dc362</x:v>
      </x:c>
      <x:c r="B605" s="17" t="str">
        <x:v>program</x:v>
      </x:c>
      <x:c r="C605" s="17" t="str">
        <x:v>Arizona State University Campus Immersion</x:v>
      </x:c>
      <x:c r="D605" s="17" t="str">
        <x:v>us:ipeds:104151:program:unclear:ipeds-discovery-signal-mechatronics-robotics-and-automation-engineering-cip-14-4201</x:v>
      </x:c>
      <x:c r="E605" s="17" t="str"/>
      <x:c r="F605" s="17" t="str">
        <x:v>discovery</x:v>
      </x:c>
      <x:c r="G605" s="17" t="str">
        <x:v>Stage 2 recorded this row as a discovery candidate; it does not independently verify an exact current research program, eligibility, or funding.</x:v>
      </x:c>
      <x:c r="H605" s="17" t="str">
        <x:v>Pass 2 Stage 2 candidate funnel</x:v>
      </x:c>
      <x:c r="I605" s="17" t="str">
        <x:v>Graduate audit pipeline</x:v>
      </x:c>
      <x:c r="J605" s="17" t="str">
        <x:v>derived</x:v>
      </x:c>
      <x:c r="K605" s="17" t="str">
        <x:v>2026-09-11</x:v>
      </x:c>
      <x:c r="L605" s="17" t="str">
        <x:v>Not cycle-specific</x:v>
      </x:c>
      <x:c r="M605" s="17" t="str">
        <x:v>low</x:v>
      </x:c>
      <x:c r="N605" s="17" t="str">
        <x:v>Discovery evidence only</x:v>
      </x:c>
      <x:c r="O605" s="17" t="str">
        <x:v>Use the source_record_paths field to trace the underlying discovery inputs.</x:v>
      </x:c>
      <x:c r="P605" s="18" t="e">
        <x:f>HYPERLINK("https://www.asu.edu","Open source")</x:f>
        <x:v>HYPERLINK is not implemented. linkLocation=https://www.asu.edu, friendlyName=Open source</x:v>
      </x:c>
    </x:row>
    <x:row r="606" ht="46" customHeight="1">
      <x:c r="A606" s="17" t="str">
        <x:v>stage3src:2a7ac9574b2203b3976e</x:v>
      </x:c>
      <x:c r="B606" s="17" t="str">
        <x:v>program</x:v>
      </x:c>
      <x:c r="C606" s="17" t="str">
        <x:v>University of Arizona</x:v>
      </x:c>
      <x:c r="D606" s="17" t="str">
        <x:v>us:ipeds:104179:program:phd:computer-science-phd</x:v>
      </x:c>
      <x:c r="E606" s="17" t="str"/>
      <x:c r="F606" s="17" t="str">
        <x:v>admissions|fees</x:v>
      </x:c>
      <x:c r="G606" s="17" t="str">
        <x:v>Degree-seeking graduate application fee is USD 90 and a separate fee is required for each program.</x:v>
      </x:c>
      <x:c r="H606" s="17" t="str">
        <x:v>Application Fees</x:v>
      </x:c>
      <x:c r="I606" s="17" t="str">
        <x:v>University of Arizona Graduate College</x:v>
      </x:c>
      <x:c r="J606" s="17" t="str">
        <x:v>official</x:v>
      </x:c>
      <x:c r="K606" s="17" t="str">
        <x:v>2026-09-10</x:v>
      </x:c>
      <x:c r="L606" s="17" t="str">
        <x:v>Current page checked 2026-09-10</x:v>
      </x:c>
      <x:c r="M606" s="17" t="str">
        <x:v>high</x:v>
      </x:c>
      <x:c r="N606" s="17" t="str">
        <x:v>official page checked</x:v>
      </x:c>
      <x:c r="O606" s="17" t="str"/>
      <x:c r="P606" s="18" t="e">
        <x:f>HYPERLINK("https://grad.arizona.edu/admissions/procedures/application-fees","Open source")</x:f>
        <x:v>HYPERLINK is not implemented. linkLocation=https://grad.arizona.edu/admissions/procedures/application-fees, friendlyName=Open source</x:v>
      </x:c>
    </x:row>
    <x:row r="607" ht="46" customHeight="1">
      <x:c r="A607" s="17" t="str">
        <x:v>stage3src:5876d56f7e0057928bd1</x:v>
      </x:c>
      <x:c r="B607" s="17" t="str">
        <x:v>program</x:v>
      </x:c>
      <x:c r="C607" s="17" t="str">
        <x:v>University of Arizona</x:v>
      </x:c>
      <x:c r="D607" s="17" t="str">
        <x:v>us:ipeds:104179:program:phd:computer-science-phd</x:v>
      </x:c>
      <x:c r="E607" s="17" t="str"/>
      <x:c r="F607" s="17" t="str">
        <x:v>admissions|deadline</x:v>
      </x:c>
      <x:c r="G607" s="17" t="str">
        <x:v>PhD applications from domestic and international applicants are due January 15 for fall admission.</x:v>
      </x:c>
      <x:c r="H607" s="17" t="str">
        <x:v>Application Deadlines</x:v>
      </x:c>
      <x:c r="I607" s="17" t="str">
        <x:v>University of Arizona Department of Computer Science</x:v>
      </x:c>
      <x:c r="J607" s="17" t="str">
        <x:v>official</x:v>
      </x:c>
      <x:c r="K607" s="17" t="str">
        <x:v>2026-09-10</x:v>
      </x:c>
      <x:c r="L607" s="17" t="str">
        <x:v>Latest current page; year not printed</x:v>
      </x:c>
      <x:c r="M607" s="17" t="str">
        <x:v>high</x:v>
      </x:c>
      <x:c r="N607" s="17" t="str">
        <x:v>official page checked</x:v>
      </x:c>
      <x:c r="O607" s="17" t="str"/>
      <x:c r="P607" s="18" t="e">
        <x:f>HYPERLINK("https://cs.arizona.edu/graduate/prospective-students/application-deadlines","Open source")</x:f>
        <x:v>HYPERLINK is not implemented. linkLocation=https://cs.arizona.edu/graduate/prospective-students/application-deadlines, friendlyName=Open source</x:v>
      </x:c>
    </x:row>
    <x:row r="608" ht="46" customHeight="1">
      <x:c r="A608" s="17" t="str">
        <x:v>stage3src:7c33818f24d791f05028</x:v>
      </x:c>
      <x:c r="B608" s="17" t="str">
        <x:v>program</x:v>
      </x:c>
      <x:c r="C608" s="17" t="str">
        <x:v>University of Arizona</x:v>
      </x:c>
      <x:c r="D608" s="17" t="str">
        <x:v>us:ipeds:104179:program:phd:computer-science-phd</x:v>
      </x:c>
      <x:c r="E608" s="17" t="str"/>
      <x:c r="F608" s="17" t="str">
        <x:v>program|funding|fees</x:v>
      </x:c>
      <x:c r="G608" s="17" t="str">
        <x:v>Current research PhD route and multi-year assistantship funding for enrolled doctoral students making progress, including stipend, tuition waiver, and health insurance.</x:v>
      </x:c>
      <x:c r="H608" s="17" t="str">
        <x:v>Prospective Students</x:v>
      </x:c>
      <x:c r="I608" s="17" t="str">
        <x:v>University of Arizona Department of Computer Science</x:v>
      </x:c>
      <x:c r="J608" s="17" t="str">
        <x:v>official</x:v>
      </x:c>
      <x:c r="K608" s="17" t="str">
        <x:v>2026-09-10</x:v>
      </x:c>
      <x:c r="L608" s="17" t="str">
        <x:v>Current page checked 2026-09-10</x:v>
      </x:c>
      <x:c r="M608" s="17" t="str">
        <x:v>high</x:v>
      </x:c>
      <x:c r="N608" s="17" t="str">
        <x:v>official page checked</x:v>
      </x:c>
      <x:c r="O608" s="17" t="str"/>
      <x:c r="P608" s="18" t="e">
        <x:f>HYPERLINK("https://cs.arizona.edu/graduate/prospective-students","Open source")</x:f>
        <x:v>HYPERLINK is not implemented. linkLocation=https://cs.arizona.edu/graduate/prospective-students, friendlyName=Open source</x:v>
      </x:c>
    </x:row>
    <x:row r="609" ht="46" customHeight="1">
      <x:c r="A609" s="17" t="str">
        <x:v>stage3src:bcc19b6f254fd40fb775</x:v>
      </x:c>
      <x:c r="B609" s="17" t="str">
        <x:v>program</x:v>
      </x:c>
      <x:c r="C609" s="17" t="str">
        <x:v>University of Arizona</x:v>
      </x:c>
      <x:c r="D609" s="17" t="str">
        <x:v>us:ipeds:104179:program:phd:computer-science-phd</x:v>
      </x:c>
      <x:c r="E609" s="17" t="str"/>
      <x:c r="F609" s="17" t="str">
        <x:v>admissions|eligibility|language</x:v>
      </x:c>
      <x:c r="G609" s="17" t="str">
        <x:v>Graduate degree admission minimums, international degree requirements, and English-proficiency rules.</x:v>
      </x:c>
      <x:c r="H609" s="17" t="str">
        <x:v>Admissions Frequently Asked Questions</x:v>
      </x:c>
      <x:c r="I609" s="17" t="str">
        <x:v>University of Arizona Graduate College</x:v>
      </x:c>
      <x:c r="J609" s="17" t="str">
        <x:v>official</x:v>
      </x:c>
      <x:c r="K609" s="17" t="str">
        <x:v>2026-09-10</x:v>
      </x:c>
      <x:c r="L609" s="17" t="str">
        <x:v>Current page checked 2026-09-10</x:v>
      </x:c>
      <x:c r="M609" s="17" t="str">
        <x:v>high</x:v>
      </x:c>
      <x:c r="N609" s="17" t="str">
        <x:v>official page checked</x:v>
      </x:c>
      <x:c r="O609" s="17" t="str"/>
      <x:c r="P609" s="18" t="e">
        <x:f>HYPERLINK("https://grad.arizona.edu/admissions/faqs?field_audiences_target_id=1","Open source")</x:f>
        <x:v>HYPERLINK is not implemented. linkLocation=https://grad.arizona.edu/admissions/faqs?field_audiences_target_id=1, friendlyName=Open source</x:v>
      </x:c>
    </x:row>
    <x:row r="610" ht="46" customHeight="1">
      <x:c r="A610" s="17" t="str">
        <x:v>stage3src:dc3a2d331eef8be7f0f3</x:v>
      </x:c>
      <x:c r="B610" s="17" t="str">
        <x:v>program</x:v>
      </x:c>
      <x:c r="C610" s="17" t="str">
        <x:v>University of Arizona</x:v>
      </x:c>
      <x:c r="D610" s="17" t="str">
        <x:v>us:ipeds:104179:program:unclear:ipeds-discovery-signal-artificial-intelligence-cip-11-0102</x:v>
      </x:c>
      <x:c r="E610" s="17" t="str"/>
      <x:c r="F610" s="17" t="str">
        <x:v>discovery</x:v>
      </x:c>
      <x:c r="G610" s="17" t="str">
        <x:v>Stage 2 recorded this row as a discovery candidate; it does not independently verify an exact current research program, eligibility, or funding.</x:v>
      </x:c>
      <x:c r="H610" s="17" t="str">
        <x:v>Pass 2 Stage 2 candidate funnel</x:v>
      </x:c>
      <x:c r="I610" s="17" t="str">
        <x:v>Graduate audit pipeline</x:v>
      </x:c>
      <x:c r="J610" s="17" t="str">
        <x:v>derived</x:v>
      </x:c>
      <x:c r="K610" s="17" t="str">
        <x:v>2026-09-11</x:v>
      </x:c>
      <x:c r="L610" s="17" t="str">
        <x:v>Not cycle-specific</x:v>
      </x:c>
      <x:c r="M610" s="17" t="str">
        <x:v>low</x:v>
      </x:c>
      <x:c r="N610" s="17" t="str">
        <x:v>Discovery evidence only</x:v>
      </x:c>
      <x:c r="O610" s="17" t="str">
        <x:v>Use the source_record_paths field to trace the underlying discovery inputs.</x:v>
      </x:c>
      <x:c r="P610" s="18" t="e">
        <x:f>HYPERLINK("https://www.arizona.edu","Open source")</x:f>
        <x:v>HYPERLINK is not implemented. linkLocation=https://www.arizona.edu, friendlyName=Open source</x:v>
      </x:c>
    </x:row>
    <x:row r="611" ht="46" customHeight="1">
      <x:c r="A611" s="17" t="str">
        <x:v>stage3src:d65b74ce533f17649c94</x:v>
      </x:c>
      <x:c r="B611" s="17" t="str">
        <x:v>program</x:v>
      </x:c>
      <x:c r="C611" s="17" t="str">
        <x:v>University of Arizona</x:v>
      </x:c>
      <x:c r="D611" s="17" t="str">
        <x:v>us:ipeds:104179:program:unclear:ipeds-discovery-signal-computer-science-cip-11-0701</x:v>
      </x:c>
      <x:c r="E611" s="17" t="str"/>
      <x:c r="F611" s="17" t="str">
        <x:v>discovery</x:v>
      </x:c>
      <x:c r="G611" s="17" t="str">
        <x:v>Stage 2 recorded this row as a discovery candidate; it does not independently verify an exact current research program, eligibility, or funding.</x:v>
      </x:c>
      <x:c r="H611" s="17" t="str">
        <x:v>Pass 2 Stage 2 candidate funnel</x:v>
      </x:c>
      <x:c r="I611" s="17" t="str">
        <x:v>Graduate audit pipeline</x:v>
      </x:c>
      <x:c r="J611" s="17" t="str">
        <x:v>derived</x:v>
      </x:c>
      <x:c r="K611" s="17" t="str">
        <x:v>2026-09-11</x:v>
      </x:c>
      <x:c r="L611" s="17" t="str">
        <x:v>Not cycle-specific</x:v>
      </x:c>
      <x:c r="M611" s="17" t="str">
        <x:v>low</x:v>
      </x:c>
      <x:c r="N611" s="17" t="str">
        <x:v>Discovery evidence only</x:v>
      </x:c>
      <x:c r="O611" s="17" t="str">
        <x:v>Use the source_record_paths field to trace the underlying discovery inputs.</x:v>
      </x:c>
      <x:c r="P611" s="18" t="e">
        <x:f>HYPERLINK("https://www.arizona.edu","Open source")</x:f>
        <x:v>HYPERLINK is not implemented. linkLocation=https://www.arizona.edu, friendlyName=Open source</x:v>
      </x:c>
    </x:row>
    <x:row r="612" ht="46" customHeight="1">
      <x:c r="A612" s="17" t="str">
        <x:v>stage3src:6faefaa93d1275823742</x:v>
      </x:c>
      <x:c r="B612" s="17" t="str">
        <x:v>program</x:v>
      </x:c>
      <x:c r="C612" s="17" t="str">
        <x:v>University of Arizona</x:v>
      </x:c>
      <x:c r="D612" s="17" t="str">
        <x:v>us:ipeds:104179:program:unclear:ipeds-discovery-signal-cyber-computer-forensics-and-counterterrorism-cip-43-0403</x:v>
      </x:c>
      <x:c r="E612" s="17" t="str"/>
      <x:c r="F612" s="17" t="str">
        <x:v>discovery</x:v>
      </x:c>
      <x:c r="G612" s="17" t="str">
        <x:v>Stage 2 recorded this row as a discovery candidate; it does not independently verify an exact current research program, eligibility, or funding.</x:v>
      </x:c>
      <x:c r="H612" s="17" t="str">
        <x:v>Pass 2 Stage 2 candidate funnel</x:v>
      </x:c>
      <x:c r="I612" s="17" t="str">
        <x:v>Graduate audit pipeline</x:v>
      </x:c>
      <x:c r="J612" s="17" t="str">
        <x:v>derived</x:v>
      </x:c>
      <x:c r="K612" s="17" t="str">
        <x:v>2026-09-11</x:v>
      </x:c>
      <x:c r="L612" s="17" t="str">
        <x:v>Not cycle-specific</x:v>
      </x:c>
      <x:c r="M612" s="17" t="str">
        <x:v>low</x:v>
      </x:c>
      <x:c r="N612" s="17" t="str">
        <x:v>Discovery evidence only</x:v>
      </x:c>
      <x:c r="O612" s="17" t="str">
        <x:v>Use the source_record_paths field to trace the underlying discovery inputs.</x:v>
      </x:c>
      <x:c r="P612" s="18" t="e">
        <x:f>HYPERLINK("https://www.arizona.edu","Open source")</x:f>
        <x:v>HYPERLINK is not implemented. linkLocation=https://www.arizona.edu, friendlyName=Open source</x:v>
      </x:c>
    </x:row>
    <x:row r="613" ht="46" customHeight="1">
      <x:c r="A613" s="17" t="str">
        <x:v>stage3src:a50136a9444496cc37f6</x:v>
      </x:c>
      <x:c r="B613" s="17" t="str">
        <x:v>program</x:v>
      </x:c>
      <x:c r="C613" s="17" t="str">
        <x:v>University of Arizona</x:v>
      </x:c>
      <x:c r="D613" s="17" t="str">
        <x:v>us:ipeds:104179:program:unclear:ipeds-discovery-signal-data-science-general-cip-30-7001</x:v>
      </x:c>
      <x:c r="E613" s="17" t="str"/>
      <x:c r="F613" s="17" t="str">
        <x:v>discovery</x:v>
      </x:c>
      <x:c r="G613" s="17" t="str">
        <x:v>Stage 2 recorded this row as a discovery candidate; it does not independently verify an exact current research program, eligibility, or funding.</x:v>
      </x:c>
      <x:c r="H613" s="17" t="str">
        <x:v>Pass 2 Stage 2 candidate funnel</x:v>
      </x:c>
      <x:c r="I613" s="17" t="str">
        <x:v>Graduate audit pipeline</x:v>
      </x:c>
      <x:c r="J613" s="17" t="str">
        <x:v>derived</x:v>
      </x:c>
      <x:c r="K613" s="17" t="str">
        <x:v>2026-09-11</x:v>
      </x:c>
      <x:c r="L613" s="17" t="str">
        <x:v>Not cycle-specific</x:v>
      </x:c>
      <x:c r="M613" s="17" t="str">
        <x:v>low</x:v>
      </x:c>
      <x:c r="N613" s="17" t="str">
        <x:v>Discovery evidence only</x:v>
      </x:c>
      <x:c r="O613" s="17" t="str">
        <x:v>Use the source_record_paths field to trace the underlying discovery inputs.</x:v>
      </x:c>
      <x:c r="P613" s="18" t="e">
        <x:f>HYPERLINK("https://www.arizona.edu","Open source")</x:f>
        <x:v>HYPERLINK is not implemented. linkLocation=https://www.arizona.edu, friendlyName=Open source</x:v>
      </x:c>
    </x:row>
    <x:row r="614" ht="46" customHeight="1">
      <x:c r="A614" s="17" t="str">
        <x:v>stage3src:90ca079161180b179f0a</x:v>
      </x:c>
      <x:c r="B614" s="17" t="str">
        <x:v>program</x:v>
      </x:c>
      <x:c r="C614" s="17" t="str">
        <x:v>University of Arizona</x:v>
      </x:c>
      <x:c r="D614" s="17" t="str">
        <x:v>us:ipeds:104179:program:unclear:ipeds-discovery-signal-information-science-studies-cip-11-0401</x:v>
      </x:c>
      <x:c r="E614" s="17" t="str"/>
      <x:c r="F614" s="17" t="str">
        <x:v>discovery</x:v>
      </x:c>
      <x:c r="G614" s="17" t="str">
        <x:v>Stage 2 recorded this row as a discovery candidate; it does not independently verify an exact current research program, eligibility, or funding.</x:v>
      </x:c>
      <x:c r="H614" s="17" t="str">
        <x:v>Pass 2 Stage 2 candidate funnel</x:v>
      </x:c>
      <x:c r="I614" s="17" t="str">
        <x:v>Graduate audit pipeline</x:v>
      </x:c>
      <x:c r="J614" s="17" t="str">
        <x:v>derived</x:v>
      </x:c>
      <x:c r="K614" s="17" t="str">
        <x:v>2026-09-11</x:v>
      </x:c>
      <x:c r="L614" s="17" t="str">
        <x:v>Not cycle-specific</x:v>
      </x:c>
      <x:c r="M614" s="17" t="str">
        <x:v>low</x:v>
      </x:c>
      <x:c r="N614" s="17" t="str">
        <x:v>Discovery evidence only</x:v>
      </x:c>
      <x:c r="O614" s="17" t="str">
        <x:v>Use the source_record_paths field to trace the underlying discovery inputs.</x:v>
      </x:c>
      <x:c r="P614" s="18" t="e">
        <x:f>HYPERLINK("https://www.arizona.edu","Open source")</x:f>
        <x:v>HYPERLINK is not implemented. linkLocation=https://www.arizona.edu, friendlyName=Open source</x:v>
      </x:c>
    </x:row>
    <x:row r="615" ht="46" customHeight="1">
      <x:c r="A615" s="17" t="str">
        <x:v>stage3src:79b5742e58381713a0d4</x:v>
      </x:c>
      <x:c r="B615" s="17" t="str">
        <x:v>program</x:v>
      </x:c>
      <x:c r="C615" s="17" t="str">
        <x:v>University of Arizona</x:v>
      </x:c>
      <x:c r="D615" s="17" t="str">
        <x:v>us:ipeds:104179:program:unclear:ipeds-discovery-signal-information-technology-cip-11-0103</x:v>
      </x:c>
      <x:c r="E615" s="17" t="str"/>
      <x:c r="F615" s="17" t="str">
        <x:v>discovery</x:v>
      </x:c>
      <x:c r="G615" s="17" t="str">
        <x:v>Stage 2 recorded this row as a discovery candidate; it does not independently verify an exact current research program, eligibility, or funding.</x:v>
      </x:c>
      <x:c r="H615" s="17" t="str">
        <x:v>Pass 2 Stage 2 candidate funnel</x:v>
      </x:c>
      <x:c r="I615" s="17" t="str">
        <x:v>Graduate audit pipeline</x:v>
      </x:c>
      <x:c r="J615" s="17" t="str">
        <x:v>derived</x:v>
      </x:c>
      <x:c r="K615" s="17" t="str">
        <x:v>2026-09-11</x:v>
      </x:c>
      <x:c r="L615" s="17" t="str">
        <x:v>Not cycle-specific</x:v>
      </x:c>
      <x:c r="M615" s="17" t="str">
        <x:v>low</x:v>
      </x:c>
      <x:c r="N615" s="17" t="str">
        <x:v>Discovery evidence only</x:v>
      </x:c>
      <x:c r="O615" s="17" t="str">
        <x:v>Use the source_record_paths field to trace the underlying discovery inputs.</x:v>
      </x:c>
      <x:c r="P615" s="18" t="e">
        <x:f>HYPERLINK("https://www.arizona.edu","Open source")</x:f>
        <x:v>HYPERLINK is not implemented. linkLocation=https://www.arizona.edu, friendlyName=Open source</x:v>
      </x:c>
    </x:row>
    <x:row r="616" ht="46" customHeight="1">
      <x:c r="A616" s="17" t="str">
        <x:v>stage3src:df5bff03f9b8201223c5</x:v>
      </x:c>
      <x:c r="B616" s="17" t="str">
        <x:v>program</x:v>
      </x:c>
      <x:c r="C616" s="17" t="str">
        <x:v>Embry-Riddle Aeronautical University-Prescott</x:v>
      </x:c>
      <x:c r="D616" s="17" t="str">
        <x:v>us:ipeds:104586:program:unclear:ipeds-discovery-signal-cyber-computer-forensics-and-counterterrorism-cip-43-0403</x:v>
      </x:c>
      <x:c r="E616" s="17" t="str"/>
      <x:c r="F616" s="17" t="str">
        <x:v>discovery</x:v>
      </x:c>
      <x:c r="G616" s="17" t="str">
        <x:v>Stage 2 recorded this row as a discovery candidate; it does not independently verify an exact current research program, eligibility, or funding.</x:v>
      </x:c>
      <x:c r="H616" s="17" t="str">
        <x:v>Pass 2 Stage 2 candidate funnel</x:v>
      </x:c>
      <x:c r="I616" s="17" t="str">
        <x:v>Graduate audit pipeline</x:v>
      </x:c>
      <x:c r="J616" s="17" t="str">
        <x:v>derived</x:v>
      </x:c>
      <x:c r="K616" s="17" t="str">
        <x:v>2026-09-11</x:v>
      </x:c>
      <x:c r="L616" s="17" t="str">
        <x:v>Not cycle-specific</x:v>
      </x:c>
      <x:c r="M616" s="17" t="str">
        <x:v>low</x:v>
      </x:c>
      <x:c r="N616" s="17" t="str">
        <x:v>Discovery evidence only</x:v>
      </x:c>
      <x:c r="O616" s="17" t="str">
        <x:v>Use the source_record_paths field to trace the underlying discovery inputs.</x:v>
      </x:c>
      <x:c r="P616" s="18" t="e">
        <x:f>HYPERLINK("https://prescott.erau.edu","Open source")</x:f>
        <x:v>HYPERLINK is not implemented. linkLocation=https://prescott.erau.edu, friendlyName=Open source</x:v>
      </x:c>
    </x:row>
    <x:row r="617" ht="46" customHeight="1">
      <x:c r="A617" s="17" t="str">
        <x:v>stage3src:c05794e7c66bb69d6d3b</x:v>
      </x:c>
      <x:c r="B617" s="17" t="str">
        <x:v>program</x:v>
      </x:c>
      <x:c r="C617" s="17" t="str">
        <x:v>Grand Canyon University</x:v>
      </x:c>
      <x:c r="D617" s="17" t="str">
        <x:v>us:ipeds:104717:program:unclear:ipeds-discovery-signal-computer-and-information-sciences-general-cip-11-0101</x:v>
      </x:c>
      <x:c r="E617" s="17" t="str"/>
      <x:c r="F617" s="17" t="str">
        <x:v>discovery</x:v>
      </x:c>
      <x:c r="G617" s="17" t="str">
        <x:v>Stage 2 recorded this row as a discovery candidate; it does not independently verify an exact current research program, eligibility, or funding.</x:v>
      </x:c>
      <x:c r="H617" s="17" t="str">
        <x:v>Pass 2 Stage 2 candidate funnel</x:v>
      </x:c>
      <x:c r="I617" s="17" t="str">
        <x:v>Graduate audit pipeline</x:v>
      </x:c>
      <x:c r="J617" s="17" t="str">
        <x:v>derived</x:v>
      </x:c>
      <x:c r="K617" s="17" t="str">
        <x:v>2026-09-11</x:v>
      </x:c>
      <x:c r="L617" s="17" t="str">
        <x:v>Not cycle-specific</x:v>
      </x:c>
      <x:c r="M617" s="17" t="str">
        <x:v>low</x:v>
      </x:c>
      <x:c r="N617" s="17" t="str">
        <x:v>Discovery evidence only</x:v>
      </x:c>
      <x:c r="O617" s="17" t="str">
        <x:v>Use the source_record_paths field to trace the underlying discovery inputs.</x:v>
      </x:c>
      <x:c r="P617" s="18" t="e">
        <x:f>HYPERLINK("https://www.gcu.edu","Open source")</x:f>
        <x:v>HYPERLINK is not implemented. linkLocation=https://www.gcu.edu, friendlyName=Open source</x:v>
      </x:c>
    </x:row>
    <x:row r="618" ht="46" customHeight="1">
      <x:c r="A618" s="17" t="str">
        <x:v>stage3src:91522a6cacc10427ab53</x:v>
      </x:c>
      <x:c r="B618" s="17" t="str">
        <x:v>program</x:v>
      </x:c>
      <x:c r="C618" s="17" t="str">
        <x:v>Grand Canyon University</x:v>
      </x:c>
      <x:c r="D618" s="17" t="str">
        <x:v>us:ipeds:104717:program:unclear:ipeds-discovery-signal-computer-and-information-systems-security-auditing-information-assurance-cip-11-1003</x:v>
      </x:c>
      <x:c r="E618" s="17" t="str"/>
      <x:c r="F618" s="17" t="str">
        <x:v>discovery</x:v>
      </x:c>
      <x:c r="G618" s="17" t="str">
        <x:v>Stage 2 recorded this row as a discovery candidate; it does not independently verify an exact current research program, eligibility, or funding.</x:v>
      </x:c>
      <x:c r="H618" s="17" t="str">
        <x:v>Pass 2 Stage 2 candidate funnel</x:v>
      </x:c>
      <x:c r="I618" s="17" t="str">
        <x:v>Graduate audit pipeline</x:v>
      </x:c>
      <x:c r="J618" s="17" t="str">
        <x:v>derived</x:v>
      </x:c>
      <x:c r="K618" s="17" t="str">
        <x:v>2026-09-11</x:v>
      </x:c>
      <x:c r="L618" s="17" t="str">
        <x:v>Not cycle-specific</x:v>
      </x:c>
      <x:c r="M618" s="17" t="str">
        <x:v>low</x:v>
      </x:c>
      <x:c r="N618" s="17" t="str">
        <x:v>Discovery evidence only</x:v>
      </x:c>
      <x:c r="O618" s="17" t="str">
        <x:v>Use the source_record_paths field to trace the underlying discovery inputs.</x:v>
      </x:c>
      <x:c r="P618" s="18" t="e">
        <x:f>HYPERLINK("https://www.gcu.edu","Open source")</x:f>
        <x:v>HYPERLINK is not implemented. linkLocation=https://www.gcu.edu, friendlyName=Open source</x:v>
      </x:c>
    </x:row>
    <x:row r="619" ht="46" customHeight="1">
      <x:c r="A619" s="17" t="str">
        <x:v>stage3src:ce0e72d5d2ee993db542</x:v>
      </x:c>
      <x:c r="B619" s="17" t="str">
        <x:v>program</x:v>
      </x:c>
      <x:c r="C619" s="17" t="str">
        <x:v>Grand Canyon University</x:v>
      </x:c>
      <x:c r="D619" s="17" t="str">
        <x:v>us:ipeds:104717:program:unclear:ipeds-discovery-signal-computer-science-cip-11-0701</x:v>
      </x:c>
      <x:c r="E619" s="17" t="str"/>
      <x:c r="F619" s="17" t="str">
        <x:v>discovery</x:v>
      </x:c>
      <x:c r="G619" s="17" t="str">
        <x:v>Stage 2 recorded this row as a discovery candidate; it does not independently verify an exact current research program, eligibility, or funding.</x:v>
      </x:c>
      <x:c r="H619" s="17" t="str">
        <x:v>Pass 2 Stage 2 candidate funnel</x:v>
      </x:c>
      <x:c r="I619" s="17" t="str">
        <x:v>Graduate audit pipeline</x:v>
      </x:c>
      <x:c r="J619" s="17" t="str">
        <x:v>derived</x:v>
      </x:c>
      <x:c r="K619" s="17" t="str">
        <x:v>2026-09-11</x:v>
      </x:c>
      <x:c r="L619" s="17" t="str">
        <x:v>Not cycle-specific</x:v>
      </x:c>
      <x:c r="M619" s="17" t="str">
        <x:v>low</x:v>
      </x:c>
      <x:c r="N619" s="17" t="str">
        <x:v>Discovery evidence only</x:v>
      </x:c>
      <x:c r="O619" s="17" t="str">
        <x:v>Use the source_record_paths field to trace the underlying discovery inputs.</x:v>
      </x:c>
      <x:c r="P619" s="18" t="e">
        <x:f>HYPERLINK("https://www.gcu.edu","Open source")</x:f>
        <x:v>HYPERLINK is not implemented. linkLocation=https://www.gcu.edu, friendlyName=Open source</x:v>
      </x:c>
    </x:row>
    <x:row r="620" ht="46" customHeight="1">
      <x:c r="A620" s="17" t="str">
        <x:v>stage3src:1b37af0703b91199fcb1</x:v>
      </x:c>
      <x:c r="B620" s="17" t="str">
        <x:v>program</x:v>
      </x:c>
      <x:c r="C620" s="17" t="str">
        <x:v>Grand Canyon University</x:v>
      </x:c>
      <x:c r="D620" s="17" t="str">
        <x:v>us:ipeds:104717:program:unclear:ipeds-discovery-signal-computer-software-engineering-cip-14-0903</x:v>
      </x:c>
      <x:c r="E620" s="17" t="str"/>
      <x:c r="F620" s="17" t="str">
        <x:v>discovery</x:v>
      </x:c>
      <x:c r="G620" s="17" t="str">
        <x:v>Stage 2 recorded this row as a discovery candidate; it does not independently verify an exact current research program, eligibility, or funding.</x:v>
      </x:c>
      <x:c r="H620" s="17" t="str">
        <x:v>Pass 2 Stage 2 candidate funnel</x:v>
      </x:c>
      <x:c r="I620" s="17" t="str">
        <x:v>Graduate audit pipeline</x:v>
      </x:c>
      <x:c r="J620" s="17" t="str">
        <x:v>derived</x:v>
      </x:c>
      <x:c r="K620" s="17" t="str">
        <x:v>2026-09-11</x:v>
      </x:c>
      <x:c r="L620" s="17" t="str">
        <x:v>Not cycle-specific</x:v>
      </x:c>
      <x:c r="M620" s="17" t="str">
        <x:v>low</x:v>
      </x:c>
      <x:c r="N620" s="17" t="str">
        <x:v>Discovery evidence only</x:v>
      </x:c>
      <x:c r="O620" s="17" t="str">
        <x:v>Use the source_record_paths field to trace the underlying discovery inputs.</x:v>
      </x:c>
      <x:c r="P620" s="18" t="e">
        <x:f>HYPERLINK("https://www.gcu.edu","Open source")</x:f>
        <x:v>HYPERLINK is not implemented. linkLocation=https://www.gcu.edu, friendlyName=Open source</x:v>
      </x:c>
    </x:row>
    <x:row r="621" ht="46" customHeight="1">
      <x:c r="A621" s="17" t="str">
        <x:v>stage3src:984598e65d8c45c9f960</x:v>
      </x:c>
      <x:c r="B621" s="17" t="str">
        <x:v>program</x:v>
      </x:c>
      <x:c r="C621" s="17" t="str">
        <x:v>Grand Canyon University</x:v>
      </x:c>
      <x:c r="D621" s="17" t="str">
        <x:v>us:ipeds:104717:program:unclear:ipeds-discovery-signal-cyber-computer-forensics-and-counterterrorism-cip-43-0403</x:v>
      </x:c>
      <x:c r="E621" s="17" t="str"/>
      <x:c r="F621" s="17" t="str">
        <x:v>discovery</x:v>
      </x:c>
      <x:c r="G621" s="17" t="str">
        <x:v>Stage 2 recorded this row as a discovery candidate; it does not independently verify an exact current research program, eligibility, or funding.</x:v>
      </x:c>
      <x:c r="H621" s="17" t="str">
        <x:v>Pass 2 Stage 2 candidate funnel</x:v>
      </x:c>
      <x:c r="I621" s="17" t="str">
        <x:v>Graduate audit pipeline</x:v>
      </x:c>
      <x:c r="J621" s="17" t="str">
        <x:v>derived</x:v>
      </x:c>
      <x:c r="K621" s="17" t="str">
        <x:v>2026-09-11</x:v>
      </x:c>
      <x:c r="L621" s="17" t="str">
        <x:v>Not cycle-specific</x:v>
      </x:c>
      <x:c r="M621" s="17" t="str">
        <x:v>low</x:v>
      </x:c>
      <x:c r="N621" s="17" t="str">
        <x:v>Discovery evidence only</x:v>
      </x:c>
      <x:c r="O621" s="17" t="str">
        <x:v>Use the source_record_paths field to trace the underlying discovery inputs.</x:v>
      </x:c>
      <x:c r="P621" s="18" t="e">
        <x:f>HYPERLINK("https://www.gcu.edu","Open source")</x:f>
        <x:v>HYPERLINK is not implemented. linkLocation=https://www.gcu.edu, friendlyName=Open source</x:v>
      </x:c>
    </x:row>
    <x:row r="622" ht="46" customHeight="1">
      <x:c r="A622" s="17" t="str">
        <x:v>stage3src:1d8215ea0322a583200b</x:v>
      </x:c>
      <x:c r="B622" s="17" t="str">
        <x:v>program</x:v>
      </x:c>
      <x:c r="C622" s="17" t="str">
        <x:v>Grand Canyon University</x:v>
      </x:c>
      <x:c r="D622" s="17" t="str">
        <x:v>us:ipeds:104717:program:unclear:ipeds-discovery-signal-information-technology-cip-11-0103</x:v>
      </x:c>
      <x:c r="E622" s="17" t="str"/>
      <x:c r="F622" s="17" t="str">
        <x:v>discovery</x:v>
      </x:c>
      <x:c r="G622" s="17" t="str">
        <x:v>Stage 2 recorded this row as a discovery candidate; it does not independently verify an exact current research program, eligibility, or funding.</x:v>
      </x:c>
      <x:c r="H622" s="17" t="str">
        <x:v>Pass 2 Stage 2 candidate funnel</x:v>
      </x:c>
      <x:c r="I622" s="17" t="str">
        <x:v>Graduate audit pipeline</x:v>
      </x:c>
      <x:c r="J622" s="17" t="str">
        <x:v>derived</x:v>
      </x:c>
      <x:c r="K622" s="17" t="str">
        <x:v>2026-09-11</x:v>
      </x:c>
      <x:c r="L622" s="17" t="str">
        <x:v>Not cycle-specific</x:v>
      </x:c>
      <x:c r="M622" s="17" t="str">
        <x:v>low</x:v>
      </x:c>
      <x:c r="N622" s="17" t="str">
        <x:v>Discovery evidence only</x:v>
      </x:c>
      <x:c r="O622" s="17" t="str">
        <x:v>Use the source_record_paths field to trace the underlying discovery inputs.</x:v>
      </x:c>
      <x:c r="P622" s="18" t="e">
        <x:f>HYPERLINK("https://www.gcu.edu","Open source")</x:f>
        <x:v>HYPERLINK is not implemented. linkLocation=https://www.gcu.edu, friendlyName=Open source</x:v>
      </x:c>
    </x:row>
    <x:row r="623" ht="46" customHeight="1">
      <x:c r="A623" s="17" t="str">
        <x:v>stage3src:6ddbb56906a8f7721a0d</x:v>
      </x:c>
      <x:c r="B623" s="17" t="str">
        <x:v>program</x:v>
      </x:c>
      <x:c r="C623" s="17" t="str">
        <x:v>Northern Arizona University</x:v>
      </x:c>
      <x:c r="D623" s="17" t="str">
        <x:v>us:ipeds:105330:program:unclear:ipeds-discovery-signal-computer-science-cip-11-0701</x:v>
      </x:c>
      <x:c r="E623" s="17" t="str"/>
      <x:c r="F623" s="17" t="str">
        <x:v>discovery</x:v>
      </x:c>
      <x:c r="G623" s="17" t="str">
        <x:v>Stage 2 recorded this row as a discovery candidate; it does not independently verify an exact current research program, eligibility, or funding.</x:v>
      </x:c>
      <x:c r="H623" s="17" t="str">
        <x:v>Pass 2 Stage 2 candidate funnel</x:v>
      </x:c>
      <x:c r="I623" s="17" t="str">
        <x:v>Graduate audit pipeline</x:v>
      </x:c>
      <x:c r="J623" s="17" t="str">
        <x:v>derived</x:v>
      </x:c>
      <x:c r="K623" s="17" t="str">
        <x:v>2026-09-11</x:v>
      </x:c>
      <x:c r="L623" s="17" t="str">
        <x:v>Not cycle-specific</x:v>
      </x:c>
      <x:c r="M623" s="17" t="str">
        <x:v>low</x:v>
      </x:c>
      <x:c r="N623" s="17" t="str">
        <x:v>Discovery evidence only</x:v>
      </x:c>
      <x:c r="O623" s="17" t="str">
        <x:v>Use the source_record_paths field to trace the underlying discovery inputs.</x:v>
      </x:c>
      <x:c r="P623" s="18" t="e">
        <x:f>HYPERLINK("https://nau.edu","Open source")</x:f>
        <x:v>HYPERLINK is not implemented. linkLocation=https://nau.edu, friendlyName=Open source</x:v>
      </x:c>
    </x:row>
    <x:row r="624" ht="46" customHeight="1">
      <x:c r="A624" s="17" t="str">
        <x:v>stage3src:5f486f5ceb1e33281922</x:v>
      </x:c>
      <x:c r="B624" s="17" t="str">
        <x:v>program</x:v>
      </x:c>
      <x:c r="C624" s="17" t="str">
        <x:v>Northern Arizona University</x:v>
      </x:c>
      <x:c r="D624" s="17" t="str">
        <x:v>us:ipeds:105330:program:unclear:ipeds-discovery-signal-informatics-cip-11-0104</x:v>
      </x:c>
      <x:c r="E624" s="17" t="str"/>
      <x:c r="F624" s="17" t="str">
        <x:v>discovery</x:v>
      </x:c>
      <x:c r="G624" s="17" t="str">
        <x:v>Stage 2 recorded this row as a discovery candidate; it does not independently verify an exact current research program, eligibility, or funding.</x:v>
      </x:c>
      <x:c r="H624" s="17" t="str">
        <x:v>Pass 2 Stage 2 candidate funnel</x:v>
      </x:c>
      <x:c r="I624" s="17" t="str">
        <x:v>Graduate audit pipeline</x:v>
      </x:c>
      <x:c r="J624" s="17" t="str">
        <x:v>derived</x:v>
      </x:c>
      <x:c r="K624" s="17" t="str">
        <x:v>2026-09-11</x:v>
      </x:c>
      <x:c r="L624" s="17" t="str">
        <x:v>Not cycle-specific</x:v>
      </x:c>
      <x:c r="M624" s="17" t="str">
        <x:v>low</x:v>
      </x:c>
      <x:c r="N624" s="17" t="str">
        <x:v>Discovery evidence only</x:v>
      </x:c>
      <x:c r="O624" s="17" t="str">
        <x:v>Use the source_record_paths field to trace the underlying discovery inputs.</x:v>
      </x:c>
      <x:c r="P624" s="18" t="e">
        <x:f>HYPERLINK("https://nau.edu","Open source")</x:f>
        <x:v>HYPERLINK is not implemented. linkLocation=https://nau.edu, friendlyName=Open source</x:v>
      </x:c>
    </x:row>
    <x:row r="625" ht="46" customHeight="1">
      <x:c r="A625" s="17" t="str">
        <x:v>stage3src:4e3d14c027ddd8594faf</x:v>
      </x:c>
      <x:c r="B625" s="17" t="str">
        <x:v>program</x:v>
      </x:c>
      <x:c r="C625" s="17" t="str">
        <x:v>Northern Arizona University</x:v>
      </x:c>
      <x:c r="D625" s="17" t="str">
        <x:v>us:ipeds:105330:program:unclear:ipeds-discovery-signal-information-technology-cip-11-0103</x:v>
      </x:c>
      <x:c r="E625" s="17" t="str"/>
      <x:c r="F625" s="17" t="str">
        <x:v>discovery</x:v>
      </x:c>
      <x:c r="G625" s="17" t="str">
        <x:v>Stage 2 recorded this row as a discovery candidate; it does not independently verify an exact current research program, eligibility, or funding.</x:v>
      </x:c>
      <x:c r="H625" s="17" t="str">
        <x:v>Pass 2 Stage 2 candidate funnel</x:v>
      </x:c>
      <x:c r="I625" s="17" t="str">
        <x:v>Graduate audit pipeline</x:v>
      </x:c>
      <x:c r="J625" s="17" t="str">
        <x:v>derived</x:v>
      </x:c>
      <x:c r="K625" s="17" t="str">
        <x:v>2026-09-11</x:v>
      </x:c>
      <x:c r="L625" s="17" t="str">
        <x:v>Not cycle-specific</x:v>
      </x:c>
      <x:c r="M625" s="17" t="str">
        <x:v>low</x:v>
      </x:c>
      <x:c r="N625" s="17" t="str">
        <x:v>Discovery evidence only</x:v>
      </x:c>
      <x:c r="O625" s="17" t="str">
        <x:v>Use the source_record_paths field to trace the underlying discovery inputs.</x:v>
      </x:c>
      <x:c r="P625" s="18" t="e">
        <x:f>HYPERLINK("https://nau.edu","Open source")</x:f>
        <x:v>HYPERLINK is not implemented. linkLocation=https://nau.edu, friendlyName=Open source</x:v>
      </x:c>
    </x:row>
    <x:row r="626" ht="46" customHeight="1">
      <x:c r="A626" s="17" t="str">
        <x:v>stage3src:fc036d0433f78656dce6</x:v>
      </x:c>
      <x:c r="B626" s="17" t="str">
        <x:v>program</x:v>
      </x:c>
      <x:c r="C626" s="17" t="str">
        <x:v>University of Arkansas at Little Rock</x:v>
      </x:c>
      <x:c r="D626" s="17" t="str">
        <x:v>us:ipeds:106245:program:unclear:ipeds-discovery-signal-computer-and-information-sciences-general-cip-11-0101</x:v>
      </x:c>
      <x:c r="E626" s="17" t="str"/>
      <x:c r="F626" s="17" t="str">
        <x:v>discovery</x:v>
      </x:c>
      <x:c r="G626" s="17" t="str">
        <x:v>Stage 2 recorded this row as a discovery candidate; it does not independently verify an exact current research program, eligibility, or funding.</x:v>
      </x:c>
      <x:c r="H626" s="17" t="str">
        <x:v>Pass 2 Stage 2 candidate funnel</x:v>
      </x:c>
      <x:c r="I626" s="17" t="str">
        <x:v>Graduate audit pipeline</x:v>
      </x:c>
      <x:c r="J626" s="17" t="str">
        <x:v>derived</x:v>
      </x:c>
      <x:c r="K626" s="17" t="str">
        <x:v>2026-09-11</x:v>
      </x:c>
      <x:c r="L626" s="17" t="str">
        <x:v>Not cycle-specific</x:v>
      </x:c>
      <x:c r="M626" s="17" t="str">
        <x:v>low</x:v>
      </x:c>
      <x:c r="N626" s="17" t="str">
        <x:v>Discovery evidence only</x:v>
      </x:c>
      <x:c r="O626" s="17" t="str">
        <x:v>Use the source_record_paths field to trace the underlying discovery inputs.</x:v>
      </x:c>
      <x:c r="P626" s="18" t="e">
        <x:f>HYPERLINK("https://ualr.edu/www","Open source")</x:f>
        <x:v>HYPERLINK is not implemented. linkLocation=https://ualr.edu/www, friendlyName=Open source</x:v>
      </x:c>
    </x:row>
    <x:row r="627" ht="46" customHeight="1">
      <x:c r="A627" s="17" t="str">
        <x:v>stage3src:459de3c6d9c2a4a07b0c</x:v>
      </x:c>
      <x:c r="B627" s="17" t="str">
        <x:v>program</x:v>
      </x:c>
      <x:c r="C627" s="17" t="str">
        <x:v>University of Arkansas at Little Rock</x:v>
      </x:c>
      <x:c r="D627" s="17" t="str">
        <x:v>us:ipeds:106245:program:unclear:ipeds-discovery-signal-computer-and-information-sciences-other-cip-11-0199</x:v>
      </x:c>
      <x:c r="E627" s="17" t="str"/>
      <x:c r="F627" s="17" t="str">
        <x:v>discovery</x:v>
      </x:c>
      <x:c r="G627" s="17" t="str">
        <x:v>Stage 2 recorded this row as a discovery candidate; it does not independently verify an exact current research program, eligibility, or funding.</x:v>
      </x:c>
      <x:c r="H627" s="17" t="str">
        <x:v>Pass 2 Stage 2 candidate funnel</x:v>
      </x:c>
      <x:c r="I627" s="17" t="str">
        <x:v>Graduate audit pipeline</x:v>
      </x:c>
      <x:c r="J627" s="17" t="str">
        <x:v>derived</x:v>
      </x:c>
      <x:c r="K627" s="17" t="str">
        <x:v>2026-09-11</x:v>
      </x:c>
      <x:c r="L627" s="17" t="str">
        <x:v>Not cycle-specific</x:v>
      </x:c>
      <x:c r="M627" s="17" t="str">
        <x:v>low</x:v>
      </x:c>
      <x:c r="N627" s="17" t="str">
        <x:v>Discovery evidence only</x:v>
      </x:c>
      <x:c r="O627" s="17" t="str">
        <x:v>Use the source_record_paths field to trace the underlying discovery inputs.</x:v>
      </x:c>
      <x:c r="P627" s="18" t="e">
        <x:f>HYPERLINK("https://ualr.edu/www","Open source")</x:f>
        <x:v>HYPERLINK is not implemented. linkLocation=https://ualr.edu/www, friendlyName=Open source</x:v>
      </x:c>
    </x:row>
    <x:row r="628" ht="46" customHeight="1">
      <x:c r="A628" s="17" t="str">
        <x:v>stage3src:974e49cb1441c5fa11e8</x:v>
      </x:c>
      <x:c r="B628" s="17" t="str">
        <x:v>program</x:v>
      </x:c>
      <x:c r="C628" s="17" t="str">
        <x:v>University of Arkansas at Little Rock</x:v>
      </x:c>
      <x:c r="D628" s="17" t="str">
        <x:v>us:ipeds:106245:program:unclear:ipeds-discovery-signal-information-science-studies-cip-11-0401</x:v>
      </x:c>
      <x:c r="E628" s="17" t="str"/>
      <x:c r="F628" s="17" t="str">
        <x:v>discovery</x:v>
      </x:c>
      <x:c r="G628" s="17" t="str">
        <x:v>Stage 2 recorded this row as a discovery candidate; it does not independently verify an exact current research program, eligibility, or funding.</x:v>
      </x:c>
      <x:c r="H628" s="17" t="str">
        <x:v>Pass 2 Stage 2 candidate funnel</x:v>
      </x:c>
      <x:c r="I628" s="17" t="str">
        <x:v>Graduate audit pipeline</x:v>
      </x:c>
      <x:c r="J628" s="17" t="str">
        <x:v>derived</x:v>
      </x:c>
      <x:c r="K628" s="17" t="str">
        <x:v>2026-09-11</x:v>
      </x:c>
      <x:c r="L628" s="17" t="str">
        <x:v>Not cycle-specific</x:v>
      </x:c>
      <x:c r="M628" s="17" t="str">
        <x:v>low</x:v>
      </x:c>
      <x:c r="N628" s="17" t="str">
        <x:v>Discovery evidence only</x:v>
      </x:c>
      <x:c r="O628" s="17" t="str">
        <x:v>Use the source_record_paths field to trace the underlying discovery inputs.</x:v>
      </x:c>
      <x:c r="P628" s="18" t="e">
        <x:f>HYPERLINK("https://ualr.edu/www","Open source")</x:f>
        <x:v>HYPERLINK is not implemented. linkLocation=https://ualr.edu/www, friendlyName=Open source</x:v>
      </x:c>
    </x:row>
    <x:row r="629" ht="46" customHeight="1">
      <x:c r="A629" s="17" t="str">
        <x:v>stage3src:707209a908473ca2bb8e</x:v>
      </x:c>
      <x:c r="B629" s="17" t="str">
        <x:v>program</x:v>
      </x:c>
      <x:c r="C629" s="17" t="str">
        <x:v>University of Arkansas at Little Rock</x:v>
      </x:c>
      <x:c r="D629" s="17" t="str">
        <x:v>us:ipeds:106245:program:unclear:ipeds-discovery-signal-mechatronics-robotics-and-automation-engineering-cip-14-4201</x:v>
      </x:c>
      <x:c r="E629" s="17" t="str"/>
      <x:c r="F629" s="17" t="str">
        <x:v>discovery</x:v>
      </x:c>
      <x:c r="G629" s="17" t="str">
        <x:v>Stage 2 recorded this row as a discovery candidate; it does not independently verify an exact current research program, eligibility, or funding.</x:v>
      </x:c>
      <x:c r="H629" s="17" t="str">
        <x:v>Pass 2 Stage 2 candidate funnel</x:v>
      </x:c>
      <x:c r="I629" s="17" t="str">
        <x:v>Graduate audit pipeline</x:v>
      </x:c>
      <x:c r="J629" s="17" t="str">
        <x:v>derived</x:v>
      </x:c>
      <x:c r="K629" s="17" t="str">
        <x:v>2026-09-11</x:v>
      </x:c>
      <x:c r="L629" s="17" t="str">
        <x:v>Not cycle-specific</x:v>
      </x:c>
      <x:c r="M629" s="17" t="str">
        <x:v>low</x:v>
      </x:c>
      <x:c r="N629" s="17" t="str">
        <x:v>Discovery evidence only</x:v>
      </x:c>
      <x:c r="O629" s="17" t="str">
        <x:v>Use the source_record_paths field to trace the underlying discovery inputs.</x:v>
      </x:c>
      <x:c r="P629" s="18" t="e">
        <x:f>HYPERLINK("https://ualr.edu/www","Open source")</x:f>
        <x:v>HYPERLINK is not implemented. linkLocation=https://ualr.edu/www, friendlyName=Open source</x:v>
      </x:c>
    </x:row>
    <x:row r="630" ht="46" customHeight="1">
      <x:c r="A630" s="17" t="str">
        <x:v>stage3src:bc6bdc2d3d2a410bb264</x:v>
      </x:c>
      <x:c r="B630" s="17" t="str">
        <x:v>program</x:v>
      </x:c>
      <x:c r="C630" s="17" t="str">
        <x:v>University of Arkansas</x:v>
      </x:c>
      <x:c r="D630" s="17" t="str">
        <x:v>us:ipeds:106397:program:phd:ph-d-in-computer-science</x:v>
      </x:c>
      <x:c r="E630" s="17" t="str"/>
      <x:c r="F630" s="17" t="str">
        <x:v>admissions|eligibility|language|deadline|fees</x:v>
      </x:c>
      <x:c r="G630" s="17" t="str">
        <x:v>International April 1 deadline, February 1 assistantship priority, English evaluation, USD 75 fee, and limited waivers.</x:v>
      </x:c>
      <x:c r="H630" s="17" t="str">
        <x:v>Graduate Admissions</x:v>
      </x:c>
      <x:c r="I630" s="17" t="str">
        <x:v>University of Arkansas Graduate School</x:v>
      </x:c>
      <x:c r="J630" s="17" t="str">
        <x:v>official</x:v>
      </x:c>
      <x:c r="K630" s="17" t="str">
        <x:v>2026-09-11</x:v>
      </x:c>
      <x:c r="L630" s="17" t="str">
        <x:v>Current guidance checked 2026-09-11</x:v>
      </x:c>
      <x:c r="M630" s="17" t="str">
        <x:v>high</x:v>
      </x:c>
      <x:c r="N630" s="17" t="str">
        <x:v>official page checked</x:v>
      </x:c>
      <x:c r="O630" s="17" t="str"/>
      <x:c r="P630" s="18" t="e">
        <x:f>HYPERLINK("https://graduate-students.uark.edu/admissions/","Open source")</x:f>
        <x:v>HYPERLINK is not implemented. linkLocation=https://graduate-students.uark.edu/admissions/, friendlyName=Open source</x:v>
      </x:c>
    </x:row>
    <x:row r="631" ht="46" customHeight="1">
      <x:c r="A631" s="17" t="str">
        <x:v>stage3src:c84a41a76663ec217d15</x:v>
      </x:c>
      <x:c r="B631" s="17" t="str">
        <x:v>program</x:v>
      </x:c>
      <x:c r="C631" s="17" t="str">
        <x:v>University of Arkansas</x:v>
      </x:c>
      <x:c r="D631" s="17" t="str">
        <x:v>us:ipeds:106397:program:phd:ph-d-in-computer-science</x:v>
      </x:c>
      <x:c r="E631" s="17" t="str"/>
      <x:c r="F631" s="17" t="str">
        <x:v>funding|fees|deadline</x:v>
      </x:c>
      <x:c r="G631" s="17" t="str">
        <x:v>Competitive assistantships, published CS base stipend, tuition waiver, discounted health coverage, and DDF/DAF supplements and duration.</x:v>
      </x:c>
      <x:c r="H631" s="17" t="str">
        <x:v>Tuition and Aid</x:v>
      </x:c>
      <x:c r="I631" s="17" t="str">
        <x:v>University of Arkansas College of Engineering</x:v>
      </x:c>
      <x:c r="J631" s="17" t="str">
        <x:v>official</x:v>
      </x:c>
      <x:c r="K631" s="17" t="str">
        <x:v>2026-09-11</x:v>
      </x:c>
      <x:c r="L631" s="17" t="str">
        <x:v>Current page checked 2026-09-11</x:v>
      </x:c>
      <x:c r="M631" s="17" t="str">
        <x:v>high</x:v>
      </x:c>
      <x:c r="N631" s="17" t="str">
        <x:v>official page checked</x:v>
      </x:c>
      <x:c r="O631" s="17" t="str"/>
      <x:c r="P631" s="18" t="e">
        <x:f>HYPERLINK("https://engineering.uark.edu/tuition-and-aid/","Open source")</x:f>
        <x:v>HYPERLINK is not implemented. linkLocation=https://engineering.uark.edu/tuition-and-aid/, friendlyName=Open source</x:v>
      </x:c>
    </x:row>
    <x:row r="632" ht="46" customHeight="1">
      <x:c r="A632" s="17" t="str">
        <x:v>stage3src:cffac88b066ffb5912cb</x:v>
      </x:c>
      <x:c r="B632" s="17" t="str">
        <x:v>program</x:v>
      </x:c>
      <x:c r="C632" s="17" t="str">
        <x:v>University of Arkansas</x:v>
      </x:c>
      <x:c r="D632" s="17" t="str">
        <x:v>us:ipeds:106397:program:phd:ph-d-in-computer-science</x:v>
      </x:c>
      <x:c r="E632" s="17" t="str"/>
      <x:c r="F632" s="17" t="str">
        <x:v>program|admissions|eligibility|language</x:v>
      </x:c>
      <x:c r="G632" s="17" t="str">
        <x:v>Exact CS doctoral concentration, bachelor's entry, 3.0 GPA, satisfactory GRE, English evidence, deficiencies, and dissertation-credit requirement.</x:v>
      </x:c>
      <x:c r="H632" s="17" t="str">
        <x:v>Computer Science and Computer Engineering</x:v>
      </x:c>
      <x:c r="I632" s="17" t="str">
        <x:v>University of Arkansas Graduate Catalog</x:v>
      </x:c>
      <x:c r="J632" s="17" t="str">
        <x:v>official</x:v>
      </x:c>
      <x:c r="K632" s="17" t="str">
        <x:v>2026-09-11</x:v>
      </x:c>
      <x:c r="L632" s="17" t="str">
        <x:v>Current catalog checked 2026-09-11</x:v>
      </x:c>
      <x:c r="M632" s="17" t="str">
        <x:v>high</x:v>
      </x:c>
      <x:c r="N632" s="17" t="str">
        <x:v>official page checked</x:v>
      </x:c>
      <x:c r="O632" s="17" t="str"/>
      <x:c r="P632" s="18" t="e">
        <x:f>HYPERLINK("https://catalog.uark.edu/graduatecatalog/programsofstudy/computerscienceandcomputerengineeringcsce/","Open source")</x:f>
        <x:v>HYPERLINK is not implemented. linkLocation=https://catalog.uark.edu/graduatecatalog/programsofstudy/computerscienceandcomputerengineeringcsce/, friendlyName=Open source</x:v>
      </x:c>
    </x:row>
    <x:row r="633" ht="46" customHeight="1">
      <x:c r="A633" s="17" t="str">
        <x:v>stage3src:b82fa09215fa5bfd08c1</x:v>
      </x:c>
      <x:c r="B633" s="17" t="str">
        <x:v>program</x:v>
      </x:c>
      <x:c r="C633" s="17" t="str">
        <x:v>University of Arkansas</x:v>
      </x:c>
      <x:c r="D633" s="17" t="str">
        <x:v>us:ipeds:106397:program:unclear:ipeds-discovery-signal-computer-engineering-general-cip-14-0901</x:v>
      </x:c>
      <x:c r="E633" s="17" t="str"/>
      <x:c r="F633" s="17" t="str">
        <x:v>discovery</x:v>
      </x:c>
      <x:c r="G633" s="17" t="str">
        <x:v>Stage 2 recorded this row as a discovery candidate; it does not independently verify an exact current research program, eligibility, or funding.</x:v>
      </x:c>
      <x:c r="H633" s="17" t="str">
        <x:v>Pass 2 Stage 2 candidate funnel</x:v>
      </x:c>
      <x:c r="I633" s="17" t="str">
        <x:v>Graduate audit pipeline</x:v>
      </x:c>
      <x:c r="J633" s="17" t="str">
        <x:v>derived</x:v>
      </x:c>
      <x:c r="K633" s="17" t="str">
        <x:v>2026-09-11</x:v>
      </x:c>
      <x:c r="L633" s="17" t="str">
        <x:v>Not cycle-specific</x:v>
      </x:c>
      <x:c r="M633" s="17" t="str">
        <x:v>low</x:v>
      </x:c>
      <x:c r="N633" s="17" t="str">
        <x:v>Discovery evidence only</x:v>
      </x:c>
      <x:c r="O633" s="17" t="str">
        <x:v>Use the source_record_paths field to trace the underlying discovery inputs.</x:v>
      </x:c>
      <x:c r="P633" s="18" t="e">
        <x:f>HYPERLINK("https://www.uark.edu","Open source")</x:f>
        <x:v>HYPERLINK is not implemented. linkLocation=https://www.uark.edu, friendlyName=Open source</x:v>
      </x:c>
    </x:row>
    <x:row r="634" ht="46" customHeight="1">
      <x:c r="A634" s="17" t="str">
        <x:v>stage3src:8516f6cc3a33b9a651de</x:v>
      </x:c>
      <x:c r="B634" s="17" t="str">
        <x:v>program</x:v>
      </x:c>
      <x:c r="C634" s="17" t="str">
        <x:v>University of Arkansas</x:v>
      </x:c>
      <x:c r="D634" s="17" t="str">
        <x:v>us:ipeds:106397:program:unclear:ipeds-discovery-signal-computer-science-cip-11-0701</x:v>
      </x:c>
      <x:c r="E634" s="17" t="str"/>
      <x:c r="F634" s="17" t="str">
        <x:v>discovery</x:v>
      </x:c>
      <x:c r="G634" s="17" t="str">
        <x:v>Stage 2 recorded this row as a discovery candidate; it does not independently verify an exact current research program, eligibility, or funding.</x:v>
      </x:c>
      <x:c r="H634" s="17" t="str">
        <x:v>Pass 2 Stage 2 candidate funnel</x:v>
      </x:c>
      <x:c r="I634" s="17" t="str">
        <x:v>Graduate audit pipeline</x:v>
      </x:c>
      <x:c r="J634" s="17" t="str">
        <x:v>derived</x:v>
      </x:c>
      <x:c r="K634" s="17" t="str">
        <x:v>2026-09-11</x:v>
      </x:c>
      <x:c r="L634" s="17" t="str">
        <x:v>Not cycle-specific</x:v>
      </x:c>
      <x:c r="M634" s="17" t="str">
        <x:v>low</x:v>
      </x:c>
      <x:c r="N634" s="17" t="str">
        <x:v>Discovery evidence only</x:v>
      </x:c>
      <x:c r="O634" s="17" t="str">
        <x:v>Use the source_record_paths field to trace the underlying discovery inputs.</x:v>
      </x:c>
      <x:c r="P634" s="18" t="e">
        <x:f>HYPERLINK("https://www.uark.edu","Open source")</x:f>
        <x:v>HYPERLINK is not implemented. linkLocation=https://www.uark.edu, friendlyName=Open source</x:v>
      </x:c>
    </x:row>
    <x:row r="635" ht="46" customHeight="1">
      <x:c r="A635" s="17" t="str">
        <x:v>stage3src:6ed3babd609f98d266cd</x:v>
      </x:c>
      <x:c r="B635" s="17" t="str">
        <x:v>program</x:v>
      </x:c>
      <x:c r="C635" s="17" t="str">
        <x:v>University of Arkansas</x:v>
      </x:c>
      <x:c r="D635" s="17" t="str">
        <x:v>us:ipeds:106397:program:unclear:ipeds-discovery-signal-electrical-and-electronics-engineering-cip-14-1001</x:v>
      </x:c>
      <x:c r="E635" s="17" t="str"/>
      <x:c r="F635" s="17" t="str">
        <x:v>discovery</x:v>
      </x:c>
      <x:c r="G635" s="17" t="str">
        <x:v>Stage 2 recorded this row as a discovery candidate; it does not independently verify an exact current research program, eligibility, or funding.</x:v>
      </x:c>
      <x:c r="H635" s="17" t="str">
        <x:v>Pass 2 Stage 2 candidate funnel</x:v>
      </x:c>
      <x:c r="I635" s="17" t="str">
        <x:v>Graduate audit pipeline</x:v>
      </x:c>
      <x:c r="J635" s="17" t="str">
        <x:v>derived</x:v>
      </x:c>
      <x:c r="K635" s="17" t="str">
        <x:v>2026-09-11</x:v>
      </x:c>
      <x:c r="L635" s="17" t="str">
        <x:v>Not cycle-specific</x:v>
      </x:c>
      <x:c r="M635" s="17" t="str">
        <x:v>low</x:v>
      </x:c>
      <x:c r="N635" s="17" t="str">
        <x:v>Discovery evidence only</x:v>
      </x:c>
      <x:c r="O635" s="17" t="str">
        <x:v>Use the source_record_paths field to trace the underlying discovery inputs.</x:v>
      </x:c>
      <x:c r="P635" s="18" t="e">
        <x:f>HYPERLINK("https://www.uark.edu","Open source")</x:f>
        <x:v>HYPERLINK is not implemented. linkLocation=https://www.uark.edu, friendlyName=Open source</x:v>
      </x:c>
    </x:row>
    <x:row r="636" ht="46" customHeight="1">
      <x:c r="A636" s="17" t="str">
        <x:v>stage3src:22cd920865bf0adadd0d</x:v>
      </x:c>
      <x:c r="B636" s="17" t="str">
        <x:v>program</x:v>
      </x:c>
      <x:c r="C636" s="17" t="str">
        <x:v>University of Arkansas at Pine Bluff</x:v>
      </x:c>
      <x:c r="D636" s="17" t="str">
        <x:v>us:ipeds:106412:program:unclear:ipeds-discovery-signal-computer-and-information-sciences-general-cip-11-0101</x:v>
      </x:c>
      <x:c r="E636" s="17" t="str"/>
      <x:c r="F636" s="17" t="str">
        <x:v>discovery</x:v>
      </x:c>
      <x:c r="G636" s="17" t="str">
        <x:v>Stage 2 recorded this row as a discovery candidate; it does not independently verify an exact current research program, eligibility, or funding.</x:v>
      </x:c>
      <x:c r="H636" s="17" t="str">
        <x:v>Pass 2 Stage 2 candidate funnel</x:v>
      </x:c>
      <x:c r="I636" s="17" t="str">
        <x:v>Graduate audit pipeline</x:v>
      </x:c>
      <x:c r="J636" s="17" t="str">
        <x:v>derived</x:v>
      </x:c>
      <x:c r="K636" s="17" t="str">
        <x:v>2026-09-11</x:v>
      </x:c>
      <x:c r="L636" s="17" t="str">
        <x:v>Not cycle-specific</x:v>
      </x:c>
      <x:c r="M636" s="17" t="str">
        <x:v>low</x:v>
      </x:c>
      <x:c r="N636" s="17" t="str">
        <x:v>Discovery evidence only</x:v>
      </x:c>
      <x:c r="O636" s="17" t="str">
        <x:v>Use the source_record_paths field to trace the underlying discovery inputs.</x:v>
      </x:c>
      <x:c r="P636" s="18" t="e">
        <x:f>HYPERLINK("https://www.uapb.edu","Open source")</x:f>
        <x:v>HYPERLINK is not implemented. linkLocation=https://www.uapb.edu, friendlyName=Open source</x:v>
      </x:c>
    </x:row>
    <x:row r="637" ht="46" customHeight="1">
      <x:c r="A637" s="17" t="str">
        <x:v>stage3src:f75474246e4cd2b452ae</x:v>
      </x:c>
      <x:c r="B637" s="17" t="str">
        <x:v>program</x:v>
      </x:c>
      <x:c r="C637" s="17" t="str">
        <x:v>Arkansas State University</x:v>
      </x:c>
      <x:c r="D637" s="17" t="str">
        <x:v>us:ipeds:106458:program:unclear:ipeds-discovery-signal-computer-and-information-sciences-general-cip-11-0101</x:v>
      </x:c>
      <x:c r="E637" s="17" t="str"/>
      <x:c r="F637" s="17" t="str">
        <x:v>discovery</x:v>
      </x:c>
      <x:c r="G637" s="17" t="str">
        <x:v>Stage 2 recorded this row as a discovery candidate; it does not independently verify an exact current research program, eligibility, or funding.</x:v>
      </x:c>
      <x:c r="H637" s="17" t="str">
        <x:v>Pass 2 Stage 2 candidate funnel</x:v>
      </x:c>
      <x:c r="I637" s="17" t="str">
        <x:v>Graduate audit pipeline</x:v>
      </x:c>
      <x:c r="J637" s="17" t="str">
        <x:v>derived</x:v>
      </x:c>
      <x:c r="K637" s="17" t="str">
        <x:v>2026-09-11</x:v>
      </x:c>
      <x:c r="L637" s="17" t="str">
        <x:v>Not cycle-specific</x:v>
      </x:c>
      <x:c r="M637" s="17" t="str">
        <x:v>low</x:v>
      </x:c>
      <x:c r="N637" s="17" t="str">
        <x:v>Discovery evidence only</x:v>
      </x:c>
      <x:c r="O637" s="17" t="str">
        <x:v>Use the source_record_paths field to trace the underlying discovery inputs.</x:v>
      </x:c>
      <x:c r="P637" s="18" t="e">
        <x:f>HYPERLINK("https://www.astate.edu","Open source")</x:f>
        <x:v>HYPERLINK is not implemented. linkLocation=https://www.astate.edu, friendlyName=Open source</x:v>
      </x:c>
    </x:row>
    <x:row r="638" ht="46" customHeight="1">
      <x:c r="A638" s="17" t="str">
        <x:v>stage3src:0fa9d6cfc25694cb5a9f</x:v>
      </x:c>
      <x:c r="B638" s="17" t="str">
        <x:v>program</x:v>
      </x:c>
      <x:c r="C638" s="17" t="str">
        <x:v>Arkansas State University</x:v>
      </x:c>
      <x:c r="D638" s="17" t="str">
        <x:v>us:ipeds:106458:program:unclear:ipeds-discovery-signal-electrical-and-electronics-engineering-cip-14-1001</x:v>
      </x:c>
      <x:c r="E638" s="17" t="str"/>
      <x:c r="F638" s="17" t="str">
        <x:v>discovery</x:v>
      </x:c>
      <x:c r="G638" s="17" t="str">
        <x:v>Stage 2 recorded this row as a discovery candidate; it does not independently verify an exact current research program, eligibility, or funding.</x:v>
      </x:c>
      <x:c r="H638" s="17" t="str">
        <x:v>Pass 2 Stage 2 candidate funnel</x:v>
      </x:c>
      <x:c r="I638" s="17" t="str">
        <x:v>Graduate audit pipeline</x:v>
      </x:c>
      <x:c r="J638" s="17" t="str">
        <x:v>derived</x:v>
      </x:c>
      <x:c r="K638" s="17" t="str">
        <x:v>2026-09-11</x:v>
      </x:c>
      <x:c r="L638" s="17" t="str">
        <x:v>Not cycle-specific</x:v>
      </x:c>
      <x:c r="M638" s="17" t="str">
        <x:v>low</x:v>
      </x:c>
      <x:c r="N638" s="17" t="str">
        <x:v>Discovery evidence only</x:v>
      </x:c>
      <x:c r="O638" s="17" t="str">
        <x:v>Use the source_record_paths field to trace the underlying discovery inputs.</x:v>
      </x:c>
      <x:c r="P638" s="18" t="e">
        <x:f>HYPERLINK("https://www.astate.edu","Open source")</x:f>
        <x:v>HYPERLINK is not implemented. linkLocation=https://www.astate.edu, friendlyName=Open source</x:v>
      </x:c>
    </x:row>
    <x:row r="639" ht="46" customHeight="1">
      <x:c r="A639" s="17" t="str">
        <x:v>stage3src:48a8134ae10251797d78</x:v>
      </x:c>
      <x:c r="B639" s="17" t="str">
        <x:v>program</x:v>
      </x:c>
      <x:c r="C639" s="17" t="str">
        <x:v>Arkansas Tech University</x:v>
      </x:c>
      <x:c r="D639" s="17" t="str">
        <x:v>us:ipeds:106467:program:unclear:ipeds-discovery-signal-electrical-and-electronics-engineering-cip-14-1001</x:v>
      </x:c>
      <x:c r="E639" s="17" t="str"/>
      <x:c r="F639" s="17" t="str">
        <x:v>discovery</x:v>
      </x:c>
      <x:c r="G639" s="17" t="str">
        <x:v>Stage 2 recorded this row as a discovery candidate; it does not independently verify an exact current research program, eligibility, or funding.</x:v>
      </x:c>
      <x:c r="H639" s="17" t="str">
        <x:v>Pass 2 Stage 2 candidate funnel</x:v>
      </x:c>
      <x:c r="I639" s="17" t="str">
        <x:v>Graduate audit pipeline</x:v>
      </x:c>
      <x:c r="J639" s="17" t="str">
        <x:v>derived</x:v>
      </x:c>
      <x:c r="K639" s="17" t="str">
        <x:v>2026-09-11</x:v>
      </x:c>
      <x:c r="L639" s="17" t="str">
        <x:v>Not cycle-specific</x:v>
      </x:c>
      <x:c r="M639" s="17" t="str">
        <x:v>low</x:v>
      </x:c>
      <x:c r="N639" s="17" t="str">
        <x:v>Discovery evidence only</x:v>
      </x:c>
      <x:c r="O639" s="17" t="str">
        <x:v>Use the source_record_paths field to trace the underlying discovery inputs.</x:v>
      </x:c>
      <x:c r="P639" s="18" t="e">
        <x:f>HYPERLINK("https://www.atu.edu","Open source")</x:f>
        <x:v>HYPERLINK is not implemented. linkLocation=https://www.atu.edu, friendlyName=Open source</x:v>
      </x:c>
    </x:row>
    <x:row r="640" ht="46" customHeight="1">
      <x:c r="A640" s="17" t="str">
        <x:v>stage3src:d6b791b25b93866d6ee1</x:v>
      </x:c>
      <x:c r="B640" s="17" t="str">
        <x:v>program</x:v>
      </x:c>
      <x:c r="C640" s="17" t="str">
        <x:v>Arkansas Tech University</x:v>
      </x:c>
      <x:c r="D640" s="17" t="str">
        <x:v>us:ipeds:106467:program:unclear:ipeds-discovery-signal-information-technology-cip-11-0103</x:v>
      </x:c>
      <x:c r="E640" s="17" t="str"/>
      <x:c r="F640" s="17" t="str">
        <x:v>discovery</x:v>
      </x:c>
      <x:c r="G640" s="17" t="str">
        <x:v>Stage 2 recorded this row as a discovery candidate; it does not independently verify an exact current research program, eligibility, or funding.</x:v>
      </x:c>
      <x:c r="H640" s="17" t="str">
        <x:v>Pass 2 Stage 2 candidate funnel</x:v>
      </x:c>
      <x:c r="I640" s="17" t="str">
        <x:v>Graduate audit pipeline</x:v>
      </x:c>
      <x:c r="J640" s="17" t="str">
        <x:v>derived</x:v>
      </x:c>
      <x:c r="K640" s="17" t="str">
        <x:v>2026-09-11</x:v>
      </x:c>
      <x:c r="L640" s="17" t="str">
        <x:v>Not cycle-specific</x:v>
      </x:c>
      <x:c r="M640" s="17" t="str">
        <x:v>low</x:v>
      </x:c>
      <x:c r="N640" s="17" t="str">
        <x:v>Discovery evidence only</x:v>
      </x:c>
      <x:c r="O640" s="17" t="str">
        <x:v>Use the source_record_paths field to trace the underlying discovery inputs.</x:v>
      </x:c>
      <x:c r="P640" s="18" t="e">
        <x:f>HYPERLINK("https://www.atu.edu","Open source")</x:f>
        <x:v>HYPERLINK is not implemented. linkLocation=https://www.atu.edu, friendlyName=Open source</x:v>
      </x:c>
    </x:row>
    <x:row r="641" ht="46" customHeight="1">
      <x:c r="A641" s="17" t="str">
        <x:v>stage3src:5f694cae893891d953f1</x:v>
      </x:c>
      <x:c r="B641" s="17" t="str">
        <x:v>program</x:v>
      </x:c>
      <x:c r="C641" s="17" t="str">
        <x:v>University of Central Arkansas</x:v>
      </x:c>
      <x:c r="D641" s="17" t="str">
        <x:v>us:ipeds:106704:program:unclear:ipeds-discovery-signal-computer-science-cip-11-0701</x:v>
      </x:c>
      <x:c r="E641" s="17" t="str"/>
      <x:c r="F641" s="17" t="str">
        <x:v>discovery</x:v>
      </x:c>
      <x:c r="G641" s="17" t="str">
        <x:v>Stage 2 recorded this row as a discovery candidate; it does not independently verify an exact current research program, eligibility, or funding.</x:v>
      </x:c>
      <x:c r="H641" s="17" t="str">
        <x:v>Pass 2 Stage 2 candidate funnel</x:v>
      </x:c>
      <x:c r="I641" s="17" t="str">
        <x:v>Graduate audit pipeline</x:v>
      </x:c>
      <x:c r="J641" s="17" t="str">
        <x:v>derived</x:v>
      </x:c>
      <x:c r="K641" s="17" t="str">
        <x:v>2026-09-11</x:v>
      </x:c>
      <x:c r="L641" s="17" t="str">
        <x:v>Not cycle-specific</x:v>
      </x:c>
      <x:c r="M641" s="17" t="str">
        <x:v>low</x:v>
      </x:c>
      <x:c r="N641" s="17" t="str">
        <x:v>Discovery evidence only</x:v>
      </x:c>
      <x:c r="O641" s="17" t="str">
        <x:v>Use the source_record_paths field to trace the underlying discovery inputs.</x:v>
      </x:c>
      <x:c r="P641" s="18" t="e">
        <x:f>HYPERLINK("https://www.uca.edu","Open source")</x:f>
        <x:v>HYPERLINK is not implemented. linkLocation=https://www.uca.edu, friendlyName=Open source</x:v>
      </x:c>
    </x:row>
    <x:row r="642" ht="46" customHeight="1">
      <x:c r="A642" s="17" t="str">
        <x:v>stage3src:d3a998a827006f3e51b0</x:v>
      </x:c>
      <x:c r="B642" s="17" t="str">
        <x:v>program</x:v>
      </x:c>
      <x:c r="C642" s="17" t="str">
        <x:v>Harding University</x:v>
      </x:c>
      <x:c r="D642" s="17" t="str">
        <x:v>us:ipeds:107044:program:unclear:ipeds-discovery-signal-information-science-studies-cip-11-0401</x:v>
      </x:c>
      <x:c r="E642" s="17" t="str"/>
      <x:c r="F642" s="17" t="str">
        <x:v>discovery</x:v>
      </x:c>
      <x:c r="G642" s="17" t="str">
        <x:v>Stage 2 recorded this row as a discovery candidate; it does not independently verify an exact current research program, eligibility, or funding.</x:v>
      </x:c>
      <x:c r="H642" s="17" t="str">
        <x:v>Pass 2 Stage 2 candidate funnel</x:v>
      </x:c>
      <x:c r="I642" s="17" t="str">
        <x:v>Graduate audit pipeline</x:v>
      </x:c>
      <x:c r="J642" s="17" t="str">
        <x:v>derived</x:v>
      </x:c>
      <x:c r="K642" s="17" t="str">
        <x:v>2026-09-11</x:v>
      </x:c>
      <x:c r="L642" s="17" t="str">
        <x:v>Not cycle-specific</x:v>
      </x:c>
      <x:c r="M642" s="17" t="str">
        <x:v>low</x:v>
      </x:c>
      <x:c r="N642" s="17" t="str">
        <x:v>Discovery evidence only</x:v>
      </x:c>
      <x:c r="O642" s="17" t="str">
        <x:v>Use the source_record_paths field to trace the underlying discovery inputs.</x:v>
      </x:c>
      <x:c r="P642" s="18" t="e">
        <x:f>HYPERLINK("https://www.harding.edu","Open source")</x:f>
        <x:v>HYPERLINK is not implemented. linkLocation=https://www.harding.edu, friendlyName=Open source</x:v>
      </x:c>
    </x:row>
    <x:row r="643" ht="46" customHeight="1">
      <x:c r="A643" s="17" t="str">
        <x:v>stage3src:4a712054f24c09059635</x:v>
      </x:c>
      <x:c r="B643" s="17" t="str">
        <x:v>program</x:v>
      </x:c>
      <x:c r="C643" s="17" t="str">
        <x:v>John Brown University</x:v>
      </x:c>
      <x:c r="D643" s="17" t="str">
        <x:v>us:ipeds:107141:program:unclear:ipeds-discovery-signal-computer-and-information-systems-security-auditing-information-assurance-cip-11-1003</x:v>
      </x:c>
      <x:c r="E643" s="17" t="str"/>
      <x:c r="F643" s="17" t="str">
        <x:v>discovery</x:v>
      </x:c>
      <x:c r="G643" s="17" t="str">
        <x:v>Stage 2 recorded this row as a discovery candidate; it does not independently verify an exact current research program, eligibility, or funding.</x:v>
      </x:c>
      <x:c r="H643" s="17" t="str">
        <x:v>Pass 2 Stage 2 candidate funnel</x:v>
      </x:c>
      <x:c r="I643" s="17" t="str">
        <x:v>Graduate audit pipeline</x:v>
      </x:c>
      <x:c r="J643" s="17" t="str">
        <x:v>derived</x:v>
      </x:c>
      <x:c r="K643" s="17" t="str">
        <x:v>2026-09-11</x:v>
      </x:c>
      <x:c r="L643" s="17" t="str">
        <x:v>Not cycle-specific</x:v>
      </x:c>
      <x:c r="M643" s="17" t="str">
        <x:v>low</x:v>
      </x:c>
      <x:c r="N643" s="17" t="str">
        <x:v>Discovery evidence only</x:v>
      </x:c>
      <x:c r="O643" s="17" t="str">
        <x:v>Use the source_record_paths field to trace the underlying discovery inputs.</x:v>
      </x:c>
      <x:c r="P643" s="18" t="e">
        <x:f>HYPERLINK("https://www.jbu.edu","Open source")</x:f>
        <x:v>HYPERLINK is not implemented. linkLocation=https://www.jbu.edu, friendlyName=Open source</x:v>
      </x:c>
    </x:row>
    <x:row r="644" ht="46" customHeight="1">
      <x:c r="A644" s="17" t="str">
        <x:v>stage3src:e40e0c4dd51e090113d2</x:v>
      </x:c>
      <x:c r="B644" s="17" t="str">
        <x:v>program</x:v>
      </x:c>
      <x:c r="C644" s="17" t="str">
        <x:v>Southern Arkansas University Main Campus</x:v>
      </x:c>
      <x:c r="D644" s="17" t="str">
        <x:v>us:ipeds:107983:program:unclear:ipeds-discovery-signal-computer-and-information-sciences-general-cip-11-0101</x:v>
      </x:c>
      <x:c r="E644" s="17" t="str"/>
      <x:c r="F644" s="17" t="str">
        <x:v>discovery</x:v>
      </x:c>
      <x:c r="G644" s="17" t="str">
        <x:v>Stage 2 recorded this row as a discovery candidate; it does not independently verify an exact current research program, eligibility, or funding.</x:v>
      </x:c>
      <x:c r="H644" s="17" t="str">
        <x:v>Pass 2 Stage 2 candidate funnel</x:v>
      </x:c>
      <x:c r="I644" s="17" t="str">
        <x:v>Graduate audit pipeline</x:v>
      </x:c>
      <x:c r="J644" s="17" t="str">
        <x:v>derived</x:v>
      </x:c>
      <x:c r="K644" s="17" t="str">
        <x:v>2026-09-11</x:v>
      </x:c>
      <x:c r="L644" s="17" t="str">
        <x:v>Not cycle-specific</x:v>
      </x:c>
      <x:c r="M644" s="17" t="str">
        <x:v>low</x:v>
      </x:c>
      <x:c r="N644" s="17" t="str">
        <x:v>Discovery evidence only</x:v>
      </x:c>
      <x:c r="O644" s="17" t="str">
        <x:v>Use the source_record_paths field to trace the underlying discovery inputs.</x:v>
      </x:c>
      <x:c r="P644" s="18" t="e">
        <x:f>HYPERLINK("https://www.saumag.edu","Open source")</x:f>
        <x:v>HYPERLINK is not implemented. linkLocation=https://www.saumag.edu, friendlyName=Open source</x:v>
      </x:c>
    </x:row>
    <x:row r="645" ht="46" customHeight="1">
      <x:c r="A645" s="17" t="str">
        <x:v>stage3src:8d5d7cd85b248d7d2e3d</x:v>
      </x:c>
      <x:c r="B645" s="17" t="str">
        <x:v>program</x:v>
      </x:c>
      <x:c r="C645" s="17" t="str">
        <x:v>California Baptist University</x:v>
      </x:c>
      <x:c r="D645" s="17" t="str">
        <x:v>us:ipeds:110361:program:unclear:ipeds-discovery-signal-computer-software-engineering-cip-14-0903</x:v>
      </x:c>
      <x:c r="E645" s="17" t="str"/>
      <x:c r="F645" s="17" t="str">
        <x:v>discovery</x:v>
      </x:c>
      <x:c r="G645" s="17" t="str">
        <x:v>Stage 2 recorded this row as a discovery candidate; it does not independently verify an exact current research program, eligibility, or funding.</x:v>
      </x:c>
      <x:c r="H645" s="17" t="str">
        <x:v>Pass 2 Stage 2 candidate funnel</x:v>
      </x:c>
      <x:c r="I645" s="17" t="str">
        <x:v>Graduate audit pipeline</x:v>
      </x:c>
      <x:c r="J645" s="17" t="str">
        <x:v>derived</x:v>
      </x:c>
      <x:c r="K645" s="17" t="str">
        <x:v>2026-09-11</x:v>
      </x:c>
      <x:c r="L645" s="17" t="str">
        <x:v>Not cycle-specific</x:v>
      </x:c>
      <x:c r="M645" s="17" t="str">
        <x:v>low</x:v>
      </x:c>
      <x:c r="N645" s="17" t="str">
        <x:v>Discovery evidence only</x:v>
      </x:c>
      <x:c r="O645" s="17" t="str">
        <x:v>Use the source_record_paths field to trace the underlying discovery inputs.</x:v>
      </x:c>
      <x:c r="P645" s="18" t="e">
        <x:f>HYPERLINK("https://www.calbaptist.edu","Open source")</x:f>
        <x:v>HYPERLINK is not implemented. linkLocation=https://www.calbaptist.edu, friendlyName=Open source</x:v>
      </x:c>
    </x:row>
    <x:row r="646" ht="46" customHeight="1">
      <x:c r="A646" s="17" t="str">
        <x:v>stage3src:87715008db95c44c090c</x:v>
      </x:c>
      <x:c r="B646" s="17" t="str">
        <x:v>program</x:v>
      </x:c>
      <x:c r="C646" s="17" t="str">
        <x:v>California Institute of Technology</x:v>
      </x:c>
      <x:c r="D646" s="17" t="str">
        <x:v>us:ipeds:110404:program:unclear:ipeds-discovery-signal-computer-science-cip-11-0701</x:v>
      </x:c>
      <x:c r="E646" s="17" t="str"/>
      <x:c r="F646" s="17" t="str">
        <x:v>discovery</x:v>
      </x:c>
      <x:c r="G646" s="17" t="str">
        <x:v>Stage 2 recorded this row as a discovery candidate; it does not independently verify an exact current research program, eligibility, or funding.</x:v>
      </x:c>
      <x:c r="H646" s="17" t="str">
        <x:v>Pass 2 Stage 2 candidate funnel</x:v>
      </x:c>
      <x:c r="I646" s="17" t="str">
        <x:v>Graduate audit pipeline</x:v>
      </x:c>
      <x:c r="J646" s="17" t="str">
        <x:v>derived</x:v>
      </x:c>
      <x:c r="K646" s="17" t="str">
        <x:v>2026-09-11</x:v>
      </x:c>
      <x:c r="L646" s="17" t="str">
        <x:v>Not cycle-specific</x:v>
      </x:c>
      <x:c r="M646" s="17" t="str">
        <x:v>low</x:v>
      </x:c>
      <x:c r="N646" s="17" t="str">
        <x:v>Discovery evidence only</x:v>
      </x:c>
      <x:c r="O646" s="17" t="str">
        <x:v>Use the source_record_paths field to trace the underlying discovery inputs.</x:v>
      </x:c>
      <x:c r="P646" s="18" t="e">
        <x:f>HYPERLINK("https://www.caltech.edu","Open source")</x:f>
        <x:v>HYPERLINK is not implemented. linkLocation=https://www.caltech.edu, friendlyName=Open source</x:v>
      </x:c>
    </x:row>
    <x:row r="647" ht="46" customHeight="1">
      <x:c r="A647" s="17" t="str">
        <x:v>stage3src:b4fd223ddbbb5921fb72</x:v>
      </x:c>
      <x:c r="B647" s="17" t="str">
        <x:v>program</x:v>
      </x:c>
      <x:c r="C647" s="17" t="str">
        <x:v>California Institute of Technology</x:v>
      </x:c>
      <x:c r="D647" s="17" t="str">
        <x:v>us:ipeds:110404:program:unclear:ipeds-discovery-signal-electrical-and-electronics-engineering-cip-14-1001</x:v>
      </x:c>
      <x:c r="E647" s="17" t="str"/>
      <x:c r="F647" s="17" t="str">
        <x:v>discovery</x:v>
      </x:c>
      <x:c r="G647" s="17" t="str">
        <x:v>Stage 2 recorded this row as a discovery candidate; it does not independently verify an exact current research program, eligibility, or funding.</x:v>
      </x:c>
      <x:c r="H647" s="17" t="str">
        <x:v>Pass 2 Stage 2 candidate funnel</x:v>
      </x:c>
      <x:c r="I647" s="17" t="str">
        <x:v>Graduate audit pipeline</x:v>
      </x:c>
      <x:c r="J647" s="17" t="str">
        <x:v>derived</x:v>
      </x:c>
      <x:c r="K647" s="17" t="str">
        <x:v>2026-09-11</x:v>
      </x:c>
      <x:c r="L647" s="17" t="str">
        <x:v>Not cycle-specific</x:v>
      </x:c>
      <x:c r="M647" s="17" t="str">
        <x:v>low</x:v>
      </x:c>
      <x:c r="N647" s="17" t="str">
        <x:v>Discovery evidence only</x:v>
      </x:c>
      <x:c r="O647" s="17" t="str">
        <x:v>Use the source_record_paths field to trace the underlying discovery inputs.</x:v>
      </x:c>
      <x:c r="P647" s="18" t="e">
        <x:f>HYPERLINK("https://www.caltech.edu","Open source")</x:f>
        <x:v>HYPERLINK is not implemented. linkLocation=https://www.caltech.edu, friendlyName=Open source</x:v>
      </x:c>
    </x:row>
    <x:row r="648" ht="46" customHeight="1">
      <x:c r="A648" s="17" t="str">
        <x:v>stage3src:7124104e206e215a8236</x:v>
      </x:c>
      <x:c r="B648" s="17" t="str">
        <x:v>program</x:v>
      </x:c>
      <x:c r="C648" s="17" t="str">
        <x:v>California Lutheran University</x:v>
      </x:c>
      <x:c r="D648" s="17" t="str">
        <x:v>us:ipeds:110413:program:unclear:ipeds-discovery-signal-information-technology-cip-11-0103</x:v>
      </x:c>
      <x:c r="E648" s="17" t="str"/>
      <x:c r="F648" s="17" t="str">
        <x:v>discovery</x:v>
      </x:c>
      <x:c r="G648" s="17" t="str">
        <x:v>Stage 2 recorded this row as a discovery candidate; it does not independently verify an exact current research program, eligibility, or funding.</x:v>
      </x:c>
      <x:c r="H648" s="17" t="str">
        <x:v>Pass 2 Stage 2 candidate funnel</x:v>
      </x:c>
      <x:c r="I648" s="17" t="str">
        <x:v>Graduate audit pipeline</x:v>
      </x:c>
      <x:c r="J648" s="17" t="str">
        <x:v>derived</x:v>
      </x:c>
      <x:c r="K648" s="17" t="str">
        <x:v>2026-09-11</x:v>
      </x:c>
      <x:c r="L648" s="17" t="str">
        <x:v>Not cycle-specific</x:v>
      </x:c>
      <x:c r="M648" s="17" t="str">
        <x:v>low</x:v>
      </x:c>
      <x:c r="N648" s="17" t="str">
        <x:v>Discovery evidence only</x:v>
      </x:c>
      <x:c r="O648" s="17" t="str">
        <x:v>Use the source_record_paths field to trace the underlying discovery inputs.</x:v>
      </x:c>
      <x:c r="P648" s="18" t="e">
        <x:f>HYPERLINK("https://www.callutheran.edu","Open source")</x:f>
        <x:v>HYPERLINK is not implemented. linkLocation=https://www.callutheran.edu, friendlyName=Open source</x:v>
      </x:c>
    </x:row>
    <x:row r="649" ht="46" customHeight="1">
      <x:c r="A649" s="17" t="str">
        <x:v>stage3src:d5337ec698066fb3cdb2</x:v>
      </x:c>
      <x:c r="B649" s="17" t="str">
        <x:v>program</x:v>
      </x:c>
      <x:c r="C649" s="17" t="str">
        <x:v>California Polytechnic State University-San Luis Obispo</x:v>
      </x:c>
      <x:c r="D649" s="17" t="str">
        <x:v>us:ipeds:110422:program:unclear:ipeds-discovery-signal-computer-science-cip-11-0701</x:v>
      </x:c>
      <x:c r="E649" s="17" t="str"/>
      <x:c r="F649" s="17" t="str">
        <x:v>discovery</x:v>
      </x:c>
      <x:c r="G649" s="17" t="str">
        <x:v>Stage 2 recorded this row as a discovery candidate; it does not independently verify an exact current research program, eligibility, or funding.</x:v>
      </x:c>
      <x:c r="H649" s="17" t="str">
        <x:v>Pass 2 Stage 2 candidate funnel</x:v>
      </x:c>
      <x:c r="I649" s="17" t="str">
        <x:v>Graduate audit pipeline</x:v>
      </x:c>
      <x:c r="J649" s="17" t="str">
        <x:v>derived</x:v>
      </x:c>
      <x:c r="K649" s="17" t="str">
        <x:v>2026-09-11</x:v>
      </x:c>
      <x:c r="L649" s="17" t="str">
        <x:v>Not cycle-specific</x:v>
      </x:c>
      <x:c r="M649" s="17" t="str">
        <x:v>low</x:v>
      </x:c>
      <x:c r="N649" s="17" t="str">
        <x:v>Discovery evidence only</x:v>
      </x:c>
      <x:c r="O649" s="17" t="str">
        <x:v>Use the source_record_paths field to trace the underlying discovery inputs.</x:v>
      </x:c>
      <x:c r="P649" s="18" t="e">
        <x:f>HYPERLINK("https://calpoly.edu","Open source")</x:f>
        <x:v>HYPERLINK is not implemented. linkLocation=https://calpoly.edu, friendlyName=Open source</x:v>
      </x:c>
    </x:row>
    <x:row r="650" ht="46" customHeight="1">
      <x:c r="A650" s="17" t="str">
        <x:v>stage3src:cbcf49d6a7895b9f928e</x:v>
      </x:c>
      <x:c r="B650" s="17" t="str">
        <x:v>program</x:v>
      </x:c>
      <x:c r="C650" s="17" t="str">
        <x:v>California Polytechnic State University-San Luis Obispo</x:v>
      </x:c>
      <x:c r="D650" s="17" t="str">
        <x:v>us:ipeds:110422:program:unclear:ipeds-discovery-signal-electrical-and-electronics-engineering-cip-14-1001</x:v>
      </x:c>
      <x:c r="E650" s="17" t="str"/>
      <x:c r="F650" s="17" t="str">
        <x:v>discovery</x:v>
      </x:c>
      <x:c r="G650" s="17" t="str">
        <x:v>Stage 2 recorded this row as a discovery candidate; it does not independently verify an exact current research program, eligibility, or funding.</x:v>
      </x:c>
      <x:c r="H650" s="17" t="str">
        <x:v>Pass 2 Stage 2 candidate funnel</x:v>
      </x:c>
      <x:c r="I650" s="17" t="str">
        <x:v>Graduate audit pipeline</x:v>
      </x:c>
      <x:c r="J650" s="17" t="str">
        <x:v>derived</x:v>
      </x:c>
      <x:c r="K650" s="17" t="str">
        <x:v>2026-09-11</x:v>
      </x:c>
      <x:c r="L650" s="17" t="str">
        <x:v>Not cycle-specific</x:v>
      </x:c>
      <x:c r="M650" s="17" t="str">
        <x:v>low</x:v>
      </x:c>
      <x:c r="N650" s="17" t="str">
        <x:v>Discovery evidence only</x:v>
      </x:c>
      <x:c r="O650" s="17" t="str">
        <x:v>Use the source_record_paths field to trace the underlying discovery inputs.</x:v>
      </x:c>
      <x:c r="P650" s="18" t="e">
        <x:f>HYPERLINK("https://calpoly.edu","Open source")</x:f>
        <x:v>HYPERLINK is not implemented. linkLocation=https://calpoly.edu, friendlyName=Open source</x:v>
      </x:c>
    </x:row>
    <x:row r="651" ht="46" customHeight="1">
      <x:c r="A651" s="17" t="str">
        <x:v>stage3src:4cd6a641cf6a42f36092</x:v>
      </x:c>
      <x:c r="B651" s="17" t="str">
        <x:v>program</x:v>
      </x:c>
      <x:c r="C651" s="17" t="str">
        <x:v>Alliant International University-San Diego</x:v>
      </x:c>
      <x:c r="D651" s="17" t="str">
        <x:v>us:ipeds:110468:program:unclear:ipeds-discovery-signal-information-technology-cip-11-0103</x:v>
      </x:c>
      <x:c r="E651" s="17" t="str"/>
      <x:c r="F651" s="17" t="str">
        <x:v>discovery</x:v>
      </x:c>
      <x:c r="G651" s="17" t="str">
        <x:v>Stage 2 recorded this row as a discovery candidate; it does not independently verify an exact current research program, eligibility, or funding.</x:v>
      </x:c>
      <x:c r="H651" s="17" t="str">
        <x:v>Pass 2 Stage 2 candidate funnel</x:v>
      </x:c>
      <x:c r="I651" s="17" t="str">
        <x:v>Graduate audit pipeline</x:v>
      </x:c>
      <x:c r="J651" s="17" t="str">
        <x:v>derived</x:v>
      </x:c>
      <x:c r="K651" s="17" t="str">
        <x:v>2026-09-11</x:v>
      </x:c>
      <x:c r="L651" s="17" t="str">
        <x:v>Not cycle-specific</x:v>
      </x:c>
      <x:c r="M651" s="17" t="str">
        <x:v>low</x:v>
      </x:c>
      <x:c r="N651" s="17" t="str">
        <x:v>Discovery evidence only</x:v>
      </x:c>
      <x:c r="O651" s="17" t="str">
        <x:v>Use the source_record_paths field to trace the underlying discovery inputs.</x:v>
      </x:c>
      <x:c r="P651" s="18" t="e">
        <x:f>HYPERLINK("https://www.alliant.edu","Open source")</x:f>
        <x:v>HYPERLINK is not implemented. linkLocation=https://www.alliant.edu, friendlyName=Open source</x:v>
      </x:c>
    </x:row>
    <x:row r="652" ht="46" customHeight="1">
      <x:c r="A652" s="17" t="str">
        <x:v>stage3src:088042b4eb9bf6abf5ab</x:v>
      </x:c>
      <x:c r="B652" s="17" t="str">
        <x:v>program</x:v>
      </x:c>
      <x:c r="C652" s="17" t="str">
        <x:v>California State University-San Bernardino</x:v>
      </x:c>
      <x:c r="D652" s="17" t="str">
        <x:v>us:ipeds:110510:program:unclear:ipeds-discovery-signal-computer-and-information-systems-security-auditing-information-assurance-cip-11-1003</x:v>
      </x:c>
      <x:c r="E652" s="17" t="str"/>
      <x:c r="F652" s="17" t="str">
        <x:v>discovery</x:v>
      </x:c>
      <x:c r="G652" s="17" t="str">
        <x:v>Stage 2 recorded this row as a discovery candidate; it does not independently verify an exact current research program, eligibility, or funding.</x:v>
      </x:c>
      <x:c r="H652" s="17" t="str">
        <x:v>Pass 2 Stage 2 candidate funnel</x:v>
      </x:c>
      <x:c r="I652" s="17" t="str">
        <x:v>Graduate audit pipeline</x:v>
      </x:c>
      <x:c r="J652" s="17" t="str">
        <x:v>derived</x:v>
      </x:c>
      <x:c r="K652" s="17" t="str">
        <x:v>2026-09-11</x:v>
      </x:c>
      <x:c r="L652" s="17" t="str">
        <x:v>Not cycle-specific</x:v>
      </x:c>
      <x:c r="M652" s="17" t="str">
        <x:v>low</x:v>
      </x:c>
      <x:c r="N652" s="17" t="str">
        <x:v>Discovery evidence only</x:v>
      </x:c>
      <x:c r="O652" s="17" t="str">
        <x:v>Use the source_record_paths field to trace the underlying discovery inputs.</x:v>
      </x:c>
      <x:c r="P652" s="18" t="e">
        <x:f>HYPERLINK("https://www.csusb.edu","Open source")</x:f>
        <x:v>HYPERLINK is not implemented. linkLocation=https://www.csusb.edu, friendlyName=Open source</x:v>
      </x:c>
    </x:row>
    <x:row r="653" ht="46" customHeight="1">
      <x:c r="A653" s="17" t="str">
        <x:v>stage3src:83d072bb1dfe01746056</x:v>
      </x:c>
      <x:c r="B653" s="17" t="str">
        <x:v>program</x:v>
      </x:c>
      <x:c r="C653" s="17" t="str">
        <x:v>California State University-San Bernardino</x:v>
      </x:c>
      <x:c r="D653" s="17" t="str">
        <x:v>us:ipeds:110510:program:unclear:ipeds-discovery-signal-computer-science-cip-11-0701</x:v>
      </x:c>
      <x:c r="E653" s="17" t="str"/>
      <x:c r="F653" s="17" t="str">
        <x:v>discovery</x:v>
      </x:c>
      <x:c r="G653" s="17" t="str">
        <x:v>Stage 2 recorded this row as a discovery candidate; it does not independently verify an exact current research program, eligibility, or funding.</x:v>
      </x:c>
      <x:c r="H653" s="17" t="str">
        <x:v>Pass 2 Stage 2 candidate funnel</x:v>
      </x:c>
      <x:c r="I653" s="17" t="str">
        <x:v>Graduate audit pipeline</x:v>
      </x:c>
      <x:c r="J653" s="17" t="str">
        <x:v>derived</x:v>
      </x:c>
      <x:c r="K653" s="17" t="str">
        <x:v>2026-09-11</x:v>
      </x:c>
      <x:c r="L653" s="17" t="str">
        <x:v>Not cycle-specific</x:v>
      </x:c>
      <x:c r="M653" s="17" t="str">
        <x:v>low</x:v>
      </x:c>
      <x:c r="N653" s="17" t="str">
        <x:v>Discovery evidence only</x:v>
      </x:c>
      <x:c r="O653" s="17" t="str">
        <x:v>Use the source_record_paths field to trace the underlying discovery inputs.</x:v>
      </x:c>
      <x:c r="P653" s="18" t="e">
        <x:f>HYPERLINK("https://www.csusb.edu","Open source")</x:f>
        <x:v>HYPERLINK is not implemented. linkLocation=https://www.csusb.edu, friendlyName=Open source</x:v>
      </x:c>
    </x:row>
    <x:row r="654" ht="46" customHeight="1">
      <x:c r="A654" s="17" t="str">
        <x:v>stage3src:7aa2936030e302588651</x:v>
      </x:c>
      <x:c r="B654" s="17" t="str">
        <x:v>program</x:v>
      </x:c>
      <x:c r="C654" s="17" t="str">
        <x:v>California State University-San Bernardino</x:v>
      </x:c>
      <x:c r="D654" s="17" t="str">
        <x:v>us:ipeds:110510:program:unclear:ipeds-discovery-signal-information-technology-cip-11-0103</x:v>
      </x:c>
      <x:c r="E654" s="17" t="str"/>
      <x:c r="F654" s="17" t="str">
        <x:v>discovery</x:v>
      </x:c>
      <x:c r="G654" s="17" t="str">
        <x:v>Stage 2 recorded this row as a discovery candidate; it does not independently verify an exact current research program, eligibility, or funding.</x:v>
      </x:c>
      <x:c r="H654" s="17" t="str">
        <x:v>Pass 2 Stage 2 candidate funnel</x:v>
      </x:c>
      <x:c r="I654" s="17" t="str">
        <x:v>Graduate audit pipeline</x:v>
      </x:c>
      <x:c r="J654" s="17" t="str">
        <x:v>derived</x:v>
      </x:c>
      <x:c r="K654" s="17" t="str">
        <x:v>2026-09-11</x:v>
      </x:c>
      <x:c r="L654" s="17" t="str">
        <x:v>Not cycle-specific</x:v>
      </x:c>
      <x:c r="M654" s="17" t="str">
        <x:v>low</x:v>
      </x:c>
      <x:c r="N654" s="17" t="str">
        <x:v>Discovery evidence only</x:v>
      </x:c>
      <x:c r="O654" s="17" t="str">
        <x:v>Use the source_record_paths field to trace the underlying discovery inputs.</x:v>
      </x:c>
      <x:c r="P654" s="18" t="e">
        <x:f>HYPERLINK("https://www.csusb.edu","Open source")</x:f>
        <x:v>HYPERLINK is not implemented. linkLocation=https://www.csusb.edu, friendlyName=Open source</x:v>
      </x:c>
    </x:row>
    <x:row r="655" ht="46" customHeight="1">
      <x:c r="A655" s="17" t="str">
        <x:v>stage3src:f8f6a47e5d2744c48b7a</x:v>
      </x:c>
      <x:c r="B655" s="17" t="str">
        <x:v>program</x:v>
      </x:c>
      <x:c r="C655" s="17" t="str">
        <x:v>California State Polytechnic University-Pomona</x:v>
      </x:c>
      <x:c r="D655" s="17" t="str">
        <x:v>us:ipeds:110529:program:unclear:ipeds-discovery-signal-computer-science-cip-11-0701</x:v>
      </x:c>
      <x:c r="E655" s="17" t="str"/>
      <x:c r="F655" s="17" t="str">
        <x:v>discovery</x:v>
      </x:c>
      <x:c r="G655" s="17" t="str">
        <x:v>Stage 2 recorded this row as a discovery candidate; it does not independently verify an exact current research program, eligibility, or funding.</x:v>
      </x:c>
      <x:c r="H655" s="17" t="str">
        <x:v>Pass 2 Stage 2 candidate funnel</x:v>
      </x:c>
      <x:c r="I655" s="17" t="str">
        <x:v>Graduate audit pipeline</x:v>
      </x:c>
      <x:c r="J655" s="17" t="str">
        <x:v>derived</x:v>
      </x:c>
      <x:c r="K655" s="17" t="str">
        <x:v>2026-09-11</x:v>
      </x:c>
      <x:c r="L655" s="17" t="str">
        <x:v>Not cycle-specific</x:v>
      </x:c>
      <x:c r="M655" s="17" t="str">
        <x:v>low</x:v>
      </x:c>
      <x:c r="N655" s="17" t="str">
        <x:v>Discovery evidence only</x:v>
      </x:c>
      <x:c r="O655" s="17" t="str">
        <x:v>Use the source_record_paths field to trace the underlying discovery inputs.</x:v>
      </x:c>
      <x:c r="P655" s="18" t="e">
        <x:f>HYPERLINK("https://www.cpp.edu","Open source")</x:f>
        <x:v>HYPERLINK is not implemented. linkLocation=https://www.cpp.edu, friendlyName=Open source</x:v>
      </x:c>
    </x:row>
    <x:row r="656" ht="46" customHeight="1">
      <x:c r="A656" s="17" t="str">
        <x:v>stage3src:fd3607892e89475cee46</x:v>
      </x:c>
      <x:c r="B656" s="17" t="str">
        <x:v>program</x:v>
      </x:c>
      <x:c r="C656" s="17" t="str">
        <x:v>California State Polytechnic University-Pomona</x:v>
      </x:c>
      <x:c r="D656" s="17" t="str">
        <x:v>us:ipeds:110529:program:unclear:ipeds-discovery-signal-electrical-and-electronics-engineering-cip-14-1001</x:v>
      </x:c>
      <x:c r="E656" s="17" t="str"/>
      <x:c r="F656" s="17" t="str">
        <x:v>discovery</x:v>
      </x:c>
      <x:c r="G656" s="17" t="str">
        <x:v>Stage 2 recorded this row as a discovery candidate; it does not independently verify an exact current research program, eligibility, or funding.</x:v>
      </x:c>
      <x:c r="H656" s="17" t="str">
        <x:v>Pass 2 Stage 2 candidate funnel</x:v>
      </x:c>
      <x:c r="I656" s="17" t="str">
        <x:v>Graduate audit pipeline</x:v>
      </x:c>
      <x:c r="J656" s="17" t="str">
        <x:v>derived</x:v>
      </x:c>
      <x:c r="K656" s="17" t="str">
        <x:v>2026-09-11</x:v>
      </x:c>
      <x:c r="L656" s="17" t="str">
        <x:v>Not cycle-specific</x:v>
      </x:c>
      <x:c r="M656" s="17" t="str">
        <x:v>low</x:v>
      </x:c>
      <x:c r="N656" s="17" t="str">
        <x:v>Discovery evidence only</x:v>
      </x:c>
      <x:c r="O656" s="17" t="str">
        <x:v>Use the source_record_paths field to trace the underlying discovery inputs.</x:v>
      </x:c>
      <x:c r="P656" s="18" t="e">
        <x:f>HYPERLINK("https://www.cpp.edu","Open source")</x:f>
        <x:v>HYPERLINK is not implemented. linkLocation=https://www.cpp.edu, friendlyName=Open source</x:v>
      </x:c>
    </x:row>
    <x:row r="657" ht="46" customHeight="1">
      <x:c r="A657" s="17" t="str">
        <x:v>stage3src:a77b33f030d5fec78399</x:v>
      </x:c>
      <x:c r="B657" s="17" t="str">
        <x:v>program</x:v>
      </x:c>
      <x:c r="C657" s="17" t="str">
        <x:v>California State Polytechnic University-Pomona</x:v>
      </x:c>
      <x:c r="D657" s="17" t="str">
        <x:v>us:ipeds:110529:program:unclear:ipeds-discovery-signal-information-technology-cip-11-0103</x:v>
      </x:c>
      <x:c r="E657" s="17" t="str"/>
      <x:c r="F657" s="17" t="str">
        <x:v>discovery</x:v>
      </x:c>
      <x:c r="G657" s="17" t="str">
        <x:v>Stage 2 recorded this row as a discovery candidate; it does not independently verify an exact current research program, eligibility, or funding.</x:v>
      </x:c>
      <x:c r="H657" s="17" t="str">
        <x:v>Pass 2 Stage 2 candidate funnel</x:v>
      </x:c>
      <x:c r="I657" s="17" t="str">
        <x:v>Graduate audit pipeline</x:v>
      </x:c>
      <x:c r="J657" s="17" t="str">
        <x:v>derived</x:v>
      </x:c>
      <x:c r="K657" s="17" t="str">
        <x:v>2026-09-11</x:v>
      </x:c>
      <x:c r="L657" s="17" t="str">
        <x:v>Not cycle-specific</x:v>
      </x:c>
      <x:c r="M657" s="17" t="str">
        <x:v>low</x:v>
      </x:c>
      <x:c r="N657" s="17" t="str">
        <x:v>Discovery evidence only</x:v>
      </x:c>
      <x:c r="O657" s="17" t="str">
        <x:v>Use the source_record_paths field to trace the underlying discovery inputs.</x:v>
      </x:c>
      <x:c r="P657" s="18" t="e">
        <x:f>HYPERLINK("https://www.cpp.edu","Open source")</x:f>
        <x:v>HYPERLINK is not implemented. linkLocation=https://www.cpp.edu, friendlyName=Open source</x:v>
      </x:c>
    </x:row>
    <x:row r="658" ht="46" customHeight="1">
      <x:c r="A658" s="17" t="str">
        <x:v>stage3src:69bd5b8f4f766be68735</x:v>
      </x:c>
      <x:c r="B658" s="17" t="str">
        <x:v>program</x:v>
      </x:c>
      <x:c r="C658" s="17" t="str">
        <x:v>California State University-Chico</x:v>
      </x:c>
      <x:c r="D658" s="17" t="str">
        <x:v>us:ipeds:110538:program:unclear:ipeds-discovery-signal-computer-engineering-general-cip-14-0901</x:v>
      </x:c>
      <x:c r="E658" s="17" t="str"/>
      <x:c r="F658" s="17" t="str">
        <x:v>discovery</x:v>
      </x:c>
      <x:c r="G658" s="17" t="str">
        <x:v>Stage 2 recorded this row as a discovery candidate; it does not independently verify an exact current research program, eligibility, or funding.</x:v>
      </x:c>
      <x:c r="H658" s="17" t="str">
        <x:v>Pass 2 Stage 2 candidate funnel</x:v>
      </x:c>
      <x:c r="I658" s="17" t="str">
        <x:v>Graduate audit pipeline</x:v>
      </x:c>
      <x:c r="J658" s="17" t="str">
        <x:v>derived</x:v>
      </x:c>
      <x:c r="K658" s="17" t="str">
        <x:v>2026-09-11</x:v>
      </x:c>
      <x:c r="L658" s="17" t="str">
        <x:v>Not cycle-specific</x:v>
      </x:c>
      <x:c r="M658" s="17" t="str">
        <x:v>low</x:v>
      </x:c>
      <x:c r="N658" s="17" t="str">
        <x:v>Discovery evidence only</x:v>
      </x:c>
      <x:c r="O658" s="17" t="str">
        <x:v>Use the source_record_paths field to trace the underlying discovery inputs.</x:v>
      </x:c>
      <x:c r="P658" s="18" t="e">
        <x:f>HYPERLINK("https://www.csuchico.edu","Open source")</x:f>
        <x:v>HYPERLINK is not implemented. linkLocation=https://www.csuchico.edu, friendlyName=Open source</x:v>
      </x:c>
    </x:row>
    <x:row r="659" ht="46" customHeight="1">
      <x:c r="A659" s="17" t="str">
        <x:v>stage3src:287a2f790c900396f78c</x:v>
      </x:c>
      <x:c r="B659" s="17" t="str">
        <x:v>program</x:v>
      </x:c>
      <x:c r="C659" s="17" t="str">
        <x:v>California State University-Chico</x:v>
      </x:c>
      <x:c r="D659" s="17" t="str">
        <x:v>us:ipeds:110538:program:unclear:ipeds-discovery-signal-computer-science-cip-11-0701</x:v>
      </x:c>
      <x:c r="E659" s="17" t="str"/>
      <x:c r="F659" s="17" t="str">
        <x:v>discovery</x:v>
      </x:c>
      <x:c r="G659" s="17" t="str">
        <x:v>Stage 2 recorded this row as a discovery candidate; it does not independently verify an exact current research program, eligibility, or funding.</x:v>
      </x:c>
      <x:c r="H659" s="17" t="str">
        <x:v>Pass 2 Stage 2 candidate funnel</x:v>
      </x:c>
      <x:c r="I659" s="17" t="str">
        <x:v>Graduate audit pipeline</x:v>
      </x:c>
      <x:c r="J659" s="17" t="str">
        <x:v>derived</x:v>
      </x:c>
      <x:c r="K659" s="17" t="str">
        <x:v>2026-09-11</x:v>
      </x:c>
      <x:c r="L659" s="17" t="str">
        <x:v>Not cycle-specific</x:v>
      </x:c>
      <x:c r="M659" s="17" t="str">
        <x:v>low</x:v>
      </x:c>
      <x:c r="N659" s="17" t="str">
        <x:v>Discovery evidence only</x:v>
      </x:c>
      <x:c r="O659" s="17" t="str">
        <x:v>Use the source_record_paths field to trace the underlying discovery inputs.</x:v>
      </x:c>
      <x:c r="P659" s="18" t="e">
        <x:f>HYPERLINK("https://www.csuchico.edu","Open source")</x:f>
        <x:v>HYPERLINK is not implemented. linkLocation=https://www.csuchico.edu, friendlyName=Open source</x:v>
      </x:c>
    </x:row>
    <x:row r="660" ht="46" customHeight="1">
      <x:c r="A660" s="17" t="str">
        <x:v>stage3src:50d64595e169e9644900</x:v>
      </x:c>
      <x:c r="B660" s="17" t="str">
        <x:v>program</x:v>
      </x:c>
      <x:c r="C660" s="17" t="str">
        <x:v>California State University-Dominguez Hills</x:v>
      </x:c>
      <x:c r="D660" s="17" t="str">
        <x:v>us:ipeds:110547:program:unclear:ipeds-discovery-signal-computer-and-information-systems-security-auditing-information-assurance-cip-11-1003</x:v>
      </x:c>
      <x:c r="E660" s="17" t="str"/>
      <x:c r="F660" s="17" t="str">
        <x:v>discovery</x:v>
      </x:c>
      <x:c r="G660" s="17" t="str">
        <x:v>Stage 2 recorded this row as a discovery candidate; it does not independently verify an exact current research program, eligibility, or funding.</x:v>
      </x:c>
      <x:c r="H660" s="17" t="str">
        <x:v>Pass 2 Stage 2 candidate funnel</x:v>
      </x:c>
      <x:c r="I660" s="17" t="str">
        <x:v>Graduate audit pipeline</x:v>
      </x:c>
      <x:c r="J660" s="17" t="str">
        <x:v>derived</x:v>
      </x:c>
      <x:c r="K660" s="17" t="str">
        <x:v>2026-09-11</x:v>
      </x:c>
      <x:c r="L660" s="17" t="str">
        <x:v>Not cycle-specific</x:v>
      </x:c>
      <x:c r="M660" s="17" t="str">
        <x:v>low</x:v>
      </x:c>
      <x:c r="N660" s="17" t="str">
        <x:v>Discovery evidence only</x:v>
      </x:c>
      <x:c r="O660" s="17" t="str">
        <x:v>Use the source_record_paths field to trace the underlying discovery inputs.</x:v>
      </x:c>
      <x:c r="P660" s="18" t="e">
        <x:f>HYPERLINK("https://www.csudh.edu","Open source")</x:f>
        <x:v>HYPERLINK is not implemented. linkLocation=https://www.csudh.edu, friendlyName=Open source</x:v>
      </x:c>
    </x:row>
    <x:row r="661" ht="46" customHeight="1">
      <x:c r="A661" s="17" t="str">
        <x:v>stage3src:2b995e1b40b973daf7da</x:v>
      </x:c>
      <x:c r="B661" s="17" t="str">
        <x:v>program</x:v>
      </x:c>
      <x:c r="C661" s="17" t="str">
        <x:v>California State University-Dominguez Hills</x:v>
      </x:c>
      <x:c r="D661" s="17" t="str">
        <x:v>us:ipeds:110547:program:unclear:ipeds-discovery-signal-computer-science-cip-11-0701</x:v>
      </x:c>
      <x:c r="E661" s="17" t="str"/>
      <x:c r="F661" s="17" t="str">
        <x:v>discovery</x:v>
      </x:c>
      <x:c r="G661" s="17" t="str">
        <x:v>Stage 2 recorded this row as a discovery candidate; it does not independently verify an exact current research program, eligibility, or funding.</x:v>
      </x:c>
      <x:c r="H661" s="17" t="str">
        <x:v>Pass 2 Stage 2 candidate funnel</x:v>
      </x:c>
      <x:c r="I661" s="17" t="str">
        <x:v>Graduate audit pipeline</x:v>
      </x:c>
      <x:c r="J661" s="17" t="str">
        <x:v>derived</x:v>
      </x:c>
      <x:c r="K661" s="17" t="str">
        <x:v>2026-09-11</x:v>
      </x:c>
      <x:c r="L661" s="17" t="str">
        <x:v>Not cycle-specific</x:v>
      </x:c>
      <x:c r="M661" s="17" t="str">
        <x:v>low</x:v>
      </x:c>
      <x:c r="N661" s="17" t="str">
        <x:v>Discovery evidence only</x:v>
      </x:c>
      <x:c r="O661" s="17" t="str">
        <x:v>Use the source_record_paths field to trace the underlying discovery inputs.</x:v>
      </x:c>
      <x:c r="P661" s="18" t="e">
        <x:f>HYPERLINK("https://www.csudh.edu","Open source")</x:f>
        <x:v>HYPERLINK is not implemented. linkLocation=https://www.csudh.edu, friendlyName=Open source</x:v>
      </x:c>
    </x:row>
    <x:row r="662" ht="46" customHeight="1">
      <x:c r="A662" s="17" t="str">
        <x:v>stage3src:de128c7711e9e3161cc3</x:v>
      </x:c>
      <x:c r="B662" s="17" t="str">
        <x:v>program</x:v>
      </x:c>
      <x:c r="C662" s="17" t="str">
        <x:v>California State University-Fresno</x:v>
      </x:c>
      <x:c r="D662" s="17" t="str">
        <x:v>us:ipeds:110556:program:unclear:ipeds-discovery-signal-computer-engineering-general-cip-14-0901</x:v>
      </x:c>
      <x:c r="E662" s="17" t="str"/>
      <x:c r="F662" s="17" t="str">
        <x:v>discovery</x:v>
      </x:c>
      <x:c r="G662" s="17" t="str">
        <x:v>Stage 2 recorded this row as a discovery candidate; it does not independently verify an exact current research program, eligibility, or funding.</x:v>
      </x:c>
      <x:c r="H662" s="17" t="str">
        <x:v>Pass 2 Stage 2 candidate funnel</x:v>
      </x:c>
      <x:c r="I662" s="17" t="str">
        <x:v>Graduate audit pipeline</x:v>
      </x:c>
      <x:c r="J662" s="17" t="str">
        <x:v>derived</x:v>
      </x:c>
      <x:c r="K662" s="17" t="str">
        <x:v>2026-09-11</x:v>
      </x:c>
      <x:c r="L662" s="17" t="str">
        <x:v>Not cycle-specific</x:v>
      </x:c>
      <x:c r="M662" s="17" t="str">
        <x:v>low</x:v>
      </x:c>
      <x:c r="N662" s="17" t="str">
        <x:v>Discovery evidence only</x:v>
      </x:c>
      <x:c r="O662" s="17" t="str">
        <x:v>Use the source_record_paths field to trace the underlying discovery inputs.</x:v>
      </x:c>
      <x:c r="P662" s="18" t="e">
        <x:f>HYPERLINK("https://www.fresnostate.edu","Open source")</x:f>
        <x:v>HYPERLINK is not implemented. linkLocation=https://www.fresnostate.edu, friendlyName=Open source</x:v>
      </x:c>
    </x:row>
    <x:row r="663" ht="46" customHeight="1">
      <x:c r="A663" s="17" t="str">
        <x:v>stage3src:53d91ae3d42f5079e908</x:v>
      </x:c>
      <x:c r="B663" s="17" t="str">
        <x:v>program</x:v>
      </x:c>
      <x:c r="C663" s="17" t="str">
        <x:v>California State University-Fresno</x:v>
      </x:c>
      <x:c r="D663" s="17" t="str">
        <x:v>us:ipeds:110556:program:unclear:ipeds-discovery-signal-computer-science-cip-11-0701</x:v>
      </x:c>
      <x:c r="E663" s="17" t="str"/>
      <x:c r="F663" s="17" t="str">
        <x:v>discovery</x:v>
      </x:c>
      <x:c r="G663" s="17" t="str">
        <x:v>Stage 2 recorded this row as a discovery candidate; it does not independently verify an exact current research program, eligibility, or funding.</x:v>
      </x:c>
      <x:c r="H663" s="17" t="str">
        <x:v>Pass 2 Stage 2 candidate funnel</x:v>
      </x:c>
      <x:c r="I663" s="17" t="str">
        <x:v>Graduate audit pipeline</x:v>
      </x:c>
      <x:c r="J663" s="17" t="str">
        <x:v>derived</x:v>
      </x:c>
      <x:c r="K663" s="17" t="str">
        <x:v>2026-09-11</x:v>
      </x:c>
      <x:c r="L663" s="17" t="str">
        <x:v>Not cycle-specific</x:v>
      </x:c>
      <x:c r="M663" s="17" t="str">
        <x:v>low</x:v>
      </x:c>
      <x:c r="N663" s="17" t="str">
        <x:v>Discovery evidence only</x:v>
      </x:c>
      <x:c r="O663" s="17" t="str">
        <x:v>Use the source_record_paths field to trace the underlying discovery inputs.</x:v>
      </x:c>
      <x:c r="P663" s="18" t="e">
        <x:f>HYPERLINK("https://www.fresnostate.edu","Open source")</x:f>
        <x:v>HYPERLINK is not implemented. linkLocation=https://www.fresnostate.edu, friendlyName=Open source</x:v>
      </x:c>
    </x:row>
    <x:row r="664" ht="46" customHeight="1">
      <x:c r="A664" s="17" t="str">
        <x:v>stage3src:217b52c4eaf94c5a86ac</x:v>
      </x:c>
      <x:c r="B664" s="17" t="str">
        <x:v>program</x:v>
      </x:c>
      <x:c r="C664" s="17" t="str">
        <x:v>California State University-Fullerton</x:v>
      </x:c>
      <x:c r="D664" s="17" t="str">
        <x:v>us:ipeds:110565:program:unclear:ipeds-discovery-signal-computer-engineering-general-cip-14-0901</x:v>
      </x:c>
      <x:c r="E664" s="17" t="str"/>
      <x:c r="F664" s="17" t="str">
        <x:v>discovery</x:v>
      </x:c>
      <x:c r="G664" s="17" t="str">
        <x:v>Stage 2 recorded this row as a discovery candidate; it does not independently verify an exact current research program, eligibility, or funding.</x:v>
      </x:c>
      <x:c r="H664" s="17" t="str">
        <x:v>Pass 2 Stage 2 candidate funnel</x:v>
      </x:c>
      <x:c r="I664" s="17" t="str">
        <x:v>Graduate audit pipeline</x:v>
      </x:c>
      <x:c r="J664" s="17" t="str">
        <x:v>derived</x:v>
      </x:c>
      <x:c r="K664" s="17" t="str">
        <x:v>2026-09-11</x:v>
      </x:c>
      <x:c r="L664" s="17" t="str">
        <x:v>Not cycle-specific</x:v>
      </x:c>
      <x:c r="M664" s="17" t="str">
        <x:v>low</x:v>
      </x:c>
      <x:c r="N664" s="17" t="str">
        <x:v>Discovery evidence only</x:v>
      </x:c>
      <x:c r="O664" s="17" t="str">
        <x:v>Use the source_record_paths field to trace the underlying discovery inputs.</x:v>
      </x:c>
      <x:c r="P664" s="18" t="e">
        <x:f>HYPERLINK("https://www.fullerton.edu","Open source")</x:f>
        <x:v>HYPERLINK is not implemented. linkLocation=https://www.fullerton.edu, friendlyName=Open source</x:v>
      </x:c>
    </x:row>
    <x:row r="665" ht="46" customHeight="1">
      <x:c r="A665" s="17" t="str">
        <x:v>stage3src:77cf1b383cb62c1d5029</x:v>
      </x:c>
      <x:c r="B665" s="17" t="str">
        <x:v>program</x:v>
      </x:c>
      <x:c r="C665" s="17" t="str">
        <x:v>California State University-Fullerton</x:v>
      </x:c>
      <x:c r="D665" s="17" t="str">
        <x:v>us:ipeds:110565:program:unclear:ipeds-discovery-signal-computer-science-cip-11-0701</x:v>
      </x:c>
      <x:c r="E665" s="17" t="str"/>
      <x:c r="F665" s="17" t="str">
        <x:v>discovery</x:v>
      </x:c>
      <x:c r="G665" s="17" t="str">
        <x:v>Stage 2 recorded this row as a discovery candidate; it does not independently verify an exact current research program, eligibility, or funding.</x:v>
      </x:c>
      <x:c r="H665" s="17" t="str">
        <x:v>Pass 2 Stage 2 candidate funnel</x:v>
      </x:c>
      <x:c r="I665" s="17" t="str">
        <x:v>Graduate audit pipeline</x:v>
      </x:c>
      <x:c r="J665" s="17" t="str">
        <x:v>derived</x:v>
      </x:c>
      <x:c r="K665" s="17" t="str">
        <x:v>2026-09-11</x:v>
      </x:c>
      <x:c r="L665" s="17" t="str">
        <x:v>Not cycle-specific</x:v>
      </x:c>
      <x:c r="M665" s="17" t="str">
        <x:v>low</x:v>
      </x:c>
      <x:c r="N665" s="17" t="str">
        <x:v>Discovery evidence only</x:v>
      </x:c>
      <x:c r="O665" s="17" t="str">
        <x:v>Use the source_record_paths field to trace the underlying discovery inputs.</x:v>
      </x:c>
      <x:c r="P665" s="18" t="e">
        <x:f>HYPERLINK("https://www.fullerton.edu","Open source")</x:f>
        <x:v>HYPERLINK is not implemented. linkLocation=https://www.fullerton.edu, friendlyName=Open source</x:v>
      </x:c>
    </x:row>
    <x:row r="666" ht="46" customHeight="1">
      <x:c r="A666" s="17" t="str">
        <x:v>stage3src:52821ae3c2af2fd8175e</x:v>
      </x:c>
      <x:c r="B666" s="17" t="str">
        <x:v>program</x:v>
      </x:c>
      <x:c r="C666" s="17" t="str">
        <x:v>California State University-Fullerton</x:v>
      </x:c>
      <x:c r="D666" s="17" t="str">
        <x:v>us:ipeds:110565:program:unclear:ipeds-discovery-signal-computer-software-engineering-cip-14-0903</x:v>
      </x:c>
      <x:c r="E666" s="17" t="str"/>
      <x:c r="F666" s="17" t="str">
        <x:v>discovery</x:v>
      </x:c>
      <x:c r="G666" s="17" t="str">
        <x:v>Stage 2 recorded this row as a discovery candidate; it does not independently verify an exact current research program, eligibility, or funding.</x:v>
      </x:c>
      <x:c r="H666" s="17" t="str">
        <x:v>Pass 2 Stage 2 candidate funnel</x:v>
      </x:c>
      <x:c r="I666" s="17" t="str">
        <x:v>Graduate audit pipeline</x:v>
      </x:c>
      <x:c r="J666" s="17" t="str">
        <x:v>derived</x:v>
      </x:c>
      <x:c r="K666" s="17" t="str">
        <x:v>2026-09-11</x:v>
      </x:c>
      <x:c r="L666" s="17" t="str">
        <x:v>Not cycle-specific</x:v>
      </x:c>
      <x:c r="M666" s="17" t="str">
        <x:v>low</x:v>
      </x:c>
      <x:c r="N666" s="17" t="str">
        <x:v>Discovery evidence only</x:v>
      </x:c>
      <x:c r="O666" s="17" t="str">
        <x:v>Use the source_record_paths field to trace the underlying discovery inputs.</x:v>
      </x:c>
      <x:c r="P666" s="18" t="e">
        <x:f>HYPERLINK("https://www.fullerton.edu","Open source")</x:f>
        <x:v>HYPERLINK is not implemented. linkLocation=https://www.fullerton.edu, friendlyName=Open source</x:v>
      </x:c>
    </x:row>
    <x:row r="667" ht="46" customHeight="1">
      <x:c r="A667" s="17" t="str">
        <x:v>stage3src:9c00fd17617f60f30bc3</x:v>
      </x:c>
      <x:c r="B667" s="17" t="str">
        <x:v>program</x:v>
      </x:c>
      <x:c r="C667" s="17" t="str">
        <x:v>California State University-Fullerton</x:v>
      </x:c>
      <x:c r="D667" s="17" t="str">
        <x:v>us:ipeds:110565:program:unclear:ipeds-discovery-signal-electrical-and-electronics-engineering-cip-14-1001</x:v>
      </x:c>
      <x:c r="E667" s="17" t="str"/>
      <x:c r="F667" s="17" t="str">
        <x:v>discovery</x:v>
      </x:c>
      <x:c r="G667" s="17" t="str">
        <x:v>Stage 2 recorded this row as a discovery candidate; it does not independently verify an exact current research program, eligibility, or funding.</x:v>
      </x:c>
      <x:c r="H667" s="17" t="str">
        <x:v>Pass 2 Stage 2 candidate funnel</x:v>
      </x:c>
      <x:c r="I667" s="17" t="str">
        <x:v>Graduate audit pipeline</x:v>
      </x:c>
      <x:c r="J667" s="17" t="str">
        <x:v>derived</x:v>
      </x:c>
      <x:c r="K667" s="17" t="str">
        <x:v>2026-09-11</x:v>
      </x:c>
      <x:c r="L667" s="17" t="str">
        <x:v>Not cycle-specific</x:v>
      </x:c>
      <x:c r="M667" s="17" t="str">
        <x:v>low</x:v>
      </x:c>
      <x:c r="N667" s="17" t="str">
        <x:v>Discovery evidence only</x:v>
      </x:c>
      <x:c r="O667" s="17" t="str">
        <x:v>Use the source_record_paths field to trace the underlying discovery inputs.</x:v>
      </x:c>
      <x:c r="P667" s="18" t="e">
        <x:f>HYPERLINK("https://www.fullerton.edu","Open source")</x:f>
        <x:v>HYPERLINK is not implemented. linkLocation=https://www.fullerton.edu, friendlyName=Open source</x:v>
      </x:c>
    </x:row>
    <x:row r="668" ht="46" customHeight="1">
      <x:c r="A668" s="17" t="str">
        <x:v>stage3src:a7a4dc83553c37674380</x:v>
      </x:c>
      <x:c r="B668" s="17" t="str">
        <x:v>program</x:v>
      </x:c>
      <x:c r="C668" s="17" t="str">
        <x:v>California State University-Fullerton</x:v>
      </x:c>
      <x:c r="D668" s="17" t="str">
        <x:v>us:ipeds:110565:program:unclear:ipeds-discovery-signal-information-technology-cip-11-0103</x:v>
      </x:c>
      <x:c r="E668" s="17" t="str"/>
      <x:c r="F668" s="17" t="str">
        <x:v>discovery</x:v>
      </x:c>
      <x:c r="G668" s="17" t="str">
        <x:v>Stage 2 recorded this row as a discovery candidate; it does not independently verify an exact current research program, eligibility, or funding.</x:v>
      </x:c>
      <x:c r="H668" s="17" t="str">
        <x:v>Pass 2 Stage 2 candidate funnel</x:v>
      </x:c>
      <x:c r="I668" s="17" t="str">
        <x:v>Graduate audit pipeline</x:v>
      </x:c>
      <x:c r="J668" s="17" t="str">
        <x:v>derived</x:v>
      </x:c>
      <x:c r="K668" s="17" t="str">
        <x:v>2026-09-11</x:v>
      </x:c>
      <x:c r="L668" s="17" t="str">
        <x:v>Not cycle-specific</x:v>
      </x:c>
      <x:c r="M668" s="17" t="str">
        <x:v>low</x:v>
      </x:c>
      <x:c r="N668" s="17" t="str">
        <x:v>Discovery evidence only</x:v>
      </x:c>
      <x:c r="O668" s="17" t="str">
        <x:v>Use the source_record_paths field to trace the underlying discovery inputs.</x:v>
      </x:c>
      <x:c r="P668" s="18" t="e">
        <x:f>HYPERLINK("https://www.fullerton.edu","Open source")</x:f>
        <x:v>HYPERLINK is not implemented. linkLocation=https://www.fullerton.edu, friendlyName=Open source</x:v>
      </x:c>
    </x:row>
    <x:row r="669" ht="46" customHeight="1">
      <x:c r="A669" s="17" t="str">
        <x:v>stage3src:1970b491062ee8eadbf0</x:v>
      </x:c>
      <x:c r="B669" s="17" t="str">
        <x:v>program</x:v>
      </x:c>
      <x:c r="C669" s="17" t="str">
        <x:v>California State University-East Bay</x:v>
      </x:c>
      <x:c r="D669" s="17" t="str">
        <x:v>us:ipeds:110574:program:unclear:ipeds-discovery-signal-computer-science-cip-11-0701</x:v>
      </x:c>
      <x:c r="E669" s="17" t="str"/>
      <x:c r="F669" s="17" t="str">
        <x:v>discovery</x:v>
      </x:c>
      <x:c r="G669" s="17" t="str">
        <x:v>Stage 2 recorded this row as a discovery candidate; it does not independently verify an exact current research program, eligibility, or funding.</x:v>
      </x:c>
      <x:c r="H669" s="17" t="str">
        <x:v>Pass 2 Stage 2 candidate funnel</x:v>
      </x:c>
      <x:c r="I669" s="17" t="str">
        <x:v>Graduate audit pipeline</x:v>
      </x:c>
      <x:c r="J669" s="17" t="str">
        <x:v>derived</x:v>
      </x:c>
      <x:c r="K669" s="17" t="str">
        <x:v>2026-09-11</x:v>
      </x:c>
      <x:c r="L669" s="17" t="str">
        <x:v>Not cycle-specific</x:v>
      </x:c>
      <x:c r="M669" s="17" t="str">
        <x:v>low</x:v>
      </x:c>
      <x:c r="N669" s="17" t="str">
        <x:v>Discovery evidence only</x:v>
      </x:c>
      <x:c r="O669" s="17" t="str">
        <x:v>Use the source_record_paths field to trace the underlying discovery inputs.</x:v>
      </x:c>
      <x:c r="P669" s="18" t="e">
        <x:f>HYPERLINK("https://www.csueastbay.edu","Open source")</x:f>
        <x:v>HYPERLINK is not implemented. linkLocation=https://www.csueastbay.edu, friendlyName=Open source</x:v>
      </x:c>
    </x:row>
    <x:row r="670" ht="46" customHeight="1">
      <x:c r="A670" s="17" t="str">
        <x:v>stage3src:2380846e2db539e68c86</x:v>
      </x:c>
      <x:c r="B670" s="17" t="str">
        <x:v>program</x:v>
      </x:c>
      <x:c r="C670" s="17" t="str">
        <x:v>California State University-Long Beach</x:v>
      </x:c>
      <x:c r="D670" s="17" t="str">
        <x:v>us:ipeds:110583:program:unclear:ipeds-discovery-signal-computer-science-cip-11-0701</x:v>
      </x:c>
      <x:c r="E670" s="17" t="str"/>
      <x:c r="F670" s="17" t="str">
        <x:v>discovery</x:v>
      </x:c>
      <x:c r="G670" s="17" t="str">
        <x:v>Stage 2 recorded this row as a discovery candidate; it does not independently verify an exact current research program, eligibility, or funding.</x:v>
      </x:c>
      <x:c r="H670" s="17" t="str">
        <x:v>Pass 2 Stage 2 candidate funnel</x:v>
      </x:c>
      <x:c r="I670" s="17" t="str">
        <x:v>Graduate audit pipeline</x:v>
      </x:c>
      <x:c r="J670" s="17" t="str">
        <x:v>derived</x:v>
      </x:c>
      <x:c r="K670" s="17" t="str">
        <x:v>2026-09-11</x:v>
      </x:c>
      <x:c r="L670" s="17" t="str">
        <x:v>Not cycle-specific</x:v>
      </x:c>
      <x:c r="M670" s="17" t="str">
        <x:v>low</x:v>
      </x:c>
      <x:c r="N670" s="17" t="str">
        <x:v>Discovery evidence only</x:v>
      </x:c>
      <x:c r="O670" s="17" t="str">
        <x:v>Use the source_record_paths field to trace the underlying discovery inputs.</x:v>
      </x:c>
      <x:c r="P670" s="18" t="e">
        <x:f>HYPERLINK("https://www.csulb.edu","Open source")</x:f>
        <x:v>HYPERLINK is not implemented. linkLocation=https://www.csulb.edu, friendlyName=Open source</x:v>
      </x:c>
    </x:row>
    <x:row r="671" ht="46" customHeight="1">
      <x:c r="A671" s="17" t="str">
        <x:v>stage3src:075ef96da719543c419d</x:v>
      </x:c>
      <x:c r="B671" s="17" t="str">
        <x:v>program</x:v>
      </x:c>
      <x:c r="C671" s="17" t="str">
        <x:v>California State University-Long Beach</x:v>
      </x:c>
      <x:c r="D671" s="17" t="str">
        <x:v>us:ipeds:110583:program:unclear:ipeds-discovery-signal-electrical-and-electronics-engineering-cip-14-1001</x:v>
      </x:c>
      <x:c r="E671" s="17" t="str"/>
      <x:c r="F671" s="17" t="str">
        <x:v>discovery</x:v>
      </x:c>
      <x:c r="G671" s="17" t="str">
        <x:v>Stage 2 recorded this row as a discovery candidate; it does not independently verify an exact current research program, eligibility, or funding.</x:v>
      </x:c>
      <x:c r="H671" s="17" t="str">
        <x:v>Pass 2 Stage 2 candidate funnel</x:v>
      </x:c>
      <x:c r="I671" s="17" t="str">
        <x:v>Graduate audit pipeline</x:v>
      </x:c>
      <x:c r="J671" s="17" t="str">
        <x:v>derived</x:v>
      </x:c>
      <x:c r="K671" s="17" t="str">
        <x:v>2026-09-11</x:v>
      </x:c>
      <x:c r="L671" s="17" t="str">
        <x:v>Not cycle-specific</x:v>
      </x:c>
      <x:c r="M671" s="17" t="str">
        <x:v>low</x:v>
      </x:c>
      <x:c r="N671" s="17" t="str">
        <x:v>Discovery evidence only</x:v>
      </x:c>
      <x:c r="O671" s="17" t="str">
        <x:v>Use the source_record_paths field to trace the underlying discovery inputs.</x:v>
      </x:c>
      <x:c r="P671" s="18" t="e">
        <x:f>HYPERLINK("https://www.csulb.edu","Open source")</x:f>
        <x:v>HYPERLINK is not implemented. linkLocation=https://www.csulb.edu, friendlyName=Open source</x:v>
      </x:c>
    </x:row>
    <x:row r="672" ht="46" customHeight="1">
      <x:c r="A672" s="17" t="str">
        <x:v>stage3src:9b89443b23762de8accc</x:v>
      </x:c>
      <x:c r="B672" s="17" t="str">
        <x:v>program</x:v>
      </x:c>
      <x:c r="C672" s="17" t="str">
        <x:v>California State University-Long Beach</x:v>
      </x:c>
      <x:c r="D672" s="17" t="str">
        <x:v>us:ipeds:110583:program:unclear:ipeds-discovery-signal-human-centered-technology-design-cip-11-0105</x:v>
      </x:c>
      <x:c r="E672" s="17" t="str"/>
      <x:c r="F672" s="17" t="str">
        <x:v>discovery</x:v>
      </x:c>
      <x:c r="G672" s="17" t="str">
        <x:v>Stage 2 recorded this row as a discovery candidate; it does not independently verify an exact current research program, eligibility, or funding.</x:v>
      </x:c>
      <x:c r="H672" s="17" t="str">
        <x:v>Pass 2 Stage 2 candidate funnel</x:v>
      </x:c>
      <x:c r="I672" s="17" t="str">
        <x:v>Graduate audit pipeline</x:v>
      </x:c>
      <x:c r="J672" s="17" t="str">
        <x:v>derived</x:v>
      </x:c>
      <x:c r="K672" s="17" t="str">
        <x:v>2026-09-11</x:v>
      </x:c>
      <x:c r="L672" s="17" t="str">
        <x:v>Not cycle-specific</x:v>
      </x:c>
      <x:c r="M672" s="17" t="str">
        <x:v>low</x:v>
      </x:c>
      <x:c r="N672" s="17" t="str">
        <x:v>Discovery evidence only</x:v>
      </x:c>
      <x:c r="O672" s="17" t="str">
        <x:v>Use the source_record_paths field to trace the underlying discovery inputs.</x:v>
      </x:c>
      <x:c r="P672" s="18" t="e">
        <x:f>HYPERLINK("https://www.csulb.edu","Open source")</x:f>
        <x:v>HYPERLINK is not implemented. linkLocation=https://www.csulb.edu, friendlyName=Open source</x:v>
      </x:c>
    </x:row>
    <x:row r="673" ht="46" customHeight="1">
      <x:c r="A673" s="17" t="str">
        <x:v>stage3src:a4fe3215630424ef9939</x:v>
      </x:c>
      <x:c r="B673" s="17" t="str">
        <x:v>program</x:v>
      </x:c>
      <x:c r="C673" s="17" t="str">
        <x:v>California State University-Los Angeles</x:v>
      </x:c>
      <x:c r="D673" s="17" t="str">
        <x:v>us:ipeds:110592:program:unclear:ipeds-discovery-signal-computer-science-cip-11-0701</x:v>
      </x:c>
      <x:c r="E673" s="17" t="str"/>
      <x:c r="F673" s="17" t="str">
        <x:v>discovery</x:v>
      </x:c>
      <x:c r="G673" s="17" t="str">
        <x:v>Stage 2 recorded this row as a discovery candidate; it does not independently verify an exact current research program, eligibility, or funding.</x:v>
      </x:c>
      <x:c r="H673" s="17" t="str">
        <x:v>Pass 2 Stage 2 candidate funnel</x:v>
      </x:c>
      <x:c r="I673" s="17" t="str">
        <x:v>Graduate audit pipeline</x:v>
      </x:c>
      <x:c r="J673" s="17" t="str">
        <x:v>derived</x:v>
      </x:c>
      <x:c r="K673" s="17" t="str">
        <x:v>2026-09-11</x:v>
      </x:c>
      <x:c r="L673" s="17" t="str">
        <x:v>Not cycle-specific</x:v>
      </x:c>
      <x:c r="M673" s="17" t="str">
        <x:v>low</x:v>
      </x:c>
      <x:c r="N673" s="17" t="str">
        <x:v>Discovery evidence only</x:v>
      </x:c>
      <x:c r="O673" s="17" t="str">
        <x:v>Use the source_record_paths field to trace the underlying discovery inputs.</x:v>
      </x:c>
      <x:c r="P673" s="18" t="e">
        <x:f>HYPERLINK("https://www.calstatela.edu","Open source")</x:f>
        <x:v>HYPERLINK is not implemented. linkLocation=https://www.calstatela.edu, friendlyName=Open source</x:v>
      </x:c>
    </x:row>
    <x:row r="674" ht="46" customHeight="1">
      <x:c r="A674" s="17" t="str">
        <x:v>stage3src:adafd30dff8fcb34bae4</x:v>
      </x:c>
      <x:c r="B674" s="17" t="str">
        <x:v>program</x:v>
      </x:c>
      <x:c r="C674" s="17" t="str">
        <x:v>California State University-Los Angeles</x:v>
      </x:c>
      <x:c r="D674" s="17" t="str">
        <x:v>us:ipeds:110592:program:unclear:ipeds-discovery-signal-electrical-and-electronics-engineering-cip-14-1001</x:v>
      </x:c>
      <x:c r="E674" s="17" t="str"/>
      <x:c r="F674" s="17" t="str">
        <x:v>discovery</x:v>
      </x:c>
      <x:c r="G674" s="17" t="str">
        <x:v>Stage 2 recorded this row as a discovery candidate; it does not independently verify an exact current research program, eligibility, or funding.</x:v>
      </x:c>
      <x:c r="H674" s="17" t="str">
        <x:v>Pass 2 Stage 2 candidate funnel</x:v>
      </x:c>
      <x:c r="I674" s="17" t="str">
        <x:v>Graduate audit pipeline</x:v>
      </x:c>
      <x:c r="J674" s="17" t="str">
        <x:v>derived</x:v>
      </x:c>
      <x:c r="K674" s="17" t="str">
        <x:v>2026-09-11</x:v>
      </x:c>
      <x:c r="L674" s="17" t="str">
        <x:v>Not cycle-specific</x:v>
      </x:c>
      <x:c r="M674" s="17" t="str">
        <x:v>low</x:v>
      </x:c>
      <x:c r="N674" s="17" t="str">
        <x:v>Discovery evidence only</x:v>
      </x:c>
      <x:c r="O674" s="17" t="str">
        <x:v>Use the source_record_paths field to trace the underlying discovery inputs.</x:v>
      </x:c>
      <x:c r="P674" s="18" t="e">
        <x:f>HYPERLINK("https://www.calstatela.edu","Open source")</x:f>
        <x:v>HYPERLINK is not implemented. linkLocation=https://www.calstatela.edu, friendlyName=Open source</x:v>
      </x:c>
    </x:row>
    <x:row r="675" ht="46" customHeight="1">
      <x:c r="A675" s="17" t="str">
        <x:v>stage3src:0f5d444e59a74a1311f2</x:v>
      </x:c>
      <x:c r="B675" s="17" t="str">
        <x:v>program</x:v>
      </x:c>
      <x:c r="C675" s="17" t="str">
        <x:v>California State University-Los Angeles</x:v>
      </x:c>
      <x:c r="D675" s="17" t="str">
        <x:v>us:ipeds:110592:program:unclear:ipeds-discovery-signal-information-technology-cip-11-0103</x:v>
      </x:c>
      <x:c r="E675" s="17" t="str"/>
      <x:c r="F675" s="17" t="str">
        <x:v>discovery</x:v>
      </x:c>
      <x:c r="G675" s="17" t="str">
        <x:v>Stage 2 recorded this row as a discovery candidate; it does not independently verify an exact current research program, eligibility, or funding.</x:v>
      </x:c>
      <x:c r="H675" s="17" t="str">
        <x:v>Pass 2 Stage 2 candidate funnel</x:v>
      </x:c>
      <x:c r="I675" s="17" t="str">
        <x:v>Graduate audit pipeline</x:v>
      </x:c>
      <x:c r="J675" s="17" t="str">
        <x:v>derived</x:v>
      </x:c>
      <x:c r="K675" s="17" t="str">
        <x:v>2026-09-11</x:v>
      </x:c>
      <x:c r="L675" s="17" t="str">
        <x:v>Not cycle-specific</x:v>
      </x:c>
      <x:c r="M675" s="17" t="str">
        <x:v>low</x:v>
      </x:c>
      <x:c r="N675" s="17" t="str">
        <x:v>Discovery evidence only</x:v>
      </x:c>
      <x:c r="O675" s="17" t="str">
        <x:v>Use the source_record_paths field to trace the underlying discovery inputs.</x:v>
      </x:c>
      <x:c r="P675" s="18" t="e">
        <x:f>HYPERLINK("https://www.calstatela.edu","Open source")</x:f>
        <x:v>HYPERLINK is not implemented. linkLocation=https://www.calstatela.edu, friendlyName=Open source</x:v>
      </x:c>
    </x:row>
    <x:row r="676" ht="46" customHeight="1">
      <x:c r="A676" s="17" t="str">
        <x:v>stage3src:1dfd8f3ef298dac90e9b</x:v>
      </x:c>
      <x:c r="B676" s="17" t="str">
        <x:v>program</x:v>
      </x:c>
      <x:c r="C676" s="17" t="str">
        <x:v>California State University-Northridge</x:v>
      </x:c>
      <x:c r="D676" s="17" t="str">
        <x:v>us:ipeds:110608:program:unclear:ipeds-discovery-signal-computer-engineering-general-cip-14-0901</x:v>
      </x:c>
      <x:c r="E676" s="17" t="str"/>
      <x:c r="F676" s="17" t="str">
        <x:v>discovery</x:v>
      </x:c>
      <x:c r="G676" s="17" t="str">
        <x:v>Stage 2 recorded this row as a discovery candidate; it does not independently verify an exact current research program, eligibility, or funding.</x:v>
      </x:c>
      <x:c r="H676" s="17" t="str">
        <x:v>Pass 2 Stage 2 candidate funnel</x:v>
      </x:c>
      <x:c r="I676" s="17" t="str">
        <x:v>Graduate audit pipeline</x:v>
      </x:c>
      <x:c r="J676" s="17" t="str">
        <x:v>derived</x:v>
      </x:c>
      <x:c r="K676" s="17" t="str">
        <x:v>2026-09-11</x:v>
      </x:c>
      <x:c r="L676" s="17" t="str">
        <x:v>Not cycle-specific</x:v>
      </x:c>
      <x:c r="M676" s="17" t="str">
        <x:v>low</x:v>
      </x:c>
      <x:c r="N676" s="17" t="str">
        <x:v>Discovery evidence only</x:v>
      </x:c>
      <x:c r="O676" s="17" t="str">
        <x:v>Use the source_record_paths field to trace the underlying discovery inputs.</x:v>
      </x:c>
      <x:c r="P676" s="18" t="e">
        <x:f>HYPERLINK("https://www.csun.edu","Open source")</x:f>
        <x:v>HYPERLINK is not implemented. linkLocation=https://www.csun.edu, friendlyName=Open source</x:v>
      </x:c>
    </x:row>
    <x:row r="677" ht="46" customHeight="1">
      <x:c r="A677" s="17" t="str">
        <x:v>stage3src:dd20b69b9dc7e28bd611</x:v>
      </x:c>
      <x:c r="B677" s="17" t="str">
        <x:v>program</x:v>
      </x:c>
      <x:c r="C677" s="17" t="str">
        <x:v>California State University-Northridge</x:v>
      </x:c>
      <x:c r="D677" s="17" t="str">
        <x:v>us:ipeds:110608:program:unclear:ipeds-discovery-signal-computer-science-cip-11-0701</x:v>
      </x:c>
      <x:c r="E677" s="17" t="str"/>
      <x:c r="F677" s="17" t="str">
        <x:v>discovery</x:v>
      </x:c>
      <x:c r="G677" s="17" t="str">
        <x:v>Stage 2 recorded this row as a discovery candidate; it does not independently verify an exact current research program, eligibility, or funding.</x:v>
      </x:c>
      <x:c r="H677" s="17" t="str">
        <x:v>Pass 2 Stage 2 candidate funnel</x:v>
      </x:c>
      <x:c r="I677" s="17" t="str">
        <x:v>Graduate audit pipeline</x:v>
      </x:c>
      <x:c r="J677" s="17" t="str">
        <x:v>derived</x:v>
      </x:c>
      <x:c r="K677" s="17" t="str">
        <x:v>2026-09-11</x:v>
      </x:c>
      <x:c r="L677" s="17" t="str">
        <x:v>Not cycle-specific</x:v>
      </x:c>
      <x:c r="M677" s="17" t="str">
        <x:v>low</x:v>
      </x:c>
      <x:c r="N677" s="17" t="str">
        <x:v>Discovery evidence only</x:v>
      </x:c>
      <x:c r="O677" s="17" t="str">
        <x:v>Use the source_record_paths field to trace the underlying discovery inputs.</x:v>
      </x:c>
      <x:c r="P677" s="18" t="e">
        <x:f>HYPERLINK("https://www.csun.edu","Open source")</x:f>
        <x:v>HYPERLINK is not implemented. linkLocation=https://www.csun.edu, friendlyName=Open source</x:v>
      </x:c>
    </x:row>
    <x:row r="678" ht="46" customHeight="1">
      <x:c r="A678" s="17" t="str">
        <x:v>stage3src:7ec18876d69452830e61</x:v>
      </x:c>
      <x:c r="B678" s="17" t="str">
        <x:v>program</x:v>
      </x:c>
      <x:c r="C678" s="17" t="str">
        <x:v>California State University-Northridge</x:v>
      </x:c>
      <x:c r="D678" s="17" t="str">
        <x:v>us:ipeds:110608:program:unclear:ipeds-discovery-signal-computer-software-engineering-cip-14-0903</x:v>
      </x:c>
      <x:c r="E678" s="17" t="str"/>
      <x:c r="F678" s="17" t="str">
        <x:v>discovery</x:v>
      </x:c>
      <x:c r="G678" s="17" t="str">
        <x:v>Stage 2 recorded this row as a discovery candidate; it does not independently verify an exact current research program, eligibility, or funding.</x:v>
      </x:c>
      <x:c r="H678" s="17" t="str">
        <x:v>Pass 2 Stage 2 candidate funnel</x:v>
      </x:c>
      <x:c r="I678" s="17" t="str">
        <x:v>Graduate audit pipeline</x:v>
      </x:c>
      <x:c r="J678" s="17" t="str">
        <x:v>derived</x:v>
      </x:c>
      <x:c r="K678" s="17" t="str">
        <x:v>2026-09-11</x:v>
      </x:c>
      <x:c r="L678" s="17" t="str">
        <x:v>Not cycle-specific</x:v>
      </x:c>
      <x:c r="M678" s="17" t="str">
        <x:v>low</x:v>
      </x:c>
      <x:c r="N678" s="17" t="str">
        <x:v>Discovery evidence only</x:v>
      </x:c>
      <x:c r="O678" s="17" t="str">
        <x:v>Use the source_record_paths field to trace the underlying discovery inputs.</x:v>
      </x:c>
      <x:c r="P678" s="18" t="e">
        <x:f>HYPERLINK("https://www.csun.edu","Open source")</x:f>
        <x:v>HYPERLINK is not implemented. linkLocation=https://www.csun.edu, friendlyName=Open source</x:v>
      </x:c>
    </x:row>
    <x:row r="679" ht="46" customHeight="1">
      <x:c r="A679" s="17" t="str">
        <x:v>stage3src:979d0e9507396833516a</x:v>
      </x:c>
      <x:c r="B679" s="17" t="str">
        <x:v>program</x:v>
      </x:c>
      <x:c r="C679" s="17" t="str">
        <x:v>California State University-Northridge</x:v>
      </x:c>
      <x:c r="D679" s="17" t="str">
        <x:v>us:ipeds:110608:program:unclear:ipeds-discovery-signal-electrical-and-electronics-engineering-cip-14-1001</x:v>
      </x:c>
      <x:c r="E679" s="17" t="str"/>
      <x:c r="F679" s="17" t="str">
        <x:v>discovery</x:v>
      </x:c>
      <x:c r="G679" s="17" t="str">
        <x:v>Stage 2 recorded this row as a discovery candidate; it does not independently verify an exact current research program, eligibility, or funding.</x:v>
      </x:c>
      <x:c r="H679" s="17" t="str">
        <x:v>Pass 2 Stage 2 candidate funnel</x:v>
      </x:c>
      <x:c r="I679" s="17" t="str">
        <x:v>Graduate audit pipeline</x:v>
      </x:c>
      <x:c r="J679" s="17" t="str">
        <x:v>derived</x:v>
      </x:c>
      <x:c r="K679" s="17" t="str">
        <x:v>2026-09-11</x:v>
      </x:c>
      <x:c r="L679" s="17" t="str">
        <x:v>Not cycle-specific</x:v>
      </x:c>
      <x:c r="M679" s="17" t="str">
        <x:v>low</x:v>
      </x:c>
      <x:c r="N679" s="17" t="str">
        <x:v>Discovery evidence only</x:v>
      </x:c>
      <x:c r="O679" s="17" t="str">
        <x:v>Use the source_record_paths field to trace the underlying discovery inputs.</x:v>
      </x:c>
      <x:c r="P679" s="18" t="e">
        <x:f>HYPERLINK("https://www.csun.edu","Open source")</x:f>
        <x:v>HYPERLINK is not implemented. linkLocation=https://www.csun.edu, friendlyName=Open source</x:v>
      </x:c>
    </x:row>
    <x:row r="680" ht="46" customHeight="1">
      <x:c r="A680" s="17" t="str">
        <x:v>stage3src:33a3dfac548f7c6ad756</x:v>
      </x:c>
      <x:c r="B680" s="17" t="str">
        <x:v>program</x:v>
      </x:c>
      <x:c r="C680" s="17" t="str">
        <x:v>California State University-Sacramento</x:v>
      </x:c>
      <x:c r="D680" s="17" t="str">
        <x:v>us:ipeds:110617:program:unclear:ipeds-discovery-signal-computer-engineering-general-cip-14-0901</x:v>
      </x:c>
      <x:c r="E680" s="17" t="str"/>
      <x:c r="F680" s="17" t="str">
        <x:v>discovery</x:v>
      </x:c>
      <x:c r="G680" s="17" t="str">
        <x:v>Stage 2 recorded this row as a discovery candidate; it does not independently verify an exact current research program, eligibility, or funding.</x:v>
      </x:c>
      <x:c r="H680" s="17" t="str">
        <x:v>Pass 2 Stage 2 candidate funnel</x:v>
      </x:c>
      <x:c r="I680" s="17" t="str">
        <x:v>Graduate audit pipeline</x:v>
      </x:c>
      <x:c r="J680" s="17" t="str">
        <x:v>derived</x:v>
      </x:c>
      <x:c r="K680" s="17" t="str">
        <x:v>2026-09-11</x:v>
      </x:c>
      <x:c r="L680" s="17" t="str">
        <x:v>Not cycle-specific</x:v>
      </x:c>
      <x:c r="M680" s="17" t="str">
        <x:v>low</x:v>
      </x:c>
      <x:c r="N680" s="17" t="str">
        <x:v>Discovery evidence only</x:v>
      </x:c>
      <x:c r="O680" s="17" t="str">
        <x:v>Use the source_record_paths field to trace the underlying discovery inputs.</x:v>
      </x:c>
      <x:c r="P680" s="18" t="e">
        <x:f>HYPERLINK("https://www.csus.edu","Open source")</x:f>
        <x:v>HYPERLINK is not implemented. linkLocation=https://www.csus.edu, friendlyName=Open source</x:v>
      </x:c>
    </x:row>
    <x:row r="681" ht="46" customHeight="1">
      <x:c r="A681" s="17" t="str">
        <x:v>stage3src:59f7d2aac4c50ab12c5a</x:v>
      </x:c>
      <x:c r="B681" s="17" t="str">
        <x:v>program</x:v>
      </x:c>
      <x:c r="C681" s="17" t="str">
        <x:v>California State University-Sacramento</x:v>
      </x:c>
      <x:c r="D681" s="17" t="str">
        <x:v>us:ipeds:110617:program:unclear:ipeds-discovery-signal-computer-science-cip-11-0701</x:v>
      </x:c>
      <x:c r="E681" s="17" t="str"/>
      <x:c r="F681" s="17" t="str">
        <x:v>discovery</x:v>
      </x:c>
      <x:c r="G681" s="17" t="str">
        <x:v>Stage 2 recorded this row as a discovery candidate; it does not independently verify an exact current research program, eligibility, or funding.</x:v>
      </x:c>
      <x:c r="H681" s="17" t="str">
        <x:v>Pass 2 Stage 2 candidate funnel</x:v>
      </x:c>
      <x:c r="I681" s="17" t="str">
        <x:v>Graduate audit pipeline</x:v>
      </x:c>
      <x:c r="J681" s="17" t="str">
        <x:v>derived</x:v>
      </x:c>
      <x:c r="K681" s="17" t="str">
        <x:v>2026-09-11</x:v>
      </x:c>
      <x:c r="L681" s="17" t="str">
        <x:v>Not cycle-specific</x:v>
      </x:c>
      <x:c r="M681" s="17" t="str">
        <x:v>low</x:v>
      </x:c>
      <x:c r="N681" s="17" t="str">
        <x:v>Discovery evidence only</x:v>
      </x:c>
      <x:c r="O681" s="17" t="str">
        <x:v>Use the source_record_paths field to trace the underlying discovery inputs.</x:v>
      </x:c>
      <x:c r="P681" s="18" t="e">
        <x:f>HYPERLINK("https://www.csus.edu","Open source")</x:f>
        <x:v>HYPERLINK is not implemented. linkLocation=https://www.csus.edu, friendlyName=Open source</x:v>
      </x:c>
    </x:row>
    <x:row r="682" ht="46" customHeight="1">
      <x:c r="A682" s="17" t="str">
        <x:v>stage3src:dfe318b2c3e35ed2d3a8</x:v>
      </x:c>
      <x:c r="B682" s="17" t="str">
        <x:v>program</x:v>
      </x:c>
      <x:c r="C682" s="17" t="str">
        <x:v>California State University-Sacramento</x:v>
      </x:c>
      <x:c r="D682" s="17" t="str">
        <x:v>us:ipeds:110617:program:unclear:ipeds-discovery-signal-computer-software-engineering-cip-14-0903</x:v>
      </x:c>
      <x:c r="E682" s="17" t="str"/>
      <x:c r="F682" s="17" t="str">
        <x:v>discovery</x:v>
      </x:c>
      <x:c r="G682" s="17" t="str">
        <x:v>Stage 2 recorded this row as a discovery candidate; it does not independently verify an exact current research program, eligibility, or funding.</x:v>
      </x:c>
      <x:c r="H682" s="17" t="str">
        <x:v>Pass 2 Stage 2 candidate funnel</x:v>
      </x:c>
      <x:c r="I682" s="17" t="str">
        <x:v>Graduate audit pipeline</x:v>
      </x:c>
      <x:c r="J682" s="17" t="str">
        <x:v>derived</x:v>
      </x:c>
      <x:c r="K682" s="17" t="str">
        <x:v>2026-09-11</x:v>
      </x:c>
      <x:c r="L682" s="17" t="str">
        <x:v>Not cycle-specific</x:v>
      </x:c>
      <x:c r="M682" s="17" t="str">
        <x:v>low</x:v>
      </x:c>
      <x:c r="N682" s="17" t="str">
        <x:v>Discovery evidence only</x:v>
      </x:c>
      <x:c r="O682" s="17" t="str">
        <x:v>Use the source_record_paths field to trace the underlying discovery inputs.</x:v>
      </x:c>
      <x:c r="P682" s="18" t="e">
        <x:f>HYPERLINK("https://www.csus.edu","Open source")</x:f>
        <x:v>HYPERLINK is not implemented. linkLocation=https://www.csus.edu, friendlyName=Open source</x:v>
      </x:c>
    </x:row>
    <x:row r="683" ht="46" customHeight="1">
      <x:c r="A683" s="17" t="str">
        <x:v>stage3src:8a77fd0d0e99d5439b0a</x:v>
      </x:c>
      <x:c r="B683" s="17" t="str">
        <x:v>program</x:v>
      </x:c>
      <x:c r="C683" s="17" t="str">
        <x:v>California State University-Sacramento</x:v>
      </x:c>
      <x:c r="D683" s="17" t="str">
        <x:v>us:ipeds:110617:program:unclear:ipeds-discovery-signal-electrical-and-electronics-engineering-cip-14-1001</x:v>
      </x:c>
      <x:c r="E683" s="17" t="str"/>
      <x:c r="F683" s="17" t="str">
        <x:v>discovery</x:v>
      </x:c>
      <x:c r="G683" s="17" t="str">
        <x:v>Stage 2 recorded this row as a discovery candidate; it does not independently verify an exact current research program, eligibility, or funding.</x:v>
      </x:c>
      <x:c r="H683" s="17" t="str">
        <x:v>Pass 2 Stage 2 candidate funnel</x:v>
      </x:c>
      <x:c r="I683" s="17" t="str">
        <x:v>Graduate audit pipeline</x:v>
      </x:c>
      <x:c r="J683" s="17" t="str">
        <x:v>derived</x:v>
      </x:c>
      <x:c r="K683" s="17" t="str">
        <x:v>2026-09-11</x:v>
      </x:c>
      <x:c r="L683" s="17" t="str">
        <x:v>Not cycle-specific</x:v>
      </x:c>
      <x:c r="M683" s="17" t="str">
        <x:v>low</x:v>
      </x:c>
      <x:c r="N683" s="17" t="str">
        <x:v>Discovery evidence only</x:v>
      </x:c>
      <x:c r="O683" s="17" t="str">
        <x:v>Use the source_record_paths field to trace the underlying discovery inputs.</x:v>
      </x:c>
      <x:c r="P683" s="18" t="e">
        <x:f>HYPERLINK("https://www.csus.edu","Open source")</x:f>
        <x:v>HYPERLINK is not implemented. linkLocation=https://www.csus.edu, friendlyName=Open source</x:v>
      </x:c>
    </x:row>
    <x:row r="684" ht="46" customHeight="1">
      <x:c r="A684" s="17" t="str">
        <x:v>stage3src:5efefa5c55b35ae81412</x:v>
      </x:c>
      <x:c r="B684" s="17" t="str">
        <x:v>program</x:v>
      </x:c>
      <x:c r="C684" s="17" t="str">
        <x:v>University of California-Berkeley</x:v>
      </x:c>
      <x:c r="D684" s="17" t="str">
        <x:v>us:ipeds:110635:program:unclear:ipeds-discovery-signal-computer-and-information-sciences-general-cip-11-0101</x:v>
      </x:c>
      <x:c r="E684" s="17" t="str"/>
      <x:c r="F684" s="17" t="str">
        <x:v>discovery</x:v>
      </x:c>
      <x:c r="G684" s="17" t="str">
        <x:v>Stage 2 recorded this row as a discovery candidate; it does not independently verify an exact current research program, eligibility, or funding.</x:v>
      </x:c>
      <x:c r="H684" s="17" t="str">
        <x:v>Pass 2 Stage 2 candidate funnel</x:v>
      </x:c>
      <x:c r="I684" s="17" t="str">
        <x:v>Graduate audit pipeline</x:v>
      </x:c>
      <x:c r="J684" s="17" t="str">
        <x:v>derived</x:v>
      </x:c>
      <x:c r="K684" s="17" t="str">
        <x:v>2026-09-11</x:v>
      </x:c>
      <x:c r="L684" s="17" t="str">
        <x:v>Not cycle-specific</x:v>
      </x:c>
      <x:c r="M684" s="17" t="str">
        <x:v>low</x:v>
      </x:c>
      <x:c r="N684" s="17" t="str">
        <x:v>Discovery evidence only</x:v>
      </x:c>
      <x:c r="O684" s="17" t="str">
        <x:v>Use the source_record_paths field to trace the underlying discovery inputs.</x:v>
      </x:c>
      <x:c r="P684" s="18" t="e">
        <x:f>HYPERLINK("https://www.berkeley.edu","Open source")</x:f>
        <x:v>HYPERLINK is not implemented. linkLocation=https://www.berkeley.edu, friendlyName=Open source</x:v>
      </x:c>
    </x:row>
    <x:row r="685" ht="46" customHeight="1">
      <x:c r="A685" s="17" t="str">
        <x:v>stage3src:388926456a55b7733e9c</x:v>
      </x:c>
      <x:c r="B685" s="17" t="str">
        <x:v>program</x:v>
      </x:c>
      <x:c r="C685" s="17" t="str">
        <x:v>University of California-Berkeley</x:v>
      </x:c>
      <x:c r="D685" s="17" t="str">
        <x:v>us:ipeds:110635:program:unclear:ipeds-discovery-signal-computer-science-cip-11-0701</x:v>
      </x:c>
      <x:c r="E685" s="17" t="str"/>
      <x:c r="F685" s="17" t="str">
        <x:v>discovery</x:v>
      </x:c>
      <x:c r="G685" s="17" t="str">
        <x:v>Stage 2 recorded this row as a discovery candidate; it does not independently verify an exact current research program, eligibility, or funding.</x:v>
      </x:c>
      <x:c r="H685" s="17" t="str">
        <x:v>Pass 2 Stage 2 candidate funnel</x:v>
      </x:c>
      <x:c r="I685" s="17" t="str">
        <x:v>Graduate audit pipeline</x:v>
      </x:c>
      <x:c r="J685" s="17" t="str">
        <x:v>derived</x:v>
      </x:c>
      <x:c r="K685" s="17" t="str">
        <x:v>2026-09-11</x:v>
      </x:c>
      <x:c r="L685" s="17" t="str">
        <x:v>Not cycle-specific</x:v>
      </x:c>
      <x:c r="M685" s="17" t="str">
        <x:v>low</x:v>
      </x:c>
      <x:c r="N685" s="17" t="str">
        <x:v>Discovery evidence only</x:v>
      </x:c>
      <x:c r="O685" s="17" t="str">
        <x:v>Use the source_record_paths field to trace the underlying discovery inputs.</x:v>
      </x:c>
      <x:c r="P685" s="18" t="e">
        <x:f>HYPERLINK("https://www.berkeley.edu","Open source")</x:f>
        <x:v>HYPERLINK is not implemented. linkLocation=https://www.berkeley.edu, friendlyName=Open source</x:v>
      </x:c>
    </x:row>
    <x:row r="686" ht="46" customHeight="1">
      <x:c r="A686" s="17" t="str">
        <x:v>stage3src:40f3b5f77f6705404bd5</x:v>
      </x:c>
      <x:c r="B686" s="17" t="str">
        <x:v>program</x:v>
      </x:c>
      <x:c r="C686" s="17" t="str">
        <x:v>University of California-Berkeley</x:v>
      </x:c>
      <x:c r="D686" s="17" t="str">
        <x:v>us:ipeds:110635:program:unclear:ipeds-discovery-signal-electrical-and-electronics-engineering-cip-14-1001</x:v>
      </x:c>
      <x:c r="E686" s="17" t="str"/>
      <x:c r="F686" s="17" t="str">
        <x:v>discovery</x:v>
      </x:c>
      <x:c r="G686" s="17" t="str">
        <x:v>Stage 2 recorded this row as a discovery candidate; it does not independently verify an exact current research program, eligibility, or funding.</x:v>
      </x:c>
      <x:c r="H686" s="17" t="str">
        <x:v>Pass 2 Stage 2 candidate funnel</x:v>
      </x:c>
      <x:c r="I686" s="17" t="str">
        <x:v>Graduate audit pipeline</x:v>
      </x:c>
      <x:c r="J686" s="17" t="str">
        <x:v>derived</x:v>
      </x:c>
      <x:c r="K686" s="17" t="str">
        <x:v>2026-09-11</x:v>
      </x:c>
      <x:c r="L686" s="17" t="str">
        <x:v>Not cycle-specific</x:v>
      </x:c>
      <x:c r="M686" s="17" t="str">
        <x:v>low</x:v>
      </x:c>
      <x:c r="N686" s="17" t="str">
        <x:v>Discovery evidence only</x:v>
      </x:c>
      <x:c r="O686" s="17" t="str">
        <x:v>Use the source_record_paths field to trace the underlying discovery inputs.</x:v>
      </x:c>
      <x:c r="P686" s="18" t="e">
        <x:f>HYPERLINK("https://www.berkeley.edu","Open source")</x:f>
        <x:v>HYPERLINK is not implemented. linkLocation=https://www.berkeley.edu, friendlyName=Open source</x:v>
      </x:c>
    </x:row>
    <x:row r="687" ht="46" customHeight="1">
      <x:c r="A687" s="17" t="str">
        <x:v>stage3src:1fa9c11db3df8d769de1</x:v>
      </x:c>
      <x:c r="B687" s="17" t="str">
        <x:v>program</x:v>
      </x:c>
      <x:c r="C687" s="17" t="str">
        <x:v>University of California-Berkeley</x:v>
      </x:c>
      <x:c r="D687" s="17" t="str">
        <x:v>us:ipeds:110635:program:unclear:ipeds-discovery-signal-information-science-studies-cip-11-0401</x:v>
      </x:c>
      <x:c r="E687" s="17" t="str"/>
      <x:c r="F687" s="17" t="str">
        <x:v>discovery</x:v>
      </x:c>
      <x:c r="G687" s="17" t="str">
        <x:v>Stage 2 recorded this row as a discovery candidate; it does not independently verify an exact current research program, eligibility, or funding.</x:v>
      </x:c>
      <x:c r="H687" s="17" t="str">
        <x:v>Pass 2 Stage 2 candidate funnel</x:v>
      </x:c>
      <x:c r="I687" s="17" t="str">
        <x:v>Graduate audit pipeline</x:v>
      </x:c>
      <x:c r="J687" s="17" t="str">
        <x:v>derived</x:v>
      </x:c>
      <x:c r="K687" s="17" t="str">
        <x:v>2026-09-11</x:v>
      </x:c>
      <x:c r="L687" s="17" t="str">
        <x:v>Not cycle-specific</x:v>
      </x:c>
      <x:c r="M687" s="17" t="str">
        <x:v>low</x:v>
      </x:c>
      <x:c r="N687" s="17" t="str">
        <x:v>Discovery evidence only</x:v>
      </x:c>
      <x:c r="O687" s="17" t="str">
        <x:v>Use the source_record_paths field to trace the underlying discovery inputs.</x:v>
      </x:c>
      <x:c r="P687" s="18" t="e">
        <x:f>HYPERLINK("https://www.berkeley.edu","Open source")</x:f>
        <x:v>HYPERLINK is not implemented. linkLocation=https://www.berkeley.edu, friendlyName=Open source</x:v>
      </x:c>
    </x:row>
    <x:row r="688" ht="46" customHeight="1">
      <x:c r="A688" s="17" t="str">
        <x:v>stage3src:2f32a8dd9cc08e1eb1fc</x:v>
      </x:c>
      <x:c r="B688" s="17" t="str">
        <x:v>program</x:v>
      </x:c>
      <x:c r="C688" s="17" t="str">
        <x:v>University of California-Davis</x:v>
      </x:c>
      <x:c r="D688" s="17" t="str">
        <x:v>us:ipeds:110644:program:phd:computer-science-phd</x:v>
      </x:c>
      <x:c r="E688" s="17" t="str"/>
      <x:c r="F688" s="17" t="str">
        <x:v>deadline|language|eligibility</x:v>
      </x:c>
      <x:c r="G688" s="17" t="str">
        <x:v>3.0 GPA, English/international rules, and deadline</x:v>
      </x:c>
      <x:c r="H688" s="17" t="str">
        <x:v>How to Apply</x:v>
      </x:c>
      <x:c r="I688" s="17" t="str">
        <x:v>University of California-Davis</x:v>
      </x:c>
      <x:c r="J688" s="17" t="str">
        <x:v>Official</x:v>
      </x:c>
      <x:c r="K688" s="17" t="str">
        <x:v>2026-09-09</x:v>
      </x:c>
      <x:c r="L688" s="17" t="str">
        <x:v>Current</x:v>
      </x:c>
      <x:c r="M688" s="17" t="str">
        <x:v>High</x:v>
      </x:c>
      <x:c r="N688" s="17" t="str">
        <x:v>Verified</x:v>
      </x:c>
      <x:c r="O688" s="17" t="str"/>
      <x:c r="P688" s="18" t="e">
        <x:f>HYPERLINK("https://cs.ucdavis.edu/graduate/prospective-students/how-apply","Open source")</x:f>
        <x:v>HYPERLINK is not implemented. linkLocation=https://cs.ucdavis.edu/graduate/prospective-students/how-apply, friendlyName=Open source</x:v>
      </x:c>
    </x:row>
    <x:row r="689" ht="46" customHeight="1">
      <x:c r="A689" s="17" t="str">
        <x:v>stage3src:b666ba1c248356d7371b</x:v>
      </x:c>
      <x:c r="B689" s="17" t="str">
        <x:v>program</x:v>
      </x:c>
      <x:c r="C689" s="17" t="str">
        <x:v>University of California-Davis</x:v>
      </x:c>
      <x:c r="D689" s="17" t="str">
        <x:v>us:ipeds:110644:program:phd:computer-science-phd</x:v>
      </x:c>
      <x:c r="E689" s="17" t="str"/>
      <x:c r="F689" s="17" t="str">
        <x:v>fees|admissions</x:v>
      </x:c>
      <x:c r="G689" s="17" t="str">
        <x:v>$135/$155 fee, separate applications, and waiver policy</x:v>
      </x:c>
      <x:c r="H689" s="17" t="str">
        <x:v>Admissions Process Overview</x:v>
      </x:c>
      <x:c r="I689" s="17" t="str">
        <x:v>University of California-Davis</x:v>
      </x:c>
      <x:c r="J689" s="17" t="str">
        <x:v>Official</x:v>
      </x:c>
      <x:c r="K689" s="17" t="str">
        <x:v>2026-09-09</x:v>
      </x:c>
      <x:c r="L689" s="17" t="str">
        <x:v>Current</x:v>
      </x:c>
      <x:c r="M689" s="17" t="str">
        <x:v>High</x:v>
      </x:c>
      <x:c r="N689" s="17" t="str">
        <x:v>Verified</x:v>
      </x:c>
      <x:c r="O689" s="17" t="str"/>
      <x:c r="P689" s="18" t="e">
        <x:f>HYPERLINK("https://grad.ucdavis.edu/admissions-process-overview","Open source")</x:f>
        <x:v>HYPERLINK is not implemented. linkLocation=https://grad.ucdavis.edu/admissions-process-overview, friendlyName=Open source</x:v>
      </x:c>
    </x:row>
    <x:row r="690" ht="46" customHeight="1">
      <x:c r="A690" s="17" t="str">
        <x:v>stage3src:e156496e6bcd706379ba</x:v>
      </x:c>
      <x:c r="B690" s="17" t="str">
        <x:v>program</x:v>
      </x:c>
      <x:c r="C690" s="17" t="str">
        <x:v>University of California-Davis</x:v>
      </x:c>
      <x:c r="D690" s="17" t="str">
        <x:v>us:ipeds:110644:program:phd:computer-science-phd</x:v>
      </x:c>
      <x:c r="E690" s="17" t="str"/>
      <x:c r="F690" s="17" t="str">
        <x:v>deadline|program</x:v>
      </x:c>
      <x:c r="G690" s="17" t="str">
        <x:v>Active CS PhD and Fall 2027 deadline</x:v>
      </x:c>
      <x:c r="H690" s="17" t="str">
        <x:v>Computer Science Graduate Program</x:v>
      </x:c>
      <x:c r="I690" s="17" t="str">
        <x:v>University of California-Davis</x:v>
      </x:c>
      <x:c r="J690" s="17" t="str">
        <x:v>Official</x:v>
      </x:c>
      <x:c r="K690" s="17" t="str">
        <x:v>2026-09-09</x:v>
      </x:c>
      <x:c r="L690" s="17" t="str">
        <x:v>Fall 2027</x:v>
      </x:c>
      <x:c r="M690" s="17" t="str">
        <x:v>High</x:v>
      </x:c>
      <x:c r="N690" s="17" t="str">
        <x:v>Verified</x:v>
      </x:c>
      <x:c r="O690" s="17" t="str"/>
      <x:c r="P690" s="18" t="e">
        <x:f>HYPERLINK("https://grad.ucdavis.edu/programs/gcsi","Open source")</x:f>
        <x:v>HYPERLINK is not implemented. linkLocation=https://grad.ucdavis.edu/programs/gcsi, friendlyName=Open source</x:v>
      </x:c>
    </x:row>
    <x:row r="691" ht="46" customHeight="1">
      <x:c r="A691" s="17" t="str">
        <x:v>stage3src:e1d5d4f127100e38a26a</x:v>
      </x:c>
      <x:c r="B691" s="17" t="str">
        <x:v>program</x:v>
      </x:c>
      <x:c r="C691" s="17" t="str">
        <x:v>University of California-Davis</x:v>
      </x:c>
      <x:c r="D691" s="17" t="str">
        <x:v>us:ipeds:110644:program:phd:computer-science-phd</x:v>
      </x:c>
      <x:c r="E691" s="17" t="str"/>
      <x:c r="F691" s="17" t="str">
        <x:v>funding</x:v>
      </x:c>
      <x:c r="G691" s="17" t="str">
        <x:v>First-year support may be offered but later funding may be uncertain</x:v>
      </x:c>
      <x:c r="H691" s="17" t="str">
        <x:v>International Applicants</x:v>
      </x:c>
      <x:c r="I691" s="17" t="str">
        <x:v>University of California-Davis</x:v>
      </x:c>
      <x:c r="J691" s="17" t="str">
        <x:v>Official</x:v>
      </x:c>
      <x:c r="K691" s="17" t="str">
        <x:v>2026-09-09</x:v>
      </x:c>
      <x:c r="L691" s="17" t="str">
        <x:v>Current</x:v>
      </x:c>
      <x:c r="M691" s="17" t="str">
        <x:v>High</x:v>
      </x:c>
      <x:c r="N691" s="17" t="str">
        <x:v>Verified</x:v>
      </x:c>
      <x:c r="O691" s="17" t="str"/>
      <x:c r="P691" s="18" t="e">
        <x:f>HYPERLINK("https://grad.ucdavis.edu/international-applicants","Open source")</x:f>
        <x:v>HYPERLINK is not implemented. linkLocation=https://grad.ucdavis.edu/international-applicants, friendlyName=Open source</x:v>
      </x:c>
    </x:row>
    <x:row r="692" ht="46" customHeight="1">
      <x:c r="A692" s="17" t="str">
        <x:v>stage3src:9654ab1121b0676c89cf</x:v>
      </x:c>
      <x:c r="B692" s="17" t="str">
        <x:v>program</x:v>
      </x:c>
      <x:c r="C692" s="17" t="str">
        <x:v>University of California-Davis</x:v>
      </x:c>
      <x:c r="D692" s="17" t="str">
        <x:v>us:ipeds:110644:program:unclear:ipeds-discovery-signal-computer-science-cip-11-0701</x:v>
      </x:c>
      <x:c r="E692" s="17" t="str"/>
      <x:c r="F692" s="17" t="str">
        <x:v>discovery</x:v>
      </x:c>
      <x:c r="G692" s="17" t="str">
        <x:v>Stage 2 recorded this row as a discovery candidate; it does not independently verify an exact current research program, eligibility, or funding.</x:v>
      </x:c>
      <x:c r="H692" s="17" t="str">
        <x:v>Pass 2 Stage 2 candidate funnel</x:v>
      </x:c>
      <x:c r="I692" s="17" t="str">
        <x:v>Graduate audit pipeline</x:v>
      </x:c>
      <x:c r="J692" s="17" t="str">
        <x:v>derived</x:v>
      </x:c>
      <x:c r="K692" s="17" t="str">
        <x:v>2026-09-11</x:v>
      </x:c>
      <x:c r="L692" s="17" t="str">
        <x:v>Not cycle-specific</x:v>
      </x:c>
      <x:c r="M692" s="17" t="str">
        <x:v>low</x:v>
      </x:c>
      <x:c r="N692" s="17" t="str">
        <x:v>Discovery evidence only</x:v>
      </x:c>
      <x:c r="O692" s="17" t="str">
        <x:v>Use the source_record_paths field to trace the underlying discovery inputs.</x:v>
      </x:c>
      <x:c r="P692" s="18" t="e">
        <x:f>HYPERLINK("https://ucdavis.edu","Open source")</x:f>
        <x:v>HYPERLINK is not implemented. linkLocation=https://ucdavis.edu, friendlyName=Open source</x:v>
      </x:c>
    </x:row>
    <x:row r="693" ht="46" customHeight="1">
      <x:c r="A693" s="17" t="str">
        <x:v>stage3src:8626ae3b1e8f51a45a0f</x:v>
      </x:c>
      <x:c r="B693" s="17" t="str">
        <x:v>program</x:v>
      </x:c>
      <x:c r="C693" s="17" t="str">
        <x:v>University of California-Davis</x:v>
      </x:c>
      <x:c r="D693" s="17" t="str">
        <x:v>us:ipeds:110644:program:unclear:ipeds-discovery-signal-electrical-and-electronics-engineering-cip-14-1001</x:v>
      </x:c>
      <x:c r="E693" s="17" t="str"/>
      <x:c r="F693" s="17" t="str">
        <x:v>discovery</x:v>
      </x:c>
      <x:c r="G693" s="17" t="str">
        <x:v>Stage 2 recorded this row as a discovery candidate; it does not independently verify an exact current research program, eligibility, or funding.</x:v>
      </x:c>
      <x:c r="H693" s="17" t="str">
        <x:v>Pass 2 Stage 2 candidate funnel</x:v>
      </x:c>
      <x:c r="I693" s="17" t="str">
        <x:v>Graduate audit pipeline</x:v>
      </x:c>
      <x:c r="J693" s="17" t="str">
        <x:v>derived</x:v>
      </x:c>
      <x:c r="K693" s="17" t="str">
        <x:v>2026-09-11</x:v>
      </x:c>
      <x:c r="L693" s="17" t="str">
        <x:v>Not cycle-specific</x:v>
      </x:c>
      <x:c r="M693" s="17" t="str">
        <x:v>low</x:v>
      </x:c>
      <x:c r="N693" s="17" t="str">
        <x:v>Discovery evidence only</x:v>
      </x:c>
      <x:c r="O693" s="17" t="str">
        <x:v>Use the source_record_paths field to trace the underlying discovery inputs.</x:v>
      </x:c>
      <x:c r="P693" s="18" t="e">
        <x:f>HYPERLINK("https://ucdavis.edu","Open source")</x:f>
        <x:v>HYPERLINK is not implemented. linkLocation=https://ucdavis.edu, friendlyName=Open source</x:v>
      </x:c>
    </x:row>
    <x:row r="694" ht="46" customHeight="1">
      <x:c r="A694" s="17" t="str">
        <x:v>stage3src:7461ba90e2b8f707c7de</x:v>
      </x:c>
      <x:c r="B694" s="17" t="str">
        <x:v>program</x:v>
      </x:c>
      <x:c r="C694" s="17" t="str">
        <x:v>University of California-Irvine</x:v>
      </x:c>
      <x:c r="D694" s="17" t="str">
        <x:v>us:ipeds:110653:program:phd:ph-d-in-software-engineering</x:v>
      </x:c>
      <x:c r="E694" s="17" t="str"/>
      <x:c r="F694" s="17" t="str">
        <x:v>program</x:v>
      </x:c>
      <x:c r="G694" s="17" t="str">
        <x:v>Official program page describes an active Software Engineering Ph.D. addressing software quality, debugging, development infrastructure, and empirical work.</x:v>
      </x:c>
      <x:c r="H694" s="17" t="str">
        <x:v>Ph.D. in Software Engineering</x:v>
      </x:c>
      <x:c r="I694" s="17" t="str">
        <x:v>University of California-Irvine</x:v>
      </x:c>
      <x:c r="J694" s="17" t="str">
        <x:v>official</x:v>
      </x:c>
      <x:c r="K694" s="17" t="str">
        <x:v>2026-09-09</x:v>
      </x:c>
      <x:c r="L694" s="17" t="str">
        <x:v>Current page; Fall 2027 cycle not verified</x:v>
      </x:c>
      <x:c r="M694" s="17" t="str">
        <x:v>high for page content; medium for future availability</x:v>
      </x:c>
      <x:c r="N694" s="17" t="str">
        <x:v>opened official page</x:v>
      </x:c>
      <x:c r="O694" s="17" t="str">
        <x:v>No inference about faculty recruiting or funding was made.</x:v>
      </x:c>
      <x:c r="P694" s="18" t="e">
        <x:f>HYPERLINK("https://informatics.ics.uci.edu/phd-software-engineering/","Open source")</x:f>
        <x:v>HYPERLINK is not implemented. linkLocation=https://informatics.ics.uci.edu/phd-software-engineering/, friendlyName=Open source</x:v>
      </x:c>
    </x:row>
    <x:row r="695" ht="46" customHeight="1">
      <x:c r="A695" s="17" t="str">
        <x:v>stage3src:1d899164590fccc0d1b6</x:v>
      </x:c>
      <x:c r="B695" s="17" t="str">
        <x:v>program</x:v>
      </x:c>
      <x:c r="C695" s="17" t="str">
        <x:v>University of California-Irvine</x:v>
      </x:c>
      <x:c r="D695" s="17" t="str">
        <x:v>us:ipeds:110653:program:phd:software-engineering-phd</x:v>
      </x:c>
      <x:c r="E695" s="17" t="str"/>
      <x:c r="F695" s="17" t="str">
        <x:v>fees|eligibility</x:v>
      </x:c>
      <x:c r="G695" s="17" t="str">
        <x:v>$135 domestic/$155 international fee and waiver rules</x:v>
      </x:c>
      <x:c r="H695" s="17" t="str">
        <x:v>Application Fee and Fee Waivers</x:v>
      </x:c>
      <x:c r="I695" s="17" t="str">
        <x:v>University of California-Irvine</x:v>
      </x:c>
      <x:c r="J695" s="17" t="str">
        <x:v>Official</x:v>
      </x:c>
      <x:c r="K695" s="17" t="str">
        <x:v>2026-09-09</x:v>
      </x:c>
      <x:c r="L695" s="17" t="str">
        <x:v>Current</x:v>
      </x:c>
      <x:c r="M695" s="17" t="str">
        <x:v>High</x:v>
      </x:c>
      <x:c r="N695" s="17" t="str">
        <x:v>Verified</x:v>
      </x:c>
      <x:c r="O695" s="17" t="str"/>
      <x:c r="P695" s="18" t="e">
        <x:f>HYPERLINK("https://grad.uci.edu/admissions/application-fee-fee-waivers/","Open source")</x:f>
        <x:v>HYPERLINK is not implemented. linkLocation=https://grad.uci.edu/admissions/application-fee-fee-waivers/, friendlyName=Open source</x:v>
      </x:c>
    </x:row>
    <x:row r="696" ht="46" customHeight="1">
      <x:c r="A696" s="17" t="str">
        <x:v>stage3src:dee4a2daec740af80f8a</x:v>
      </x:c>
      <x:c r="B696" s="17" t="str">
        <x:v>program</x:v>
      </x:c>
      <x:c r="C696" s="17" t="str">
        <x:v>University of California-Irvine</x:v>
      </x:c>
      <x:c r="D696" s="17" t="str">
        <x:v>us:ipeds:110653:program:phd:software-engineering-phd</x:v>
      </x:c>
      <x:c r="E696" s="17" t="str"/>
      <x:c r="F696" s="17" t="str">
        <x:v>funding|deadline|language|eligibility|admissions</x:v>
      </x:c>
      <x:c r="G696" s="17" t="str">
        <x:v>December 15 deadline, GPA, GRE, international, multiple applications, and funding language</x:v>
      </x:c>
      <x:c r="H696" s="17" t="str">
        <x:v>Graduate Research Admissions FAQ</x:v>
      </x:c>
      <x:c r="I696" s="17" t="str">
        <x:v>University of California-Irvine</x:v>
      </x:c>
      <x:c r="J696" s="17" t="str">
        <x:v>Official</x:v>
      </x:c>
      <x:c r="K696" s="17" t="str">
        <x:v>2026-09-09</x:v>
      </x:c>
      <x:c r="L696" s="17" t="str">
        <x:v>Current</x:v>
      </x:c>
      <x:c r="M696" s="17" t="str">
        <x:v>High</x:v>
      </x:c>
      <x:c r="N696" s="17" t="str">
        <x:v>Verified</x:v>
      </x:c>
      <x:c r="O696" s="17" t="str"/>
      <x:c r="P696" s="18" t="e">
        <x:f>HYPERLINK("https://ics.uci.edu/admissions-information-and-computer-science/graduate-admissions/graduate-research-admissions-faq/","Open source")</x:f>
        <x:v>HYPERLINK is not implemented. linkLocation=https://ics.uci.edu/admissions-information-and-computer-science/graduate-admissions/graduate-research-admissions-faq/, friendlyName=Open source</x:v>
      </x:c>
    </x:row>
    <x:row r="697" ht="46" customHeight="1">
      <x:c r="A697" s="17" t="str">
        <x:v>stage3src:f06a20d6cbf9aebc4ce2</x:v>
      </x:c>
      <x:c r="B697" s="17" t="str">
        <x:v>program</x:v>
      </x:c>
      <x:c r="C697" s="17" t="str">
        <x:v>University of California-Irvine</x:v>
      </x:c>
      <x:c r="D697" s="17" t="str">
        <x:v>us:ipeds:110653:program:phd:software-engineering-phd</x:v>
      </x:c>
      <x:c r="E697" s="17" t="str"/>
      <x:c r="F697" s="17" t="str">
        <x:v>admissions</x:v>
      </x:c>
      <x:c r="G697" s="17" t="str">
        <x:v>Fall 2027 application opens October 1, 2026</x:v>
      </x:c>
      <x:c r="H697" s="17" t="str">
        <x:v>UCI Graduate Application</x:v>
      </x:c>
      <x:c r="I697" s="17" t="str">
        <x:v>University of California-Irvine</x:v>
      </x:c>
      <x:c r="J697" s="17" t="str">
        <x:v>Official</x:v>
      </x:c>
      <x:c r="K697" s="17" t="str">
        <x:v>2026-09-09</x:v>
      </x:c>
      <x:c r="L697" s="17" t="str">
        <x:v>Fall 2027</x:v>
      </x:c>
      <x:c r="M697" s="17" t="str">
        <x:v>High</x:v>
      </x:c>
      <x:c r="N697" s="17" t="str">
        <x:v>Verified</x:v>
      </x:c>
      <x:c r="O697" s="17" t="str"/>
      <x:c r="P697" s="18" t="e">
        <x:f>HYPERLINK("https://apply.grad.uci.edu/apply/?sr=e7677a64-54d2-41ab-b4c5-71f0e1dd6034","Open source")</x:f>
        <x:v>HYPERLINK is not implemented. linkLocation=https://apply.grad.uci.edu/apply/?sr=e7677a64-54d2-41ab-b4c5-71f0e1dd6034, friendlyName=Open source</x:v>
      </x:c>
    </x:row>
    <x:row r="698" ht="46" customHeight="1">
      <x:c r="A698" s="17" t="str">
        <x:v>stage3src:f2e8dcb06b3473ac1b5f</x:v>
      </x:c>
      <x:c r="B698" s="17" t="str">
        <x:v>program</x:v>
      </x:c>
      <x:c r="C698" s="17" t="str">
        <x:v>University of California-Irvine</x:v>
      </x:c>
      <x:c r="D698" s="17" t="str">
        <x:v>us:ipeds:110653:program:phd:software-engineering-phd</x:v>
      </x:c>
      <x:c r="E698" s="17" t="str"/>
      <x:c r="F698" s="17" t="str">
        <x:v>admissions|program</x:v>
      </x:c>
      <x:c r="G698" s="17" t="str">
        <x:v>Active Software Engineering PhD and faculty-contact guidance</x:v>
      </x:c>
      <x:c r="H698" s="17" t="str">
        <x:v>Software Engineering PhD</x:v>
      </x:c>
      <x:c r="I698" s="17" t="str">
        <x:v>University of California-Irvine</x:v>
      </x:c>
      <x:c r="J698" s="17" t="str">
        <x:v>Official</x:v>
      </x:c>
      <x:c r="K698" s="17" t="str">
        <x:v>2026-09-09</x:v>
      </x:c>
      <x:c r="L698" s="17" t="str">
        <x:v>Current</x:v>
      </x:c>
      <x:c r="M698" s="17" t="str">
        <x:v>High</x:v>
      </x:c>
      <x:c r="N698" s="17" t="str">
        <x:v>Verified</x:v>
      </x:c>
      <x:c r="O698" s="17" t="str"/>
      <x:c r="P698" s="18" t="e">
        <x:f>HYPERLINK("https://informatics.ics.uci.edu/phd-software-engineering/","Open source")</x:f>
        <x:v>HYPERLINK is not implemented. linkLocation=https://informatics.ics.uci.edu/phd-software-engineering/, friendlyName=Open source</x:v>
      </x:c>
    </x:row>
    <x:row r="699" ht="46" customHeight="1">
      <x:c r="A699" s="17" t="str">
        <x:v>stage3src:3acf0c62973737ef9ca4</x:v>
      </x:c>
      <x:c r="B699" s="17" t="str">
        <x:v>program</x:v>
      </x:c>
      <x:c r="C699" s="17" t="str">
        <x:v>University of California-Irvine</x:v>
      </x:c>
      <x:c r="D699" s="17" t="str">
        <x:v>us:ipeds:110653:program:unclear:ipeds-discovery-signal-computer-engineering-general-cip-14-0901</x:v>
      </x:c>
      <x:c r="E699" s="17" t="str"/>
      <x:c r="F699" s="17" t="str">
        <x:v>discovery</x:v>
      </x:c>
      <x:c r="G699" s="17" t="str">
        <x:v>Stage 2 recorded this row as a discovery candidate; it does not independently verify an exact current research program, eligibility, or funding.</x:v>
      </x:c>
      <x:c r="H699" s="17" t="str">
        <x:v>Pass 2 Stage 2 candidate funnel</x:v>
      </x:c>
      <x:c r="I699" s="17" t="str">
        <x:v>Graduate audit pipeline</x:v>
      </x:c>
      <x:c r="J699" s="17" t="str">
        <x:v>derived</x:v>
      </x:c>
      <x:c r="K699" s="17" t="str">
        <x:v>2026-09-11</x:v>
      </x:c>
      <x:c r="L699" s="17" t="str">
        <x:v>Not cycle-specific</x:v>
      </x:c>
      <x:c r="M699" s="17" t="str">
        <x:v>low</x:v>
      </x:c>
      <x:c r="N699" s="17" t="str">
        <x:v>Discovery evidence only</x:v>
      </x:c>
      <x:c r="O699" s="17" t="str">
        <x:v>Use the source_record_paths field to trace the underlying discovery inputs.</x:v>
      </x:c>
      <x:c r="P699" s="18" t="e">
        <x:f>HYPERLINK("https://www.uci.edu","Open source")</x:f>
        <x:v>HYPERLINK is not implemented. linkLocation=https://www.uci.edu, friendlyName=Open source</x:v>
      </x:c>
    </x:row>
    <x:row r="700" ht="46" customHeight="1">
      <x:c r="A700" s="17" t="str">
        <x:v>stage3src:714e8521d31006dbe821</x:v>
      </x:c>
      <x:c r="B700" s="17" t="str">
        <x:v>program</x:v>
      </x:c>
      <x:c r="C700" s="17" t="str">
        <x:v>University of California-Irvine</x:v>
      </x:c>
      <x:c r="D700" s="17" t="str">
        <x:v>us:ipeds:110653:program:unclear:ipeds-discovery-signal-computer-engineering-other-cip-14-0999</x:v>
      </x:c>
      <x:c r="E700" s="17" t="str"/>
      <x:c r="F700" s="17" t="str">
        <x:v>discovery</x:v>
      </x:c>
      <x:c r="G700" s="17" t="str">
        <x:v>Stage 2 recorded this row as a discovery candidate; it does not independently verify an exact current research program, eligibility, or funding.</x:v>
      </x:c>
      <x:c r="H700" s="17" t="str">
        <x:v>Pass 2 Stage 2 candidate funnel</x:v>
      </x:c>
      <x:c r="I700" s="17" t="str">
        <x:v>Graduate audit pipeline</x:v>
      </x:c>
      <x:c r="J700" s="17" t="str">
        <x:v>derived</x:v>
      </x:c>
      <x:c r="K700" s="17" t="str">
        <x:v>2026-09-11</x:v>
      </x:c>
      <x:c r="L700" s="17" t="str">
        <x:v>Not cycle-specific</x:v>
      </x:c>
      <x:c r="M700" s="17" t="str">
        <x:v>low</x:v>
      </x:c>
      <x:c r="N700" s="17" t="str">
        <x:v>Discovery evidence only</x:v>
      </x:c>
      <x:c r="O700" s="17" t="str">
        <x:v>Use the source_record_paths field to trace the underlying discovery inputs.</x:v>
      </x:c>
      <x:c r="P700" s="18" t="e">
        <x:f>HYPERLINK("https://www.uci.edu","Open source")</x:f>
        <x:v>HYPERLINK is not implemented. linkLocation=https://www.uci.edu, friendlyName=Open source</x:v>
      </x:c>
    </x:row>
    <x:row r="701" ht="46" customHeight="1">
      <x:c r="A701" s="17" t="str">
        <x:v>stage3src:8ef90168bd18dc54266c</x:v>
      </x:c>
      <x:c r="B701" s="17" t="str">
        <x:v>program</x:v>
      </x:c>
      <x:c r="C701" s="17" t="str">
        <x:v>University of California-Irvine</x:v>
      </x:c>
      <x:c r="D701" s="17" t="str">
        <x:v>us:ipeds:110653:program:unclear:ipeds-discovery-signal-computer-science-cip-11-0701</x:v>
      </x:c>
      <x:c r="E701" s="17" t="str"/>
      <x:c r="F701" s="17" t="str">
        <x:v>discovery</x:v>
      </x:c>
      <x:c r="G701" s="17" t="str">
        <x:v>Stage 2 recorded this row as a discovery candidate; it does not independently verify an exact current research program, eligibility, or funding.</x:v>
      </x:c>
      <x:c r="H701" s="17" t="str">
        <x:v>Pass 2 Stage 2 candidate funnel</x:v>
      </x:c>
      <x:c r="I701" s="17" t="str">
        <x:v>Graduate audit pipeline</x:v>
      </x:c>
      <x:c r="J701" s="17" t="str">
        <x:v>derived</x:v>
      </x:c>
      <x:c r="K701" s="17" t="str">
        <x:v>2026-09-11</x:v>
      </x:c>
      <x:c r="L701" s="17" t="str">
        <x:v>Not cycle-specific</x:v>
      </x:c>
      <x:c r="M701" s="17" t="str">
        <x:v>low</x:v>
      </x:c>
      <x:c r="N701" s="17" t="str">
        <x:v>Discovery evidence only</x:v>
      </x:c>
      <x:c r="O701" s="17" t="str">
        <x:v>Use the source_record_paths field to trace the underlying discovery inputs.</x:v>
      </x:c>
      <x:c r="P701" s="18" t="e">
        <x:f>HYPERLINK("https://www.uci.edu","Open source")</x:f>
        <x:v>HYPERLINK is not implemented. linkLocation=https://www.uci.edu, friendlyName=Open source</x:v>
      </x:c>
    </x:row>
    <x:row r="702" ht="46" customHeight="1">
      <x:c r="A702" s="17" t="str">
        <x:v>stage3src:da0a5b8c7ce5a62af9bb</x:v>
      </x:c>
      <x:c r="B702" s="17" t="str">
        <x:v>program</x:v>
      </x:c>
      <x:c r="C702" s="17" t="str">
        <x:v>University of California-Irvine</x:v>
      </x:c>
      <x:c r="D702" s="17" t="str">
        <x:v>us:ipeds:110653:program:unclear:ipeds-discovery-signal-computer-software-engineering-cip-14-0903</x:v>
      </x:c>
      <x:c r="E702" s="17" t="str"/>
      <x:c r="F702" s="17" t="str">
        <x:v>discovery</x:v>
      </x:c>
      <x:c r="G702" s="17" t="str">
        <x:v>Stage 2 recorded this row as a discovery candidate; it does not independently verify an exact current research program, eligibility, or funding.</x:v>
      </x:c>
      <x:c r="H702" s="17" t="str">
        <x:v>Pass 2 Stage 2 candidate funnel</x:v>
      </x:c>
      <x:c r="I702" s="17" t="str">
        <x:v>Graduate audit pipeline</x:v>
      </x:c>
      <x:c r="J702" s="17" t="str">
        <x:v>derived</x:v>
      </x:c>
      <x:c r="K702" s="17" t="str">
        <x:v>2026-09-11</x:v>
      </x:c>
      <x:c r="L702" s="17" t="str">
        <x:v>Not cycle-specific</x:v>
      </x:c>
      <x:c r="M702" s="17" t="str">
        <x:v>low</x:v>
      </x:c>
      <x:c r="N702" s="17" t="str">
        <x:v>Discovery evidence only</x:v>
      </x:c>
      <x:c r="O702" s="17" t="str">
        <x:v>Use the source_record_paths field to trace the underlying discovery inputs.</x:v>
      </x:c>
      <x:c r="P702" s="18" t="e">
        <x:f>HYPERLINK("https://www.uci.edu","Open source")</x:f>
        <x:v>HYPERLINK is not implemented. linkLocation=https://www.uci.edu, friendlyName=Open source</x:v>
      </x:c>
    </x:row>
    <x:row r="703" ht="46" customHeight="1">
      <x:c r="A703" s="17" t="str">
        <x:v>stage3src:2484b4c84e9c91fcbf9b</x:v>
      </x:c>
      <x:c r="B703" s="17" t="str">
        <x:v>program</x:v>
      </x:c>
      <x:c r="C703" s="17" t="str">
        <x:v>University of California-Irvine</x:v>
      </x:c>
      <x:c r="D703" s="17" t="str">
        <x:v>us:ipeds:110653:program:unclear:ipeds-discovery-signal-computer-systems-networking-and-telecommunications-cip-11-0901</x:v>
      </x:c>
      <x:c r="E703" s="17" t="str"/>
      <x:c r="F703" s="17" t="str">
        <x:v>discovery</x:v>
      </x:c>
      <x:c r="G703" s="17" t="str">
        <x:v>Stage 2 recorded this row as a discovery candidate; it does not independently verify an exact current research program, eligibility, or funding.</x:v>
      </x:c>
      <x:c r="H703" s="17" t="str">
        <x:v>Pass 2 Stage 2 candidate funnel</x:v>
      </x:c>
      <x:c r="I703" s="17" t="str">
        <x:v>Graduate audit pipeline</x:v>
      </x:c>
      <x:c r="J703" s="17" t="str">
        <x:v>derived</x:v>
      </x:c>
      <x:c r="K703" s="17" t="str">
        <x:v>2026-09-11</x:v>
      </x:c>
      <x:c r="L703" s="17" t="str">
        <x:v>Not cycle-specific</x:v>
      </x:c>
      <x:c r="M703" s="17" t="str">
        <x:v>low</x:v>
      </x:c>
      <x:c r="N703" s="17" t="str">
        <x:v>Discovery evidence only</x:v>
      </x:c>
      <x:c r="O703" s="17" t="str">
        <x:v>Use the source_record_paths field to trace the underlying discovery inputs.</x:v>
      </x:c>
      <x:c r="P703" s="18" t="e">
        <x:f>HYPERLINK("https://www.uci.edu","Open source")</x:f>
        <x:v>HYPERLINK is not implemented. linkLocation=https://www.uci.edu, friendlyName=Open source</x:v>
      </x:c>
    </x:row>
    <x:row r="704" ht="46" customHeight="1">
      <x:c r="A704" s="17" t="str">
        <x:v>stage3src:a8f7309486c1620c7fe0</x:v>
      </x:c>
      <x:c r="B704" s="17" t="str">
        <x:v>program</x:v>
      </x:c>
      <x:c r="C704" s="17" t="str">
        <x:v>University of California-Irvine</x:v>
      </x:c>
      <x:c r="D704" s="17" t="str">
        <x:v>us:ipeds:110653:program:unclear:ipeds-discovery-signal-electrical-and-electronics-engineering-cip-14-1001</x:v>
      </x:c>
      <x:c r="E704" s="17" t="str"/>
      <x:c r="F704" s="17" t="str">
        <x:v>discovery</x:v>
      </x:c>
      <x:c r="G704" s="17" t="str">
        <x:v>Stage 2 recorded this row as a discovery candidate; it does not independently verify an exact current research program, eligibility, or funding.</x:v>
      </x:c>
      <x:c r="H704" s="17" t="str">
        <x:v>Pass 2 Stage 2 candidate funnel</x:v>
      </x:c>
      <x:c r="I704" s="17" t="str">
        <x:v>Graduate audit pipeline</x:v>
      </x:c>
      <x:c r="J704" s="17" t="str">
        <x:v>derived</x:v>
      </x:c>
      <x:c r="K704" s="17" t="str">
        <x:v>2026-09-11</x:v>
      </x:c>
      <x:c r="L704" s="17" t="str">
        <x:v>Not cycle-specific</x:v>
      </x:c>
      <x:c r="M704" s="17" t="str">
        <x:v>low</x:v>
      </x:c>
      <x:c r="N704" s="17" t="str">
        <x:v>Discovery evidence only</x:v>
      </x:c>
      <x:c r="O704" s="17" t="str">
        <x:v>Use the source_record_paths field to trace the underlying discovery inputs.</x:v>
      </x:c>
      <x:c r="P704" s="18" t="e">
        <x:f>HYPERLINK("https://www.uci.edu","Open source")</x:f>
        <x:v>HYPERLINK is not implemented. linkLocation=https://www.uci.edu, friendlyName=Open source</x:v>
      </x:c>
    </x:row>
    <x:row r="705" ht="46" customHeight="1">
      <x:c r="A705" s="17" t="str">
        <x:v>stage3src:4158f8578f35fd041682</x:v>
      </x:c>
      <x:c r="B705" s="17" t="str">
        <x:v>program</x:v>
      </x:c>
      <x:c r="C705" s="17" t="str">
        <x:v>University of California-Irvine</x:v>
      </x:c>
      <x:c r="D705" s="17" t="str">
        <x:v>us:ipeds:110653:program:unclear:ipeds-discovery-signal-informatics-cip-11-0104</x:v>
      </x:c>
      <x:c r="E705" s="17" t="str"/>
      <x:c r="F705" s="17" t="str">
        <x:v>discovery</x:v>
      </x:c>
      <x:c r="G705" s="17" t="str">
        <x:v>Stage 2 recorded this row as a discovery candidate; it does not independently verify an exact current research program, eligibility, or funding.</x:v>
      </x:c>
      <x:c r="H705" s="17" t="str">
        <x:v>Pass 2 Stage 2 candidate funnel</x:v>
      </x:c>
      <x:c r="I705" s="17" t="str">
        <x:v>Graduate audit pipeline</x:v>
      </x:c>
      <x:c r="J705" s="17" t="str">
        <x:v>derived</x:v>
      </x:c>
      <x:c r="K705" s="17" t="str">
        <x:v>2026-09-11</x:v>
      </x:c>
      <x:c r="L705" s="17" t="str">
        <x:v>Not cycle-specific</x:v>
      </x:c>
      <x:c r="M705" s="17" t="str">
        <x:v>low</x:v>
      </x:c>
      <x:c r="N705" s="17" t="str">
        <x:v>Discovery evidence only</x:v>
      </x:c>
      <x:c r="O705" s="17" t="str">
        <x:v>Use the source_record_paths field to trace the underlying discovery inputs.</x:v>
      </x:c>
      <x:c r="P705" s="18" t="e">
        <x:f>HYPERLINK("https://www.uci.edu","Open source")</x:f>
        <x:v>HYPERLINK is not implemented. linkLocation=https://www.uci.edu, friendlyName=Open source</x:v>
      </x:c>
    </x:row>
    <x:row r="706" ht="46" customHeight="1">
      <x:c r="A706" s="17" t="str">
        <x:v>stage3src:a5471185e7e76efcae26</x:v>
      </x:c>
      <x:c r="B706" s="17" t="str">
        <x:v>program</x:v>
      </x:c>
      <x:c r="C706" s="17" t="str">
        <x:v>University of California-Los Angeles</x:v>
      </x:c>
      <x:c r="D706" s="17" t="str">
        <x:v>us:ipeds:110662:program:unclear:ipeds-discovery-signal-computer-engineering-other-cip-14-0999</x:v>
      </x:c>
      <x:c r="E706" s="17" t="str"/>
      <x:c r="F706" s="17" t="str">
        <x:v>discovery</x:v>
      </x:c>
      <x:c r="G706" s="17" t="str">
        <x:v>Stage 2 recorded this row as a discovery candidate; it does not independently verify an exact current research program, eligibility, or funding.</x:v>
      </x:c>
      <x:c r="H706" s="17" t="str">
        <x:v>Pass 2 Stage 2 candidate funnel</x:v>
      </x:c>
      <x:c r="I706" s="17" t="str">
        <x:v>Graduate audit pipeline</x:v>
      </x:c>
      <x:c r="J706" s="17" t="str">
        <x:v>derived</x:v>
      </x:c>
      <x:c r="K706" s="17" t="str">
        <x:v>2026-09-11</x:v>
      </x:c>
      <x:c r="L706" s="17" t="str">
        <x:v>Not cycle-specific</x:v>
      </x:c>
      <x:c r="M706" s="17" t="str">
        <x:v>low</x:v>
      </x:c>
      <x:c r="N706" s="17" t="str">
        <x:v>Discovery evidence only</x:v>
      </x:c>
      <x:c r="O706" s="17" t="str">
        <x:v>Use the source_record_paths field to trace the underlying discovery inputs.</x:v>
      </x:c>
      <x:c r="P706" s="18" t="e">
        <x:f>HYPERLINK("https://www.ucla.edu","Open source")</x:f>
        <x:v>HYPERLINK is not implemented. linkLocation=https://www.ucla.edu, friendlyName=Open source</x:v>
      </x:c>
    </x:row>
    <x:row r="707" ht="46" customHeight="1">
      <x:c r="A707" s="17" t="str">
        <x:v>stage3src:2f2b40df9cce72a52f1b</x:v>
      </x:c>
      <x:c r="B707" s="17" t="str">
        <x:v>program</x:v>
      </x:c>
      <x:c r="C707" s="17" t="str">
        <x:v>University of California-Los Angeles</x:v>
      </x:c>
      <x:c r="D707" s="17" t="str">
        <x:v>us:ipeds:110662:program:unclear:ipeds-discovery-signal-computer-science-cip-11-0701</x:v>
      </x:c>
      <x:c r="E707" s="17" t="str"/>
      <x:c r="F707" s="17" t="str">
        <x:v>discovery</x:v>
      </x:c>
      <x:c r="G707" s="17" t="str">
        <x:v>Stage 2 recorded this row as a discovery candidate; it does not independently verify an exact current research program, eligibility, or funding.</x:v>
      </x:c>
      <x:c r="H707" s="17" t="str">
        <x:v>Pass 2 Stage 2 candidate funnel</x:v>
      </x:c>
      <x:c r="I707" s="17" t="str">
        <x:v>Graduate audit pipeline</x:v>
      </x:c>
      <x:c r="J707" s="17" t="str">
        <x:v>derived</x:v>
      </x:c>
      <x:c r="K707" s="17" t="str">
        <x:v>2026-09-11</x:v>
      </x:c>
      <x:c r="L707" s="17" t="str">
        <x:v>Not cycle-specific</x:v>
      </x:c>
      <x:c r="M707" s="17" t="str">
        <x:v>low</x:v>
      </x:c>
      <x:c r="N707" s="17" t="str">
        <x:v>Discovery evidence only</x:v>
      </x:c>
      <x:c r="O707" s="17" t="str">
        <x:v>Use the source_record_paths field to trace the underlying discovery inputs.</x:v>
      </x:c>
      <x:c r="P707" s="18" t="e">
        <x:f>HYPERLINK("https://www.ucla.edu","Open source")</x:f>
        <x:v>HYPERLINK is not implemented. linkLocation=https://www.ucla.edu, friendlyName=Open source</x:v>
      </x:c>
    </x:row>
    <x:row r="708" ht="46" customHeight="1">
      <x:c r="A708" s="17" t="str">
        <x:v>stage3src:f85282edb36ed5724ee8</x:v>
      </x:c>
      <x:c r="B708" s="17" t="str">
        <x:v>program</x:v>
      </x:c>
      <x:c r="C708" s="17" t="str">
        <x:v>University of California-Los Angeles</x:v>
      </x:c>
      <x:c r="D708" s="17" t="str">
        <x:v>us:ipeds:110662:program:unclear:ipeds-discovery-signal-electrical-and-electronics-engineering-cip-14-1001</x:v>
      </x:c>
      <x:c r="E708" s="17" t="str"/>
      <x:c r="F708" s="17" t="str">
        <x:v>discovery</x:v>
      </x:c>
      <x:c r="G708" s="17" t="str">
        <x:v>Stage 2 recorded this row as a discovery candidate; it does not independently verify an exact current research program, eligibility, or funding.</x:v>
      </x:c>
      <x:c r="H708" s="17" t="str">
        <x:v>Pass 2 Stage 2 candidate funnel</x:v>
      </x:c>
      <x:c r="I708" s="17" t="str">
        <x:v>Graduate audit pipeline</x:v>
      </x:c>
      <x:c r="J708" s="17" t="str">
        <x:v>derived</x:v>
      </x:c>
      <x:c r="K708" s="17" t="str">
        <x:v>2026-09-11</x:v>
      </x:c>
      <x:c r="L708" s="17" t="str">
        <x:v>Not cycle-specific</x:v>
      </x:c>
      <x:c r="M708" s="17" t="str">
        <x:v>low</x:v>
      </x:c>
      <x:c r="N708" s="17" t="str">
        <x:v>Discovery evidence only</x:v>
      </x:c>
      <x:c r="O708" s="17" t="str">
        <x:v>Use the source_record_paths field to trace the underlying discovery inputs.</x:v>
      </x:c>
      <x:c r="P708" s="18" t="e">
        <x:f>HYPERLINK("https://www.ucla.edu","Open source")</x:f>
        <x:v>HYPERLINK is not implemented. linkLocation=https://www.ucla.edu, friendlyName=Open source</x:v>
      </x:c>
    </x:row>
    <x:row r="709" ht="46" customHeight="1">
      <x:c r="A709" s="17" t="str">
        <x:v>stage3src:ba0b4e3b56464fd1e482</x:v>
      </x:c>
      <x:c r="B709" s="17" t="str">
        <x:v>program</x:v>
      </x:c>
      <x:c r="C709" s="17" t="str">
        <x:v>University of California-Los Angeles</x:v>
      </x:c>
      <x:c r="D709" s="17" t="str">
        <x:v>us:ipeds:110662:program:unclear:ipeds-discovery-signal-information-science-studies-cip-11-0401</x:v>
      </x:c>
      <x:c r="E709" s="17" t="str"/>
      <x:c r="F709" s="17" t="str">
        <x:v>discovery</x:v>
      </x:c>
      <x:c r="G709" s="17" t="str">
        <x:v>Stage 2 recorded this row as a discovery candidate; it does not independently verify an exact current research program, eligibility, or funding.</x:v>
      </x:c>
      <x:c r="H709" s="17" t="str">
        <x:v>Pass 2 Stage 2 candidate funnel</x:v>
      </x:c>
      <x:c r="I709" s="17" t="str">
        <x:v>Graduate audit pipeline</x:v>
      </x:c>
      <x:c r="J709" s="17" t="str">
        <x:v>derived</x:v>
      </x:c>
      <x:c r="K709" s="17" t="str">
        <x:v>2026-09-11</x:v>
      </x:c>
      <x:c r="L709" s="17" t="str">
        <x:v>Not cycle-specific</x:v>
      </x:c>
      <x:c r="M709" s="17" t="str">
        <x:v>low</x:v>
      </x:c>
      <x:c r="N709" s="17" t="str">
        <x:v>Discovery evidence only</x:v>
      </x:c>
      <x:c r="O709" s="17" t="str">
        <x:v>Use the source_record_paths field to trace the underlying discovery inputs.</x:v>
      </x:c>
      <x:c r="P709" s="18" t="e">
        <x:f>HYPERLINK("https://www.ucla.edu","Open source")</x:f>
        <x:v>HYPERLINK is not implemented. linkLocation=https://www.ucla.edu, friendlyName=Open source</x:v>
      </x:c>
    </x:row>
    <x:row r="710" ht="46" customHeight="1">
      <x:c r="A710" s="17" t="str">
        <x:v>stage3src:17433b20c5135b7ea0a5</x:v>
      </x:c>
      <x:c r="B710" s="17" t="str">
        <x:v>program</x:v>
      </x:c>
      <x:c r="C710" s="17" t="str">
        <x:v>University of California-Riverside</x:v>
      </x:c>
      <x:c r="D710" s="17" t="str">
        <x:v>us:ipeds:110671:program:phd:phd-in-computer-science</x:v>
      </x:c>
      <x:c r="E710" s="17" t="str"/>
      <x:c r="F710" s="17" t="str">
        <x:v>admissions|eligibility|deadline|funding</x:v>
      </x:c>
      <x:c r="G710" s="17" t="str">
        <x:v>No MS is required, recurring fellowship date, and not every PhD student is funded.</x:v>
      </x:c>
      <x:c r="H710" s="17" t="str">
        <x:v>Graduate Admissions Frequently Asked Questions</x:v>
      </x:c>
      <x:c r="I710" s="17" t="str">
        <x:v>UC Riverside Department of Computer Science and Engineering</x:v>
      </x:c>
      <x:c r="J710" s="17" t="str">
        <x:v>official</x:v>
      </x:c>
      <x:c r="K710" s="17" t="str">
        <x:v>2026-09-10</x:v>
      </x:c>
      <x:c r="L710" s="17" t="str">
        <x:v>Current page checked 2026-09-10</x:v>
      </x:c>
      <x:c r="M710" s="17" t="str">
        <x:v>high</x:v>
      </x:c>
      <x:c r="N710" s="17" t="str">
        <x:v>official page checked</x:v>
      </x:c>
      <x:c r="O710" s="17" t="str"/>
      <x:c r="P710" s="18" t="e">
        <x:f>HYPERLINK("https://www1.cs.ucr.edu/graduate-admissions-frequently-asked-questions","Open source")</x:f>
        <x:v>HYPERLINK is not implemented. linkLocation=https://www1.cs.ucr.edu/graduate-admissions-frequently-asked-questions, friendlyName=Open source</x:v>
      </x:c>
    </x:row>
    <x:row r="711" ht="46" customHeight="1">
      <x:c r="A711" s="17" t="str">
        <x:v>stage3src:38cb805a79903bffe41b</x:v>
      </x:c>
      <x:c r="B711" s="17" t="str">
        <x:v>program</x:v>
      </x:c>
      <x:c r="C711" s="17" t="str">
        <x:v>University of California-Riverside</x:v>
      </x:c>
      <x:c r="D711" s="17" t="str">
        <x:v>us:ipeds:110671:program:phd:phd-in-computer-science</x:v>
      </x:c>
      <x:c r="E711" s="17" t="str"/>
      <x:c r="F711" s="17" t="str">
        <x:v>admissions|eligibility|language|deadline|fees</x:v>
      </x:c>
      <x:c r="G711" s="17" t="str">
        <x:v>Bachelor's entry, international route, GPA guidance, recurring deadlines, prerequisites, and application fee.</x:v>
      </x:c>
      <x:c r="H711" s="17" t="str">
        <x:v>Graduate Admissions</x:v>
      </x:c>
      <x:c r="I711" s="17" t="str">
        <x:v>UC Riverside Department of Computer Science and Engineering</x:v>
      </x:c>
      <x:c r="J711" s="17" t="str">
        <x:v>official</x:v>
      </x:c>
      <x:c r="K711" s="17" t="str">
        <x:v>2026-09-10</x:v>
      </x:c>
      <x:c r="L711" s="17" t="str">
        <x:v>Current cycle checked 2026-09-10</x:v>
      </x:c>
      <x:c r="M711" s="17" t="str">
        <x:v>high</x:v>
      </x:c>
      <x:c r="N711" s="17" t="str">
        <x:v>official page checked</x:v>
      </x:c>
      <x:c r="O711" s="17" t="str"/>
      <x:c r="P711" s="18" t="e">
        <x:f>HYPERLINK("https://www1.cs.ucr.edu/graduate/admissions","Open source")</x:f>
        <x:v>HYPERLINK is not implemented. linkLocation=https://www1.cs.ucr.edu/graduate/admissions, friendlyName=Open source</x:v>
      </x:c>
    </x:row>
    <x:row r="712" ht="46" customHeight="1">
      <x:c r="A712" s="17" t="str">
        <x:v>stage3src:69da9a15b33d375ef553</x:v>
      </x:c>
      <x:c r="B712" s="17" t="str">
        <x:v>program</x:v>
      </x:c>
      <x:c r="C712" s="17" t="str">
        <x:v>University of California-Riverside</x:v>
      </x:c>
      <x:c r="D712" s="17" t="str">
        <x:v>us:ipeds:110671:program:phd:phd-in-computer-science</x:v>
      </x:c>
      <x:c r="E712" s="17" t="str"/>
      <x:c r="F712" s="17" t="str">
        <x:v>funding|fees</x:v>
      </x:c>
      <x:c r="G712" s="17" t="str">
        <x:v>Offer-specific one-to-five-year packages can combine stipend, tuition, fees, GSR, TA, and fellowship support.</x:v>
      </x:c>
      <x:c r="H712" s="17" t="str">
        <x:v>Financial Support</x:v>
      </x:c>
      <x:c r="I712" s="17" t="str">
        <x:v>UC Riverside Department of Computer Science and Engineering</x:v>
      </x:c>
      <x:c r="J712" s="17" t="str">
        <x:v>official</x:v>
      </x:c>
      <x:c r="K712" s="17" t="str">
        <x:v>2026-09-10</x:v>
      </x:c>
      <x:c r="L712" s="17" t="str">
        <x:v>Current page checked 2026-09-10</x:v>
      </x:c>
      <x:c r="M712" s="17" t="str">
        <x:v>high</x:v>
      </x:c>
      <x:c r="N712" s="17" t="str">
        <x:v>official page checked</x:v>
      </x:c>
      <x:c r="O712" s="17" t="str"/>
      <x:c r="P712" s="18" t="e">
        <x:f>HYPERLINK("https://www1.cs.ucr.edu/graduate/financial-support","Open source")</x:f>
        <x:v>HYPERLINK is not implemented. linkLocation=https://www1.cs.ucr.edu/graduate/financial-support, friendlyName=Open source</x:v>
      </x:c>
    </x:row>
    <x:row r="713" ht="46" customHeight="1">
      <x:c r="A713" s="17" t="str">
        <x:v>stage3src:d875b34e64fb155d1a2b</x:v>
      </x:c>
      <x:c r="B713" s="17" t="str">
        <x:v>program</x:v>
      </x:c>
      <x:c r="C713" s="17" t="str">
        <x:v>University of California-Riverside</x:v>
      </x:c>
      <x:c r="D713" s="17" t="str">
        <x:v>us:ipeds:110671:program:phd:phd-in-computer-science</x:v>
      </x:c>
      <x:c r="E713" s="17" t="str"/>
      <x:c r="F713" s="17" t="str">
        <x:v>program</x:v>
      </x:c>
      <x:c r="G713" s="17" t="str">
        <x:v>Current research-oriented Computer Science PhD structure and dissertation route.</x:v>
      </x:c>
      <x:c r="H713" s="17" t="str">
        <x:v>Computer Science PhD</x:v>
      </x:c>
      <x:c r="I713" s="17" t="str">
        <x:v>UC Riverside Department of Computer Science and Engineering</x:v>
      </x:c>
      <x:c r="J713" s="17" t="str">
        <x:v>official</x:v>
      </x:c>
      <x:c r="K713" s="17" t="str">
        <x:v>2026-09-10</x:v>
      </x:c>
      <x:c r="L713" s="17" t="str">
        <x:v>Current page checked 2026-09-10</x:v>
      </x:c>
      <x:c r="M713" s="17" t="str">
        <x:v>high</x:v>
      </x:c>
      <x:c r="N713" s="17" t="str">
        <x:v>official page checked</x:v>
      </x:c>
      <x:c r="O713" s="17" t="str"/>
      <x:c r="P713" s="18" t="e">
        <x:f>HYPERLINK("https://www1.cs.ucr.edu/graduate/programs/computer-science-phd","Open source")</x:f>
        <x:v>HYPERLINK is not implemented. linkLocation=https://www1.cs.ucr.edu/graduate/programs/computer-science-phd, friendlyName=Open source</x:v>
      </x:c>
    </x:row>
    <x:row r="714" ht="46" customHeight="1">
      <x:c r="A714" s="17" t="str">
        <x:v>stage3src:1c90a8442fbfb777a5eb</x:v>
      </x:c>
      <x:c r="B714" s="17" t="str">
        <x:v>program</x:v>
      </x:c>
      <x:c r="C714" s="17" t="str">
        <x:v>University of California-Riverside</x:v>
      </x:c>
      <x:c r="D714" s="17" t="str">
        <x:v>us:ipeds:110671:program:unclear:ipeds-discovery-signal-computer-engineering-general-cip-14-0901</x:v>
      </x:c>
      <x:c r="E714" s="17" t="str"/>
      <x:c r="F714" s="17" t="str">
        <x:v>discovery</x:v>
      </x:c>
      <x:c r="G714" s="17" t="str">
        <x:v>Stage 2 recorded this row as a discovery candidate; it does not independently verify an exact current research program, eligibility, or funding.</x:v>
      </x:c>
      <x:c r="H714" s="17" t="str">
        <x:v>Pass 2 Stage 2 candidate funnel</x:v>
      </x:c>
      <x:c r="I714" s="17" t="str">
        <x:v>Graduate audit pipeline</x:v>
      </x:c>
      <x:c r="J714" s="17" t="str">
        <x:v>derived</x:v>
      </x:c>
      <x:c r="K714" s="17" t="str">
        <x:v>2026-09-11</x:v>
      </x:c>
      <x:c r="L714" s="17" t="str">
        <x:v>Not cycle-specific</x:v>
      </x:c>
      <x:c r="M714" s="17" t="str">
        <x:v>low</x:v>
      </x:c>
      <x:c r="N714" s="17" t="str">
        <x:v>Discovery evidence only</x:v>
      </x:c>
      <x:c r="O714" s="17" t="str">
        <x:v>Use the source_record_paths field to trace the underlying discovery inputs.</x:v>
      </x:c>
      <x:c r="P714" s="18" t="e">
        <x:f>HYPERLINK("https://www.ucr.edu","Open source")</x:f>
        <x:v>HYPERLINK is not implemented. linkLocation=https://www.ucr.edu, friendlyName=Open source</x:v>
      </x:c>
    </x:row>
    <x:row r="715" ht="46" customHeight="1">
      <x:c r="A715" s="17" t="str">
        <x:v>stage3src:9b6fd073a096d9107208</x:v>
      </x:c>
      <x:c r="B715" s="17" t="str">
        <x:v>program</x:v>
      </x:c>
      <x:c r="C715" s="17" t="str">
        <x:v>University of California-Riverside</x:v>
      </x:c>
      <x:c r="D715" s="17" t="str">
        <x:v>us:ipeds:110671:program:unclear:ipeds-discovery-signal-computer-science-cip-11-0701</x:v>
      </x:c>
      <x:c r="E715" s="17" t="str"/>
      <x:c r="F715" s="17" t="str">
        <x:v>discovery</x:v>
      </x:c>
      <x:c r="G715" s="17" t="str">
        <x:v>Stage 2 recorded this row as a discovery candidate; it does not independently verify an exact current research program, eligibility, or funding.</x:v>
      </x:c>
      <x:c r="H715" s="17" t="str">
        <x:v>Pass 2 Stage 2 candidate funnel</x:v>
      </x:c>
      <x:c r="I715" s="17" t="str">
        <x:v>Graduate audit pipeline</x:v>
      </x:c>
      <x:c r="J715" s="17" t="str">
        <x:v>derived</x:v>
      </x:c>
      <x:c r="K715" s="17" t="str">
        <x:v>2026-09-11</x:v>
      </x:c>
      <x:c r="L715" s="17" t="str">
        <x:v>Not cycle-specific</x:v>
      </x:c>
      <x:c r="M715" s="17" t="str">
        <x:v>low</x:v>
      </x:c>
      <x:c r="N715" s="17" t="str">
        <x:v>Discovery evidence only</x:v>
      </x:c>
      <x:c r="O715" s="17" t="str">
        <x:v>Use the source_record_paths field to trace the underlying discovery inputs.</x:v>
      </x:c>
      <x:c r="P715" s="18" t="e">
        <x:f>HYPERLINK("https://www.ucr.edu","Open source")</x:f>
        <x:v>HYPERLINK is not implemented. linkLocation=https://www.ucr.edu, friendlyName=Open source</x:v>
      </x:c>
    </x:row>
    <x:row r="716" ht="46" customHeight="1">
      <x:c r="A716" s="17" t="str">
        <x:v>stage3src:89f67524928e6c2885f7</x:v>
      </x:c>
      <x:c r="B716" s="17" t="str">
        <x:v>program</x:v>
      </x:c>
      <x:c r="C716" s="17" t="str">
        <x:v>University of California-Riverside</x:v>
      </x:c>
      <x:c r="D716" s="17" t="str">
        <x:v>us:ipeds:110671:program:unclear:ipeds-discovery-signal-electrical-and-electronics-engineering-cip-14-1001</x:v>
      </x:c>
      <x:c r="E716" s="17" t="str"/>
      <x:c r="F716" s="17" t="str">
        <x:v>discovery</x:v>
      </x:c>
      <x:c r="G716" s="17" t="str">
        <x:v>Stage 2 recorded this row as a discovery candidate; it does not independently verify an exact current research program, eligibility, or funding.</x:v>
      </x:c>
      <x:c r="H716" s="17" t="str">
        <x:v>Pass 2 Stage 2 candidate funnel</x:v>
      </x:c>
      <x:c r="I716" s="17" t="str">
        <x:v>Graduate audit pipeline</x:v>
      </x:c>
      <x:c r="J716" s="17" t="str">
        <x:v>derived</x:v>
      </x:c>
      <x:c r="K716" s="17" t="str">
        <x:v>2026-09-11</x:v>
      </x:c>
      <x:c r="L716" s="17" t="str">
        <x:v>Not cycle-specific</x:v>
      </x:c>
      <x:c r="M716" s="17" t="str">
        <x:v>low</x:v>
      </x:c>
      <x:c r="N716" s="17" t="str">
        <x:v>Discovery evidence only</x:v>
      </x:c>
      <x:c r="O716" s="17" t="str">
        <x:v>Use the source_record_paths field to trace the underlying discovery inputs.</x:v>
      </x:c>
      <x:c r="P716" s="18" t="e">
        <x:f>HYPERLINK("https://www.ucr.edu","Open source")</x:f>
        <x:v>HYPERLINK is not implemented. linkLocation=https://www.ucr.edu, friendlyName=Open source</x:v>
      </x:c>
    </x:row>
    <x:row r="717" ht="46" customHeight="1">
      <x:c r="A717" s="17" t="str">
        <x:v>stage3src:93f3d0ef6a8cdd512ad6</x:v>
      </x:c>
      <x:c r="B717" s="17" t="str">
        <x:v>program</x:v>
      </x:c>
      <x:c r="C717" s="17" t="str">
        <x:v>University of California-Riverside</x:v>
      </x:c>
      <x:c r="D717" s="17" t="str">
        <x:v>us:ipeds:110671:program:unclear:ipeds-discovery-signal-mechatronics-robotics-and-automation-engineering-cip-14-4201</x:v>
      </x:c>
      <x:c r="E717" s="17" t="str"/>
      <x:c r="F717" s="17" t="str">
        <x:v>discovery</x:v>
      </x:c>
      <x:c r="G717" s="17" t="str">
        <x:v>Stage 2 recorded this row as a discovery candidate; it does not independently verify an exact current research program, eligibility, or funding.</x:v>
      </x:c>
      <x:c r="H717" s="17" t="str">
        <x:v>Pass 2 Stage 2 candidate funnel</x:v>
      </x:c>
      <x:c r="I717" s="17" t="str">
        <x:v>Graduate audit pipeline</x:v>
      </x:c>
      <x:c r="J717" s="17" t="str">
        <x:v>derived</x:v>
      </x:c>
      <x:c r="K717" s="17" t="str">
        <x:v>2026-09-11</x:v>
      </x:c>
      <x:c r="L717" s="17" t="str">
        <x:v>Not cycle-specific</x:v>
      </x:c>
      <x:c r="M717" s="17" t="str">
        <x:v>low</x:v>
      </x:c>
      <x:c r="N717" s="17" t="str">
        <x:v>Discovery evidence only</x:v>
      </x:c>
      <x:c r="O717" s="17" t="str">
        <x:v>Use the source_record_paths field to trace the underlying discovery inputs.</x:v>
      </x:c>
      <x:c r="P717" s="18" t="e">
        <x:f>HYPERLINK("https://www.ucr.edu","Open source")</x:f>
        <x:v>HYPERLINK is not implemented. linkLocation=https://www.ucr.edu, friendlyName=Open source</x:v>
      </x:c>
    </x:row>
    <x:row r="718" ht="46" customHeight="1">
      <x:c r="A718" s="17" t="str">
        <x:v>stage3src:174e73d724bbc0de2954</x:v>
      </x:c>
      <x:c r="B718" s="17" t="str">
        <x:v>program</x:v>
      </x:c>
      <x:c r="C718" s="17" t="str">
        <x:v>University of California-San Diego</x:v>
      </x:c>
      <x:c r="D718" s="17" t="str">
        <x:v>us:ipeds:110680:program:phd:computer-science-and-engineering-phd</x:v>
      </x:c>
      <x:c r="E718" s="17" t="str"/>
      <x:c r="F718" s="17" t="str">
        <x:v>funding|fees</x:v>
      </x:c>
      <x:c r="G718" s="17" t="str">
        <x:v>All incoming PhD students receive first-year stipend, full fees, and nonresident tuition; later funding patterns and international TA constraints.</x:v>
      </x:c>
      <x:c r="H718" s="17" t="str">
        <x:v>Financial Opportunities</x:v>
      </x:c>
      <x:c r="I718" s="17" t="str">
        <x:v>UC San Diego Department of Computer Science and Engineering</x:v>
      </x:c>
      <x:c r="J718" s="17" t="str">
        <x:v>official</x:v>
      </x:c>
      <x:c r="K718" s="17" t="str">
        <x:v>2026-09-10</x:v>
      </x:c>
      <x:c r="L718" s="17" t="str">
        <x:v>Updated September 11, 2025; current when checked</x:v>
      </x:c>
      <x:c r="M718" s="17" t="str">
        <x:v>high</x:v>
      </x:c>
      <x:c r="N718" s="17" t="str">
        <x:v>official page checked</x:v>
      </x:c>
      <x:c r="O718" s="17" t="str"/>
      <x:c r="P718" s="18" t="e">
        <x:f>HYPERLINK("https://cse.ucsd.edu/graduate/financial-opportunities","Open source")</x:f>
        <x:v>HYPERLINK is not implemented. linkLocation=https://cse.ucsd.edu/graduate/financial-opportunities, friendlyName=Open source</x:v>
      </x:c>
    </x:row>
    <x:row r="719" ht="46" customHeight="1">
      <x:c r="A719" s="17" t="str">
        <x:v>stage3src:35222da258d902c48d10</x:v>
      </x:c>
      <x:c r="B719" s="17" t="str">
        <x:v>program</x:v>
      </x:c>
      <x:c r="C719" s="17" t="str">
        <x:v>University of California-San Diego</x:v>
      </x:c>
      <x:c r="D719" s="17" t="str">
        <x:v>us:ipeds:110680:program:phd:computer-science-and-engineering-phd</x:v>
      </x:c>
      <x:c r="E719" s="17" t="str"/>
      <x:c r="F719" s="17" t="str">
        <x:v>admissions|fees</x:v>
      </x:c>
      <x:c r="G719" s="17" t="str">
        <x:v>International graduate application fee is USD 155 and each department application requires a fee.</x:v>
      </x:c>
      <x:c r="H719" s="17" t="str">
        <x:v>Application Fee Questions</x:v>
      </x:c>
      <x:c r="I719" s="17" t="str">
        <x:v>UC San Diego Graduate Education and Postdoctoral Affairs</x:v>
      </x:c>
      <x:c r="J719" s="17" t="str">
        <x:v>official</x:v>
      </x:c>
      <x:c r="K719" s="17" t="str">
        <x:v>2026-09-10</x:v>
      </x:c>
      <x:c r="L719" s="17" t="str">
        <x:v>Current page checked 2026-09-10</x:v>
      </x:c>
      <x:c r="M719" s="17" t="str">
        <x:v>high</x:v>
      </x:c>
      <x:c r="N719" s="17" t="str">
        <x:v>official page checked</x:v>
      </x:c>
      <x:c r="O719" s="17" t="str"/>
      <x:c r="P719" s="18" t="e">
        <x:f>HYPERLINK("https://www.grad.ucsd.edu/admissions/admission-faq/faq-application-fee.html","Open source")</x:f>
        <x:v>HYPERLINK is not implemented. linkLocation=https://www.grad.ucsd.edu/admissions/admission-faq/faq-application-fee.html, friendlyName=Open source</x:v>
      </x:c>
    </x:row>
    <x:row r="720" ht="46" customHeight="1">
      <x:c r="A720" s="17" t="str">
        <x:v>stage3src:45d781b454f511ffc6ee</x:v>
      </x:c>
      <x:c r="B720" s="17" t="str">
        <x:v>program</x:v>
      </x:c>
      <x:c r="C720" s="17" t="str">
        <x:v>University of California-San Diego</x:v>
      </x:c>
      <x:c r="D720" s="17" t="str">
        <x:v>us:ipeds:110680:program:phd:computer-science-and-engineering-phd</x:v>
      </x:c>
      <x:c r="E720" s="17" t="str"/>
      <x:c r="F720" s="17" t="str">
        <x:v>admissions|eligibility|language|deadline|fees</x:v>
      </x:c>
      <x:c r="G720" s="17" t="str">
        <x:v>Fall 2027 deadline, no-MS entry, bachelor's/equivalent and 3.00 minimum, one CSE program limit, and waiver rules.</x:v>
      </x:c>
      <x:c r="H720" s="17" t="str">
        <x:v>UCSD CSE Graduate Admissions</x:v>
      </x:c>
      <x:c r="I720" s="17" t="str">
        <x:v>UC San Diego Department of Computer Science and Engineering</x:v>
      </x:c>
      <x:c r="J720" s="17" t="str">
        <x:v>official</x:v>
      </x:c>
      <x:c r="K720" s="17" t="str">
        <x:v>2026-09-10</x:v>
      </x:c>
      <x:c r="L720" s="17" t="str">
        <x:v>Fall 2027</x:v>
      </x:c>
      <x:c r="M720" s="17" t="str">
        <x:v>high</x:v>
      </x:c>
      <x:c r="N720" s="17" t="str">
        <x:v>official page checked</x:v>
      </x:c>
      <x:c r="O720" s="17" t="str"/>
      <x:c r="P720" s="18" t="e">
        <x:f>HYPERLINK("https://cse.ucsd.edu/graduate/admissions","Open source")</x:f>
        <x:v>HYPERLINK is not implemented. linkLocation=https://cse.ucsd.edu/graduate/admissions, friendlyName=Open source</x:v>
      </x:c>
    </x:row>
    <x:row r="721" ht="46" customHeight="1">
      <x:c r="A721" s="17" t="str">
        <x:v>stage3src:d3113ae7415a94c63a3f</x:v>
      </x:c>
      <x:c r="B721" s="17" t="str">
        <x:v>program</x:v>
      </x:c>
      <x:c r="C721" s="17" t="str">
        <x:v>University of California-San Diego</x:v>
      </x:c>
      <x:c r="D721" s="17" t="str">
        <x:v>us:ipeds:110680:program:phd:computer-science-and-engineering-phd</x:v>
      </x:c>
      <x:c r="E721" s="17" t="str"/>
      <x:c r="F721" s="17" t="str">
        <x:v>program</x:v>
      </x:c>
      <x:c r="G721" s="17" t="str">
        <x:v>Current CSE doctoral research route and degree requirements.</x:v>
      </x:c>
      <x:c r="H721" s="17" t="str">
        <x:v>Doctoral Programs in Computer Science and Engineering</x:v>
      </x:c>
      <x:c r="I721" s="17" t="str">
        <x:v>UC San Diego Department of Computer Science and Engineering</x:v>
      </x:c>
      <x:c r="J721" s="17" t="str">
        <x:v>official</x:v>
      </x:c>
      <x:c r="K721" s="17" t="str">
        <x:v>2026-09-10</x:v>
      </x:c>
      <x:c r="L721" s="17" t="str">
        <x:v>Current page checked 2026-09-10</x:v>
      </x:c>
      <x:c r="M721" s="17" t="str">
        <x:v>high</x:v>
      </x:c>
      <x:c r="N721" s="17" t="str">
        <x:v>official page checked</x:v>
      </x:c>
      <x:c r="O721" s="17" t="str"/>
      <x:c r="P721" s="18" t="e">
        <x:f>HYPERLINK("https://cse.ucsd.edu/graduate/doctoral-programs-computer-science-and-engineering","Open source")</x:f>
        <x:v>HYPERLINK is not implemented. linkLocation=https://cse.ucsd.edu/graduate/doctoral-programs-computer-science-and-engineering, friendlyName=Open source</x:v>
      </x:c>
    </x:row>
    <x:row r="722" ht="46" customHeight="1">
      <x:c r="A722" s="17" t="str">
        <x:v>stage3src:66e7ce5b4acd644adc53</x:v>
      </x:c>
      <x:c r="B722" s="17" t="str">
        <x:v>program</x:v>
      </x:c>
      <x:c r="C722" s="17" t="str">
        <x:v>University of California-San Diego</x:v>
      </x:c>
      <x:c r="D722" s="17" t="str">
        <x:v>us:ipeds:110680:program:unclear:ipeds-discovery-signal-computer-and-information-sciences-other-cip-11-0199</x:v>
      </x:c>
      <x:c r="E722" s="17" t="str"/>
      <x:c r="F722" s="17" t="str">
        <x:v>discovery</x:v>
      </x:c>
      <x:c r="G722" s="17" t="str">
        <x:v>Stage 2 recorded this row as a discovery candidate; it does not independently verify an exact current research program, eligibility, or funding.</x:v>
      </x:c>
      <x:c r="H722" s="17" t="str">
        <x:v>Pass 2 Stage 2 candidate funnel</x:v>
      </x:c>
      <x:c r="I722" s="17" t="str">
        <x:v>Graduate audit pipeline</x:v>
      </x:c>
      <x:c r="J722" s="17" t="str">
        <x:v>derived</x:v>
      </x:c>
      <x:c r="K722" s="17" t="str">
        <x:v>2026-09-11</x:v>
      </x:c>
      <x:c r="L722" s="17" t="str">
        <x:v>Not cycle-specific</x:v>
      </x:c>
      <x:c r="M722" s="17" t="str">
        <x:v>low</x:v>
      </x:c>
      <x:c r="N722" s="17" t="str">
        <x:v>Discovery evidence only</x:v>
      </x:c>
      <x:c r="O722" s="17" t="str">
        <x:v>Use the source_record_paths field to trace the underlying discovery inputs.</x:v>
      </x:c>
      <x:c r="P722" s="18" t="e">
        <x:f>HYPERLINK("https://www.ucsd.edu","Open source")</x:f>
        <x:v>HYPERLINK is not implemented. linkLocation=https://www.ucsd.edu, friendlyName=Open source</x:v>
      </x:c>
    </x:row>
    <x:row r="723" ht="46" customHeight="1">
      <x:c r="A723" s="17" t="str">
        <x:v>stage3src:0bd04a8e3dec52904500</x:v>
      </x:c>
      <x:c r="B723" s="17" t="str">
        <x:v>program</x:v>
      </x:c>
      <x:c r="C723" s="17" t="str">
        <x:v>University of California-San Diego</x:v>
      </x:c>
      <x:c r="D723" s="17" t="str">
        <x:v>us:ipeds:110680:program:unclear:ipeds-discovery-signal-computer-engineering-general-cip-14-0901</x:v>
      </x:c>
      <x:c r="E723" s="17" t="str"/>
      <x:c r="F723" s="17" t="str">
        <x:v>discovery</x:v>
      </x:c>
      <x:c r="G723" s="17" t="str">
        <x:v>Stage 2 recorded this row as a discovery candidate; it does not independently verify an exact current research program, eligibility, or funding.</x:v>
      </x:c>
      <x:c r="H723" s="17" t="str">
        <x:v>Pass 2 Stage 2 candidate funnel</x:v>
      </x:c>
      <x:c r="I723" s="17" t="str">
        <x:v>Graduate audit pipeline</x:v>
      </x:c>
      <x:c r="J723" s="17" t="str">
        <x:v>derived</x:v>
      </x:c>
      <x:c r="K723" s="17" t="str">
        <x:v>2026-09-11</x:v>
      </x:c>
      <x:c r="L723" s="17" t="str">
        <x:v>Not cycle-specific</x:v>
      </x:c>
      <x:c r="M723" s="17" t="str">
        <x:v>low</x:v>
      </x:c>
      <x:c r="N723" s="17" t="str">
        <x:v>Discovery evidence only</x:v>
      </x:c>
      <x:c r="O723" s="17" t="str">
        <x:v>Use the source_record_paths field to trace the underlying discovery inputs.</x:v>
      </x:c>
      <x:c r="P723" s="18" t="e">
        <x:f>HYPERLINK("https://www.ucsd.edu","Open source")</x:f>
        <x:v>HYPERLINK is not implemented. linkLocation=https://www.ucsd.edu, friendlyName=Open source</x:v>
      </x:c>
    </x:row>
    <x:row r="724" ht="46" customHeight="1">
      <x:c r="A724" s="17" t="str">
        <x:v>stage3src:2036f078bcdbf5f8aa9d</x:v>
      </x:c>
      <x:c r="B724" s="17" t="str">
        <x:v>program</x:v>
      </x:c>
      <x:c r="C724" s="17" t="str">
        <x:v>University of California-San Diego</x:v>
      </x:c>
      <x:c r="D724" s="17" t="str">
        <x:v>us:ipeds:110680:program:unclear:ipeds-discovery-signal-computer-hardware-engineering-cip-14-0902</x:v>
      </x:c>
      <x:c r="E724" s="17" t="str"/>
      <x:c r="F724" s="17" t="str">
        <x:v>discovery</x:v>
      </x:c>
      <x:c r="G724" s="17" t="str">
        <x:v>Stage 2 recorded this row as a discovery candidate; it does not independently verify an exact current research program, eligibility, or funding.</x:v>
      </x:c>
      <x:c r="H724" s="17" t="str">
        <x:v>Pass 2 Stage 2 candidate funnel</x:v>
      </x:c>
      <x:c r="I724" s="17" t="str">
        <x:v>Graduate audit pipeline</x:v>
      </x:c>
      <x:c r="J724" s="17" t="str">
        <x:v>derived</x:v>
      </x:c>
      <x:c r="K724" s="17" t="str">
        <x:v>2026-09-11</x:v>
      </x:c>
      <x:c r="L724" s="17" t="str">
        <x:v>Not cycle-specific</x:v>
      </x:c>
      <x:c r="M724" s="17" t="str">
        <x:v>low</x:v>
      </x:c>
      <x:c r="N724" s="17" t="str">
        <x:v>Discovery evidence only</x:v>
      </x:c>
      <x:c r="O724" s="17" t="str">
        <x:v>Use the source_record_paths field to trace the underlying discovery inputs.</x:v>
      </x:c>
      <x:c r="P724" s="18" t="e">
        <x:f>HYPERLINK("https://www.ucsd.edu","Open source")</x:f>
        <x:v>HYPERLINK is not implemented. linkLocation=https://www.ucsd.edu, friendlyName=Open source</x:v>
      </x:c>
    </x:row>
    <x:row r="725" ht="46" customHeight="1">
      <x:c r="A725" s="17" t="str">
        <x:v>stage3src:51ccedd4007ef34ed0c2</x:v>
      </x:c>
      <x:c r="B725" s="17" t="str">
        <x:v>program</x:v>
      </x:c>
      <x:c r="C725" s="17" t="str">
        <x:v>University of California-San Diego</x:v>
      </x:c>
      <x:c r="D725" s="17" t="str">
        <x:v>us:ipeds:110680:program:unclear:ipeds-discovery-signal-computer-science-cip-11-0701</x:v>
      </x:c>
      <x:c r="E725" s="17" t="str"/>
      <x:c r="F725" s="17" t="str">
        <x:v>discovery</x:v>
      </x:c>
      <x:c r="G725" s="17" t="str">
        <x:v>Stage 2 recorded this row as a discovery candidate; it does not independently verify an exact current research program, eligibility, or funding.</x:v>
      </x:c>
      <x:c r="H725" s="17" t="str">
        <x:v>Pass 2 Stage 2 candidate funnel</x:v>
      </x:c>
      <x:c r="I725" s="17" t="str">
        <x:v>Graduate audit pipeline</x:v>
      </x:c>
      <x:c r="J725" s="17" t="str">
        <x:v>derived</x:v>
      </x:c>
      <x:c r="K725" s="17" t="str">
        <x:v>2026-09-11</x:v>
      </x:c>
      <x:c r="L725" s="17" t="str">
        <x:v>Not cycle-specific</x:v>
      </x:c>
      <x:c r="M725" s="17" t="str">
        <x:v>low</x:v>
      </x:c>
      <x:c r="N725" s="17" t="str">
        <x:v>Discovery evidence only</x:v>
      </x:c>
      <x:c r="O725" s="17" t="str">
        <x:v>Use the source_record_paths field to trace the underlying discovery inputs.</x:v>
      </x:c>
      <x:c r="P725" s="18" t="e">
        <x:f>HYPERLINK("https://www.ucsd.edu","Open source")</x:f>
        <x:v>HYPERLINK is not implemented. linkLocation=https://www.ucsd.edu, friendlyName=Open source</x:v>
      </x:c>
    </x:row>
    <x:row r="726" ht="46" customHeight="1">
      <x:c r="A726" s="17" t="str">
        <x:v>stage3src:308630e87f787c9670a1</x:v>
      </x:c>
      <x:c r="B726" s="17" t="str">
        <x:v>program</x:v>
      </x:c>
      <x:c r="C726" s="17" t="str">
        <x:v>University of California-San Diego</x:v>
      </x:c>
      <x:c r="D726" s="17" t="str">
        <x:v>us:ipeds:110680:program:unclear:ipeds-discovery-signal-data-science-general-cip-30-7001</x:v>
      </x:c>
      <x:c r="E726" s="17" t="str"/>
      <x:c r="F726" s="17" t="str">
        <x:v>discovery</x:v>
      </x:c>
      <x:c r="G726" s="17" t="str">
        <x:v>Stage 2 recorded this row as a discovery candidate; it does not independently verify an exact current research program, eligibility, or funding.</x:v>
      </x:c>
      <x:c r="H726" s="17" t="str">
        <x:v>Pass 2 Stage 2 candidate funnel</x:v>
      </x:c>
      <x:c r="I726" s="17" t="str">
        <x:v>Graduate audit pipeline</x:v>
      </x:c>
      <x:c r="J726" s="17" t="str">
        <x:v>derived</x:v>
      </x:c>
      <x:c r="K726" s="17" t="str">
        <x:v>2026-09-11</x:v>
      </x:c>
      <x:c r="L726" s="17" t="str">
        <x:v>Not cycle-specific</x:v>
      </x:c>
      <x:c r="M726" s="17" t="str">
        <x:v>low</x:v>
      </x:c>
      <x:c r="N726" s="17" t="str">
        <x:v>Discovery evidence only</x:v>
      </x:c>
      <x:c r="O726" s="17" t="str">
        <x:v>Use the source_record_paths field to trace the underlying discovery inputs.</x:v>
      </x:c>
      <x:c r="P726" s="18" t="e">
        <x:f>HYPERLINK("https://www.ucsd.edu","Open source")</x:f>
        <x:v>HYPERLINK is not implemented. linkLocation=https://www.ucsd.edu, friendlyName=Open source</x:v>
      </x:c>
    </x:row>
    <x:row r="727" ht="46" customHeight="1">
      <x:c r="A727" s="17" t="str">
        <x:v>stage3src:8d42a7e253e7271f6148</x:v>
      </x:c>
      <x:c r="B727" s="17" t="str">
        <x:v>program</x:v>
      </x:c>
      <x:c r="C727" s="17" t="str">
        <x:v>University of California-San Diego</x:v>
      </x:c>
      <x:c r="D727" s="17" t="str">
        <x:v>us:ipeds:110680:program:unclear:ipeds-discovery-signal-electrical-and-electronics-engineering-cip-14-1001</x:v>
      </x:c>
      <x:c r="E727" s="17" t="str"/>
      <x:c r="F727" s="17" t="str">
        <x:v>discovery</x:v>
      </x:c>
      <x:c r="G727" s="17" t="str">
        <x:v>Stage 2 recorded this row as a discovery candidate; it does not independently verify an exact current research program, eligibility, or funding.</x:v>
      </x:c>
      <x:c r="H727" s="17" t="str">
        <x:v>Pass 2 Stage 2 candidate funnel</x:v>
      </x:c>
      <x:c r="I727" s="17" t="str">
        <x:v>Graduate audit pipeline</x:v>
      </x:c>
      <x:c r="J727" s="17" t="str">
        <x:v>derived</x:v>
      </x:c>
      <x:c r="K727" s="17" t="str">
        <x:v>2026-09-11</x:v>
      </x:c>
      <x:c r="L727" s="17" t="str">
        <x:v>Not cycle-specific</x:v>
      </x:c>
      <x:c r="M727" s="17" t="str">
        <x:v>low</x:v>
      </x:c>
      <x:c r="N727" s="17" t="str">
        <x:v>Discovery evidence only</x:v>
      </x:c>
      <x:c r="O727" s="17" t="str">
        <x:v>Use the source_record_paths field to trace the underlying discovery inputs.</x:v>
      </x:c>
      <x:c r="P727" s="18" t="e">
        <x:f>HYPERLINK("https://www.ucsd.edu","Open source")</x:f>
        <x:v>HYPERLINK is not implemented. linkLocation=https://www.ucsd.edu, friendlyName=Open source</x:v>
      </x:c>
    </x:row>
    <x:row r="728" ht="46" customHeight="1">
      <x:c r="A728" s="17" t="str">
        <x:v>stage3src:03a528cd788f829ef517</x:v>
      </x:c>
      <x:c r="B728" s="17" t="str">
        <x:v>program</x:v>
      </x:c>
      <x:c r="C728" s="17" t="str">
        <x:v>University of California-Santa Barbara</x:v>
      </x:c>
      <x:c r="D728" s="17" t="str">
        <x:v>us:ipeds:110705:program:phd:computer-science-phd</x:v>
      </x:c>
      <x:c r="E728" s="17" t="str"/>
      <x:c r="F728" s="17" t="str">
        <x:v>admissions|fees</x:v>
      </x:c>
      <x:c r="G728" s="17" t="str">
        <x:v>Only one application is allowed per application cycle and simultaneous applications are not accepted.</x:v>
      </x:c>
      <x:c r="H728" s="17" t="str">
        <x:v>Types of Applicants</x:v>
      </x:c>
      <x:c r="I728" s="17" t="str">
        <x:v>UC Santa Barbara Graduate Division</x:v>
      </x:c>
      <x:c r="J728" s="17" t="str">
        <x:v>official</x:v>
      </x:c>
      <x:c r="K728" s="17" t="str">
        <x:v>2026-09-10</x:v>
      </x:c>
      <x:c r="L728" s="17" t="str">
        <x:v>Current page checked 2026-09-10</x:v>
      </x:c>
      <x:c r="M728" s="17" t="str">
        <x:v>high</x:v>
      </x:c>
      <x:c r="N728" s="17" t="str">
        <x:v>official page checked</x:v>
      </x:c>
      <x:c r="O728" s="17" t="str"/>
      <x:c r="P728" s="18" t="e">
        <x:f>HYPERLINK("https://www.graddiv.ucsb.edu/admissions/types-applicants","Open source")</x:f>
        <x:v>HYPERLINK is not implemented. linkLocation=https://www.graddiv.ucsb.edu/admissions/types-applicants, friendlyName=Open source</x:v>
      </x:c>
    </x:row>
    <x:row r="729" ht="46" customHeight="1">
      <x:c r="A729" s="17" t="str">
        <x:v>stage3src:517f4d10b894b510ea6a</x:v>
      </x:c>
      <x:c r="B729" s="17" t="str">
        <x:v>program</x:v>
      </x:c>
      <x:c r="C729" s="17" t="str">
        <x:v>University of California-Santa Barbara</x:v>
      </x:c>
      <x:c r="D729" s="17" t="str">
        <x:v>us:ipeds:110705:program:phd:computer-science-phd</x:v>
      </x:c>
      <x:c r="E729" s="17" t="str"/>
      <x:c r="F729" s="17" t="str">
        <x:v>admissions|eligibility|deadline|funding|fees</x:v>
      </x:c>
      <x:c r="G729" s="17" t="str">
        <x:v>Direct bachelor's entry, science/engineering/math degree, general 3.5 profile, annual December 15 deadline, fellowships, typical support, TA remission, and first-year NRST treatment.</x:v>
      </x:c>
      <x:c r="H729" s="17" t="str">
        <x:v>How to Apply</x:v>
      </x:c>
      <x:c r="I729" s="17" t="str">
        <x:v>UC Santa Barbara Computer Science</x:v>
      </x:c>
      <x:c r="J729" s="17" t="str">
        <x:v>official</x:v>
      </x:c>
      <x:c r="K729" s="17" t="str">
        <x:v>2026-09-10</x:v>
      </x:c>
      <x:c r="L729" s="17" t="str">
        <x:v>Current page checked 2026-09-10</x:v>
      </x:c>
      <x:c r="M729" s="17" t="str">
        <x:v>high</x:v>
      </x:c>
      <x:c r="N729" s="17" t="str">
        <x:v>official page checked</x:v>
      </x:c>
      <x:c r="O729" s="17" t="str"/>
      <x:c r="P729" s="18" t="e">
        <x:f>HYPERLINK("https://cs.ucsb.edu/index.php/education/graduate/how-to-apply","Open source")</x:f>
        <x:v>HYPERLINK is not implemented. linkLocation=https://cs.ucsb.edu/index.php/education/graduate/how-to-apply, friendlyName=Open source</x:v>
      </x:c>
    </x:row>
    <x:row r="730" ht="46" customHeight="1">
      <x:c r="A730" s="17" t="str">
        <x:v>stage3src:af76a7d6eac3f9b882ac</x:v>
      </x:c>
      <x:c r="B730" s="17" t="str">
        <x:v>program</x:v>
      </x:c>
      <x:c r="C730" s="17" t="str">
        <x:v>University of California-Santa Barbara</x:v>
      </x:c>
      <x:c r="D730" s="17" t="str">
        <x:v>us:ipeds:110705:program:phd:computer-science-phd</x:v>
      </x:c>
      <x:c r="E730" s="17" t="str"/>
      <x:c r="F730" s="17" t="str">
        <x:v>admissions|fees</x:v>
      </x:c>
      <x:c r="G730" s="17" t="str">
        <x:v>International application fee is USD 155 and international applicants are ineligible for general fee waivers.</x:v>
      </x:c>
      <x:c r="H730" s="17" t="str">
        <x:v>FAQs for Applicants</x:v>
      </x:c>
      <x:c r="I730" s="17" t="str">
        <x:v>UC Santa Barbara Graduate Division</x:v>
      </x:c>
      <x:c r="J730" s="17" t="str">
        <x:v>official</x:v>
      </x:c>
      <x:c r="K730" s="17" t="str">
        <x:v>2026-09-10</x:v>
      </x:c>
      <x:c r="L730" s="17" t="str">
        <x:v>Current page checked 2026-09-10</x:v>
      </x:c>
      <x:c r="M730" s="17" t="str">
        <x:v>high</x:v>
      </x:c>
      <x:c r="N730" s="17" t="str">
        <x:v>official page checked</x:v>
      </x:c>
      <x:c r="O730" s="17" t="str"/>
      <x:c r="P730" s="18" t="e">
        <x:f>HYPERLINK("https://www.graddiv.ucsb.edu/admissions/faqs-applicants","Open source")</x:f>
        <x:v>HYPERLINK is not implemented. linkLocation=https://www.graddiv.ucsb.edu/admissions/faqs-applicants, friendlyName=Open source</x:v>
      </x:c>
    </x:row>
    <x:row r="731" ht="46" customHeight="1">
      <x:c r="A731" s="17" t="str">
        <x:v>stage3src:c65ff68f0439444c615b</x:v>
      </x:c>
      <x:c r="B731" s="17" t="str">
        <x:v>program</x:v>
      </x:c>
      <x:c r="C731" s="17" t="str">
        <x:v>University of California-Santa Barbara</x:v>
      </x:c>
      <x:c r="D731" s="17" t="str">
        <x:v>us:ipeds:110705:program:phd:computer-science-phd</x:v>
      </x:c>
      <x:c r="E731" s="17" t="str"/>
      <x:c r="F731" s="17" t="str">
        <x:v>program</x:v>
      </x:c>
      <x:c r="G731" s="17" t="str">
        <x:v>Current Computer Science PhD and dissertation-based degree structure.</x:v>
      </x:c>
      <x:c r="H731" s="17" t="str">
        <x:v>PhD Degree</x:v>
      </x:c>
      <x:c r="I731" s="17" t="str">
        <x:v>UC Santa Barbara Computer Science</x:v>
      </x:c>
      <x:c r="J731" s="17" t="str">
        <x:v>official</x:v>
      </x:c>
      <x:c r="K731" s="17" t="str">
        <x:v>2026-09-10</x:v>
      </x:c>
      <x:c r="L731" s="17" t="str">
        <x:v>Current page checked 2026-09-10</x:v>
      </x:c>
      <x:c r="M731" s="17" t="str">
        <x:v>high</x:v>
      </x:c>
      <x:c r="N731" s="17" t="str">
        <x:v>official page checked</x:v>
      </x:c>
      <x:c r="O731" s="17" t="str"/>
      <x:c r="P731" s="18" t="e">
        <x:f>HYPERLINK("https://cs.ucsb.edu/index.php/education/graduate/phd-degree","Open source")</x:f>
        <x:v>HYPERLINK is not implemented. linkLocation=https://cs.ucsb.edu/index.php/education/graduate/phd-degree, friendlyName=Open source</x:v>
      </x:c>
    </x:row>
    <x:row r="732" ht="46" customHeight="1">
      <x:c r="A732" s="17" t="str">
        <x:v>stage3src:6bddf93fa79ef6be511e</x:v>
      </x:c>
      <x:c r="B732" s="17" t="str">
        <x:v>program</x:v>
      </x:c>
      <x:c r="C732" s="17" t="str">
        <x:v>University of California-Santa Barbara</x:v>
      </x:c>
      <x:c r="D732" s="17" t="str">
        <x:v>us:ipeds:110705:program:unclear:ipeds-discovery-signal-computer-science-cip-11-0701</x:v>
      </x:c>
      <x:c r="E732" s="17" t="str"/>
      <x:c r="F732" s="17" t="str">
        <x:v>discovery</x:v>
      </x:c>
      <x:c r="G732" s="17" t="str">
        <x:v>Stage 2 recorded this row as a discovery candidate; it does not independently verify an exact current research program, eligibility, or funding.</x:v>
      </x:c>
      <x:c r="H732" s="17" t="str">
        <x:v>Pass 2 Stage 2 candidate funnel</x:v>
      </x:c>
      <x:c r="I732" s="17" t="str">
        <x:v>Graduate audit pipeline</x:v>
      </x:c>
      <x:c r="J732" s="17" t="str">
        <x:v>derived</x:v>
      </x:c>
      <x:c r="K732" s="17" t="str">
        <x:v>2026-09-11</x:v>
      </x:c>
      <x:c r="L732" s="17" t="str">
        <x:v>Not cycle-specific</x:v>
      </x:c>
      <x:c r="M732" s="17" t="str">
        <x:v>low</x:v>
      </x:c>
      <x:c r="N732" s="17" t="str">
        <x:v>Discovery evidence only</x:v>
      </x:c>
      <x:c r="O732" s="17" t="str">
        <x:v>Use the source_record_paths field to trace the underlying discovery inputs.</x:v>
      </x:c>
      <x:c r="P732" s="18" t="e">
        <x:f>HYPERLINK("https://www.ucsb.edu","Open source")</x:f>
        <x:v>HYPERLINK is not implemented. linkLocation=https://www.ucsb.edu, friendlyName=Open source</x:v>
      </x:c>
    </x:row>
    <x:row r="733" ht="46" customHeight="1">
      <x:c r="A733" s="17" t="str">
        <x:v>stage3src:ca92220e25229e7a2bb5</x:v>
      </x:c>
      <x:c r="B733" s="17" t="str">
        <x:v>program</x:v>
      </x:c>
      <x:c r="C733" s="17" t="str">
        <x:v>University of California-Santa Barbara</x:v>
      </x:c>
      <x:c r="D733" s="17" t="str">
        <x:v>us:ipeds:110705:program:unclear:ipeds-discovery-signal-data-science-general-cip-30-7001</x:v>
      </x:c>
      <x:c r="E733" s="17" t="str"/>
      <x:c r="F733" s="17" t="str">
        <x:v>discovery</x:v>
      </x:c>
      <x:c r="G733" s="17" t="str">
        <x:v>Stage 2 recorded this row as a discovery candidate; it does not independently verify an exact current research program, eligibility, or funding.</x:v>
      </x:c>
      <x:c r="H733" s="17" t="str">
        <x:v>Pass 2 Stage 2 candidate funnel</x:v>
      </x:c>
      <x:c r="I733" s="17" t="str">
        <x:v>Graduate audit pipeline</x:v>
      </x:c>
      <x:c r="J733" s="17" t="str">
        <x:v>derived</x:v>
      </x:c>
      <x:c r="K733" s="17" t="str">
        <x:v>2026-09-11</x:v>
      </x:c>
      <x:c r="L733" s="17" t="str">
        <x:v>Not cycle-specific</x:v>
      </x:c>
      <x:c r="M733" s="17" t="str">
        <x:v>low</x:v>
      </x:c>
      <x:c r="N733" s="17" t="str">
        <x:v>Discovery evidence only</x:v>
      </x:c>
      <x:c r="O733" s="17" t="str">
        <x:v>Use the source_record_paths field to trace the underlying discovery inputs.</x:v>
      </x:c>
      <x:c r="P733" s="18" t="e">
        <x:f>HYPERLINK("https://www.ucsb.edu","Open source")</x:f>
        <x:v>HYPERLINK is not implemented. linkLocation=https://www.ucsb.edu, friendlyName=Open source</x:v>
      </x:c>
    </x:row>
    <x:row r="734" ht="46" customHeight="1">
      <x:c r="A734" s="17" t="str">
        <x:v>stage3src:632155c470aeddf3533f</x:v>
      </x:c>
      <x:c r="B734" s="17" t="str">
        <x:v>program</x:v>
      </x:c>
      <x:c r="C734" s="17" t="str">
        <x:v>University of California-Santa Barbara</x:v>
      </x:c>
      <x:c r="D734" s="17" t="str">
        <x:v>us:ipeds:110705:program:unclear:ipeds-discovery-signal-electrical-and-electronics-engineering-cip-14-1001</x:v>
      </x:c>
      <x:c r="E734" s="17" t="str"/>
      <x:c r="F734" s="17" t="str">
        <x:v>discovery</x:v>
      </x:c>
      <x:c r="G734" s="17" t="str">
        <x:v>Stage 2 recorded this row as a discovery candidate; it does not independently verify an exact current research program, eligibility, or funding.</x:v>
      </x:c>
      <x:c r="H734" s="17" t="str">
        <x:v>Pass 2 Stage 2 candidate funnel</x:v>
      </x:c>
      <x:c r="I734" s="17" t="str">
        <x:v>Graduate audit pipeline</x:v>
      </x:c>
      <x:c r="J734" s="17" t="str">
        <x:v>derived</x:v>
      </x:c>
      <x:c r="K734" s="17" t="str">
        <x:v>2026-09-11</x:v>
      </x:c>
      <x:c r="L734" s="17" t="str">
        <x:v>Not cycle-specific</x:v>
      </x:c>
      <x:c r="M734" s="17" t="str">
        <x:v>low</x:v>
      </x:c>
      <x:c r="N734" s="17" t="str">
        <x:v>Discovery evidence only</x:v>
      </x:c>
      <x:c r="O734" s="17" t="str">
        <x:v>Use the source_record_paths field to trace the underlying discovery inputs.</x:v>
      </x:c>
      <x:c r="P734" s="18" t="e">
        <x:f>HYPERLINK("https://www.ucsb.edu","Open source")</x:f>
        <x:v>HYPERLINK is not implemented. linkLocation=https://www.ucsb.edu, friendlyName=Open source</x:v>
      </x:c>
    </x:row>
    <x:row r="735" ht="46" customHeight="1">
      <x:c r="A735" s="17" t="str">
        <x:v>stage3src:c06410f1aef1d475292d</x:v>
      </x:c>
      <x:c r="B735" s="17" t="str">
        <x:v>program</x:v>
      </x:c>
      <x:c r="C735" s="17" t="str">
        <x:v>University of California-Santa Cruz</x:v>
      </x:c>
      <x:c r="D735" s="17" t="str">
        <x:v>us:ipeds:110714:program:unclear:ipeds-discovery-signal-artificial-intelligence-cip-11-0102</x:v>
      </x:c>
      <x:c r="E735" s="17" t="str"/>
      <x:c r="F735" s="17" t="str">
        <x:v>discovery</x:v>
      </x:c>
      <x:c r="G735" s="17" t="str">
        <x:v>Stage 2 recorded this row as a discovery candidate; it does not independently verify an exact current research program, eligibility, or funding.</x:v>
      </x:c>
      <x:c r="H735" s="17" t="str">
        <x:v>Pass 2 Stage 2 candidate funnel</x:v>
      </x:c>
      <x:c r="I735" s="17" t="str">
        <x:v>Graduate audit pipeline</x:v>
      </x:c>
      <x:c r="J735" s="17" t="str">
        <x:v>derived</x:v>
      </x:c>
      <x:c r="K735" s="17" t="str">
        <x:v>2026-09-11</x:v>
      </x:c>
      <x:c r="L735" s="17" t="str">
        <x:v>Not cycle-specific</x:v>
      </x:c>
      <x:c r="M735" s="17" t="str">
        <x:v>low</x:v>
      </x:c>
      <x:c r="N735" s="17" t="str">
        <x:v>Discovery evidence only</x:v>
      </x:c>
      <x:c r="O735" s="17" t="str">
        <x:v>Use the source_record_paths field to trace the underlying discovery inputs.</x:v>
      </x:c>
      <x:c r="P735" s="18" t="e">
        <x:f>HYPERLINK("https://www.ucsc.edu","Open source")</x:f>
        <x:v>HYPERLINK is not implemented. linkLocation=https://www.ucsc.edu, friendlyName=Open source</x:v>
      </x:c>
    </x:row>
    <x:row r="736" ht="46" customHeight="1">
      <x:c r="A736" s="17" t="str">
        <x:v>stage3src:d4a775a15e5c71ef84b3</x:v>
      </x:c>
      <x:c r="B736" s="17" t="str">
        <x:v>program</x:v>
      </x:c>
      <x:c r="C736" s="17" t="str">
        <x:v>University of California-Santa Cruz</x:v>
      </x:c>
      <x:c r="D736" s="17" t="str">
        <x:v>us:ipeds:110714:program:unclear:ipeds-discovery-signal-computer-and-information-sciences-other-cip-11-0199</x:v>
      </x:c>
      <x:c r="E736" s="17" t="str"/>
      <x:c r="F736" s="17" t="str">
        <x:v>discovery</x:v>
      </x:c>
      <x:c r="G736" s="17" t="str">
        <x:v>Stage 2 recorded this row as a discovery candidate; it does not independently verify an exact current research program, eligibility, or funding.</x:v>
      </x:c>
      <x:c r="H736" s="17" t="str">
        <x:v>Pass 2 Stage 2 candidate funnel</x:v>
      </x:c>
      <x:c r="I736" s="17" t="str">
        <x:v>Graduate audit pipeline</x:v>
      </x:c>
      <x:c r="J736" s="17" t="str">
        <x:v>derived</x:v>
      </x:c>
      <x:c r="K736" s="17" t="str">
        <x:v>2026-09-11</x:v>
      </x:c>
      <x:c r="L736" s="17" t="str">
        <x:v>Not cycle-specific</x:v>
      </x:c>
      <x:c r="M736" s="17" t="str">
        <x:v>low</x:v>
      </x:c>
      <x:c r="N736" s="17" t="str">
        <x:v>Discovery evidence only</x:v>
      </x:c>
      <x:c r="O736" s="17" t="str">
        <x:v>Use the source_record_paths field to trace the underlying discovery inputs.</x:v>
      </x:c>
      <x:c r="P736" s="18" t="e">
        <x:f>HYPERLINK("https://www.ucsc.edu","Open source")</x:f>
        <x:v>HYPERLINK is not implemented. linkLocation=https://www.ucsc.edu, friendlyName=Open source</x:v>
      </x:c>
    </x:row>
    <x:row r="737" ht="46" customHeight="1">
      <x:c r="A737" s="17" t="str">
        <x:v>stage3src:5639ee63b4f6fbfe7a78</x:v>
      </x:c>
      <x:c r="B737" s="17" t="str">
        <x:v>program</x:v>
      </x:c>
      <x:c r="C737" s="17" t="str">
        <x:v>University of California-Santa Cruz</x:v>
      </x:c>
      <x:c r="D737" s="17" t="str">
        <x:v>us:ipeds:110714:program:unclear:ipeds-discovery-signal-computer-engineering-general-cip-14-0901</x:v>
      </x:c>
      <x:c r="E737" s="17" t="str"/>
      <x:c r="F737" s="17" t="str">
        <x:v>discovery</x:v>
      </x:c>
      <x:c r="G737" s="17" t="str">
        <x:v>Stage 2 recorded this row as a discovery candidate; it does not independently verify an exact current research program, eligibility, or funding.</x:v>
      </x:c>
      <x:c r="H737" s="17" t="str">
        <x:v>Pass 2 Stage 2 candidate funnel</x:v>
      </x:c>
      <x:c r="I737" s="17" t="str">
        <x:v>Graduate audit pipeline</x:v>
      </x:c>
      <x:c r="J737" s="17" t="str">
        <x:v>derived</x:v>
      </x:c>
      <x:c r="K737" s="17" t="str">
        <x:v>2026-09-11</x:v>
      </x:c>
      <x:c r="L737" s="17" t="str">
        <x:v>Not cycle-specific</x:v>
      </x:c>
      <x:c r="M737" s="17" t="str">
        <x:v>low</x:v>
      </x:c>
      <x:c r="N737" s="17" t="str">
        <x:v>Discovery evidence only</x:v>
      </x:c>
      <x:c r="O737" s="17" t="str">
        <x:v>Use the source_record_paths field to trace the underlying discovery inputs.</x:v>
      </x:c>
      <x:c r="P737" s="18" t="e">
        <x:f>HYPERLINK("https://www.ucsc.edu","Open source")</x:f>
        <x:v>HYPERLINK is not implemented. linkLocation=https://www.ucsc.edu, friendlyName=Open source</x:v>
      </x:c>
    </x:row>
    <x:row r="738" ht="46" customHeight="1">
      <x:c r="A738" s="17" t="str">
        <x:v>stage3src:66432db9b7741af384f0</x:v>
      </x:c>
      <x:c r="B738" s="17" t="str">
        <x:v>program</x:v>
      </x:c>
      <x:c r="C738" s="17" t="str">
        <x:v>University of California-Santa Cruz</x:v>
      </x:c>
      <x:c r="D738" s="17" t="str">
        <x:v>us:ipeds:110714:program:unclear:ipeds-discovery-signal-computer-science-cip-11-0701</x:v>
      </x:c>
      <x:c r="E738" s="17" t="str"/>
      <x:c r="F738" s="17" t="str">
        <x:v>discovery</x:v>
      </x:c>
      <x:c r="G738" s="17" t="str">
        <x:v>Stage 2 recorded this row as a discovery candidate; it does not independently verify an exact current research program, eligibility, or funding.</x:v>
      </x:c>
      <x:c r="H738" s="17" t="str">
        <x:v>Pass 2 Stage 2 candidate funnel</x:v>
      </x:c>
      <x:c r="I738" s="17" t="str">
        <x:v>Graduate audit pipeline</x:v>
      </x:c>
      <x:c r="J738" s="17" t="str">
        <x:v>derived</x:v>
      </x:c>
      <x:c r="K738" s="17" t="str">
        <x:v>2026-09-11</x:v>
      </x:c>
      <x:c r="L738" s="17" t="str">
        <x:v>Not cycle-specific</x:v>
      </x:c>
      <x:c r="M738" s="17" t="str">
        <x:v>low</x:v>
      </x:c>
      <x:c r="N738" s="17" t="str">
        <x:v>Discovery evidence only</x:v>
      </x:c>
      <x:c r="O738" s="17" t="str">
        <x:v>Use the source_record_paths field to trace the underlying discovery inputs.</x:v>
      </x:c>
      <x:c r="P738" s="18" t="e">
        <x:f>HYPERLINK("https://www.ucsc.edu","Open source")</x:f>
        <x:v>HYPERLINK is not implemented. linkLocation=https://www.ucsc.edu, friendlyName=Open source</x:v>
      </x:c>
    </x:row>
    <x:row r="739" ht="46" customHeight="1">
      <x:c r="A739" s="17" t="str">
        <x:v>stage3src:531b526b70459ad3bed4</x:v>
      </x:c>
      <x:c r="B739" s="17" t="str">
        <x:v>program</x:v>
      </x:c>
      <x:c r="C739" s="17" t="str">
        <x:v>University of California-Santa Cruz</x:v>
      </x:c>
      <x:c r="D739" s="17" t="str">
        <x:v>us:ipeds:110714:program:unclear:ipeds-discovery-signal-electrical-and-electronics-engineering-cip-14-1001</x:v>
      </x:c>
      <x:c r="E739" s="17" t="str"/>
      <x:c r="F739" s="17" t="str">
        <x:v>discovery</x:v>
      </x:c>
      <x:c r="G739" s="17" t="str">
        <x:v>Stage 2 recorded this row as a discovery candidate; it does not independently verify an exact current research program, eligibility, or funding.</x:v>
      </x:c>
      <x:c r="H739" s="17" t="str">
        <x:v>Pass 2 Stage 2 candidate funnel</x:v>
      </x:c>
      <x:c r="I739" s="17" t="str">
        <x:v>Graduate audit pipeline</x:v>
      </x:c>
      <x:c r="J739" s="17" t="str">
        <x:v>derived</x:v>
      </x:c>
      <x:c r="K739" s="17" t="str">
        <x:v>2026-09-11</x:v>
      </x:c>
      <x:c r="L739" s="17" t="str">
        <x:v>Not cycle-specific</x:v>
      </x:c>
      <x:c r="M739" s="17" t="str">
        <x:v>low</x:v>
      </x:c>
      <x:c r="N739" s="17" t="str">
        <x:v>Discovery evidence only</x:v>
      </x:c>
      <x:c r="O739" s="17" t="str">
        <x:v>Use the source_record_paths field to trace the underlying discovery inputs.</x:v>
      </x:c>
      <x:c r="P739" s="18" t="e">
        <x:f>HYPERLINK("https://www.ucsc.edu","Open source")</x:f>
        <x:v>HYPERLINK is not implemented. linkLocation=https://www.ucsc.edu, friendlyName=Open source</x:v>
      </x:c>
    </x:row>
    <x:row r="740" ht="46" customHeight="1">
      <x:c r="A740" s="17" t="str">
        <x:v>stage3src:ce4cffa4ede71932c919</x:v>
      </x:c>
      <x:c r="B740" s="17" t="str">
        <x:v>program</x:v>
      </x:c>
      <x:c r="C740" s="17" t="str">
        <x:v>Sofia University</x:v>
      </x:c>
      <x:c r="D740" s="17" t="str">
        <x:v>us:ipeds:110778:program:unclear:ipeds-discovery-signal-computer-science-cip-11-0701</x:v>
      </x:c>
      <x:c r="E740" s="17" t="str"/>
      <x:c r="F740" s="17" t="str">
        <x:v>discovery</x:v>
      </x:c>
      <x:c r="G740" s="17" t="str">
        <x:v>Stage 2 recorded this row as a discovery candidate; it does not independently verify an exact current research program, eligibility, or funding.</x:v>
      </x:c>
      <x:c r="H740" s="17" t="str">
        <x:v>Pass 2 Stage 2 candidate funnel</x:v>
      </x:c>
      <x:c r="I740" s="17" t="str">
        <x:v>Graduate audit pipeline</x:v>
      </x:c>
      <x:c r="J740" s="17" t="str">
        <x:v>derived</x:v>
      </x:c>
      <x:c r="K740" s="17" t="str">
        <x:v>2026-09-11</x:v>
      </x:c>
      <x:c r="L740" s="17" t="str">
        <x:v>Not cycle-specific</x:v>
      </x:c>
      <x:c r="M740" s="17" t="str">
        <x:v>low</x:v>
      </x:c>
      <x:c r="N740" s="17" t="str">
        <x:v>Discovery evidence only</x:v>
      </x:c>
      <x:c r="O740" s="17" t="str">
        <x:v>Use the source_record_paths field to trace the underlying discovery inputs.</x:v>
      </x:c>
      <x:c r="P740" s="18" t="e">
        <x:f>HYPERLINK("https://www.sofia.edu","Open source")</x:f>
        <x:v>HYPERLINK is not implemented. linkLocation=https://www.sofia.edu, friendlyName=Open source</x:v>
      </x:c>
    </x:row>
    <x:row r="741" ht="46" customHeight="1">
      <x:c r="A741" s="17" t="str">
        <x:v>stage3src:21d1655d33a23d48de3f</x:v>
      </x:c>
      <x:c r="B741" s="17" t="str">
        <x:v>program</x:v>
      </x:c>
      <x:c r="C741" s="17" t="str">
        <x:v>Claremont Graduate University</x:v>
      </x:c>
      <x:c r="D741" s="17" t="str">
        <x:v>us:ipeds:112251:program:unclear:ipeds-discovery-signal-information-science-studies-cip-11-0401</x:v>
      </x:c>
      <x:c r="E741" s="17" t="str"/>
      <x:c r="F741" s="17" t="str">
        <x:v>discovery</x:v>
      </x:c>
      <x:c r="G741" s="17" t="str">
        <x:v>Stage 2 recorded this row as a discovery candidate; it does not independently verify an exact current research program, eligibility, or funding.</x:v>
      </x:c>
      <x:c r="H741" s="17" t="str">
        <x:v>Pass 2 Stage 2 candidate funnel</x:v>
      </x:c>
      <x:c r="I741" s="17" t="str">
        <x:v>Graduate audit pipeline</x:v>
      </x:c>
      <x:c r="J741" s="17" t="str">
        <x:v>derived</x:v>
      </x:c>
      <x:c r="K741" s="17" t="str">
        <x:v>2026-09-11</x:v>
      </x:c>
      <x:c r="L741" s="17" t="str">
        <x:v>Not cycle-specific</x:v>
      </x:c>
      <x:c r="M741" s="17" t="str">
        <x:v>low</x:v>
      </x:c>
      <x:c r="N741" s="17" t="str">
        <x:v>Discovery evidence only</x:v>
      </x:c>
      <x:c r="O741" s="17" t="str">
        <x:v>Use the source_record_paths field to trace the underlying discovery inputs.</x:v>
      </x:c>
      <x:c r="P741" s="18" t="e">
        <x:f>HYPERLINK("https://www.cgu.edu","Open source")</x:f>
        <x:v>HYPERLINK is not implemented. linkLocation=https://www.cgu.edu, friendlyName=Open source</x:v>
      </x:c>
    </x:row>
    <x:row r="742" ht="46" customHeight="1">
      <x:c r="A742" s="17" t="str">
        <x:v>stage3src:4bf0cfd9b3c4a26fc19a</x:v>
      </x:c>
      <x:c r="B742" s="17" t="str">
        <x:v>program</x:v>
      </x:c>
      <x:c r="C742" s="17" t="str">
        <x:v>Golden Gate University</x:v>
      </x:c>
      <x:c r="D742" s="17" t="str">
        <x:v>us:ipeds:115083:program:unclear:ipeds-discovery-signal-information-science-studies-cip-11-0401</x:v>
      </x:c>
      <x:c r="E742" s="17" t="str"/>
      <x:c r="F742" s="17" t="str">
        <x:v>discovery</x:v>
      </x:c>
      <x:c r="G742" s="17" t="str">
        <x:v>Stage 2 recorded this row as a discovery candidate; it does not independently verify an exact current research program, eligibility, or funding.</x:v>
      </x:c>
      <x:c r="H742" s="17" t="str">
        <x:v>Pass 2 Stage 2 candidate funnel</x:v>
      </x:c>
      <x:c r="I742" s="17" t="str">
        <x:v>Graduate audit pipeline</x:v>
      </x:c>
      <x:c r="J742" s="17" t="str">
        <x:v>derived</x:v>
      </x:c>
      <x:c r="K742" s="17" t="str">
        <x:v>2026-09-11</x:v>
      </x:c>
      <x:c r="L742" s="17" t="str">
        <x:v>Not cycle-specific</x:v>
      </x:c>
      <x:c r="M742" s="17" t="str">
        <x:v>low</x:v>
      </x:c>
      <x:c r="N742" s="17" t="str">
        <x:v>Discovery evidence only</x:v>
      </x:c>
      <x:c r="O742" s="17" t="str">
        <x:v>Use the source_record_paths field to trace the underlying discovery inputs.</x:v>
      </x:c>
      <x:c r="P742" s="18" t="e">
        <x:f>HYPERLINK("https://www.ggu.edu","Open source")</x:f>
        <x:v>HYPERLINK is not implemented. linkLocation=https://www.ggu.edu, friendlyName=Open source</x:v>
      </x:c>
    </x:row>
    <x:row r="743" ht="46" customHeight="1">
      <x:c r="A743" s="17" t="str">
        <x:v>stage3src:da90f49315e18330767d</x:v>
      </x:c>
      <x:c r="B743" s="17" t="str">
        <x:v>program</x:v>
      </x:c>
      <x:c r="C743" s="17" t="str">
        <x:v>Golden Gate University</x:v>
      </x:c>
      <x:c r="D743" s="17" t="str">
        <x:v>us:ipeds:115083:program:unclear:ipeds-discovery-signal-information-technology-cip-11-0103</x:v>
      </x:c>
      <x:c r="E743" s="17" t="str"/>
      <x:c r="F743" s="17" t="str">
        <x:v>discovery</x:v>
      </x:c>
      <x:c r="G743" s="17" t="str">
        <x:v>Stage 2 recorded this row as a discovery candidate; it does not independently verify an exact current research program, eligibility, or funding.</x:v>
      </x:c>
      <x:c r="H743" s="17" t="str">
        <x:v>Pass 2 Stage 2 candidate funnel</x:v>
      </x:c>
      <x:c r="I743" s="17" t="str">
        <x:v>Graduate audit pipeline</x:v>
      </x:c>
      <x:c r="J743" s="17" t="str">
        <x:v>derived</x:v>
      </x:c>
      <x:c r="K743" s="17" t="str">
        <x:v>2026-09-11</x:v>
      </x:c>
      <x:c r="L743" s="17" t="str">
        <x:v>Not cycle-specific</x:v>
      </x:c>
      <x:c r="M743" s="17" t="str">
        <x:v>low</x:v>
      </x:c>
      <x:c r="N743" s="17" t="str">
        <x:v>Discovery evidence only</x:v>
      </x:c>
      <x:c r="O743" s="17" t="str">
        <x:v>Use the source_record_paths field to trace the underlying discovery inputs.</x:v>
      </x:c>
      <x:c r="P743" s="18" t="e">
        <x:f>HYPERLINK("https://www.ggu.edu","Open source")</x:f>
        <x:v>HYPERLINK is not implemented. linkLocation=https://www.ggu.edu, friendlyName=Open source</x:v>
      </x:c>
    </x:row>
    <x:row r="744" ht="46" customHeight="1">
      <x:c r="A744" s="17" t="str">
        <x:v>stage3src:f7d74b402ff45b5d78d2</x:v>
      </x:c>
      <x:c r="B744" s="17" t="str">
        <x:v>program</x:v>
      </x:c>
      <x:c r="C744" s="17" t="str">
        <x:v>California State Polytechnic University-Humboldt</x:v>
      </x:c>
      <x:c r="D744" s="17" t="str">
        <x:v>us:ipeds:115755:program:unclear:cross-path-catalog-review</x:v>
      </x:c>
      <x:c r="E744" s="17" t="str"/>
      <x:c r="F744" s="17" t="str">
        <x:v>discovery</x:v>
      </x:c>
      <x:c r="G744" s="17" t="str">
        <x:v>Stage 2 recorded this row as a discovery candidate; it does not independently verify an exact current research program, eligibility, or funding.</x:v>
      </x:c>
      <x:c r="H744" s="17" t="str">
        <x:v>Pass 2 Stage 2 candidate funnel</x:v>
      </x:c>
      <x:c r="I744" s="17" t="str">
        <x:v>Graduate audit pipeline</x:v>
      </x:c>
      <x:c r="J744" s="17" t="str">
        <x:v>derived</x:v>
      </x:c>
      <x:c r="K744" s="17" t="str">
        <x:v>2026-09-11</x:v>
      </x:c>
      <x:c r="L744" s="17" t="str">
        <x:v>Not cycle-specific</x:v>
      </x:c>
      <x:c r="M744" s="17" t="str">
        <x:v>low</x:v>
      </x:c>
      <x:c r="N744" s="17" t="str">
        <x:v>Discovery evidence only</x:v>
      </x:c>
      <x:c r="O744" s="17" t="str">
        <x:v>Use the source_record_paths field to trace the underlying discovery inputs.</x:v>
      </x:c>
      <x:c r="P744" s="18" t="e">
        <x:f>HYPERLINK("https://www.humboldt.edu","Open source")</x:f>
        <x:v>HYPERLINK is not implemented. linkLocation=https://www.humboldt.edu, friendlyName=Open source</x:v>
      </x:c>
    </x:row>
    <x:row r="745" ht="46" customHeight="1">
      <x:c r="A745" s="17" t="str">
        <x:v>stage3src:4d6c758398931ae3278f</x:v>
      </x:c>
      <x:c r="B745" s="17" t="str">
        <x:v>program</x:v>
      </x:c>
      <x:c r="C745" s="17" t="str">
        <x:v>University of La Verne</x:v>
      </x:c>
      <x:c r="D745" s="17" t="str">
        <x:v>us:ipeds:117140:program:unclear:ipeds-discovery-signal-data-analytics-general-cip-30-7101</x:v>
      </x:c>
      <x:c r="E745" s="17" t="str"/>
      <x:c r="F745" s="17" t="str">
        <x:v>discovery</x:v>
      </x:c>
      <x:c r="G745" s="17" t="str">
        <x:v>Stage 2 recorded this row as a discovery candidate; it does not independently verify an exact current research program, eligibility, or funding.</x:v>
      </x:c>
      <x:c r="H745" s="17" t="str">
        <x:v>Pass 2 Stage 2 candidate funnel</x:v>
      </x:c>
      <x:c r="I745" s="17" t="str">
        <x:v>Graduate audit pipeline</x:v>
      </x:c>
      <x:c r="J745" s="17" t="str">
        <x:v>derived</x:v>
      </x:c>
      <x:c r="K745" s="17" t="str">
        <x:v>2026-09-11</x:v>
      </x:c>
      <x:c r="L745" s="17" t="str">
        <x:v>Not cycle-specific</x:v>
      </x:c>
      <x:c r="M745" s="17" t="str">
        <x:v>low</x:v>
      </x:c>
      <x:c r="N745" s="17" t="str">
        <x:v>Discovery evidence only</x:v>
      </x:c>
      <x:c r="O745" s="17" t="str">
        <x:v>Use the source_record_paths field to trace the underlying discovery inputs.</x:v>
      </x:c>
      <x:c r="P745" s="18" t="e">
        <x:f>HYPERLINK("https://www.laverne.edu","Open source")</x:f>
        <x:v>HYPERLINK is not implemented. linkLocation=https://www.laverne.edu, friendlyName=Open source</x:v>
      </x:c>
    </x:row>
    <x:row r="746" ht="46" customHeight="1">
      <x:c r="A746" s="17" t="str">
        <x:v>stage3src:335eb764a5ae1b414476</x:v>
      </x:c>
      <x:c r="B746" s="17" t="str">
        <x:v>program</x:v>
      </x:c>
      <x:c r="C746" s="17" t="str">
        <x:v>Loyola Marymount University</x:v>
      </x:c>
      <x:c r="D746" s="17" t="str">
        <x:v>us:ipeds:117946:program:unclear:ipeds-discovery-signal-computer-and-information-sciences-general-cip-11-0101</x:v>
      </x:c>
      <x:c r="E746" s="17" t="str"/>
      <x:c r="F746" s="17" t="str">
        <x:v>discovery</x:v>
      </x:c>
      <x:c r="G746" s="17" t="str">
        <x:v>Stage 2 recorded this row as a discovery candidate; it does not independently verify an exact current research program, eligibility, or funding.</x:v>
      </x:c>
      <x:c r="H746" s="17" t="str">
        <x:v>Pass 2 Stage 2 candidate funnel</x:v>
      </x:c>
      <x:c r="I746" s="17" t="str">
        <x:v>Graduate audit pipeline</x:v>
      </x:c>
      <x:c r="J746" s="17" t="str">
        <x:v>derived</x:v>
      </x:c>
      <x:c r="K746" s="17" t="str">
        <x:v>2026-09-11</x:v>
      </x:c>
      <x:c r="L746" s="17" t="str">
        <x:v>Not cycle-specific</x:v>
      </x:c>
      <x:c r="M746" s="17" t="str">
        <x:v>low</x:v>
      </x:c>
      <x:c r="N746" s="17" t="str">
        <x:v>Discovery evidence only</x:v>
      </x:c>
      <x:c r="O746" s="17" t="str">
        <x:v>Use the source_record_paths field to trace the underlying discovery inputs.</x:v>
      </x:c>
      <x:c r="P746" s="18" t="e">
        <x:f>HYPERLINK("https://www.lmu.edu","Open source")</x:f>
        <x:v>HYPERLINK is not implemented. linkLocation=https://www.lmu.edu, friendlyName=Open source</x:v>
      </x:c>
    </x:row>
    <x:row r="747" ht="46" customHeight="1">
      <x:c r="A747" s="17" t="str">
        <x:v>stage3src:28e0d708425545634485</x:v>
      </x:c>
      <x:c r="B747" s="17" t="str">
        <x:v>program</x:v>
      </x:c>
      <x:c r="C747" s="17" t="str">
        <x:v>Loyola Marymount University</x:v>
      </x:c>
      <x:c r="D747" s="17" t="str">
        <x:v>us:ipeds:117946:program:unclear:ipeds-discovery-signal-computer-engineering-general-cip-14-0901</x:v>
      </x:c>
      <x:c r="E747" s="17" t="str"/>
      <x:c r="F747" s="17" t="str">
        <x:v>discovery</x:v>
      </x:c>
      <x:c r="G747" s="17" t="str">
        <x:v>Stage 2 recorded this row as a discovery candidate; it does not independently verify an exact current research program, eligibility, or funding.</x:v>
      </x:c>
      <x:c r="H747" s="17" t="str">
        <x:v>Pass 2 Stage 2 candidate funnel</x:v>
      </x:c>
      <x:c r="I747" s="17" t="str">
        <x:v>Graduate audit pipeline</x:v>
      </x:c>
      <x:c r="J747" s="17" t="str">
        <x:v>derived</x:v>
      </x:c>
      <x:c r="K747" s="17" t="str">
        <x:v>2026-09-11</x:v>
      </x:c>
      <x:c r="L747" s="17" t="str">
        <x:v>Not cycle-specific</x:v>
      </x:c>
      <x:c r="M747" s="17" t="str">
        <x:v>low</x:v>
      </x:c>
      <x:c r="N747" s="17" t="str">
        <x:v>Discovery evidence only</x:v>
      </x:c>
      <x:c r="O747" s="17" t="str">
        <x:v>Use the source_record_paths field to trace the underlying discovery inputs.</x:v>
      </x:c>
      <x:c r="P747" s="18" t="e">
        <x:f>HYPERLINK("https://www.lmu.edu","Open source")</x:f>
        <x:v>HYPERLINK is not implemented. linkLocation=https://www.lmu.edu, friendlyName=Open source</x:v>
      </x:c>
    </x:row>
    <x:row r="748" ht="46" customHeight="1">
      <x:c r="A748" s="17" t="str">
        <x:v>stage3src:831831d18264958dc6c4</x:v>
      </x:c>
      <x:c r="B748" s="17" t="str">
        <x:v>program</x:v>
      </x:c>
      <x:c r="C748" s="17" t="str">
        <x:v>Loyola Marymount University</x:v>
      </x:c>
      <x:c r="D748" s="17" t="str">
        <x:v>us:ipeds:117946:program:unclear:ipeds-discovery-signal-electrical-and-electronics-engineering-cip-14-1001</x:v>
      </x:c>
      <x:c r="E748" s="17" t="str"/>
      <x:c r="F748" s="17" t="str">
        <x:v>discovery</x:v>
      </x:c>
      <x:c r="G748" s="17" t="str">
        <x:v>Stage 2 recorded this row as a discovery candidate; it does not independently verify an exact current research program, eligibility, or funding.</x:v>
      </x:c>
      <x:c r="H748" s="17" t="str">
        <x:v>Pass 2 Stage 2 candidate funnel</x:v>
      </x:c>
      <x:c r="I748" s="17" t="str">
        <x:v>Graduate audit pipeline</x:v>
      </x:c>
      <x:c r="J748" s="17" t="str">
        <x:v>derived</x:v>
      </x:c>
      <x:c r="K748" s="17" t="str">
        <x:v>2026-09-11</x:v>
      </x:c>
      <x:c r="L748" s="17" t="str">
        <x:v>Not cycle-specific</x:v>
      </x:c>
      <x:c r="M748" s="17" t="str">
        <x:v>low</x:v>
      </x:c>
      <x:c r="N748" s="17" t="str">
        <x:v>Discovery evidence only</x:v>
      </x:c>
      <x:c r="O748" s="17" t="str">
        <x:v>Use the source_record_paths field to trace the underlying discovery inputs.</x:v>
      </x:c>
      <x:c r="P748" s="18" t="e">
        <x:f>HYPERLINK("https://www.lmu.edu","Open source")</x:f>
        <x:v>HYPERLINK is not implemented. linkLocation=https://www.lmu.edu, friendlyName=Open source</x:v>
      </x:c>
    </x:row>
    <x:row r="749" ht="46" customHeight="1">
      <x:c r="A749" s="17" t="str">
        <x:v>stage3src:14a83f9f27eabbf69d0d</x:v>
      </x:c>
      <x:c r="B749" s="17" t="str">
        <x:v>program</x:v>
      </x:c>
      <x:c r="C749" s="17" t="str">
        <x:v>Northeastern University Oakland</x:v>
      </x:c>
      <x:c r="D749" s="17" t="str">
        <x:v>us:ipeds:118888:program:unclear:ipeds-discovery-signal-computer-and-information-sciences-general-cip-11-0101</x:v>
      </x:c>
      <x:c r="E749" s="17" t="str"/>
      <x:c r="F749" s="17" t="str">
        <x:v>discovery</x:v>
      </x:c>
      <x:c r="G749" s="17" t="str">
        <x:v>Stage 2 recorded this row as a discovery candidate; it does not independently verify an exact current research program, eligibility, or funding.</x:v>
      </x:c>
      <x:c r="H749" s="17" t="str">
        <x:v>Pass 2 Stage 2 candidate funnel</x:v>
      </x:c>
      <x:c r="I749" s="17" t="str">
        <x:v>Graduate audit pipeline</x:v>
      </x:c>
      <x:c r="J749" s="17" t="str">
        <x:v>derived</x:v>
      </x:c>
      <x:c r="K749" s="17" t="str">
        <x:v>2026-09-11</x:v>
      </x:c>
      <x:c r="L749" s="17" t="str">
        <x:v>Not cycle-specific</x:v>
      </x:c>
      <x:c r="M749" s="17" t="str">
        <x:v>low</x:v>
      </x:c>
      <x:c r="N749" s="17" t="str">
        <x:v>Discovery evidence only</x:v>
      </x:c>
      <x:c r="O749" s="17" t="str">
        <x:v>Use the source_record_paths field to trace the underlying discovery inputs.</x:v>
      </x:c>
      <x:c r="P749" s="18" t="e">
        <x:f>HYPERLINK("https://oakland.northeastern.edu","Open source")</x:f>
        <x:v>HYPERLINK is not implemented. linkLocation=https://oakland.northeastern.edu, friendlyName=Open source</x:v>
      </x:c>
    </x:row>
    <x:row r="750" ht="46" customHeight="1">
      <x:c r="A750" s="17" t="str">
        <x:v>stage3src:2eaa6a84a5067e9763cd</x:v>
      </x:c>
      <x:c r="B750" s="17" t="str">
        <x:v>program</x:v>
      </x:c>
      <x:c r="C750" s="17" t="str">
        <x:v>National University</x:v>
      </x:c>
      <x:c r="D750" s="17" t="str">
        <x:v>us:ipeds:119605:program:unclear:ipeds-discovery-signal-computer-and-information-systems-security-auditing-information-assurance-cip-11-1003</x:v>
      </x:c>
      <x:c r="E750" s="17" t="str"/>
      <x:c r="F750" s="17" t="str">
        <x:v>discovery</x:v>
      </x:c>
      <x:c r="G750" s="17" t="str">
        <x:v>Stage 2 recorded this row as a discovery candidate; it does not independently verify an exact current research program, eligibility, or funding.</x:v>
      </x:c>
      <x:c r="H750" s="17" t="str">
        <x:v>Pass 2 Stage 2 candidate funnel</x:v>
      </x:c>
      <x:c r="I750" s="17" t="str">
        <x:v>Graduate audit pipeline</x:v>
      </x:c>
      <x:c r="J750" s="17" t="str">
        <x:v>derived</x:v>
      </x:c>
      <x:c r="K750" s="17" t="str">
        <x:v>2026-09-11</x:v>
      </x:c>
      <x:c r="L750" s="17" t="str">
        <x:v>Not cycle-specific</x:v>
      </x:c>
      <x:c r="M750" s="17" t="str">
        <x:v>low</x:v>
      </x:c>
      <x:c r="N750" s="17" t="str">
        <x:v>Discovery evidence only</x:v>
      </x:c>
      <x:c r="O750" s="17" t="str">
        <x:v>Use the source_record_paths field to trace the underlying discovery inputs.</x:v>
      </x:c>
      <x:c r="P750" s="18" t="e">
        <x:f>HYPERLINK("https://www.nu.edu","Open source")</x:f>
        <x:v>HYPERLINK is not implemented. linkLocation=https://www.nu.edu, friendlyName=Open source</x:v>
      </x:c>
    </x:row>
    <x:row r="751" ht="46" customHeight="1">
      <x:c r="A751" s="17" t="str">
        <x:v>stage3src:1a52202b8b8e69511123</x:v>
      </x:c>
      <x:c r="B751" s="17" t="str">
        <x:v>program</x:v>
      </x:c>
      <x:c r="C751" s="17" t="str">
        <x:v>National University</x:v>
      </x:c>
      <x:c r="D751" s="17" t="str">
        <x:v>us:ipeds:119605:program:unclear:ipeds-discovery-signal-computer-science-cip-11-0701</x:v>
      </x:c>
      <x:c r="E751" s="17" t="str"/>
      <x:c r="F751" s="17" t="str">
        <x:v>discovery</x:v>
      </x:c>
      <x:c r="G751" s="17" t="str">
        <x:v>Stage 2 recorded this row as a discovery candidate; it does not independently verify an exact current research program, eligibility, or funding.</x:v>
      </x:c>
      <x:c r="H751" s="17" t="str">
        <x:v>Pass 2 Stage 2 candidate funnel</x:v>
      </x:c>
      <x:c r="I751" s="17" t="str">
        <x:v>Graduate audit pipeline</x:v>
      </x:c>
      <x:c r="J751" s="17" t="str">
        <x:v>derived</x:v>
      </x:c>
      <x:c r="K751" s="17" t="str">
        <x:v>2026-09-11</x:v>
      </x:c>
      <x:c r="L751" s="17" t="str">
        <x:v>Not cycle-specific</x:v>
      </x:c>
      <x:c r="M751" s="17" t="str">
        <x:v>low</x:v>
      </x:c>
      <x:c r="N751" s="17" t="str">
        <x:v>Discovery evidence only</x:v>
      </x:c>
      <x:c r="O751" s="17" t="str">
        <x:v>Use the source_record_paths field to trace the underlying discovery inputs.</x:v>
      </x:c>
      <x:c r="P751" s="18" t="e">
        <x:f>HYPERLINK("https://www.nu.edu","Open source")</x:f>
        <x:v>HYPERLINK is not implemented. linkLocation=https://www.nu.edu, friendlyName=Open source</x:v>
      </x:c>
    </x:row>
    <x:row r="752" ht="46" customHeight="1">
      <x:c r="A752" s="17" t="str">
        <x:v>stage3src:fde2b438042ebfe942c6</x:v>
      </x:c>
      <x:c r="B752" s="17" t="str">
        <x:v>program</x:v>
      </x:c>
      <x:c r="C752" s="17" t="str">
        <x:v>Naval Postgraduate School</x:v>
      </x:c>
      <x:c r="D752" s="17" t="str">
        <x:v>us:ipeds:119678:program:unclear:ipeds-discovery-signal-computer-and-information-systems-security-auditing-information-assurance-cip-11-1003</x:v>
      </x:c>
      <x:c r="E752" s="17" t="str"/>
      <x:c r="F752" s="17" t="str">
        <x:v>discovery</x:v>
      </x:c>
      <x:c r="G752" s="17" t="str">
        <x:v>Stage 2 recorded this row as a discovery candidate; it does not independently verify an exact current research program, eligibility, or funding.</x:v>
      </x:c>
      <x:c r="H752" s="17" t="str">
        <x:v>Pass 2 Stage 2 candidate funnel</x:v>
      </x:c>
      <x:c r="I752" s="17" t="str">
        <x:v>Graduate audit pipeline</x:v>
      </x:c>
      <x:c r="J752" s="17" t="str">
        <x:v>derived</x:v>
      </x:c>
      <x:c r="K752" s="17" t="str">
        <x:v>2026-09-11</x:v>
      </x:c>
      <x:c r="L752" s="17" t="str">
        <x:v>Not cycle-specific</x:v>
      </x:c>
      <x:c r="M752" s="17" t="str">
        <x:v>low</x:v>
      </x:c>
      <x:c r="N752" s="17" t="str">
        <x:v>Discovery evidence only</x:v>
      </x:c>
      <x:c r="O752" s="17" t="str">
        <x:v>Use the source_record_paths field to trace the underlying discovery inputs.</x:v>
      </x:c>
      <x:c r="P752" s="18" t="e">
        <x:f>HYPERLINK("https://www.nps.edu","Open source")</x:f>
        <x:v>HYPERLINK is not implemented. linkLocation=https://www.nps.edu, friendlyName=Open source</x:v>
      </x:c>
    </x:row>
    <x:row r="753" ht="46" customHeight="1">
      <x:c r="A753" s="17" t="str">
        <x:v>stage3src:a014e53dc01f745c6fbe</x:v>
      </x:c>
      <x:c r="B753" s="17" t="str">
        <x:v>program</x:v>
      </x:c>
      <x:c r="C753" s="17" t="str">
        <x:v>Naval Postgraduate School</x:v>
      </x:c>
      <x:c r="D753" s="17" t="str">
        <x:v>us:ipeds:119678:program:unclear:ipeds-discovery-signal-computer-science-cip-11-0701</x:v>
      </x:c>
      <x:c r="E753" s="17" t="str"/>
      <x:c r="F753" s="17" t="str">
        <x:v>discovery</x:v>
      </x:c>
      <x:c r="G753" s="17" t="str">
        <x:v>Stage 2 recorded this row as a discovery candidate; it does not independently verify an exact current research program, eligibility, or funding.</x:v>
      </x:c>
      <x:c r="H753" s="17" t="str">
        <x:v>Pass 2 Stage 2 candidate funnel</x:v>
      </x:c>
      <x:c r="I753" s="17" t="str">
        <x:v>Graduate audit pipeline</x:v>
      </x:c>
      <x:c r="J753" s="17" t="str">
        <x:v>derived</x:v>
      </x:c>
      <x:c r="K753" s="17" t="str">
        <x:v>2026-09-11</x:v>
      </x:c>
      <x:c r="L753" s="17" t="str">
        <x:v>Not cycle-specific</x:v>
      </x:c>
      <x:c r="M753" s="17" t="str">
        <x:v>low</x:v>
      </x:c>
      <x:c r="N753" s="17" t="str">
        <x:v>Discovery evidence only</x:v>
      </x:c>
      <x:c r="O753" s="17" t="str">
        <x:v>Use the source_record_paths field to trace the underlying discovery inputs.</x:v>
      </x:c>
      <x:c r="P753" s="18" t="e">
        <x:f>HYPERLINK("https://www.nps.edu","Open source")</x:f>
        <x:v>HYPERLINK is not implemented. linkLocation=https://www.nps.edu, friendlyName=Open source</x:v>
      </x:c>
    </x:row>
    <x:row r="754" ht="46" customHeight="1">
      <x:c r="A754" s="17" t="str">
        <x:v>stage3src:1fe270bfbb1d9bc4a664</x:v>
      </x:c>
      <x:c r="B754" s="17" t="str">
        <x:v>program</x:v>
      </x:c>
      <x:c r="C754" s="17" t="str">
        <x:v>Naval Postgraduate School</x:v>
      </x:c>
      <x:c r="D754" s="17" t="str">
        <x:v>us:ipeds:119678:program:unclear:ipeds-discovery-signal-electrical-and-electronics-engineering-cip-14-1001</x:v>
      </x:c>
      <x:c r="E754" s="17" t="str"/>
      <x:c r="F754" s="17" t="str">
        <x:v>discovery</x:v>
      </x:c>
      <x:c r="G754" s="17" t="str">
        <x:v>Stage 2 recorded this row as a discovery candidate; it does not independently verify an exact current research program, eligibility, or funding.</x:v>
      </x:c>
      <x:c r="H754" s="17" t="str">
        <x:v>Pass 2 Stage 2 candidate funnel</x:v>
      </x:c>
      <x:c r="I754" s="17" t="str">
        <x:v>Graduate audit pipeline</x:v>
      </x:c>
      <x:c r="J754" s="17" t="str">
        <x:v>derived</x:v>
      </x:c>
      <x:c r="K754" s="17" t="str">
        <x:v>2026-09-11</x:v>
      </x:c>
      <x:c r="L754" s="17" t="str">
        <x:v>Not cycle-specific</x:v>
      </x:c>
      <x:c r="M754" s="17" t="str">
        <x:v>low</x:v>
      </x:c>
      <x:c r="N754" s="17" t="str">
        <x:v>Discovery evidence only</x:v>
      </x:c>
      <x:c r="O754" s="17" t="str">
        <x:v>Use the source_record_paths field to trace the underlying discovery inputs.</x:v>
      </x:c>
      <x:c r="P754" s="18" t="e">
        <x:f>HYPERLINK("https://www.nps.edu","Open source")</x:f>
        <x:v>HYPERLINK is not implemented. linkLocation=https://www.nps.edu, friendlyName=Open source</x:v>
      </x:c>
    </x:row>
    <x:row r="755" ht="46" customHeight="1">
      <x:c r="A755" s="17" t="str">
        <x:v>stage3src:c92aec02e00afdd67cda</x:v>
      </x:c>
      <x:c r="B755" s="17" t="str">
        <x:v>program</x:v>
      </x:c>
      <x:c r="C755" s="17" t="str">
        <x:v>Naval Postgraduate School</x:v>
      </x:c>
      <x:c r="D755" s="17" t="str">
        <x:v>us:ipeds:119678:program:unclear:ipeds-discovery-signal-information-science-studies-cip-11-0401</x:v>
      </x:c>
      <x:c r="E755" s="17" t="str"/>
      <x:c r="F755" s="17" t="str">
        <x:v>discovery</x:v>
      </x:c>
      <x:c r="G755" s="17" t="str">
        <x:v>Stage 2 recorded this row as a discovery candidate; it does not independently verify an exact current research program, eligibility, or funding.</x:v>
      </x:c>
      <x:c r="H755" s="17" t="str">
        <x:v>Pass 2 Stage 2 candidate funnel</x:v>
      </x:c>
      <x:c r="I755" s="17" t="str">
        <x:v>Graduate audit pipeline</x:v>
      </x:c>
      <x:c r="J755" s="17" t="str">
        <x:v>derived</x:v>
      </x:c>
      <x:c r="K755" s="17" t="str">
        <x:v>2026-09-11</x:v>
      </x:c>
      <x:c r="L755" s="17" t="str">
        <x:v>Not cycle-specific</x:v>
      </x:c>
      <x:c r="M755" s="17" t="str">
        <x:v>low</x:v>
      </x:c>
      <x:c r="N755" s="17" t="str">
        <x:v>Discovery evidence only</x:v>
      </x:c>
      <x:c r="O755" s="17" t="str">
        <x:v>Use the source_record_paths field to trace the underlying discovery inputs.</x:v>
      </x:c>
      <x:c r="P755" s="18" t="e">
        <x:f>HYPERLINK("https://www.nps.edu","Open source")</x:f>
        <x:v>HYPERLINK is not implemented. linkLocation=https://www.nps.edu, friendlyName=Open source</x:v>
      </x:c>
    </x:row>
    <x:row r="756" ht="46" customHeight="1">
      <x:c r="A756" s="17" t="str">
        <x:v>stage3src:b4993a5093435f41a332</x:v>
      </x:c>
      <x:c r="B756" s="17" t="str">
        <x:v>program</x:v>
      </x:c>
      <x:c r="C756" s="17" t="str">
        <x:v>Naval Postgraduate School</x:v>
      </x:c>
      <x:c r="D756" s="17" t="str">
        <x:v>us:ipeds:119678:program:unclear:ipeds-discovery-signal-information-technology-cip-11-0103</x:v>
      </x:c>
      <x:c r="E756" s="17" t="str"/>
      <x:c r="F756" s="17" t="str">
        <x:v>discovery</x:v>
      </x:c>
      <x:c r="G756" s="17" t="str">
        <x:v>Stage 2 recorded this row as a discovery candidate; it does not independently verify an exact current research program, eligibility, or funding.</x:v>
      </x:c>
      <x:c r="H756" s="17" t="str">
        <x:v>Pass 2 Stage 2 candidate funnel</x:v>
      </x:c>
      <x:c r="I756" s="17" t="str">
        <x:v>Graduate audit pipeline</x:v>
      </x:c>
      <x:c r="J756" s="17" t="str">
        <x:v>derived</x:v>
      </x:c>
      <x:c r="K756" s="17" t="str">
        <x:v>2026-09-11</x:v>
      </x:c>
      <x:c r="L756" s="17" t="str">
        <x:v>Not cycle-specific</x:v>
      </x:c>
      <x:c r="M756" s="17" t="str">
        <x:v>low</x:v>
      </x:c>
      <x:c r="N756" s="17" t="str">
        <x:v>Discovery evidence only</x:v>
      </x:c>
      <x:c r="O756" s="17" t="str">
        <x:v>Use the source_record_paths field to trace the underlying discovery inputs.</x:v>
      </x:c>
      <x:c r="P756" s="18" t="e">
        <x:f>HYPERLINK("https://www.nps.edu","Open source")</x:f>
        <x:v>HYPERLINK is not implemented. linkLocation=https://www.nps.edu, friendlyName=Open source</x:v>
      </x:c>
    </x:row>
    <x:row r="757" ht="46" customHeight="1">
      <x:c r="A757" s="17" t="str">
        <x:v>stage3src:198dd11ecf03e9aab1b8</x:v>
      </x:c>
      <x:c r="B757" s="17" t="str">
        <x:v>program</x:v>
      </x:c>
      <x:c r="C757" s="17" t="str">
        <x:v>San Francisco Bay University</x:v>
      </x:c>
      <x:c r="D757" s="17" t="str">
        <x:v>us:ipeds:120166:program:unclear:ipeds-discovery-signal-computer-science-cip-11-0701</x:v>
      </x:c>
      <x:c r="E757" s="17" t="str"/>
      <x:c r="F757" s="17" t="str">
        <x:v>discovery</x:v>
      </x:c>
      <x:c r="G757" s="17" t="str">
        <x:v>Stage 2 recorded this row as a discovery candidate; it does not independently verify an exact current research program, eligibility, or funding.</x:v>
      </x:c>
      <x:c r="H757" s="17" t="str">
        <x:v>Pass 2 Stage 2 candidate funnel</x:v>
      </x:c>
      <x:c r="I757" s="17" t="str">
        <x:v>Graduate audit pipeline</x:v>
      </x:c>
      <x:c r="J757" s="17" t="str">
        <x:v>derived</x:v>
      </x:c>
      <x:c r="K757" s="17" t="str">
        <x:v>2026-09-11</x:v>
      </x:c>
      <x:c r="L757" s="17" t="str">
        <x:v>Not cycle-specific</x:v>
      </x:c>
      <x:c r="M757" s="17" t="str">
        <x:v>low</x:v>
      </x:c>
      <x:c r="N757" s="17" t="str">
        <x:v>Discovery evidence only</x:v>
      </x:c>
      <x:c r="O757" s="17" t="str">
        <x:v>Use the source_record_paths field to trace the underlying discovery inputs.</x:v>
      </x:c>
      <x:c r="P757" s="18" t="e">
        <x:f>HYPERLINK("https://www.sfbu.edu","Open source")</x:f>
        <x:v>HYPERLINK is not implemented. linkLocation=https://www.sfbu.edu, friendlyName=Open source</x:v>
      </x:c>
    </x:row>
    <x:row r="758" ht="46" customHeight="1">
      <x:c r="A758" s="17" t="str">
        <x:v>stage3src:f8f0250645ab5ce6c4dc</x:v>
      </x:c>
      <x:c r="B758" s="17" t="str">
        <x:v>program</x:v>
      </x:c>
      <x:c r="C758" s="17" t="str">
        <x:v>San Francisco Bay University</x:v>
      </x:c>
      <x:c r="D758" s="17" t="str">
        <x:v>us:ipeds:120166:program:unclear:ipeds-discovery-signal-electrical-and-electronics-engineering-cip-14-1001</x:v>
      </x:c>
      <x:c r="E758" s="17" t="str"/>
      <x:c r="F758" s="17" t="str">
        <x:v>discovery</x:v>
      </x:c>
      <x:c r="G758" s="17" t="str">
        <x:v>Stage 2 recorded this row as a discovery candidate; it does not independently verify an exact current research program, eligibility, or funding.</x:v>
      </x:c>
      <x:c r="H758" s="17" t="str">
        <x:v>Pass 2 Stage 2 candidate funnel</x:v>
      </x:c>
      <x:c r="I758" s="17" t="str">
        <x:v>Graduate audit pipeline</x:v>
      </x:c>
      <x:c r="J758" s="17" t="str">
        <x:v>derived</x:v>
      </x:c>
      <x:c r="K758" s="17" t="str">
        <x:v>2026-09-11</x:v>
      </x:c>
      <x:c r="L758" s="17" t="str">
        <x:v>Not cycle-specific</x:v>
      </x:c>
      <x:c r="M758" s="17" t="str">
        <x:v>low</x:v>
      </x:c>
      <x:c r="N758" s="17" t="str">
        <x:v>Discovery evidence only</x:v>
      </x:c>
      <x:c r="O758" s="17" t="str">
        <x:v>Use the source_record_paths field to trace the underlying discovery inputs.</x:v>
      </x:c>
      <x:c r="P758" s="18" t="e">
        <x:f>HYPERLINK("https://www.sfbu.edu","Open source")</x:f>
        <x:v>HYPERLINK is not implemented. linkLocation=https://www.sfbu.edu, friendlyName=Open source</x:v>
      </x:c>
    </x:row>
    <x:row r="759" ht="46" customHeight="1">
      <x:c r="A759" s="17" t="str">
        <x:v>stage3src:2db4f58816b167073204</x:v>
      </x:c>
      <x:c r="B759" s="17" t="str">
        <x:v>program</x:v>
      </x:c>
      <x:c r="C759" s="17" t="str">
        <x:v>Pacific States University</x:v>
      </x:c>
      <x:c r="D759" s="17" t="str">
        <x:v>us:ipeds:120838:program:unclear:ipeds-discovery-signal-computer-and-information-sciences-general-cip-11-0101</x:v>
      </x:c>
      <x:c r="E759" s="17" t="str"/>
      <x:c r="F759" s="17" t="str">
        <x:v>discovery</x:v>
      </x:c>
      <x:c r="G759" s="17" t="str">
        <x:v>Stage 2 recorded this row as a discovery candidate; it does not independently verify an exact current research program, eligibility, or funding.</x:v>
      </x:c>
      <x:c r="H759" s="17" t="str">
        <x:v>Pass 2 Stage 2 candidate funnel</x:v>
      </x:c>
      <x:c r="I759" s="17" t="str">
        <x:v>Graduate audit pipeline</x:v>
      </x:c>
      <x:c r="J759" s="17" t="str">
        <x:v>derived</x:v>
      </x:c>
      <x:c r="K759" s="17" t="str">
        <x:v>2026-09-11</x:v>
      </x:c>
      <x:c r="L759" s="17" t="str">
        <x:v>Not cycle-specific</x:v>
      </x:c>
      <x:c r="M759" s="17" t="str">
        <x:v>low</x:v>
      </x:c>
      <x:c r="N759" s="17" t="str">
        <x:v>Discovery evidence only</x:v>
      </x:c>
      <x:c r="O759" s="17" t="str">
        <x:v>Use the source_record_paths field to trace the underlying discovery inputs.</x:v>
      </x:c>
      <x:c r="P759" s="18" t="e">
        <x:f>HYPERLINK("https://www.psuca.edu","Open source")</x:f>
        <x:v>HYPERLINK is not implemented. linkLocation=https://www.psuca.edu, friendlyName=Open source</x:v>
      </x:c>
    </x:row>
    <x:row r="760" ht="46" customHeight="1">
      <x:c r="A760" s="17" t="str">
        <x:v>stage3src:c7396884efc17a66ba8f</x:v>
      </x:c>
      <x:c r="B760" s="17" t="str">
        <x:v>program</x:v>
      </x:c>
      <x:c r="C760" s="17" t="str">
        <x:v>University of the Pacific</x:v>
      </x:c>
      <x:c r="D760" s="17" t="str">
        <x:v>us:ipeds:120883:program:unclear:ipeds-discovery-signal-computer-science-cip-11-0701</x:v>
      </x:c>
      <x:c r="E760" s="17" t="str"/>
      <x:c r="F760" s="17" t="str">
        <x:v>discovery</x:v>
      </x:c>
      <x:c r="G760" s="17" t="str">
        <x:v>Stage 2 recorded this row as a discovery candidate; it does not independently verify an exact current research program, eligibility, or funding.</x:v>
      </x:c>
      <x:c r="H760" s="17" t="str">
        <x:v>Pass 2 Stage 2 candidate funnel</x:v>
      </x:c>
      <x:c r="I760" s="17" t="str">
        <x:v>Graduate audit pipeline</x:v>
      </x:c>
      <x:c r="J760" s="17" t="str">
        <x:v>derived</x:v>
      </x:c>
      <x:c r="K760" s="17" t="str">
        <x:v>2026-09-11</x:v>
      </x:c>
      <x:c r="L760" s="17" t="str">
        <x:v>Not cycle-specific</x:v>
      </x:c>
      <x:c r="M760" s="17" t="str">
        <x:v>low</x:v>
      </x:c>
      <x:c r="N760" s="17" t="str">
        <x:v>Discovery evidence only</x:v>
      </x:c>
      <x:c r="O760" s="17" t="str">
        <x:v>Use the source_record_paths field to trace the underlying discovery inputs.</x:v>
      </x:c>
      <x:c r="P760" s="18" t="e">
        <x:f>HYPERLINK("https://www.pacific.edu","Open source")</x:f>
        <x:v>HYPERLINK is not implemented. linkLocation=https://www.pacific.edu, friendlyName=Open source</x:v>
      </x:c>
    </x:row>
    <x:row r="761" ht="46" customHeight="1">
      <x:c r="A761" s="17" t="str">
        <x:v>stage3src:74e32d4514d2df020cea</x:v>
      </x:c>
      <x:c r="B761" s="17" t="str">
        <x:v>program</x:v>
      </x:c>
      <x:c r="C761" s="17" t="str">
        <x:v>University of the Pacific</x:v>
      </x:c>
      <x:c r="D761" s="17" t="str">
        <x:v>us:ipeds:120883:program:unclear:ipeds-discovery-signal-data-science-general-cip-30-7001</x:v>
      </x:c>
      <x:c r="E761" s="17" t="str"/>
      <x:c r="F761" s="17" t="str">
        <x:v>discovery</x:v>
      </x:c>
      <x:c r="G761" s="17" t="str">
        <x:v>Stage 2 recorded this row as a discovery candidate; it does not independently verify an exact current research program, eligibility, or funding.</x:v>
      </x:c>
      <x:c r="H761" s="17" t="str">
        <x:v>Pass 2 Stage 2 candidate funnel</x:v>
      </x:c>
      <x:c r="I761" s="17" t="str">
        <x:v>Graduate audit pipeline</x:v>
      </x:c>
      <x:c r="J761" s="17" t="str">
        <x:v>derived</x:v>
      </x:c>
      <x:c r="K761" s="17" t="str">
        <x:v>2026-09-11</x:v>
      </x:c>
      <x:c r="L761" s="17" t="str">
        <x:v>Not cycle-specific</x:v>
      </x:c>
      <x:c r="M761" s="17" t="str">
        <x:v>low</x:v>
      </x:c>
      <x:c r="N761" s="17" t="str">
        <x:v>Discovery evidence only</x:v>
      </x:c>
      <x:c r="O761" s="17" t="str">
        <x:v>Use the source_record_paths field to trace the underlying discovery inputs.</x:v>
      </x:c>
      <x:c r="P761" s="18" t="e">
        <x:f>HYPERLINK("https://www.pacific.edu","Open source")</x:f>
        <x:v>HYPERLINK is not implemented. linkLocation=https://www.pacific.edu, friendlyName=Open source</x:v>
      </x:c>
    </x:row>
    <x:row r="762" ht="46" customHeight="1">
      <x:c r="A762" s="17" t="str">
        <x:v>stage3src:b450a23f6cf5e25725d8</x:v>
      </x:c>
      <x:c r="B762" s="17" t="str">
        <x:v>program</x:v>
      </x:c>
      <x:c r="C762" s="17" t="str">
        <x:v>University of Redlands</x:v>
      </x:c>
      <x:c r="D762" s="17" t="str">
        <x:v>us:ipeds:121691:program:unclear:ipeds-discovery-signal-information-science-studies-cip-11-0401</x:v>
      </x:c>
      <x:c r="E762" s="17" t="str"/>
      <x:c r="F762" s="17" t="str">
        <x:v>discovery</x:v>
      </x:c>
      <x:c r="G762" s="17" t="str">
        <x:v>Stage 2 recorded this row as a discovery candidate; it does not independently verify an exact current research program, eligibility, or funding.</x:v>
      </x:c>
      <x:c r="H762" s="17" t="str">
        <x:v>Pass 2 Stage 2 candidate funnel</x:v>
      </x:c>
      <x:c r="I762" s="17" t="str">
        <x:v>Graduate audit pipeline</x:v>
      </x:c>
      <x:c r="J762" s="17" t="str">
        <x:v>derived</x:v>
      </x:c>
      <x:c r="K762" s="17" t="str">
        <x:v>2026-09-11</x:v>
      </x:c>
      <x:c r="L762" s="17" t="str">
        <x:v>Not cycle-specific</x:v>
      </x:c>
      <x:c r="M762" s="17" t="str">
        <x:v>low</x:v>
      </x:c>
      <x:c r="N762" s="17" t="str">
        <x:v>Discovery evidence only</x:v>
      </x:c>
      <x:c r="O762" s="17" t="str">
        <x:v>Use the source_record_paths field to trace the underlying discovery inputs.</x:v>
      </x:c>
      <x:c r="P762" s="18" t="e">
        <x:f>HYPERLINK("https://www.redlands.edu","Open source")</x:f>
        <x:v>HYPERLINK is not implemented. linkLocation=https://www.redlands.edu, friendlyName=Open source</x:v>
      </x:c>
    </x:row>
    <x:row r="763" ht="46" customHeight="1">
      <x:c r="A763" s="17" t="str">
        <x:v>stage3src:52ed3e32373dd930c1fd</x:v>
      </x:c>
      <x:c r="B763" s="17" t="str">
        <x:v>program</x:v>
      </x:c>
      <x:c r="C763" s="17" t="str">
        <x:v>San Diego State University</x:v>
      </x:c>
      <x:c r="D763" s="17" t="str">
        <x:v>us:ipeds:122409:program:unclear:ipeds-discovery-signal-computer-and-information-systems-security-auditing-information-assurance-cip-11-1003</x:v>
      </x:c>
      <x:c r="E763" s="17" t="str"/>
      <x:c r="F763" s="17" t="str">
        <x:v>discovery</x:v>
      </x:c>
      <x:c r="G763" s="17" t="str">
        <x:v>Stage 2 recorded this row as a discovery candidate; it does not independently verify an exact current research program, eligibility, or funding.</x:v>
      </x:c>
      <x:c r="H763" s="17" t="str">
        <x:v>Pass 2 Stage 2 candidate funnel</x:v>
      </x:c>
      <x:c r="I763" s="17" t="str">
        <x:v>Graduate audit pipeline</x:v>
      </x:c>
      <x:c r="J763" s="17" t="str">
        <x:v>derived</x:v>
      </x:c>
      <x:c r="K763" s="17" t="str">
        <x:v>2026-09-11</x:v>
      </x:c>
      <x:c r="L763" s="17" t="str">
        <x:v>Not cycle-specific</x:v>
      </x:c>
      <x:c r="M763" s="17" t="str">
        <x:v>low</x:v>
      </x:c>
      <x:c r="N763" s="17" t="str">
        <x:v>Discovery evidence only</x:v>
      </x:c>
      <x:c r="O763" s="17" t="str">
        <x:v>Use the source_record_paths field to trace the underlying discovery inputs.</x:v>
      </x:c>
      <x:c r="P763" s="18" t="e">
        <x:f>HYPERLINK("https://www.sdsu.edu","Open source")</x:f>
        <x:v>HYPERLINK is not implemented. linkLocation=https://www.sdsu.edu, friendlyName=Open source</x:v>
      </x:c>
    </x:row>
    <x:row r="764" ht="46" customHeight="1">
      <x:c r="A764" s="17" t="str">
        <x:v>stage3src:7e3dce51686451111fb6</x:v>
      </x:c>
      <x:c r="B764" s="17" t="str">
        <x:v>program</x:v>
      </x:c>
      <x:c r="C764" s="17" t="str">
        <x:v>San Diego State University</x:v>
      </x:c>
      <x:c r="D764" s="17" t="str">
        <x:v>us:ipeds:122409:program:unclear:ipeds-discovery-signal-computer-engineering-general-cip-14-0901</x:v>
      </x:c>
      <x:c r="E764" s="17" t="str"/>
      <x:c r="F764" s="17" t="str">
        <x:v>discovery</x:v>
      </x:c>
      <x:c r="G764" s="17" t="str">
        <x:v>Stage 2 recorded this row as a discovery candidate; it does not independently verify an exact current research program, eligibility, or funding.</x:v>
      </x:c>
      <x:c r="H764" s="17" t="str">
        <x:v>Pass 2 Stage 2 candidate funnel</x:v>
      </x:c>
      <x:c r="I764" s="17" t="str">
        <x:v>Graduate audit pipeline</x:v>
      </x:c>
      <x:c r="J764" s="17" t="str">
        <x:v>derived</x:v>
      </x:c>
      <x:c r="K764" s="17" t="str">
        <x:v>2026-09-11</x:v>
      </x:c>
      <x:c r="L764" s="17" t="str">
        <x:v>Not cycle-specific</x:v>
      </x:c>
      <x:c r="M764" s="17" t="str">
        <x:v>low</x:v>
      </x:c>
      <x:c r="N764" s="17" t="str">
        <x:v>Discovery evidence only</x:v>
      </x:c>
      <x:c r="O764" s="17" t="str">
        <x:v>Use the source_record_paths field to trace the underlying discovery inputs.</x:v>
      </x:c>
      <x:c r="P764" s="18" t="e">
        <x:f>HYPERLINK("https://www.sdsu.edu","Open source")</x:f>
        <x:v>HYPERLINK is not implemented. linkLocation=https://www.sdsu.edu, friendlyName=Open source</x:v>
      </x:c>
    </x:row>
    <x:row r="765" ht="46" customHeight="1">
      <x:c r="A765" s="17" t="str">
        <x:v>stage3src:9bb1db417a301b6b5cb0</x:v>
      </x:c>
      <x:c r="B765" s="17" t="str">
        <x:v>program</x:v>
      </x:c>
      <x:c r="C765" s="17" t="str">
        <x:v>San Diego State University</x:v>
      </x:c>
      <x:c r="D765" s="17" t="str">
        <x:v>us:ipeds:122409:program:unclear:ipeds-discovery-signal-computer-science-cip-11-0701</x:v>
      </x:c>
      <x:c r="E765" s="17" t="str"/>
      <x:c r="F765" s="17" t="str">
        <x:v>discovery</x:v>
      </x:c>
      <x:c r="G765" s="17" t="str">
        <x:v>Stage 2 recorded this row as a discovery candidate; it does not independently verify an exact current research program, eligibility, or funding.</x:v>
      </x:c>
      <x:c r="H765" s="17" t="str">
        <x:v>Pass 2 Stage 2 candidate funnel</x:v>
      </x:c>
      <x:c r="I765" s="17" t="str">
        <x:v>Graduate audit pipeline</x:v>
      </x:c>
      <x:c r="J765" s="17" t="str">
        <x:v>derived</x:v>
      </x:c>
      <x:c r="K765" s="17" t="str">
        <x:v>2026-09-11</x:v>
      </x:c>
      <x:c r="L765" s="17" t="str">
        <x:v>Not cycle-specific</x:v>
      </x:c>
      <x:c r="M765" s="17" t="str">
        <x:v>low</x:v>
      </x:c>
      <x:c r="N765" s="17" t="str">
        <x:v>Discovery evidence only</x:v>
      </x:c>
      <x:c r="O765" s="17" t="str">
        <x:v>Use the source_record_paths field to trace the underlying discovery inputs.</x:v>
      </x:c>
      <x:c r="P765" s="18" t="e">
        <x:f>HYPERLINK("https://www.sdsu.edu","Open source")</x:f>
        <x:v>HYPERLINK is not implemented. linkLocation=https://www.sdsu.edu, friendlyName=Open source</x:v>
      </x:c>
    </x:row>
    <x:row r="766" ht="46" customHeight="1">
      <x:c r="A766" s="17" t="str">
        <x:v>stage3src:8eaeac8b5af7bf5b3744</x:v>
      </x:c>
      <x:c r="B766" s="17" t="str">
        <x:v>program</x:v>
      </x:c>
      <x:c r="C766" s="17" t="str">
        <x:v>San Diego State University</x:v>
      </x:c>
      <x:c r="D766" s="17" t="str">
        <x:v>us:ipeds:122409:program:unclear:ipeds-discovery-signal-electrical-and-electronics-engineering-cip-14-1001</x:v>
      </x:c>
      <x:c r="E766" s="17" t="str"/>
      <x:c r="F766" s="17" t="str">
        <x:v>discovery</x:v>
      </x:c>
      <x:c r="G766" s="17" t="str">
        <x:v>Stage 2 recorded this row as a discovery candidate; it does not independently verify an exact current research program, eligibility, or funding.</x:v>
      </x:c>
      <x:c r="H766" s="17" t="str">
        <x:v>Pass 2 Stage 2 candidate funnel</x:v>
      </x:c>
      <x:c r="I766" s="17" t="str">
        <x:v>Graduate audit pipeline</x:v>
      </x:c>
      <x:c r="J766" s="17" t="str">
        <x:v>derived</x:v>
      </x:c>
      <x:c r="K766" s="17" t="str">
        <x:v>2026-09-11</x:v>
      </x:c>
      <x:c r="L766" s="17" t="str">
        <x:v>Not cycle-specific</x:v>
      </x:c>
      <x:c r="M766" s="17" t="str">
        <x:v>low</x:v>
      </x:c>
      <x:c r="N766" s="17" t="str">
        <x:v>Discovery evidence only</x:v>
      </x:c>
      <x:c r="O766" s="17" t="str">
        <x:v>Use the source_record_paths field to trace the underlying discovery inputs.</x:v>
      </x:c>
      <x:c r="P766" s="18" t="e">
        <x:f>HYPERLINK("https://www.sdsu.edu","Open source")</x:f>
        <x:v>HYPERLINK is not implemented. linkLocation=https://www.sdsu.edu, friendlyName=Open source</x:v>
      </x:c>
    </x:row>
    <x:row r="767" ht="46" customHeight="1">
      <x:c r="A767" s="17" t="str">
        <x:v>stage3src:3ec6c8fc5444424614d7</x:v>
      </x:c>
      <x:c r="B767" s="17" t="str">
        <x:v>program</x:v>
      </x:c>
      <x:c r="C767" s="17" t="str">
        <x:v>University of San Diego</x:v>
      </x:c>
      <x:c r="D767" s="17" t="str">
        <x:v>us:ipeds:122436:program:unclear:ipeds-discovery-signal-artificial-intelligence-cip-11-0102</x:v>
      </x:c>
      <x:c r="E767" s="17" t="str"/>
      <x:c r="F767" s="17" t="str">
        <x:v>discovery</x:v>
      </x:c>
      <x:c r="G767" s="17" t="str">
        <x:v>Stage 2 recorded this row as a discovery candidate; it does not independently verify an exact current research program, eligibility, or funding.</x:v>
      </x:c>
      <x:c r="H767" s="17" t="str">
        <x:v>Pass 2 Stage 2 candidate funnel</x:v>
      </x:c>
      <x:c r="I767" s="17" t="str">
        <x:v>Graduate audit pipeline</x:v>
      </x:c>
      <x:c r="J767" s="17" t="str">
        <x:v>derived</x:v>
      </x:c>
      <x:c r="K767" s="17" t="str">
        <x:v>2026-09-11</x:v>
      </x:c>
      <x:c r="L767" s="17" t="str">
        <x:v>Not cycle-specific</x:v>
      </x:c>
      <x:c r="M767" s="17" t="str">
        <x:v>low</x:v>
      </x:c>
      <x:c r="N767" s="17" t="str">
        <x:v>Discovery evidence only</x:v>
      </x:c>
      <x:c r="O767" s="17" t="str">
        <x:v>Use the source_record_paths field to trace the underlying discovery inputs.</x:v>
      </x:c>
      <x:c r="P767" s="18" t="e">
        <x:f>HYPERLINK("https://www.sandiego.edu","Open source")</x:f>
        <x:v>HYPERLINK is not implemented. linkLocation=https://www.sandiego.edu, friendlyName=Open source</x:v>
      </x:c>
    </x:row>
    <x:row r="768" ht="46" customHeight="1">
      <x:c r="A768" s="17" t="str">
        <x:v>stage3src:ff105b8c24d4bf26b0b5</x:v>
      </x:c>
      <x:c r="B768" s="17" t="str">
        <x:v>program</x:v>
      </x:c>
      <x:c r="C768" s="17" t="str">
        <x:v>University of San Diego</x:v>
      </x:c>
      <x:c r="D768" s="17" t="str">
        <x:v>us:ipeds:122436:program:unclear:ipeds-discovery-signal-computer-and-information-systems-security-auditing-information-assurance-cip-11-1003</x:v>
      </x:c>
      <x:c r="E768" s="17" t="str"/>
      <x:c r="F768" s="17" t="str">
        <x:v>discovery</x:v>
      </x:c>
      <x:c r="G768" s="17" t="str">
        <x:v>Stage 2 recorded this row as a discovery candidate; it does not independently verify an exact current research program, eligibility, or funding.</x:v>
      </x:c>
      <x:c r="H768" s="17" t="str">
        <x:v>Pass 2 Stage 2 candidate funnel</x:v>
      </x:c>
      <x:c r="I768" s="17" t="str">
        <x:v>Graduate audit pipeline</x:v>
      </x:c>
      <x:c r="J768" s="17" t="str">
        <x:v>derived</x:v>
      </x:c>
      <x:c r="K768" s="17" t="str">
        <x:v>2026-09-11</x:v>
      </x:c>
      <x:c r="L768" s="17" t="str">
        <x:v>Not cycle-specific</x:v>
      </x:c>
      <x:c r="M768" s="17" t="str">
        <x:v>low</x:v>
      </x:c>
      <x:c r="N768" s="17" t="str">
        <x:v>Discovery evidence only</x:v>
      </x:c>
      <x:c r="O768" s="17" t="str">
        <x:v>Use the source_record_paths field to trace the underlying discovery inputs.</x:v>
      </x:c>
      <x:c r="P768" s="18" t="e">
        <x:f>HYPERLINK("https://www.sandiego.edu","Open source")</x:f>
        <x:v>HYPERLINK is not implemented. linkLocation=https://www.sandiego.edu, friendlyName=Open source</x:v>
      </x:c>
    </x:row>
    <x:row r="769" ht="46" customHeight="1">
      <x:c r="A769" s="17" t="str">
        <x:v>stage3src:fa97ca454482822213db</x:v>
      </x:c>
      <x:c r="B769" s="17" t="str">
        <x:v>program</x:v>
      </x:c>
      <x:c r="C769" s="17" t="str">
        <x:v>University of San Diego</x:v>
      </x:c>
      <x:c r="D769" s="17" t="str">
        <x:v>us:ipeds:122436:program:unclear:ipeds-discovery-signal-cyber-computer-forensics-and-counterterrorism-cip-43-0403</x:v>
      </x:c>
      <x:c r="E769" s="17" t="str"/>
      <x:c r="F769" s="17" t="str">
        <x:v>discovery</x:v>
      </x:c>
      <x:c r="G769" s="17" t="str">
        <x:v>Stage 2 recorded this row as a discovery candidate; it does not independently verify an exact current research program, eligibility, or funding.</x:v>
      </x:c>
      <x:c r="H769" s="17" t="str">
        <x:v>Pass 2 Stage 2 candidate funnel</x:v>
      </x:c>
      <x:c r="I769" s="17" t="str">
        <x:v>Graduate audit pipeline</x:v>
      </x:c>
      <x:c r="J769" s="17" t="str">
        <x:v>derived</x:v>
      </x:c>
      <x:c r="K769" s="17" t="str">
        <x:v>2026-09-11</x:v>
      </x:c>
      <x:c r="L769" s="17" t="str">
        <x:v>Not cycle-specific</x:v>
      </x:c>
      <x:c r="M769" s="17" t="str">
        <x:v>low</x:v>
      </x:c>
      <x:c r="N769" s="17" t="str">
        <x:v>Discovery evidence only</x:v>
      </x:c>
      <x:c r="O769" s="17" t="str">
        <x:v>Use the source_record_paths field to trace the underlying discovery inputs.</x:v>
      </x:c>
      <x:c r="P769" s="18" t="e">
        <x:f>HYPERLINK("https://www.sandiego.edu","Open source")</x:f>
        <x:v>HYPERLINK is not implemented. linkLocation=https://www.sandiego.edu, friendlyName=Open source</x:v>
      </x:c>
    </x:row>
    <x:row r="770" ht="46" customHeight="1">
      <x:c r="A770" s="17" t="str">
        <x:v>stage3src:096e6f0888bbbcaa3582</x:v>
      </x:c>
      <x:c r="B770" s="17" t="str">
        <x:v>program</x:v>
      </x:c>
      <x:c r="C770" s="17" t="str">
        <x:v>University of San Diego</x:v>
      </x:c>
      <x:c r="D770" s="17" t="str">
        <x:v>us:ipeds:122436:program:unclear:ipeds-discovery-signal-data-science-general-cip-30-7001</x:v>
      </x:c>
      <x:c r="E770" s="17" t="str"/>
      <x:c r="F770" s="17" t="str">
        <x:v>discovery</x:v>
      </x:c>
      <x:c r="G770" s="17" t="str">
        <x:v>Stage 2 recorded this row as a discovery candidate; it does not independently verify an exact current research program, eligibility, or funding.</x:v>
      </x:c>
      <x:c r="H770" s="17" t="str">
        <x:v>Pass 2 Stage 2 candidate funnel</x:v>
      </x:c>
      <x:c r="I770" s="17" t="str">
        <x:v>Graduate audit pipeline</x:v>
      </x:c>
      <x:c r="J770" s="17" t="str">
        <x:v>derived</x:v>
      </x:c>
      <x:c r="K770" s="17" t="str">
        <x:v>2026-09-11</x:v>
      </x:c>
      <x:c r="L770" s="17" t="str">
        <x:v>Not cycle-specific</x:v>
      </x:c>
      <x:c r="M770" s="17" t="str">
        <x:v>low</x:v>
      </x:c>
      <x:c r="N770" s="17" t="str">
        <x:v>Discovery evidence only</x:v>
      </x:c>
      <x:c r="O770" s="17" t="str">
        <x:v>Use the source_record_paths field to trace the underlying discovery inputs.</x:v>
      </x:c>
      <x:c r="P770" s="18" t="e">
        <x:f>HYPERLINK("https://www.sandiego.edu","Open source")</x:f>
        <x:v>HYPERLINK is not implemented. linkLocation=https://www.sandiego.edu, friendlyName=Open source</x:v>
      </x:c>
    </x:row>
    <x:row r="771" ht="46" customHeight="1">
      <x:c r="A771" s="17" t="str">
        <x:v>stage3src:791ab3f0ace5ae0c6f74</x:v>
      </x:c>
      <x:c r="B771" s="17" t="str">
        <x:v>program</x:v>
      </x:c>
      <x:c r="C771" s="17" t="str">
        <x:v>San Francisco State University</x:v>
      </x:c>
      <x:c r="D771" s="17" t="str">
        <x:v>us:ipeds:122597:program:unclear:ipeds-discovery-signal-computer-engineering-general-cip-14-0901</x:v>
      </x:c>
      <x:c r="E771" s="17" t="str"/>
      <x:c r="F771" s="17" t="str">
        <x:v>discovery</x:v>
      </x:c>
      <x:c r="G771" s="17" t="str">
        <x:v>Stage 2 recorded this row as a discovery candidate; it does not independently verify an exact current research program, eligibility, or funding.</x:v>
      </x:c>
      <x:c r="H771" s="17" t="str">
        <x:v>Pass 2 Stage 2 candidate funnel</x:v>
      </x:c>
      <x:c r="I771" s="17" t="str">
        <x:v>Graduate audit pipeline</x:v>
      </x:c>
      <x:c r="J771" s="17" t="str">
        <x:v>derived</x:v>
      </x:c>
      <x:c r="K771" s="17" t="str">
        <x:v>2026-09-11</x:v>
      </x:c>
      <x:c r="L771" s="17" t="str">
        <x:v>Not cycle-specific</x:v>
      </x:c>
      <x:c r="M771" s="17" t="str">
        <x:v>low</x:v>
      </x:c>
      <x:c r="N771" s="17" t="str">
        <x:v>Discovery evidence only</x:v>
      </x:c>
      <x:c r="O771" s="17" t="str">
        <x:v>Use the source_record_paths field to trace the underlying discovery inputs.</x:v>
      </x:c>
      <x:c r="P771" s="18" t="e">
        <x:f>HYPERLINK("https://www.sfsu.edu","Open source")</x:f>
        <x:v>HYPERLINK is not implemented. linkLocation=https://www.sfsu.edu, friendlyName=Open source</x:v>
      </x:c>
    </x:row>
    <x:row r="772" ht="46" customHeight="1">
      <x:c r="A772" s="17" t="str">
        <x:v>stage3src:c889464db121d09d5870</x:v>
      </x:c>
      <x:c r="B772" s="17" t="str">
        <x:v>program</x:v>
      </x:c>
      <x:c r="C772" s="17" t="str">
        <x:v>San Francisco State University</x:v>
      </x:c>
      <x:c r="D772" s="17" t="str">
        <x:v>us:ipeds:122597:program:unclear:ipeds-discovery-signal-computer-science-cip-11-0701</x:v>
      </x:c>
      <x:c r="E772" s="17" t="str"/>
      <x:c r="F772" s="17" t="str">
        <x:v>discovery</x:v>
      </x:c>
      <x:c r="G772" s="17" t="str">
        <x:v>Stage 2 recorded this row as a discovery candidate; it does not independently verify an exact current research program, eligibility, or funding.</x:v>
      </x:c>
      <x:c r="H772" s="17" t="str">
        <x:v>Pass 2 Stage 2 candidate funnel</x:v>
      </x:c>
      <x:c r="I772" s="17" t="str">
        <x:v>Graduate audit pipeline</x:v>
      </x:c>
      <x:c r="J772" s="17" t="str">
        <x:v>derived</x:v>
      </x:c>
      <x:c r="K772" s="17" t="str">
        <x:v>2026-09-11</x:v>
      </x:c>
      <x:c r="L772" s="17" t="str">
        <x:v>Not cycle-specific</x:v>
      </x:c>
      <x:c r="M772" s="17" t="str">
        <x:v>low</x:v>
      </x:c>
      <x:c r="N772" s="17" t="str">
        <x:v>Discovery evidence only</x:v>
      </x:c>
      <x:c r="O772" s="17" t="str">
        <x:v>Use the source_record_paths field to trace the underlying discovery inputs.</x:v>
      </x:c>
      <x:c r="P772" s="18" t="e">
        <x:f>HYPERLINK("https://www.sfsu.edu","Open source")</x:f>
        <x:v>HYPERLINK is not implemented. linkLocation=https://www.sfsu.edu, friendlyName=Open source</x:v>
      </x:c>
    </x:row>
    <x:row r="773" ht="46" customHeight="1">
      <x:c r="A773" s="17" t="str">
        <x:v>stage3src:6238272e83bcf2cdca8c</x:v>
      </x:c>
      <x:c r="B773" s="17" t="str">
        <x:v>program</x:v>
      </x:c>
      <x:c r="C773" s="17" t="str">
        <x:v>University of San Francisco</x:v>
      </x:c>
      <x:c r="D773" s="17" t="str">
        <x:v>us:ipeds:122612:program:unclear:ipeds-discovery-signal-computer-science-cip-11-0701</x:v>
      </x:c>
      <x:c r="E773" s="17" t="str"/>
      <x:c r="F773" s="17" t="str">
        <x:v>discovery</x:v>
      </x:c>
      <x:c r="G773" s="17" t="str">
        <x:v>Stage 2 recorded this row as a discovery candidate; it does not independently verify an exact current research program, eligibility, or funding.</x:v>
      </x:c>
      <x:c r="H773" s="17" t="str">
        <x:v>Pass 2 Stage 2 candidate funnel</x:v>
      </x:c>
      <x:c r="I773" s="17" t="str">
        <x:v>Graduate audit pipeline</x:v>
      </x:c>
      <x:c r="J773" s="17" t="str">
        <x:v>derived</x:v>
      </x:c>
      <x:c r="K773" s="17" t="str">
        <x:v>2026-09-11</x:v>
      </x:c>
      <x:c r="L773" s="17" t="str">
        <x:v>Not cycle-specific</x:v>
      </x:c>
      <x:c r="M773" s="17" t="str">
        <x:v>low</x:v>
      </x:c>
      <x:c r="N773" s="17" t="str">
        <x:v>Discovery evidence only</x:v>
      </x:c>
      <x:c r="O773" s="17" t="str">
        <x:v>Use the source_record_paths field to trace the underlying discovery inputs.</x:v>
      </x:c>
      <x:c r="P773" s="18" t="e">
        <x:f>HYPERLINK("https://www.usfca.edu","Open source")</x:f>
        <x:v>HYPERLINK is not implemented. linkLocation=https://www.usfca.edu, friendlyName=Open source</x:v>
      </x:c>
    </x:row>
    <x:row r="774" ht="46" customHeight="1">
      <x:c r="A774" s="17" t="str">
        <x:v>stage3src:8ea83f7201495c67bed2</x:v>
      </x:c>
      <x:c r="B774" s="17" t="str">
        <x:v>program</x:v>
      </x:c>
      <x:c r="C774" s="17" t="str">
        <x:v>University of San Francisco</x:v>
      </x:c>
      <x:c r="D774" s="17" t="str">
        <x:v>us:ipeds:122612:program:unclear:ipeds-discovery-signal-information-technology-cip-11-0103</x:v>
      </x:c>
      <x:c r="E774" s="17" t="str"/>
      <x:c r="F774" s="17" t="str">
        <x:v>discovery</x:v>
      </x:c>
      <x:c r="G774" s="17" t="str">
        <x:v>Stage 2 recorded this row as a discovery candidate; it does not independently verify an exact current research program, eligibility, or funding.</x:v>
      </x:c>
      <x:c r="H774" s="17" t="str">
        <x:v>Pass 2 Stage 2 candidate funnel</x:v>
      </x:c>
      <x:c r="I774" s="17" t="str">
        <x:v>Graduate audit pipeline</x:v>
      </x:c>
      <x:c r="J774" s="17" t="str">
        <x:v>derived</x:v>
      </x:c>
      <x:c r="K774" s="17" t="str">
        <x:v>2026-09-11</x:v>
      </x:c>
      <x:c r="L774" s="17" t="str">
        <x:v>Not cycle-specific</x:v>
      </x:c>
      <x:c r="M774" s="17" t="str">
        <x:v>low</x:v>
      </x:c>
      <x:c r="N774" s="17" t="str">
        <x:v>Discovery evidence only</x:v>
      </x:c>
      <x:c r="O774" s="17" t="str">
        <x:v>Use the source_record_paths field to trace the underlying discovery inputs.</x:v>
      </x:c>
      <x:c r="P774" s="18" t="e">
        <x:f>HYPERLINK("https://www.usfca.edu","Open source")</x:f>
        <x:v>HYPERLINK is not implemented. linkLocation=https://www.usfca.edu, friendlyName=Open source</x:v>
      </x:c>
    </x:row>
    <x:row r="775" ht="46" customHeight="1">
      <x:c r="A775" s="17" t="str">
        <x:v>stage3src:0578d09fb1ccab66f3c4</x:v>
      </x:c>
      <x:c r="B775" s="17" t="str">
        <x:v>program</x:v>
      </x:c>
      <x:c r="C775" s="17" t="str">
        <x:v>William Jessup University</x:v>
      </x:c>
      <x:c r="D775" s="17" t="str">
        <x:v>us:ipeds:122728:program:unclear:ipeds-discovery-signal-computer-science-cip-11-0701</x:v>
      </x:c>
      <x:c r="E775" s="17" t="str"/>
      <x:c r="F775" s="17" t="str">
        <x:v>discovery</x:v>
      </x:c>
      <x:c r="G775" s="17" t="str">
        <x:v>Stage 2 recorded this row as a discovery candidate; it does not independently verify an exact current research program, eligibility, or funding.</x:v>
      </x:c>
      <x:c r="H775" s="17" t="str">
        <x:v>Pass 2 Stage 2 candidate funnel</x:v>
      </x:c>
      <x:c r="I775" s="17" t="str">
        <x:v>Graduate audit pipeline</x:v>
      </x:c>
      <x:c r="J775" s="17" t="str">
        <x:v>derived</x:v>
      </x:c>
      <x:c r="K775" s="17" t="str">
        <x:v>2026-09-11</x:v>
      </x:c>
      <x:c r="L775" s="17" t="str">
        <x:v>Not cycle-specific</x:v>
      </x:c>
      <x:c r="M775" s="17" t="str">
        <x:v>low</x:v>
      </x:c>
      <x:c r="N775" s="17" t="str">
        <x:v>Discovery evidence only</x:v>
      </x:c>
      <x:c r="O775" s="17" t="str">
        <x:v>Use the source_record_paths field to trace the underlying discovery inputs.</x:v>
      </x:c>
      <x:c r="P775" s="18" t="e">
        <x:f>HYPERLINK("https://www.jessup.edu","Open source")</x:f>
        <x:v>HYPERLINK is not implemented. linkLocation=https://www.jessup.edu, friendlyName=Open source</x:v>
      </x:c>
    </x:row>
    <x:row r="776" ht="46" customHeight="1">
      <x:c r="A776" s="17" t="str">
        <x:v>stage3src:9630022097b1d24ec804</x:v>
      </x:c>
      <x:c r="B776" s="17" t="str">
        <x:v>program</x:v>
      </x:c>
      <x:c r="C776" s="17" t="str">
        <x:v>San Jose State University</x:v>
      </x:c>
      <x:c r="D776" s="17" t="str">
        <x:v>us:ipeds:122755:program:unclear:ipeds-discovery-signal-artificial-intelligence-cip-11-0102</x:v>
      </x:c>
      <x:c r="E776" s="17" t="str"/>
      <x:c r="F776" s="17" t="str">
        <x:v>discovery</x:v>
      </x:c>
      <x:c r="G776" s="17" t="str">
        <x:v>Stage 2 recorded this row as a discovery candidate; it does not independently verify an exact current research program, eligibility, or funding.</x:v>
      </x:c>
      <x:c r="H776" s="17" t="str">
        <x:v>Pass 2 Stage 2 candidate funnel</x:v>
      </x:c>
      <x:c r="I776" s="17" t="str">
        <x:v>Graduate audit pipeline</x:v>
      </x:c>
      <x:c r="J776" s="17" t="str">
        <x:v>derived</x:v>
      </x:c>
      <x:c r="K776" s="17" t="str">
        <x:v>2026-09-11</x:v>
      </x:c>
      <x:c r="L776" s="17" t="str">
        <x:v>Not cycle-specific</x:v>
      </x:c>
      <x:c r="M776" s="17" t="str">
        <x:v>low</x:v>
      </x:c>
      <x:c r="N776" s="17" t="str">
        <x:v>Discovery evidence only</x:v>
      </x:c>
      <x:c r="O776" s="17" t="str">
        <x:v>Use the source_record_paths field to trace the underlying discovery inputs.</x:v>
      </x:c>
      <x:c r="P776" s="18" t="e">
        <x:f>HYPERLINK("https://www.sjsu.edu","Open source")</x:f>
        <x:v>HYPERLINK is not implemented. linkLocation=https://www.sjsu.edu, friendlyName=Open source</x:v>
      </x:c>
    </x:row>
    <x:row r="777" ht="46" customHeight="1">
      <x:c r="A777" s="17" t="str">
        <x:v>stage3src:0c9f54f810ada5fcc855</x:v>
      </x:c>
      <x:c r="B777" s="17" t="str">
        <x:v>program</x:v>
      </x:c>
      <x:c r="C777" s="17" t="str">
        <x:v>San Jose State University</x:v>
      </x:c>
      <x:c r="D777" s="17" t="str">
        <x:v>us:ipeds:122755:program:unclear:ipeds-discovery-signal-computer-engineering-general-cip-14-0901</x:v>
      </x:c>
      <x:c r="E777" s="17" t="str"/>
      <x:c r="F777" s="17" t="str">
        <x:v>discovery</x:v>
      </x:c>
      <x:c r="G777" s="17" t="str">
        <x:v>Stage 2 recorded this row as a discovery candidate; it does not independently verify an exact current research program, eligibility, or funding.</x:v>
      </x:c>
      <x:c r="H777" s="17" t="str">
        <x:v>Pass 2 Stage 2 candidate funnel</x:v>
      </x:c>
      <x:c r="I777" s="17" t="str">
        <x:v>Graduate audit pipeline</x:v>
      </x:c>
      <x:c r="J777" s="17" t="str">
        <x:v>derived</x:v>
      </x:c>
      <x:c r="K777" s="17" t="str">
        <x:v>2026-09-11</x:v>
      </x:c>
      <x:c r="L777" s="17" t="str">
        <x:v>Not cycle-specific</x:v>
      </x:c>
      <x:c r="M777" s="17" t="str">
        <x:v>low</x:v>
      </x:c>
      <x:c r="N777" s="17" t="str">
        <x:v>Discovery evidence only</x:v>
      </x:c>
      <x:c r="O777" s="17" t="str">
        <x:v>Use the source_record_paths field to trace the underlying discovery inputs.</x:v>
      </x:c>
      <x:c r="P777" s="18" t="e">
        <x:f>HYPERLINK("https://www.sjsu.edu","Open source")</x:f>
        <x:v>HYPERLINK is not implemented. linkLocation=https://www.sjsu.edu, friendlyName=Open source</x:v>
      </x:c>
    </x:row>
    <x:row r="778" ht="46" customHeight="1">
      <x:c r="A778" s="17" t="str">
        <x:v>stage3src:154c829c9c4981b9935d</x:v>
      </x:c>
      <x:c r="B778" s="17" t="str">
        <x:v>program</x:v>
      </x:c>
      <x:c r="C778" s="17" t="str">
        <x:v>San Jose State University</x:v>
      </x:c>
      <x:c r="D778" s="17" t="str">
        <x:v>us:ipeds:122755:program:unclear:ipeds-discovery-signal-computer-science-cip-11-0701</x:v>
      </x:c>
      <x:c r="E778" s="17" t="str"/>
      <x:c r="F778" s="17" t="str">
        <x:v>discovery</x:v>
      </x:c>
      <x:c r="G778" s="17" t="str">
        <x:v>Stage 2 recorded this row as a discovery candidate; it does not independently verify an exact current research program, eligibility, or funding.</x:v>
      </x:c>
      <x:c r="H778" s="17" t="str">
        <x:v>Pass 2 Stage 2 candidate funnel</x:v>
      </x:c>
      <x:c r="I778" s="17" t="str">
        <x:v>Graduate audit pipeline</x:v>
      </x:c>
      <x:c r="J778" s="17" t="str">
        <x:v>derived</x:v>
      </x:c>
      <x:c r="K778" s="17" t="str">
        <x:v>2026-09-11</x:v>
      </x:c>
      <x:c r="L778" s="17" t="str">
        <x:v>Not cycle-specific</x:v>
      </x:c>
      <x:c r="M778" s="17" t="str">
        <x:v>low</x:v>
      </x:c>
      <x:c r="N778" s="17" t="str">
        <x:v>Discovery evidence only</x:v>
      </x:c>
      <x:c r="O778" s="17" t="str">
        <x:v>Use the source_record_paths field to trace the underlying discovery inputs.</x:v>
      </x:c>
      <x:c r="P778" s="18" t="e">
        <x:f>HYPERLINK("https://www.sjsu.edu","Open source")</x:f>
        <x:v>HYPERLINK is not implemented. linkLocation=https://www.sjsu.edu, friendlyName=Open source</x:v>
      </x:c>
    </x:row>
    <x:row r="779" ht="46" customHeight="1">
      <x:c r="A779" s="17" t="str">
        <x:v>stage3src:7d3f90f16a1f6a3b6241</x:v>
      </x:c>
      <x:c r="B779" s="17" t="str">
        <x:v>program</x:v>
      </x:c>
      <x:c r="C779" s="17" t="str">
        <x:v>San Jose State University</x:v>
      </x:c>
      <x:c r="D779" s="17" t="str">
        <x:v>us:ipeds:122755:program:unclear:ipeds-discovery-signal-computer-software-engineering-cip-14-0903</x:v>
      </x:c>
      <x:c r="E779" s="17" t="str"/>
      <x:c r="F779" s="17" t="str">
        <x:v>discovery</x:v>
      </x:c>
      <x:c r="G779" s="17" t="str">
        <x:v>Stage 2 recorded this row as a discovery candidate; it does not independently verify an exact current research program, eligibility, or funding.</x:v>
      </x:c>
      <x:c r="H779" s="17" t="str">
        <x:v>Pass 2 Stage 2 candidate funnel</x:v>
      </x:c>
      <x:c r="I779" s="17" t="str">
        <x:v>Graduate audit pipeline</x:v>
      </x:c>
      <x:c r="J779" s="17" t="str">
        <x:v>derived</x:v>
      </x:c>
      <x:c r="K779" s="17" t="str">
        <x:v>2026-09-11</x:v>
      </x:c>
      <x:c r="L779" s="17" t="str">
        <x:v>Not cycle-specific</x:v>
      </x:c>
      <x:c r="M779" s="17" t="str">
        <x:v>low</x:v>
      </x:c>
      <x:c r="N779" s="17" t="str">
        <x:v>Discovery evidence only</x:v>
      </x:c>
      <x:c r="O779" s="17" t="str">
        <x:v>Use the source_record_paths field to trace the underlying discovery inputs.</x:v>
      </x:c>
      <x:c r="P779" s="18" t="e">
        <x:f>HYPERLINK("https://www.sjsu.edu","Open source")</x:f>
        <x:v>HYPERLINK is not implemented. linkLocation=https://www.sjsu.edu, friendlyName=Open source</x:v>
      </x:c>
    </x:row>
    <x:row r="780" ht="46" customHeight="1">
      <x:c r="A780" s="17" t="str">
        <x:v>stage3src:cfd492f1f51101a85f02</x:v>
      </x:c>
      <x:c r="B780" s="17" t="str">
        <x:v>program</x:v>
      </x:c>
      <x:c r="C780" s="17" t="str">
        <x:v>San Jose State University</x:v>
      </x:c>
      <x:c r="D780" s="17" t="str">
        <x:v>us:ipeds:122755:program:unclear:ipeds-discovery-signal-data-science-general-cip-30-7001</x:v>
      </x:c>
      <x:c r="E780" s="17" t="str"/>
      <x:c r="F780" s="17" t="str">
        <x:v>discovery</x:v>
      </x:c>
      <x:c r="G780" s="17" t="str">
        <x:v>Stage 2 recorded this row as a discovery candidate; it does not independently verify an exact current research program, eligibility, or funding.</x:v>
      </x:c>
      <x:c r="H780" s="17" t="str">
        <x:v>Pass 2 Stage 2 candidate funnel</x:v>
      </x:c>
      <x:c r="I780" s="17" t="str">
        <x:v>Graduate audit pipeline</x:v>
      </x:c>
      <x:c r="J780" s="17" t="str">
        <x:v>derived</x:v>
      </x:c>
      <x:c r="K780" s="17" t="str">
        <x:v>2026-09-11</x:v>
      </x:c>
      <x:c r="L780" s="17" t="str">
        <x:v>Not cycle-specific</x:v>
      </x:c>
      <x:c r="M780" s="17" t="str">
        <x:v>low</x:v>
      </x:c>
      <x:c r="N780" s="17" t="str">
        <x:v>Discovery evidence only</x:v>
      </x:c>
      <x:c r="O780" s="17" t="str">
        <x:v>Use the source_record_paths field to trace the underlying discovery inputs.</x:v>
      </x:c>
      <x:c r="P780" s="18" t="e">
        <x:f>HYPERLINK("https://www.sjsu.edu","Open source")</x:f>
        <x:v>HYPERLINK is not implemented. linkLocation=https://www.sjsu.edu, friendlyName=Open source</x:v>
      </x:c>
    </x:row>
    <x:row r="781" ht="46" customHeight="1">
      <x:c r="A781" s="17" t="str">
        <x:v>stage3src:3878bd0e75e730d5a173</x:v>
      </x:c>
      <x:c r="B781" s="17" t="str">
        <x:v>program</x:v>
      </x:c>
      <x:c r="C781" s="17" t="str">
        <x:v>San Jose State University</x:v>
      </x:c>
      <x:c r="D781" s="17" t="str">
        <x:v>us:ipeds:122755:program:unclear:ipeds-discovery-signal-electrical-and-electronics-engineering-cip-14-1001</x:v>
      </x:c>
      <x:c r="E781" s="17" t="str"/>
      <x:c r="F781" s="17" t="str">
        <x:v>discovery</x:v>
      </x:c>
      <x:c r="G781" s="17" t="str">
        <x:v>Stage 2 recorded this row as a discovery candidate; it does not independently verify an exact current research program, eligibility, or funding.</x:v>
      </x:c>
      <x:c r="H781" s="17" t="str">
        <x:v>Pass 2 Stage 2 candidate funnel</x:v>
      </x:c>
      <x:c r="I781" s="17" t="str">
        <x:v>Graduate audit pipeline</x:v>
      </x:c>
      <x:c r="J781" s="17" t="str">
        <x:v>derived</x:v>
      </x:c>
      <x:c r="K781" s="17" t="str">
        <x:v>2026-09-11</x:v>
      </x:c>
      <x:c r="L781" s="17" t="str">
        <x:v>Not cycle-specific</x:v>
      </x:c>
      <x:c r="M781" s="17" t="str">
        <x:v>low</x:v>
      </x:c>
      <x:c r="N781" s="17" t="str">
        <x:v>Discovery evidence only</x:v>
      </x:c>
      <x:c r="O781" s="17" t="str">
        <x:v>Use the source_record_paths field to trace the underlying discovery inputs.</x:v>
      </x:c>
      <x:c r="P781" s="18" t="e">
        <x:f>HYPERLINK("https://www.sjsu.edu","Open source")</x:f>
        <x:v>HYPERLINK is not implemented. linkLocation=https://www.sjsu.edu, friendlyName=Open source</x:v>
      </x:c>
    </x:row>
    <x:row r="782" ht="46" customHeight="1">
      <x:c r="A782" s="17" t="str">
        <x:v>stage3src:16885649f8e2d8c8d6c0</x:v>
      </x:c>
      <x:c r="B782" s="17" t="str">
        <x:v>program</x:v>
      </x:c>
      <x:c r="C782" s="17" t="str">
        <x:v>San Jose State University</x:v>
      </x:c>
      <x:c r="D782" s="17" t="str">
        <x:v>us:ipeds:122755:program:unclear:ipeds-discovery-signal-informatics-cip-11-0104</x:v>
      </x:c>
      <x:c r="E782" s="17" t="str"/>
      <x:c r="F782" s="17" t="str">
        <x:v>discovery</x:v>
      </x:c>
      <x:c r="G782" s="17" t="str">
        <x:v>Stage 2 recorded this row as a discovery candidate; it does not independently verify an exact current research program, eligibility, or funding.</x:v>
      </x:c>
      <x:c r="H782" s="17" t="str">
        <x:v>Pass 2 Stage 2 candidate funnel</x:v>
      </x:c>
      <x:c r="I782" s="17" t="str">
        <x:v>Graduate audit pipeline</x:v>
      </x:c>
      <x:c r="J782" s="17" t="str">
        <x:v>derived</x:v>
      </x:c>
      <x:c r="K782" s="17" t="str">
        <x:v>2026-09-11</x:v>
      </x:c>
      <x:c r="L782" s="17" t="str">
        <x:v>Not cycle-specific</x:v>
      </x:c>
      <x:c r="M782" s="17" t="str">
        <x:v>low</x:v>
      </x:c>
      <x:c r="N782" s="17" t="str">
        <x:v>Discovery evidence only</x:v>
      </x:c>
      <x:c r="O782" s="17" t="str">
        <x:v>Use the source_record_paths field to trace the underlying discovery inputs.</x:v>
      </x:c>
      <x:c r="P782" s="18" t="e">
        <x:f>HYPERLINK("https://www.sjsu.edu","Open source")</x:f>
        <x:v>HYPERLINK is not implemented. linkLocation=https://www.sjsu.edu, friendlyName=Open source</x:v>
      </x:c>
    </x:row>
    <x:row r="783" ht="46" customHeight="1">
      <x:c r="A783" s="17" t="str">
        <x:v>stage3src:41f95af10439b5f1f951</x:v>
      </x:c>
      <x:c r="B783" s="17" t="str">
        <x:v>program</x:v>
      </x:c>
      <x:c r="C783" s="17" t="str">
        <x:v>Santa Clara University</x:v>
      </x:c>
      <x:c r="D783" s="17" t="str">
        <x:v>us:ipeds:122931:program:unclear:ipeds-discovery-signal-computer-engineering-general-cip-14-0901</x:v>
      </x:c>
      <x:c r="E783" s="17" t="str"/>
      <x:c r="F783" s="17" t="str">
        <x:v>discovery</x:v>
      </x:c>
      <x:c r="G783" s="17" t="str">
        <x:v>Stage 2 recorded this row as a discovery candidate; it does not independently verify an exact current research program, eligibility, or funding.</x:v>
      </x:c>
      <x:c r="H783" s="17" t="str">
        <x:v>Pass 2 Stage 2 candidate funnel</x:v>
      </x:c>
      <x:c r="I783" s="17" t="str">
        <x:v>Graduate audit pipeline</x:v>
      </x:c>
      <x:c r="J783" s="17" t="str">
        <x:v>derived</x:v>
      </x:c>
      <x:c r="K783" s="17" t="str">
        <x:v>2026-09-11</x:v>
      </x:c>
      <x:c r="L783" s="17" t="str">
        <x:v>Not cycle-specific</x:v>
      </x:c>
      <x:c r="M783" s="17" t="str">
        <x:v>low</x:v>
      </x:c>
      <x:c r="N783" s="17" t="str">
        <x:v>Discovery evidence only</x:v>
      </x:c>
      <x:c r="O783" s="17" t="str">
        <x:v>Use the source_record_paths field to trace the underlying discovery inputs.</x:v>
      </x:c>
      <x:c r="P783" s="18" t="e">
        <x:f>HYPERLINK("https://www.scu.edu","Open source")</x:f>
        <x:v>HYPERLINK is not implemented. linkLocation=https://www.scu.edu, friendlyName=Open source</x:v>
      </x:c>
    </x:row>
    <x:row r="784" ht="46" customHeight="1">
      <x:c r="A784" s="17" t="str">
        <x:v>stage3src:1f3c1d8cac23c085b37f</x:v>
      </x:c>
      <x:c r="B784" s="17" t="str">
        <x:v>program</x:v>
      </x:c>
      <x:c r="C784" s="17" t="str">
        <x:v>Santa Clara University</x:v>
      </x:c>
      <x:c r="D784" s="17" t="str">
        <x:v>us:ipeds:122931:program:unclear:ipeds-discovery-signal-computer-hardware-engineering-cip-14-0902</x:v>
      </x:c>
      <x:c r="E784" s="17" t="str"/>
      <x:c r="F784" s="17" t="str">
        <x:v>discovery</x:v>
      </x:c>
      <x:c r="G784" s="17" t="str">
        <x:v>Stage 2 recorded this row as a discovery candidate; it does not independently verify an exact current research program, eligibility, or funding.</x:v>
      </x:c>
      <x:c r="H784" s="17" t="str">
        <x:v>Pass 2 Stage 2 candidate funnel</x:v>
      </x:c>
      <x:c r="I784" s="17" t="str">
        <x:v>Graduate audit pipeline</x:v>
      </x:c>
      <x:c r="J784" s="17" t="str">
        <x:v>derived</x:v>
      </x:c>
      <x:c r="K784" s="17" t="str">
        <x:v>2026-09-11</x:v>
      </x:c>
      <x:c r="L784" s="17" t="str">
        <x:v>Not cycle-specific</x:v>
      </x:c>
      <x:c r="M784" s="17" t="str">
        <x:v>low</x:v>
      </x:c>
      <x:c r="N784" s="17" t="str">
        <x:v>Discovery evidence only</x:v>
      </x:c>
      <x:c r="O784" s="17" t="str">
        <x:v>Use the source_record_paths field to trace the underlying discovery inputs.</x:v>
      </x:c>
      <x:c r="P784" s="18" t="e">
        <x:f>HYPERLINK("https://www.scu.edu","Open source")</x:f>
        <x:v>HYPERLINK is not implemented. linkLocation=https://www.scu.edu, friendlyName=Open source</x:v>
      </x:c>
    </x:row>
    <x:row r="785" ht="46" customHeight="1">
      <x:c r="A785" s="17" t="str">
        <x:v>stage3src:955794965e2dbedaea65</x:v>
      </x:c>
      <x:c r="B785" s="17" t="str">
        <x:v>program</x:v>
      </x:c>
      <x:c r="C785" s="17" t="str">
        <x:v>Santa Clara University</x:v>
      </x:c>
      <x:c r="D785" s="17" t="str">
        <x:v>us:ipeds:122931:program:unclear:ipeds-discovery-signal-information-technology-cip-11-0103</x:v>
      </x:c>
      <x:c r="E785" s="17" t="str"/>
      <x:c r="F785" s="17" t="str">
        <x:v>discovery</x:v>
      </x:c>
      <x:c r="G785" s="17" t="str">
        <x:v>Stage 2 recorded this row as a discovery candidate; it does not independently verify an exact current research program, eligibility, or funding.</x:v>
      </x:c>
      <x:c r="H785" s="17" t="str">
        <x:v>Pass 2 Stage 2 candidate funnel</x:v>
      </x:c>
      <x:c r="I785" s="17" t="str">
        <x:v>Graduate audit pipeline</x:v>
      </x:c>
      <x:c r="J785" s="17" t="str">
        <x:v>derived</x:v>
      </x:c>
      <x:c r="K785" s="17" t="str">
        <x:v>2026-09-11</x:v>
      </x:c>
      <x:c r="L785" s="17" t="str">
        <x:v>Not cycle-specific</x:v>
      </x:c>
      <x:c r="M785" s="17" t="str">
        <x:v>low</x:v>
      </x:c>
      <x:c r="N785" s="17" t="str">
        <x:v>Discovery evidence only</x:v>
      </x:c>
      <x:c r="O785" s="17" t="str">
        <x:v>Use the source_record_paths field to trace the underlying discovery inputs.</x:v>
      </x:c>
      <x:c r="P785" s="18" t="e">
        <x:f>HYPERLINK("https://www.scu.edu","Open source")</x:f>
        <x:v>HYPERLINK is not implemented. linkLocation=https://www.scu.edu, friendlyName=Open source</x:v>
      </x:c>
    </x:row>
    <x:row r="786" ht="46" customHeight="1">
      <x:c r="A786" s="17" t="str">
        <x:v>stage3src:de2617d7229460107db6</x:v>
      </x:c>
      <x:c r="B786" s="17" t="str">
        <x:v>program</x:v>
      </x:c>
      <x:c r="C786" s="17" t="str">
        <x:v>Santa Clara University</x:v>
      </x:c>
      <x:c r="D786" s="17" t="str">
        <x:v>us:ipeds:122931:program:unclear:ipeds-discovery-signal-mechatronics-robotics-and-automation-engineering-cip-14-4201</x:v>
      </x:c>
      <x:c r="E786" s="17" t="str"/>
      <x:c r="F786" s="17" t="str">
        <x:v>discovery</x:v>
      </x:c>
      <x:c r="G786" s="17" t="str">
        <x:v>Stage 2 recorded this row as a discovery candidate; it does not independently verify an exact current research program, eligibility, or funding.</x:v>
      </x:c>
      <x:c r="H786" s="17" t="str">
        <x:v>Pass 2 Stage 2 candidate funnel</x:v>
      </x:c>
      <x:c r="I786" s="17" t="str">
        <x:v>Graduate audit pipeline</x:v>
      </x:c>
      <x:c r="J786" s="17" t="str">
        <x:v>derived</x:v>
      </x:c>
      <x:c r="K786" s="17" t="str">
        <x:v>2026-09-11</x:v>
      </x:c>
      <x:c r="L786" s="17" t="str">
        <x:v>Not cycle-specific</x:v>
      </x:c>
      <x:c r="M786" s="17" t="str">
        <x:v>low</x:v>
      </x:c>
      <x:c r="N786" s="17" t="str">
        <x:v>Discovery evidence only</x:v>
      </x:c>
      <x:c r="O786" s="17" t="str">
        <x:v>Use the source_record_paths field to trace the underlying discovery inputs.</x:v>
      </x:c>
      <x:c r="P786" s="18" t="e">
        <x:f>HYPERLINK("https://www.scu.edu","Open source")</x:f>
        <x:v>HYPERLINK is not implemented. linkLocation=https://www.scu.edu, friendlyName=Open source</x:v>
      </x:c>
    </x:row>
    <x:row r="787" ht="46" customHeight="1">
      <x:c r="A787" s="17" t="str">
        <x:v>stage3src:1ff17ef15ce25e5dfe04</x:v>
      </x:c>
      <x:c r="B787" s="17" t="str">
        <x:v>program</x:v>
      </x:c>
      <x:c r="C787" s="17" t="str">
        <x:v>Sonoma State University</x:v>
      </x:c>
      <x:c r="D787" s="17" t="str">
        <x:v>us:ipeds:123572:program:unclear:ipeds-discovery-signal-computer-engineering-general-cip-14-0901</x:v>
      </x:c>
      <x:c r="E787" s="17" t="str"/>
      <x:c r="F787" s="17" t="str">
        <x:v>discovery</x:v>
      </x:c>
      <x:c r="G787" s="17" t="str">
        <x:v>Stage 2 recorded this row as a discovery candidate; it does not independently verify an exact current research program, eligibility, or funding.</x:v>
      </x:c>
      <x:c r="H787" s="17" t="str">
        <x:v>Pass 2 Stage 2 candidate funnel</x:v>
      </x:c>
      <x:c r="I787" s="17" t="str">
        <x:v>Graduate audit pipeline</x:v>
      </x:c>
      <x:c r="J787" s="17" t="str">
        <x:v>derived</x:v>
      </x:c>
      <x:c r="K787" s="17" t="str">
        <x:v>2026-09-11</x:v>
      </x:c>
      <x:c r="L787" s="17" t="str">
        <x:v>Not cycle-specific</x:v>
      </x:c>
      <x:c r="M787" s="17" t="str">
        <x:v>low</x:v>
      </x:c>
      <x:c r="N787" s="17" t="str">
        <x:v>Discovery evidence only</x:v>
      </x:c>
      <x:c r="O787" s="17" t="str">
        <x:v>Use the source_record_paths field to trace the underlying discovery inputs.</x:v>
      </x:c>
      <x:c r="P787" s="18" t="e">
        <x:f>HYPERLINK("https://sonoma.edu","Open source")</x:f>
        <x:v>HYPERLINK is not implemented. linkLocation=https://sonoma.edu, friendlyName=Open source</x:v>
      </x:c>
    </x:row>
    <x:row r="788" ht="46" customHeight="1">
      <x:c r="A788" s="17" t="str">
        <x:v>stage3src:381dc00ff4692ebf1939</x:v>
      </x:c>
      <x:c r="B788" s="17" t="str">
        <x:v>program</x:v>
      </x:c>
      <x:c r="C788" s="17" t="str">
        <x:v>University of Southern California</x:v>
      </x:c>
      <x:c r="D788" s="17" t="str">
        <x:v>us:ipeds:123961:program:unclear:ipeds-discovery-signal-artificial-intelligence-cip-11-0102</x:v>
      </x:c>
      <x:c r="E788" s="17" t="str"/>
      <x:c r="F788" s="17" t="str">
        <x:v>discovery</x:v>
      </x:c>
      <x:c r="G788" s="17" t="str">
        <x:v>Stage 2 recorded this row as a discovery candidate; it does not independently verify an exact current research program, eligibility, or funding.</x:v>
      </x:c>
      <x:c r="H788" s="17" t="str">
        <x:v>Pass 2 Stage 2 candidate funnel</x:v>
      </x:c>
      <x:c r="I788" s="17" t="str">
        <x:v>Graduate audit pipeline</x:v>
      </x:c>
      <x:c r="J788" s="17" t="str">
        <x:v>derived</x:v>
      </x:c>
      <x:c r="K788" s="17" t="str">
        <x:v>2026-09-11</x:v>
      </x:c>
      <x:c r="L788" s="17" t="str">
        <x:v>Not cycle-specific</x:v>
      </x:c>
      <x:c r="M788" s="17" t="str">
        <x:v>low</x:v>
      </x:c>
      <x:c r="N788" s="17" t="str">
        <x:v>Discovery evidence only</x:v>
      </x:c>
      <x:c r="O788" s="17" t="str">
        <x:v>Use the source_record_paths field to trace the underlying discovery inputs.</x:v>
      </x:c>
      <x:c r="P788" s="18" t="e">
        <x:f>HYPERLINK("https://www.usc.edu","Open source")</x:f>
        <x:v>HYPERLINK is not implemented. linkLocation=https://www.usc.edu, friendlyName=Open source</x:v>
      </x:c>
    </x:row>
    <x:row r="789" ht="46" customHeight="1">
      <x:c r="A789" s="17" t="str">
        <x:v>stage3src:276f6d9cd3a3b5ae2a80</x:v>
      </x:c>
      <x:c r="B789" s="17" t="str">
        <x:v>program</x:v>
      </x:c>
      <x:c r="C789" s="17" t="str">
        <x:v>University of Southern California</x:v>
      </x:c>
      <x:c r="D789" s="17" t="str">
        <x:v>us:ipeds:123961:program:unclear:ipeds-discovery-signal-computer-and-information-systems-security-auditing-information-assurance-cip-11-1003</x:v>
      </x:c>
      <x:c r="E789" s="17" t="str"/>
      <x:c r="F789" s="17" t="str">
        <x:v>discovery</x:v>
      </x:c>
      <x:c r="G789" s="17" t="str">
        <x:v>Stage 2 recorded this row as a discovery candidate; it does not independently verify an exact current research program, eligibility, or funding.</x:v>
      </x:c>
      <x:c r="H789" s="17" t="str">
        <x:v>Pass 2 Stage 2 candidate funnel</x:v>
      </x:c>
      <x:c r="I789" s="17" t="str">
        <x:v>Graduate audit pipeline</x:v>
      </x:c>
      <x:c r="J789" s="17" t="str">
        <x:v>derived</x:v>
      </x:c>
      <x:c r="K789" s="17" t="str">
        <x:v>2026-09-11</x:v>
      </x:c>
      <x:c r="L789" s="17" t="str">
        <x:v>Not cycle-specific</x:v>
      </x:c>
      <x:c r="M789" s="17" t="str">
        <x:v>low</x:v>
      </x:c>
      <x:c r="N789" s="17" t="str">
        <x:v>Discovery evidence only</x:v>
      </x:c>
      <x:c r="O789" s="17" t="str">
        <x:v>Use the source_record_paths field to trace the underlying discovery inputs.</x:v>
      </x:c>
      <x:c r="P789" s="18" t="e">
        <x:f>HYPERLINK("https://www.usc.edu","Open source")</x:f>
        <x:v>HYPERLINK is not implemented. linkLocation=https://www.usc.edu, friendlyName=Open source</x:v>
      </x:c>
    </x:row>
    <x:row r="790" ht="46" customHeight="1">
      <x:c r="A790" s="17" t="str">
        <x:v>stage3src:3fba27964a2dc3f3e8ab</x:v>
      </x:c>
      <x:c r="B790" s="17" t="str">
        <x:v>program</x:v>
      </x:c>
      <x:c r="C790" s="17" t="str">
        <x:v>University of Southern California</x:v>
      </x:c>
      <x:c r="D790" s="17" t="str">
        <x:v>us:ipeds:123961:program:unclear:ipeds-discovery-signal-computer-engineering-general-cip-14-0901</x:v>
      </x:c>
      <x:c r="E790" s="17" t="str"/>
      <x:c r="F790" s="17" t="str">
        <x:v>discovery</x:v>
      </x:c>
      <x:c r="G790" s="17" t="str">
        <x:v>Stage 2 recorded this row as a discovery candidate; it does not independently verify an exact current research program, eligibility, or funding.</x:v>
      </x:c>
      <x:c r="H790" s="17" t="str">
        <x:v>Pass 2 Stage 2 candidate funnel</x:v>
      </x:c>
      <x:c r="I790" s="17" t="str">
        <x:v>Graduate audit pipeline</x:v>
      </x:c>
      <x:c r="J790" s="17" t="str">
        <x:v>derived</x:v>
      </x:c>
      <x:c r="K790" s="17" t="str">
        <x:v>2026-09-11</x:v>
      </x:c>
      <x:c r="L790" s="17" t="str">
        <x:v>Not cycle-specific</x:v>
      </x:c>
      <x:c r="M790" s="17" t="str">
        <x:v>low</x:v>
      </x:c>
      <x:c r="N790" s="17" t="str">
        <x:v>Discovery evidence only</x:v>
      </x:c>
      <x:c r="O790" s="17" t="str">
        <x:v>Use the source_record_paths field to trace the underlying discovery inputs.</x:v>
      </x:c>
      <x:c r="P790" s="18" t="e">
        <x:f>HYPERLINK("https://www.usc.edu","Open source")</x:f>
        <x:v>HYPERLINK is not implemented. linkLocation=https://www.usc.edu, friendlyName=Open source</x:v>
      </x:c>
    </x:row>
    <x:row r="791" ht="46" customHeight="1">
      <x:c r="A791" s="17" t="str">
        <x:v>stage3src:6f416af4d275e4109c45</x:v>
      </x:c>
      <x:c r="B791" s="17" t="str">
        <x:v>program</x:v>
      </x:c>
      <x:c r="C791" s="17" t="str">
        <x:v>University of Southern California</x:v>
      </x:c>
      <x:c r="D791" s="17" t="str">
        <x:v>us:ipeds:123961:program:unclear:ipeds-discovery-signal-computer-science-cip-11-0701</x:v>
      </x:c>
      <x:c r="E791" s="17" t="str"/>
      <x:c r="F791" s="17" t="str">
        <x:v>discovery</x:v>
      </x:c>
      <x:c r="G791" s="17" t="str">
        <x:v>Stage 2 recorded this row as a discovery candidate; it does not independently verify an exact current research program, eligibility, or funding.</x:v>
      </x:c>
      <x:c r="H791" s="17" t="str">
        <x:v>Pass 2 Stage 2 candidate funnel</x:v>
      </x:c>
      <x:c r="I791" s="17" t="str">
        <x:v>Graduate audit pipeline</x:v>
      </x:c>
      <x:c r="J791" s="17" t="str">
        <x:v>derived</x:v>
      </x:c>
      <x:c r="K791" s="17" t="str">
        <x:v>2026-09-11</x:v>
      </x:c>
      <x:c r="L791" s="17" t="str">
        <x:v>Not cycle-specific</x:v>
      </x:c>
      <x:c r="M791" s="17" t="str">
        <x:v>low</x:v>
      </x:c>
      <x:c r="N791" s="17" t="str">
        <x:v>Discovery evidence only</x:v>
      </x:c>
      <x:c r="O791" s="17" t="str">
        <x:v>Use the source_record_paths field to trace the underlying discovery inputs.</x:v>
      </x:c>
      <x:c r="P791" s="18" t="e">
        <x:f>HYPERLINK("https://www.usc.edu","Open source")</x:f>
        <x:v>HYPERLINK is not implemented. linkLocation=https://www.usc.edu, friendlyName=Open source</x:v>
      </x:c>
    </x:row>
    <x:row r="792" ht="46" customHeight="1">
      <x:c r="A792" s="17" t="str">
        <x:v>stage3src:a397ede5b535159954ec</x:v>
      </x:c>
      <x:c r="B792" s="17" t="str">
        <x:v>program</x:v>
      </x:c>
      <x:c r="C792" s="17" t="str">
        <x:v>University of Southern California</x:v>
      </x:c>
      <x:c r="D792" s="17" t="str">
        <x:v>us:ipeds:123961:program:unclear:ipeds-discovery-signal-computer-systems-networking-and-telecommunications-cip-11-0901</x:v>
      </x:c>
      <x:c r="E792" s="17" t="str"/>
      <x:c r="F792" s="17" t="str">
        <x:v>discovery</x:v>
      </x:c>
      <x:c r="G792" s="17" t="str">
        <x:v>Stage 2 recorded this row as a discovery candidate; it does not independently verify an exact current research program, eligibility, or funding.</x:v>
      </x:c>
      <x:c r="H792" s="17" t="str">
        <x:v>Pass 2 Stage 2 candidate funnel</x:v>
      </x:c>
      <x:c r="I792" s="17" t="str">
        <x:v>Graduate audit pipeline</x:v>
      </x:c>
      <x:c r="J792" s="17" t="str">
        <x:v>derived</x:v>
      </x:c>
      <x:c r="K792" s="17" t="str">
        <x:v>2026-09-11</x:v>
      </x:c>
      <x:c r="L792" s="17" t="str">
        <x:v>Not cycle-specific</x:v>
      </x:c>
      <x:c r="M792" s="17" t="str">
        <x:v>low</x:v>
      </x:c>
      <x:c r="N792" s="17" t="str">
        <x:v>Discovery evidence only</x:v>
      </x:c>
      <x:c r="O792" s="17" t="str">
        <x:v>Use the source_record_paths field to trace the underlying discovery inputs.</x:v>
      </x:c>
      <x:c r="P792" s="18" t="e">
        <x:f>HYPERLINK("https://www.usc.edu","Open source")</x:f>
        <x:v>HYPERLINK is not implemented. linkLocation=https://www.usc.edu, friendlyName=Open source</x:v>
      </x:c>
    </x:row>
    <x:row r="793" ht="46" customHeight="1">
      <x:c r="A793" s="17" t="str">
        <x:v>stage3src:3f4faaef85e9e7942b2f</x:v>
      </x:c>
      <x:c r="B793" s="17" t="str">
        <x:v>program</x:v>
      </x:c>
      <x:c r="C793" s="17" t="str">
        <x:v>University of Southern California</x:v>
      </x:c>
      <x:c r="D793" s="17" t="str">
        <x:v>us:ipeds:123961:program:unclear:ipeds-discovery-signal-electrical-and-electronics-engineering-cip-14-1001</x:v>
      </x:c>
      <x:c r="E793" s="17" t="str"/>
      <x:c r="F793" s="17" t="str">
        <x:v>discovery</x:v>
      </x:c>
      <x:c r="G793" s="17" t="str">
        <x:v>Stage 2 recorded this row as a discovery candidate; it does not independently verify an exact current research program, eligibility, or funding.</x:v>
      </x:c>
      <x:c r="H793" s="17" t="str">
        <x:v>Pass 2 Stage 2 candidate funnel</x:v>
      </x:c>
      <x:c r="I793" s="17" t="str">
        <x:v>Graduate audit pipeline</x:v>
      </x:c>
      <x:c r="J793" s="17" t="str">
        <x:v>derived</x:v>
      </x:c>
      <x:c r="K793" s="17" t="str">
        <x:v>2026-09-11</x:v>
      </x:c>
      <x:c r="L793" s="17" t="str">
        <x:v>Not cycle-specific</x:v>
      </x:c>
      <x:c r="M793" s="17" t="str">
        <x:v>low</x:v>
      </x:c>
      <x:c r="N793" s="17" t="str">
        <x:v>Discovery evidence only</x:v>
      </x:c>
      <x:c r="O793" s="17" t="str">
        <x:v>Use the source_record_paths field to trace the underlying discovery inputs.</x:v>
      </x:c>
      <x:c r="P793" s="18" t="e">
        <x:f>HYPERLINK("https://www.usc.edu","Open source")</x:f>
        <x:v>HYPERLINK is not implemented. linkLocation=https://www.usc.edu, friendlyName=Open source</x:v>
      </x:c>
    </x:row>
    <x:row r="794" ht="46" customHeight="1">
      <x:c r="A794" s="17" t="str">
        <x:v>stage3src:03cccfb44964864d2d6c</x:v>
      </x:c>
      <x:c r="B794" s="17" t="str">
        <x:v>program</x:v>
      </x:c>
      <x:c r="C794" s="17" t="str">
        <x:v>University of Southern California</x:v>
      </x:c>
      <x:c r="D794" s="17" t="str">
        <x:v>us:ipeds:123961:program:unclear:ipeds-discovery-signal-informatics-cip-11-0104</x:v>
      </x:c>
      <x:c r="E794" s="17" t="str"/>
      <x:c r="F794" s="17" t="str">
        <x:v>discovery</x:v>
      </x:c>
      <x:c r="G794" s="17" t="str">
        <x:v>Stage 2 recorded this row as a discovery candidate; it does not independently verify an exact current research program, eligibility, or funding.</x:v>
      </x:c>
      <x:c r="H794" s="17" t="str">
        <x:v>Pass 2 Stage 2 candidate funnel</x:v>
      </x:c>
      <x:c r="I794" s="17" t="str">
        <x:v>Graduate audit pipeline</x:v>
      </x:c>
      <x:c r="J794" s="17" t="str">
        <x:v>derived</x:v>
      </x:c>
      <x:c r="K794" s="17" t="str">
        <x:v>2026-09-11</x:v>
      </x:c>
      <x:c r="L794" s="17" t="str">
        <x:v>Not cycle-specific</x:v>
      </x:c>
      <x:c r="M794" s="17" t="str">
        <x:v>low</x:v>
      </x:c>
      <x:c r="N794" s="17" t="str">
        <x:v>Discovery evidence only</x:v>
      </x:c>
      <x:c r="O794" s="17" t="str">
        <x:v>Use the source_record_paths field to trace the underlying discovery inputs.</x:v>
      </x:c>
      <x:c r="P794" s="18" t="e">
        <x:f>HYPERLINK("https://www.usc.edu","Open source")</x:f>
        <x:v>HYPERLINK is not implemented. linkLocation=https://www.usc.edu, friendlyName=Open source</x:v>
      </x:c>
    </x:row>
    <x:row r="795" ht="46" customHeight="1">
      <x:c r="A795" s="17" t="str">
        <x:v>stage3src:6fdafa383e33b6583453</x:v>
      </x:c>
      <x:c r="B795" s="17" t="str">
        <x:v>program</x:v>
      </x:c>
      <x:c r="C795" s="17" t="str">
        <x:v>University of Southern California</x:v>
      </x:c>
      <x:c r="D795" s="17" t="str">
        <x:v>us:ipeds:123961:program:unclear:ipeds-discovery-signal-information-science-studies-cip-11-0401</x:v>
      </x:c>
      <x:c r="E795" s="17" t="str"/>
      <x:c r="F795" s="17" t="str">
        <x:v>discovery</x:v>
      </x:c>
      <x:c r="G795" s="17" t="str">
        <x:v>Stage 2 recorded this row as a discovery candidate; it does not independently verify an exact current research program, eligibility, or funding.</x:v>
      </x:c>
      <x:c r="H795" s="17" t="str">
        <x:v>Pass 2 Stage 2 candidate funnel</x:v>
      </x:c>
      <x:c r="I795" s="17" t="str">
        <x:v>Graduate audit pipeline</x:v>
      </x:c>
      <x:c r="J795" s="17" t="str">
        <x:v>derived</x:v>
      </x:c>
      <x:c r="K795" s="17" t="str">
        <x:v>2026-09-11</x:v>
      </x:c>
      <x:c r="L795" s="17" t="str">
        <x:v>Not cycle-specific</x:v>
      </x:c>
      <x:c r="M795" s="17" t="str">
        <x:v>low</x:v>
      </x:c>
      <x:c r="N795" s="17" t="str">
        <x:v>Discovery evidence only</x:v>
      </x:c>
      <x:c r="O795" s="17" t="str">
        <x:v>Use the source_record_paths field to trace the underlying discovery inputs.</x:v>
      </x:c>
      <x:c r="P795" s="18" t="e">
        <x:f>HYPERLINK("https://www.usc.edu","Open source")</x:f>
        <x:v>HYPERLINK is not implemented. linkLocation=https://www.usc.edu, friendlyName=Open source</x:v>
      </x:c>
    </x:row>
    <x:row r="796" ht="46" customHeight="1">
      <x:c r="A796" s="17" t="str">
        <x:v>stage3src:4b8437dd8c6265de57bf</x:v>
      </x:c>
      <x:c r="B796" s="17" t="str">
        <x:v>program</x:v>
      </x:c>
      <x:c r="C796" s="17" t="str">
        <x:v>Walden University</x:v>
      </x:c>
      <x:c r="D796" s="17" t="str">
        <x:v>us:ipeds:125231:program:unclear:ipeds-discovery-signal-computer-and-information-sciences-general-cip-11-0101</x:v>
      </x:c>
      <x:c r="E796" s="17" t="str"/>
      <x:c r="F796" s="17" t="str">
        <x:v>discovery</x:v>
      </x:c>
      <x:c r="G796" s="17" t="str">
        <x:v>Stage 2 recorded this row as a discovery candidate; it does not independently verify an exact current research program, eligibility, or funding.</x:v>
      </x:c>
      <x:c r="H796" s="17" t="str">
        <x:v>Pass 2 Stage 2 candidate funnel</x:v>
      </x:c>
      <x:c r="I796" s="17" t="str">
        <x:v>Graduate audit pipeline</x:v>
      </x:c>
      <x:c r="J796" s="17" t="str">
        <x:v>derived</x:v>
      </x:c>
      <x:c r="K796" s="17" t="str">
        <x:v>2026-09-11</x:v>
      </x:c>
      <x:c r="L796" s="17" t="str">
        <x:v>Not cycle-specific</x:v>
      </x:c>
      <x:c r="M796" s="17" t="str">
        <x:v>low</x:v>
      </x:c>
      <x:c r="N796" s="17" t="str">
        <x:v>Discovery evidence only</x:v>
      </x:c>
      <x:c r="O796" s="17" t="str">
        <x:v>Use the source_record_paths field to trace the underlying discovery inputs.</x:v>
      </x:c>
      <x:c r="P796" s="18" t="e">
        <x:f>HYPERLINK("https://www.waldenu.edu","Open source")</x:f>
        <x:v>HYPERLINK is not implemented. linkLocation=https://www.waldenu.edu, friendlyName=Open source</x:v>
      </x:c>
    </x:row>
    <x:row r="797" ht="46" customHeight="1">
      <x:c r="A797" s="17" t="str">
        <x:v>stage3src:1cf02428300b1f33ff56</x:v>
      </x:c>
      <x:c r="B797" s="17" t="str">
        <x:v>program</x:v>
      </x:c>
      <x:c r="C797" s="17" t="str">
        <x:v>Walden University</x:v>
      </x:c>
      <x:c r="D797" s="17" t="str">
        <x:v>us:ipeds:125231:program:unclear:ipeds-discovery-signal-computer-and-information-systems-security-auditing-information-assurance-cip-11-1003</x:v>
      </x:c>
      <x:c r="E797" s="17" t="str"/>
      <x:c r="F797" s="17" t="str">
        <x:v>discovery</x:v>
      </x:c>
      <x:c r="G797" s="17" t="str">
        <x:v>Stage 2 recorded this row as a discovery candidate; it does not independently verify an exact current research program, eligibility, or funding.</x:v>
      </x:c>
      <x:c r="H797" s="17" t="str">
        <x:v>Pass 2 Stage 2 candidate funnel</x:v>
      </x:c>
      <x:c r="I797" s="17" t="str">
        <x:v>Graduate audit pipeline</x:v>
      </x:c>
      <x:c r="J797" s="17" t="str">
        <x:v>derived</x:v>
      </x:c>
      <x:c r="K797" s="17" t="str">
        <x:v>2026-09-11</x:v>
      </x:c>
      <x:c r="L797" s="17" t="str">
        <x:v>Not cycle-specific</x:v>
      </x:c>
      <x:c r="M797" s="17" t="str">
        <x:v>low</x:v>
      </x:c>
      <x:c r="N797" s="17" t="str">
        <x:v>Discovery evidence only</x:v>
      </x:c>
      <x:c r="O797" s="17" t="str">
        <x:v>Use the source_record_paths field to trace the underlying discovery inputs.</x:v>
      </x:c>
      <x:c r="P797" s="18" t="e">
        <x:f>HYPERLINK("https://www.waldenu.edu","Open source")</x:f>
        <x:v>HYPERLINK is not implemented. linkLocation=https://www.waldenu.edu, friendlyName=Open source</x:v>
      </x:c>
    </x:row>
    <x:row r="798" ht="46" customHeight="1">
      <x:c r="A798" s="17" t="str">
        <x:v>stage3src:75e531dd24933d73541c</x:v>
      </x:c>
      <x:c r="B798" s="17" t="str">
        <x:v>program</x:v>
      </x:c>
      <x:c r="C798" s="17" t="str">
        <x:v>Walden University</x:v>
      </x:c>
      <x:c r="D798" s="17" t="str">
        <x:v>us:ipeds:125231:program:unclear:ipeds-discovery-signal-computer-software-engineering-cip-14-0903</x:v>
      </x:c>
      <x:c r="E798" s="17" t="str"/>
      <x:c r="F798" s="17" t="str">
        <x:v>discovery</x:v>
      </x:c>
      <x:c r="G798" s="17" t="str">
        <x:v>Stage 2 recorded this row as a discovery candidate; it does not independently verify an exact current research program, eligibility, or funding.</x:v>
      </x:c>
      <x:c r="H798" s="17" t="str">
        <x:v>Pass 2 Stage 2 candidate funnel</x:v>
      </x:c>
      <x:c r="I798" s="17" t="str">
        <x:v>Graduate audit pipeline</x:v>
      </x:c>
      <x:c r="J798" s="17" t="str">
        <x:v>derived</x:v>
      </x:c>
      <x:c r="K798" s="17" t="str">
        <x:v>2026-09-11</x:v>
      </x:c>
      <x:c r="L798" s="17" t="str">
        <x:v>Not cycle-specific</x:v>
      </x:c>
      <x:c r="M798" s="17" t="str">
        <x:v>low</x:v>
      </x:c>
      <x:c r="N798" s="17" t="str">
        <x:v>Discovery evidence only</x:v>
      </x:c>
      <x:c r="O798" s="17" t="str">
        <x:v>Use the source_record_paths field to trace the underlying discovery inputs.</x:v>
      </x:c>
      <x:c r="P798" s="18" t="e">
        <x:f>HYPERLINK("https://www.waldenu.edu","Open source")</x:f>
        <x:v>HYPERLINK is not implemented. linkLocation=https://www.waldenu.edu, friendlyName=Open source</x:v>
      </x:c>
    </x:row>
    <x:row r="799" ht="46" customHeight="1">
      <x:c r="A799" s="17" t="str">
        <x:v>stage3src:f8705f342dc9a5043080</x:v>
      </x:c>
      <x:c r="B799" s="17" t="str">
        <x:v>program</x:v>
      </x:c>
      <x:c r="C799" s="17" t="str">
        <x:v>Walden University</x:v>
      </x:c>
      <x:c r="D799" s="17" t="str">
        <x:v>us:ipeds:125231:program:unclear:ipeds-discovery-signal-data-science-general-cip-30-7001</x:v>
      </x:c>
      <x:c r="E799" s="17" t="str"/>
      <x:c r="F799" s="17" t="str">
        <x:v>discovery</x:v>
      </x:c>
      <x:c r="G799" s="17" t="str">
        <x:v>Stage 2 recorded this row as a discovery candidate; it does not independently verify an exact current research program, eligibility, or funding.</x:v>
      </x:c>
      <x:c r="H799" s="17" t="str">
        <x:v>Pass 2 Stage 2 candidate funnel</x:v>
      </x:c>
      <x:c r="I799" s="17" t="str">
        <x:v>Graduate audit pipeline</x:v>
      </x:c>
      <x:c r="J799" s="17" t="str">
        <x:v>derived</x:v>
      </x:c>
      <x:c r="K799" s="17" t="str">
        <x:v>2026-09-11</x:v>
      </x:c>
      <x:c r="L799" s="17" t="str">
        <x:v>Not cycle-specific</x:v>
      </x:c>
      <x:c r="M799" s="17" t="str">
        <x:v>low</x:v>
      </x:c>
      <x:c r="N799" s="17" t="str">
        <x:v>Discovery evidence only</x:v>
      </x:c>
      <x:c r="O799" s="17" t="str">
        <x:v>Use the source_record_paths field to trace the underlying discovery inputs.</x:v>
      </x:c>
      <x:c r="P799" s="18" t="e">
        <x:f>HYPERLINK("https://www.waldenu.edu","Open source")</x:f>
        <x:v>HYPERLINK is not implemented. linkLocation=https://www.waldenu.edu, friendlyName=Open source</x:v>
      </x:c>
    </x:row>
    <x:row r="800" ht="46" customHeight="1">
      <x:c r="A800" s="17" t="str">
        <x:v>stage3src:74b763a00c263a03f7db</x:v>
      </x:c>
      <x:c r="B800" s="17" t="str">
        <x:v>program</x:v>
      </x:c>
      <x:c r="C800" s="17" t="str">
        <x:v>University of Colorado Denver/Anschutz Medical Campus</x:v>
      </x:c>
      <x:c r="D800" s="17" t="str">
        <x:v>us:ipeds:126562:program:unclear:ipeds-discovery-signal-computer-and-information-sciences-general-cip-11-0101</x:v>
      </x:c>
      <x:c r="E800" s="17" t="str"/>
      <x:c r="F800" s="17" t="str">
        <x:v>discovery</x:v>
      </x:c>
      <x:c r="G800" s="17" t="str">
        <x:v>Stage 2 recorded this row as a discovery candidate; it does not independently verify an exact current research program, eligibility, or funding.</x:v>
      </x:c>
      <x:c r="H800" s="17" t="str">
        <x:v>Pass 2 Stage 2 candidate funnel</x:v>
      </x:c>
      <x:c r="I800" s="17" t="str">
        <x:v>Graduate audit pipeline</x:v>
      </x:c>
      <x:c r="J800" s="17" t="str">
        <x:v>derived</x:v>
      </x:c>
      <x:c r="K800" s="17" t="str">
        <x:v>2026-09-11</x:v>
      </x:c>
      <x:c r="L800" s="17" t="str">
        <x:v>Not cycle-specific</x:v>
      </x:c>
      <x:c r="M800" s="17" t="str">
        <x:v>low</x:v>
      </x:c>
      <x:c r="N800" s="17" t="str">
        <x:v>Discovery evidence only</x:v>
      </x:c>
      <x:c r="O800" s="17" t="str">
        <x:v>Use the source_record_paths field to trace the underlying discovery inputs.</x:v>
      </x:c>
      <x:c r="P800" s="18" t="e">
        <x:f>HYPERLINK("https://www.ucdenver.edu","Open source")</x:f>
        <x:v>HYPERLINK is not implemented. linkLocation=https://www.ucdenver.edu, friendlyName=Open source</x:v>
      </x:c>
    </x:row>
    <x:row r="801" ht="46" customHeight="1">
      <x:c r="A801" s="17" t="str">
        <x:v>stage3src:029a2f635c0b0fa587ed</x:v>
      </x:c>
      <x:c r="B801" s="17" t="str">
        <x:v>program</x:v>
      </x:c>
      <x:c r="C801" s="17" t="str">
        <x:v>University of Colorado Denver/Anschutz Medical Campus</x:v>
      </x:c>
      <x:c r="D801" s="17" t="str">
        <x:v>us:ipeds:126562:program:unclear:ipeds-discovery-signal-cyber-computer-forensics-and-counterterrorism-cip-43-0403</x:v>
      </x:c>
      <x:c r="E801" s="17" t="str"/>
      <x:c r="F801" s="17" t="str">
        <x:v>discovery</x:v>
      </x:c>
      <x:c r="G801" s="17" t="str">
        <x:v>Stage 2 recorded this row as a discovery candidate; it does not independently verify an exact current research program, eligibility, or funding.</x:v>
      </x:c>
      <x:c r="H801" s="17" t="str">
        <x:v>Pass 2 Stage 2 candidate funnel</x:v>
      </x:c>
      <x:c r="I801" s="17" t="str">
        <x:v>Graduate audit pipeline</x:v>
      </x:c>
      <x:c r="J801" s="17" t="str">
        <x:v>derived</x:v>
      </x:c>
      <x:c r="K801" s="17" t="str">
        <x:v>2026-09-11</x:v>
      </x:c>
      <x:c r="L801" s="17" t="str">
        <x:v>Not cycle-specific</x:v>
      </x:c>
      <x:c r="M801" s="17" t="str">
        <x:v>low</x:v>
      </x:c>
      <x:c r="N801" s="17" t="str">
        <x:v>Discovery evidence only</x:v>
      </x:c>
      <x:c r="O801" s="17" t="str">
        <x:v>Use the source_record_paths field to trace the underlying discovery inputs.</x:v>
      </x:c>
      <x:c r="P801" s="18" t="e">
        <x:f>HYPERLINK("https://www.ucdenver.edu","Open source")</x:f>
        <x:v>HYPERLINK is not implemented. linkLocation=https://www.ucdenver.edu, friendlyName=Open source</x:v>
      </x:c>
    </x:row>
    <x:row r="802" ht="46" customHeight="1">
      <x:c r="A802" s="17" t="str">
        <x:v>stage3src:d1018ce1dc1b33c9ee40</x:v>
      </x:c>
      <x:c r="B802" s="17" t="str">
        <x:v>program</x:v>
      </x:c>
      <x:c r="C802" s="17" t="str">
        <x:v>University of Colorado Denver/Anschutz Medical Campus</x:v>
      </x:c>
      <x:c r="D802" s="17" t="str">
        <x:v>us:ipeds:126562:program:unclear:ipeds-discovery-signal-electrical-and-electronics-engineering-cip-14-1001</x:v>
      </x:c>
      <x:c r="E802" s="17" t="str"/>
      <x:c r="F802" s="17" t="str">
        <x:v>discovery</x:v>
      </x:c>
      <x:c r="G802" s="17" t="str">
        <x:v>Stage 2 recorded this row as a discovery candidate; it does not independently verify an exact current research program, eligibility, or funding.</x:v>
      </x:c>
      <x:c r="H802" s="17" t="str">
        <x:v>Pass 2 Stage 2 candidate funnel</x:v>
      </x:c>
      <x:c r="I802" s="17" t="str">
        <x:v>Graduate audit pipeline</x:v>
      </x:c>
      <x:c r="J802" s="17" t="str">
        <x:v>derived</x:v>
      </x:c>
      <x:c r="K802" s="17" t="str">
        <x:v>2026-09-11</x:v>
      </x:c>
      <x:c r="L802" s="17" t="str">
        <x:v>Not cycle-specific</x:v>
      </x:c>
      <x:c r="M802" s="17" t="str">
        <x:v>low</x:v>
      </x:c>
      <x:c r="N802" s="17" t="str">
        <x:v>Discovery evidence only</x:v>
      </x:c>
      <x:c r="O802" s="17" t="str">
        <x:v>Use the source_record_paths field to trace the underlying discovery inputs.</x:v>
      </x:c>
      <x:c r="P802" s="18" t="e">
        <x:f>HYPERLINK("https://www.ucdenver.edu","Open source")</x:f>
        <x:v>HYPERLINK is not implemented. linkLocation=https://www.ucdenver.edu, friendlyName=Open source</x:v>
      </x:c>
    </x:row>
    <x:row r="803" ht="46" customHeight="1">
      <x:c r="A803" s="17" t="str">
        <x:v>stage3src:9210f466bddb379de718</x:v>
      </x:c>
      <x:c r="B803" s="17" t="str">
        <x:v>program</x:v>
      </x:c>
      <x:c r="C803" s="17" t="str">
        <x:v>University of Colorado Denver/Anschutz Medical Campus</x:v>
      </x:c>
      <x:c r="D803" s="17" t="str">
        <x:v>us:ipeds:126562:program:unclear:ipeds-discovery-signal-information-science-studies-cip-11-0401</x:v>
      </x:c>
      <x:c r="E803" s="17" t="str"/>
      <x:c r="F803" s="17" t="str">
        <x:v>discovery</x:v>
      </x:c>
      <x:c r="G803" s="17" t="str">
        <x:v>Stage 2 recorded this row as a discovery candidate; it does not independently verify an exact current research program, eligibility, or funding.</x:v>
      </x:c>
      <x:c r="H803" s="17" t="str">
        <x:v>Pass 2 Stage 2 candidate funnel</x:v>
      </x:c>
      <x:c r="I803" s="17" t="str">
        <x:v>Graduate audit pipeline</x:v>
      </x:c>
      <x:c r="J803" s="17" t="str">
        <x:v>derived</x:v>
      </x:c>
      <x:c r="K803" s="17" t="str">
        <x:v>2026-09-11</x:v>
      </x:c>
      <x:c r="L803" s="17" t="str">
        <x:v>Not cycle-specific</x:v>
      </x:c>
      <x:c r="M803" s="17" t="str">
        <x:v>low</x:v>
      </x:c>
      <x:c r="N803" s="17" t="str">
        <x:v>Discovery evidence only</x:v>
      </x:c>
      <x:c r="O803" s="17" t="str">
        <x:v>Use the source_record_paths field to trace the underlying discovery inputs.</x:v>
      </x:c>
      <x:c r="P803" s="18" t="e">
        <x:f>HYPERLINK("https://www.ucdenver.edu","Open source")</x:f>
        <x:v>HYPERLINK is not implemented. linkLocation=https://www.ucdenver.edu, friendlyName=Open source</x:v>
      </x:c>
    </x:row>
    <x:row r="804" ht="46" customHeight="1">
      <x:c r="A804" s="17" t="str">
        <x:v>stage3src:1e2a00c731b7b35ee2fa</x:v>
      </x:c>
      <x:c r="B804" s="17" t="str">
        <x:v>program</x:v>
      </x:c>
      <x:c r="C804" s="17" t="str">
        <x:v>University of Colorado Colorado Springs</x:v>
      </x:c>
      <x:c r="D804" s="17" t="str">
        <x:v>us:ipeds:126580:program:phd:cybersecurity-phd</x:v>
      </x:c>
      <x:c r="E804" s="17" t="str"/>
      <x:c r="F804" s="17" t="str">
        <x:v>funding|tuition</x:v>
      </x:c>
      <x:c r="G804" s="17" t="str">
        <x:v>Faculty laboratory statement of tuition-and-stipend RA opportunities for qualified PhD researchers regardless of citizenship, without a universal award.</x:v>
      </x:c>
      <x:c r="H804" s="17" t="str">
        <x:v>Prospective Students — UCCS Systems Security Lab</x:v>
      </x:c>
      <x:c r="I804" s="17" t="str">
        <x:v>University of Colorado Colorado Springs</x:v>
      </x:c>
      <x:c r="J804" s="17" t="str">
        <x:v>official</x:v>
      </x:c>
      <x:c r="K804" s="17" t="str">
        <x:v>2026-09-11</x:v>
      </x:c>
      <x:c r="L804" s="17" t="str">
        <x:v>Current document checked 2026-09-11</x:v>
      </x:c>
      <x:c r="M804" s="17" t="str">
        <x:v>high</x:v>
      </x:c>
      <x:c r="N804" s="17" t="str">
        <x:v>official page checked</x:v>
      </x:c>
      <x:c r="O804" s="17" t="str"/>
      <x:c r="P804" s="18" t="e">
        <x:f>HYPERLINK("https://academics.uccs.edu/~schang2/docs/Prospective_Students_UCCS_Systems_Security_Lab.pdf","Open source")</x:f>
        <x:v>HYPERLINK is not implemented. linkLocation=https://academics.uccs.edu/~schang2/docs/Prospective_Students_UCCS_Systems_Security_Lab.pdf, friendlyName=Open source</x:v>
      </x:c>
    </x:row>
    <x:row r="805" ht="46" customHeight="1">
      <x:c r="A805" s="17" t="str">
        <x:v>stage3src:736c8bf366e037795aa8</x:v>
      </x:c>
      <x:c r="B805" s="17" t="str">
        <x:v>program</x:v>
      </x:c>
      <x:c r="C805" s="17" t="str">
        <x:v>University of Colorado Colorado Springs</x:v>
      </x:c>
      <x:c r="D805" s="17" t="str">
        <x:v>us:ipeds:126580:program:phd:cybersecurity-phd</x:v>
      </x:c>
      <x:c r="E805" s="17" t="str"/>
      <x:c r="F805" s="17" t="str">
        <x:v>admissions|fees|eligibility</x:v>
      </x:c>
      <x:c r="G805" s="17" t="str">
        <x:v>Graduate application workflow, USD 60 fee, and international credential-evaluation requirement.</x:v>
      </x:c>
      <x:c r="H805" s="17" t="str">
        <x:v>Graduate Application Details</x:v>
      </x:c>
      <x:c r="I805" s="17" t="str">
        <x:v>University of Colorado Colorado Springs</x:v>
      </x:c>
      <x:c r="J805" s="17" t="str">
        <x:v>official</x:v>
      </x:c>
      <x:c r="K805" s="17" t="str">
        <x:v>2026-09-11</x:v>
      </x:c>
      <x:c r="L805" s="17" t="str">
        <x:v>Current page checked 2026-09-11</x:v>
      </x:c>
      <x:c r="M805" s="17" t="str">
        <x:v>high</x:v>
      </x:c>
      <x:c r="N805" s="17" t="str">
        <x:v>official page checked</x:v>
      </x:c>
      <x:c r="O805" s="17" t="str"/>
      <x:c r="P805" s="18" t="e">
        <x:f>HYPERLINK("https://www.uccs.edu/admissions-aid/application-details/graduate","Open source")</x:f>
        <x:v>HYPERLINK is not implemented. linkLocation=https://www.uccs.edu/admissions-aid/application-details/graduate, friendlyName=Open source</x:v>
      </x:c>
    </x:row>
    <x:row r="806" ht="46" customHeight="1">
      <x:c r="A806" s="17" t="str">
        <x:v>stage3src:8f1ddd0ad9a5b71ded5d</x:v>
      </x:c>
      <x:c r="B806" s="17" t="str">
        <x:v>program</x:v>
      </x:c>
      <x:c r="C806" s="17" t="str">
        <x:v>University of Colorado Colorado Springs</x:v>
      </x:c>
      <x:c r="D806" s="17" t="str">
        <x:v>us:ipeds:126580:program:phd:cybersecurity-phd</x:v>
      </x:c>
      <x:c r="E806" s="17" t="str"/>
      <x:c r="F806" s="17" t="str">
        <x:v>program|research|eligibility|admissions|language</x:v>
      </x:c>
      <x:c r="G806" s="17" t="str">
        <x:v>Current 60-credit Cybersecurity PhD, STEM entry, prerequisites, research structure, GRE framework, and English minima.</x:v>
      </x:c>
      <x:c r="H806" s="17" t="str">
        <x:v>Cybersecurity, PhD</x:v>
      </x:c>
      <x:c r="I806" s="17" t="str">
        <x:v>University of Colorado Colorado Springs</x:v>
      </x:c>
      <x:c r="J806" s="17" t="str">
        <x:v>official</x:v>
      </x:c>
      <x:c r="K806" s="17" t="str">
        <x:v>2026-09-11</x:v>
      </x:c>
      <x:c r="L806" s="17" t="str">
        <x:v>Current page checked 2026-09-11</x:v>
      </x:c>
      <x:c r="M806" s="17" t="str">
        <x:v>high</x:v>
      </x:c>
      <x:c r="N806" s="17" t="str">
        <x:v>official page checked</x:v>
      </x:c>
      <x:c r="O806" s="17" t="str"/>
      <x:c r="P806" s="18" t="e">
        <x:f>HYPERLINK("https://www.uccs.edu/academics/programs/security-phd","Open source")</x:f>
        <x:v>HYPERLINK is not implemented. linkLocation=https://www.uccs.edu/academics/programs/security-phd, friendlyName=Open source</x:v>
      </x:c>
    </x:row>
    <x:row r="807" ht="46" customHeight="1">
      <x:c r="A807" s="17" t="str">
        <x:v>stage3src:cabbe5213e5c4d204281</x:v>
      </x:c>
      <x:c r="B807" s="17" t="str">
        <x:v>program</x:v>
      </x:c>
      <x:c r="C807" s="17" t="str">
        <x:v>University of Colorado Colorado Springs</x:v>
      </x:c>
      <x:c r="D807" s="17" t="str">
        <x:v>us:ipeds:126580:program:unclear:ipeds-discovery-signal-computer-and-information-sciences-general-cip-11-0101</x:v>
      </x:c>
      <x:c r="E807" s="17" t="str"/>
      <x:c r="F807" s="17" t="str">
        <x:v>discovery</x:v>
      </x:c>
      <x:c r="G807" s="17" t="str">
        <x:v>Stage 2 recorded this row as a discovery candidate; it does not independently verify an exact current research program, eligibility, or funding.</x:v>
      </x:c>
      <x:c r="H807" s="17" t="str">
        <x:v>Pass 2 Stage 2 candidate funnel</x:v>
      </x:c>
      <x:c r="I807" s="17" t="str">
        <x:v>Graduate audit pipeline</x:v>
      </x:c>
      <x:c r="J807" s="17" t="str">
        <x:v>derived</x:v>
      </x:c>
      <x:c r="K807" s="17" t="str">
        <x:v>2026-09-11</x:v>
      </x:c>
      <x:c r="L807" s="17" t="str">
        <x:v>Not cycle-specific</x:v>
      </x:c>
      <x:c r="M807" s="17" t="str">
        <x:v>low</x:v>
      </x:c>
      <x:c r="N807" s="17" t="str">
        <x:v>Discovery evidence only</x:v>
      </x:c>
      <x:c r="O807" s="17" t="str">
        <x:v>Use the source_record_paths field to trace the underlying discovery inputs.</x:v>
      </x:c>
      <x:c r="P807" s="18" t="e">
        <x:f>HYPERLINK("https://www.uccs.edu","Open source")</x:f>
        <x:v>HYPERLINK is not implemented. linkLocation=https://www.uccs.edu, friendlyName=Open source</x:v>
      </x:c>
    </x:row>
    <x:row r="808" ht="46" customHeight="1">
      <x:c r="A808" s="17" t="str">
        <x:v>stage3src:ecac40430b2e3dbc4b84</x:v>
      </x:c>
      <x:c r="B808" s="17" t="str">
        <x:v>program</x:v>
      </x:c>
      <x:c r="C808" s="17" t="str">
        <x:v>University of Colorado Colorado Springs</x:v>
      </x:c>
      <x:c r="D808" s="17" t="str">
        <x:v>us:ipeds:126580:program:unclear:ipeds-discovery-signal-computer-and-information-systems-security-auditing-information-assurance-cip-11-1003</x:v>
      </x:c>
      <x:c r="E808" s="17" t="str"/>
      <x:c r="F808" s="17" t="str">
        <x:v>discovery</x:v>
      </x:c>
      <x:c r="G808" s="17" t="str">
        <x:v>Stage 2 recorded this row as a discovery candidate; it does not independently verify an exact current research program, eligibility, or funding.</x:v>
      </x:c>
      <x:c r="H808" s="17" t="str">
        <x:v>Pass 2 Stage 2 candidate funnel</x:v>
      </x:c>
      <x:c r="I808" s="17" t="str">
        <x:v>Graduate audit pipeline</x:v>
      </x:c>
      <x:c r="J808" s="17" t="str">
        <x:v>derived</x:v>
      </x:c>
      <x:c r="K808" s="17" t="str">
        <x:v>2026-09-11</x:v>
      </x:c>
      <x:c r="L808" s="17" t="str">
        <x:v>Not cycle-specific</x:v>
      </x:c>
      <x:c r="M808" s="17" t="str">
        <x:v>low</x:v>
      </x:c>
      <x:c r="N808" s="17" t="str">
        <x:v>Discovery evidence only</x:v>
      </x:c>
      <x:c r="O808" s="17" t="str">
        <x:v>Use the source_record_paths field to trace the underlying discovery inputs.</x:v>
      </x:c>
      <x:c r="P808" s="18" t="e">
        <x:f>HYPERLINK("https://www.uccs.edu","Open source")</x:f>
        <x:v>HYPERLINK is not implemented. linkLocation=https://www.uccs.edu, friendlyName=Open source</x:v>
      </x:c>
    </x:row>
    <x:row r="809" ht="46" customHeight="1">
      <x:c r="A809" s="17" t="str">
        <x:v>stage3src:a3c2e8b328bf15155e79</x:v>
      </x:c>
      <x:c r="B809" s="17" t="str">
        <x:v>program</x:v>
      </x:c>
      <x:c r="C809" s="17" t="str">
        <x:v>University of Colorado Colorado Springs</x:v>
      </x:c>
      <x:c r="D809" s="17" t="str">
        <x:v>us:ipeds:126580:program:unclear:ipeds-discovery-signal-computer-science-cip-11-0701</x:v>
      </x:c>
      <x:c r="E809" s="17" t="str"/>
      <x:c r="F809" s="17" t="str">
        <x:v>discovery</x:v>
      </x:c>
      <x:c r="G809" s="17" t="str">
        <x:v>Stage 2 recorded this row as a discovery candidate; it does not independently verify an exact current research program, eligibility, or funding.</x:v>
      </x:c>
      <x:c r="H809" s="17" t="str">
        <x:v>Pass 2 Stage 2 candidate funnel</x:v>
      </x:c>
      <x:c r="I809" s="17" t="str">
        <x:v>Graduate audit pipeline</x:v>
      </x:c>
      <x:c r="J809" s="17" t="str">
        <x:v>derived</x:v>
      </x:c>
      <x:c r="K809" s="17" t="str">
        <x:v>2026-09-11</x:v>
      </x:c>
      <x:c r="L809" s="17" t="str">
        <x:v>Not cycle-specific</x:v>
      </x:c>
      <x:c r="M809" s="17" t="str">
        <x:v>low</x:v>
      </x:c>
      <x:c r="N809" s="17" t="str">
        <x:v>Discovery evidence only</x:v>
      </x:c>
      <x:c r="O809" s="17" t="str">
        <x:v>Use the source_record_paths field to trace the underlying discovery inputs.</x:v>
      </x:c>
      <x:c r="P809" s="18" t="e">
        <x:f>HYPERLINK("https://www.uccs.edu","Open source")</x:f>
        <x:v>HYPERLINK is not implemented. linkLocation=https://www.uccs.edu, friendlyName=Open source</x:v>
      </x:c>
    </x:row>
    <x:row r="810" ht="46" customHeight="1">
      <x:c r="A810" s="17" t="str">
        <x:v>stage3src:6951a805176aa166c608</x:v>
      </x:c>
      <x:c r="B810" s="17" t="str">
        <x:v>program</x:v>
      </x:c>
      <x:c r="C810" s="17" t="str">
        <x:v>University of Colorado Colorado Springs</x:v>
      </x:c>
      <x:c r="D810" s="17" t="str">
        <x:v>us:ipeds:126580:program:unclear:ipeds-discovery-signal-electrical-and-electronics-engineering-cip-14-1001</x:v>
      </x:c>
      <x:c r="E810" s="17" t="str"/>
      <x:c r="F810" s="17" t="str">
        <x:v>discovery</x:v>
      </x:c>
      <x:c r="G810" s="17" t="str">
        <x:v>Stage 2 recorded this row as a discovery candidate; it does not independently verify an exact current research program, eligibility, or funding.</x:v>
      </x:c>
      <x:c r="H810" s="17" t="str">
        <x:v>Pass 2 Stage 2 candidate funnel</x:v>
      </x:c>
      <x:c r="I810" s="17" t="str">
        <x:v>Graduate audit pipeline</x:v>
      </x:c>
      <x:c r="J810" s="17" t="str">
        <x:v>derived</x:v>
      </x:c>
      <x:c r="K810" s="17" t="str">
        <x:v>2026-09-11</x:v>
      </x:c>
      <x:c r="L810" s="17" t="str">
        <x:v>Not cycle-specific</x:v>
      </x:c>
      <x:c r="M810" s="17" t="str">
        <x:v>low</x:v>
      </x:c>
      <x:c r="N810" s="17" t="str">
        <x:v>Discovery evidence only</x:v>
      </x:c>
      <x:c r="O810" s="17" t="str">
        <x:v>Use the source_record_paths field to trace the underlying discovery inputs.</x:v>
      </x:c>
      <x:c r="P810" s="18" t="e">
        <x:f>HYPERLINK("https://www.uccs.edu","Open source")</x:f>
        <x:v>HYPERLINK is not implemented. linkLocation=https://www.uccs.edu, friendlyName=Open source</x:v>
      </x:c>
    </x:row>
    <x:row r="811" ht="46" customHeight="1">
      <x:c r="A811" s="17" t="str">
        <x:v>stage3src:422374bdb0bd4a65186b</x:v>
      </x:c>
      <x:c r="B811" s="17" t="str">
        <x:v>program</x:v>
      </x:c>
      <x:c r="C811" s="17" t="str">
        <x:v>University of Colorado Boulder</x:v>
      </x:c>
      <x:c r="D811" s="17" t="str">
        <x:v>us:ipeds:126614:program:phd:computer-science-phd</x:v>
      </x:c>
      <x:c r="E811" s="17" t="str"/>
      <x:c r="F811" s="17" t="str">
        <x:v>admissions|eligibility|funding|fees</x:v>
      </x:c>
      <x:c r="G811" s="17" t="str">
        <x:v>No master's is required, prior faculty contact is unnecessary, and the department describes five years of PhD funding.</x:v>
      </x:c>
      <x:c r="H811" s="17" t="str">
        <x:v>Graduate Admissions FAQs</x:v>
      </x:c>
      <x:c r="I811" s="17" t="str">
        <x:v>University of Colorado Boulder Department of Computer Science</x:v>
      </x:c>
      <x:c r="J811" s="17" t="str">
        <x:v>official</x:v>
      </x:c>
      <x:c r="K811" s="17" t="str">
        <x:v>2026-09-10</x:v>
      </x:c>
      <x:c r="L811" s="17" t="str">
        <x:v>Current page checked 2026-09-10</x:v>
      </x:c>
      <x:c r="M811" s="17" t="str">
        <x:v>high</x:v>
      </x:c>
      <x:c r="N811" s="17" t="str">
        <x:v>official page checked</x:v>
      </x:c>
      <x:c r="O811" s="17" t="str"/>
      <x:c r="P811" s="18" t="e">
        <x:f>HYPERLINK("https://www.colorado.edu/cs/graduate-admissions/faqs","Open source")</x:f>
        <x:v>HYPERLINK is not implemented. linkLocation=https://www.colorado.edu/cs/graduate-admissions/faqs, friendlyName=Open source</x:v>
      </x:c>
    </x:row>
    <x:row r="812" ht="46" customHeight="1">
      <x:c r="A812" s="17" t="str">
        <x:v>stage3src:ace729d53fd55f4d0121</x:v>
      </x:c>
      <x:c r="B812" s="17" t="str">
        <x:v>program</x:v>
      </x:c>
      <x:c r="C812" s="17" t="str">
        <x:v>University of Colorado Boulder</x:v>
      </x:c>
      <x:c r="D812" s="17" t="str">
        <x:v>us:ipeds:126614:program:phd:computer-science-phd</x:v>
      </x:c>
      <x:c r="E812" s="17" t="str"/>
      <x:c r="F812" s="17" t="str">
        <x:v>funding|fees</x:v>
      </x:c>
      <x:c r="G812" s="17" t="str">
        <x:v>All admitted PhD students receive TA or RA support covering tuition, fees, 91% health insurance, and academic-semester stipend; summer is excluded.</x:v>
      </x:c>
      <x:c r="H812" s="17" t="str">
        <x:v>Funding Opportunities</x:v>
      </x:c>
      <x:c r="I812" s="17" t="str">
        <x:v>University of Colorado Boulder Department of Computer Science</x:v>
      </x:c>
      <x:c r="J812" s="17" t="str">
        <x:v>official</x:v>
      </x:c>
      <x:c r="K812" s="17" t="str">
        <x:v>2026-09-10</x:v>
      </x:c>
      <x:c r="L812" s="17" t="str">
        <x:v>AY 2025-2026 stipend; current policy page</x:v>
      </x:c>
      <x:c r="M812" s="17" t="str">
        <x:v>high</x:v>
      </x:c>
      <x:c r="N812" s="17" t="str">
        <x:v>official page checked</x:v>
      </x:c>
      <x:c r="O812" s="17" t="str"/>
      <x:c r="P812" s="18" t="e">
        <x:f>HYPERLINK("https://www.colorado.edu/cs/admissions/graduate-admissions/funding-opportunities","Open source")</x:f>
        <x:v>HYPERLINK is not implemented. linkLocation=https://www.colorado.edu/cs/admissions/graduate-admissions/funding-opportunities, friendlyName=Open source</x:v>
      </x:c>
    </x:row>
    <x:row r="813" ht="46" customHeight="1">
      <x:c r="A813" s="17" t="str">
        <x:v>stage3src:c04db4e060870a0d3a9a</x:v>
      </x:c>
      <x:c r="B813" s="17" t="str">
        <x:v>program</x:v>
      </x:c>
      <x:c r="C813" s="17" t="str">
        <x:v>University of Colorado Boulder</x:v>
      </x:c>
      <x:c r="D813" s="17" t="str">
        <x:v>us:ipeds:126614:program:phd:computer-science-phd</x:v>
      </x:c>
      <x:c r="E813" s="17" t="str"/>
      <x:c r="F813" s="17" t="str">
        <x:v>program</x:v>
      </x:c>
      <x:c r="G813" s="17" t="str">
        <x:v>Current Computer Science doctoral research route.</x:v>
      </x:c>
      <x:c r="H813" s="17" t="str">
        <x:v>Doctor of Philosophy</x:v>
      </x:c>
      <x:c r="I813" s="17" t="str">
        <x:v>University of Colorado Boulder Department of Computer Science</x:v>
      </x:c>
      <x:c r="J813" s="17" t="str">
        <x:v>official</x:v>
      </x:c>
      <x:c r="K813" s="17" t="str">
        <x:v>2026-09-10</x:v>
      </x:c>
      <x:c r="L813" s="17" t="str">
        <x:v>Current page checked 2026-09-10</x:v>
      </x:c>
      <x:c r="M813" s="17" t="str">
        <x:v>high</x:v>
      </x:c>
      <x:c r="N813" s="17" t="str">
        <x:v>official page checked</x:v>
      </x:c>
      <x:c r="O813" s="17" t="str"/>
      <x:c r="P813" s="18" t="e">
        <x:f>HYPERLINK("https://www.colorado.edu/cs/academics/graduate-programs/doctor-philosophy","Open source")</x:f>
        <x:v>HYPERLINK is not implemented. linkLocation=https://www.colorado.edu/cs/academics/graduate-programs/doctor-philosophy, friendlyName=Open source</x:v>
      </x:c>
    </x:row>
    <x:row r="814" ht="46" customHeight="1">
      <x:c r="A814" s="17" t="str">
        <x:v>stage3src:c632238359da7c57f44a</x:v>
      </x:c>
      <x:c r="B814" s="17" t="str">
        <x:v>program</x:v>
      </x:c>
      <x:c r="C814" s="17" t="str">
        <x:v>University of Colorado Boulder</x:v>
      </x:c>
      <x:c r="D814" s="17" t="str">
        <x:v>us:ipeds:126614:program:phd:computer-science-phd</x:v>
      </x:c>
      <x:c r="E814" s="17" t="str"/>
      <x:c r="F814" s="17" t="str">
        <x:v>admissions|eligibility|language|deadline|fees</x:v>
      </x:c>
      <x:c r="G814" s="17" t="str">
        <x:v>Fall PhD deadline, international fee, application requirements, and Fall 2027 waiver limitations.</x:v>
      </x:c>
      <x:c r="H814" s="17" t="str">
        <x:v>How to Apply (PhD)</x:v>
      </x:c>
      <x:c r="I814" s="17" t="str">
        <x:v>University of Colorado Boulder Department of Computer Science</x:v>
      </x:c>
      <x:c r="J814" s="17" t="str">
        <x:v>official</x:v>
      </x:c>
      <x:c r="K814" s="17" t="str">
        <x:v>2026-09-10</x:v>
      </x:c>
      <x:c r="L814" s="17" t="str">
        <x:v>Fall 2027</x:v>
      </x:c>
      <x:c r="M814" s="17" t="str">
        <x:v>high</x:v>
      </x:c>
      <x:c r="N814" s="17" t="str">
        <x:v>official page checked</x:v>
      </x:c>
      <x:c r="O814" s="17" t="str"/>
      <x:c r="P814" s="18" t="e">
        <x:f>HYPERLINK("https://www.colorado.edu/cs/admissions/graduate-admissions/how-apply/how-applyphd","Open source")</x:f>
        <x:v>HYPERLINK is not implemented. linkLocation=https://www.colorado.edu/cs/admissions/graduate-admissions/how-apply/how-applyphd, friendlyName=Open source</x:v>
      </x:c>
    </x:row>
    <x:row r="815" ht="46" customHeight="1">
      <x:c r="A815" s="17" t="str">
        <x:v>stage3src:d259b5097efcee88a89a</x:v>
      </x:c>
      <x:c r="B815" s="17" t="str">
        <x:v>program</x:v>
      </x:c>
      <x:c r="C815" s="17" t="str">
        <x:v>University of Colorado Boulder</x:v>
      </x:c>
      <x:c r="D815" s="17" t="str">
        <x:v>us:ipeds:126614:program:unclear:ipeds-discovery-signal-artificial-intelligence-cip-11-0102</x:v>
      </x:c>
      <x:c r="E815" s="17" t="str"/>
      <x:c r="F815" s="17" t="str">
        <x:v>discovery</x:v>
      </x:c>
      <x:c r="G815" s="17" t="str">
        <x:v>Stage 2 recorded this row as a discovery candidate; it does not independently verify an exact current research program, eligibility, or funding.</x:v>
      </x:c>
      <x:c r="H815" s="17" t="str">
        <x:v>Pass 2 Stage 2 candidate funnel</x:v>
      </x:c>
      <x:c r="I815" s="17" t="str">
        <x:v>Graduate audit pipeline</x:v>
      </x:c>
      <x:c r="J815" s="17" t="str">
        <x:v>derived</x:v>
      </x:c>
      <x:c r="K815" s="17" t="str">
        <x:v>2026-09-11</x:v>
      </x:c>
      <x:c r="L815" s="17" t="str">
        <x:v>Not cycle-specific</x:v>
      </x:c>
      <x:c r="M815" s="17" t="str">
        <x:v>low</x:v>
      </x:c>
      <x:c r="N815" s="17" t="str">
        <x:v>Discovery evidence only</x:v>
      </x:c>
      <x:c r="O815" s="17" t="str">
        <x:v>Use the source_record_paths field to trace the underlying discovery inputs.</x:v>
      </x:c>
      <x:c r="P815" s="18" t="e">
        <x:f>HYPERLINK("https://www.colorado.edu","Open source")</x:f>
        <x:v>HYPERLINK is not implemented. linkLocation=https://www.colorado.edu, friendlyName=Open source</x:v>
      </x:c>
    </x:row>
    <x:row r="816" ht="46" customHeight="1">
      <x:c r="A816" s="17" t="str">
        <x:v>stage3src:197e8080e9a4ea290017</x:v>
      </x:c>
      <x:c r="B816" s="17" t="str">
        <x:v>program</x:v>
      </x:c>
      <x:c r="C816" s="17" t="str">
        <x:v>University of Colorado Boulder</x:v>
      </x:c>
      <x:c r="D816" s="17" t="str">
        <x:v>us:ipeds:126614:program:unclear:ipeds-discovery-signal-computer-science-cip-11-0701</x:v>
      </x:c>
      <x:c r="E816" s="17" t="str"/>
      <x:c r="F816" s="17" t="str">
        <x:v>discovery</x:v>
      </x:c>
      <x:c r="G816" s="17" t="str">
        <x:v>Stage 2 recorded this row as a discovery candidate; it does not independently verify an exact current research program, eligibility, or funding.</x:v>
      </x:c>
      <x:c r="H816" s="17" t="str">
        <x:v>Pass 2 Stage 2 candidate funnel</x:v>
      </x:c>
      <x:c r="I816" s="17" t="str">
        <x:v>Graduate audit pipeline</x:v>
      </x:c>
      <x:c r="J816" s="17" t="str">
        <x:v>derived</x:v>
      </x:c>
      <x:c r="K816" s="17" t="str">
        <x:v>2026-09-11</x:v>
      </x:c>
      <x:c r="L816" s="17" t="str">
        <x:v>Not cycle-specific</x:v>
      </x:c>
      <x:c r="M816" s="17" t="str">
        <x:v>low</x:v>
      </x:c>
      <x:c r="N816" s="17" t="str">
        <x:v>Discovery evidence only</x:v>
      </x:c>
      <x:c r="O816" s="17" t="str">
        <x:v>Use the source_record_paths field to trace the underlying discovery inputs.</x:v>
      </x:c>
      <x:c r="P816" s="18" t="e">
        <x:f>HYPERLINK("https://www.colorado.edu","Open source")</x:f>
        <x:v>HYPERLINK is not implemented. linkLocation=https://www.colorado.edu, friendlyName=Open source</x:v>
      </x:c>
    </x:row>
    <x:row r="817" ht="46" customHeight="1">
      <x:c r="A817" s="17" t="str">
        <x:v>stage3src:7364fade9eab022e1f5f</x:v>
      </x:c>
      <x:c r="B817" s="17" t="str">
        <x:v>program</x:v>
      </x:c>
      <x:c r="C817" s="17" t="str">
        <x:v>University of Colorado Boulder</x:v>
      </x:c>
      <x:c r="D817" s="17" t="str">
        <x:v>us:ipeds:126614:program:unclear:ipeds-discovery-signal-electrical-and-electronics-engineering-cip-14-1001</x:v>
      </x:c>
      <x:c r="E817" s="17" t="str"/>
      <x:c r="F817" s="17" t="str">
        <x:v>discovery</x:v>
      </x:c>
      <x:c r="G817" s="17" t="str">
        <x:v>Stage 2 recorded this row as a discovery candidate; it does not independently verify an exact current research program, eligibility, or funding.</x:v>
      </x:c>
      <x:c r="H817" s="17" t="str">
        <x:v>Pass 2 Stage 2 candidate funnel</x:v>
      </x:c>
      <x:c r="I817" s="17" t="str">
        <x:v>Graduate audit pipeline</x:v>
      </x:c>
      <x:c r="J817" s="17" t="str">
        <x:v>derived</x:v>
      </x:c>
      <x:c r="K817" s="17" t="str">
        <x:v>2026-09-11</x:v>
      </x:c>
      <x:c r="L817" s="17" t="str">
        <x:v>Not cycle-specific</x:v>
      </x:c>
      <x:c r="M817" s="17" t="str">
        <x:v>low</x:v>
      </x:c>
      <x:c r="N817" s="17" t="str">
        <x:v>Discovery evidence only</x:v>
      </x:c>
      <x:c r="O817" s="17" t="str">
        <x:v>Use the source_record_paths field to trace the underlying discovery inputs.</x:v>
      </x:c>
      <x:c r="P817" s="18" t="e">
        <x:f>HYPERLINK("https://www.colorado.edu","Open source")</x:f>
        <x:v>HYPERLINK is not implemented. linkLocation=https://www.colorado.edu, friendlyName=Open source</x:v>
      </x:c>
    </x:row>
    <x:row r="818" ht="46" customHeight="1">
      <x:c r="A818" s="17" t="str">
        <x:v>stage3src:bba9ddc4362983eb6976</x:v>
      </x:c>
      <x:c r="B818" s="17" t="str">
        <x:v>program</x:v>
      </x:c>
      <x:c r="C818" s="17" t="str">
        <x:v>University of Colorado Boulder</x:v>
      </x:c>
      <x:c r="D818" s="17" t="str">
        <x:v>us:ipeds:126614:program:unclear:ipeds-discovery-signal-information-science-studies-cip-11-0401</x:v>
      </x:c>
      <x:c r="E818" s="17" t="str"/>
      <x:c r="F818" s="17" t="str">
        <x:v>discovery</x:v>
      </x:c>
      <x:c r="G818" s="17" t="str">
        <x:v>Stage 2 recorded this row as a discovery candidate; it does not independently verify an exact current research program, eligibility, or funding.</x:v>
      </x:c>
      <x:c r="H818" s="17" t="str">
        <x:v>Pass 2 Stage 2 candidate funnel</x:v>
      </x:c>
      <x:c r="I818" s="17" t="str">
        <x:v>Graduate audit pipeline</x:v>
      </x:c>
      <x:c r="J818" s="17" t="str">
        <x:v>derived</x:v>
      </x:c>
      <x:c r="K818" s="17" t="str">
        <x:v>2026-09-11</x:v>
      </x:c>
      <x:c r="L818" s="17" t="str">
        <x:v>Not cycle-specific</x:v>
      </x:c>
      <x:c r="M818" s="17" t="str">
        <x:v>low</x:v>
      </x:c>
      <x:c r="N818" s="17" t="str">
        <x:v>Discovery evidence only</x:v>
      </x:c>
      <x:c r="O818" s="17" t="str">
        <x:v>Use the source_record_paths field to trace the underlying discovery inputs.</x:v>
      </x:c>
      <x:c r="P818" s="18" t="e">
        <x:f>HYPERLINK("https://www.colorado.edu","Open source")</x:f>
        <x:v>HYPERLINK is not implemented. linkLocation=https://www.colorado.edu, friendlyName=Open source</x:v>
      </x:c>
    </x:row>
    <x:row r="819" ht="46" customHeight="1">
      <x:c r="A819" s="17" t="str">
        <x:v>stage3src:9be1fc2ba942a8cbe906</x:v>
      </x:c>
      <x:c r="B819" s="17" t="str">
        <x:v>program</x:v>
      </x:c>
      <x:c r="C819" s="17" t="str">
        <x:v>University of Colorado Boulder</x:v>
      </x:c>
      <x:c r="D819" s="17" t="str">
        <x:v>us:ipeds:126614:program:unclear:ipeds-discovery-signal-mechatronics-robotics-and-automation-engineering-cip-14-4201</x:v>
      </x:c>
      <x:c r="E819" s="17" t="str"/>
      <x:c r="F819" s="17" t="str">
        <x:v>discovery</x:v>
      </x:c>
      <x:c r="G819" s="17" t="str">
        <x:v>Stage 2 recorded this row as a discovery candidate; it does not independently verify an exact current research program, eligibility, or funding.</x:v>
      </x:c>
      <x:c r="H819" s="17" t="str">
        <x:v>Pass 2 Stage 2 candidate funnel</x:v>
      </x:c>
      <x:c r="I819" s="17" t="str">
        <x:v>Graduate audit pipeline</x:v>
      </x:c>
      <x:c r="J819" s="17" t="str">
        <x:v>derived</x:v>
      </x:c>
      <x:c r="K819" s="17" t="str">
        <x:v>2026-09-11</x:v>
      </x:c>
      <x:c r="L819" s="17" t="str">
        <x:v>Not cycle-specific</x:v>
      </x:c>
      <x:c r="M819" s="17" t="str">
        <x:v>low</x:v>
      </x:c>
      <x:c r="N819" s="17" t="str">
        <x:v>Discovery evidence only</x:v>
      </x:c>
      <x:c r="O819" s="17" t="str">
        <x:v>Use the source_record_paths field to trace the underlying discovery inputs.</x:v>
      </x:c>
      <x:c r="P819" s="18" t="e">
        <x:f>HYPERLINK("https://www.colorado.edu","Open source")</x:f>
        <x:v>HYPERLINK is not implemented. linkLocation=https://www.colorado.edu, friendlyName=Open source</x:v>
      </x:c>
    </x:row>
    <x:row r="820" ht="46" customHeight="1">
      <x:c r="A820" s="17" t="str">
        <x:v>stage3src:2a98c35724c8db708321</x:v>
      </x:c>
      <x:c r="B820" s="17" t="str">
        <x:v>program</x:v>
      </x:c>
      <x:c r="C820" s="17" t="str">
        <x:v>Colorado Christian University</x:v>
      </x:c>
      <x:c r="D820" s="17" t="str">
        <x:v>us:ipeds:126669:program:unclear:ipeds-discovery-signal-computer-and-information-systems-security-auditing-information-assurance-cip-11-1003</x:v>
      </x:c>
      <x:c r="E820" s="17" t="str"/>
      <x:c r="F820" s="17" t="str">
        <x:v>discovery</x:v>
      </x:c>
      <x:c r="G820" s="17" t="str">
        <x:v>Stage 2 recorded this row as a discovery candidate; it does not independently verify an exact current research program, eligibility, or funding.</x:v>
      </x:c>
      <x:c r="H820" s="17" t="str">
        <x:v>Pass 2 Stage 2 candidate funnel</x:v>
      </x:c>
      <x:c r="I820" s="17" t="str">
        <x:v>Graduate audit pipeline</x:v>
      </x:c>
      <x:c r="J820" s="17" t="str">
        <x:v>derived</x:v>
      </x:c>
      <x:c r="K820" s="17" t="str">
        <x:v>2026-09-11</x:v>
      </x:c>
      <x:c r="L820" s="17" t="str">
        <x:v>Not cycle-specific</x:v>
      </x:c>
      <x:c r="M820" s="17" t="str">
        <x:v>low</x:v>
      </x:c>
      <x:c r="N820" s="17" t="str">
        <x:v>Discovery evidence only</x:v>
      </x:c>
      <x:c r="O820" s="17" t="str">
        <x:v>Use the source_record_paths field to trace the underlying discovery inputs.</x:v>
      </x:c>
      <x:c r="P820" s="18" t="e">
        <x:f>HYPERLINK("https://www.ccu.edu","Open source")</x:f>
        <x:v>HYPERLINK is not implemented. linkLocation=https://www.ccu.edu, friendlyName=Open source</x:v>
      </x:c>
    </x:row>
    <x:row r="821" ht="46" customHeight="1">
      <x:c r="A821" s="17" t="str">
        <x:v>stage3src:6b96e8238f426935fe79</x:v>
      </x:c>
      <x:c r="B821" s="17" t="str">
        <x:v>program</x:v>
      </x:c>
      <x:c r="C821" s="17" t="str">
        <x:v>Colorado School of Mines</x:v>
      </x:c>
      <x:c r="D821" s="17" t="str">
        <x:v>us:ipeds:126775:program:unclear:ipeds-discovery-signal-computer-science-cip-11-0701</x:v>
      </x:c>
      <x:c r="E821" s="17" t="str"/>
      <x:c r="F821" s="17" t="str">
        <x:v>discovery</x:v>
      </x:c>
      <x:c r="G821" s="17" t="str">
        <x:v>Stage 2 recorded this row as a discovery candidate; it does not independently verify an exact current research program, eligibility, or funding.</x:v>
      </x:c>
      <x:c r="H821" s="17" t="str">
        <x:v>Pass 2 Stage 2 candidate funnel</x:v>
      </x:c>
      <x:c r="I821" s="17" t="str">
        <x:v>Graduate audit pipeline</x:v>
      </x:c>
      <x:c r="J821" s="17" t="str">
        <x:v>derived</x:v>
      </x:c>
      <x:c r="K821" s="17" t="str">
        <x:v>2026-09-11</x:v>
      </x:c>
      <x:c r="L821" s="17" t="str">
        <x:v>Not cycle-specific</x:v>
      </x:c>
      <x:c r="M821" s="17" t="str">
        <x:v>low</x:v>
      </x:c>
      <x:c r="N821" s="17" t="str">
        <x:v>Discovery evidence only</x:v>
      </x:c>
      <x:c r="O821" s="17" t="str">
        <x:v>Use the source_record_paths field to trace the underlying discovery inputs.</x:v>
      </x:c>
      <x:c r="P821" s="18" t="e">
        <x:f>HYPERLINK("https://www.mines.edu","Open source")</x:f>
        <x:v>HYPERLINK is not implemented. linkLocation=https://www.mines.edu, friendlyName=Open source</x:v>
      </x:c>
    </x:row>
    <x:row r="822" ht="46" customHeight="1">
      <x:c r="A822" s="17" t="str">
        <x:v>stage3src:88f7122677e471eba416</x:v>
      </x:c>
      <x:c r="B822" s="17" t="str">
        <x:v>program</x:v>
      </x:c>
      <x:c r="C822" s="17" t="str">
        <x:v>Colorado School of Mines</x:v>
      </x:c>
      <x:c r="D822" s="17" t="str">
        <x:v>us:ipeds:126775:program:unclear:ipeds-discovery-signal-data-science-general-cip-30-7001</x:v>
      </x:c>
      <x:c r="E822" s="17" t="str"/>
      <x:c r="F822" s="17" t="str">
        <x:v>discovery</x:v>
      </x:c>
      <x:c r="G822" s="17" t="str">
        <x:v>Stage 2 recorded this row as a discovery candidate; it does not independently verify an exact current research program, eligibility, or funding.</x:v>
      </x:c>
      <x:c r="H822" s="17" t="str">
        <x:v>Pass 2 Stage 2 candidate funnel</x:v>
      </x:c>
      <x:c r="I822" s="17" t="str">
        <x:v>Graduate audit pipeline</x:v>
      </x:c>
      <x:c r="J822" s="17" t="str">
        <x:v>derived</x:v>
      </x:c>
      <x:c r="K822" s="17" t="str">
        <x:v>2026-09-11</x:v>
      </x:c>
      <x:c r="L822" s="17" t="str">
        <x:v>Not cycle-specific</x:v>
      </x:c>
      <x:c r="M822" s="17" t="str">
        <x:v>low</x:v>
      </x:c>
      <x:c r="N822" s="17" t="str">
        <x:v>Discovery evidence only</x:v>
      </x:c>
      <x:c r="O822" s="17" t="str">
        <x:v>Use the source_record_paths field to trace the underlying discovery inputs.</x:v>
      </x:c>
      <x:c r="P822" s="18" t="e">
        <x:f>HYPERLINK("https://www.mines.edu","Open source")</x:f>
        <x:v>HYPERLINK is not implemented. linkLocation=https://www.mines.edu, friendlyName=Open source</x:v>
      </x:c>
    </x:row>
    <x:row r="823" ht="46" customHeight="1">
      <x:c r="A823" s="17" t="str">
        <x:v>stage3src:dff816f24fe6c5d81daf</x:v>
      </x:c>
      <x:c r="B823" s="17" t="str">
        <x:v>program</x:v>
      </x:c>
      <x:c r="C823" s="17" t="str">
        <x:v>Colorado School of Mines</x:v>
      </x:c>
      <x:c r="D823" s="17" t="str">
        <x:v>us:ipeds:126775:program:unclear:ipeds-discovery-signal-electrical-and-electronics-engineering-cip-14-1001</x:v>
      </x:c>
      <x:c r="E823" s="17" t="str"/>
      <x:c r="F823" s="17" t="str">
        <x:v>discovery</x:v>
      </x:c>
      <x:c r="G823" s="17" t="str">
        <x:v>Stage 2 recorded this row as a discovery candidate; it does not independently verify an exact current research program, eligibility, or funding.</x:v>
      </x:c>
      <x:c r="H823" s="17" t="str">
        <x:v>Pass 2 Stage 2 candidate funnel</x:v>
      </x:c>
      <x:c r="I823" s="17" t="str">
        <x:v>Graduate audit pipeline</x:v>
      </x:c>
      <x:c r="J823" s="17" t="str">
        <x:v>derived</x:v>
      </x:c>
      <x:c r="K823" s="17" t="str">
        <x:v>2026-09-11</x:v>
      </x:c>
      <x:c r="L823" s="17" t="str">
        <x:v>Not cycle-specific</x:v>
      </x:c>
      <x:c r="M823" s="17" t="str">
        <x:v>low</x:v>
      </x:c>
      <x:c r="N823" s="17" t="str">
        <x:v>Discovery evidence only</x:v>
      </x:c>
      <x:c r="O823" s="17" t="str">
        <x:v>Use the source_record_paths field to trace the underlying discovery inputs.</x:v>
      </x:c>
      <x:c r="P823" s="18" t="e">
        <x:f>HYPERLINK("https://www.mines.edu","Open source")</x:f>
        <x:v>HYPERLINK is not implemented. linkLocation=https://www.mines.edu, friendlyName=Open source</x:v>
      </x:c>
    </x:row>
    <x:row r="824" ht="46" customHeight="1">
      <x:c r="A824" s="17" t="str">
        <x:v>stage3src:53062a0a210c7c06a0f4</x:v>
      </x:c>
      <x:c r="B824" s="17" t="str">
        <x:v>program</x:v>
      </x:c>
      <x:c r="C824" s="17" t="str">
        <x:v>Colorado School of Mines</x:v>
      </x:c>
      <x:c r="D824" s="17" t="str">
        <x:v>us:ipeds:126775:program:unclear:ipeds-discovery-signal-mechatronics-robotics-and-automation-engineering-cip-14-4201</x:v>
      </x:c>
      <x:c r="E824" s="17" t="str"/>
      <x:c r="F824" s="17" t="str">
        <x:v>discovery</x:v>
      </x:c>
      <x:c r="G824" s="17" t="str">
        <x:v>Stage 2 recorded this row as a discovery candidate; it does not independently verify an exact current research program, eligibility, or funding.</x:v>
      </x:c>
      <x:c r="H824" s="17" t="str">
        <x:v>Pass 2 Stage 2 candidate funnel</x:v>
      </x:c>
      <x:c r="I824" s="17" t="str">
        <x:v>Graduate audit pipeline</x:v>
      </x:c>
      <x:c r="J824" s="17" t="str">
        <x:v>derived</x:v>
      </x:c>
      <x:c r="K824" s="17" t="str">
        <x:v>2026-09-11</x:v>
      </x:c>
      <x:c r="L824" s="17" t="str">
        <x:v>Not cycle-specific</x:v>
      </x:c>
      <x:c r="M824" s="17" t="str">
        <x:v>low</x:v>
      </x:c>
      <x:c r="N824" s="17" t="str">
        <x:v>Discovery evidence only</x:v>
      </x:c>
      <x:c r="O824" s="17" t="str">
        <x:v>Use the source_record_paths field to trace the underlying discovery inputs.</x:v>
      </x:c>
      <x:c r="P824" s="18" t="e">
        <x:f>HYPERLINK("https://www.mines.edu","Open source")</x:f>
        <x:v>HYPERLINK is not implemented. linkLocation=https://www.mines.edu, friendlyName=Open source</x:v>
      </x:c>
    </x:row>
    <x:row r="825" ht="46" customHeight="1">
      <x:c r="A825" s="17" t="str">
        <x:v>stage3src:2c1192bdc0c80b0c93bd</x:v>
      </x:c>
      <x:c r="B825" s="17" t="str">
        <x:v>program</x:v>
      </x:c>
      <x:c r="C825" s="17" t="str">
        <x:v>Colorado State University-Fort Collins</x:v>
      </x:c>
      <x:c r="D825" s="17" t="str">
        <x:v>us:ipeds:126818:program:phd:computer-science-phd</x:v>
      </x:c>
      <x:c r="E825" s="17" t="str"/>
      <x:c r="F825" s="17" t="str">
        <x:v>admissions|fees</x:v>
      </x:c>
      <x:c r="G825" s="17" t="str">
        <x:v>Graduate application fee and limited central waiver categories.</x:v>
      </x:c>
      <x:c r="H825" s="17" t="str">
        <x:v>Graduate Admissions FAQ</x:v>
      </x:c>
      <x:c r="I825" s="17" t="str">
        <x:v>Colorado State University Graduate School</x:v>
      </x:c>
      <x:c r="J825" s="17" t="str">
        <x:v>official</x:v>
      </x:c>
      <x:c r="K825" s="17" t="str">
        <x:v>2026-09-10</x:v>
      </x:c>
      <x:c r="L825" s="17" t="str">
        <x:v>Current page checked 2026-09-10</x:v>
      </x:c>
      <x:c r="M825" s="17" t="str">
        <x:v>high</x:v>
      </x:c>
      <x:c r="N825" s="17" t="str">
        <x:v>Official indexed page checked; automated GET returned HTTP 403</x:v>
      </x:c>
      <x:c r="O825" s="17" t="str">
        <x:v>The official page was readable through indexed web evidence but blocked the independent automated URL check.</x:v>
      </x:c>
      <x:c r="P825" s="18" t="e">
        <x:f>HYPERLINK("https://graduateschool.colostate.edu/admissions-resources/frequently-asked-questions/","Open source")</x:f>
        <x:v>HYPERLINK is not implemented. linkLocation=https://graduateschool.colostate.edu/admissions-resources/frequently-asked-questions/, friendlyName=Open source</x:v>
      </x:c>
    </x:row>
    <x:row r="826" ht="46" customHeight="1">
      <x:c r="A826" s="17" t="str">
        <x:v>stage3src:3ec2a9ac2d69e231ea48</x:v>
      </x:c>
      <x:c r="B826" s="17" t="str">
        <x:v>program</x:v>
      </x:c>
      <x:c r="C826" s="17" t="str">
        <x:v>Colorado State University-Fort Collins</x:v>
      </x:c>
      <x:c r="D826" s="17" t="str">
        <x:v>us:ipeds:126818:program:phd:computer-science-phd</x:v>
      </x:c>
      <x:c r="E826" s="17" t="str"/>
      <x:c r="F826" s="17" t="str">
        <x:v>admissions|eligibility|language|deadline|funding</x:v>
      </x:c>
      <x:c r="G826" s="17" t="str">
        <x:v>Bachelor's route, GPA and coursework expectations, current deadlines, international requirements, and limited competitive PhD support.</x:v>
      </x:c>
      <x:c r="H826" s="17" t="str">
        <x:v>Graduate Application</x:v>
      </x:c>
      <x:c r="I826" s="17" t="str">
        <x:v>Colorado State University Department of Computer Science</x:v>
      </x:c>
      <x:c r="J826" s="17" t="str">
        <x:v>official</x:v>
      </x:c>
      <x:c r="K826" s="17" t="str">
        <x:v>2026-09-10</x:v>
      </x:c>
      <x:c r="L826" s="17" t="str">
        <x:v>Spring 2027 and latest Fall cycle</x:v>
      </x:c>
      <x:c r="M826" s="17" t="str">
        <x:v>high</x:v>
      </x:c>
      <x:c r="N826" s="17" t="str">
        <x:v>official page checked</x:v>
      </x:c>
      <x:c r="O826" s="17" t="str"/>
      <x:c r="P826" s="18" t="e">
        <x:f>HYPERLINK("https://compsci.colostate.edu/graduate-application/","Open source")</x:f>
        <x:v>HYPERLINK is not implemented. linkLocation=https://compsci.colostate.edu/graduate-application/, friendlyName=Open source</x:v>
      </x:c>
    </x:row>
    <x:row r="827" ht="46" customHeight="1">
      <x:c r="A827" s="17" t="str">
        <x:v>stage3src:dd7d6e907f878f561e4e</x:v>
      </x:c>
      <x:c r="B827" s="17" t="str">
        <x:v>program</x:v>
      </x:c>
      <x:c r="C827" s="17" t="str">
        <x:v>Colorado State University-Fort Collins</x:v>
      </x:c>
      <x:c r="D827" s="17" t="str">
        <x:v>us:ipeds:126818:program:phd:computer-science-phd</x:v>
      </x:c>
      <x:c r="E827" s="17" t="str"/>
      <x:c r="F827" s="17" t="str">
        <x:v>program</x:v>
      </x:c>
      <x:c r="G827" s="17" t="str">
        <x:v>Current Computer Science PhD and dissertation-based research route.</x:v>
      </x:c>
      <x:c r="H827" s="17" t="str">
        <x:v>Computer Science Ph.D.</x:v>
      </x:c>
      <x:c r="I827" s="17" t="str">
        <x:v>Colorado State University Graduate School</x:v>
      </x:c>
      <x:c r="J827" s="17" t="str">
        <x:v>official</x:v>
      </x:c>
      <x:c r="K827" s="17" t="str">
        <x:v>2026-09-10</x:v>
      </x:c>
      <x:c r="L827" s="17" t="str">
        <x:v>Current page checked 2026-09-10</x:v>
      </x:c>
      <x:c r="M827" s="17" t="str">
        <x:v>high</x:v>
      </x:c>
      <x:c r="N827" s="17" t="str">
        <x:v>Official indexed page checked; automated GET returned HTTP 403</x:v>
      </x:c>
      <x:c r="O827" s="17" t="str">
        <x:v>The official page was readable through indexed web evidence but blocked the independent automated URL check.</x:v>
      </x:c>
      <x:c r="P827" s="18" t="e">
        <x:f>HYPERLINK("https://graduateschool.colostate.edu/programs/computer-science-phd/","Open source")</x:f>
        <x:v>HYPERLINK is not implemented. linkLocation=https://graduateschool.colostate.edu/programs/computer-science-phd/, friendlyName=Open source</x:v>
      </x:c>
    </x:row>
    <x:row r="828" ht="46" customHeight="1">
      <x:c r="A828" s="17" t="str">
        <x:v>stage3src:7b0d82e745c299cbdb20</x:v>
      </x:c>
      <x:c r="B828" s="17" t="str">
        <x:v>program</x:v>
      </x:c>
      <x:c r="C828" s="17" t="str">
        <x:v>Colorado State University-Fort Collins</x:v>
      </x:c>
      <x:c r="D828" s="17" t="str">
        <x:v>us:ipeds:126818:program:unclear:ipeds-discovery-signal-computer-and-information-sciences-general-cip-11-0101</x:v>
      </x:c>
      <x:c r="E828" s="17" t="str"/>
      <x:c r="F828" s="17" t="str">
        <x:v>discovery</x:v>
      </x:c>
      <x:c r="G828" s="17" t="str">
        <x:v>Stage 2 recorded this row as a discovery candidate; it does not independently verify an exact current research program, eligibility, or funding.</x:v>
      </x:c>
      <x:c r="H828" s="17" t="str">
        <x:v>Pass 2 Stage 2 candidate funnel</x:v>
      </x:c>
      <x:c r="I828" s="17" t="str">
        <x:v>Graduate audit pipeline</x:v>
      </x:c>
      <x:c r="J828" s="17" t="str">
        <x:v>derived</x:v>
      </x:c>
      <x:c r="K828" s="17" t="str">
        <x:v>2026-09-11</x:v>
      </x:c>
      <x:c r="L828" s="17" t="str">
        <x:v>Not cycle-specific</x:v>
      </x:c>
      <x:c r="M828" s="17" t="str">
        <x:v>low</x:v>
      </x:c>
      <x:c r="N828" s="17" t="str">
        <x:v>Discovery evidence only</x:v>
      </x:c>
      <x:c r="O828" s="17" t="str">
        <x:v>Use the source_record_paths field to trace the underlying discovery inputs.</x:v>
      </x:c>
      <x:c r="P828" s="18" t="e">
        <x:f>HYPERLINK("https://colostate.edu","Open source")</x:f>
        <x:v>HYPERLINK is not implemented. linkLocation=https://colostate.edu, friendlyName=Open source</x:v>
      </x:c>
    </x:row>
    <x:row r="829" ht="46" customHeight="1">
      <x:c r="A829" s="17" t="str">
        <x:v>stage3src:244ea7bf58952de59742</x:v>
      </x:c>
      <x:c r="B829" s="17" t="str">
        <x:v>program</x:v>
      </x:c>
      <x:c r="C829" s="17" t="str">
        <x:v>Colorado State University-Fort Collins</x:v>
      </x:c>
      <x:c r="D829" s="17" t="str">
        <x:v>us:ipeds:126818:program:unclear:ipeds-discovery-signal-computer-engineering-general-cip-14-0901</x:v>
      </x:c>
      <x:c r="E829" s="17" t="str"/>
      <x:c r="F829" s="17" t="str">
        <x:v>discovery</x:v>
      </x:c>
      <x:c r="G829" s="17" t="str">
        <x:v>Stage 2 recorded this row as a discovery candidate; it does not independently verify an exact current research program, eligibility, or funding.</x:v>
      </x:c>
      <x:c r="H829" s="17" t="str">
        <x:v>Pass 2 Stage 2 candidate funnel</x:v>
      </x:c>
      <x:c r="I829" s="17" t="str">
        <x:v>Graduate audit pipeline</x:v>
      </x:c>
      <x:c r="J829" s="17" t="str">
        <x:v>derived</x:v>
      </x:c>
      <x:c r="K829" s="17" t="str">
        <x:v>2026-09-11</x:v>
      </x:c>
      <x:c r="L829" s="17" t="str">
        <x:v>Not cycle-specific</x:v>
      </x:c>
      <x:c r="M829" s="17" t="str">
        <x:v>low</x:v>
      </x:c>
      <x:c r="N829" s="17" t="str">
        <x:v>Discovery evidence only</x:v>
      </x:c>
      <x:c r="O829" s="17" t="str">
        <x:v>Use the source_record_paths field to trace the underlying discovery inputs.</x:v>
      </x:c>
      <x:c r="P829" s="18" t="e">
        <x:f>HYPERLINK("https://colostate.edu","Open source")</x:f>
        <x:v>HYPERLINK is not implemented. linkLocation=https://colostate.edu, friendlyName=Open source</x:v>
      </x:c>
    </x:row>
    <x:row r="830" ht="46" customHeight="1">
      <x:c r="A830" s="17" t="str">
        <x:v>stage3src:1c04ee8d96d56b6b7572</x:v>
      </x:c>
      <x:c r="B830" s="17" t="str">
        <x:v>program</x:v>
      </x:c>
      <x:c r="C830" s="17" t="str">
        <x:v>Colorado State University-Fort Collins</x:v>
      </x:c>
      <x:c r="D830" s="17" t="str">
        <x:v>us:ipeds:126818:program:unclear:ipeds-discovery-signal-electrical-and-electronics-engineering-cip-14-1001</x:v>
      </x:c>
      <x:c r="E830" s="17" t="str"/>
      <x:c r="F830" s="17" t="str">
        <x:v>discovery</x:v>
      </x:c>
      <x:c r="G830" s="17" t="str">
        <x:v>Stage 2 recorded this row as a discovery candidate; it does not independently verify an exact current research program, eligibility, or funding.</x:v>
      </x:c>
      <x:c r="H830" s="17" t="str">
        <x:v>Pass 2 Stage 2 candidate funnel</x:v>
      </x:c>
      <x:c r="I830" s="17" t="str">
        <x:v>Graduate audit pipeline</x:v>
      </x:c>
      <x:c r="J830" s="17" t="str">
        <x:v>derived</x:v>
      </x:c>
      <x:c r="K830" s="17" t="str">
        <x:v>2026-09-11</x:v>
      </x:c>
      <x:c r="L830" s="17" t="str">
        <x:v>Not cycle-specific</x:v>
      </x:c>
      <x:c r="M830" s="17" t="str">
        <x:v>low</x:v>
      </x:c>
      <x:c r="N830" s="17" t="str">
        <x:v>Discovery evidence only</x:v>
      </x:c>
      <x:c r="O830" s="17" t="str">
        <x:v>Use the source_record_paths field to trace the underlying discovery inputs.</x:v>
      </x:c>
      <x:c r="P830" s="18" t="e">
        <x:f>HYPERLINK("https://colostate.edu","Open source")</x:f>
        <x:v>HYPERLINK is not implemented. linkLocation=https://colostate.edu, friendlyName=Open source</x:v>
      </x:c>
    </x:row>
    <x:row r="831" ht="46" customHeight="1">
      <x:c r="A831" s="17" t="str">
        <x:v>stage3src:63df08223ad312dd7a24</x:v>
      </x:c>
      <x:c r="B831" s="17" t="str">
        <x:v>program</x:v>
      </x:c>
      <x:c r="C831" s="17" t="str">
        <x:v>Colorado State University-Fort Collins</x:v>
      </x:c>
      <x:c r="D831" s="17" t="str">
        <x:v>us:ipeds:126818:program:unclear:ipeds-discovery-signal-information-science-studies-cip-11-0401</x:v>
      </x:c>
      <x:c r="E831" s="17" t="str"/>
      <x:c r="F831" s="17" t="str">
        <x:v>discovery</x:v>
      </x:c>
      <x:c r="G831" s="17" t="str">
        <x:v>Stage 2 recorded this row as a discovery candidate; it does not independently verify an exact current research program, eligibility, or funding.</x:v>
      </x:c>
      <x:c r="H831" s="17" t="str">
        <x:v>Pass 2 Stage 2 candidate funnel</x:v>
      </x:c>
      <x:c r="I831" s="17" t="str">
        <x:v>Graduate audit pipeline</x:v>
      </x:c>
      <x:c r="J831" s="17" t="str">
        <x:v>derived</x:v>
      </x:c>
      <x:c r="K831" s="17" t="str">
        <x:v>2026-09-11</x:v>
      </x:c>
      <x:c r="L831" s="17" t="str">
        <x:v>Not cycle-specific</x:v>
      </x:c>
      <x:c r="M831" s="17" t="str">
        <x:v>low</x:v>
      </x:c>
      <x:c r="N831" s="17" t="str">
        <x:v>Discovery evidence only</x:v>
      </x:c>
      <x:c r="O831" s="17" t="str">
        <x:v>Use the source_record_paths field to trace the underlying discovery inputs.</x:v>
      </x:c>
      <x:c r="P831" s="18" t="e">
        <x:f>HYPERLINK("https://colostate.edu","Open source")</x:f>
        <x:v>HYPERLINK is not implemented. linkLocation=https://colostate.edu, friendlyName=Open source</x:v>
      </x:c>
    </x:row>
    <x:row r="832" ht="46" customHeight="1">
      <x:c r="A832" s="17" t="str">
        <x:v>stage3src:e83ea56e25ccde3cf9aa</x:v>
      </x:c>
      <x:c r="B832" s="17" t="str">
        <x:v>program</x:v>
      </x:c>
      <x:c r="C832" s="17" t="str">
        <x:v>Colorado Technical University-Colorado Springs</x:v>
      </x:c>
      <x:c r="D832" s="17" t="str">
        <x:v>us:ipeds:126827:program:unclear:ipeds-discovery-signal-computer-and-information-systems-security-auditing-information-assurance-cip-11-1003</x:v>
      </x:c>
      <x:c r="E832" s="17" t="str"/>
      <x:c r="F832" s="17" t="str">
        <x:v>discovery</x:v>
      </x:c>
      <x:c r="G832" s="17" t="str">
        <x:v>Stage 2 recorded this row as a discovery candidate; it does not independently verify an exact current research program, eligibility, or funding.</x:v>
      </x:c>
      <x:c r="H832" s="17" t="str">
        <x:v>Pass 2 Stage 2 candidate funnel</x:v>
      </x:c>
      <x:c r="I832" s="17" t="str">
        <x:v>Graduate audit pipeline</x:v>
      </x:c>
      <x:c r="J832" s="17" t="str">
        <x:v>derived</x:v>
      </x:c>
      <x:c r="K832" s="17" t="str">
        <x:v>2026-09-11</x:v>
      </x:c>
      <x:c r="L832" s="17" t="str">
        <x:v>Not cycle-specific</x:v>
      </x:c>
      <x:c r="M832" s="17" t="str">
        <x:v>low</x:v>
      </x:c>
      <x:c r="N832" s="17" t="str">
        <x:v>Discovery evidence only</x:v>
      </x:c>
      <x:c r="O832" s="17" t="str">
        <x:v>Use the source_record_paths field to trace the underlying discovery inputs.</x:v>
      </x:c>
      <x:c r="P832" s="18" t="e">
        <x:f>HYPERLINK("https://www.coloradotech.edu/Colorado-Springs","Open source")</x:f>
        <x:v>HYPERLINK is not implemented. linkLocation=https://www.coloradotech.edu/Colorado-Springs, friendlyName=Open source</x:v>
      </x:c>
    </x:row>
    <x:row r="833" ht="46" customHeight="1">
      <x:c r="A833" s="17" t="str">
        <x:v>stage3src:0b4ba8905ce687df58ac</x:v>
      </x:c>
      <x:c r="B833" s="17" t="str">
        <x:v>program</x:v>
      </x:c>
      <x:c r="C833" s="17" t="str">
        <x:v>Colorado Technical University-Colorado Springs</x:v>
      </x:c>
      <x:c r="D833" s="17" t="str">
        <x:v>us:ipeds:126827:program:unclear:ipeds-discovery-signal-computer-engineering-general-cip-14-0901</x:v>
      </x:c>
      <x:c r="E833" s="17" t="str"/>
      <x:c r="F833" s="17" t="str">
        <x:v>discovery</x:v>
      </x:c>
      <x:c r="G833" s="17" t="str">
        <x:v>Stage 2 recorded this row as a discovery candidate; it does not independently verify an exact current research program, eligibility, or funding.</x:v>
      </x:c>
      <x:c r="H833" s="17" t="str">
        <x:v>Pass 2 Stage 2 candidate funnel</x:v>
      </x:c>
      <x:c r="I833" s="17" t="str">
        <x:v>Graduate audit pipeline</x:v>
      </x:c>
      <x:c r="J833" s="17" t="str">
        <x:v>derived</x:v>
      </x:c>
      <x:c r="K833" s="17" t="str">
        <x:v>2026-09-11</x:v>
      </x:c>
      <x:c r="L833" s="17" t="str">
        <x:v>Not cycle-specific</x:v>
      </x:c>
      <x:c r="M833" s="17" t="str">
        <x:v>low</x:v>
      </x:c>
      <x:c r="N833" s="17" t="str">
        <x:v>Discovery evidence only</x:v>
      </x:c>
      <x:c r="O833" s="17" t="str">
        <x:v>Use the source_record_paths field to trace the underlying discovery inputs.</x:v>
      </x:c>
      <x:c r="P833" s="18" t="e">
        <x:f>HYPERLINK("https://www.coloradotech.edu/Colorado-Springs","Open source")</x:f>
        <x:v>HYPERLINK is not implemented. linkLocation=https://www.coloradotech.edu/Colorado-Springs, friendlyName=Open source</x:v>
      </x:c>
    </x:row>
    <x:row r="834" ht="46" customHeight="1">
      <x:c r="A834" s="17" t="str">
        <x:v>stage3src:8ef759dcd7da0ef9d88f</x:v>
      </x:c>
      <x:c r="B834" s="17" t="str">
        <x:v>program</x:v>
      </x:c>
      <x:c r="C834" s="17" t="str">
        <x:v>Colorado Technical University-Colorado Springs</x:v>
      </x:c>
      <x:c r="D834" s="17" t="str">
        <x:v>us:ipeds:126827:program:unclear:ipeds-discovery-signal-computer-science-cip-11-0701</x:v>
      </x:c>
      <x:c r="E834" s="17" t="str"/>
      <x:c r="F834" s="17" t="str">
        <x:v>discovery</x:v>
      </x:c>
      <x:c r="G834" s="17" t="str">
        <x:v>Stage 2 recorded this row as a discovery candidate; it does not independently verify an exact current research program, eligibility, or funding.</x:v>
      </x:c>
      <x:c r="H834" s="17" t="str">
        <x:v>Pass 2 Stage 2 candidate funnel</x:v>
      </x:c>
      <x:c r="I834" s="17" t="str">
        <x:v>Graduate audit pipeline</x:v>
      </x:c>
      <x:c r="J834" s="17" t="str">
        <x:v>derived</x:v>
      </x:c>
      <x:c r="K834" s="17" t="str">
        <x:v>2026-09-11</x:v>
      </x:c>
      <x:c r="L834" s="17" t="str">
        <x:v>Not cycle-specific</x:v>
      </x:c>
      <x:c r="M834" s="17" t="str">
        <x:v>low</x:v>
      </x:c>
      <x:c r="N834" s="17" t="str">
        <x:v>Discovery evidence only</x:v>
      </x:c>
      <x:c r="O834" s="17" t="str">
        <x:v>Use the source_record_paths field to trace the underlying discovery inputs.</x:v>
      </x:c>
      <x:c r="P834" s="18" t="e">
        <x:f>HYPERLINK("https://www.coloradotech.edu/Colorado-Springs","Open source")</x:f>
        <x:v>HYPERLINK is not implemented. linkLocation=https://www.coloradotech.edu/Colorado-Springs, friendlyName=Open source</x:v>
      </x:c>
    </x:row>
    <x:row r="835" ht="46" customHeight="1">
      <x:c r="A835" s="17" t="str">
        <x:v>stage3src:ae65c80830e5f31fcda8</x:v>
      </x:c>
      <x:c r="B835" s="17" t="str">
        <x:v>program</x:v>
      </x:c>
      <x:c r="C835" s="17" t="str">
        <x:v>Colorado Technical University-Colorado Springs</x:v>
      </x:c>
      <x:c r="D835" s="17" t="str">
        <x:v>us:ipeds:126827:program:unclear:ipeds-discovery-signal-information-technology-cip-11-0103</x:v>
      </x:c>
      <x:c r="E835" s="17" t="str"/>
      <x:c r="F835" s="17" t="str">
        <x:v>discovery</x:v>
      </x:c>
      <x:c r="G835" s="17" t="str">
        <x:v>Stage 2 recorded this row as a discovery candidate; it does not independently verify an exact current research program, eligibility, or funding.</x:v>
      </x:c>
      <x:c r="H835" s="17" t="str">
        <x:v>Pass 2 Stage 2 candidate funnel</x:v>
      </x:c>
      <x:c r="I835" s="17" t="str">
        <x:v>Graduate audit pipeline</x:v>
      </x:c>
      <x:c r="J835" s="17" t="str">
        <x:v>derived</x:v>
      </x:c>
      <x:c r="K835" s="17" t="str">
        <x:v>2026-09-11</x:v>
      </x:c>
      <x:c r="L835" s="17" t="str">
        <x:v>Not cycle-specific</x:v>
      </x:c>
      <x:c r="M835" s="17" t="str">
        <x:v>low</x:v>
      </x:c>
      <x:c r="N835" s="17" t="str">
        <x:v>Discovery evidence only</x:v>
      </x:c>
      <x:c r="O835" s="17" t="str">
        <x:v>Use the source_record_paths field to trace the underlying discovery inputs.</x:v>
      </x:c>
      <x:c r="P835" s="18" t="e">
        <x:f>HYPERLINK("https://www.coloradotech.edu/Colorado-Springs","Open source")</x:f>
        <x:v>HYPERLINK is not implemented. linkLocation=https://www.coloradotech.edu/Colorado-Springs, friendlyName=Open source</x:v>
      </x:c>
    </x:row>
    <x:row r="836" ht="46" customHeight="1">
      <x:c r="A836" s="17" t="str">
        <x:v>stage3src:69d1ad177ccff3f6a7aa</x:v>
      </x:c>
      <x:c r="B836" s="17" t="str">
        <x:v>program</x:v>
      </x:c>
      <x:c r="C836" s="17" t="str">
        <x:v>University of Denver</x:v>
      </x:c>
      <x:c r="D836" s="17" t="str">
        <x:v>us:ipeds:127060:program:unclear:ipeds-discovery-signal-computer-and-information-systems-security-auditing-information-assurance-cip-11-1003</x:v>
      </x:c>
      <x:c r="E836" s="17" t="str"/>
      <x:c r="F836" s="17" t="str">
        <x:v>discovery</x:v>
      </x:c>
      <x:c r="G836" s="17" t="str">
        <x:v>Stage 2 recorded this row as a discovery candidate; it does not independently verify an exact current research program, eligibility, or funding.</x:v>
      </x:c>
      <x:c r="H836" s="17" t="str">
        <x:v>Pass 2 Stage 2 candidate funnel</x:v>
      </x:c>
      <x:c r="I836" s="17" t="str">
        <x:v>Graduate audit pipeline</x:v>
      </x:c>
      <x:c r="J836" s="17" t="str">
        <x:v>derived</x:v>
      </x:c>
      <x:c r="K836" s="17" t="str">
        <x:v>2026-09-11</x:v>
      </x:c>
      <x:c r="L836" s="17" t="str">
        <x:v>Not cycle-specific</x:v>
      </x:c>
      <x:c r="M836" s="17" t="str">
        <x:v>low</x:v>
      </x:c>
      <x:c r="N836" s="17" t="str">
        <x:v>Discovery evidence only</x:v>
      </x:c>
      <x:c r="O836" s="17" t="str">
        <x:v>Use the source_record_paths field to trace the underlying discovery inputs.</x:v>
      </x:c>
      <x:c r="P836" s="18" t="e">
        <x:f>HYPERLINK("https://www.du.edu","Open source")</x:f>
        <x:v>HYPERLINK is not implemented. linkLocation=https://www.du.edu, friendlyName=Open source</x:v>
      </x:c>
    </x:row>
    <x:row r="837" ht="46" customHeight="1">
      <x:c r="A837" s="17" t="str">
        <x:v>stage3src:2249c81770f8cbf113d6</x:v>
      </x:c>
      <x:c r="B837" s="17" t="str">
        <x:v>program</x:v>
      </x:c>
      <x:c r="C837" s="17" t="str">
        <x:v>University of Denver</x:v>
      </x:c>
      <x:c r="D837" s="17" t="str">
        <x:v>us:ipeds:127060:program:unclear:ipeds-discovery-signal-computer-engineering-general-cip-14-0901</x:v>
      </x:c>
      <x:c r="E837" s="17" t="str"/>
      <x:c r="F837" s="17" t="str">
        <x:v>discovery</x:v>
      </x:c>
      <x:c r="G837" s="17" t="str">
        <x:v>Stage 2 recorded this row as a discovery candidate; it does not independently verify an exact current research program, eligibility, or funding.</x:v>
      </x:c>
      <x:c r="H837" s="17" t="str">
        <x:v>Pass 2 Stage 2 candidate funnel</x:v>
      </x:c>
      <x:c r="I837" s="17" t="str">
        <x:v>Graduate audit pipeline</x:v>
      </x:c>
      <x:c r="J837" s="17" t="str">
        <x:v>derived</x:v>
      </x:c>
      <x:c r="K837" s="17" t="str">
        <x:v>2026-09-11</x:v>
      </x:c>
      <x:c r="L837" s="17" t="str">
        <x:v>Not cycle-specific</x:v>
      </x:c>
      <x:c r="M837" s="17" t="str">
        <x:v>low</x:v>
      </x:c>
      <x:c r="N837" s="17" t="str">
        <x:v>Discovery evidence only</x:v>
      </x:c>
      <x:c r="O837" s="17" t="str">
        <x:v>Use the source_record_paths field to trace the underlying discovery inputs.</x:v>
      </x:c>
      <x:c r="P837" s="18" t="e">
        <x:f>HYPERLINK("https://www.du.edu","Open source")</x:f>
        <x:v>HYPERLINK is not implemented. linkLocation=https://www.du.edu, friendlyName=Open source</x:v>
      </x:c>
    </x:row>
    <x:row r="838" ht="46" customHeight="1">
      <x:c r="A838" s="17" t="str">
        <x:v>stage3src:eed2bd3fc8fa0d955ffc</x:v>
      </x:c>
      <x:c r="B838" s="17" t="str">
        <x:v>program</x:v>
      </x:c>
      <x:c r="C838" s="17" t="str">
        <x:v>University of Denver</x:v>
      </x:c>
      <x:c r="D838" s="17" t="str">
        <x:v>us:ipeds:127060:program:unclear:ipeds-discovery-signal-computer-science-cip-11-0701</x:v>
      </x:c>
      <x:c r="E838" s="17" t="str"/>
      <x:c r="F838" s="17" t="str">
        <x:v>discovery</x:v>
      </x:c>
      <x:c r="G838" s="17" t="str">
        <x:v>Stage 2 recorded this row as a discovery candidate; it does not independently verify an exact current research program, eligibility, or funding.</x:v>
      </x:c>
      <x:c r="H838" s="17" t="str">
        <x:v>Pass 2 Stage 2 candidate funnel</x:v>
      </x:c>
      <x:c r="I838" s="17" t="str">
        <x:v>Graduate audit pipeline</x:v>
      </x:c>
      <x:c r="J838" s="17" t="str">
        <x:v>derived</x:v>
      </x:c>
      <x:c r="K838" s="17" t="str">
        <x:v>2026-09-11</x:v>
      </x:c>
      <x:c r="L838" s="17" t="str">
        <x:v>Not cycle-specific</x:v>
      </x:c>
      <x:c r="M838" s="17" t="str">
        <x:v>low</x:v>
      </x:c>
      <x:c r="N838" s="17" t="str">
        <x:v>Discovery evidence only</x:v>
      </x:c>
      <x:c r="O838" s="17" t="str">
        <x:v>Use the source_record_paths field to trace the underlying discovery inputs.</x:v>
      </x:c>
      <x:c r="P838" s="18" t="e">
        <x:f>HYPERLINK("https://www.du.edu","Open source")</x:f>
        <x:v>HYPERLINK is not implemented. linkLocation=https://www.du.edu, friendlyName=Open source</x:v>
      </x:c>
    </x:row>
    <x:row r="839" ht="46" customHeight="1">
      <x:c r="A839" s="17" t="str">
        <x:v>stage3src:2707fdcd8ca11dff6dd8</x:v>
      </x:c>
      <x:c r="B839" s="17" t="str">
        <x:v>program</x:v>
      </x:c>
      <x:c r="C839" s="17" t="str">
        <x:v>University of Denver</x:v>
      </x:c>
      <x:c r="D839" s="17" t="str">
        <x:v>us:ipeds:127060:program:unclear:ipeds-discovery-signal-electrical-and-electronics-engineering-cip-14-1001</x:v>
      </x:c>
      <x:c r="E839" s="17" t="str"/>
      <x:c r="F839" s="17" t="str">
        <x:v>discovery</x:v>
      </x:c>
      <x:c r="G839" s="17" t="str">
        <x:v>Stage 2 recorded this row as a discovery candidate; it does not independently verify an exact current research program, eligibility, or funding.</x:v>
      </x:c>
      <x:c r="H839" s="17" t="str">
        <x:v>Pass 2 Stage 2 candidate funnel</x:v>
      </x:c>
      <x:c r="I839" s="17" t="str">
        <x:v>Graduate audit pipeline</x:v>
      </x:c>
      <x:c r="J839" s="17" t="str">
        <x:v>derived</x:v>
      </x:c>
      <x:c r="K839" s="17" t="str">
        <x:v>2026-09-11</x:v>
      </x:c>
      <x:c r="L839" s="17" t="str">
        <x:v>Not cycle-specific</x:v>
      </x:c>
      <x:c r="M839" s="17" t="str">
        <x:v>low</x:v>
      </x:c>
      <x:c r="N839" s="17" t="str">
        <x:v>Discovery evidence only</x:v>
      </x:c>
      <x:c r="O839" s="17" t="str">
        <x:v>Use the source_record_paths field to trace the underlying discovery inputs.</x:v>
      </x:c>
      <x:c r="P839" s="18" t="e">
        <x:f>HYPERLINK("https://www.du.edu","Open source")</x:f>
        <x:v>HYPERLINK is not implemented. linkLocation=https://www.du.edu, friendlyName=Open source</x:v>
      </x:c>
    </x:row>
    <x:row r="840" ht="46" customHeight="1">
      <x:c r="A840" s="17" t="str">
        <x:v>stage3src:a4b1160497eefc3ef55d</x:v>
      </x:c>
      <x:c r="B840" s="17" t="str">
        <x:v>program</x:v>
      </x:c>
      <x:c r="C840" s="17" t="str">
        <x:v>University of Denver</x:v>
      </x:c>
      <x:c r="D840" s="17" t="str">
        <x:v>us:ipeds:127060:program:unclear:ipeds-discovery-signal-information-science-studies-cip-11-0401</x:v>
      </x:c>
      <x:c r="E840" s="17" t="str"/>
      <x:c r="F840" s="17" t="str">
        <x:v>discovery</x:v>
      </x:c>
      <x:c r="G840" s="17" t="str">
        <x:v>Stage 2 recorded this row as a discovery candidate; it does not independently verify an exact current research program, eligibility, or funding.</x:v>
      </x:c>
      <x:c r="H840" s="17" t="str">
        <x:v>Pass 2 Stage 2 candidate funnel</x:v>
      </x:c>
      <x:c r="I840" s="17" t="str">
        <x:v>Graduate audit pipeline</x:v>
      </x:c>
      <x:c r="J840" s="17" t="str">
        <x:v>derived</x:v>
      </x:c>
      <x:c r="K840" s="17" t="str">
        <x:v>2026-09-11</x:v>
      </x:c>
      <x:c r="L840" s="17" t="str">
        <x:v>Not cycle-specific</x:v>
      </x:c>
      <x:c r="M840" s="17" t="str">
        <x:v>low</x:v>
      </x:c>
      <x:c r="N840" s="17" t="str">
        <x:v>Discovery evidence only</x:v>
      </x:c>
      <x:c r="O840" s="17" t="str">
        <x:v>Use the source_record_paths field to trace the underlying discovery inputs.</x:v>
      </x:c>
      <x:c r="P840" s="18" t="e">
        <x:f>HYPERLINK("https://www.du.edu","Open source")</x:f>
        <x:v>HYPERLINK is not implemented. linkLocation=https://www.du.edu, friendlyName=Open source</x:v>
      </x:c>
    </x:row>
    <x:row r="841" ht="46" customHeight="1">
      <x:c r="A841" s="17" t="str">
        <x:v>stage3src:3f837e9f31b0ab17579f</x:v>
      </x:c>
      <x:c r="B841" s="17" t="str">
        <x:v>program</x:v>
      </x:c>
      <x:c r="C841" s="17" t="str">
        <x:v>University of Denver</x:v>
      </x:c>
      <x:c r="D841" s="17" t="str">
        <x:v>us:ipeds:127060:program:unclear:ipeds-discovery-signal-information-technology-cip-11-0103</x:v>
      </x:c>
      <x:c r="E841" s="17" t="str"/>
      <x:c r="F841" s="17" t="str">
        <x:v>discovery</x:v>
      </x:c>
      <x:c r="G841" s="17" t="str">
        <x:v>Stage 2 recorded this row as a discovery candidate; it does not independently verify an exact current research program, eligibility, or funding.</x:v>
      </x:c>
      <x:c r="H841" s="17" t="str">
        <x:v>Pass 2 Stage 2 candidate funnel</x:v>
      </x:c>
      <x:c r="I841" s="17" t="str">
        <x:v>Graduate audit pipeline</x:v>
      </x:c>
      <x:c r="J841" s="17" t="str">
        <x:v>derived</x:v>
      </x:c>
      <x:c r="K841" s="17" t="str">
        <x:v>2026-09-11</x:v>
      </x:c>
      <x:c r="L841" s="17" t="str">
        <x:v>Not cycle-specific</x:v>
      </x:c>
      <x:c r="M841" s="17" t="str">
        <x:v>low</x:v>
      </x:c>
      <x:c r="N841" s="17" t="str">
        <x:v>Discovery evidence only</x:v>
      </x:c>
      <x:c r="O841" s="17" t="str">
        <x:v>Use the source_record_paths field to trace the underlying discovery inputs.</x:v>
      </x:c>
      <x:c r="P841" s="18" t="e">
        <x:f>HYPERLINK("https://www.du.edu","Open source")</x:f>
        <x:v>HYPERLINK is not implemented. linkLocation=https://www.du.edu, friendlyName=Open source</x:v>
      </x:c>
    </x:row>
    <x:row r="842" ht="46" customHeight="1">
      <x:c r="A842" s="17" t="str">
        <x:v>stage3src:95451d5a95a953462a3f</x:v>
      </x:c>
      <x:c r="B842" s="17" t="str">
        <x:v>program</x:v>
      </x:c>
      <x:c r="C842" s="17" t="str">
        <x:v>Metropolitan State University of Denver</x:v>
      </x:c>
      <x:c r="D842" s="17" t="str">
        <x:v>us:ipeds:127565:program:unclear:ipeds-discovery-signal-computer-and-information-systems-security-auditing-information-assurance-cip-11-1003</x:v>
      </x:c>
      <x:c r="E842" s="17" t="str"/>
      <x:c r="F842" s="17" t="str">
        <x:v>discovery</x:v>
      </x:c>
      <x:c r="G842" s="17" t="str">
        <x:v>Stage 2 recorded this row as a discovery candidate; it does not independently verify an exact current research program, eligibility, or funding.</x:v>
      </x:c>
      <x:c r="H842" s="17" t="str">
        <x:v>Pass 2 Stage 2 candidate funnel</x:v>
      </x:c>
      <x:c r="I842" s="17" t="str">
        <x:v>Graduate audit pipeline</x:v>
      </x:c>
      <x:c r="J842" s="17" t="str">
        <x:v>derived</x:v>
      </x:c>
      <x:c r="K842" s="17" t="str">
        <x:v>2026-09-11</x:v>
      </x:c>
      <x:c r="L842" s="17" t="str">
        <x:v>Not cycle-specific</x:v>
      </x:c>
      <x:c r="M842" s="17" t="str">
        <x:v>low</x:v>
      </x:c>
      <x:c r="N842" s="17" t="str">
        <x:v>Discovery evidence only</x:v>
      </x:c>
      <x:c r="O842" s="17" t="str">
        <x:v>Use the source_record_paths field to trace the underlying discovery inputs.</x:v>
      </x:c>
      <x:c r="P842" s="18" t="e">
        <x:f>HYPERLINK("https://www.msudenver.edu","Open source")</x:f>
        <x:v>HYPERLINK is not implemented. linkLocation=https://www.msudenver.edu, friendlyName=Open source</x:v>
      </x:c>
    </x:row>
    <x:row r="843" ht="46" customHeight="1">
      <x:c r="A843" s="17" t="str">
        <x:v>stage3src:ea39c2807005fb470d7f</x:v>
      </x:c>
      <x:c r="B843" s="17" t="str">
        <x:v>program</x:v>
      </x:c>
      <x:c r="C843" s="17" t="str">
        <x:v>Regis University</x:v>
      </x:c>
      <x:c r="D843" s="17" t="str">
        <x:v>us:ipeds:127918:program:unclear:ipeds-discovery-signal-computer-and-information-sciences-general-cip-11-0101</x:v>
      </x:c>
      <x:c r="E843" s="17" t="str"/>
      <x:c r="F843" s="17" t="str">
        <x:v>discovery</x:v>
      </x:c>
      <x:c r="G843" s="17" t="str">
        <x:v>Stage 2 recorded this row as a discovery candidate; it does not independently verify an exact current research program, eligibility, or funding.</x:v>
      </x:c>
      <x:c r="H843" s="17" t="str">
        <x:v>Pass 2 Stage 2 candidate funnel</x:v>
      </x:c>
      <x:c r="I843" s="17" t="str">
        <x:v>Graduate audit pipeline</x:v>
      </x:c>
      <x:c r="J843" s="17" t="str">
        <x:v>derived</x:v>
      </x:c>
      <x:c r="K843" s="17" t="str">
        <x:v>2026-09-11</x:v>
      </x:c>
      <x:c r="L843" s="17" t="str">
        <x:v>Not cycle-specific</x:v>
      </x:c>
      <x:c r="M843" s="17" t="str">
        <x:v>low</x:v>
      </x:c>
      <x:c r="N843" s="17" t="str">
        <x:v>Discovery evidence only</x:v>
      </x:c>
      <x:c r="O843" s="17" t="str">
        <x:v>Use the source_record_paths field to trace the underlying discovery inputs.</x:v>
      </x:c>
      <x:c r="P843" s="18" t="e">
        <x:f>HYPERLINK("https://www.regis.edu","Open source")</x:f>
        <x:v>HYPERLINK is not implemented. linkLocation=https://www.regis.edu, friendlyName=Open source</x:v>
      </x:c>
    </x:row>
    <x:row r="844" ht="46" customHeight="1">
      <x:c r="A844" s="17" t="str">
        <x:v>stage3src:217a2a8f94285acb5b69</x:v>
      </x:c>
      <x:c r="B844" s="17" t="str">
        <x:v>program</x:v>
      </x:c>
      <x:c r="C844" s="17" t="str">
        <x:v>Regis University</x:v>
      </x:c>
      <x:c r="D844" s="17" t="str">
        <x:v>us:ipeds:127918:program:unclear:ipeds-discovery-signal-information-technology-cip-11-0103</x:v>
      </x:c>
      <x:c r="E844" s="17" t="str"/>
      <x:c r="F844" s="17" t="str">
        <x:v>discovery</x:v>
      </x:c>
      <x:c r="G844" s="17" t="str">
        <x:v>Stage 2 recorded this row as a discovery candidate; it does not independently verify an exact current research program, eligibility, or funding.</x:v>
      </x:c>
      <x:c r="H844" s="17" t="str">
        <x:v>Pass 2 Stage 2 candidate funnel</x:v>
      </x:c>
      <x:c r="I844" s="17" t="str">
        <x:v>Graduate audit pipeline</x:v>
      </x:c>
      <x:c r="J844" s="17" t="str">
        <x:v>derived</x:v>
      </x:c>
      <x:c r="K844" s="17" t="str">
        <x:v>2026-09-11</x:v>
      </x:c>
      <x:c r="L844" s="17" t="str">
        <x:v>Not cycle-specific</x:v>
      </x:c>
      <x:c r="M844" s="17" t="str">
        <x:v>low</x:v>
      </x:c>
      <x:c r="N844" s="17" t="str">
        <x:v>Discovery evidence only</x:v>
      </x:c>
      <x:c r="O844" s="17" t="str">
        <x:v>Use the source_record_paths field to trace the underlying discovery inputs.</x:v>
      </x:c>
      <x:c r="P844" s="18" t="e">
        <x:f>HYPERLINK("https://www.regis.edu","Open source")</x:f>
        <x:v>HYPERLINK is not implemented. linkLocation=https://www.regis.edu, friendlyName=Open source</x:v>
      </x:c>
    </x:row>
    <x:row r="845" ht="46" customHeight="1">
      <x:c r="A845" s="17" t="str">
        <x:v>stage3src:03c58bbce2cc0e58d64a</x:v>
      </x:c>
      <x:c r="B845" s="17" t="str">
        <x:v>program</x:v>
      </x:c>
      <x:c r="C845" s="17" t="str">
        <x:v>Colorado State University Pueblo</x:v>
      </x:c>
      <x:c r="D845" s="17" t="str">
        <x:v>us:ipeds:128106:program:unclear:ipeds-discovery-signal-mechatronics-robotics-and-automation-engineering-cip-14-4201</x:v>
      </x:c>
      <x:c r="E845" s="17" t="str"/>
      <x:c r="F845" s="17" t="str">
        <x:v>discovery</x:v>
      </x:c>
      <x:c r="G845" s="17" t="str">
        <x:v>Stage 2 recorded this row as a discovery candidate; it does not independently verify an exact current research program, eligibility, or funding.</x:v>
      </x:c>
      <x:c r="H845" s="17" t="str">
        <x:v>Pass 2 Stage 2 candidate funnel</x:v>
      </x:c>
      <x:c r="I845" s="17" t="str">
        <x:v>Graduate audit pipeline</x:v>
      </x:c>
      <x:c r="J845" s="17" t="str">
        <x:v>derived</x:v>
      </x:c>
      <x:c r="K845" s="17" t="str">
        <x:v>2026-09-11</x:v>
      </x:c>
      <x:c r="L845" s="17" t="str">
        <x:v>Not cycle-specific</x:v>
      </x:c>
      <x:c r="M845" s="17" t="str">
        <x:v>low</x:v>
      </x:c>
      <x:c r="N845" s="17" t="str">
        <x:v>Discovery evidence only</x:v>
      </x:c>
      <x:c r="O845" s="17" t="str">
        <x:v>Use the source_record_paths field to trace the underlying discovery inputs.</x:v>
      </x:c>
      <x:c r="P845" s="18" t="e">
        <x:f>HYPERLINK("https://www.csupueblo.edu","Open source")</x:f>
        <x:v>HYPERLINK is not implemented. linkLocation=https://www.csupueblo.edu, friendlyName=Open source</x:v>
      </x:c>
    </x:row>
    <x:row r="846" ht="46" customHeight="1">
      <x:c r="A846" s="17" t="str">
        <x:v>stage3src:613efad7dafd83d43d2e</x:v>
      </x:c>
      <x:c r="B846" s="17" t="str">
        <x:v>program</x:v>
      </x:c>
      <x:c r="C846" s="17" t="str">
        <x:v>University of Bridgeport</x:v>
      </x:c>
      <x:c r="D846" s="17" t="str">
        <x:v>us:ipeds:128744:program:unclear:ipeds-discovery-signal-artificial-intelligence-cip-11-0102</x:v>
      </x:c>
      <x:c r="E846" s="17" t="str"/>
      <x:c r="F846" s="17" t="str">
        <x:v>discovery</x:v>
      </x:c>
      <x:c r="G846" s="17" t="str">
        <x:v>Stage 2 recorded this row as a discovery candidate; it does not independently verify an exact current research program, eligibility, or funding.</x:v>
      </x:c>
      <x:c r="H846" s="17" t="str">
        <x:v>Pass 2 Stage 2 candidate funnel</x:v>
      </x:c>
      <x:c r="I846" s="17" t="str">
        <x:v>Graduate audit pipeline</x:v>
      </x:c>
      <x:c r="J846" s="17" t="str">
        <x:v>derived</x:v>
      </x:c>
      <x:c r="K846" s="17" t="str">
        <x:v>2026-09-11</x:v>
      </x:c>
      <x:c r="L846" s="17" t="str">
        <x:v>Not cycle-specific</x:v>
      </x:c>
      <x:c r="M846" s="17" t="str">
        <x:v>low</x:v>
      </x:c>
      <x:c r="N846" s="17" t="str">
        <x:v>Discovery evidence only</x:v>
      </x:c>
      <x:c r="O846" s="17" t="str">
        <x:v>Use the source_record_paths field to trace the underlying discovery inputs.</x:v>
      </x:c>
      <x:c r="P846" s="18" t="e">
        <x:f>HYPERLINK("https://www.bridgeport.edu","Open source")</x:f>
        <x:v>HYPERLINK is not implemented. linkLocation=https://www.bridgeport.edu, friendlyName=Open source</x:v>
      </x:c>
    </x:row>
    <x:row r="847" ht="46" customHeight="1">
      <x:c r="A847" s="17" t="str">
        <x:v>stage3src:c99c2f130a665b13f1b4</x:v>
      </x:c>
      <x:c r="B847" s="17" t="str">
        <x:v>program</x:v>
      </x:c>
      <x:c r="C847" s="17" t="str">
        <x:v>University of Bridgeport</x:v>
      </x:c>
      <x:c r="D847" s="17" t="str">
        <x:v>us:ipeds:128744:program:unclear:ipeds-discovery-signal-computer-engineering-general-cip-14-0901</x:v>
      </x:c>
      <x:c r="E847" s="17" t="str"/>
      <x:c r="F847" s="17" t="str">
        <x:v>discovery</x:v>
      </x:c>
      <x:c r="G847" s="17" t="str">
        <x:v>Stage 2 recorded this row as a discovery candidate; it does not independently verify an exact current research program, eligibility, or funding.</x:v>
      </x:c>
      <x:c r="H847" s="17" t="str">
        <x:v>Pass 2 Stage 2 candidate funnel</x:v>
      </x:c>
      <x:c r="I847" s="17" t="str">
        <x:v>Graduate audit pipeline</x:v>
      </x:c>
      <x:c r="J847" s="17" t="str">
        <x:v>derived</x:v>
      </x:c>
      <x:c r="K847" s="17" t="str">
        <x:v>2026-09-11</x:v>
      </x:c>
      <x:c r="L847" s="17" t="str">
        <x:v>Not cycle-specific</x:v>
      </x:c>
      <x:c r="M847" s="17" t="str">
        <x:v>low</x:v>
      </x:c>
      <x:c r="N847" s="17" t="str">
        <x:v>Discovery evidence only</x:v>
      </x:c>
      <x:c r="O847" s="17" t="str">
        <x:v>Use the source_record_paths field to trace the underlying discovery inputs.</x:v>
      </x:c>
      <x:c r="P847" s="18" t="e">
        <x:f>HYPERLINK("https://www.bridgeport.edu","Open source")</x:f>
        <x:v>HYPERLINK is not implemented. linkLocation=https://www.bridgeport.edu, friendlyName=Open source</x:v>
      </x:c>
    </x:row>
    <x:row r="848" ht="46" customHeight="1">
      <x:c r="A848" s="17" t="str">
        <x:v>stage3src:fd2d4e3120cfcb9708b9</x:v>
      </x:c>
      <x:c r="B848" s="17" t="str">
        <x:v>program</x:v>
      </x:c>
      <x:c r="C848" s="17" t="str">
        <x:v>University of Bridgeport</x:v>
      </x:c>
      <x:c r="D848" s="17" t="str">
        <x:v>us:ipeds:128744:program:unclear:ipeds-discovery-signal-computer-science-cip-11-0701</x:v>
      </x:c>
      <x:c r="E848" s="17" t="str"/>
      <x:c r="F848" s="17" t="str">
        <x:v>discovery</x:v>
      </x:c>
      <x:c r="G848" s="17" t="str">
        <x:v>Stage 2 recorded this row as a discovery candidate; it does not independently verify an exact current research program, eligibility, or funding.</x:v>
      </x:c>
      <x:c r="H848" s="17" t="str">
        <x:v>Pass 2 Stage 2 candidate funnel</x:v>
      </x:c>
      <x:c r="I848" s="17" t="str">
        <x:v>Graduate audit pipeline</x:v>
      </x:c>
      <x:c r="J848" s="17" t="str">
        <x:v>derived</x:v>
      </x:c>
      <x:c r="K848" s="17" t="str">
        <x:v>2026-09-11</x:v>
      </x:c>
      <x:c r="L848" s="17" t="str">
        <x:v>Not cycle-specific</x:v>
      </x:c>
      <x:c r="M848" s="17" t="str">
        <x:v>low</x:v>
      </x:c>
      <x:c r="N848" s="17" t="str">
        <x:v>Discovery evidence only</x:v>
      </x:c>
      <x:c r="O848" s="17" t="str">
        <x:v>Use the source_record_paths field to trace the underlying discovery inputs.</x:v>
      </x:c>
      <x:c r="P848" s="18" t="e">
        <x:f>HYPERLINK("https://www.bridgeport.edu","Open source")</x:f>
        <x:v>HYPERLINK is not implemented. linkLocation=https://www.bridgeport.edu, friendlyName=Open source</x:v>
      </x:c>
    </x:row>
    <x:row r="849" ht="46" customHeight="1">
      <x:c r="A849" s="17" t="str">
        <x:v>stage3src:939ead12c2d8f1c4f843</x:v>
      </x:c>
      <x:c r="B849" s="17" t="str">
        <x:v>program</x:v>
      </x:c>
      <x:c r="C849" s="17" t="str">
        <x:v>University of Bridgeport</x:v>
      </x:c>
      <x:c r="D849" s="17" t="str">
        <x:v>us:ipeds:128744:program:unclear:ipeds-discovery-signal-electrical-and-electronics-engineering-cip-14-1001</x:v>
      </x:c>
      <x:c r="E849" s="17" t="str"/>
      <x:c r="F849" s="17" t="str">
        <x:v>discovery</x:v>
      </x:c>
      <x:c r="G849" s="17" t="str">
        <x:v>Stage 2 recorded this row as a discovery candidate; it does not independently verify an exact current research program, eligibility, or funding.</x:v>
      </x:c>
      <x:c r="H849" s="17" t="str">
        <x:v>Pass 2 Stage 2 candidate funnel</x:v>
      </x:c>
      <x:c r="I849" s="17" t="str">
        <x:v>Graduate audit pipeline</x:v>
      </x:c>
      <x:c r="J849" s="17" t="str">
        <x:v>derived</x:v>
      </x:c>
      <x:c r="K849" s="17" t="str">
        <x:v>2026-09-11</x:v>
      </x:c>
      <x:c r="L849" s="17" t="str">
        <x:v>Not cycle-specific</x:v>
      </x:c>
      <x:c r="M849" s="17" t="str">
        <x:v>low</x:v>
      </x:c>
      <x:c r="N849" s="17" t="str">
        <x:v>Discovery evidence only</x:v>
      </x:c>
      <x:c r="O849" s="17" t="str">
        <x:v>Use the source_record_paths field to trace the underlying discovery inputs.</x:v>
      </x:c>
      <x:c r="P849" s="18" t="e">
        <x:f>HYPERLINK("https://www.bridgeport.edu","Open source")</x:f>
        <x:v>HYPERLINK is not implemented. linkLocation=https://www.bridgeport.edu, friendlyName=Open source</x:v>
      </x:c>
    </x:row>
    <x:row r="850" ht="46" customHeight="1">
      <x:c r="A850" s="17" t="str">
        <x:v>stage3src:0b9a231b7d32bcb4c6f3</x:v>
      </x:c>
      <x:c r="B850" s="17" t="str">
        <x:v>program</x:v>
      </x:c>
      <x:c r="C850" s="17" t="str">
        <x:v>Central Connecticut State University</x:v>
      </x:c>
      <x:c r="D850" s="17" t="str">
        <x:v>us:ipeds:128771:program:unclear:ipeds-discovery-signal-computer-software-engineering-cip-14-0903</x:v>
      </x:c>
      <x:c r="E850" s="17" t="str"/>
      <x:c r="F850" s="17" t="str">
        <x:v>discovery</x:v>
      </x:c>
      <x:c r="G850" s="17" t="str">
        <x:v>Stage 2 recorded this row as a discovery candidate; it does not independently verify an exact current research program, eligibility, or funding.</x:v>
      </x:c>
      <x:c r="H850" s="17" t="str">
        <x:v>Pass 2 Stage 2 candidate funnel</x:v>
      </x:c>
      <x:c r="I850" s="17" t="str">
        <x:v>Graduate audit pipeline</x:v>
      </x:c>
      <x:c r="J850" s="17" t="str">
        <x:v>derived</x:v>
      </x:c>
      <x:c r="K850" s="17" t="str">
        <x:v>2026-09-11</x:v>
      </x:c>
      <x:c r="L850" s="17" t="str">
        <x:v>Not cycle-specific</x:v>
      </x:c>
      <x:c r="M850" s="17" t="str">
        <x:v>low</x:v>
      </x:c>
      <x:c r="N850" s="17" t="str">
        <x:v>Discovery evidence only</x:v>
      </x:c>
      <x:c r="O850" s="17" t="str">
        <x:v>Use the source_record_paths field to trace the underlying discovery inputs.</x:v>
      </x:c>
      <x:c r="P850" s="18" t="e">
        <x:f>HYPERLINK("https://www.ccsu.edu","Open source")</x:f>
        <x:v>HYPERLINK is not implemented. linkLocation=https://www.ccsu.edu, friendlyName=Open source</x:v>
      </x:c>
    </x:row>
    <x:row r="851" ht="46" customHeight="1">
      <x:c r="A851" s="17" t="str">
        <x:v>stage3src:33e67dc03271b79349e8</x:v>
      </x:c>
      <x:c r="B851" s="17" t="str">
        <x:v>program</x:v>
      </x:c>
      <x:c r="C851" s="17" t="str">
        <x:v>Central Connecticut State University</x:v>
      </x:c>
      <x:c r="D851" s="17" t="str">
        <x:v>us:ipeds:128771:program:unclear:ipeds-discovery-signal-information-technology-cip-11-0103</x:v>
      </x:c>
      <x:c r="E851" s="17" t="str"/>
      <x:c r="F851" s="17" t="str">
        <x:v>discovery</x:v>
      </x:c>
      <x:c r="G851" s="17" t="str">
        <x:v>Stage 2 recorded this row as a discovery candidate; it does not independently verify an exact current research program, eligibility, or funding.</x:v>
      </x:c>
      <x:c r="H851" s="17" t="str">
        <x:v>Pass 2 Stage 2 candidate funnel</x:v>
      </x:c>
      <x:c r="I851" s="17" t="str">
        <x:v>Graduate audit pipeline</x:v>
      </x:c>
      <x:c r="J851" s="17" t="str">
        <x:v>derived</x:v>
      </x:c>
      <x:c r="K851" s="17" t="str">
        <x:v>2026-09-11</x:v>
      </x:c>
      <x:c r="L851" s="17" t="str">
        <x:v>Not cycle-specific</x:v>
      </x:c>
      <x:c r="M851" s="17" t="str">
        <x:v>low</x:v>
      </x:c>
      <x:c r="N851" s="17" t="str">
        <x:v>Discovery evidence only</x:v>
      </x:c>
      <x:c r="O851" s="17" t="str">
        <x:v>Use the source_record_paths field to trace the underlying discovery inputs.</x:v>
      </x:c>
      <x:c r="P851" s="18" t="e">
        <x:f>HYPERLINK("https://www.ccsu.edu","Open source")</x:f>
        <x:v>HYPERLINK is not implemented. linkLocation=https://www.ccsu.edu, friendlyName=Open source</x:v>
      </x:c>
    </x:row>
    <x:row r="852" ht="46" customHeight="1">
      <x:c r="A852" s="17" t="str">
        <x:v>stage3src:61ca48715dbc67e830a2</x:v>
      </x:c>
      <x:c r="B852" s="17" t="str">
        <x:v>program</x:v>
      </x:c>
      <x:c r="C852" s="17" t="str">
        <x:v>University of Connecticut</x:v>
      </x:c>
      <x:c r="D852" s="17" t="str">
        <x:v>us:ipeds:129020:program:phd:computer-science-and-engineering-phd</x:v>
      </x:c>
      <x:c r="E852" s="17" t="str"/>
      <x:c r="F852" s="17" t="str">
        <x:v>funding|tuition|fees</x:v>
      </x:c>
      <x:c r="G852" s="17" t="str">
        <x:v>Faculty-grant RAs as the most common support plus TA and competitive fellowship mechanisms.</x:v>
      </x:c>
      <x:c r="H852" s="17" t="str">
        <x:v>Graduate Fellowships &amp; Assistantships</x:v>
      </x:c>
      <x:c r="I852" s="17" t="str">
        <x:v>University of Connecticut School of Computing</x:v>
      </x:c>
      <x:c r="J852" s="17" t="str">
        <x:v>official</x:v>
      </x:c>
      <x:c r="K852" s="17" t="str">
        <x:v>2026-09-11</x:v>
      </x:c>
      <x:c r="L852" s="17" t="str">
        <x:v>Current page checked 2026-09-11</x:v>
      </x:c>
      <x:c r="M852" s="17" t="str">
        <x:v>high</x:v>
      </x:c>
      <x:c r="N852" s="17" t="str">
        <x:v>official page checked</x:v>
      </x:c>
      <x:c r="O852" s="17" t="str"/>
      <x:c r="P852" s="18" t="e">
        <x:f>HYPERLINK("https://computing.engineering.uconn.edu/graduate-studies/grad-fellowships-assistantships/","Open source")</x:f>
        <x:v>HYPERLINK is not implemented. linkLocation=https://computing.engineering.uconn.edu/graduate-studies/grad-fellowships-assistantships/, friendlyName=Open source</x:v>
      </x:c>
    </x:row>
    <x:row r="853" ht="46" customHeight="1">
      <x:c r="A853" s="17" t="str">
        <x:v>stage3src:e9d67b6f9dffdf55241a</x:v>
      </x:c>
      <x:c r="B853" s="17" t="str">
        <x:v>program</x:v>
      </x:c>
      <x:c r="C853" s="17" t="str">
        <x:v>University of Connecticut</x:v>
      </x:c>
      <x:c r="D853" s="17" t="str">
        <x:v>us:ipeds:129020:program:phd:computer-science-and-engineering-phd</x:v>
      </x:c>
      <x:c r="E853" s="17" t="str"/>
      <x:c r="F853" s="17" t="str">
        <x:v>program|research|admissions|eligibility|language</x:v>
      </x:c>
      <x:c r="G853" s="17" t="str">
        <x:v>Current CSE PhD, security and cryptography breadth, and explicit international English evidence route.</x:v>
      </x:c>
      <x:c r="H853" s="17" t="str">
        <x:v>Computer Science and Engineering (PhD)</x:v>
      </x:c>
      <x:c r="I853" s="17" t="str">
        <x:v>University of Connecticut Graduate Catalog</x:v>
      </x:c>
      <x:c r="J853" s="17" t="str">
        <x:v>official</x:v>
      </x:c>
      <x:c r="K853" s="17" t="str">
        <x:v>2026-09-11</x:v>
      </x:c>
      <x:c r="L853" s="17" t="str">
        <x:v>Current catalog checked 2026-09-11</x:v>
      </x:c>
      <x:c r="M853" s="17" t="str">
        <x:v>high</x:v>
      </x:c>
      <x:c r="N853" s="17" t="str">
        <x:v>official page checked</x:v>
      </x:c>
      <x:c r="O853" s="17" t="str"/>
      <x:c r="P853" s="18" t="e">
        <x:f>HYPERLINK("https://catalog.uconn.edu/graduate/degree-programs/computer-science-engineering-phd/","Open source")</x:f>
        <x:v>HYPERLINK is not implemented. linkLocation=https://catalog.uconn.edu/graduate/degree-programs/computer-science-engineering-phd/, friendlyName=Open source</x:v>
      </x:c>
    </x:row>
    <x:row r="854" ht="46" customHeight="1">
      <x:c r="A854" s="17" t="str">
        <x:v>stage3src:fa064a0a34d00e19de41</x:v>
      </x:c>
      <x:c r="B854" s="17" t="str">
        <x:v>program</x:v>
      </x:c>
      <x:c r="C854" s="17" t="str">
        <x:v>University of Connecticut</x:v>
      </x:c>
      <x:c r="D854" s="17" t="str">
        <x:v>us:ipeds:129020:program:unclear:ipeds-discovery-signal-computer-engineering-general-cip-14-0901</x:v>
      </x:c>
      <x:c r="E854" s="17" t="str"/>
      <x:c r="F854" s="17" t="str">
        <x:v>discovery</x:v>
      </x:c>
      <x:c r="G854" s="17" t="str">
        <x:v>Stage 2 recorded this row as a discovery candidate; it does not independently verify an exact current research program, eligibility, or funding.</x:v>
      </x:c>
      <x:c r="H854" s="17" t="str">
        <x:v>Pass 2 Stage 2 candidate funnel</x:v>
      </x:c>
      <x:c r="I854" s="17" t="str">
        <x:v>Graduate audit pipeline</x:v>
      </x:c>
      <x:c r="J854" s="17" t="str">
        <x:v>derived</x:v>
      </x:c>
      <x:c r="K854" s="17" t="str">
        <x:v>2026-09-11</x:v>
      </x:c>
      <x:c r="L854" s="17" t="str">
        <x:v>Not cycle-specific</x:v>
      </x:c>
      <x:c r="M854" s="17" t="str">
        <x:v>low</x:v>
      </x:c>
      <x:c r="N854" s="17" t="str">
        <x:v>Discovery evidence only</x:v>
      </x:c>
      <x:c r="O854" s="17" t="str">
        <x:v>Use the source_record_paths field to trace the underlying discovery inputs.</x:v>
      </x:c>
      <x:c r="P854" s="18" t="e">
        <x:f>HYPERLINK("https://uconn.edu","Open source")</x:f>
        <x:v>HYPERLINK is not implemented. linkLocation=https://uconn.edu, friendlyName=Open source</x:v>
      </x:c>
    </x:row>
    <x:row r="855" ht="46" customHeight="1">
      <x:c r="A855" s="17" t="str">
        <x:v>stage3src:0316c5dc40f05bf6c80f</x:v>
      </x:c>
      <x:c r="B855" s="17" t="str">
        <x:v>program</x:v>
      </x:c>
      <x:c r="C855" s="17" t="str">
        <x:v>University of Connecticut</x:v>
      </x:c>
      <x:c r="D855" s="17" t="str">
        <x:v>us:ipeds:129020:program:unclear:ipeds-discovery-signal-data-science-general-cip-30-7001</x:v>
      </x:c>
      <x:c r="E855" s="17" t="str"/>
      <x:c r="F855" s="17" t="str">
        <x:v>discovery</x:v>
      </x:c>
      <x:c r="G855" s="17" t="str">
        <x:v>Stage 2 recorded this row as a discovery candidate; it does not independently verify an exact current research program, eligibility, or funding.</x:v>
      </x:c>
      <x:c r="H855" s="17" t="str">
        <x:v>Pass 2 Stage 2 candidate funnel</x:v>
      </x:c>
      <x:c r="I855" s="17" t="str">
        <x:v>Graduate audit pipeline</x:v>
      </x:c>
      <x:c r="J855" s="17" t="str">
        <x:v>derived</x:v>
      </x:c>
      <x:c r="K855" s="17" t="str">
        <x:v>2026-09-11</x:v>
      </x:c>
      <x:c r="L855" s="17" t="str">
        <x:v>Not cycle-specific</x:v>
      </x:c>
      <x:c r="M855" s="17" t="str">
        <x:v>low</x:v>
      </x:c>
      <x:c r="N855" s="17" t="str">
        <x:v>Discovery evidence only</x:v>
      </x:c>
      <x:c r="O855" s="17" t="str">
        <x:v>Use the source_record_paths field to trace the underlying discovery inputs.</x:v>
      </x:c>
      <x:c r="P855" s="18" t="e">
        <x:f>HYPERLINK("https://uconn.edu","Open source")</x:f>
        <x:v>HYPERLINK is not implemented. linkLocation=https://uconn.edu, friendlyName=Open source</x:v>
      </x:c>
    </x:row>
    <x:row r="856" ht="46" customHeight="1">
      <x:c r="A856" s="17" t="str">
        <x:v>stage3src:df30a546daaf449f25fc</x:v>
      </x:c>
      <x:c r="B856" s="17" t="str">
        <x:v>program</x:v>
      </x:c>
      <x:c r="C856" s="17" t="str">
        <x:v>University of Connecticut</x:v>
      </x:c>
      <x:c r="D856" s="17" t="str">
        <x:v>us:ipeds:129020:program:unclear:ipeds-discovery-signal-electrical-and-electronics-engineering-cip-14-1001</x:v>
      </x:c>
      <x:c r="E856" s="17" t="str"/>
      <x:c r="F856" s="17" t="str">
        <x:v>discovery</x:v>
      </x:c>
      <x:c r="G856" s="17" t="str">
        <x:v>Stage 2 recorded this row as a discovery candidate; it does not independently verify an exact current research program, eligibility, or funding.</x:v>
      </x:c>
      <x:c r="H856" s="17" t="str">
        <x:v>Pass 2 Stage 2 candidate funnel</x:v>
      </x:c>
      <x:c r="I856" s="17" t="str">
        <x:v>Graduate audit pipeline</x:v>
      </x:c>
      <x:c r="J856" s="17" t="str">
        <x:v>derived</x:v>
      </x:c>
      <x:c r="K856" s="17" t="str">
        <x:v>2026-09-11</x:v>
      </x:c>
      <x:c r="L856" s="17" t="str">
        <x:v>Not cycle-specific</x:v>
      </x:c>
      <x:c r="M856" s="17" t="str">
        <x:v>low</x:v>
      </x:c>
      <x:c r="N856" s="17" t="str">
        <x:v>Discovery evidence only</x:v>
      </x:c>
      <x:c r="O856" s="17" t="str">
        <x:v>Use the source_record_paths field to trace the underlying discovery inputs.</x:v>
      </x:c>
      <x:c r="P856" s="18" t="e">
        <x:f>HYPERLINK("https://uconn.edu","Open source")</x:f>
        <x:v>HYPERLINK is not implemented. linkLocation=https://uconn.edu, friendlyName=Open source</x:v>
      </x:c>
    </x:row>
    <x:row r="857" ht="46" customHeight="1">
      <x:c r="A857" s="17" t="str">
        <x:v>stage3src:66772ede6a5c26178053</x:v>
      </x:c>
      <x:c r="B857" s="17" t="str">
        <x:v>program</x:v>
      </x:c>
      <x:c r="C857" s="17" t="str">
        <x:v>Fairfield University</x:v>
      </x:c>
      <x:c r="D857" s="17" t="str">
        <x:v>us:ipeds:129242:program:unclear:ipeds-discovery-signal-computer-and-information-systems-security-auditing-information-assurance-cip-11-1003</x:v>
      </x:c>
      <x:c r="E857" s="17" t="str"/>
      <x:c r="F857" s="17" t="str">
        <x:v>discovery</x:v>
      </x:c>
      <x:c r="G857" s="17" t="str">
        <x:v>Stage 2 recorded this row as a discovery candidate; it does not independently verify an exact current research program, eligibility, or funding.</x:v>
      </x:c>
      <x:c r="H857" s="17" t="str">
        <x:v>Pass 2 Stage 2 candidate funnel</x:v>
      </x:c>
      <x:c r="I857" s="17" t="str">
        <x:v>Graduate audit pipeline</x:v>
      </x:c>
      <x:c r="J857" s="17" t="str">
        <x:v>derived</x:v>
      </x:c>
      <x:c r="K857" s="17" t="str">
        <x:v>2026-09-11</x:v>
      </x:c>
      <x:c r="L857" s="17" t="str">
        <x:v>Not cycle-specific</x:v>
      </x:c>
      <x:c r="M857" s="17" t="str">
        <x:v>low</x:v>
      </x:c>
      <x:c r="N857" s="17" t="str">
        <x:v>Discovery evidence only</x:v>
      </x:c>
      <x:c r="O857" s="17" t="str">
        <x:v>Use the source_record_paths field to trace the underlying discovery inputs.</x:v>
      </x:c>
      <x:c r="P857" s="18" t="e">
        <x:f>HYPERLINK("https://fairfield.edu","Open source")</x:f>
        <x:v>HYPERLINK is not implemented. linkLocation=https://fairfield.edu, friendlyName=Open source</x:v>
      </x:c>
    </x:row>
    <x:row r="858" ht="46" customHeight="1">
      <x:c r="A858" s="17" t="str">
        <x:v>stage3src:5334928fd8f144765d84</x:v>
      </x:c>
      <x:c r="B858" s="17" t="str">
        <x:v>program</x:v>
      </x:c>
      <x:c r="C858" s="17" t="str">
        <x:v>Fairfield University</x:v>
      </x:c>
      <x:c r="D858" s="17" t="str">
        <x:v>us:ipeds:129242:program:unclear:ipeds-discovery-signal-computer-software-engineering-cip-14-0903</x:v>
      </x:c>
      <x:c r="E858" s="17" t="str"/>
      <x:c r="F858" s="17" t="str">
        <x:v>discovery</x:v>
      </x:c>
      <x:c r="G858" s="17" t="str">
        <x:v>Stage 2 recorded this row as a discovery candidate; it does not independently verify an exact current research program, eligibility, or funding.</x:v>
      </x:c>
      <x:c r="H858" s="17" t="str">
        <x:v>Pass 2 Stage 2 candidate funnel</x:v>
      </x:c>
      <x:c r="I858" s="17" t="str">
        <x:v>Graduate audit pipeline</x:v>
      </x:c>
      <x:c r="J858" s="17" t="str">
        <x:v>derived</x:v>
      </x:c>
      <x:c r="K858" s="17" t="str">
        <x:v>2026-09-11</x:v>
      </x:c>
      <x:c r="L858" s="17" t="str">
        <x:v>Not cycle-specific</x:v>
      </x:c>
      <x:c r="M858" s="17" t="str">
        <x:v>low</x:v>
      </x:c>
      <x:c r="N858" s="17" t="str">
        <x:v>Discovery evidence only</x:v>
      </x:c>
      <x:c r="O858" s="17" t="str">
        <x:v>Use the source_record_paths field to trace the underlying discovery inputs.</x:v>
      </x:c>
      <x:c r="P858" s="18" t="e">
        <x:f>HYPERLINK("https://fairfield.edu","Open source")</x:f>
        <x:v>HYPERLINK is not implemented. linkLocation=https://fairfield.edu, friendlyName=Open source</x:v>
      </x:c>
    </x:row>
    <x:row r="859" ht="46" customHeight="1">
      <x:c r="A859" s="17" t="str">
        <x:v>stage3src:ca9f62bca339be364375</x:v>
      </x:c>
      <x:c r="B859" s="17" t="str">
        <x:v>program</x:v>
      </x:c>
      <x:c r="C859" s="17" t="str">
        <x:v>Fairfield University</x:v>
      </x:c>
      <x:c r="D859" s="17" t="str">
        <x:v>us:ipeds:129242:program:unclear:ipeds-discovery-signal-data-science-general-cip-30-7001</x:v>
      </x:c>
      <x:c r="E859" s="17" t="str"/>
      <x:c r="F859" s="17" t="str">
        <x:v>discovery</x:v>
      </x:c>
      <x:c r="G859" s="17" t="str">
        <x:v>Stage 2 recorded this row as a discovery candidate; it does not independently verify an exact current research program, eligibility, or funding.</x:v>
      </x:c>
      <x:c r="H859" s="17" t="str">
        <x:v>Pass 2 Stage 2 candidate funnel</x:v>
      </x:c>
      <x:c r="I859" s="17" t="str">
        <x:v>Graduate audit pipeline</x:v>
      </x:c>
      <x:c r="J859" s="17" t="str">
        <x:v>derived</x:v>
      </x:c>
      <x:c r="K859" s="17" t="str">
        <x:v>2026-09-11</x:v>
      </x:c>
      <x:c r="L859" s="17" t="str">
        <x:v>Not cycle-specific</x:v>
      </x:c>
      <x:c r="M859" s="17" t="str">
        <x:v>low</x:v>
      </x:c>
      <x:c r="N859" s="17" t="str">
        <x:v>Discovery evidence only</x:v>
      </x:c>
      <x:c r="O859" s="17" t="str">
        <x:v>Use the source_record_paths field to trace the underlying discovery inputs.</x:v>
      </x:c>
      <x:c r="P859" s="18" t="e">
        <x:f>HYPERLINK("https://fairfield.edu","Open source")</x:f>
        <x:v>HYPERLINK is not implemented. linkLocation=https://fairfield.edu, friendlyName=Open source</x:v>
      </x:c>
    </x:row>
    <x:row r="860" ht="46" customHeight="1">
      <x:c r="A860" s="17" t="str">
        <x:v>stage3src:304902b6c7ee6f9c9235</x:v>
      </x:c>
      <x:c r="B860" s="17" t="str">
        <x:v>program</x:v>
      </x:c>
      <x:c r="C860" s="17" t="str">
        <x:v>Fairfield University</x:v>
      </x:c>
      <x:c r="D860" s="17" t="str">
        <x:v>us:ipeds:129242:program:unclear:ipeds-discovery-signal-electrical-and-electronics-engineering-cip-14-1001</x:v>
      </x:c>
      <x:c r="E860" s="17" t="str"/>
      <x:c r="F860" s="17" t="str">
        <x:v>discovery</x:v>
      </x:c>
      <x:c r="G860" s="17" t="str">
        <x:v>Stage 2 recorded this row as a discovery candidate; it does not independently verify an exact current research program, eligibility, or funding.</x:v>
      </x:c>
      <x:c r="H860" s="17" t="str">
        <x:v>Pass 2 Stage 2 candidate funnel</x:v>
      </x:c>
      <x:c r="I860" s="17" t="str">
        <x:v>Graduate audit pipeline</x:v>
      </x:c>
      <x:c r="J860" s="17" t="str">
        <x:v>derived</x:v>
      </x:c>
      <x:c r="K860" s="17" t="str">
        <x:v>2026-09-11</x:v>
      </x:c>
      <x:c r="L860" s="17" t="str">
        <x:v>Not cycle-specific</x:v>
      </x:c>
      <x:c r="M860" s="17" t="str">
        <x:v>low</x:v>
      </x:c>
      <x:c r="N860" s="17" t="str">
        <x:v>Discovery evidence only</x:v>
      </x:c>
      <x:c r="O860" s="17" t="str">
        <x:v>Use the source_record_paths field to trace the underlying discovery inputs.</x:v>
      </x:c>
      <x:c r="P860" s="18" t="e">
        <x:f>HYPERLINK("https://fairfield.edu","Open source")</x:f>
        <x:v>HYPERLINK is not implemented. linkLocation=https://fairfield.edu, friendlyName=Open source</x:v>
      </x:c>
    </x:row>
    <x:row r="861" ht="46" customHeight="1">
      <x:c r="A861" s="17" t="str">
        <x:v>stage3src:56ae97b64909edb4088d</x:v>
      </x:c>
      <x:c r="B861" s="17" t="str">
        <x:v>program</x:v>
      </x:c>
      <x:c r="C861" s="17" t="str">
        <x:v>University of Hartford</x:v>
      </x:c>
      <x:c r="D861" s="17" t="str">
        <x:v>us:ipeds:129525:program:unclear:ipeds-discovery-signal-electrical-and-electronics-engineering-cip-14-1001</x:v>
      </x:c>
      <x:c r="E861" s="17" t="str"/>
      <x:c r="F861" s="17" t="str">
        <x:v>discovery</x:v>
      </x:c>
      <x:c r="G861" s="17" t="str">
        <x:v>Stage 2 recorded this row as a discovery candidate; it does not independently verify an exact current research program, eligibility, or funding.</x:v>
      </x:c>
      <x:c r="H861" s="17" t="str">
        <x:v>Pass 2 Stage 2 candidate funnel</x:v>
      </x:c>
      <x:c r="I861" s="17" t="str">
        <x:v>Graduate audit pipeline</x:v>
      </x:c>
      <x:c r="J861" s="17" t="str">
        <x:v>derived</x:v>
      </x:c>
      <x:c r="K861" s="17" t="str">
        <x:v>2026-09-11</x:v>
      </x:c>
      <x:c r="L861" s="17" t="str">
        <x:v>Not cycle-specific</x:v>
      </x:c>
      <x:c r="M861" s="17" t="str">
        <x:v>low</x:v>
      </x:c>
      <x:c r="N861" s="17" t="str">
        <x:v>Discovery evidence only</x:v>
      </x:c>
      <x:c r="O861" s="17" t="str">
        <x:v>Use the source_record_paths field to trace the underlying discovery inputs.</x:v>
      </x:c>
      <x:c r="P861" s="18" t="e">
        <x:f>HYPERLINK("https://www.hartford.edu","Open source")</x:f>
        <x:v>HYPERLINK is not implemented. linkLocation=https://www.hartford.edu, friendlyName=Open source</x:v>
      </x:c>
    </x:row>
    <x:row r="862" ht="46" customHeight="1">
      <x:c r="A862" s="17" t="str">
        <x:v>stage3src:ee4acce8cb5dd382ddc3</x:v>
      </x:c>
      <x:c r="B862" s="17" t="str">
        <x:v>program</x:v>
      </x:c>
      <x:c r="C862" s="17" t="str">
        <x:v>University of New Haven</x:v>
      </x:c>
      <x:c r="D862" s="17" t="str">
        <x:v>us:ipeds:129941:program:unclear:ipeds-discovery-signal-computer-and-information-sciences-general-cip-11-0101</x:v>
      </x:c>
      <x:c r="E862" s="17" t="str"/>
      <x:c r="F862" s="17" t="str">
        <x:v>discovery</x:v>
      </x:c>
      <x:c r="G862" s="17" t="str">
        <x:v>Stage 2 recorded this row as a discovery candidate; it does not independently verify an exact current research program, eligibility, or funding.</x:v>
      </x:c>
      <x:c r="H862" s="17" t="str">
        <x:v>Pass 2 Stage 2 candidate funnel</x:v>
      </x:c>
      <x:c r="I862" s="17" t="str">
        <x:v>Graduate audit pipeline</x:v>
      </x:c>
      <x:c r="J862" s="17" t="str">
        <x:v>derived</x:v>
      </x:c>
      <x:c r="K862" s="17" t="str">
        <x:v>2026-09-11</x:v>
      </x:c>
      <x:c r="L862" s="17" t="str">
        <x:v>Not cycle-specific</x:v>
      </x:c>
      <x:c r="M862" s="17" t="str">
        <x:v>low</x:v>
      </x:c>
      <x:c r="N862" s="17" t="str">
        <x:v>Discovery evidence only</x:v>
      </x:c>
      <x:c r="O862" s="17" t="str">
        <x:v>Use the source_record_paths field to trace the underlying discovery inputs.</x:v>
      </x:c>
      <x:c r="P862" s="18" t="e">
        <x:f>HYPERLINK("https://www.newhaven.edu","Open source")</x:f>
        <x:v>HYPERLINK is not implemented. linkLocation=https://www.newhaven.edu, friendlyName=Open source</x:v>
      </x:c>
    </x:row>
    <x:row r="863" ht="46" customHeight="1">
      <x:c r="A863" s="17" t="str">
        <x:v>stage3src:f56bc8dcde16a6e90e5f</x:v>
      </x:c>
      <x:c r="B863" s="17" t="str">
        <x:v>program</x:v>
      </x:c>
      <x:c r="C863" s="17" t="str">
        <x:v>University of New Haven</x:v>
      </x:c>
      <x:c r="D863" s="17" t="str">
        <x:v>us:ipeds:129941:program:unclear:ipeds-discovery-signal-computer-and-information-sciences-other-cip-11-0199</x:v>
      </x:c>
      <x:c r="E863" s="17" t="str"/>
      <x:c r="F863" s="17" t="str">
        <x:v>discovery</x:v>
      </x:c>
      <x:c r="G863" s="17" t="str">
        <x:v>Stage 2 recorded this row as a discovery candidate; it does not independently verify an exact current research program, eligibility, or funding.</x:v>
      </x:c>
      <x:c r="H863" s="17" t="str">
        <x:v>Pass 2 Stage 2 candidate funnel</x:v>
      </x:c>
      <x:c r="I863" s="17" t="str">
        <x:v>Graduate audit pipeline</x:v>
      </x:c>
      <x:c r="J863" s="17" t="str">
        <x:v>derived</x:v>
      </x:c>
      <x:c r="K863" s="17" t="str">
        <x:v>2026-09-11</x:v>
      </x:c>
      <x:c r="L863" s="17" t="str">
        <x:v>Not cycle-specific</x:v>
      </x:c>
      <x:c r="M863" s="17" t="str">
        <x:v>low</x:v>
      </x:c>
      <x:c r="N863" s="17" t="str">
        <x:v>Discovery evidence only</x:v>
      </x:c>
      <x:c r="O863" s="17" t="str">
        <x:v>Use the source_record_paths field to trace the underlying discovery inputs.</x:v>
      </x:c>
      <x:c r="P863" s="18" t="e">
        <x:f>HYPERLINK("https://www.newhaven.edu","Open source")</x:f>
        <x:v>HYPERLINK is not implemented. linkLocation=https://www.newhaven.edu, friendlyName=Open source</x:v>
      </x:c>
    </x:row>
    <x:row r="864" ht="46" customHeight="1">
      <x:c r="A864" s="17" t="str">
        <x:v>stage3src:5d94551973ffc79824f5</x:v>
      </x:c>
      <x:c r="B864" s="17" t="str">
        <x:v>program</x:v>
      </x:c>
      <x:c r="C864" s="17" t="str">
        <x:v>University of New Haven</x:v>
      </x:c>
      <x:c r="D864" s="17" t="str">
        <x:v>us:ipeds:129941:program:unclear:ipeds-discovery-signal-computer-and-information-systems-security-auditing-information-assurance-cip-11-1003</x:v>
      </x:c>
      <x:c r="E864" s="17" t="str"/>
      <x:c r="F864" s="17" t="str">
        <x:v>discovery</x:v>
      </x:c>
      <x:c r="G864" s="17" t="str">
        <x:v>Stage 2 recorded this row as a discovery candidate; it does not independently verify an exact current research program, eligibility, or funding.</x:v>
      </x:c>
      <x:c r="H864" s="17" t="str">
        <x:v>Pass 2 Stage 2 candidate funnel</x:v>
      </x:c>
      <x:c r="I864" s="17" t="str">
        <x:v>Graduate audit pipeline</x:v>
      </x:c>
      <x:c r="J864" s="17" t="str">
        <x:v>derived</x:v>
      </x:c>
      <x:c r="K864" s="17" t="str">
        <x:v>2026-09-11</x:v>
      </x:c>
      <x:c r="L864" s="17" t="str">
        <x:v>Not cycle-specific</x:v>
      </x:c>
      <x:c r="M864" s="17" t="str">
        <x:v>low</x:v>
      </x:c>
      <x:c r="N864" s="17" t="str">
        <x:v>Discovery evidence only</x:v>
      </x:c>
      <x:c r="O864" s="17" t="str">
        <x:v>Use the source_record_paths field to trace the underlying discovery inputs.</x:v>
      </x:c>
      <x:c r="P864" s="18" t="e">
        <x:f>HYPERLINK("https://www.newhaven.edu","Open source")</x:f>
        <x:v>HYPERLINK is not implemented. linkLocation=https://www.newhaven.edu, friendlyName=Open source</x:v>
      </x:c>
    </x:row>
    <x:row r="865" ht="46" customHeight="1">
      <x:c r="A865" s="17" t="str">
        <x:v>stage3src:824d867f4e1a66e07d41</x:v>
      </x:c>
      <x:c r="B865" s="17" t="str">
        <x:v>program</x:v>
      </x:c>
      <x:c r="C865" s="17" t="str">
        <x:v>University of New Haven</x:v>
      </x:c>
      <x:c r="D865" s="17" t="str">
        <x:v>us:ipeds:129941:program:unclear:ipeds-discovery-signal-computer-engineering-other-cip-14-0999</x:v>
      </x:c>
      <x:c r="E865" s="17" t="str"/>
      <x:c r="F865" s="17" t="str">
        <x:v>discovery</x:v>
      </x:c>
      <x:c r="G865" s="17" t="str">
        <x:v>Stage 2 recorded this row as a discovery candidate; it does not independently verify an exact current research program, eligibility, or funding.</x:v>
      </x:c>
      <x:c r="H865" s="17" t="str">
        <x:v>Pass 2 Stage 2 candidate funnel</x:v>
      </x:c>
      <x:c r="I865" s="17" t="str">
        <x:v>Graduate audit pipeline</x:v>
      </x:c>
      <x:c r="J865" s="17" t="str">
        <x:v>derived</x:v>
      </x:c>
      <x:c r="K865" s="17" t="str">
        <x:v>2026-09-11</x:v>
      </x:c>
      <x:c r="L865" s="17" t="str">
        <x:v>Not cycle-specific</x:v>
      </x:c>
      <x:c r="M865" s="17" t="str">
        <x:v>low</x:v>
      </x:c>
      <x:c r="N865" s="17" t="str">
        <x:v>Discovery evidence only</x:v>
      </x:c>
      <x:c r="O865" s="17" t="str">
        <x:v>Use the source_record_paths field to trace the underlying discovery inputs.</x:v>
      </x:c>
      <x:c r="P865" s="18" t="e">
        <x:f>HYPERLINK("https://www.newhaven.edu","Open source")</x:f>
        <x:v>HYPERLINK is not implemented. linkLocation=https://www.newhaven.edu, friendlyName=Open source</x:v>
      </x:c>
    </x:row>
    <x:row r="866" ht="46" customHeight="1">
      <x:c r="A866" s="17" t="str">
        <x:v>stage3src:c917a196b8ddee8243bb</x:v>
      </x:c>
      <x:c r="B866" s="17" t="str">
        <x:v>program</x:v>
      </x:c>
      <x:c r="C866" s="17" t="str">
        <x:v>University of New Haven</x:v>
      </x:c>
      <x:c r="D866" s="17" t="str">
        <x:v>us:ipeds:129941:program:unclear:ipeds-discovery-signal-computer-science-cip-11-0701</x:v>
      </x:c>
      <x:c r="E866" s="17" t="str"/>
      <x:c r="F866" s="17" t="str">
        <x:v>discovery</x:v>
      </x:c>
      <x:c r="G866" s="17" t="str">
        <x:v>Stage 2 recorded this row as a discovery candidate; it does not independently verify an exact current research program, eligibility, or funding.</x:v>
      </x:c>
      <x:c r="H866" s="17" t="str">
        <x:v>Pass 2 Stage 2 candidate funnel</x:v>
      </x:c>
      <x:c r="I866" s="17" t="str">
        <x:v>Graduate audit pipeline</x:v>
      </x:c>
      <x:c r="J866" s="17" t="str">
        <x:v>derived</x:v>
      </x:c>
      <x:c r="K866" s="17" t="str">
        <x:v>2026-09-11</x:v>
      </x:c>
      <x:c r="L866" s="17" t="str">
        <x:v>Not cycle-specific</x:v>
      </x:c>
      <x:c r="M866" s="17" t="str">
        <x:v>low</x:v>
      </x:c>
      <x:c r="N866" s="17" t="str">
        <x:v>Discovery evidence only</x:v>
      </x:c>
      <x:c r="O866" s="17" t="str">
        <x:v>Use the source_record_paths field to trace the underlying discovery inputs.</x:v>
      </x:c>
      <x:c r="P866" s="18" t="e">
        <x:f>HYPERLINK("https://www.newhaven.edu","Open source")</x:f>
        <x:v>HYPERLINK is not implemented. linkLocation=https://www.newhaven.edu, friendlyName=Open source</x:v>
      </x:c>
    </x:row>
    <x:row r="867" ht="46" customHeight="1">
      <x:c r="A867" s="17" t="str">
        <x:v>stage3src:61602251026f888c2464</x:v>
      </x:c>
      <x:c r="B867" s="17" t="str">
        <x:v>program</x:v>
      </x:c>
      <x:c r="C867" s="17" t="str">
        <x:v>University of New Haven</x:v>
      </x:c>
      <x:c r="D867" s="17" t="str">
        <x:v>us:ipeds:129941:program:unclear:ipeds-discovery-signal-cyber-computer-forensics-and-counterterrorism-cip-43-0403</x:v>
      </x:c>
      <x:c r="E867" s="17" t="str"/>
      <x:c r="F867" s="17" t="str">
        <x:v>discovery</x:v>
      </x:c>
      <x:c r="G867" s="17" t="str">
        <x:v>Stage 2 recorded this row as a discovery candidate; it does not independently verify an exact current research program, eligibility, or funding.</x:v>
      </x:c>
      <x:c r="H867" s="17" t="str">
        <x:v>Pass 2 Stage 2 candidate funnel</x:v>
      </x:c>
      <x:c r="I867" s="17" t="str">
        <x:v>Graduate audit pipeline</x:v>
      </x:c>
      <x:c r="J867" s="17" t="str">
        <x:v>derived</x:v>
      </x:c>
      <x:c r="K867" s="17" t="str">
        <x:v>2026-09-11</x:v>
      </x:c>
      <x:c r="L867" s="17" t="str">
        <x:v>Not cycle-specific</x:v>
      </x:c>
      <x:c r="M867" s="17" t="str">
        <x:v>low</x:v>
      </x:c>
      <x:c r="N867" s="17" t="str">
        <x:v>Discovery evidence only</x:v>
      </x:c>
      <x:c r="O867" s="17" t="str">
        <x:v>Use the source_record_paths field to trace the underlying discovery inputs.</x:v>
      </x:c>
      <x:c r="P867" s="18" t="e">
        <x:f>HYPERLINK("https://www.newhaven.edu","Open source")</x:f>
        <x:v>HYPERLINK is not implemented. linkLocation=https://www.newhaven.edu, friendlyName=Open source</x:v>
      </x:c>
    </x:row>
    <x:row r="868" ht="46" customHeight="1">
      <x:c r="A868" s="17" t="str">
        <x:v>stage3src:f0b4300eb4d01c5f01a1</x:v>
      </x:c>
      <x:c r="B868" s="17" t="str">
        <x:v>program</x:v>
      </x:c>
      <x:c r="C868" s="17" t="str">
        <x:v>University of New Haven</x:v>
      </x:c>
      <x:c r="D868" s="17" t="str">
        <x:v>us:ipeds:129941:program:unclear:ipeds-discovery-signal-electrical-and-electronics-engineering-cip-14-1001</x:v>
      </x:c>
      <x:c r="E868" s="17" t="str"/>
      <x:c r="F868" s="17" t="str">
        <x:v>discovery</x:v>
      </x:c>
      <x:c r="G868" s="17" t="str">
        <x:v>Stage 2 recorded this row as a discovery candidate; it does not independently verify an exact current research program, eligibility, or funding.</x:v>
      </x:c>
      <x:c r="H868" s="17" t="str">
        <x:v>Pass 2 Stage 2 candidate funnel</x:v>
      </x:c>
      <x:c r="I868" s="17" t="str">
        <x:v>Graduate audit pipeline</x:v>
      </x:c>
      <x:c r="J868" s="17" t="str">
        <x:v>derived</x:v>
      </x:c>
      <x:c r="K868" s="17" t="str">
        <x:v>2026-09-11</x:v>
      </x:c>
      <x:c r="L868" s="17" t="str">
        <x:v>Not cycle-specific</x:v>
      </x:c>
      <x:c r="M868" s="17" t="str">
        <x:v>low</x:v>
      </x:c>
      <x:c r="N868" s="17" t="str">
        <x:v>Discovery evidence only</x:v>
      </x:c>
      <x:c r="O868" s="17" t="str">
        <x:v>Use the source_record_paths field to trace the underlying discovery inputs.</x:v>
      </x:c>
      <x:c r="P868" s="18" t="e">
        <x:f>HYPERLINK("https://www.newhaven.edu","Open source")</x:f>
        <x:v>HYPERLINK is not implemented. linkLocation=https://www.newhaven.edu, friendlyName=Open source</x:v>
      </x:c>
    </x:row>
    <x:row r="869" ht="46" customHeight="1">
      <x:c r="A869" s="17" t="str">
        <x:v>stage3src:1172daf19854cfa0e0a4</x:v>
      </x:c>
      <x:c r="B869" s="17" t="str">
        <x:v>program</x:v>
      </x:c>
      <x:c r="C869" s="17" t="str">
        <x:v>Quinnipiac University</x:v>
      </x:c>
      <x:c r="D869" s="17" t="str">
        <x:v>us:ipeds:130226:program:unclear:ipeds-discovery-signal-computer-and-information-systems-security-auditing-information-assurance-cip-11-1003</x:v>
      </x:c>
      <x:c r="E869" s="17" t="str"/>
      <x:c r="F869" s="17" t="str">
        <x:v>discovery</x:v>
      </x:c>
      <x:c r="G869" s="17" t="str">
        <x:v>Stage 2 recorded this row as a discovery candidate; it does not independently verify an exact current research program, eligibility, or funding.</x:v>
      </x:c>
      <x:c r="H869" s="17" t="str">
        <x:v>Pass 2 Stage 2 candidate funnel</x:v>
      </x:c>
      <x:c r="I869" s="17" t="str">
        <x:v>Graduate audit pipeline</x:v>
      </x:c>
      <x:c r="J869" s="17" t="str">
        <x:v>derived</x:v>
      </x:c>
      <x:c r="K869" s="17" t="str">
        <x:v>2026-09-11</x:v>
      </x:c>
      <x:c r="L869" s="17" t="str">
        <x:v>Not cycle-specific</x:v>
      </x:c>
      <x:c r="M869" s="17" t="str">
        <x:v>low</x:v>
      </x:c>
      <x:c r="N869" s="17" t="str">
        <x:v>Discovery evidence only</x:v>
      </x:c>
      <x:c r="O869" s="17" t="str">
        <x:v>Use the source_record_paths field to trace the underlying discovery inputs.</x:v>
      </x:c>
      <x:c r="P869" s="18" t="e">
        <x:f>HYPERLINK("https://www.qu.edu","Open source")</x:f>
        <x:v>HYPERLINK is not implemented. linkLocation=https://www.qu.edu, friendlyName=Open source</x:v>
      </x:c>
    </x:row>
    <x:row r="870" ht="46" customHeight="1">
      <x:c r="A870" s="17" t="str">
        <x:v>stage3src:0f9e9a11186d48bfe01e</x:v>
      </x:c>
      <x:c r="B870" s="17" t="str">
        <x:v>program</x:v>
      </x:c>
      <x:c r="C870" s="17" t="str">
        <x:v>Sacred Heart University</x:v>
      </x:c>
      <x:c r="D870" s="17" t="str">
        <x:v>us:ipeds:130253:program:unclear:ipeds-discovery-signal-computer-and-information-sciences-general-cip-11-0101</x:v>
      </x:c>
      <x:c r="E870" s="17" t="str"/>
      <x:c r="F870" s="17" t="str">
        <x:v>discovery</x:v>
      </x:c>
      <x:c r="G870" s="17" t="str">
        <x:v>Stage 2 recorded this row as a discovery candidate; it does not independently verify an exact current research program, eligibility, or funding.</x:v>
      </x:c>
      <x:c r="H870" s="17" t="str">
        <x:v>Pass 2 Stage 2 candidate funnel</x:v>
      </x:c>
      <x:c r="I870" s="17" t="str">
        <x:v>Graduate audit pipeline</x:v>
      </x:c>
      <x:c r="J870" s="17" t="str">
        <x:v>derived</x:v>
      </x:c>
      <x:c r="K870" s="17" t="str">
        <x:v>2026-09-11</x:v>
      </x:c>
      <x:c r="L870" s="17" t="str">
        <x:v>Not cycle-specific</x:v>
      </x:c>
      <x:c r="M870" s="17" t="str">
        <x:v>low</x:v>
      </x:c>
      <x:c r="N870" s="17" t="str">
        <x:v>Discovery evidence only</x:v>
      </x:c>
      <x:c r="O870" s="17" t="str">
        <x:v>Use the source_record_paths field to trace the underlying discovery inputs.</x:v>
      </x:c>
      <x:c r="P870" s="18" t="e">
        <x:f>HYPERLINK("https://www.sacredheart.edu","Open source")</x:f>
        <x:v>HYPERLINK is not implemented. linkLocation=https://www.sacredheart.edu, friendlyName=Open source</x:v>
      </x:c>
    </x:row>
    <x:row r="871" ht="46" customHeight="1">
      <x:c r="A871" s="17" t="str">
        <x:v>stage3src:d3b10c5eb11823d44579</x:v>
      </x:c>
      <x:c r="B871" s="17" t="str">
        <x:v>program</x:v>
      </x:c>
      <x:c r="C871" s="17" t="str">
        <x:v>Sacred Heart University</x:v>
      </x:c>
      <x:c r="D871" s="17" t="str">
        <x:v>us:ipeds:130253:program:unclear:ipeds-discovery-signal-cyber-computer-forensics-and-counterterrorism-cip-43-0403</x:v>
      </x:c>
      <x:c r="E871" s="17" t="str"/>
      <x:c r="F871" s="17" t="str">
        <x:v>discovery</x:v>
      </x:c>
      <x:c r="G871" s="17" t="str">
        <x:v>Stage 2 recorded this row as a discovery candidate; it does not independently verify an exact current research program, eligibility, or funding.</x:v>
      </x:c>
      <x:c r="H871" s="17" t="str">
        <x:v>Pass 2 Stage 2 candidate funnel</x:v>
      </x:c>
      <x:c r="I871" s="17" t="str">
        <x:v>Graduate audit pipeline</x:v>
      </x:c>
      <x:c r="J871" s="17" t="str">
        <x:v>derived</x:v>
      </x:c>
      <x:c r="K871" s="17" t="str">
        <x:v>2026-09-11</x:v>
      </x:c>
      <x:c r="L871" s="17" t="str">
        <x:v>Not cycle-specific</x:v>
      </x:c>
      <x:c r="M871" s="17" t="str">
        <x:v>low</x:v>
      </x:c>
      <x:c r="N871" s="17" t="str">
        <x:v>Discovery evidence only</x:v>
      </x:c>
      <x:c r="O871" s="17" t="str">
        <x:v>Use the source_record_paths field to trace the underlying discovery inputs.</x:v>
      </x:c>
      <x:c r="P871" s="18" t="e">
        <x:f>HYPERLINK("https://www.sacredheart.edu","Open source")</x:f>
        <x:v>HYPERLINK is not implemented. linkLocation=https://www.sacredheart.edu, friendlyName=Open source</x:v>
      </x:c>
    </x:row>
    <x:row r="872" ht="46" customHeight="1">
      <x:c r="A872" s="17" t="str">
        <x:v>stage3src:ab9f9fe302dedc2086e4</x:v>
      </x:c>
      <x:c r="B872" s="17" t="str">
        <x:v>program</x:v>
      </x:c>
      <x:c r="C872" s="17" t="str">
        <x:v>Southern Connecticut State University</x:v>
      </x:c>
      <x:c r="D872" s="17" t="str">
        <x:v>us:ipeds:130493:program:unclear:ipeds-discovery-signal-computer-and-information-sciences-general-cip-11-0101</x:v>
      </x:c>
      <x:c r="E872" s="17" t="str"/>
      <x:c r="F872" s="17" t="str">
        <x:v>discovery</x:v>
      </x:c>
      <x:c r="G872" s="17" t="str">
        <x:v>Stage 2 recorded this row as a discovery candidate; it does not independently verify an exact current research program, eligibility, or funding.</x:v>
      </x:c>
      <x:c r="H872" s="17" t="str">
        <x:v>Pass 2 Stage 2 candidate funnel</x:v>
      </x:c>
      <x:c r="I872" s="17" t="str">
        <x:v>Graduate audit pipeline</x:v>
      </x:c>
      <x:c r="J872" s="17" t="str">
        <x:v>derived</x:v>
      </x:c>
      <x:c r="K872" s="17" t="str">
        <x:v>2026-09-11</x:v>
      </x:c>
      <x:c r="L872" s="17" t="str">
        <x:v>Not cycle-specific</x:v>
      </x:c>
      <x:c r="M872" s="17" t="str">
        <x:v>low</x:v>
      </x:c>
      <x:c r="N872" s="17" t="str">
        <x:v>Discovery evidence only</x:v>
      </x:c>
      <x:c r="O872" s="17" t="str">
        <x:v>Use the source_record_paths field to trace the underlying discovery inputs.</x:v>
      </x:c>
      <x:c r="P872" s="18" t="e">
        <x:f>HYPERLINK("https://www.southernct.edu","Open source")</x:f>
        <x:v>HYPERLINK is not implemented. linkLocation=https://www.southernct.edu, friendlyName=Open source</x:v>
      </x:c>
    </x:row>
    <x:row r="873" ht="46" customHeight="1">
      <x:c r="A873" s="17" t="str">
        <x:v>stage3src:092dc5d6b63fbd294ef8</x:v>
      </x:c>
      <x:c r="B873" s="17" t="str">
        <x:v>program</x:v>
      </x:c>
      <x:c r="C873" s="17" t="str">
        <x:v>Wesleyan University</x:v>
      </x:c>
      <x:c r="D873" s="17" t="str">
        <x:v>us:ipeds:130697:program:unclear:ipeds-discovery-signal-computer-science-cip-11-0701</x:v>
      </x:c>
      <x:c r="E873" s="17" t="str"/>
      <x:c r="F873" s="17" t="str">
        <x:v>discovery</x:v>
      </x:c>
      <x:c r="G873" s="17" t="str">
        <x:v>Stage 2 recorded this row as a discovery candidate; it does not independently verify an exact current research program, eligibility, or funding.</x:v>
      </x:c>
      <x:c r="H873" s="17" t="str">
        <x:v>Pass 2 Stage 2 candidate funnel</x:v>
      </x:c>
      <x:c r="I873" s="17" t="str">
        <x:v>Graduate audit pipeline</x:v>
      </x:c>
      <x:c r="J873" s="17" t="str">
        <x:v>derived</x:v>
      </x:c>
      <x:c r="K873" s="17" t="str">
        <x:v>2026-09-11</x:v>
      </x:c>
      <x:c r="L873" s="17" t="str">
        <x:v>Not cycle-specific</x:v>
      </x:c>
      <x:c r="M873" s="17" t="str">
        <x:v>low</x:v>
      </x:c>
      <x:c r="N873" s="17" t="str">
        <x:v>Discovery evidence only</x:v>
      </x:c>
      <x:c r="O873" s="17" t="str">
        <x:v>Use the source_record_paths field to trace the underlying discovery inputs.</x:v>
      </x:c>
      <x:c r="P873" s="18" t="e">
        <x:f>HYPERLINK("https://www.wesleyan.edu","Open source")</x:f>
        <x:v>HYPERLINK is not implemented. linkLocation=https://www.wesleyan.edu, friendlyName=Open source</x:v>
      </x:c>
    </x:row>
    <x:row r="874" ht="46" customHeight="1">
      <x:c r="A874" s="17" t="str">
        <x:v>stage3src:78b4469e1c9a5c386b78</x:v>
      </x:c>
      <x:c r="B874" s="17" t="str">
        <x:v>program</x:v>
      </x:c>
      <x:c r="C874" s="17" t="str">
        <x:v>Yale University</x:v>
      </x:c>
      <x:c r="D874" s="17" t="str">
        <x:v>us:ipeds:130794:program:unclear:ipeds-discovery-signal-computer-and-information-sciences-general-cip-11-0101</x:v>
      </x:c>
      <x:c r="E874" s="17" t="str"/>
      <x:c r="F874" s="17" t="str">
        <x:v>discovery</x:v>
      </x:c>
      <x:c r="G874" s="17" t="str">
        <x:v>Stage 2 recorded this row as a discovery candidate; it does not independently verify an exact current research program, eligibility, or funding.</x:v>
      </x:c>
      <x:c r="H874" s="17" t="str">
        <x:v>Pass 2 Stage 2 candidate funnel</x:v>
      </x:c>
      <x:c r="I874" s="17" t="str">
        <x:v>Graduate audit pipeline</x:v>
      </x:c>
      <x:c r="J874" s="17" t="str">
        <x:v>derived</x:v>
      </x:c>
      <x:c r="K874" s="17" t="str">
        <x:v>2026-09-11</x:v>
      </x:c>
      <x:c r="L874" s="17" t="str">
        <x:v>Not cycle-specific</x:v>
      </x:c>
      <x:c r="M874" s="17" t="str">
        <x:v>low</x:v>
      </x:c>
      <x:c r="N874" s="17" t="str">
        <x:v>Discovery evidence only</x:v>
      </x:c>
      <x:c r="O874" s="17" t="str">
        <x:v>Use the source_record_paths field to trace the underlying discovery inputs.</x:v>
      </x:c>
      <x:c r="P874" s="18" t="e">
        <x:f>HYPERLINK("https://www.yale.edu","Open source")</x:f>
        <x:v>HYPERLINK is not implemented. linkLocation=https://www.yale.edu, friendlyName=Open source</x:v>
      </x:c>
    </x:row>
    <x:row r="875" ht="46" customHeight="1">
      <x:c r="A875" s="17" t="str">
        <x:v>stage3src:a20ad3262c35815eb1bc</x:v>
      </x:c>
      <x:c r="B875" s="17" t="str">
        <x:v>program</x:v>
      </x:c>
      <x:c r="C875" s="17" t="str">
        <x:v>Yale University</x:v>
      </x:c>
      <x:c r="D875" s="17" t="str">
        <x:v>us:ipeds:130794:program:unclear:ipeds-discovery-signal-electrical-and-electronics-engineering-cip-14-1001</x:v>
      </x:c>
      <x:c r="E875" s="17" t="str"/>
      <x:c r="F875" s="17" t="str">
        <x:v>discovery</x:v>
      </x:c>
      <x:c r="G875" s="17" t="str">
        <x:v>Stage 2 recorded this row as a discovery candidate; it does not independently verify an exact current research program, eligibility, or funding.</x:v>
      </x:c>
      <x:c r="H875" s="17" t="str">
        <x:v>Pass 2 Stage 2 candidate funnel</x:v>
      </x:c>
      <x:c r="I875" s="17" t="str">
        <x:v>Graduate audit pipeline</x:v>
      </x:c>
      <x:c r="J875" s="17" t="str">
        <x:v>derived</x:v>
      </x:c>
      <x:c r="K875" s="17" t="str">
        <x:v>2026-09-11</x:v>
      </x:c>
      <x:c r="L875" s="17" t="str">
        <x:v>Not cycle-specific</x:v>
      </x:c>
      <x:c r="M875" s="17" t="str">
        <x:v>low</x:v>
      </x:c>
      <x:c r="N875" s="17" t="str">
        <x:v>Discovery evidence only</x:v>
      </x:c>
      <x:c r="O875" s="17" t="str">
        <x:v>Use the source_record_paths field to trace the underlying discovery inputs.</x:v>
      </x:c>
      <x:c r="P875" s="18" t="e">
        <x:f>HYPERLINK("https://www.yale.edu","Open source")</x:f>
        <x:v>HYPERLINK is not implemented. linkLocation=https://www.yale.edu, friendlyName=Open source</x:v>
      </x:c>
    </x:row>
    <x:row r="876" ht="46" customHeight="1">
      <x:c r="A876" s="17" t="str">
        <x:v>stage3src:e6bec149ac01385fcbfd</x:v>
      </x:c>
      <x:c r="B876" s="17" t="str">
        <x:v>program</x:v>
      </x:c>
      <x:c r="C876" s="17" t="str">
        <x:v>Delaware State University</x:v>
      </x:c>
      <x:c r="D876" s="17" t="str">
        <x:v>us:ipeds:130934:program:unclear:ipeds-discovery-signal-computer-science-cip-11-0701</x:v>
      </x:c>
      <x:c r="E876" s="17" t="str"/>
      <x:c r="F876" s="17" t="str">
        <x:v>discovery</x:v>
      </x:c>
      <x:c r="G876" s="17" t="str">
        <x:v>Stage 2 recorded this row as a discovery candidate; it does not independently verify an exact current research program, eligibility, or funding.</x:v>
      </x:c>
      <x:c r="H876" s="17" t="str">
        <x:v>Pass 2 Stage 2 candidate funnel</x:v>
      </x:c>
      <x:c r="I876" s="17" t="str">
        <x:v>Graduate audit pipeline</x:v>
      </x:c>
      <x:c r="J876" s="17" t="str">
        <x:v>derived</x:v>
      </x:c>
      <x:c r="K876" s="17" t="str">
        <x:v>2026-09-11</x:v>
      </x:c>
      <x:c r="L876" s="17" t="str">
        <x:v>Not cycle-specific</x:v>
      </x:c>
      <x:c r="M876" s="17" t="str">
        <x:v>low</x:v>
      </x:c>
      <x:c r="N876" s="17" t="str">
        <x:v>Discovery evidence only</x:v>
      </x:c>
      <x:c r="O876" s="17" t="str">
        <x:v>Use the source_record_paths field to trace the underlying discovery inputs.</x:v>
      </x:c>
      <x:c r="P876" s="18" t="e">
        <x:f>HYPERLINK("https://www.desu.edu","Open source")</x:f>
        <x:v>HYPERLINK is not implemented. linkLocation=https://www.desu.edu, friendlyName=Open source</x:v>
      </x:c>
    </x:row>
    <x:row r="877" ht="46" customHeight="1">
      <x:c r="A877" s="17" t="str">
        <x:v>stage3src:55dec22ecea5aefefd94</x:v>
      </x:c>
      <x:c r="B877" s="17" t="str">
        <x:v>program</x:v>
      </x:c>
      <x:c r="C877" s="17" t="str">
        <x:v>University of Delaware</x:v>
      </x:c>
      <x:c r="D877" s="17" t="str">
        <x:v>us:ipeds:130943:program:phd:computer-science-phd</x:v>
      </x:c>
      <x:c r="E877" s="17" t="str"/>
      <x:c r="F877" s="17" t="str">
        <x:v>tuition|fees|funding</x:v>
      </x:c>
      <x:c r="G877" s="17" t="str">
        <x:v>Current graduate mandatory-cost and health-insurance framework, with program-specific tuition caveat.</x:v>
      </x:c>
      <x:c r="H877" s="17" t="str">
        <x:v>Cost of Attendance</x:v>
      </x:c>
      <x:c r="I877" s="17" t="str">
        <x:v>University of Delaware Graduate College</x:v>
      </x:c>
      <x:c r="J877" s="17" t="str">
        <x:v>official</x:v>
      </x:c>
      <x:c r="K877" s="17" t="str">
        <x:v>2026-09-10</x:v>
      </x:c>
      <x:c r="L877" s="17" t="str">
        <x:v>2026-2027</x:v>
      </x:c>
      <x:c r="M877" s="17" t="str">
        <x:v>high</x:v>
      </x:c>
      <x:c r="N877" s="17" t="str">
        <x:v>official page checked</x:v>
      </x:c>
      <x:c r="O877" s="17" t="str"/>
      <x:c r="P877" s="18" t="e">
        <x:f>HYPERLINK("https://www.udel.edu/academics/colleges/grad/prospective-students/cost-of-attendance/","Open source")</x:f>
        <x:v>HYPERLINK is not implemented. linkLocation=https://www.udel.edu/academics/colleges/grad/prospective-students/cost-of-attendance/, friendlyName=Open source</x:v>
      </x:c>
    </x:row>
    <x:row r="878" ht="46" customHeight="1">
      <x:c r="A878" s="17" t="str">
        <x:v>stage3src:9866b2c2a0c415dd9423</x:v>
      </x:c>
      <x:c r="B878" s="17" t="str">
        <x:v>program</x:v>
      </x:c>
      <x:c r="C878" s="17" t="str">
        <x:v>University of Delaware</x:v>
      </x:c>
      <x:c r="D878" s="17" t="str">
        <x:v>us:ipeds:130943:program:phd:computer-science-phd</x:v>
      </x:c>
      <x:c r="E878" s="17" t="str"/>
      <x:c r="F878" s="17" t="str">
        <x:v>program|admissions|deadline|tuition|funding</x:v>
      </x:c>
      <x:c r="G878" s="17" t="str">
        <x:v>Current PhD, deadlines, 2026-2027 CS tuition, and all-or-nearly-all doctoral stipend/full-tuition statement.</x:v>
      </x:c>
      <x:c r="H878" s="17" t="str">
        <x:v>Computer Science</x:v>
      </x:c>
      <x:c r="I878" s="17" t="str">
        <x:v>University of Delaware Graduate College</x:v>
      </x:c>
      <x:c r="J878" s="17" t="str">
        <x:v>official</x:v>
      </x:c>
      <x:c r="K878" s="17" t="str">
        <x:v>2026-09-10</x:v>
      </x:c>
      <x:c r="L878" s="17" t="str">
        <x:v>Current page checked 2026-09-10</x:v>
      </x:c>
      <x:c r="M878" s="17" t="str">
        <x:v>high</x:v>
      </x:c>
      <x:c r="N878" s="17" t="str">
        <x:v>official page checked</x:v>
      </x:c>
      <x:c r="O878" s="17" t="str"/>
      <x:c r="P878" s="18" t="e">
        <x:f>HYPERLINK("https://www.udel.edu/academics/colleges/grad/prospective-students/programs/computer-science/","Open source")</x:f>
        <x:v>HYPERLINK is not implemented. linkLocation=https://www.udel.edu/academics/colleges/grad/prospective-students/programs/computer-science/, friendlyName=Open source</x:v>
      </x:c>
    </x:row>
    <x:row r="879" ht="46" customHeight="1">
      <x:c r="A879" s="17" t="str">
        <x:v>stage3src:aec26d93844ad952e895</x:v>
      </x:c>
      <x:c r="B879" s="17" t="str">
        <x:v>program</x:v>
      </x:c>
      <x:c r="C879" s="17" t="str">
        <x:v>University of Delaware</x:v>
      </x:c>
      <x:c r="D879" s="17" t="str">
        <x:v>us:ipeds:130943:program:phd:computer-science-phd</x:v>
      </x:c>
      <x:c r="E879" s="17" t="str"/>
      <x:c r="F879" s="17" t="str">
        <x:v>admissions|fees</x:v>
      </x:c>
      <x:c r="G879" s="17" t="str">
        <x:v>Graduate application fee is USD 75, waiver categories, and separate application/fee rules for multiple programs.</x:v>
      </x:c>
      <x:c r="H879" s="17" t="str">
        <x:v>Graduate Admissions FAQs</x:v>
      </x:c>
      <x:c r="I879" s="17" t="str">
        <x:v>University of Delaware Graduate College</x:v>
      </x:c>
      <x:c r="J879" s="17" t="str">
        <x:v>official</x:v>
      </x:c>
      <x:c r="K879" s="17" t="str">
        <x:v>2026-09-10</x:v>
      </x:c>
      <x:c r="L879" s="17" t="str">
        <x:v>Current page checked 2026-09-10</x:v>
      </x:c>
      <x:c r="M879" s="17" t="str">
        <x:v>high</x:v>
      </x:c>
      <x:c r="N879" s="17" t="str">
        <x:v>official page checked</x:v>
      </x:c>
      <x:c r="O879" s="17" t="str"/>
      <x:c r="P879" s="18" t="e">
        <x:f>HYPERLINK("https://www.udel.edu/academics/colleges/grad/prospective-students/grad-admissions/admissions-faqs/","Open source")</x:f>
        <x:v>HYPERLINK is not implemented. linkLocation=https://www.udel.edu/academics/colleges/grad/prospective-students/grad-admissions/admissions-faqs/, friendlyName=Open source</x:v>
      </x:c>
    </x:row>
    <x:row r="880" ht="46" customHeight="1">
      <x:c r="A880" s="17" t="str">
        <x:v>stage3src:f02bde3e4231b67a6cea</x:v>
      </x:c>
      <x:c r="B880" s="17" t="str">
        <x:v>program</x:v>
      </x:c>
      <x:c r="C880" s="17" t="str">
        <x:v>University of Delaware</x:v>
      </x:c>
      <x:c r="D880" s="17" t="str">
        <x:v>us:ipeds:130943:program:phd:computer-science-phd</x:v>
      </x:c>
      <x:c r="E880" s="17" t="str"/>
      <x:c r="F880" s="17" t="str">
        <x:v>admissions|eligibility|language|funding|fees</x:v>
      </x:c>
      <x:c r="G880" s="17" t="str">
        <x:v>Bachelor's entry, GPA and prerequisite rules, English exemption, competitive aid routes, tuition coverage, and normal five-year support for funded bachelor's entrants.</x:v>
      </x:c>
      <x:c r="H880" s="17" t="str">
        <x:v>Graduate Admissions</x:v>
      </x:c>
      <x:c r="I880" s="17" t="str">
        <x:v>University of Delaware Computer &amp; Information Sciences</x:v>
      </x:c>
      <x:c r="J880" s="17" t="str">
        <x:v>official</x:v>
      </x:c>
      <x:c r="K880" s="17" t="str">
        <x:v>2026-09-10</x:v>
      </x:c>
      <x:c r="L880" s="17" t="str">
        <x:v>Current page checked 2026-09-10</x:v>
      </x:c>
      <x:c r="M880" s="17" t="str">
        <x:v>high</x:v>
      </x:c>
      <x:c r="N880" s="17" t="str">
        <x:v>official page checked</x:v>
      </x:c>
      <x:c r="O880" s="17" t="str"/>
      <x:c r="P880" s="18" t="e">
        <x:f>HYPERLINK("https://www.cis.udel.edu/academics/graduate-programs/graduate-admissions/","Open source")</x:f>
        <x:v>HYPERLINK is not implemented. linkLocation=https://www.cis.udel.edu/academics/graduate-programs/graduate-admissions/, friendlyName=Open source</x:v>
      </x:c>
    </x:row>
    <x:row r="881" ht="46" customHeight="1">
      <x:c r="A881" s="17" t="str">
        <x:v>stage3src:2917e3804b1db8e61ae1</x:v>
      </x:c>
      <x:c r="B881" s="17" t="str">
        <x:v>program</x:v>
      </x:c>
      <x:c r="C881" s="17" t="str">
        <x:v>University of Delaware</x:v>
      </x:c>
      <x:c r="D881" s="17" t="str">
        <x:v>us:ipeds:130943:program:unclear:ipeds-discovery-signal-computer-and-information-sciences-general-cip-11-0101</x:v>
      </x:c>
      <x:c r="E881" s="17" t="str"/>
      <x:c r="F881" s="17" t="str">
        <x:v>discovery</x:v>
      </x:c>
      <x:c r="G881" s="17" t="str">
        <x:v>Stage 2 recorded this row as a discovery candidate; it does not independently verify an exact current research program, eligibility, or funding.</x:v>
      </x:c>
      <x:c r="H881" s="17" t="str">
        <x:v>Pass 2 Stage 2 candidate funnel</x:v>
      </x:c>
      <x:c r="I881" s="17" t="str">
        <x:v>Graduate audit pipeline</x:v>
      </x:c>
      <x:c r="J881" s="17" t="str">
        <x:v>derived</x:v>
      </x:c>
      <x:c r="K881" s="17" t="str">
        <x:v>2026-09-11</x:v>
      </x:c>
      <x:c r="L881" s="17" t="str">
        <x:v>Not cycle-specific</x:v>
      </x:c>
      <x:c r="M881" s="17" t="str">
        <x:v>low</x:v>
      </x:c>
      <x:c r="N881" s="17" t="str">
        <x:v>Discovery evidence only</x:v>
      </x:c>
      <x:c r="O881" s="17" t="str">
        <x:v>Use the source_record_paths field to trace the underlying discovery inputs.</x:v>
      </x:c>
      <x:c r="P881" s="18" t="e">
        <x:f>HYPERLINK("https://www.udel.edu","Open source")</x:f>
        <x:v>HYPERLINK is not implemented. linkLocation=https://www.udel.edu, friendlyName=Open source</x:v>
      </x:c>
    </x:row>
    <x:row r="882" ht="46" customHeight="1">
      <x:c r="A882" s="17" t="str">
        <x:v>stage3src:3c74ab7fe7e6b9fe1809</x:v>
      </x:c>
      <x:c r="B882" s="17" t="str">
        <x:v>program</x:v>
      </x:c>
      <x:c r="C882" s="17" t="str">
        <x:v>University of Delaware</x:v>
      </x:c>
      <x:c r="D882" s="17" t="str">
        <x:v>us:ipeds:130943:program:unclear:ipeds-discovery-signal-computer-and-information-systems-security-auditing-information-assurance-cip-11-1003</x:v>
      </x:c>
      <x:c r="E882" s="17" t="str"/>
      <x:c r="F882" s="17" t="str">
        <x:v>discovery</x:v>
      </x:c>
      <x:c r="G882" s="17" t="str">
        <x:v>Stage 2 recorded this row as a discovery candidate; it does not independently verify an exact current research program, eligibility, or funding.</x:v>
      </x:c>
      <x:c r="H882" s="17" t="str">
        <x:v>Pass 2 Stage 2 candidate funnel</x:v>
      </x:c>
      <x:c r="I882" s="17" t="str">
        <x:v>Graduate audit pipeline</x:v>
      </x:c>
      <x:c r="J882" s="17" t="str">
        <x:v>derived</x:v>
      </x:c>
      <x:c r="K882" s="17" t="str">
        <x:v>2026-09-11</x:v>
      </x:c>
      <x:c r="L882" s="17" t="str">
        <x:v>Not cycle-specific</x:v>
      </x:c>
      <x:c r="M882" s="17" t="str">
        <x:v>low</x:v>
      </x:c>
      <x:c r="N882" s="17" t="str">
        <x:v>Discovery evidence only</x:v>
      </x:c>
      <x:c r="O882" s="17" t="str">
        <x:v>Use the source_record_paths field to trace the underlying discovery inputs.</x:v>
      </x:c>
      <x:c r="P882" s="18" t="e">
        <x:f>HYPERLINK("https://www.udel.edu","Open source")</x:f>
        <x:v>HYPERLINK is not implemented. linkLocation=https://www.udel.edu, friendlyName=Open source</x:v>
      </x:c>
    </x:row>
    <x:row r="883" ht="46" customHeight="1">
      <x:c r="A883" s="17" t="str">
        <x:v>stage3src:3473f0ee76b08c0c274b</x:v>
      </x:c>
      <x:c r="B883" s="17" t="str">
        <x:v>program</x:v>
      </x:c>
      <x:c r="C883" s="17" t="str">
        <x:v>University of Delaware</x:v>
      </x:c>
      <x:c r="D883" s="17" t="str">
        <x:v>us:ipeds:130943:program:unclear:ipeds-discovery-signal-computer-engineering-general-cip-14-0901</x:v>
      </x:c>
      <x:c r="E883" s="17" t="str"/>
      <x:c r="F883" s="17" t="str">
        <x:v>discovery</x:v>
      </x:c>
      <x:c r="G883" s="17" t="str">
        <x:v>Stage 2 recorded this row as a discovery candidate; it does not independently verify an exact current research program, eligibility, or funding.</x:v>
      </x:c>
      <x:c r="H883" s="17" t="str">
        <x:v>Pass 2 Stage 2 candidate funnel</x:v>
      </x:c>
      <x:c r="I883" s="17" t="str">
        <x:v>Graduate audit pipeline</x:v>
      </x:c>
      <x:c r="J883" s="17" t="str">
        <x:v>derived</x:v>
      </x:c>
      <x:c r="K883" s="17" t="str">
        <x:v>2026-09-11</x:v>
      </x:c>
      <x:c r="L883" s="17" t="str">
        <x:v>Not cycle-specific</x:v>
      </x:c>
      <x:c r="M883" s="17" t="str">
        <x:v>low</x:v>
      </x:c>
      <x:c r="N883" s="17" t="str">
        <x:v>Discovery evidence only</x:v>
      </x:c>
      <x:c r="O883" s="17" t="str">
        <x:v>Use the source_record_paths field to trace the underlying discovery inputs.</x:v>
      </x:c>
      <x:c r="P883" s="18" t="e">
        <x:f>HYPERLINK("https://www.udel.edu","Open source")</x:f>
        <x:v>HYPERLINK is not implemented. linkLocation=https://www.udel.edu, friendlyName=Open source</x:v>
      </x:c>
    </x:row>
    <x:row r="884" ht="46" customHeight="1">
      <x:c r="A884" s="17" t="str">
        <x:v>stage3src:393713c3b553239e46f6</x:v>
      </x:c>
      <x:c r="B884" s="17" t="str">
        <x:v>program</x:v>
      </x:c>
      <x:c r="C884" s="17" t="str">
        <x:v>University of Delaware</x:v>
      </x:c>
      <x:c r="D884" s="17" t="str">
        <x:v>us:ipeds:130943:program:unclear:ipeds-discovery-signal-data-science-general-cip-30-7001</x:v>
      </x:c>
      <x:c r="E884" s="17" t="str"/>
      <x:c r="F884" s="17" t="str">
        <x:v>discovery</x:v>
      </x:c>
      <x:c r="G884" s="17" t="str">
        <x:v>Stage 2 recorded this row as a discovery candidate; it does not independently verify an exact current research program, eligibility, or funding.</x:v>
      </x:c>
      <x:c r="H884" s="17" t="str">
        <x:v>Pass 2 Stage 2 candidate funnel</x:v>
      </x:c>
      <x:c r="I884" s="17" t="str">
        <x:v>Graduate audit pipeline</x:v>
      </x:c>
      <x:c r="J884" s="17" t="str">
        <x:v>derived</x:v>
      </x:c>
      <x:c r="K884" s="17" t="str">
        <x:v>2026-09-11</x:v>
      </x:c>
      <x:c r="L884" s="17" t="str">
        <x:v>Not cycle-specific</x:v>
      </x:c>
      <x:c r="M884" s="17" t="str">
        <x:v>low</x:v>
      </x:c>
      <x:c r="N884" s="17" t="str">
        <x:v>Discovery evidence only</x:v>
      </x:c>
      <x:c r="O884" s="17" t="str">
        <x:v>Use the source_record_paths field to trace the underlying discovery inputs.</x:v>
      </x:c>
      <x:c r="P884" s="18" t="e">
        <x:f>HYPERLINK("https://www.udel.edu","Open source")</x:f>
        <x:v>HYPERLINK is not implemented. linkLocation=https://www.udel.edu, friendlyName=Open source</x:v>
      </x:c>
    </x:row>
    <x:row r="885" ht="46" customHeight="1">
      <x:c r="A885" s="17" t="str">
        <x:v>stage3src:c10e621a46c44e05e07c</x:v>
      </x:c>
      <x:c r="B885" s="17" t="str">
        <x:v>program</x:v>
      </x:c>
      <x:c r="C885" s="17" t="str">
        <x:v>University of Delaware</x:v>
      </x:c>
      <x:c r="D885" s="17" t="str">
        <x:v>us:ipeds:130943:program:unclear:ipeds-discovery-signal-information-science-studies-cip-11-0401</x:v>
      </x:c>
      <x:c r="E885" s="17" t="str"/>
      <x:c r="F885" s="17" t="str">
        <x:v>discovery</x:v>
      </x:c>
      <x:c r="G885" s="17" t="str">
        <x:v>Stage 2 recorded this row as a discovery candidate; it does not independently verify an exact current research program, eligibility, or funding.</x:v>
      </x:c>
      <x:c r="H885" s="17" t="str">
        <x:v>Pass 2 Stage 2 candidate funnel</x:v>
      </x:c>
      <x:c r="I885" s="17" t="str">
        <x:v>Graduate audit pipeline</x:v>
      </x:c>
      <x:c r="J885" s="17" t="str">
        <x:v>derived</x:v>
      </x:c>
      <x:c r="K885" s="17" t="str">
        <x:v>2026-09-11</x:v>
      </x:c>
      <x:c r="L885" s="17" t="str">
        <x:v>Not cycle-specific</x:v>
      </x:c>
      <x:c r="M885" s="17" t="str">
        <x:v>low</x:v>
      </x:c>
      <x:c r="N885" s="17" t="str">
        <x:v>Discovery evidence only</x:v>
      </x:c>
      <x:c r="O885" s="17" t="str">
        <x:v>Use the source_record_paths field to trace the underlying discovery inputs.</x:v>
      </x:c>
      <x:c r="P885" s="18" t="e">
        <x:f>HYPERLINK("https://www.udel.edu","Open source")</x:f>
        <x:v>HYPERLINK is not implemented. linkLocation=https://www.udel.edu, friendlyName=Open source</x:v>
      </x:c>
    </x:row>
    <x:row r="886" ht="46" customHeight="1">
      <x:c r="A886" s="17" t="str">
        <x:v>stage3src:c4164200d7bf717329b9</x:v>
      </x:c>
      <x:c r="B886" s="17" t="str">
        <x:v>program</x:v>
      </x:c>
      <x:c r="C886" s="17" t="str">
        <x:v>University of Delaware</x:v>
      </x:c>
      <x:c r="D886" s="17" t="str">
        <x:v>us:ipeds:130943:program:unclear:ipeds-discovery-signal-mechatronics-robotics-and-automation-engineering-cip-14-4201</x:v>
      </x:c>
      <x:c r="E886" s="17" t="str"/>
      <x:c r="F886" s="17" t="str">
        <x:v>discovery</x:v>
      </x:c>
      <x:c r="G886" s="17" t="str">
        <x:v>Stage 2 recorded this row as a discovery candidate; it does not independently verify an exact current research program, eligibility, or funding.</x:v>
      </x:c>
      <x:c r="H886" s="17" t="str">
        <x:v>Pass 2 Stage 2 candidate funnel</x:v>
      </x:c>
      <x:c r="I886" s="17" t="str">
        <x:v>Graduate audit pipeline</x:v>
      </x:c>
      <x:c r="J886" s="17" t="str">
        <x:v>derived</x:v>
      </x:c>
      <x:c r="K886" s="17" t="str">
        <x:v>2026-09-11</x:v>
      </x:c>
      <x:c r="L886" s="17" t="str">
        <x:v>Not cycle-specific</x:v>
      </x:c>
      <x:c r="M886" s="17" t="str">
        <x:v>low</x:v>
      </x:c>
      <x:c r="N886" s="17" t="str">
        <x:v>Discovery evidence only</x:v>
      </x:c>
      <x:c r="O886" s="17" t="str">
        <x:v>Use the source_record_paths field to trace the underlying discovery inputs.</x:v>
      </x:c>
      <x:c r="P886" s="18" t="e">
        <x:f>HYPERLINK("https://www.udel.edu","Open source")</x:f>
        <x:v>HYPERLINK is not implemented. linkLocation=https://www.udel.edu, friendlyName=Open source</x:v>
      </x:c>
    </x:row>
    <x:row r="887" ht="46" customHeight="1">
      <x:c r="A887" s="17" t="str">
        <x:v>stage3src:aab07a7f9bb82147b74d</x:v>
      </x:c>
      <x:c r="B887" s="17" t="str">
        <x:v>program</x:v>
      </x:c>
      <x:c r="C887" s="17" t="str">
        <x:v>Wilmington University</x:v>
      </x:c>
      <x:c r="D887" s="17" t="str">
        <x:v>us:ipeds:131113:program:unclear:ipeds-discovery-signal-computer-and-information-systems-security-auditing-information-assurance-cip-11-1003</x:v>
      </x:c>
      <x:c r="E887" s="17" t="str"/>
      <x:c r="F887" s="17" t="str">
        <x:v>discovery</x:v>
      </x:c>
      <x:c r="G887" s="17" t="str">
        <x:v>Stage 2 recorded this row as a discovery candidate; it does not independently verify an exact current research program, eligibility, or funding.</x:v>
      </x:c>
      <x:c r="H887" s="17" t="str">
        <x:v>Pass 2 Stage 2 candidate funnel</x:v>
      </x:c>
      <x:c r="I887" s="17" t="str">
        <x:v>Graduate audit pipeline</x:v>
      </x:c>
      <x:c r="J887" s="17" t="str">
        <x:v>derived</x:v>
      </x:c>
      <x:c r="K887" s="17" t="str">
        <x:v>2026-09-11</x:v>
      </x:c>
      <x:c r="L887" s="17" t="str">
        <x:v>Not cycle-specific</x:v>
      </x:c>
      <x:c r="M887" s="17" t="str">
        <x:v>low</x:v>
      </x:c>
      <x:c r="N887" s="17" t="str">
        <x:v>Discovery evidence only</x:v>
      </x:c>
      <x:c r="O887" s="17" t="str">
        <x:v>Use the source_record_paths field to trace the underlying discovery inputs.</x:v>
      </x:c>
      <x:c r="P887" s="18" t="e">
        <x:f>HYPERLINK("https://www.wilmu.edu","Open source")</x:f>
        <x:v>HYPERLINK is not implemented. linkLocation=https://www.wilmu.edu, friendlyName=Open source</x:v>
      </x:c>
    </x:row>
    <x:row r="888" ht="46" customHeight="1">
      <x:c r="A888" s="17" t="str">
        <x:v>stage3src:893662a7e07df2f10f1e</x:v>
      </x:c>
      <x:c r="B888" s="17" t="str">
        <x:v>program</x:v>
      </x:c>
      <x:c r="C888" s="17" t="str">
        <x:v>American University</x:v>
      </x:c>
      <x:c r="D888" s="17" t="str">
        <x:v>us:ipeds:131159:program:unclear:ipeds-discovery-signal-computer-science-cip-11-0701</x:v>
      </x:c>
      <x:c r="E888" s="17" t="str"/>
      <x:c r="F888" s="17" t="str">
        <x:v>discovery</x:v>
      </x:c>
      <x:c r="G888" s="17" t="str">
        <x:v>Stage 2 recorded this row as a discovery candidate; it does not independently verify an exact current research program, eligibility, or funding.</x:v>
      </x:c>
      <x:c r="H888" s="17" t="str">
        <x:v>Pass 2 Stage 2 candidate funnel</x:v>
      </x:c>
      <x:c r="I888" s="17" t="str">
        <x:v>Graduate audit pipeline</x:v>
      </x:c>
      <x:c r="J888" s="17" t="str">
        <x:v>derived</x:v>
      </x:c>
      <x:c r="K888" s="17" t="str">
        <x:v>2026-09-11</x:v>
      </x:c>
      <x:c r="L888" s="17" t="str">
        <x:v>Not cycle-specific</x:v>
      </x:c>
      <x:c r="M888" s="17" t="str">
        <x:v>low</x:v>
      </x:c>
      <x:c r="N888" s="17" t="str">
        <x:v>Discovery evidence only</x:v>
      </x:c>
      <x:c r="O888" s="17" t="str">
        <x:v>Use the source_record_paths field to trace the underlying discovery inputs.</x:v>
      </x:c>
      <x:c r="P888" s="18" t="e">
        <x:f>HYPERLINK("https://www.american.edu","Open source")</x:f>
        <x:v>HYPERLINK is not implemented. linkLocation=https://www.american.edu, friendlyName=Open source</x:v>
      </x:c>
    </x:row>
    <x:row r="889" ht="46" customHeight="1">
      <x:c r="A889" s="17" t="str">
        <x:v>stage3src:3be738fc8da9fa0cf414</x:v>
      </x:c>
      <x:c r="B889" s="17" t="str">
        <x:v>program</x:v>
      </x:c>
      <x:c r="C889" s="17" t="str">
        <x:v>American University</x:v>
      </x:c>
      <x:c r="D889" s="17" t="str">
        <x:v>us:ipeds:131159:program:unclear:ipeds-discovery-signal-data-science-general-cip-30-7001</x:v>
      </x:c>
      <x:c r="E889" s="17" t="str"/>
      <x:c r="F889" s="17" t="str">
        <x:v>discovery</x:v>
      </x:c>
      <x:c r="G889" s="17" t="str">
        <x:v>Stage 2 recorded this row as a discovery candidate; it does not independently verify an exact current research program, eligibility, or funding.</x:v>
      </x:c>
      <x:c r="H889" s="17" t="str">
        <x:v>Pass 2 Stage 2 candidate funnel</x:v>
      </x:c>
      <x:c r="I889" s="17" t="str">
        <x:v>Graduate audit pipeline</x:v>
      </x:c>
      <x:c r="J889" s="17" t="str">
        <x:v>derived</x:v>
      </x:c>
      <x:c r="K889" s="17" t="str">
        <x:v>2026-09-11</x:v>
      </x:c>
      <x:c r="L889" s="17" t="str">
        <x:v>Not cycle-specific</x:v>
      </x:c>
      <x:c r="M889" s="17" t="str">
        <x:v>low</x:v>
      </x:c>
      <x:c r="N889" s="17" t="str">
        <x:v>Discovery evidence only</x:v>
      </x:c>
      <x:c r="O889" s="17" t="str">
        <x:v>Use the source_record_paths field to trace the underlying discovery inputs.</x:v>
      </x:c>
      <x:c r="P889" s="18" t="e">
        <x:f>HYPERLINK("https://www.american.edu","Open source")</x:f>
        <x:v>HYPERLINK is not implemented. linkLocation=https://www.american.edu, friendlyName=Open source</x:v>
      </x:c>
    </x:row>
    <x:row r="890" ht="46" customHeight="1">
      <x:c r="A890" s="17" t="str">
        <x:v>stage3src:5ab1f09738a88347e954</x:v>
      </x:c>
      <x:c r="B890" s="17" t="str">
        <x:v>program</x:v>
      </x:c>
      <x:c r="C890" s="17" t="str">
        <x:v>American University</x:v>
      </x:c>
      <x:c r="D890" s="17" t="str">
        <x:v>us:ipeds:131159:program:unclear:ipeds-discovery-signal-information-science-studies-cip-11-0401</x:v>
      </x:c>
      <x:c r="E890" s="17" t="str"/>
      <x:c r="F890" s="17" t="str">
        <x:v>discovery</x:v>
      </x:c>
      <x:c r="G890" s="17" t="str">
        <x:v>Stage 2 recorded this row as a discovery candidate; it does not independently verify an exact current research program, eligibility, or funding.</x:v>
      </x:c>
      <x:c r="H890" s="17" t="str">
        <x:v>Pass 2 Stage 2 candidate funnel</x:v>
      </x:c>
      <x:c r="I890" s="17" t="str">
        <x:v>Graduate audit pipeline</x:v>
      </x:c>
      <x:c r="J890" s="17" t="str">
        <x:v>derived</x:v>
      </x:c>
      <x:c r="K890" s="17" t="str">
        <x:v>2026-09-11</x:v>
      </x:c>
      <x:c r="L890" s="17" t="str">
        <x:v>Not cycle-specific</x:v>
      </x:c>
      <x:c r="M890" s="17" t="str">
        <x:v>low</x:v>
      </x:c>
      <x:c r="N890" s="17" t="str">
        <x:v>Discovery evidence only</x:v>
      </x:c>
      <x:c r="O890" s="17" t="str">
        <x:v>Use the source_record_paths field to trace the underlying discovery inputs.</x:v>
      </x:c>
      <x:c r="P890" s="18" t="e">
        <x:f>HYPERLINK("https://www.american.edu","Open source")</x:f>
        <x:v>HYPERLINK is not implemented. linkLocation=https://www.american.edu, friendlyName=Open source</x:v>
      </x:c>
    </x:row>
    <x:row r="891" ht="46" customHeight="1">
      <x:c r="A891" s="17" t="str">
        <x:v>stage3src:d430071a4ae8cce68f3a</x:v>
      </x:c>
      <x:c r="B891" s="17" t="str">
        <x:v>program</x:v>
      </x:c>
      <x:c r="C891" s="17" t="str">
        <x:v>The Catholic University of America</x:v>
      </x:c>
      <x:c r="D891" s="17" t="str">
        <x:v>us:ipeds:131283:program:unclear:ipeds-discovery-signal-computer-science-cip-11-0701</x:v>
      </x:c>
      <x:c r="E891" s="17" t="str"/>
      <x:c r="F891" s="17" t="str">
        <x:v>discovery</x:v>
      </x:c>
      <x:c r="G891" s="17" t="str">
        <x:v>Stage 2 recorded this row as a discovery candidate; it does not independently verify an exact current research program, eligibility, or funding.</x:v>
      </x:c>
      <x:c r="H891" s="17" t="str">
        <x:v>Pass 2 Stage 2 candidate funnel</x:v>
      </x:c>
      <x:c r="I891" s="17" t="str">
        <x:v>Graduate audit pipeline</x:v>
      </x:c>
      <x:c r="J891" s="17" t="str">
        <x:v>derived</x:v>
      </x:c>
      <x:c r="K891" s="17" t="str">
        <x:v>2026-09-11</x:v>
      </x:c>
      <x:c r="L891" s="17" t="str">
        <x:v>Not cycle-specific</x:v>
      </x:c>
      <x:c r="M891" s="17" t="str">
        <x:v>low</x:v>
      </x:c>
      <x:c r="N891" s="17" t="str">
        <x:v>Discovery evidence only</x:v>
      </x:c>
      <x:c r="O891" s="17" t="str">
        <x:v>Use the source_record_paths field to trace the underlying discovery inputs.</x:v>
      </x:c>
      <x:c r="P891" s="18" t="e">
        <x:f>HYPERLINK("https://www.catholic.edu","Open source")</x:f>
        <x:v>HYPERLINK is not implemented. linkLocation=https://www.catholic.edu, friendlyName=Open source</x:v>
      </x:c>
    </x:row>
    <x:row r="892" ht="46" customHeight="1">
      <x:c r="A892" s="17" t="str">
        <x:v>stage3src:d00a3c204c9351896137</x:v>
      </x:c>
      <x:c r="B892" s="17" t="str">
        <x:v>program</x:v>
      </x:c>
      <x:c r="C892" s="17" t="str">
        <x:v>The Catholic University of America</x:v>
      </x:c>
      <x:c r="D892" s="17" t="str">
        <x:v>us:ipeds:131283:program:unclear:ipeds-discovery-signal-electrical-and-electronics-engineering-cip-14-1001</x:v>
      </x:c>
      <x:c r="E892" s="17" t="str"/>
      <x:c r="F892" s="17" t="str">
        <x:v>discovery</x:v>
      </x:c>
      <x:c r="G892" s="17" t="str">
        <x:v>Stage 2 recorded this row as a discovery candidate; it does not independently verify an exact current research program, eligibility, or funding.</x:v>
      </x:c>
      <x:c r="H892" s="17" t="str">
        <x:v>Pass 2 Stage 2 candidate funnel</x:v>
      </x:c>
      <x:c r="I892" s="17" t="str">
        <x:v>Graduate audit pipeline</x:v>
      </x:c>
      <x:c r="J892" s="17" t="str">
        <x:v>derived</x:v>
      </x:c>
      <x:c r="K892" s="17" t="str">
        <x:v>2026-09-11</x:v>
      </x:c>
      <x:c r="L892" s="17" t="str">
        <x:v>Not cycle-specific</x:v>
      </x:c>
      <x:c r="M892" s="17" t="str">
        <x:v>low</x:v>
      </x:c>
      <x:c r="N892" s="17" t="str">
        <x:v>Discovery evidence only</x:v>
      </x:c>
      <x:c r="O892" s="17" t="str">
        <x:v>Use the source_record_paths field to trace the underlying discovery inputs.</x:v>
      </x:c>
      <x:c r="P892" s="18" t="e">
        <x:f>HYPERLINK("https://www.catholic.edu","Open source")</x:f>
        <x:v>HYPERLINK is not implemented. linkLocation=https://www.catholic.edu, friendlyName=Open source</x:v>
      </x:c>
    </x:row>
    <x:row r="893" ht="46" customHeight="1">
      <x:c r="A893" s="17" t="str">
        <x:v>stage3src:2af862f5f5765e22338d</x:v>
      </x:c>
      <x:c r="B893" s="17" t="str">
        <x:v>program</x:v>
      </x:c>
      <x:c r="C893" s="17" t="str">
        <x:v>The Catholic University of America</x:v>
      </x:c>
      <x:c r="D893" s="17" t="str">
        <x:v>us:ipeds:131283:program:unclear:ipeds-discovery-signal-information-science-studies-cip-11-0401</x:v>
      </x:c>
      <x:c r="E893" s="17" t="str"/>
      <x:c r="F893" s="17" t="str">
        <x:v>discovery</x:v>
      </x:c>
      <x:c r="G893" s="17" t="str">
        <x:v>Stage 2 recorded this row as a discovery candidate; it does not independently verify an exact current research program, eligibility, or funding.</x:v>
      </x:c>
      <x:c r="H893" s="17" t="str">
        <x:v>Pass 2 Stage 2 candidate funnel</x:v>
      </x:c>
      <x:c r="I893" s="17" t="str">
        <x:v>Graduate audit pipeline</x:v>
      </x:c>
      <x:c r="J893" s="17" t="str">
        <x:v>derived</x:v>
      </x:c>
      <x:c r="K893" s="17" t="str">
        <x:v>2026-09-11</x:v>
      </x:c>
      <x:c r="L893" s="17" t="str">
        <x:v>Not cycle-specific</x:v>
      </x:c>
      <x:c r="M893" s="17" t="str">
        <x:v>low</x:v>
      </x:c>
      <x:c r="N893" s="17" t="str">
        <x:v>Discovery evidence only</x:v>
      </x:c>
      <x:c r="O893" s="17" t="str">
        <x:v>Use the source_record_paths field to trace the underlying discovery inputs.</x:v>
      </x:c>
      <x:c r="P893" s="18" t="e">
        <x:f>HYPERLINK("https://www.catholic.edu","Open source")</x:f>
        <x:v>HYPERLINK is not implemented. linkLocation=https://www.catholic.edu, friendlyName=Open source</x:v>
      </x:c>
    </x:row>
    <x:row r="894" ht="46" customHeight="1">
      <x:c r="A894" s="17" t="str">
        <x:v>stage3src:f38bf96def833db238d3</x:v>
      </x:c>
      <x:c r="B894" s="17" t="str">
        <x:v>program</x:v>
      </x:c>
      <x:c r="C894" s="17" t="str">
        <x:v>University of the District of Columbia</x:v>
      </x:c>
      <x:c r="D894" s="17" t="str">
        <x:v>us:ipeds:131399:program:unclear:ipeds-discovery-signal-computer-science-cip-11-0701</x:v>
      </x:c>
      <x:c r="E894" s="17" t="str"/>
      <x:c r="F894" s="17" t="str">
        <x:v>discovery</x:v>
      </x:c>
      <x:c r="G894" s="17" t="str">
        <x:v>Stage 2 recorded this row as a discovery candidate; it does not independently verify an exact current research program, eligibility, or funding.</x:v>
      </x:c>
      <x:c r="H894" s="17" t="str">
        <x:v>Pass 2 Stage 2 candidate funnel</x:v>
      </x:c>
      <x:c r="I894" s="17" t="str">
        <x:v>Graduate audit pipeline</x:v>
      </x:c>
      <x:c r="J894" s="17" t="str">
        <x:v>derived</x:v>
      </x:c>
      <x:c r="K894" s="17" t="str">
        <x:v>2026-09-11</x:v>
      </x:c>
      <x:c r="L894" s="17" t="str">
        <x:v>Not cycle-specific</x:v>
      </x:c>
      <x:c r="M894" s="17" t="str">
        <x:v>low</x:v>
      </x:c>
      <x:c r="N894" s="17" t="str">
        <x:v>Discovery evidence only</x:v>
      </x:c>
      <x:c r="O894" s="17" t="str">
        <x:v>Use the source_record_paths field to trace the underlying discovery inputs.</x:v>
      </x:c>
      <x:c r="P894" s="18" t="e">
        <x:f>HYPERLINK("https://www.udc.edu","Open source")</x:f>
        <x:v>HYPERLINK is not implemented. linkLocation=https://www.udc.edu, friendlyName=Open source</x:v>
      </x:c>
    </x:row>
    <x:row r="895" ht="46" customHeight="1">
      <x:c r="A895" s="17" t="str">
        <x:v>stage3src:e3630d3b9962af456e7e</x:v>
      </x:c>
      <x:c r="B895" s="17" t="str">
        <x:v>program</x:v>
      </x:c>
      <x:c r="C895" s="17" t="str">
        <x:v>University of the District of Columbia</x:v>
      </x:c>
      <x:c r="D895" s="17" t="str">
        <x:v>us:ipeds:131399:program:unclear:ipeds-discovery-signal-computer-software-engineering-cip-14-0903</x:v>
      </x:c>
      <x:c r="E895" s="17" t="str"/>
      <x:c r="F895" s="17" t="str">
        <x:v>discovery</x:v>
      </x:c>
      <x:c r="G895" s="17" t="str">
        <x:v>Stage 2 recorded this row as a discovery candidate; it does not independently verify an exact current research program, eligibility, or funding.</x:v>
      </x:c>
      <x:c r="H895" s="17" t="str">
        <x:v>Pass 2 Stage 2 candidate funnel</x:v>
      </x:c>
      <x:c r="I895" s="17" t="str">
        <x:v>Graduate audit pipeline</x:v>
      </x:c>
      <x:c r="J895" s="17" t="str">
        <x:v>derived</x:v>
      </x:c>
      <x:c r="K895" s="17" t="str">
        <x:v>2026-09-11</x:v>
      </x:c>
      <x:c r="L895" s="17" t="str">
        <x:v>Not cycle-specific</x:v>
      </x:c>
      <x:c r="M895" s="17" t="str">
        <x:v>low</x:v>
      </x:c>
      <x:c r="N895" s="17" t="str">
        <x:v>Discovery evidence only</x:v>
      </x:c>
      <x:c r="O895" s="17" t="str">
        <x:v>Use the source_record_paths field to trace the underlying discovery inputs.</x:v>
      </x:c>
      <x:c r="P895" s="18" t="e">
        <x:f>HYPERLINK("https://www.udc.edu","Open source")</x:f>
        <x:v>HYPERLINK is not implemented. linkLocation=https://www.udc.edu, friendlyName=Open source</x:v>
      </x:c>
    </x:row>
    <x:row r="896" ht="46" customHeight="1">
      <x:c r="A896" s="17" t="str">
        <x:v>stage3src:4ef0ac94019aa21b2941</x:v>
      </x:c>
      <x:c r="B896" s="17" t="str">
        <x:v>program</x:v>
      </x:c>
      <x:c r="C896" s="17" t="str">
        <x:v>Gallaudet University</x:v>
      </x:c>
      <x:c r="D896" s="17" t="str">
        <x:v>us:ipeds:131450:program:unclear:ipeds-discovery-signal-human-centered-technology-design-cip-11-0105</x:v>
      </x:c>
      <x:c r="E896" s="17" t="str"/>
      <x:c r="F896" s="17" t="str">
        <x:v>discovery</x:v>
      </x:c>
      <x:c r="G896" s="17" t="str">
        <x:v>Stage 2 recorded this row as a discovery candidate; it does not independently verify an exact current research program, eligibility, or funding.</x:v>
      </x:c>
      <x:c r="H896" s="17" t="str">
        <x:v>Pass 2 Stage 2 candidate funnel</x:v>
      </x:c>
      <x:c r="I896" s="17" t="str">
        <x:v>Graduate audit pipeline</x:v>
      </x:c>
      <x:c r="J896" s="17" t="str">
        <x:v>derived</x:v>
      </x:c>
      <x:c r="K896" s="17" t="str">
        <x:v>2026-09-11</x:v>
      </x:c>
      <x:c r="L896" s="17" t="str">
        <x:v>Not cycle-specific</x:v>
      </x:c>
      <x:c r="M896" s="17" t="str">
        <x:v>low</x:v>
      </x:c>
      <x:c r="N896" s="17" t="str">
        <x:v>Discovery evidence only</x:v>
      </x:c>
      <x:c r="O896" s="17" t="str">
        <x:v>Use the source_record_paths field to trace the underlying discovery inputs.</x:v>
      </x:c>
      <x:c r="P896" s="18" t="e">
        <x:f>HYPERLINK("https://gallaudet.edu","Open source")</x:f>
        <x:v>HYPERLINK is not implemented. linkLocation=https://gallaudet.edu, friendlyName=Open source</x:v>
      </x:c>
    </x:row>
    <x:row r="897" ht="46" customHeight="1">
      <x:c r="A897" s="17" t="str">
        <x:v>stage3src:035c324a240b41f9b310</x:v>
      </x:c>
      <x:c r="B897" s="17" t="str">
        <x:v>program</x:v>
      </x:c>
      <x:c r="C897" s="17" t="str">
        <x:v>George Washington University</x:v>
      </x:c>
      <x:c r="D897" s="17" t="str">
        <x:v>us:ipeds:131469:program:phd:phd-in-computer-science</x:v>
      </x:c>
      <x:c r="E897" s="17" t="str"/>
      <x:c r="F897" s="17" t="str">
        <x:v>fees|tuition</x:v>
      </x:c>
      <x:c r="G897" s="17" t="str">
        <x:v>2026-27 application fee, tuition, matriculation, student association, and international student fee amounts.</x:v>
      </x:c>
      <x:c r="H897" s="17" t="str">
        <x:v>Tuition and Fees</x:v>
      </x:c>
      <x:c r="I897" s="17" t="str">
        <x:v>George Washington University</x:v>
      </x:c>
      <x:c r="J897" s="17" t="str">
        <x:v>official</x:v>
      </x:c>
      <x:c r="K897" s="17" t="str">
        <x:v>2026-09-11</x:v>
      </x:c>
      <x:c r="L897" s="17" t="str">
        <x:v>2026-27 rates; Fall 2027 rates not published</x:v>
      </x:c>
      <x:c r="M897" s="17" t="str">
        <x:v>high</x:v>
      </x:c>
      <x:c r="N897" s="17" t="str">
        <x:v>official page checked</x:v>
      </x:c>
      <x:c r="O897" s="17" t="str"/>
      <x:c r="P897" s="18" t="e">
        <x:f>HYPERLINK("https://graduate.engineering.gwu.edu/tuition-and-fees","Open source")</x:f>
        <x:v>HYPERLINK is not implemented. linkLocation=https://graduate.engineering.gwu.edu/tuition-and-fees, friendlyName=Open source</x:v>
      </x:c>
    </x:row>
    <x:row r="898" ht="46" customHeight="1">
      <x:c r="A898" s="17" t="str">
        <x:v>stage3src:296df59b23250c7f7d6f</x:v>
      </x:c>
      <x:c r="B898" s="17" t="str">
        <x:v>program</x:v>
      </x:c>
      <x:c r="C898" s="17" t="str">
        <x:v>George Washington University</x:v>
      </x:c>
      <x:c r="D898" s="17" t="str">
        <x:v>us:ipeds:131469:program:phd:phd-in-computer-science</x:v>
      </x:c>
      <x:c r="E898" s="17" t="str"/>
      <x:c r="F898" s="17" t="str">
        <x:v>admissions|deadline|language</x:v>
      </x:c>
      <x:c r="G898" s="17" t="str">
        <x:v>January 15 Fall deadline, optional GRE, recommendations, and international English requirements and exemption basis.</x:v>
      </x:c>
      <x:c r="H898" s="17" t="str">
        <x:v>Doctor of Philosophy in the Field of Computer Science</x:v>
      </x:c>
      <x:c r="I898" s="17" t="str">
        <x:v>George Washington University Bulletin</x:v>
      </x:c>
      <x:c r="J898" s="17" t="str">
        <x:v>official</x:v>
      </x:c>
      <x:c r="K898" s="17" t="str">
        <x:v>2026-09-11</x:v>
      </x:c>
      <x:c r="L898" s="17" t="str">
        <x:v>Current bulletin checked 2026-09-11</x:v>
      </x:c>
      <x:c r="M898" s="17" t="str">
        <x:v>high</x:v>
      </x:c>
      <x:c r="N898" s="17" t="str">
        <x:v>official page checked</x:v>
      </x:c>
      <x:c r="O898" s="17" t="str"/>
      <x:c r="P898" s="18" t="e">
        <x:f>HYPERLINK("https://bulletin.gwu.edu/engineering-applied-science/computer-science/phd/","Open source")</x:f>
        <x:v>HYPERLINK is not implemented. linkLocation=https://bulletin.gwu.edu/engineering-applied-science/computer-science/phd/, friendlyName=Open source</x:v>
      </x:c>
    </x:row>
    <x:row r="899" ht="46" customHeight="1">
      <x:c r="A899" s="17" t="str">
        <x:v>stage3src:88560b25e9ccf9373569</x:v>
      </x:c>
      <x:c r="B899" s="17" t="str">
        <x:v>program</x:v>
      </x:c>
      <x:c r="C899" s="17" t="str">
        <x:v>George Washington University</x:v>
      </x:c>
      <x:c r="D899" s="17" t="str">
        <x:v>us:ipeds:131469:program:phd:phd-in-computer-science</x:v>
      </x:c>
      <x:c r="E899" s="17" t="str"/>
      <x:c r="F899" s="17" t="str">
        <x:v>funding|tuition|conditions|international</x:v>
      </x:c>
      <x:c r="G899" s="17" t="str">
        <x:v>Competitive GRA and GTA model, 18-credit academic-year tuition coverage, monthly stipend, faculty selection, and international GTA thresholds.</x:v>
      </x:c>
      <x:c r="H899" s="17" t="str">
        <x:v>Doctoral Funding Information</x:v>
      </x:c>
      <x:c r="I899" s="17" t="str">
        <x:v>George Washington University</x:v>
      </x:c>
      <x:c r="J899" s="17" t="str">
        <x:v>official</x:v>
      </x:c>
      <x:c r="K899" s="17" t="str">
        <x:v>2026-09-11</x:v>
      </x:c>
      <x:c r="L899" s="17" t="str">
        <x:v>Current funding page checked 2026-09-11</x:v>
      </x:c>
      <x:c r="M899" s="17" t="str">
        <x:v>high</x:v>
      </x:c>
      <x:c r="N899" s="17" t="str">
        <x:v>official page checked</x:v>
      </x:c>
      <x:c r="O899" s="17" t="str"/>
      <x:c r="P899" s="18" t="e">
        <x:f>HYPERLINK("https://graduate.engineering.gwu.edu/doctoral-funding-information","Open source")</x:f>
        <x:v>HYPERLINK is not implemented. linkLocation=https://graduate.engineering.gwu.edu/doctoral-funding-information, friendlyName=Open source</x:v>
      </x:c>
    </x:row>
    <x:row r="900" ht="46" customHeight="1">
      <x:c r="A900" s="17" t="str">
        <x:v>stage3src:93bdb2f1443cb9da105d</x:v>
      </x:c>
      <x:c r="B900" s="17" t="str">
        <x:v>program</x:v>
      </x:c>
      <x:c r="C900" s="17" t="str">
        <x:v>George Washington University</x:v>
      </x:c>
      <x:c r="D900" s="17" t="str">
        <x:v>us:ipeds:131469:program:phd:phd-in-computer-science</x:v>
      </x:c>
      <x:c r="E900" s="17" t="str"/>
      <x:c r="F900" s="17" t="str">
        <x:v>program|research|admissions|eligibility|gpa|prerequisites|faculty</x:v>
      </x:c>
      <x:c r="G900" s="17" t="str">
        <x:v>Current Computer Science PhD, relevant bachelor's entry, 3.3 GPA floor, prerequisite coursework, research areas, and dissertation-advisor rules.</x:v>
      </x:c>
      <x:c r="H900" s="17" t="str">
        <x:v>Ph.D. in Computer Science</x:v>
      </x:c>
      <x:c r="I900" s="17" t="str">
        <x:v>George Washington University</x:v>
      </x:c>
      <x:c r="J900" s="17" t="str">
        <x:v>official</x:v>
      </x:c>
      <x:c r="K900" s="17" t="str">
        <x:v>2026-09-11</x:v>
      </x:c>
      <x:c r="L900" s="17" t="str">
        <x:v>Current requirements checked 2026-09-11</x:v>
      </x:c>
      <x:c r="M900" s="17" t="str">
        <x:v>high</x:v>
      </x:c>
      <x:c r="N900" s="17" t="str">
        <x:v>official page checked</x:v>
      </x:c>
      <x:c r="O900" s="17" t="str"/>
      <x:c r="P900" s="18" t="e">
        <x:f>HYPERLINK("https://graduate.engineering.gwu.edu/phd-computer-science","Open source")</x:f>
        <x:v>HYPERLINK is not implemented. linkLocation=https://graduate.engineering.gwu.edu/phd-computer-science, friendlyName=Open source</x:v>
      </x:c>
    </x:row>
    <x:row r="901" ht="46" customHeight="1">
      <x:c r="A901" s="17" t="str">
        <x:v>stage3src:6575fed1bf793de0573a</x:v>
      </x:c>
      <x:c r="B901" s="17" t="str">
        <x:v>program</x:v>
      </x:c>
      <x:c r="C901" s="17" t="str">
        <x:v>George Washington University</x:v>
      </x:c>
      <x:c r="D901" s="17" t="str">
        <x:v>us:ipeds:131469:program:unclear:ipeds-discovery-signal-cloud-computing-cip-11-0902</x:v>
      </x:c>
      <x:c r="E901" s="17" t="str"/>
      <x:c r="F901" s="17" t="str">
        <x:v>discovery</x:v>
      </x:c>
      <x:c r="G901" s="17" t="str">
        <x:v>Stage 2 recorded this row as a discovery candidate; it does not independently verify an exact current research program, eligibility, or funding.</x:v>
      </x:c>
      <x:c r="H901" s="17" t="str">
        <x:v>Pass 2 Stage 2 candidate funnel</x:v>
      </x:c>
      <x:c r="I901" s="17" t="str">
        <x:v>Graduate audit pipeline</x:v>
      </x:c>
      <x:c r="J901" s="17" t="str">
        <x:v>derived</x:v>
      </x:c>
      <x:c r="K901" s="17" t="str">
        <x:v>2026-09-11</x:v>
      </x:c>
      <x:c r="L901" s="17" t="str">
        <x:v>Not cycle-specific</x:v>
      </x:c>
      <x:c r="M901" s="17" t="str">
        <x:v>low</x:v>
      </x:c>
      <x:c r="N901" s="17" t="str">
        <x:v>Discovery evidence only</x:v>
      </x:c>
      <x:c r="O901" s="17" t="str">
        <x:v>Use the source_record_paths field to trace the underlying discovery inputs.</x:v>
      </x:c>
      <x:c r="P901" s="18" t="e">
        <x:f>HYPERLINK("https://www.gwu.edu","Open source")</x:f>
        <x:v>HYPERLINK is not implemented. linkLocation=https://www.gwu.edu, friendlyName=Open source</x:v>
      </x:c>
    </x:row>
    <x:row r="902" ht="46" customHeight="1">
      <x:c r="A902" s="17" t="str">
        <x:v>stage3src:b7ddd80d1a5194adabf2</x:v>
      </x:c>
      <x:c r="B902" s="17" t="str">
        <x:v>program</x:v>
      </x:c>
      <x:c r="C902" s="17" t="str">
        <x:v>George Washington University</x:v>
      </x:c>
      <x:c r="D902" s="17" t="str">
        <x:v>us:ipeds:131469:program:unclear:ipeds-discovery-signal-computer-and-information-systems-security-auditing-information-assurance-cip-11-1003</x:v>
      </x:c>
      <x:c r="E902" s="17" t="str"/>
      <x:c r="F902" s="17" t="str">
        <x:v>discovery</x:v>
      </x:c>
      <x:c r="G902" s="17" t="str">
        <x:v>Stage 2 recorded this row as a discovery candidate; it does not independently verify an exact current research program, eligibility, or funding.</x:v>
      </x:c>
      <x:c r="H902" s="17" t="str">
        <x:v>Pass 2 Stage 2 candidate funnel</x:v>
      </x:c>
      <x:c r="I902" s="17" t="str">
        <x:v>Graduate audit pipeline</x:v>
      </x:c>
      <x:c r="J902" s="17" t="str">
        <x:v>derived</x:v>
      </x:c>
      <x:c r="K902" s="17" t="str">
        <x:v>2026-09-11</x:v>
      </x:c>
      <x:c r="L902" s="17" t="str">
        <x:v>Not cycle-specific</x:v>
      </x:c>
      <x:c r="M902" s="17" t="str">
        <x:v>low</x:v>
      </x:c>
      <x:c r="N902" s="17" t="str">
        <x:v>Discovery evidence only</x:v>
      </x:c>
      <x:c r="O902" s="17" t="str">
        <x:v>Use the source_record_paths field to trace the underlying discovery inputs.</x:v>
      </x:c>
      <x:c r="P902" s="18" t="e">
        <x:f>HYPERLINK("https://www.gwu.edu","Open source")</x:f>
        <x:v>HYPERLINK is not implemented. linkLocation=https://www.gwu.edu, friendlyName=Open source</x:v>
      </x:c>
    </x:row>
    <x:row r="903" ht="46" customHeight="1">
      <x:c r="A903" s="17" t="str">
        <x:v>stage3src:44c075e34cddd5f01f37</x:v>
      </x:c>
      <x:c r="B903" s="17" t="str">
        <x:v>program</x:v>
      </x:c>
      <x:c r="C903" s="17" t="str">
        <x:v>George Washington University</x:v>
      </x:c>
      <x:c r="D903" s="17" t="str">
        <x:v>us:ipeds:131469:program:unclear:ipeds-discovery-signal-computer-engineering-general-cip-14-0901</x:v>
      </x:c>
      <x:c r="E903" s="17" t="str"/>
      <x:c r="F903" s="17" t="str">
        <x:v>discovery</x:v>
      </x:c>
      <x:c r="G903" s="17" t="str">
        <x:v>Stage 2 recorded this row as a discovery candidate; it does not independently verify an exact current research program, eligibility, or funding.</x:v>
      </x:c>
      <x:c r="H903" s="17" t="str">
        <x:v>Pass 2 Stage 2 candidate funnel</x:v>
      </x:c>
      <x:c r="I903" s="17" t="str">
        <x:v>Graduate audit pipeline</x:v>
      </x:c>
      <x:c r="J903" s="17" t="str">
        <x:v>derived</x:v>
      </x:c>
      <x:c r="K903" s="17" t="str">
        <x:v>2026-09-11</x:v>
      </x:c>
      <x:c r="L903" s="17" t="str">
        <x:v>Not cycle-specific</x:v>
      </x:c>
      <x:c r="M903" s="17" t="str">
        <x:v>low</x:v>
      </x:c>
      <x:c r="N903" s="17" t="str">
        <x:v>Discovery evidence only</x:v>
      </x:c>
      <x:c r="O903" s="17" t="str">
        <x:v>Use the source_record_paths field to trace the underlying discovery inputs.</x:v>
      </x:c>
      <x:c r="P903" s="18" t="e">
        <x:f>HYPERLINK("https://www.gwu.edu","Open source")</x:f>
        <x:v>HYPERLINK is not implemented. linkLocation=https://www.gwu.edu, friendlyName=Open source</x:v>
      </x:c>
    </x:row>
    <x:row r="904" ht="46" customHeight="1">
      <x:c r="A904" s="17" t="str">
        <x:v>stage3src:06587eb569b72f371028</x:v>
      </x:c>
      <x:c r="B904" s="17" t="str">
        <x:v>program</x:v>
      </x:c>
      <x:c r="C904" s="17" t="str">
        <x:v>George Washington University</x:v>
      </x:c>
      <x:c r="D904" s="17" t="str">
        <x:v>us:ipeds:131469:program:unclear:ipeds-discovery-signal-computer-science-cip-11-0701</x:v>
      </x:c>
      <x:c r="E904" s="17" t="str"/>
      <x:c r="F904" s="17" t="str">
        <x:v>discovery</x:v>
      </x:c>
      <x:c r="G904" s="17" t="str">
        <x:v>Stage 2 recorded this row as a discovery candidate; it does not independently verify an exact current research program, eligibility, or funding.</x:v>
      </x:c>
      <x:c r="H904" s="17" t="str">
        <x:v>Pass 2 Stage 2 candidate funnel</x:v>
      </x:c>
      <x:c r="I904" s="17" t="str">
        <x:v>Graduate audit pipeline</x:v>
      </x:c>
      <x:c r="J904" s="17" t="str">
        <x:v>derived</x:v>
      </x:c>
      <x:c r="K904" s="17" t="str">
        <x:v>2026-09-11</x:v>
      </x:c>
      <x:c r="L904" s="17" t="str">
        <x:v>Not cycle-specific</x:v>
      </x:c>
      <x:c r="M904" s="17" t="str">
        <x:v>low</x:v>
      </x:c>
      <x:c r="N904" s="17" t="str">
        <x:v>Discovery evidence only</x:v>
      </x:c>
      <x:c r="O904" s="17" t="str">
        <x:v>Use the source_record_paths field to trace the underlying discovery inputs.</x:v>
      </x:c>
      <x:c r="P904" s="18" t="e">
        <x:f>HYPERLINK("https://www.gwu.edu","Open source")</x:f>
        <x:v>HYPERLINK is not implemented. linkLocation=https://www.gwu.edu, friendlyName=Open source</x:v>
      </x:c>
    </x:row>
    <x:row r="905" ht="46" customHeight="1">
      <x:c r="A905" s="17" t="str">
        <x:v>stage3src:ea6686eaef1041bd3c8b</x:v>
      </x:c>
      <x:c r="B905" s="17" t="str">
        <x:v>program</x:v>
      </x:c>
      <x:c r="C905" s="17" t="str">
        <x:v>George Washington University</x:v>
      </x:c>
      <x:c r="D905" s="17" t="str">
        <x:v>us:ipeds:131469:program:unclear:ipeds-discovery-signal-electrical-and-electronics-engineering-cip-14-1001</x:v>
      </x:c>
      <x:c r="E905" s="17" t="str"/>
      <x:c r="F905" s="17" t="str">
        <x:v>discovery</x:v>
      </x:c>
      <x:c r="G905" s="17" t="str">
        <x:v>Stage 2 recorded this row as a discovery candidate; it does not independently verify an exact current research program, eligibility, or funding.</x:v>
      </x:c>
      <x:c r="H905" s="17" t="str">
        <x:v>Pass 2 Stage 2 candidate funnel</x:v>
      </x:c>
      <x:c r="I905" s="17" t="str">
        <x:v>Graduate audit pipeline</x:v>
      </x:c>
      <x:c r="J905" s="17" t="str">
        <x:v>derived</x:v>
      </x:c>
      <x:c r="K905" s="17" t="str">
        <x:v>2026-09-11</x:v>
      </x:c>
      <x:c r="L905" s="17" t="str">
        <x:v>Not cycle-specific</x:v>
      </x:c>
      <x:c r="M905" s="17" t="str">
        <x:v>low</x:v>
      </x:c>
      <x:c r="N905" s="17" t="str">
        <x:v>Discovery evidence only</x:v>
      </x:c>
      <x:c r="O905" s="17" t="str">
        <x:v>Use the source_record_paths field to trace the underlying discovery inputs.</x:v>
      </x:c>
      <x:c r="P905" s="18" t="e">
        <x:f>HYPERLINK("https://www.gwu.edu","Open source")</x:f>
        <x:v>HYPERLINK is not implemented. linkLocation=https://www.gwu.edu, friendlyName=Open source</x:v>
      </x:c>
    </x:row>
    <x:row r="906" ht="46" customHeight="1">
      <x:c r="A906" s="17" t="str">
        <x:v>stage3src:3e38f87c94ebb87fbb02</x:v>
      </x:c>
      <x:c r="B906" s="17" t="str">
        <x:v>program</x:v>
      </x:c>
      <x:c r="C906" s="17" t="str">
        <x:v>George Washington University</x:v>
      </x:c>
      <x:c r="D906" s="17" t="str">
        <x:v>us:ipeds:131469:program:unclear:ipeds-discovery-signal-information-science-studies-cip-11-0401</x:v>
      </x:c>
      <x:c r="E906" s="17" t="str"/>
      <x:c r="F906" s="17" t="str">
        <x:v>discovery</x:v>
      </x:c>
      <x:c r="G906" s="17" t="str">
        <x:v>Stage 2 recorded this row as a discovery candidate; it does not independently verify an exact current research program, eligibility, or funding.</x:v>
      </x:c>
      <x:c r="H906" s="17" t="str">
        <x:v>Pass 2 Stage 2 candidate funnel</x:v>
      </x:c>
      <x:c r="I906" s="17" t="str">
        <x:v>Graduate audit pipeline</x:v>
      </x:c>
      <x:c r="J906" s="17" t="str">
        <x:v>derived</x:v>
      </x:c>
      <x:c r="K906" s="17" t="str">
        <x:v>2026-09-11</x:v>
      </x:c>
      <x:c r="L906" s="17" t="str">
        <x:v>Not cycle-specific</x:v>
      </x:c>
      <x:c r="M906" s="17" t="str">
        <x:v>low</x:v>
      </x:c>
      <x:c r="N906" s="17" t="str">
        <x:v>Discovery evidence only</x:v>
      </x:c>
      <x:c r="O906" s="17" t="str">
        <x:v>Use the source_record_paths field to trace the underlying discovery inputs.</x:v>
      </x:c>
      <x:c r="P906" s="18" t="e">
        <x:f>HYPERLINK("https://www.gwu.edu","Open source")</x:f>
        <x:v>HYPERLINK is not implemented. linkLocation=https://www.gwu.edu, friendlyName=Open source</x:v>
      </x:c>
    </x:row>
    <x:row r="907" ht="46" customHeight="1">
      <x:c r="A907" s="17" t="str">
        <x:v>stage3src:30ea6ad9916f3f43c5e7</x:v>
      </x:c>
      <x:c r="B907" s="17" t="str">
        <x:v>program</x:v>
      </x:c>
      <x:c r="C907" s="17" t="str">
        <x:v>Georgetown University</x:v>
      </x:c>
      <x:c r="D907" s="17" t="str">
        <x:v>us:ipeds:131496:program:unclear:ipeds-discovery-signal-computer-and-information-systems-security-auditing-information-assurance-cip-11-1003</x:v>
      </x:c>
      <x:c r="E907" s="17" t="str"/>
      <x:c r="F907" s="17" t="str">
        <x:v>discovery</x:v>
      </x:c>
      <x:c r="G907" s="17" t="str">
        <x:v>Stage 2 recorded this row as a discovery candidate; it does not independently verify an exact current research program, eligibility, or funding.</x:v>
      </x:c>
      <x:c r="H907" s="17" t="str">
        <x:v>Pass 2 Stage 2 candidate funnel</x:v>
      </x:c>
      <x:c r="I907" s="17" t="str">
        <x:v>Graduate audit pipeline</x:v>
      </x:c>
      <x:c r="J907" s="17" t="str">
        <x:v>derived</x:v>
      </x:c>
      <x:c r="K907" s="17" t="str">
        <x:v>2026-09-11</x:v>
      </x:c>
      <x:c r="L907" s="17" t="str">
        <x:v>Not cycle-specific</x:v>
      </x:c>
      <x:c r="M907" s="17" t="str">
        <x:v>low</x:v>
      </x:c>
      <x:c r="N907" s="17" t="str">
        <x:v>Discovery evidence only</x:v>
      </x:c>
      <x:c r="O907" s="17" t="str">
        <x:v>Use the source_record_paths field to trace the underlying discovery inputs.</x:v>
      </x:c>
      <x:c r="P907" s="18" t="e">
        <x:f>HYPERLINK("https://www.georgetown.edu","Open source")</x:f>
        <x:v>HYPERLINK is not implemented. linkLocation=https://www.georgetown.edu, friendlyName=Open source</x:v>
      </x:c>
    </x:row>
    <x:row r="908" ht="46" customHeight="1">
      <x:c r="A908" s="17" t="str">
        <x:v>stage3src:36690cba44a8246eab31</x:v>
      </x:c>
      <x:c r="B908" s="17" t="str">
        <x:v>program</x:v>
      </x:c>
      <x:c r="C908" s="17" t="str">
        <x:v>Georgetown University</x:v>
      </x:c>
      <x:c r="D908" s="17" t="str">
        <x:v>us:ipeds:131496:program:unclear:ipeds-discovery-signal-computer-science-cip-11-0701</x:v>
      </x:c>
      <x:c r="E908" s="17" t="str"/>
      <x:c r="F908" s="17" t="str">
        <x:v>discovery</x:v>
      </x:c>
      <x:c r="G908" s="17" t="str">
        <x:v>Stage 2 recorded this row as a discovery candidate; it does not independently verify an exact current research program, eligibility, or funding.</x:v>
      </x:c>
      <x:c r="H908" s="17" t="str">
        <x:v>Pass 2 Stage 2 candidate funnel</x:v>
      </x:c>
      <x:c r="I908" s="17" t="str">
        <x:v>Graduate audit pipeline</x:v>
      </x:c>
      <x:c r="J908" s="17" t="str">
        <x:v>derived</x:v>
      </x:c>
      <x:c r="K908" s="17" t="str">
        <x:v>2026-09-11</x:v>
      </x:c>
      <x:c r="L908" s="17" t="str">
        <x:v>Not cycle-specific</x:v>
      </x:c>
      <x:c r="M908" s="17" t="str">
        <x:v>low</x:v>
      </x:c>
      <x:c r="N908" s="17" t="str">
        <x:v>Discovery evidence only</x:v>
      </x:c>
      <x:c r="O908" s="17" t="str">
        <x:v>Use the source_record_paths field to trace the underlying discovery inputs.</x:v>
      </x:c>
      <x:c r="P908" s="18" t="e">
        <x:f>HYPERLINK("https://www.georgetown.edu","Open source")</x:f>
        <x:v>HYPERLINK is not implemented. linkLocation=https://www.georgetown.edu, friendlyName=Open source</x:v>
      </x:c>
    </x:row>
    <x:row r="909" ht="46" customHeight="1">
      <x:c r="A909" s="17" t="str">
        <x:v>stage3src:a102fa9b93a21aef252e</x:v>
      </x:c>
      <x:c r="B909" s="17" t="str">
        <x:v>program</x:v>
      </x:c>
      <x:c r="C909" s="17" t="str">
        <x:v>Howard University</x:v>
      </x:c>
      <x:c r="D909" s="17" t="str">
        <x:v>us:ipeds:131520:program:phd:computer-science-ph-d</x:v>
      </x:c>
      <x:c r="E909" s="17" t="str"/>
      <x:c r="F909" s="17" t="str">
        <x:v>program|research|admissions|eligibility|language|deadline|funding</x:v>
      </x:c>
      <x:c r="G909" s="17" t="str">
        <x:v>Current Computer Science PhD, specializations, Fall 2027 deadlines, early assistantship deadline, and competitive support route.</x:v>
      </x:c>
      <x:c r="H909" s="17" t="str">
        <x:v>Computer Science (Ph.D.)</x:v>
      </x:c>
      <x:c r="I909" s="17" t="str">
        <x:v>Howard University</x:v>
      </x:c>
      <x:c r="J909" s="17" t="str">
        <x:v>official</x:v>
      </x:c>
      <x:c r="K909" s="17" t="str">
        <x:v>2026-09-11</x:v>
      </x:c>
      <x:c r="L909" s="17" t="str">
        <x:v>Fall 2027</x:v>
      </x:c>
      <x:c r="M909" s="17" t="str">
        <x:v>high</x:v>
      </x:c>
      <x:c r="N909" s="17" t="str">
        <x:v>official page checked</x:v>
      </x:c>
      <x:c r="O909" s="17" t="str"/>
      <x:c r="P909" s="18" t="e">
        <x:f>HYPERLINK("https://gs.howard.edu/index.php/computer-science-phd","Open source")</x:f>
        <x:v>HYPERLINK is not implemented. linkLocation=https://gs.howard.edu/index.php/computer-science-phd, friendlyName=Open source</x:v>
      </x:c>
    </x:row>
    <x:row r="910" ht="46" customHeight="1">
      <x:c r="A910" s="17" t="str">
        <x:v>stage3src:b6cfcfb1431d30b90939</x:v>
      </x:c>
      <x:c r="B910" s="17" t="str">
        <x:v>program</x:v>
      </x:c>
      <x:c r="C910" s="17" t="str">
        <x:v>Howard University</x:v>
      </x:c>
      <x:c r="D910" s="17" t="str">
        <x:v>us:ipeds:131520:program:phd:computer-science-ph-d</x:v>
      </x:c>
      <x:c r="E910" s="17" t="str"/>
      <x:c r="F910" s="17" t="str">
        <x:v>program|research|admissions|funding|tuition|fees|health|summer</x:v>
      </x:c>
      <x:c r="G910" s="17" t="str">
        <x:v>Doctoral candidacy and dissertation structure plus competitive tuition-remission-and-stipend awards and department assistantship mechanisms.</x:v>
      </x:c>
      <x:c r="H910" s="17" t="str">
        <x:v>Computer Science Ph.D. Program Details</x:v>
      </x:c>
      <x:c r="I910" s="17" t="str">
        <x:v>Howard University</x:v>
      </x:c>
      <x:c r="J910" s="17" t="str">
        <x:v>official</x:v>
      </x:c>
      <x:c r="K910" s="17" t="str">
        <x:v>2026-09-11</x:v>
      </x:c>
      <x:c r="L910" s="17" t="str">
        <x:v>Current page checked 2026-09-11</x:v>
      </x:c>
      <x:c r="M910" s="17" t="str">
        <x:v>high</x:v>
      </x:c>
      <x:c r="N910" s="17" t="str">
        <x:v>official page checked</x:v>
      </x:c>
      <x:c r="O910" s="17" t="str"/>
      <x:c r="P910" s="18" t="e">
        <x:f>HYPERLINK("https://gs.howard.edu/academics/degree-programs/computer-science-phd-program-details","Open source")</x:f>
        <x:v>HYPERLINK is not implemented. linkLocation=https://gs.howard.edu/academics/degree-programs/computer-science-phd-program-details, friendlyName=Open source</x:v>
      </x:c>
    </x:row>
    <x:row r="911" ht="46" customHeight="1">
      <x:c r="A911" s="17" t="str">
        <x:v>stage3src:af1a4c89f358f90a13e2</x:v>
      </x:c>
      <x:c r="B911" s="17" t="str">
        <x:v>program</x:v>
      </x:c>
      <x:c r="C911" s="17" t="str">
        <x:v>Howard University</x:v>
      </x:c>
      <x:c r="D911" s="17" t="str">
        <x:v>us:ipeds:131520:program:unclear:ipeds-discovery-signal-computer-science-cip-11-0701</x:v>
      </x:c>
      <x:c r="E911" s="17" t="str"/>
      <x:c r="F911" s="17" t="str">
        <x:v>discovery</x:v>
      </x:c>
      <x:c r="G911" s="17" t="str">
        <x:v>Stage 2 recorded this row as a discovery candidate; it does not independently verify an exact current research program, eligibility, or funding.</x:v>
      </x:c>
      <x:c r="H911" s="17" t="str">
        <x:v>Pass 2 Stage 2 candidate funnel</x:v>
      </x:c>
      <x:c r="I911" s="17" t="str">
        <x:v>Graduate audit pipeline</x:v>
      </x:c>
      <x:c r="J911" s="17" t="str">
        <x:v>derived</x:v>
      </x:c>
      <x:c r="K911" s="17" t="str">
        <x:v>2026-09-11</x:v>
      </x:c>
      <x:c r="L911" s="17" t="str">
        <x:v>Not cycle-specific</x:v>
      </x:c>
      <x:c r="M911" s="17" t="str">
        <x:v>low</x:v>
      </x:c>
      <x:c r="N911" s="17" t="str">
        <x:v>Discovery evidence only</x:v>
      </x:c>
      <x:c r="O911" s="17" t="str">
        <x:v>Use the source_record_paths field to trace the underlying discovery inputs.</x:v>
      </x:c>
      <x:c r="P911" s="18" t="e">
        <x:f>HYPERLINK("https://www.howard.edu","Open source")</x:f>
        <x:v>HYPERLINK is not implemented. linkLocation=https://www.howard.edu, friendlyName=Open source</x:v>
      </x:c>
    </x:row>
    <x:row r="912" ht="46" customHeight="1">
      <x:c r="A912" s="17" t="str">
        <x:v>stage3src:038bcfe697258c1a1542</x:v>
      </x:c>
      <x:c r="B912" s="17" t="str">
        <x:v>program</x:v>
      </x:c>
      <x:c r="C912" s="17" t="str">
        <x:v>Howard University</x:v>
      </x:c>
      <x:c r="D912" s="17" t="str">
        <x:v>us:ipeds:131520:program:unclear:ipeds-discovery-signal-data-science-general-cip-30-7001</x:v>
      </x:c>
      <x:c r="E912" s="17" t="str"/>
      <x:c r="F912" s="17" t="str">
        <x:v>discovery</x:v>
      </x:c>
      <x:c r="G912" s="17" t="str">
        <x:v>Stage 2 recorded this row as a discovery candidate; it does not independently verify an exact current research program, eligibility, or funding.</x:v>
      </x:c>
      <x:c r="H912" s="17" t="str">
        <x:v>Pass 2 Stage 2 candidate funnel</x:v>
      </x:c>
      <x:c r="I912" s="17" t="str">
        <x:v>Graduate audit pipeline</x:v>
      </x:c>
      <x:c r="J912" s="17" t="str">
        <x:v>derived</x:v>
      </x:c>
      <x:c r="K912" s="17" t="str">
        <x:v>2026-09-11</x:v>
      </x:c>
      <x:c r="L912" s="17" t="str">
        <x:v>Not cycle-specific</x:v>
      </x:c>
      <x:c r="M912" s="17" t="str">
        <x:v>low</x:v>
      </x:c>
      <x:c r="N912" s="17" t="str">
        <x:v>Discovery evidence only</x:v>
      </x:c>
      <x:c r="O912" s="17" t="str">
        <x:v>Use the source_record_paths field to trace the underlying discovery inputs.</x:v>
      </x:c>
      <x:c r="P912" s="18" t="e">
        <x:f>HYPERLINK("https://www.howard.edu","Open source")</x:f>
        <x:v>HYPERLINK is not implemented. linkLocation=https://www.howard.edu, friendlyName=Open source</x:v>
      </x:c>
    </x:row>
    <x:row r="913" ht="46" customHeight="1">
      <x:c r="A913" s="17" t="str">
        <x:v>stage3src:1051dd2052fbc5d4e3e5</x:v>
      </x:c>
      <x:c r="B913" s="17" t="str">
        <x:v>program</x:v>
      </x:c>
      <x:c r="C913" s="17" t="str">
        <x:v>Howard University</x:v>
      </x:c>
      <x:c r="D913" s="17" t="str">
        <x:v>us:ipeds:131520:program:unclear:ipeds-discovery-signal-electrical-and-electronics-engineering-cip-14-1001</x:v>
      </x:c>
      <x:c r="E913" s="17" t="str"/>
      <x:c r="F913" s="17" t="str">
        <x:v>discovery</x:v>
      </x:c>
      <x:c r="G913" s="17" t="str">
        <x:v>Stage 2 recorded this row as a discovery candidate; it does not independently verify an exact current research program, eligibility, or funding.</x:v>
      </x:c>
      <x:c r="H913" s="17" t="str">
        <x:v>Pass 2 Stage 2 candidate funnel</x:v>
      </x:c>
      <x:c r="I913" s="17" t="str">
        <x:v>Graduate audit pipeline</x:v>
      </x:c>
      <x:c r="J913" s="17" t="str">
        <x:v>derived</x:v>
      </x:c>
      <x:c r="K913" s="17" t="str">
        <x:v>2026-09-11</x:v>
      </x:c>
      <x:c r="L913" s="17" t="str">
        <x:v>Not cycle-specific</x:v>
      </x:c>
      <x:c r="M913" s="17" t="str">
        <x:v>low</x:v>
      </x:c>
      <x:c r="N913" s="17" t="str">
        <x:v>Discovery evidence only</x:v>
      </x:c>
      <x:c r="O913" s="17" t="str">
        <x:v>Use the source_record_paths field to trace the underlying discovery inputs.</x:v>
      </x:c>
      <x:c r="P913" s="18" t="e">
        <x:f>HYPERLINK("https://www.howard.edu","Open source")</x:f>
        <x:v>HYPERLINK is not implemented. linkLocation=https://www.howard.edu, friendlyName=Open source</x:v>
      </x:c>
    </x:row>
    <x:row r="914" ht="46" customHeight="1">
      <x:c r="A914" s="17" t="str">
        <x:v>stage3src:cebcb12a1bc0fbafced8</x:v>
      </x:c>
      <x:c r="B914" s="17" t="str">
        <x:v>program</x:v>
      </x:c>
      <x:c r="C914" s="17" t="str">
        <x:v>Strayer University-District of Columbia</x:v>
      </x:c>
      <x:c r="D914" s="17" t="str">
        <x:v>us:ipeds:131803:program:unclear:ipeds-discovery-signal-computer-and-information-systems-security-auditing-information-assurance-cip-11-1003</x:v>
      </x:c>
      <x:c r="E914" s="17" t="str"/>
      <x:c r="F914" s="17" t="str">
        <x:v>discovery</x:v>
      </x:c>
      <x:c r="G914" s="17" t="str">
        <x:v>Stage 2 recorded this row as a discovery candidate; it does not independently verify an exact current research program, eligibility, or funding.</x:v>
      </x:c>
      <x:c r="H914" s="17" t="str">
        <x:v>Pass 2 Stage 2 candidate funnel</x:v>
      </x:c>
      <x:c r="I914" s="17" t="str">
        <x:v>Graduate audit pipeline</x:v>
      </x:c>
      <x:c r="J914" s="17" t="str">
        <x:v>derived</x:v>
      </x:c>
      <x:c r="K914" s="17" t="str">
        <x:v>2026-09-11</x:v>
      </x:c>
      <x:c r="L914" s="17" t="str">
        <x:v>Not cycle-specific</x:v>
      </x:c>
      <x:c r="M914" s="17" t="str">
        <x:v>low</x:v>
      </x:c>
      <x:c r="N914" s="17" t="str">
        <x:v>Discovery evidence only</x:v>
      </x:c>
      <x:c r="O914" s="17" t="str">
        <x:v>Use the source_record_paths field to trace the underlying discovery inputs.</x:v>
      </x:c>
      <x:c r="P914" s="18" t="e">
        <x:f>HYPERLINK("https://www.strayer.edu/campus-locations/district-columbia/washington","Open source")</x:f>
        <x:v>HYPERLINK is not implemented. linkLocation=https://www.strayer.edu/campus-locations/district-columbia/washington, friendlyName=Open source</x:v>
      </x:c>
    </x:row>
    <x:row r="915" ht="46" customHeight="1">
      <x:c r="A915" s="17" t="str">
        <x:v>stage3src:2e1212d51b3e565827e6</x:v>
      </x:c>
      <x:c r="B915" s="17" t="str">
        <x:v>program</x:v>
      </x:c>
      <x:c r="C915" s="17" t="str">
        <x:v>Strayer University-District of Columbia</x:v>
      </x:c>
      <x:c r="D915" s="17" t="str">
        <x:v>us:ipeds:131803:program:unclear:ipeds-discovery-signal-information-science-studies-cip-11-0401</x:v>
      </x:c>
      <x:c r="E915" s="17" t="str"/>
      <x:c r="F915" s="17" t="str">
        <x:v>discovery</x:v>
      </x:c>
      <x:c r="G915" s="17" t="str">
        <x:v>Stage 2 recorded this row as a discovery candidate; it does not independently verify an exact current research program, eligibility, or funding.</x:v>
      </x:c>
      <x:c r="H915" s="17" t="str">
        <x:v>Pass 2 Stage 2 candidate funnel</x:v>
      </x:c>
      <x:c r="I915" s="17" t="str">
        <x:v>Graduate audit pipeline</x:v>
      </x:c>
      <x:c r="J915" s="17" t="str">
        <x:v>derived</x:v>
      </x:c>
      <x:c r="K915" s="17" t="str">
        <x:v>2026-09-11</x:v>
      </x:c>
      <x:c r="L915" s="17" t="str">
        <x:v>Not cycle-specific</x:v>
      </x:c>
      <x:c r="M915" s="17" t="str">
        <x:v>low</x:v>
      </x:c>
      <x:c r="N915" s="17" t="str">
        <x:v>Discovery evidence only</x:v>
      </x:c>
      <x:c r="O915" s="17" t="str">
        <x:v>Use the source_record_paths field to trace the underlying discovery inputs.</x:v>
      </x:c>
      <x:c r="P915" s="18" t="e">
        <x:f>HYPERLINK("https://www.strayer.edu/campus-locations/district-columbia/washington","Open source")</x:f>
        <x:v>HYPERLINK is not implemented. linkLocation=https://www.strayer.edu/campus-locations/district-columbia/washington, friendlyName=Open source</x:v>
      </x:c>
    </x:row>
    <x:row r="916" ht="46" customHeight="1">
      <x:c r="A916" s="17" t="str">
        <x:v>stage3src:496d40639633fcfd9518</x:v>
      </x:c>
      <x:c r="B916" s="17" t="str">
        <x:v>program</x:v>
      </x:c>
      <x:c r="C916" s="17" t="str">
        <x:v>University of Central Florida</x:v>
      </x:c>
      <x:c r="D916" s="17" t="str">
        <x:v>us:ipeds:132903:program:phd:computer-science-phd</x:v>
      </x:c>
      <x:c r="E916" s="17" t="str"/>
      <x:c r="F916" s="17" t="str">
        <x:v>program</x:v>
      </x:c>
      <x:c r="G916" s="17" t="str">
        <x:v>Current Computer Science PhD and research degree structure.</x:v>
      </x:c>
      <x:c r="H916" s="17" t="str">
        <x:v>Computer Science PhD</x:v>
      </x:c>
      <x:c r="I916" s="17" t="str">
        <x:v>University of Central Florida</x:v>
      </x:c>
      <x:c r="J916" s="17" t="str">
        <x:v>official</x:v>
      </x:c>
      <x:c r="K916" s="17" t="str">
        <x:v>2026-09-10</x:v>
      </x:c>
      <x:c r="L916" s="17" t="str">
        <x:v>Current page checked 2026-09-10</x:v>
      </x:c>
      <x:c r="M916" s="17" t="str">
        <x:v>high</x:v>
      </x:c>
      <x:c r="N916" s="17" t="str">
        <x:v>official page checked</x:v>
      </x:c>
      <x:c r="O916" s="17" t="str"/>
      <x:c r="P916" s="18" t="e">
        <x:f>HYPERLINK("https://www.ucf.edu/degree/computer-science-phd/","Open source")</x:f>
        <x:v>HYPERLINK is not implemented. linkLocation=https://www.ucf.edu/degree/computer-science-phd/, friendlyName=Open source</x:v>
      </x:c>
    </x:row>
    <x:row r="917" ht="46" customHeight="1">
      <x:c r="A917" s="17" t="str">
        <x:v>stage3src:628e1cbffab15000cb98</x:v>
      </x:c>
      <x:c r="B917" s="17" t="str">
        <x:v>program</x:v>
      </x:c>
      <x:c r="C917" s="17" t="str">
        <x:v>University of Central Florida</x:v>
      </x:c>
      <x:c r="D917" s="17" t="str">
        <x:v>us:ipeds:132903:program:phd:computer-science-phd</x:v>
      </x:c>
      <x:c r="E917" s="17" t="str"/>
      <x:c r="F917" s="17" t="str">
        <x:v>admissions|eligibility|language|deadline</x:v>
      </x:c>
      <x:c r="G917" s="17" t="str">
        <x:v>Direct bachelor's route and explicit Fall 2027 international deadline and requirements.</x:v>
      </x:c>
      <x:c r="H917" s="17" t="str">
        <x:v>2027 Doctoral Application Deadlines and Requirements</x:v>
      </x:c>
      <x:c r="I917" s="17" t="str">
        <x:v>UCF College of Graduate Studies</x:v>
      </x:c>
      <x:c r="J917" s="17" t="str">
        <x:v>official</x:v>
      </x:c>
      <x:c r="K917" s="17" t="str">
        <x:v>2026-09-10</x:v>
      </x:c>
      <x:c r="L917" s="17" t="str">
        <x:v>Fall 2027</x:v>
      </x:c>
      <x:c r="M917" s="17" t="str">
        <x:v>high</x:v>
      </x:c>
      <x:c r="N917" s="17" t="str">
        <x:v>official page checked</x:v>
      </x:c>
      <x:c r="O917" s="17" t="str"/>
      <x:c r="P917" s="18" t="e">
        <x:f>HYPERLINK("https://graduate.ucf.edu/2027-application-deadlines-and-requirements-doctoral/","Open source")</x:f>
        <x:v>HYPERLINK is not implemented. linkLocation=https://graduate.ucf.edu/2027-application-deadlines-and-requirements-doctoral/, friendlyName=Open source</x:v>
      </x:c>
    </x:row>
    <x:row r="918" ht="46" customHeight="1">
      <x:c r="A918" s="17" t="str">
        <x:v>stage3src:a8ff3c18fd10b6d6b2b0</x:v>
      </x:c>
      <x:c r="B918" s="17" t="str">
        <x:v>program</x:v>
      </x:c>
      <x:c r="C918" s="17" t="str">
        <x:v>University of Central Florida</x:v>
      </x:c>
      <x:c r="D918" s="17" t="str">
        <x:v>us:ipeds:132903:program:phd:computer-science-phd</x:v>
      </x:c>
      <x:c r="E918" s="17" t="str"/>
      <x:c r="F918" s="17" t="str">
        <x:v>admissions|fees</x:v>
      </x:c>
      <x:c r="G918" s="17" t="str">
        <x:v>Graduate application fee is USD 31.</x:v>
      </x:c>
      <x:c r="H918" s="17" t="str">
        <x:v>Prospective International Students</x:v>
      </x:c>
      <x:c r="I918" s="17" t="str">
        <x:v>UCF Global</x:v>
      </x:c>
      <x:c r="J918" s="17" t="str">
        <x:v>official</x:v>
      </x:c>
      <x:c r="K918" s="17" t="str">
        <x:v>2026-09-10</x:v>
      </x:c>
      <x:c r="L918" s="17" t="str">
        <x:v>Current page checked 2026-09-10</x:v>
      </x:c>
      <x:c r="M918" s="17" t="str">
        <x:v>high</x:v>
      </x:c>
      <x:c r="N918" s="17" t="str">
        <x:v>official page checked</x:v>
      </x:c>
      <x:c r="O918" s="17" t="str"/>
      <x:c r="P918" s="18" t="e">
        <x:f>HYPERLINK("https://global.ucf.edu/international-students-scholars-and-professionals/prospective/","Open source")</x:f>
        <x:v>HYPERLINK is not implemented. linkLocation=https://global.ucf.edu/international-students-scholars-and-professionals/prospective/, friendlyName=Open source</x:v>
      </x:c>
    </x:row>
    <x:row r="919" ht="46" customHeight="1">
      <x:c r="A919" s="17" t="str">
        <x:v>stage3src:c55c21d17e7bdb3fb2ea</x:v>
      </x:c>
      <x:c r="B919" s="17" t="str">
        <x:v>program</x:v>
      </x:c>
      <x:c r="C919" s="17" t="str">
        <x:v>University of Central Florida</x:v>
      </x:c>
      <x:c r="D919" s="17" t="str">
        <x:v>us:ipeds:132903:program:phd:computer-science-phd</x:v>
      </x:c>
      <x:c r="E919" s="17" t="str"/>
      <x:c r="F919" s="17" t="str">
        <x:v>funding|fees</x:v>
      </x:c>
      <x:c r="G919" s="17" t="str">
        <x:v>Qualifying assistantship stipend, tuition remission, differential, health benefit, and excluded local fees.</x:v>
      </x:c>
      <x:c r="H919" s="17" t="str">
        <x:v>Graduate Assistantships</x:v>
      </x:c>
      <x:c r="I919" s="17" t="str">
        <x:v>UCF College of Graduate Studies</x:v>
      </x:c>
      <x:c r="J919" s="17" t="str">
        <x:v>official</x:v>
      </x:c>
      <x:c r="K919" s="17" t="str">
        <x:v>2026-09-10</x:v>
      </x:c>
      <x:c r="L919" s="17" t="str">
        <x:v>Current page checked 2026-09-10</x:v>
      </x:c>
      <x:c r="M919" s="17" t="str">
        <x:v>high</x:v>
      </x:c>
      <x:c r="N919" s="17" t="str">
        <x:v>official page checked</x:v>
      </x:c>
      <x:c r="O919" s="17" t="str"/>
      <x:c r="P919" s="18" t="e">
        <x:f>HYPERLINK("https://graduate.ucf.edu/graduate-assistantships/","Open source")</x:f>
        <x:v>HYPERLINK is not implemented. linkLocation=https://graduate.ucf.edu/graduate-assistantships/, friendlyName=Open source</x:v>
      </x:c>
    </x:row>
    <x:row r="920" ht="46" customHeight="1">
      <x:c r="A920" s="17" t="str">
        <x:v>stage3src:d4cd8cc4b1f98a661bca</x:v>
      </x:c>
      <x:c r="B920" s="17" t="str">
        <x:v>program</x:v>
      </x:c>
      <x:c r="C920" s="17" t="str">
        <x:v>University of Central Florida</x:v>
      </x:c>
      <x:c r="D920" s="17" t="str">
        <x:v>us:ipeds:132903:program:unclear:ipeds-discovery-signal-artificial-intelligence-cip-11-0102</x:v>
      </x:c>
      <x:c r="E920" s="17" t="str"/>
      <x:c r="F920" s="17" t="str">
        <x:v>discovery</x:v>
      </x:c>
      <x:c r="G920" s="17" t="str">
        <x:v>Stage 2 recorded this row as a discovery candidate; it does not independently verify an exact current research program, eligibility, or funding.</x:v>
      </x:c>
      <x:c r="H920" s="17" t="str">
        <x:v>Pass 2 Stage 2 candidate funnel</x:v>
      </x:c>
      <x:c r="I920" s="17" t="str">
        <x:v>Graduate audit pipeline</x:v>
      </x:c>
      <x:c r="J920" s="17" t="str">
        <x:v>derived</x:v>
      </x:c>
      <x:c r="K920" s="17" t="str">
        <x:v>2026-09-11</x:v>
      </x:c>
      <x:c r="L920" s="17" t="str">
        <x:v>Not cycle-specific</x:v>
      </x:c>
      <x:c r="M920" s="17" t="str">
        <x:v>low</x:v>
      </x:c>
      <x:c r="N920" s="17" t="str">
        <x:v>Discovery evidence only</x:v>
      </x:c>
      <x:c r="O920" s="17" t="str">
        <x:v>Use the source_record_paths field to trace the underlying discovery inputs.</x:v>
      </x:c>
      <x:c r="P920" s="18" t="e">
        <x:f>HYPERLINK("https://www.ucf.edu","Open source")</x:f>
        <x:v>HYPERLINK is not implemented. linkLocation=https://www.ucf.edu, friendlyName=Open source</x:v>
      </x:c>
    </x:row>
    <x:row r="921" ht="46" customHeight="1">
      <x:c r="A921" s="17" t="str">
        <x:v>stage3src:abb531dd19a480a243c0</x:v>
      </x:c>
      <x:c r="B921" s="17" t="str">
        <x:v>program</x:v>
      </x:c>
      <x:c r="C921" s="17" t="str">
        <x:v>University of Central Florida</x:v>
      </x:c>
      <x:c r="D921" s="17" t="str">
        <x:v>us:ipeds:132903:program:unclear:ipeds-discovery-signal-computer-and-information-sciences-general-cip-11-0101</x:v>
      </x:c>
      <x:c r="E921" s="17" t="str"/>
      <x:c r="F921" s="17" t="str">
        <x:v>discovery</x:v>
      </x:c>
      <x:c r="G921" s="17" t="str">
        <x:v>Stage 2 recorded this row as a discovery candidate; it does not independently verify an exact current research program, eligibility, or funding.</x:v>
      </x:c>
      <x:c r="H921" s="17" t="str">
        <x:v>Pass 2 Stage 2 candidate funnel</x:v>
      </x:c>
      <x:c r="I921" s="17" t="str">
        <x:v>Graduate audit pipeline</x:v>
      </x:c>
      <x:c r="J921" s="17" t="str">
        <x:v>derived</x:v>
      </x:c>
      <x:c r="K921" s="17" t="str">
        <x:v>2026-09-11</x:v>
      </x:c>
      <x:c r="L921" s="17" t="str">
        <x:v>Not cycle-specific</x:v>
      </x:c>
      <x:c r="M921" s="17" t="str">
        <x:v>low</x:v>
      </x:c>
      <x:c r="N921" s="17" t="str">
        <x:v>Discovery evidence only</x:v>
      </x:c>
      <x:c r="O921" s="17" t="str">
        <x:v>Use the source_record_paths field to trace the underlying discovery inputs.</x:v>
      </x:c>
      <x:c r="P921" s="18" t="e">
        <x:f>HYPERLINK("https://www.ucf.edu","Open source")</x:f>
        <x:v>HYPERLINK is not implemented. linkLocation=https://www.ucf.edu, friendlyName=Open source</x:v>
      </x:c>
    </x:row>
    <x:row r="922" ht="46" customHeight="1">
      <x:c r="A922" s="17" t="str">
        <x:v>stage3src:0cf29ff961b1d3f4fc0f</x:v>
      </x:c>
      <x:c r="B922" s="17" t="str">
        <x:v>program</x:v>
      </x:c>
      <x:c r="C922" s="17" t="str">
        <x:v>University of Central Florida</x:v>
      </x:c>
      <x:c r="D922" s="17" t="str">
        <x:v>us:ipeds:132903:program:unclear:ipeds-discovery-signal-computer-and-information-sciences-other-cip-11-0199</x:v>
      </x:c>
      <x:c r="E922" s="17" t="str"/>
      <x:c r="F922" s="17" t="str">
        <x:v>discovery</x:v>
      </x:c>
      <x:c r="G922" s="17" t="str">
        <x:v>Stage 2 recorded this row as a discovery candidate; it does not independently verify an exact current research program, eligibility, or funding.</x:v>
      </x:c>
      <x:c r="H922" s="17" t="str">
        <x:v>Pass 2 Stage 2 candidate funnel</x:v>
      </x:c>
      <x:c r="I922" s="17" t="str">
        <x:v>Graduate audit pipeline</x:v>
      </x:c>
      <x:c r="J922" s="17" t="str">
        <x:v>derived</x:v>
      </x:c>
      <x:c r="K922" s="17" t="str">
        <x:v>2026-09-11</x:v>
      </x:c>
      <x:c r="L922" s="17" t="str">
        <x:v>Not cycle-specific</x:v>
      </x:c>
      <x:c r="M922" s="17" t="str">
        <x:v>low</x:v>
      </x:c>
      <x:c r="N922" s="17" t="str">
        <x:v>Discovery evidence only</x:v>
      </x:c>
      <x:c r="O922" s="17" t="str">
        <x:v>Use the source_record_paths field to trace the underlying discovery inputs.</x:v>
      </x:c>
      <x:c r="P922" s="18" t="e">
        <x:f>HYPERLINK("https://www.ucf.edu","Open source")</x:f>
        <x:v>HYPERLINK is not implemented. linkLocation=https://www.ucf.edu, friendlyName=Open source</x:v>
      </x:c>
    </x:row>
    <x:row r="923" ht="46" customHeight="1">
      <x:c r="A923" s="17" t="str">
        <x:v>stage3src:36d1d7ad62fd9140bca9</x:v>
      </x:c>
      <x:c r="B923" s="17" t="str">
        <x:v>program</x:v>
      </x:c>
      <x:c r="C923" s="17" t="str">
        <x:v>University of Central Florida</x:v>
      </x:c>
      <x:c r="D923" s="17" t="str">
        <x:v>us:ipeds:132903:program:unclear:ipeds-discovery-signal-computer-and-information-systems-security-auditing-information-assurance-cip-11-1003</x:v>
      </x:c>
      <x:c r="E923" s="17" t="str"/>
      <x:c r="F923" s="17" t="str">
        <x:v>discovery</x:v>
      </x:c>
      <x:c r="G923" s="17" t="str">
        <x:v>Stage 2 recorded this row as a discovery candidate; it does not independently verify an exact current research program, eligibility, or funding.</x:v>
      </x:c>
      <x:c r="H923" s="17" t="str">
        <x:v>Pass 2 Stage 2 candidate funnel</x:v>
      </x:c>
      <x:c r="I923" s="17" t="str">
        <x:v>Graduate audit pipeline</x:v>
      </x:c>
      <x:c r="J923" s="17" t="str">
        <x:v>derived</x:v>
      </x:c>
      <x:c r="K923" s="17" t="str">
        <x:v>2026-09-11</x:v>
      </x:c>
      <x:c r="L923" s="17" t="str">
        <x:v>Not cycle-specific</x:v>
      </x:c>
      <x:c r="M923" s="17" t="str">
        <x:v>low</x:v>
      </x:c>
      <x:c r="N923" s="17" t="str">
        <x:v>Discovery evidence only</x:v>
      </x:c>
      <x:c r="O923" s="17" t="str">
        <x:v>Use the source_record_paths field to trace the underlying discovery inputs.</x:v>
      </x:c>
      <x:c r="P923" s="18" t="e">
        <x:f>HYPERLINK("https://www.ucf.edu","Open source")</x:f>
        <x:v>HYPERLINK is not implemented. linkLocation=https://www.ucf.edu, friendlyName=Open source</x:v>
      </x:c>
    </x:row>
    <x:row r="924" ht="46" customHeight="1">
      <x:c r="A924" s="17" t="str">
        <x:v>stage3src:4bf333ab6aa952868fae</x:v>
      </x:c>
      <x:c r="B924" s="17" t="str">
        <x:v>program</x:v>
      </x:c>
      <x:c r="C924" s="17" t="str">
        <x:v>University of Central Florida</x:v>
      </x:c>
      <x:c r="D924" s="17" t="str">
        <x:v>us:ipeds:132903:program:unclear:ipeds-discovery-signal-computer-engineering-general-cip-14-0901</x:v>
      </x:c>
      <x:c r="E924" s="17" t="str"/>
      <x:c r="F924" s="17" t="str">
        <x:v>discovery</x:v>
      </x:c>
      <x:c r="G924" s="17" t="str">
        <x:v>Stage 2 recorded this row as a discovery candidate; it does not independently verify an exact current research program, eligibility, or funding.</x:v>
      </x:c>
      <x:c r="H924" s="17" t="str">
        <x:v>Pass 2 Stage 2 candidate funnel</x:v>
      </x:c>
      <x:c r="I924" s="17" t="str">
        <x:v>Graduate audit pipeline</x:v>
      </x:c>
      <x:c r="J924" s="17" t="str">
        <x:v>derived</x:v>
      </x:c>
      <x:c r="K924" s="17" t="str">
        <x:v>2026-09-11</x:v>
      </x:c>
      <x:c r="L924" s="17" t="str">
        <x:v>Not cycle-specific</x:v>
      </x:c>
      <x:c r="M924" s="17" t="str">
        <x:v>low</x:v>
      </x:c>
      <x:c r="N924" s="17" t="str">
        <x:v>Discovery evidence only</x:v>
      </x:c>
      <x:c r="O924" s="17" t="str">
        <x:v>Use the source_record_paths field to trace the underlying discovery inputs.</x:v>
      </x:c>
      <x:c r="P924" s="18" t="e">
        <x:f>HYPERLINK("https://www.ucf.edu","Open source")</x:f>
        <x:v>HYPERLINK is not implemented. linkLocation=https://www.ucf.edu, friendlyName=Open source</x:v>
      </x:c>
    </x:row>
    <x:row r="925" ht="46" customHeight="1">
      <x:c r="A925" s="17" t="str">
        <x:v>stage3src:8aa1be3789fb65c1f76b</x:v>
      </x:c>
      <x:c r="B925" s="17" t="str">
        <x:v>program</x:v>
      </x:c>
      <x:c r="C925" s="17" t="str">
        <x:v>University of Central Florida</x:v>
      </x:c>
      <x:c r="D925" s="17" t="str">
        <x:v>us:ipeds:132903:program:unclear:ipeds-discovery-signal-electrical-and-electronics-engineering-cip-14-1001</x:v>
      </x:c>
      <x:c r="E925" s="17" t="str"/>
      <x:c r="F925" s="17" t="str">
        <x:v>discovery</x:v>
      </x:c>
      <x:c r="G925" s="17" t="str">
        <x:v>Stage 2 recorded this row as a discovery candidate; it does not independently verify an exact current research program, eligibility, or funding.</x:v>
      </x:c>
      <x:c r="H925" s="17" t="str">
        <x:v>Pass 2 Stage 2 candidate funnel</x:v>
      </x:c>
      <x:c r="I925" s="17" t="str">
        <x:v>Graduate audit pipeline</x:v>
      </x:c>
      <x:c r="J925" s="17" t="str">
        <x:v>derived</x:v>
      </x:c>
      <x:c r="K925" s="17" t="str">
        <x:v>2026-09-11</x:v>
      </x:c>
      <x:c r="L925" s="17" t="str">
        <x:v>Not cycle-specific</x:v>
      </x:c>
      <x:c r="M925" s="17" t="str">
        <x:v>low</x:v>
      </x:c>
      <x:c r="N925" s="17" t="str">
        <x:v>Discovery evidence only</x:v>
      </x:c>
      <x:c r="O925" s="17" t="str">
        <x:v>Use the source_record_paths field to trace the underlying discovery inputs.</x:v>
      </x:c>
      <x:c r="P925" s="18" t="e">
        <x:f>HYPERLINK("https://www.ucf.edu","Open source")</x:f>
        <x:v>HYPERLINK is not implemented. linkLocation=https://www.ucf.edu, friendlyName=Open source</x:v>
      </x:c>
    </x:row>
    <x:row r="926" ht="46" customHeight="1">
      <x:c r="A926" s="17" t="str">
        <x:v>stage3src:dbfc3e2b1d48efc96b6c</x:v>
      </x:c>
      <x:c r="B926" s="17" t="str">
        <x:v>program</x:v>
      </x:c>
      <x:c r="C926" s="17" t="str">
        <x:v>Embry-Riddle Aeronautical University-Daytona Beach</x:v>
      </x:c>
      <x:c r="D926" s="17" t="str">
        <x:v>us:ipeds:133553:program:unclear:ipeds-discovery-signal-computer-science-cip-11-0701</x:v>
      </x:c>
      <x:c r="E926" s="17" t="str"/>
      <x:c r="F926" s="17" t="str">
        <x:v>discovery</x:v>
      </x:c>
      <x:c r="G926" s="17" t="str">
        <x:v>Stage 2 recorded this row as a discovery candidate; it does not independently verify an exact current research program, eligibility, or funding.</x:v>
      </x:c>
      <x:c r="H926" s="17" t="str">
        <x:v>Pass 2 Stage 2 candidate funnel</x:v>
      </x:c>
      <x:c r="I926" s="17" t="str">
        <x:v>Graduate audit pipeline</x:v>
      </x:c>
      <x:c r="J926" s="17" t="str">
        <x:v>derived</x:v>
      </x:c>
      <x:c r="K926" s="17" t="str">
        <x:v>2026-09-11</x:v>
      </x:c>
      <x:c r="L926" s="17" t="str">
        <x:v>Not cycle-specific</x:v>
      </x:c>
      <x:c r="M926" s="17" t="str">
        <x:v>low</x:v>
      </x:c>
      <x:c r="N926" s="17" t="str">
        <x:v>Discovery evidence only</x:v>
      </x:c>
      <x:c r="O926" s="17" t="str">
        <x:v>Use the source_record_paths field to trace the underlying discovery inputs.</x:v>
      </x:c>
      <x:c r="P926" s="18" t="e">
        <x:f>HYPERLINK("https://daytonabeach.erau.edu","Open source")</x:f>
        <x:v>HYPERLINK is not implemented. linkLocation=https://daytonabeach.erau.edu, friendlyName=Open source</x:v>
      </x:c>
    </x:row>
    <x:row r="927" ht="46" customHeight="1">
      <x:c r="A927" s="17" t="str">
        <x:v>stage3src:68f9d6ff6fc4524fd335</x:v>
      </x:c>
      <x:c r="B927" s="17" t="str">
        <x:v>program</x:v>
      </x:c>
      <x:c r="C927" s="17" t="str">
        <x:v>Embry-Riddle Aeronautical University-Daytona Beach</x:v>
      </x:c>
      <x:c r="D927" s="17" t="str">
        <x:v>us:ipeds:133553:program:unclear:ipeds-discovery-signal-computer-software-engineering-cip-14-0903</x:v>
      </x:c>
      <x:c r="E927" s="17" t="str"/>
      <x:c r="F927" s="17" t="str">
        <x:v>discovery</x:v>
      </x:c>
      <x:c r="G927" s="17" t="str">
        <x:v>Stage 2 recorded this row as a discovery candidate; it does not independently verify an exact current research program, eligibility, or funding.</x:v>
      </x:c>
      <x:c r="H927" s="17" t="str">
        <x:v>Pass 2 Stage 2 candidate funnel</x:v>
      </x:c>
      <x:c r="I927" s="17" t="str">
        <x:v>Graduate audit pipeline</x:v>
      </x:c>
      <x:c r="J927" s="17" t="str">
        <x:v>derived</x:v>
      </x:c>
      <x:c r="K927" s="17" t="str">
        <x:v>2026-09-11</x:v>
      </x:c>
      <x:c r="L927" s="17" t="str">
        <x:v>Not cycle-specific</x:v>
      </x:c>
      <x:c r="M927" s="17" t="str">
        <x:v>low</x:v>
      </x:c>
      <x:c r="N927" s="17" t="str">
        <x:v>Discovery evidence only</x:v>
      </x:c>
      <x:c r="O927" s="17" t="str">
        <x:v>Use the source_record_paths field to trace the underlying discovery inputs.</x:v>
      </x:c>
      <x:c r="P927" s="18" t="e">
        <x:f>HYPERLINK("https://daytonabeach.erau.edu","Open source")</x:f>
        <x:v>HYPERLINK is not implemented. linkLocation=https://daytonabeach.erau.edu, friendlyName=Open source</x:v>
      </x:c>
    </x:row>
    <x:row r="928" ht="46" customHeight="1">
      <x:c r="A928" s="17" t="str">
        <x:v>stage3src:85a6f23e604b8a763db2</x:v>
      </x:c>
      <x:c r="B928" s="17" t="str">
        <x:v>program</x:v>
      </x:c>
      <x:c r="C928" s="17" t="str">
        <x:v>Embry-Riddle Aeronautical University-Daytona Beach</x:v>
      </x:c>
      <x:c r="D928" s="17" t="str">
        <x:v>us:ipeds:133553:program:unclear:ipeds-discovery-signal-cyber-computer-forensics-and-counterterrorism-cip-43-0403</x:v>
      </x:c>
      <x:c r="E928" s="17" t="str"/>
      <x:c r="F928" s="17" t="str">
        <x:v>discovery</x:v>
      </x:c>
      <x:c r="G928" s="17" t="str">
        <x:v>Stage 2 recorded this row as a discovery candidate; it does not independently verify an exact current research program, eligibility, or funding.</x:v>
      </x:c>
      <x:c r="H928" s="17" t="str">
        <x:v>Pass 2 Stage 2 candidate funnel</x:v>
      </x:c>
      <x:c r="I928" s="17" t="str">
        <x:v>Graduate audit pipeline</x:v>
      </x:c>
      <x:c r="J928" s="17" t="str">
        <x:v>derived</x:v>
      </x:c>
      <x:c r="K928" s="17" t="str">
        <x:v>2026-09-11</x:v>
      </x:c>
      <x:c r="L928" s="17" t="str">
        <x:v>Not cycle-specific</x:v>
      </x:c>
      <x:c r="M928" s="17" t="str">
        <x:v>low</x:v>
      </x:c>
      <x:c r="N928" s="17" t="str">
        <x:v>Discovery evidence only</x:v>
      </x:c>
      <x:c r="O928" s="17" t="str">
        <x:v>Use the source_record_paths field to trace the underlying discovery inputs.</x:v>
      </x:c>
      <x:c r="P928" s="18" t="e">
        <x:f>HYPERLINK("https://daytonabeach.erau.edu","Open source")</x:f>
        <x:v>HYPERLINK is not implemented. linkLocation=https://daytonabeach.erau.edu, friendlyName=Open source</x:v>
      </x:c>
    </x:row>
    <x:row r="929" ht="46" customHeight="1">
      <x:c r="A929" s="17" t="str">
        <x:v>stage3src:2a8bd587d8360d56bef8</x:v>
      </x:c>
      <x:c r="B929" s="17" t="str">
        <x:v>program</x:v>
      </x:c>
      <x:c r="C929" s="17" t="str">
        <x:v>Embry-Riddle Aeronautical University-Daytona Beach</x:v>
      </x:c>
      <x:c r="D929" s="17" t="str">
        <x:v>us:ipeds:133553:program:unclear:ipeds-discovery-signal-data-science-general-cip-30-7001</x:v>
      </x:c>
      <x:c r="E929" s="17" t="str"/>
      <x:c r="F929" s="17" t="str">
        <x:v>discovery</x:v>
      </x:c>
      <x:c r="G929" s="17" t="str">
        <x:v>Stage 2 recorded this row as a discovery candidate; it does not independently verify an exact current research program, eligibility, or funding.</x:v>
      </x:c>
      <x:c r="H929" s="17" t="str">
        <x:v>Pass 2 Stage 2 candidate funnel</x:v>
      </x:c>
      <x:c r="I929" s="17" t="str">
        <x:v>Graduate audit pipeline</x:v>
      </x:c>
      <x:c r="J929" s="17" t="str">
        <x:v>derived</x:v>
      </x:c>
      <x:c r="K929" s="17" t="str">
        <x:v>2026-09-11</x:v>
      </x:c>
      <x:c r="L929" s="17" t="str">
        <x:v>Not cycle-specific</x:v>
      </x:c>
      <x:c r="M929" s="17" t="str">
        <x:v>low</x:v>
      </x:c>
      <x:c r="N929" s="17" t="str">
        <x:v>Discovery evidence only</x:v>
      </x:c>
      <x:c r="O929" s="17" t="str">
        <x:v>Use the source_record_paths field to trace the underlying discovery inputs.</x:v>
      </x:c>
      <x:c r="P929" s="18" t="e">
        <x:f>HYPERLINK("https://daytonabeach.erau.edu","Open source")</x:f>
        <x:v>HYPERLINK is not implemented. linkLocation=https://daytonabeach.erau.edu, friendlyName=Open source</x:v>
      </x:c>
    </x:row>
    <x:row r="930" ht="46" customHeight="1">
      <x:c r="A930" s="17" t="str">
        <x:v>stage3src:4691507ac9f9f136aa37</x:v>
      </x:c>
      <x:c r="B930" s="17" t="str">
        <x:v>program</x:v>
      </x:c>
      <x:c r="C930" s="17" t="str">
        <x:v>Embry-Riddle Aeronautical University-Daytona Beach</x:v>
      </x:c>
      <x:c r="D930" s="17" t="str">
        <x:v>us:ipeds:133553:program:unclear:ipeds-discovery-signal-electrical-and-electronics-engineering-cip-14-1001</x:v>
      </x:c>
      <x:c r="E930" s="17" t="str"/>
      <x:c r="F930" s="17" t="str">
        <x:v>discovery</x:v>
      </x:c>
      <x:c r="G930" s="17" t="str">
        <x:v>Stage 2 recorded this row as a discovery candidate; it does not independently verify an exact current research program, eligibility, or funding.</x:v>
      </x:c>
      <x:c r="H930" s="17" t="str">
        <x:v>Pass 2 Stage 2 candidate funnel</x:v>
      </x:c>
      <x:c r="I930" s="17" t="str">
        <x:v>Graduate audit pipeline</x:v>
      </x:c>
      <x:c r="J930" s="17" t="str">
        <x:v>derived</x:v>
      </x:c>
      <x:c r="K930" s="17" t="str">
        <x:v>2026-09-11</x:v>
      </x:c>
      <x:c r="L930" s="17" t="str">
        <x:v>Not cycle-specific</x:v>
      </x:c>
      <x:c r="M930" s="17" t="str">
        <x:v>low</x:v>
      </x:c>
      <x:c r="N930" s="17" t="str">
        <x:v>Discovery evidence only</x:v>
      </x:c>
      <x:c r="O930" s="17" t="str">
        <x:v>Use the source_record_paths field to trace the underlying discovery inputs.</x:v>
      </x:c>
      <x:c r="P930" s="18" t="e">
        <x:f>HYPERLINK("https://daytonabeach.erau.edu","Open source")</x:f>
        <x:v>HYPERLINK is not implemented. linkLocation=https://daytonabeach.erau.edu, friendlyName=Open source</x:v>
      </x:c>
    </x:row>
    <x:row r="931" ht="46" customHeight="1">
      <x:c r="A931" s="17" t="str">
        <x:v>stage3src:386200b08704f2cf3fd8</x:v>
      </x:c>
      <x:c r="B931" s="17" t="str">
        <x:v>program</x:v>
      </x:c>
      <x:c r="C931" s="17" t="str">
        <x:v>Florida Agricultural and Mechanical University</x:v>
      </x:c>
      <x:c r="D931" s="17" t="str">
        <x:v>us:ipeds:133650:program:unclear:ipeds-discovery-signal-computer-and-information-sciences-general-cip-11-0101</x:v>
      </x:c>
      <x:c r="E931" s="17" t="str"/>
      <x:c r="F931" s="17" t="str">
        <x:v>discovery</x:v>
      </x:c>
      <x:c r="G931" s="17" t="str">
        <x:v>Stage 2 recorded this row as a discovery candidate; it does not independently verify an exact current research program, eligibility, or funding.</x:v>
      </x:c>
      <x:c r="H931" s="17" t="str">
        <x:v>Pass 2 Stage 2 candidate funnel</x:v>
      </x:c>
      <x:c r="I931" s="17" t="str">
        <x:v>Graduate audit pipeline</x:v>
      </x:c>
      <x:c r="J931" s="17" t="str">
        <x:v>derived</x:v>
      </x:c>
      <x:c r="K931" s="17" t="str">
        <x:v>2026-09-11</x:v>
      </x:c>
      <x:c r="L931" s="17" t="str">
        <x:v>Not cycle-specific</x:v>
      </x:c>
      <x:c r="M931" s="17" t="str">
        <x:v>low</x:v>
      </x:c>
      <x:c r="N931" s="17" t="str">
        <x:v>Discovery evidence only</x:v>
      </x:c>
      <x:c r="O931" s="17" t="str">
        <x:v>Use the source_record_paths field to trace the underlying discovery inputs.</x:v>
      </x:c>
      <x:c r="P931" s="18" t="e">
        <x:f>HYPERLINK("https://www.famu.edu","Open source")</x:f>
        <x:v>HYPERLINK is not implemented. linkLocation=https://www.famu.edu, friendlyName=Open source</x:v>
      </x:c>
    </x:row>
    <x:row r="932" ht="46" customHeight="1">
      <x:c r="A932" s="17" t="str">
        <x:v>stage3src:b41d0265a3aeaff479a6</x:v>
      </x:c>
      <x:c r="B932" s="17" t="str">
        <x:v>program</x:v>
      </x:c>
      <x:c r="C932" s="17" t="str">
        <x:v>Florida Agricultural and Mechanical University</x:v>
      </x:c>
      <x:c r="D932" s="17" t="str">
        <x:v>us:ipeds:133650:program:unclear:ipeds-discovery-signal-electrical-and-electronics-engineering-cip-14-1001</x:v>
      </x:c>
      <x:c r="E932" s="17" t="str"/>
      <x:c r="F932" s="17" t="str">
        <x:v>discovery</x:v>
      </x:c>
      <x:c r="G932" s="17" t="str">
        <x:v>Stage 2 recorded this row as a discovery candidate; it does not independently verify an exact current research program, eligibility, or funding.</x:v>
      </x:c>
      <x:c r="H932" s="17" t="str">
        <x:v>Pass 2 Stage 2 candidate funnel</x:v>
      </x:c>
      <x:c r="I932" s="17" t="str">
        <x:v>Graduate audit pipeline</x:v>
      </x:c>
      <x:c r="J932" s="17" t="str">
        <x:v>derived</x:v>
      </x:c>
      <x:c r="K932" s="17" t="str">
        <x:v>2026-09-11</x:v>
      </x:c>
      <x:c r="L932" s="17" t="str">
        <x:v>Not cycle-specific</x:v>
      </x:c>
      <x:c r="M932" s="17" t="str">
        <x:v>low</x:v>
      </x:c>
      <x:c r="N932" s="17" t="str">
        <x:v>Discovery evidence only</x:v>
      </x:c>
      <x:c r="O932" s="17" t="str">
        <x:v>Use the source_record_paths field to trace the underlying discovery inputs.</x:v>
      </x:c>
      <x:c r="P932" s="18" t="e">
        <x:f>HYPERLINK("https://www.famu.edu","Open source")</x:f>
        <x:v>HYPERLINK is not implemented. linkLocation=https://www.famu.edu, friendlyName=Open source</x:v>
      </x:c>
    </x:row>
    <x:row r="933" ht="46" customHeight="1">
      <x:c r="A933" s="17" t="str">
        <x:v>stage3src:39aa428af30cad4d083a</x:v>
      </x:c>
      <x:c r="B933" s="17" t="str">
        <x:v>program</x:v>
      </x:c>
      <x:c r="C933" s="17" t="str">
        <x:v>Florida Atlantic University</x:v>
      </x:c>
      <x:c r="D933" s="17" t="str">
        <x:v>us:ipeds:133669:program:phd:doctor-of-philosophy-with-major-in-computer-science</x:v>
      </x:c>
      <x:c r="E933" s="17" t="str"/>
      <x:c r="F933" s="17" t="str">
        <x:v>admissions|eligibility|gpa|deadline</x:v>
      </x:c>
      <x:c r="G933" s="17" t="str">
        <x:v>Central Graduate College page publishes a master's requirement for international applicants, GPA figures, GRE requirement, and February 15 Fall deadline, creating a material conflict with the department page.</x:v>
      </x:c>
      <x:c r="H933" s="17" t="str">
        <x:v>Doctor of Philosophy with Major in Computer Science</x:v>
      </x:c>
      <x:c r="I933" s="17" t="str">
        <x:v>Florida Atlantic University Graduate College</x:v>
      </x:c>
      <x:c r="J933" s="17" t="str">
        <x:v>official</x:v>
      </x:c>
      <x:c r="K933" s="17" t="str">
        <x:v>2026-09-11</x:v>
      </x:c>
      <x:c r="L933" s="17" t="str">
        <x:v>Current recurring requirements checked 2026-09-11</x:v>
      </x:c>
      <x:c r="M933" s="17" t="str">
        <x:v>high</x:v>
      </x:c>
      <x:c r="N933" s="17" t="str">
        <x:v>official page checked</x:v>
      </x:c>
      <x:c r="O933" s="17" t="str"/>
      <x:c r="P933" s="18" t="e">
        <x:f>HYPERLINK("https://www.fau.edu/graduate/graduate-programs/phd-computer-science/","Open source")</x:f>
        <x:v>HYPERLINK is not implemented. linkLocation=https://www.fau.edu/graduate/graduate-programs/phd-computer-science/, friendlyName=Open source</x:v>
      </x:c>
    </x:row>
    <x:row r="934" ht="46" customHeight="1">
      <x:c r="A934" s="17" t="str">
        <x:v>stage3src:4a024cefdcdcab5c0e09</x:v>
      </x:c>
      <x:c r="B934" s="17" t="str">
        <x:v>program</x:v>
      </x:c>
      <x:c r="C934" s="17" t="str">
        <x:v>Florida Atlantic University</x:v>
      </x:c>
      <x:c r="D934" s="17" t="str">
        <x:v>us:ipeds:133669:program:phd:doctor-of-philosophy-with-major-in-computer-science</x:v>
      </x:c>
      <x:c r="E934" s="17" t="str"/>
      <x:c r="F934" s="17" t="str">
        <x:v>program|research|admissions|eligibility|prerequisites|faculty</x:v>
      </x:c>
      <x:c r="G934" s="17" t="str">
        <x:v>Current Computer Science PhD, direct BS-to-PhD route, desirable GPA and GRE, prerequisite courses, English scores, dissertation route, and research-statement faculty identification.</x:v>
      </x:c>
      <x:c r="H934" s="17" t="str">
        <x:v>Ph.D. in Computer Science</x:v>
      </x:c>
      <x:c r="I934" s="17" t="str">
        <x:v>Florida Atlantic University College of Engineering and Computer Science</x:v>
      </x:c>
      <x:c r="J934" s="17" t="str">
        <x:v>official</x:v>
      </x:c>
      <x:c r="K934" s="17" t="str">
        <x:v>2026-09-11</x:v>
      </x:c>
      <x:c r="L934" s="17" t="str">
        <x:v>Current department page checked 2026-09-11; Fall 2027 requires confirmation</x:v>
      </x:c>
      <x:c r="M934" s="17" t="str">
        <x:v>high</x:v>
      </x:c>
      <x:c r="N934" s="17" t="str">
        <x:v>official page checked</x:v>
      </x:c>
      <x:c r="O934" s="17" t="str"/>
      <x:c r="P934" s="18" t="e">
        <x:f>HYPERLINK("https://www.fau.edu/engineering/eecs/graduate/phd/computer-science/","Open source")</x:f>
        <x:v>HYPERLINK is not implemented. linkLocation=https://www.fau.edu/engineering/eecs/graduate/phd/computer-science/, friendlyName=Open source</x:v>
      </x:c>
    </x:row>
    <x:row r="935" ht="46" customHeight="1">
      <x:c r="A935" s="17" t="str">
        <x:v>stage3src:e72c8ab386bf2dd9dc84</x:v>
      </x:c>
      <x:c r="B935" s="17" t="str">
        <x:v>program</x:v>
      </x:c>
      <x:c r="C935" s="17" t="str">
        <x:v>Florida Atlantic University</x:v>
      </x:c>
      <x:c r="D935" s="17" t="str">
        <x:v>us:ipeds:133669:program:phd:doctor-of-philosophy-with-major-in-computer-science</x:v>
      </x:c>
      <x:c r="E935" s="17" t="str"/>
      <x:c r="F935" s="17" t="str">
        <x:v>funding|tuition|insurance</x:v>
      </x:c>
      <x:c r="G935" s="17" t="str">
        <x:v>Traditional doctoral students are supported through TA or RA appointments with stipend, tuition waiver, and health insurance, contingent on positions and advisor support.</x:v>
      </x:c>
      <x:c r="H935" s="17" t="str">
        <x:v>PhD Funding</x:v>
      </x:c>
      <x:c r="I935" s="17" t="str">
        <x:v>Florida Atlantic University College of Engineering and Computer Science</x:v>
      </x:c>
      <x:c r="J935" s="17" t="str">
        <x:v>official</x:v>
      </x:c>
      <x:c r="K935" s="17" t="str">
        <x:v>2026-09-11</x:v>
      </x:c>
      <x:c r="L935" s="17" t="str">
        <x:v>Current funding page checked 2026-09-11</x:v>
      </x:c>
      <x:c r="M935" s="17" t="str">
        <x:v>high</x:v>
      </x:c>
      <x:c r="N935" s="17" t="str">
        <x:v>official page checked</x:v>
      </x:c>
      <x:c r="O935" s="17" t="str"/>
      <x:c r="P935" s="18" t="e">
        <x:f>HYPERLINK("https://www.fau.edu/engineering/graduate/phd-funding/","Open source")</x:f>
        <x:v>HYPERLINK is not implemented. linkLocation=https://www.fau.edu/engineering/graduate/phd-funding/, friendlyName=Open source</x:v>
      </x:c>
    </x:row>
    <x:row r="936" ht="46" customHeight="1">
      <x:c r="A936" s="17" t="str">
        <x:v>stage3src:df92268f6b795d75cb91</x:v>
      </x:c>
      <x:c r="B936" s="17" t="str">
        <x:v>program</x:v>
      </x:c>
      <x:c r="C936" s="17" t="str">
        <x:v>Florida Atlantic University</x:v>
      </x:c>
      <x:c r="D936" s="17" t="str">
        <x:v>us:ipeds:133669:program:unclear:ipeds-discovery-signal-artificial-intelligence-cip-11-0102</x:v>
      </x:c>
      <x:c r="E936" s="17" t="str"/>
      <x:c r="F936" s="17" t="str">
        <x:v>discovery</x:v>
      </x:c>
      <x:c r="G936" s="17" t="str">
        <x:v>Stage 2 recorded this row as a discovery candidate; it does not independently verify an exact current research program, eligibility, or funding.</x:v>
      </x:c>
      <x:c r="H936" s="17" t="str">
        <x:v>Pass 2 Stage 2 candidate funnel</x:v>
      </x:c>
      <x:c r="I936" s="17" t="str">
        <x:v>Graduate audit pipeline</x:v>
      </x:c>
      <x:c r="J936" s="17" t="str">
        <x:v>derived</x:v>
      </x:c>
      <x:c r="K936" s="17" t="str">
        <x:v>2026-09-11</x:v>
      </x:c>
      <x:c r="L936" s="17" t="str">
        <x:v>Not cycle-specific</x:v>
      </x:c>
      <x:c r="M936" s="17" t="str">
        <x:v>low</x:v>
      </x:c>
      <x:c r="N936" s="17" t="str">
        <x:v>Discovery evidence only</x:v>
      </x:c>
      <x:c r="O936" s="17" t="str">
        <x:v>Use the source_record_paths field to trace the underlying discovery inputs.</x:v>
      </x:c>
      <x:c r="P936" s="18" t="e">
        <x:f>HYPERLINK("https://www.fau.edu","Open source")</x:f>
        <x:v>HYPERLINK is not implemented. linkLocation=https://www.fau.edu, friendlyName=Open source</x:v>
      </x:c>
    </x:row>
    <x:row r="937" ht="46" customHeight="1">
      <x:c r="A937" s="17" t="str">
        <x:v>stage3src:67f27bb12b1b1812b150</x:v>
      </x:c>
      <x:c r="B937" s="17" t="str">
        <x:v>program</x:v>
      </x:c>
      <x:c r="C937" s="17" t="str">
        <x:v>Florida Atlantic University</x:v>
      </x:c>
      <x:c r="D937" s="17" t="str">
        <x:v>us:ipeds:133669:program:unclear:ipeds-discovery-signal-computer-and-information-sciences-general-cip-11-0101</x:v>
      </x:c>
      <x:c r="E937" s="17" t="str"/>
      <x:c r="F937" s="17" t="str">
        <x:v>discovery</x:v>
      </x:c>
      <x:c r="G937" s="17" t="str">
        <x:v>Stage 2 recorded this row as a discovery candidate; it does not independently verify an exact current research program, eligibility, or funding.</x:v>
      </x:c>
      <x:c r="H937" s="17" t="str">
        <x:v>Pass 2 Stage 2 candidate funnel</x:v>
      </x:c>
      <x:c r="I937" s="17" t="str">
        <x:v>Graduate audit pipeline</x:v>
      </x:c>
      <x:c r="J937" s="17" t="str">
        <x:v>derived</x:v>
      </x:c>
      <x:c r="K937" s="17" t="str">
        <x:v>2026-09-11</x:v>
      </x:c>
      <x:c r="L937" s="17" t="str">
        <x:v>Not cycle-specific</x:v>
      </x:c>
      <x:c r="M937" s="17" t="str">
        <x:v>low</x:v>
      </x:c>
      <x:c r="N937" s="17" t="str">
        <x:v>Discovery evidence only</x:v>
      </x:c>
      <x:c r="O937" s="17" t="str">
        <x:v>Use the source_record_paths field to trace the underlying discovery inputs.</x:v>
      </x:c>
      <x:c r="P937" s="18" t="e">
        <x:f>HYPERLINK("https://www.fau.edu","Open source")</x:f>
        <x:v>HYPERLINK is not implemented. linkLocation=https://www.fau.edu, friendlyName=Open source</x:v>
      </x:c>
    </x:row>
    <x:row r="938" ht="46" customHeight="1">
      <x:c r="A938" s="17" t="str">
        <x:v>stage3src:442d2c6d7d4e443484ac</x:v>
      </x:c>
      <x:c r="B938" s="17" t="str">
        <x:v>program</x:v>
      </x:c>
      <x:c r="C938" s="17" t="str">
        <x:v>Florida Atlantic University</x:v>
      </x:c>
      <x:c r="D938" s="17" t="str">
        <x:v>us:ipeds:133669:program:unclear:ipeds-discovery-signal-computer-engineering-general-cip-14-0901</x:v>
      </x:c>
      <x:c r="E938" s="17" t="str"/>
      <x:c r="F938" s="17" t="str">
        <x:v>discovery</x:v>
      </x:c>
      <x:c r="G938" s="17" t="str">
        <x:v>Stage 2 recorded this row as a discovery candidate; it does not independently verify an exact current research program, eligibility, or funding.</x:v>
      </x:c>
      <x:c r="H938" s="17" t="str">
        <x:v>Pass 2 Stage 2 candidate funnel</x:v>
      </x:c>
      <x:c r="I938" s="17" t="str">
        <x:v>Graduate audit pipeline</x:v>
      </x:c>
      <x:c r="J938" s="17" t="str">
        <x:v>derived</x:v>
      </x:c>
      <x:c r="K938" s="17" t="str">
        <x:v>2026-09-11</x:v>
      </x:c>
      <x:c r="L938" s="17" t="str">
        <x:v>Not cycle-specific</x:v>
      </x:c>
      <x:c r="M938" s="17" t="str">
        <x:v>low</x:v>
      </x:c>
      <x:c r="N938" s="17" t="str">
        <x:v>Discovery evidence only</x:v>
      </x:c>
      <x:c r="O938" s="17" t="str">
        <x:v>Use the source_record_paths field to trace the underlying discovery inputs.</x:v>
      </x:c>
      <x:c r="P938" s="18" t="e">
        <x:f>HYPERLINK("https://www.fau.edu","Open source")</x:f>
        <x:v>HYPERLINK is not implemented. linkLocation=https://www.fau.edu, friendlyName=Open source</x:v>
      </x:c>
    </x:row>
    <x:row r="939" ht="46" customHeight="1">
      <x:c r="A939" s="17" t="str">
        <x:v>stage3src:8337a2865e8655f6b5fc</x:v>
      </x:c>
      <x:c r="B939" s="17" t="str">
        <x:v>program</x:v>
      </x:c>
      <x:c r="C939" s="17" t="str">
        <x:v>Florida Atlantic University</x:v>
      </x:c>
      <x:c r="D939" s="17" t="str">
        <x:v>us:ipeds:133669:program:unclear:ipeds-discovery-signal-data-science-general-cip-30-7001</x:v>
      </x:c>
      <x:c r="E939" s="17" t="str"/>
      <x:c r="F939" s="17" t="str">
        <x:v>discovery</x:v>
      </x:c>
      <x:c r="G939" s="17" t="str">
        <x:v>Stage 2 recorded this row as a discovery candidate; it does not independently verify an exact current research program, eligibility, or funding.</x:v>
      </x:c>
      <x:c r="H939" s="17" t="str">
        <x:v>Pass 2 Stage 2 candidate funnel</x:v>
      </x:c>
      <x:c r="I939" s="17" t="str">
        <x:v>Graduate audit pipeline</x:v>
      </x:c>
      <x:c r="J939" s="17" t="str">
        <x:v>derived</x:v>
      </x:c>
      <x:c r="K939" s="17" t="str">
        <x:v>2026-09-11</x:v>
      </x:c>
      <x:c r="L939" s="17" t="str">
        <x:v>Not cycle-specific</x:v>
      </x:c>
      <x:c r="M939" s="17" t="str">
        <x:v>low</x:v>
      </x:c>
      <x:c r="N939" s="17" t="str">
        <x:v>Discovery evidence only</x:v>
      </x:c>
      <x:c r="O939" s="17" t="str">
        <x:v>Use the source_record_paths field to trace the underlying discovery inputs.</x:v>
      </x:c>
      <x:c r="P939" s="18" t="e">
        <x:f>HYPERLINK("https://www.fau.edu","Open source")</x:f>
        <x:v>HYPERLINK is not implemented. linkLocation=https://www.fau.edu, friendlyName=Open source</x:v>
      </x:c>
    </x:row>
    <x:row r="940" ht="46" customHeight="1">
      <x:c r="A940" s="17" t="str">
        <x:v>stage3src:718262e514ff3e2575a9</x:v>
      </x:c>
      <x:c r="B940" s="17" t="str">
        <x:v>program</x:v>
      </x:c>
      <x:c r="C940" s="17" t="str">
        <x:v>Florida Atlantic University</x:v>
      </x:c>
      <x:c r="D940" s="17" t="str">
        <x:v>us:ipeds:133669:program:unclear:ipeds-discovery-signal-electrical-and-electronics-engineering-cip-14-1001</x:v>
      </x:c>
      <x:c r="E940" s="17" t="str"/>
      <x:c r="F940" s="17" t="str">
        <x:v>discovery</x:v>
      </x:c>
      <x:c r="G940" s="17" t="str">
        <x:v>Stage 2 recorded this row as a discovery candidate; it does not independently verify an exact current research program, eligibility, or funding.</x:v>
      </x:c>
      <x:c r="H940" s="17" t="str">
        <x:v>Pass 2 Stage 2 candidate funnel</x:v>
      </x:c>
      <x:c r="I940" s="17" t="str">
        <x:v>Graduate audit pipeline</x:v>
      </x:c>
      <x:c r="J940" s="17" t="str">
        <x:v>derived</x:v>
      </x:c>
      <x:c r="K940" s="17" t="str">
        <x:v>2026-09-11</x:v>
      </x:c>
      <x:c r="L940" s="17" t="str">
        <x:v>Not cycle-specific</x:v>
      </x:c>
      <x:c r="M940" s="17" t="str">
        <x:v>low</x:v>
      </x:c>
      <x:c r="N940" s="17" t="str">
        <x:v>Discovery evidence only</x:v>
      </x:c>
      <x:c r="O940" s="17" t="str">
        <x:v>Use the source_record_paths field to trace the underlying discovery inputs.</x:v>
      </x:c>
      <x:c r="P940" s="18" t="e">
        <x:f>HYPERLINK("https://www.fau.edu","Open source")</x:f>
        <x:v>HYPERLINK is not implemented. linkLocation=https://www.fau.edu, friendlyName=Open source</x:v>
      </x:c>
    </x:row>
    <x:row r="941" ht="46" customHeight="1">
      <x:c r="A941" s="17" t="str">
        <x:v>stage3src:9e8c51273bcb59c22989</x:v>
      </x:c>
      <x:c r="B941" s="17" t="str">
        <x:v>program</x:v>
      </x:c>
      <x:c r="C941" s="17" t="str">
        <x:v>Florida Atlantic University</x:v>
      </x:c>
      <x:c r="D941" s="17" t="str">
        <x:v>us:ipeds:133669:program:unclear:ipeds-discovery-signal-information-technology-cip-11-0103</x:v>
      </x:c>
      <x:c r="E941" s="17" t="str"/>
      <x:c r="F941" s="17" t="str">
        <x:v>discovery</x:v>
      </x:c>
      <x:c r="G941" s="17" t="str">
        <x:v>Stage 2 recorded this row as a discovery candidate; it does not independently verify an exact current research program, eligibility, or funding.</x:v>
      </x:c>
      <x:c r="H941" s="17" t="str">
        <x:v>Pass 2 Stage 2 candidate funnel</x:v>
      </x:c>
      <x:c r="I941" s="17" t="str">
        <x:v>Graduate audit pipeline</x:v>
      </x:c>
      <x:c r="J941" s="17" t="str">
        <x:v>derived</x:v>
      </x:c>
      <x:c r="K941" s="17" t="str">
        <x:v>2026-09-11</x:v>
      </x:c>
      <x:c r="L941" s="17" t="str">
        <x:v>Not cycle-specific</x:v>
      </x:c>
      <x:c r="M941" s="17" t="str">
        <x:v>low</x:v>
      </x:c>
      <x:c r="N941" s="17" t="str">
        <x:v>Discovery evidence only</x:v>
      </x:c>
      <x:c r="O941" s="17" t="str">
        <x:v>Use the source_record_paths field to trace the underlying discovery inputs.</x:v>
      </x:c>
      <x:c r="P941" s="18" t="e">
        <x:f>HYPERLINK("https://www.fau.edu","Open source")</x:f>
        <x:v>HYPERLINK is not implemented. linkLocation=https://www.fau.edu, friendlyName=Open source</x:v>
      </x:c>
    </x:row>
    <x:row r="942" ht="46" customHeight="1">
      <x:c r="A942" s="17" t="str">
        <x:v>stage3src:b4bd9abb825f6a650a37</x:v>
      </x:c>
      <x:c r="B942" s="17" t="str">
        <x:v>program</x:v>
      </x:c>
      <x:c r="C942" s="17" t="str">
        <x:v>Florida Institute of Technology</x:v>
      </x:c>
      <x:c r="D942" s="17" t="str">
        <x:v>us:ipeds:133881:program:unclear:ipeds-discovery-signal-computer-and-information-systems-security-auditing-information-assurance-cip-11-1003</x:v>
      </x:c>
      <x:c r="E942" s="17" t="str"/>
      <x:c r="F942" s="17" t="str">
        <x:v>discovery</x:v>
      </x:c>
      <x:c r="G942" s="17" t="str">
        <x:v>Stage 2 recorded this row as a discovery candidate; it does not independently verify an exact current research program, eligibility, or funding.</x:v>
      </x:c>
      <x:c r="H942" s="17" t="str">
        <x:v>Pass 2 Stage 2 candidate funnel</x:v>
      </x:c>
      <x:c r="I942" s="17" t="str">
        <x:v>Graduate audit pipeline</x:v>
      </x:c>
      <x:c r="J942" s="17" t="str">
        <x:v>derived</x:v>
      </x:c>
      <x:c r="K942" s="17" t="str">
        <x:v>2026-09-11</x:v>
      </x:c>
      <x:c r="L942" s="17" t="str">
        <x:v>Not cycle-specific</x:v>
      </x:c>
      <x:c r="M942" s="17" t="str">
        <x:v>low</x:v>
      </x:c>
      <x:c r="N942" s="17" t="str">
        <x:v>Discovery evidence only</x:v>
      </x:c>
      <x:c r="O942" s="17" t="str">
        <x:v>Use the source_record_paths field to trace the underlying discovery inputs.</x:v>
      </x:c>
      <x:c r="P942" s="18" t="e">
        <x:f>HYPERLINK("https://www.fit.edu","Open source")</x:f>
        <x:v>HYPERLINK is not implemented. linkLocation=https://www.fit.edu, friendlyName=Open source</x:v>
      </x:c>
    </x:row>
    <x:row r="943" ht="46" customHeight="1">
      <x:c r="A943" s="17" t="str">
        <x:v>stage3src:733a77ac75fc10a709a2</x:v>
      </x:c>
      <x:c r="B943" s="17" t="str">
        <x:v>program</x:v>
      </x:c>
      <x:c r="C943" s="17" t="str">
        <x:v>Florida Institute of Technology</x:v>
      </x:c>
      <x:c r="D943" s="17" t="str">
        <x:v>us:ipeds:133881:program:unclear:ipeds-discovery-signal-computer-engineering-general-cip-14-0901</x:v>
      </x:c>
      <x:c r="E943" s="17" t="str"/>
      <x:c r="F943" s="17" t="str">
        <x:v>discovery</x:v>
      </x:c>
      <x:c r="G943" s="17" t="str">
        <x:v>Stage 2 recorded this row as a discovery candidate; it does not independently verify an exact current research program, eligibility, or funding.</x:v>
      </x:c>
      <x:c r="H943" s="17" t="str">
        <x:v>Pass 2 Stage 2 candidate funnel</x:v>
      </x:c>
      <x:c r="I943" s="17" t="str">
        <x:v>Graduate audit pipeline</x:v>
      </x:c>
      <x:c r="J943" s="17" t="str">
        <x:v>derived</x:v>
      </x:c>
      <x:c r="K943" s="17" t="str">
        <x:v>2026-09-11</x:v>
      </x:c>
      <x:c r="L943" s="17" t="str">
        <x:v>Not cycle-specific</x:v>
      </x:c>
      <x:c r="M943" s="17" t="str">
        <x:v>low</x:v>
      </x:c>
      <x:c r="N943" s="17" t="str">
        <x:v>Discovery evidence only</x:v>
      </x:c>
      <x:c r="O943" s="17" t="str">
        <x:v>Use the source_record_paths field to trace the underlying discovery inputs.</x:v>
      </x:c>
      <x:c r="P943" s="18" t="e">
        <x:f>HYPERLINK("https://www.fit.edu","Open source")</x:f>
        <x:v>HYPERLINK is not implemented. linkLocation=https://www.fit.edu, friendlyName=Open source</x:v>
      </x:c>
    </x:row>
    <x:row r="944" ht="46" customHeight="1">
      <x:c r="A944" s="17" t="str">
        <x:v>stage3src:2ec126c859f3778299c0</x:v>
      </x:c>
      <x:c r="B944" s="17" t="str">
        <x:v>program</x:v>
      </x:c>
      <x:c r="C944" s="17" t="str">
        <x:v>Florida Institute of Technology</x:v>
      </x:c>
      <x:c r="D944" s="17" t="str">
        <x:v>us:ipeds:133881:program:unclear:ipeds-discovery-signal-computer-science-cip-11-0701</x:v>
      </x:c>
      <x:c r="E944" s="17" t="str"/>
      <x:c r="F944" s="17" t="str">
        <x:v>discovery</x:v>
      </x:c>
      <x:c r="G944" s="17" t="str">
        <x:v>Stage 2 recorded this row as a discovery candidate; it does not independently verify an exact current research program, eligibility, or funding.</x:v>
      </x:c>
      <x:c r="H944" s="17" t="str">
        <x:v>Pass 2 Stage 2 candidate funnel</x:v>
      </x:c>
      <x:c r="I944" s="17" t="str">
        <x:v>Graduate audit pipeline</x:v>
      </x:c>
      <x:c r="J944" s="17" t="str">
        <x:v>derived</x:v>
      </x:c>
      <x:c r="K944" s="17" t="str">
        <x:v>2026-09-11</x:v>
      </x:c>
      <x:c r="L944" s="17" t="str">
        <x:v>Not cycle-specific</x:v>
      </x:c>
      <x:c r="M944" s="17" t="str">
        <x:v>low</x:v>
      </x:c>
      <x:c r="N944" s="17" t="str">
        <x:v>Discovery evidence only</x:v>
      </x:c>
      <x:c r="O944" s="17" t="str">
        <x:v>Use the source_record_paths field to trace the underlying discovery inputs.</x:v>
      </x:c>
      <x:c r="P944" s="18" t="e">
        <x:f>HYPERLINK("https://www.fit.edu","Open source")</x:f>
        <x:v>HYPERLINK is not implemented. linkLocation=https://www.fit.edu, friendlyName=Open source</x:v>
      </x:c>
    </x:row>
    <x:row r="945" ht="46" customHeight="1">
      <x:c r="A945" s="17" t="str">
        <x:v>stage3src:68438302426717e9c149</x:v>
      </x:c>
      <x:c r="B945" s="17" t="str">
        <x:v>program</x:v>
      </x:c>
      <x:c r="C945" s="17" t="str">
        <x:v>Florida Institute of Technology</x:v>
      </x:c>
      <x:c r="D945" s="17" t="str">
        <x:v>us:ipeds:133881:program:unclear:ipeds-discovery-signal-computer-software-engineering-cip-14-0903</x:v>
      </x:c>
      <x:c r="E945" s="17" t="str"/>
      <x:c r="F945" s="17" t="str">
        <x:v>discovery</x:v>
      </x:c>
      <x:c r="G945" s="17" t="str">
        <x:v>Stage 2 recorded this row as a discovery candidate; it does not independently verify an exact current research program, eligibility, or funding.</x:v>
      </x:c>
      <x:c r="H945" s="17" t="str">
        <x:v>Pass 2 Stage 2 candidate funnel</x:v>
      </x:c>
      <x:c r="I945" s="17" t="str">
        <x:v>Graduate audit pipeline</x:v>
      </x:c>
      <x:c r="J945" s="17" t="str">
        <x:v>derived</x:v>
      </x:c>
      <x:c r="K945" s="17" t="str">
        <x:v>2026-09-11</x:v>
      </x:c>
      <x:c r="L945" s="17" t="str">
        <x:v>Not cycle-specific</x:v>
      </x:c>
      <x:c r="M945" s="17" t="str">
        <x:v>low</x:v>
      </x:c>
      <x:c r="N945" s="17" t="str">
        <x:v>Discovery evidence only</x:v>
      </x:c>
      <x:c r="O945" s="17" t="str">
        <x:v>Use the source_record_paths field to trace the underlying discovery inputs.</x:v>
      </x:c>
      <x:c r="P945" s="18" t="e">
        <x:f>HYPERLINK("https://www.fit.edu","Open source")</x:f>
        <x:v>HYPERLINK is not implemented. linkLocation=https://www.fit.edu, friendlyName=Open source</x:v>
      </x:c>
    </x:row>
    <x:row r="946" ht="46" customHeight="1">
      <x:c r="A946" s="17" t="str">
        <x:v>stage3src:c36146f5ccd2c5e7b185</x:v>
      </x:c>
      <x:c r="B946" s="17" t="str">
        <x:v>program</x:v>
      </x:c>
      <x:c r="C946" s="17" t="str">
        <x:v>Florida Institute of Technology</x:v>
      </x:c>
      <x:c r="D946" s="17" t="str">
        <x:v>us:ipeds:133881:program:unclear:ipeds-discovery-signal-electrical-and-electronics-engineering-cip-14-1001</x:v>
      </x:c>
      <x:c r="E946" s="17" t="str"/>
      <x:c r="F946" s="17" t="str">
        <x:v>discovery</x:v>
      </x:c>
      <x:c r="G946" s="17" t="str">
        <x:v>Stage 2 recorded this row as a discovery candidate; it does not independently verify an exact current research program, eligibility, or funding.</x:v>
      </x:c>
      <x:c r="H946" s="17" t="str">
        <x:v>Pass 2 Stage 2 candidate funnel</x:v>
      </x:c>
      <x:c r="I946" s="17" t="str">
        <x:v>Graduate audit pipeline</x:v>
      </x:c>
      <x:c r="J946" s="17" t="str">
        <x:v>derived</x:v>
      </x:c>
      <x:c r="K946" s="17" t="str">
        <x:v>2026-09-11</x:v>
      </x:c>
      <x:c r="L946" s="17" t="str">
        <x:v>Not cycle-specific</x:v>
      </x:c>
      <x:c r="M946" s="17" t="str">
        <x:v>low</x:v>
      </x:c>
      <x:c r="N946" s="17" t="str">
        <x:v>Discovery evidence only</x:v>
      </x:c>
      <x:c r="O946" s="17" t="str">
        <x:v>Use the source_record_paths field to trace the underlying discovery inputs.</x:v>
      </x:c>
      <x:c r="P946" s="18" t="e">
        <x:f>HYPERLINK("https://www.fit.edu","Open source")</x:f>
        <x:v>HYPERLINK is not implemented. linkLocation=https://www.fit.edu, friendlyName=Open source</x:v>
      </x:c>
    </x:row>
    <x:row r="947" ht="46" customHeight="1">
      <x:c r="A947" s="17" t="str">
        <x:v>stage3src:0399cfdf65bb512f2d1f</x:v>
      </x:c>
      <x:c r="B947" s="17" t="str">
        <x:v>program</x:v>
      </x:c>
      <x:c r="C947" s="17" t="str">
        <x:v>Florida Institute of Technology</x:v>
      </x:c>
      <x:c r="D947" s="17" t="str">
        <x:v>us:ipeds:133881:program:unclear:ipeds-discovery-signal-information-science-studies-cip-11-0401</x:v>
      </x:c>
      <x:c r="E947" s="17" t="str"/>
      <x:c r="F947" s="17" t="str">
        <x:v>discovery</x:v>
      </x:c>
      <x:c r="G947" s="17" t="str">
        <x:v>Stage 2 recorded this row as a discovery candidate; it does not independently verify an exact current research program, eligibility, or funding.</x:v>
      </x:c>
      <x:c r="H947" s="17" t="str">
        <x:v>Pass 2 Stage 2 candidate funnel</x:v>
      </x:c>
      <x:c r="I947" s="17" t="str">
        <x:v>Graduate audit pipeline</x:v>
      </x:c>
      <x:c r="J947" s="17" t="str">
        <x:v>derived</x:v>
      </x:c>
      <x:c r="K947" s="17" t="str">
        <x:v>2026-09-11</x:v>
      </x:c>
      <x:c r="L947" s="17" t="str">
        <x:v>Not cycle-specific</x:v>
      </x:c>
      <x:c r="M947" s="17" t="str">
        <x:v>low</x:v>
      </x:c>
      <x:c r="N947" s="17" t="str">
        <x:v>Discovery evidence only</x:v>
      </x:c>
      <x:c r="O947" s="17" t="str">
        <x:v>Use the source_record_paths field to trace the underlying discovery inputs.</x:v>
      </x:c>
      <x:c r="P947" s="18" t="e">
        <x:f>HYPERLINK("https://www.fit.edu","Open source")</x:f>
        <x:v>HYPERLINK is not implemented. linkLocation=https://www.fit.edu, friendlyName=Open source</x:v>
      </x:c>
    </x:row>
    <x:row r="948" ht="46" customHeight="1">
      <x:c r="A948" s="17" t="str">
        <x:v>stage3src:08116e759ba63832ac5c</x:v>
      </x:c>
      <x:c r="B948" s="17" t="str">
        <x:v>program</x:v>
      </x:c>
      <x:c r="C948" s="17" t="str">
        <x:v>Florida International University</x:v>
      </x:c>
      <x:c r="D948" s="17" t="str">
        <x:v>us:ipeds:133951:program:phd:doctor-of-philosophy-in-computer-science</x:v>
      </x:c>
      <x:c r="E948" s="17" t="str"/>
      <x:c r="F948" s="17" t="str">
        <x:v>admissions|fees</x:v>
      </x:c>
      <x:c r="G948" s="17" t="str">
        <x:v>USD 30 nonrefundable fee, separate application and fee for each additional program, and general application process.</x:v>
      </x:c>
      <x:c r="H948" s="17" t="str">
        <x:v>Graduate Applicant Frequently Asked Questions</x:v>
      </x:c>
      <x:c r="I948" s="17" t="str">
        <x:v>Florida International University Admissions</x:v>
      </x:c>
      <x:c r="J948" s="17" t="str">
        <x:v>official</x:v>
      </x:c>
      <x:c r="K948" s="17" t="str">
        <x:v>2026-09-10</x:v>
      </x:c>
      <x:c r="L948" s="17" t="str">
        <x:v>Current guidance checked 2026-09-10</x:v>
      </x:c>
      <x:c r="M948" s="17" t="str">
        <x:v>high</x:v>
      </x:c>
      <x:c r="N948" s="17" t="str">
        <x:v>official page checked</x:v>
      </x:c>
      <x:c r="O948" s="17" t="str"/>
      <x:c r="P948" s="18" t="e">
        <x:f>HYPERLINK("https://admissions.fiu.edu/how-to-apply/graduate-applicant/frequently-asked-questions/","Open source")</x:f>
        <x:v>HYPERLINK is not implemented. linkLocation=https://admissions.fiu.edu/how-to-apply/graduate-applicant/frequently-asked-questions/, friendlyName=Open source</x:v>
      </x:c>
    </x:row>
    <x:row r="949" ht="46" customHeight="1">
      <x:c r="A949" s="17" t="str">
        <x:v>stage3src:0afcbc189086cc09b81c</x:v>
      </x:c>
      <x:c r="B949" s="17" t="str">
        <x:v>program</x:v>
      </x:c>
      <x:c r="C949" s="17" t="str">
        <x:v>Florida International University</x:v>
      </x:c>
      <x:c r="D949" s="17" t="str">
        <x:v>us:ipeds:133951:program:phd:doctor-of-philosophy-in-computer-science</x:v>
      </x:c>
      <x:c r="E949" s="17" t="str"/>
      <x:c r="F949" s="17" t="str">
        <x:v>program|admissions|eligibility|language|deadline|funding|tuition</x:v>
      </x:c>
      <x:c r="G949" s="17" t="str">
        <x:v>Exact PhD, bachelor's entry, upper-division GPA, language thresholds, recurring deadlines, first-year TA and advisor RA model, tuition waiver, insurance, and fellowship details.</x:v>
      </x:c>
      <x:c r="H949" s="17" t="str">
        <x:v>Doctor of Philosophy in Computer Science</x:v>
      </x:c>
      <x:c r="I949" s="17" t="str">
        <x:v>Florida International University Knight Foundation School of Computing and Information Sciences</x:v>
      </x:c>
      <x:c r="J949" s="17" t="str">
        <x:v>official</x:v>
      </x:c>
      <x:c r="K949" s="17" t="str">
        <x:v>2026-09-10</x:v>
      </x:c>
      <x:c r="L949" s="17" t="str">
        <x:v>Current page checked 2026-09-10</x:v>
      </x:c>
      <x:c r="M949" s="17" t="str">
        <x:v>high</x:v>
      </x:c>
      <x:c r="N949" s="17" t="str">
        <x:v>official page checked</x:v>
      </x:c>
      <x:c r="O949" s="17" t="str"/>
      <x:c r="P949" s="18" t="e">
        <x:f>HYPERLINK("https://www.cis.fiu.edu/degree/doctor-of-philosophy-in-computer-science/","Open source")</x:f>
        <x:v>HYPERLINK is not implemented. linkLocation=https://www.cis.fiu.edu/degree/doctor-of-philosophy-in-computer-science/, friendlyName=Open source</x:v>
      </x:c>
    </x:row>
    <x:row r="950" ht="46" customHeight="1">
      <x:c r="A950" s="17" t="str">
        <x:v>stage3src:a43eb1561f140a7f3865</x:v>
      </x:c>
      <x:c r="B950" s="17" t="str">
        <x:v>program</x:v>
      </x:c>
      <x:c r="C950" s="17" t="str">
        <x:v>Florida International University</x:v>
      </x:c>
      <x:c r="D950" s="17" t="str">
        <x:v>us:ipeds:133951:program:phd:doctor-of-philosophy-in-computer-science</x:v>
      </x:c>
      <x:c r="E950" s="17" t="str"/>
      <x:c r="F950" s="17" t="str">
        <x:v>program|admissions|eligibility|funding</x:v>
      </x:c>
      <x:c r="G950" s="17" t="str">
        <x:v>2026 handbook confirms bachelor's-entry GPA, calculus and statistics preparation, degree structure, and assistantship policy context.</x:v>
      </x:c>
      <x:c r="H950" s="17" t="str">
        <x:v>Graduate Student Handbook 2026</x:v>
      </x:c>
      <x:c r="I950" s="17" t="str">
        <x:v>Florida International University School of Computing and Information Sciences</x:v>
      </x:c>
      <x:c r="J950" s="17" t="str">
        <x:v>official</x:v>
      </x:c>
      <x:c r="K950" s="17" t="str">
        <x:v>2026-09-10</x:v>
      </x:c>
      <x:c r="L950" s="17" t="str">
        <x:v>2026 handbook</x:v>
      </x:c>
      <x:c r="M950" s="17" t="str">
        <x:v>high</x:v>
      </x:c>
      <x:c r="N950" s="17" t="str">
        <x:v>official page checked</x:v>
      </x:c>
      <x:c r="O950" s="17" t="str"/>
      <x:c r="P950" s="18" t="e">
        <x:f>HYPERLINK("https://www.cis.fiu.edu/wp-content/uploads/2026/03/Graduate-Student-Handbook_2026.pdf","Open source")</x:f>
        <x:v>HYPERLINK is not implemented. linkLocation=https://www.cis.fiu.edu/wp-content/uploads/2026/03/Graduate-Student-Handbook_2026.pdf, friendlyName=Open source</x:v>
      </x:c>
    </x:row>
    <x:row r="951" ht="46" customHeight="1">
      <x:c r="A951" s="17" t="str">
        <x:v>stage3src:6bf6baf0b689ee75a122</x:v>
      </x:c>
      <x:c r="B951" s="17" t="str">
        <x:v>program</x:v>
      </x:c>
      <x:c r="C951" s="17" t="str">
        <x:v>Florida International University</x:v>
      </x:c>
      <x:c r="D951" s="17" t="str">
        <x:v>us:ipeds:133951:program:unclear:ipeds-discovery-signal-computer-and-information-sciences-general-cip-11-0101</x:v>
      </x:c>
      <x:c r="E951" s="17" t="str"/>
      <x:c r="F951" s="17" t="str">
        <x:v>discovery</x:v>
      </x:c>
      <x:c r="G951" s="17" t="str">
        <x:v>Stage 2 recorded this row as a discovery candidate; it does not independently verify an exact current research program, eligibility, or funding.</x:v>
      </x:c>
      <x:c r="H951" s="17" t="str">
        <x:v>Pass 2 Stage 2 candidate funnel</x:v>
      </x:c>
      <x:c r="I951" s="17" t="str">
        <x:v>Graduate audit pipeline</x:v>
      </x:c>
      <x:c r="J951" s="17" t="str">
        <x:v>derived</x:v>
      </x:c>
      <x:c r="K951" s="17" t="str">
        <x:v>2026-09-11</x:v>
      </x:c>
      <x:c r="L951" s="17" t="str">
        <x:v>Not cycle-specific</x:v>
      </x:c>
      <x:c r="M951" s="17" t="str">
        <x:v>low</x:v>
      </x:c>
      <x:c r="N951" s="17" t="str">
        <x:v>Discovery evidence only</x:v>
      </x:c>
      <x:c r="O951" s="17" t="str">
        <x:v>Use the source_record_paths field to trace the underlying discovery inputs.</x:v>
      </x:c>
      <x:c r="P951" s="18" t="e">
        <x:f>HYPERLINK("https://www.fiu.edu","Open source")</x:f>
        <x:v>HYPERLINK is not implemented. linkLocation=https://www.fiu.edu, friendlyName=Open source</x:v>
      </x:c>
    </x:row>
    <x:row r="952" ht="46" customHeight="1">
      <x:c r="A952" s="17" t="str">
        <x:v>stage3src:7ebe19716432daf10c53</x:v>
      </x:c>
      <x:c r="B952" s="17" t="str">
        <x:v>program</x:v>
      </x:c>
      <x:c r="C952" s="17" t="str">
        <x:v>Florida International University</x:v>
      </x:c>
      <x:c r="D952" s="17" t="str">
        <x:v>us:ipeds:133951:program:unclear:ipeds-discovery-signal-computer-and-information-systems-security-auditing-information-assurance-cip-11-1003</x:v>
      </x:c>
      <x:c r="E952" s="17" t="str"/>
      <x:c r="F952" s="17" t="str">
        <x:v>discovery</x:v>
      </x:c>
      <x:c r="G952" s="17" t="str">
        <x:v>Stage 2 recorded this row as a discovery candidate; it does not independently verify an exact current research program, eligibility, or funding.</x:v>
      </x:c>
      <x:c r="H952" s="17" t="str">
        <x:v>Pass 2 Stage 2 candidate funnel</x:v>
      </x:c>
      <x:c r="I952" s="17" t="str">
        <x:v>Graduate audit pipeline</x:v>
      </x:c>
      <x:c r="J952" s="17" t="str">
        <x:v>derived</x:v>
      </x:c>
      <x:c r="K952" s="17" t="str">
        <x:v>2026-09-11</x:v>
      </x:c>
      <x:c r="L952" s="17" t="str">
        <x:v>Not cycle-specific</x:v>
      </x:c>
      <x:c r="M952" s="17" t="str">
        <x:v>low</x:v>
      </x:c>
      <x:c r="N952" s="17" t="str">
        <x:v>Discovery evidence only</x:v>
      </x:c>
      <x:c r="O952" s="17" t="str">
        <x:v>Use the source_record_paths field to trace the underlying discovery inputs.</x:v>
      </x:c>
      <x:c r="P952" s="18" t="e">
        <x:f>HYPERLINK("https://www.fiu.edu","Open source")</x:f>
        <x:v>HYPERLINK is not implemented. linkLocation=https://www.fiu.edu, friendlyName=Open source</x:v>
      </x:c>
    </x:row>
    <x:row r="953" ht="46" customHeight="1">
      <x:c r="A953" s="17" t="str">
        <x:v>stage3src:4bf984ac386c3963a4d1</x:v>
      </x:c>
      <x:c r="B953" s="17" t="str">
        <x:v>program</x:v>
      </x:c>
      <x:c r="C953" s="17" t="str">
        <x:v>Florida International University</x:v>
      </x:c>
      <x:c r="D953" s="17" t="str">
        <x:v>us:ipeds:133951:program:unclear:ipeds-discovery-signal-computer-engineering-general-cip-14-0901</x:v>
      </x:c>
      <x:c r="E953" s="17" t="str"/>
      <x:c r="F953" s="17" t="str">
        <x:v>discovery</x:v>
      </x:c>
      <x:c r="G953" s="17" t="str">
        <x:v>Stage 2 recorded this row as a discovery candidate; it does not independently verify an exact current research program, eligibility, or funding.</x:v>
      </x:c>
      <x:c r="H953" s="17" t="str">
        <x:v>Pass 2 Stage 2 candidate funnel</x:v>
      </x:c>
      <x:c r="I953" s="17" t="str">
        <x:v>Graduate audit pipeline</x:v>
      </x:c>
      <x:c r="J953" s="17" t="str">
        <x:v>derived</x:v>
      </x:c>
      <x:c r="K953" s="17" t="str">
        <x:v>2026-09-11</x:v>
      </x:c>
      <x:c r="L953" s="17" t="str">
        <x:v>Not cycle-specific</x:v>
      </x:c>
      <x:c r="M953" s="17" t="str">
        <x:v>low</x:v>
      </x:c>
      <x:c r="N953" s="17" t="str">
        <x:v>Discovery evidence only</x:v>
      </x:c>
      <x:c r="O953" s="17" t="str">
        <x:v>Use the source_record_paths field to trace the underlying discovery inputs.</x:v>
      </x:c>
      <x:c r="P953" s="18" t="e">
        <x:f>HYPERLINK("https://www.fiu.edu","Open source")</x:f>
        <x:v>HYPERLINK is not implemented. linkLocation=https://www.fiu.edu, friendlyName=Open source</x:v>
      </x:c>
    </x:row>
    <x:row r="954" ht="46" customHeight="1">
      <x:c r="A954" s="17" t="str">
        <x:v>stage3src:e914824ac53018e5267c</x:v>
      </x:c>
      <x:c r="B954" s="17" t="str">
        <x:v>program</x:v>
      </x:c>
      <x:c r="C954" s="17" t="str">
        <x:v>Florida International University</x:v>
      </x:c>
      <x:c r="D954" s="17" t="str">
        <x:v>us:ipeds:133951:program:unclear:ipeds-discovery-signal-electrical-and-electronics-engineering-cip-14-1001</x:v>
      </x:c>
      <x:c r="E954" s="17" t="str"/>
      <x:c r="F954" s="17" t="str">
        <x:v>discovery</x:v>
      </x:c>
      <x:c r="G954" s="17" t="str">
        <x:v>Stage 2 recorded this row as a discovery candidate; it does not independently verify an exact current research program, eligibility, or funding.</x:v>
      </x:c>
      <x:c r="H954" s="17" t="str">
        <x:v>Pass 2 Stage 2 candidate funnel</x:v>
      </x:c>
      <x:c r="I954" s="17" t="str">
        <x:v>Graduate audit pipeline</x:v>
      </x:c>
      <x:c r="J954" s="17" t="str">
        <x:v>derived</x:v>
      </x:c>
      <x:c r="K954" s="17" t="str">
        <x:v>2026-09-11</x:v>
      </x:c>
      <x:c r="L954" s="17" t="str">
        <x:v>Not cycle-specific</x:v>
      </x:c>
      <x:c r="M954" s="17" t="str">
        <x:v>low</x:v>
      </x:c>
      <x:c r="N954" s="17" t="str">
        <x:v>Discovery evidence only</x:v>
      </x:c>
      <x:c r="O954" s="17" t="str">
        <x:v>Use the source_record_paths field to trace the underlying discovery inputs.</x:v>
      </x:c>
      <x:c r="P954" s="18" t="e">
        <x:f>HYPERLINK("https://www.fiu.edu","Open source")</x:f>
        <x:v>HYPERLINK is not implemented. linkLocation=https://www.fiu.edu, friendlyName=Open source</x:v>
      </x:c>
    </x:row>
    <x:row r="955" ht="46" customHeight="1">
      <x:c r="A955" s="17" t="str">
        <x:v>stage3src:974a99b6d0cc8821c9f7</x:v>
      </x:c>
      <x:c r="B955" s="17" t="str">
        <x:v>program</x:v>
      </x:c>
      <x:c r="C955" s="17" t="str">
        <x:v>Florida International University</x:v>
      </x:c>
      <x:c r="D955" s="17" t="str">
        <x:v>us:ipeds:133951:program:unclear:ipeds-discovery-signal-information-technology-cip-11-0103</x:v>
      </x:c>
      <x:c r="E955" s="17" t="str"/>
      <x:c r="F955" s="17" t="str">
        <x:v>discovery</x:v>
      </x:c>
      <x:c r="G955" s="17" t="str">
        <x:v>Stage 2 recorded this row as a discovery candidate; it does not independently verify an exact current research program, eligibility, or funding.</x:v>
      </x:c>
      <x:c r="H955" s="17" t="str">
        <x:v>Pass 2 Stage 2 candidate funnel</x:v>
      </x:c>
      <x:c r="I955" s="17" t="str">
        <x:v>Graduate audit pipeline</x:v>
      </x:c>
      <x:c r="J955" s="17" t="str">
        <x:v>derived</x:v>
      </x:c>
      <x:c r="K955" s="17" t="str">
        <x:v>2026-09-11</x:v>
      </x:c>
      <x:c r="L955" s="17" t="str">
        <x:v>Not cycle-specific</x:v>
      </x:c>
      <x:c r="M955" s="17" t="str">
        <x:v>low</x:v>
      </x:c>
      <x:c r="N955" s="17" t="str">
        <x:v>Discovery evidence only</x:v>
      </x:c>
      <x:c r="O955" s="17" t="str">
        <x:v>Use the source_record_paths field to trace the underlying discovery inputs.</x:v>
      </x:c>
      <x:c r="P955" s="18" t="e">
        <x:f>HYPERLINK("https://www.fiu.edu","Open source")</x:f>
        <x:v>HYPERLINK is not implemented. linkLocation=https://www.fiu.edu, friendlyName=Open source</x:v>
      </x:c>
    </x:row>
    <x:row r="956" ht="46" customHeight="1">
      <x:c r="A956" s="17" t="str">
        <x:v>stage3src:bec96fe284c831d191d3</x:v>
      </x:c>
      <x:c r="B956" s="17" t="str">
        <x:v>program</x:v>
      </x:c>
      <x:c r="C956" s="17" t="str">
        <x:v>Florida State University</x:v>
      </x:c>
      <x:c r="D956" s="17" t="str">
        <x:v>us:ipeds:134097:program:unclear:ipeds-discovery-signal-computer-and-information-sciences-general-cip-11-0101</x:v>
      </x:c>
      <x:c r="E956" s="17" t="str"/>
      <x:c r="F956" s="17" t="str">
        <x:v>discovery</x:v>
      </x:c>
      <x:c r="G956" s="17" t="str">
        <x:v>Stage 2 recorded this row as a discovery candidate; it does not independently verify an exact current research program, eligibility, or funding.</x:v>
      </x:c>
      <x:c r="H956" s="17" t="str">
        <x:v>Pass 2 Stage 2 candidate funnel</x:v>
      </x:c>
      <x:c r="I956" s="17" t="str">
        <x:v>Graduate audit pipeline</x:v>
      </x:c>
      <x:c r="J956" s="17" t="str">
        <x:v>derived</x:v>
      </x:c>
      <x:c r="K956" s="17" t="str">
        <x:v>2026-09-11</x:v>
      </x:c>
      <x:c r="L956" s="17" t="str">
        <x:v>Not cycle-specific</x:v>
      </x:c>
      <x:c r="M956" s="17" t="str">
        <x:v>low</x:v>
      </x:c>
      <x:c r="N956" s="17" t="str">
        <x:v>Discovery evidence only</x:v>
      </x:c>
      <x:c r="O956" s="17" t="str">
        <x:v>Use the source_record_paths field to trace the underlying discovery inputs.</x:v>
      </x:c>
      <x:c r="P956" s="18" t="e">
        <x:f>HYPERLINK("https://www.fsu.edu","Open source")</x:f>
        <x:v>HYPERLINK is not implemented. linkLocation=https://www.fsu.edu, friendlyName=Open source</x:v>
      </x:c>
    </x:row>
    <x:row r="957" ht="46" customHeight="1">
      <x:c r="A957" s="17" t="str">
        <x:v>stage3src:08da915449dd1df1dbc8</x:v>
      </x:c>
      <x:c r="B957" s="17" t="str">
        <x:v>program</x:v>
      </x:c>
      <x:c r="C957" s="17" t="str">
        <x:v>Florida State University</x:v>
      </x:c>
      <x:c r="D957" s="17" t="str">
        <x:v>us:ipeds:134097:program:unclear:ipeds-discovery-signal-data-science-general-cip-30-7001</x:v>
      </x:c>
      <x:c r="E957" s="17" t="str"/>
      <x:c r="F957" s="17" t="str">
        <x:v>discovery</x:v>
      </x:c>
      <x:c r="G957" s="17" t="str">
        <x:v>Stage 2 recorded this row as a discovery candidate; it does not independently verify an exact current research program, eligibility, or funding.</x:v>
      </x:c>
      <x:c r="H957" s="17" t="str">
        <x:v>Pass 2 Stage 2 candidate funnel</x:v>
      </x:c>
      <x:c r="I957" s="17" t="str">
        <x:v>Graduate audit pipeline</x:v>
      </x:c>
      <x:c r="J957" s="17" t="str">
        <x:v>derived</x:v>
      </x:c>
      <x:c r="K957" s="17" t="str">
        <x:v>2026-09-11</x:v>
      </x:c>
      <x:c r="L957" s="17" t="str">
        <x:v>Not cycle-specific</x:v>
      </x:c>
      <x:c r="M957" s="17" t="str">
        <x:v>low</x:v>
      </x:c>
      <x:c r="N957" s="17" t="str">
        <x:v>Discovery evidence only</x:v>
      </x:c>
      <x:c r="O957" s="17" t="str">
        <x:v>Use the source_record_paths field to trace the underlying discovery inputs.</x:v>
      </x:c>
      <x:c r="P957" s="18" t="e">
        <x:f>HYPERLINK("https://www.fsu.edu","Open source")</x:f>
        <x:v>HYPERLINK is not implemented. linkLocation=https://www.fsu.edu, friendlyName=Open source</x:v>
      </x:c>
    </x:row>
    <x:row r="958" ht="46" customHeight="1">
      <x:c r="A958" s="17" t="str">
        <x:v>stage3src:39cad3256f86cc92246f</x:v>
      </x:c>
      <x:c r="B958" s="17" t="str">
        <x:v>program</x:v>
      </x:c>
      <x:c r="C958" s="17" t="str">
        <x:v>Florida State University</x:v>
      </x:c>
      <x:c r="D958" s="17" t="str">
        <x:v>us:ipeds:134097:program:unclear:ipeds-discovery-signal-electrical-and-electronics-engineering-cip-14-1001</x:v>
      </x:c>
      <x:c r="E958" s="17" t="str"/>
      <x:c r="F958" s="17" t="str">
        <x:v>discovery</x:v>
      </x:c>
      <x:c r="G958" s="17" t="str">
        <x:v>Stage 2 recorded this row as a discovery candidate; it does not independently verify an exact current research program, eligibility, or funding.</x:v>
      </x:c>
      <x:c r="H958" s="17" t="str">
        <x:v>Pass 2 Stage 2 candidate funnel</x:v>
      </x:c>
      <x:c r="I958" s="17" t="str">
        <x:v>Graduate audit pipeline</x:v>
      </x:c>
      <x:c r="J958" s="17" t="str">
        <x:v>derived</x:v>
      </x:c>
      <x:c r="K958" s="17" t="str">
        <x:v>2026-09-11</x:v>
      </x:c>
      <x:c r="L958" s="17" t="str">
        <x:v>Not cycle-specific</x:v>
      </x:c>
      <x:c r="M958" s="17" t="str">
        <x:v>low</x:v>
      </x:c>
      <x:c r="N958" s="17" t="str">
        <x:v>Discovery evidence only</x:v>
      </x:c>
      <x:c r="O958" s="17" t="str">
        <x:v>Use the source_record_paths field to trace the underlying discovery inputs.</x:v>
      </x:c>
      <x:c r="P958" s="18" t="e">
        <x:f>HYPERLINK("https://www.fsu.edu","Open source")</x:f>
        <x:v>HYPERLINK is not implemented. linkLocation=https://www.fsu.edu, friendlyName=Open source</x:v>
      </x:c>
    </x:row>
    <x:row r="959" ht="46" customHeight="1">
      <x:c r="A959" s="17" t="str">
        <x:v>stage3src:9455fc9e19b67da2032d</x:v>
      </x:c>
      <x:c r="B959" s="17" t="str">
        <x:v>program</x:v>
      </x:c>
      <x:c r="C959" s="17" t="str">
        <x:v>Florida State University</x:v>
      </x:c>
      <x:c r="D959" s="17" t="str">
        <x:v>us:ipeds:134097:program:unclear:ipeds-discovery-signal-information-science-studies-cip-11-0401</x:v>
      </x:c>
      <x:c r="E959" s="17" t="str"/>
      <x:c r="F959" s="17" t="str">
        <x:v>discovery</x:v>
      </x:c>
      <x:c r="G959" s="17" t="str">
        <x:v>Stage 2 recorded this row as a discovery candidate; it does not independently verify an exact current research program, eligibility, or funding.</x:v>
      </x:c>
      <x:c r="H959" s="17" t="str">
        <x:v>Pass 2 Stage 2 candidate funnel</x:v>
      </x:c>
      <x:c r="I959" s="17" t="str">
        <x:v>Graduate audit pipeline</x:v>
      </x:c>
      <x:c r="J959" s="17" t="str">
        <x:v>derived</x:v>
      </x:c>
      <x:c r="K959" s="17" t="str">
        <x:v>2026-09-11</x:v>
      </x:c>
      <x:c r="L959" s="17" t="str">
        <x:v>Not cycle-specific</x:v>
      </x:c>
      <x:c r="M959" s="17" t="str">
        <x:v>low</x:v>
      </x:c>
      <x:c r="N959" s="17" t="str">
        <x:v>Discovery evidence only</x:v>
      </x:c>
      <x:c r="O959" s="17" t="str">
        <x:v>Use the source_record_paths field to trace the underlying discovery inputs.</x:v>
      </x:c>
      <x:c r="P959" s="18" t="e">
        <x:f>HYPERLINK("https://www.fsu.edu","Open source")</x:f>
        <x:v>HYPERLINK is not implemented. linkLocation=https://www.fsu.edu, friendlyName=Open source</x:v>
      </x:c>
    </x:row>
    <x:row r="960" ht="46" customHeight="1">
      <x:c r="A960" s="17" t="str">
        <x:v>stage3src:bea29d52d28a7f3d6e3a</x:v>
      </x:c>
      <x:c r="B960" s="17" t="str">
        <x:v>program</x:v>
      </x:c>
      <x:c r="C960" s="17" t="str">
        <x:v>Florida State University</x:v>
      </x:c>
      <x:c r="D960" s="17" t="str">
        <x:v>us:ipeds:134097:program:unclear:ipeds-discovery-signal-information-technology-cip-11-0103</x:v>
      </x:c>
      <x:c r="E960" s="17" t="str"/>
      <x:c r="F960" s="17" t="str">
        <x:v>discovery</x:v>
      </x:c>
      <x:c r="G960" s="17" t="str">
        <x:v>Stage 2 recorded this row as a discovery candidate; it does not independently verify an exact current research program, eligibility, or funding.</x:v>
      </x:c>
      <x:c r="H960" s="17" t="str">
        <x:v>Pass 2 Stage 2 candidate funnel</x:v>
      </x:c>
      <x:c r="I960" s="17" t="str">
        <x:v>Graduate audit pipeline</x:v>
      </x:c>
      <x:c r="J960" s="17" t="str">
        <x:v>derived</x:v>
      </x:c>
      <x:c r="K960" s="17" t="str">
        <x:v>2026-09-11</x:v>
      </x:c>
      <x:c r="L960" s="17" t="str">
        <x:v>Not cycle-specific</x:v>
      </x:c>
      <x:c r="M960" s="17" t="str">
        <x:v>low</x:v>
      </x:c>
      <x:c r="N960" s="17" t="str">
        <x:v>Discovery evidence only</x:v>
      </x:c>
      <x:c r="O960" s="17" t="str">
        <x:v>Use the source_record_paths field to trace the underlying discovery inputs.</x:v>
      </x:c>
      <x:c r="P960" s="18" t="e">
        <x:f>HYPERLINK("https://www.fsu.edu","Open source")</x:f>
        <x:v>HYPERLINK is not implemented. linkLocation=https://www.fsu.edu, friendlyName=Open source</x:v>
      </x:c>
    </x:row>
    <x:row r="961" ht="46" customHeight="1">
      <x:c r="A961" s="17" t="str">
        <x:v>stage3src:a87340907af3d0419aca</x:v>
      </x:c>
      <x:c r="B961" s="17" t="str">
        <x:v>program</x:v>
      </x:c>
      <x:c r="C961" s="17" t="str">
        <x:v>University of Florida</x:v>
      </x:c>
      <x:c r="D961" s="17" t="str">
        <x:v>us:ipeds:134130:program:unclear:ipeds-discovery-signal-computer-and-information-sciences-general-cip-11-0101</x:v>
      </x:c>
      <x:c r="E961" s="17" t="str"/>
      <x:c r="F961" s="17" t="str">
        <x:v>discovery</x:v>
      </x:c>
      <x:c r="G961" s="17" t="str">
        <x:v>Stage 2 recorded this row as a discovery candidate; it does not independently verify an exact current research program, eligibility, or funding.</x:v>
      </x:c>
      <x:c r="H961" s="17" t="str">
        <x:v>Pass 2 Stage 2 candidate funnel</x:v>
      </x:c>
      <x:c r="I961" s="17" t="str">
        <x:v>Graduate audit pipeline</x:v>
      </x:c>
      <x:c r="J961" s="17" t="str">
        <x:v>derived</x:v>
      </x:c>
      <x:c r="K961" s="17" t="str">
        <x:v>2026-09-11</x:v>
      </x:c>
      <x:c r="L961" s="17" t="str">
        <x:v>Not cycle-specific</x:v>
      </x:c>
      <x:c r="M961" s="17" t="str">
        <x:v>low</x:v>
      </x:c>
      <x:c r="N961" s="17" t="str">
        <x:v>Discovery evidence only</x:v>
      </x:c>
      <x:c r="O961" s="17" t="str">
        <x:v>Use the source_record_paths field to trace the underlying discovery inputs.</x:v>
      </x:c>
      <x:c r="P961" s="18" t="e">
        <x:f>HYPERLINK("https://www.ufl.edu","Open source")</x:f>
        <x:v>HYPERLINK is not implemented. linkLocation=https://www.ufl.edu, friendlyName=Open source</x:v>
      </x:c>
    </x:row>
    <x:row r="962" ht="46" customHeight="1">
      <x:c r="A962" s="17" t="str">
        <x:v>stage3src:9d3f892ea844f61c40b3</x:v>
      </x:c>
      <x:c r="B962" s="17" t="str">
        <x:v>program</x:v>
      </x:c>
      <x:c r="C962" s="17" t="str">
        <x:v>University of Florida</x:v>
      </x:c>
      <x:c r="D962" s="17" t="str">
        <x:v>us:ipeds:134130:program:unclear:ipeds-discovery-signal-computer-engineering-general-cip-14-0901</x:v>
      </x:c>
      <x:c r="E962" s="17" t="str"/>
      <x:c r="F962" s="17" t="str">
        <x:v>discovery</x:v>
      </x:c>
      <x:c r="G962" s="17" t="str">
        <x:v>Stage 2 recorded this row as a discovery candidate; it does not independently verify an exact current research program, eligibility, or funding.</x:v>
      </x:c>
      <x:c r="H962" s="17" t="str">
        <x:v>Pass 2 Stage 2 candidate funnel</x:v>
      </x:c>
      <x:c r="I962" s="17" t="str">
        <x:v>Graduate audit pipeline</x:v>
      </x:c>
      <x:c r="J962" s="17" t="str">
        <x:v>derived</x:v>
      </x:c>
      <x:c r="K962" s="17" t="str">
        <x:v>2026-09-11</x:v>
      </x:c>
      <x:c r="L962" s="17" t="str">
        <x:v>Not cycle-specific</x:v>
      </x:c>
      <x:c r="M962" s="17" t="str">
        <x:v>low</x:v>
      </x:c>
      <x:c r="N962" s="17" t="str">
        <x:v>Discovery evidence only</x:v>
      </x:c>
      <x:c r="O962" s="17" t="str">
        <x:v>Use the source_record_paths field to trace the underlying discovery inputs.</x:v>
      </x:c>
      <x:c r="P962" s="18" t="e">
        <x:f>HYPERLINK("https://www.ufl.edu","Open source")</x:f>
        <x:v>HYPERLINK is not implemented. linkLocation=https://www.ufl.edu, friendlyName=Open source</x:v>
      </x:c>
    </x:row>
    <x:row r="963" ht="46" customHeight="1">
      <x:c r="A963" s="17" t="str">
        <x:v>stage3src:dd3d2e58d61e7f1b83d9</x:v>
      </x:c>
      <x:c r="B963" s="17" t="str">
        <x:v>program</x:v>
      </x:c>
      <x:c r="C963" s="17" t="str">
        <x:v>University of Florida</x:v>
      </x:c>
      <x:c r="D963" s="17" t="str">
        <x:v>us:ipeds:134130:program:unclear:ipeds-discovery-signal-electrical-and-electronics-engineering-cip-14-1001</x:v>
      </x:c>
      <x:c r="E963" s="17" t="str"/>
      <x:c r="F963" s="17" t="str">
        <x:v>discovery</x:v>
      </x:c>
      <x:c r="G963" s="17" t="str">
        <x:v>Stage 2 recorded this row as a discovery candidate; it does not independently verify an exact current research program, eligibility, or funding.</x:v>
      </x:c>
      <x:c r="H963" s="17" t="str">
        <x:v>Pass 2 Stage 2 candidate funnel</x:v>
      </x:c>
      <x:c r="I963" s="17" t="str">
        <x:v>Graduate audit pipeline</x:v>
      </x:c>
      <x:c r="J963" s="17" t="str">
        <x:v>derived</x:v>
      </x:c>
      <x:c r="K963" s="17" t="str">
        <x:v>2026-09-11</x:v>
      </x:c>
      <x:c r="L963" s="17" t="str">
        <x:v>Not cycle-specific</x:v>
      </x:c>
      <x:c r="M963" s="17" t="str">
        <x:v>low</x:v>
      </x:c>
      <x:c r="N963" s="17" t="str">
        <x:v>Discovery evidence only</x:v>
      </x:c>
      <x:c r="O963" s="17" t="str">
        <x:v>Use the source_record_paths field to trace the underlying discovery inputs.</x:v>
      </x:c>
      <x:c r="P963" s="18" t="e">
        <x:f>HYPERLINK("https://www.ufl.edu","Open source")</x:f>
        <x:v>HYPERLINK is not implemented. linkLocation=https://www.ufl.edu, friendlyName=Open source</x:v>
      </x:c>
    </x:row>
    <x:row r="964" ht="46" customHeight="1">
      <x:c r="A964" s="17" t="str">
        <x:v>stage3src:d3de22501df230405840</x:v>
      </x:c>
      <x:c r="B964" s="17" t="str">
        <x:v>program</x:v>
      </x:c>
      <x:c r="C964" s="17" t="str">
        <x:v>University of Florida</x:v>
      </x:c>
      <x:c r="D964" s="17" t="str">
        <x:v>us:ipeds:134130:program:unclear:ipeds-discovery-signal-informatics-cip-11-0104</x:v>
      </x:c>
      <x:c r="E964" s="17" t="str"/>
      <x:c r="F964" s="17" t="str">
        <x:v>discovery</x:v>
      </x:c>
      <x:c r="G964" s="17" t="str">
        <x:v>Stage 2 recorded this row as a discovery candidate; it does not independently verify an exact current research program, eligibility, or funding.</x:v>
      </x:c>
      <x:c r="H964" s="17" t="str">
        <x:v>Pass 2 Stage 2 candidate funnel</x:v>
      </x:c>
      <x:c r="I964" s="17" t="str">
        <x:v>Graduate audit pipeline</x:v>
      </x:c>
      <x:c r="J964" s="17" t="str">
        <x:v>derived</x:v>
      </x:c>
      <x:c r="K964" s="17" t="str">
        <x:v>2026-09-11</x:v>
      </x:c>
      <x:c r="L964" s="17" t="str">
        <x:v>Not cycle-specific</x:v>
      </x:c>
      <x:c r="M964" s="17" t="str">
        <x:v>low</x:v>
      </x:c>
      <x:c r="N964" s="17" t="str">
        <x:v>Discovery evidence only</x:v>
      </x:c>
      <x:c r="O964" s="17" t="str">
        <x:v>Use the source_record_paths field to trace the underlying discovery inputs.</x:v>
      </x:c>
      <x:c r="P964" s="18" t="e">
        <x:f>HYPERLINK("https://www.ufl.edu","Open source")</x:f>
        <x:v>HYPERLINK is not implemented. linkLocation=https://www.ufl.edu, friendlyName=Open source</x:v>
      </x:c>
    </x:row>
    <x:row r="965" ht="46" customHeight="1">
      <x:c r="A965" s="17" t="str">
        <x:v>stage3src:f3ca056b155163dd0c46</x:v>
      </x:c>
      <x:c r="B965" s="17" t="str">
        <x:v>program</x:v>
      </x:c>
      <x:c r="C965" s="17" t="str">
        <x:v>Full Sail University</x:v>
      </x:c>
      <x:c r="D965" s="17" t="str">
        <x:v>us:ipeds:134237:program:unclear:ipeds-discovery-signal-computer-software-engineering-cip-14-0903</x:v>
      </x:c>
      <x:c r="E965" s="17" t="str"/>
      <x:c r="F965" s="17" t="str">
        <x:v>discovery</x:v>
      </x:c>
      <x:c r="G965" s="17" t="str">
        <x:v>Stage 2 recorded this row as a discovery candidate; it does not independently verify an exact current research program, eligibility, or funding.</x:v>
      </x:c>
      <x:c r="H965" s="17" t="str">
        <x:v>Pass 2 Stage 2 candidate funnel</x:v>
      </x:c>
      <x:c r="I965" s="17" t="str">
        <x:v>Graduate audit pipeline</x:v>
      </x:c>
      <x:c r="J965" s="17" t="str">
        <x:v>derived</x:v>
      </x:c>
      <x:c r="K965" s="17" t="str">
        <x:v>2026-09-11</x:v>
      </x:c>
      <x:c r="L965" s="17" t="str">
        <x:v>Not cycle-specific</x:v>
      </x:c>
      <x:c r="M965" s="17" t="str">
        <x:v>low</x:v>
      </x:c>
      <x:c r="N965" s="17" t="str">
        <x:v>Discovery evidence only</x:v>
      </x:c>
      <x:c r="O965" s="17" t="str">
        <x:v>Use the source_record_paths field to trace the underlying discovery inputs.</x:v>
      </x:c>
      <x:c r="P965" s="18" t="e">
        <x:f>HYPERLINK("https://www.fullsail.edu","Open source")</x:f>
        <x:v>HYPERLINK is not implemented. linkLocation=https://www.fullsail.edu, friendlyName=Open source</x:v>
      </x:c>
    </x:row>
    <x:row r="966" ht="46" customHeight="1">
      <x:c r="A966" s="17" t="str">
        <x:v>stage3src:ab99689a5cfb054b397d</x:v>
      </x:c>
      <x:c r="B966" s="17" t="str">
        <x:v>program</x:v>
      </x:c>
      <x:c r="C966" s="17" t="str">
        <x:v>Keiser University-Ft Lauderdale</x:v>
      </x:c>
      <x:c r="D966" s="17" t="str">
        <x:v>us:ipeds:135081:program:unclear:ipeds-discovery-signal-computer-and-information-systems-security-auditing-information-assurance-cip-11-1003</x:v>
      </x:c>
      <x:c r="E966" s="17" t="str"/>
      <x:c r="F966" s="17" t="str">
        <x:v>discovery</x:v>
      </x:c>
      <x:c r="G966" s="17" t="str">
        <x:v>Stage 2 recorded this row as a discovery candidate; it does not independently verify an exact current research program, eligibility, or funding.</x:v>
      </x:c>
      <x:c r="H966" s="17" t="str">
        <x:v>Pass 2 Stage 2 candidate funnel</x:v>
      </x:c>
      <x:c r="I966" s="17" t="str">
        <x:v>Graduate audit pipeline</x:v>
      </x:c>
      <x:c r="J966" s="17" t="str">
        <x:v>derived</x:v>
      </x:c>
      <x:c r="K966" s="17" t="str">
        <x:v>2026-09-11</x:v>
      </x:c>
      <x:c r="L966" s="17" t="str">
        <x:v>Not cycle-specific</x:v>
      </x:c>
      <x:c r="M966" s="17" t="str">
        <x:v>low</x:v>
      </x:c>
      <x:c r="N966" s="17" t="str">
        <x:v>Discovery evidence only</x:v>
      </x:c>
      <x:c r="O966" s="17" t="str">
        <x:v>Use the source_record_paths field to trace the underlying discovery inputs.</x:v>
      </x:c>
      <x:c r="P966" s="18" t="e">
        <x:f>HYPERLINK("https://www.keiseruniversity.edu","Open source")</x:f>
        <x:v>HYPERLINK is not implemented. linkLocation=https://www.keiseruniversity.edu, friendlyName=Open source</x:v>
      </x:c>
    </x:row>
    <x:row r="967" ht="46" customHeight="1">
      <x:c r="A967" s="17" t="str">
        <x:v>stage3src:710c79f9e8c38590a79d</x:v>
      </x:c>
      <x:c r="B967" s="17" t="str">
        <x:v>program</x:v>
      </x:c>
      <x:c r="C967" s="17" t="str">
        <x:v>University of Miami</x:v>
      </x:c>
      <x:c r="D967" s="17" t="str">
        <x:v>us:ipeds:135726:program:unclear:ipeds-discovery-signal-computer-science-cip-11-0701</x:v>
      </x:c>
      <x:c r="E967" s="17" t="str"/>
      <x:c r="F967" s="17" t="str">
        <x:v>discovery</x:v>
      </x:c>
      <x:c r="G967" s="17" t="str">
        <x:v>Stage 2 recorded this row as a discovery candidate; it does not independently verify an exact current research program, eligibility, or funding.</x:v>
      </x:c>
      <x:c r="H967" s="17" t="str">
        <x:v>Pass 2 Stage 2 candidate funnel</x:v>
      </x:c>
      <x:c r="I967" s="17" t="str">
        <x:v>Graduate audit pipeline</x:v>
      </x:c>
      <x:c r="J967" s="17" t="str">
        <x:v>derived</x:v>
      </x:c>
      <x:c r="K967" s="17" t="str">
        <x:v>2026-09-11</x:v>
      </x:c>
      <x:c r="L967" s="17" t="str">
        <x:v>Not cycle-specific</x:v>
      </x:c>
      <x:c r="M967" s="17" t="str">
        <x:v>low</x:v>
      </x:c>
      <x:c r="N967" s="17" t="str">
        <x:v>Discovery evidence only</x:v>
      </x:c>
      <x:c r="O967" s="17" t="str">
        <x:v>Use the source_record_paths field to trace the underlying discovery inputs.</x:v>
      </x:c>
      <x:c r="P967" s="18" t="e">
        <x:f>HYPERLINK("https://www.miami.edu","Open source")</x:f>
        <x:v>HYPERLINK is not implemented. linkLocation=https://www.miami.edu, friendlyName=Open source</x:v>
      </x:c>
    </x:row>
    <x:row r="968" ht="46" customHeight="1">
      <x:c r="A968" s="17" t="str">
        <x:v>stage3src:b634eece0ce7823c9326</x:v>
      </x:c>
      <x:c r="B968" s="17" t="str">
        <x:v>program</x:v>
      </x:c>
      <x:c r="C968" s="17" t="str">
        <x:v>University of Miami</x:v>
      </x:c>
      <x:c r="D968" s="17" t="str">
        <x:v>us:ipeds:135726:program:unclear:ipeds-discovery-signal-electrical-and-electronics-engineering-cip-14-1001</x:v>
      </x:c>
      <x:c r="E968" s="17" t="str"/>
      <x:c r="F968" s="17" t="str">
        <x:v>discovery</x:v>
      </x:c>
      <x:c r="G968" s="17" t="str">
        <x:v>Stage 2 recorded this row as a discovery candidate; it does not independently verify an exact current research program, eligibility, or funding.</x:v>
      </x:c>
      <x:c r="H968" s="17" t="str">
        <x:v>Pass 2 Stage 2 candidate funnel</x:v>
      </x:c>
      <x:c r="I968" s="17" t="str">
        <x:v>Graduate audit pipeline</x:v>
      </x:c>
      <x:c r="J968" s="17" t="str">
        <x:v>derived</x:v>
      </x:c>
      <x:c r="K968" s="17" t="str">
        <x:v>2026-09-11</x:v>
      </x:c>
      <x:c r="L968" s="17" t="str">
        <x:v>Not cycle-specific</x:v>
      </x:c>
      <x:c r="M968" s="17" t="str">
        <x:v>low</x:v>
      </x:c>
      <x:c r="N968" s="17" t="str">
        <x:v>Discovery evidence only</x:v>
      </x:c>
      <x:c r="O968" s="17" t="str">
        <x:v>Use the source_record_paths field to trace the underlying discovery inputs.</x:v>
      </x:c>
      <x:c r="P968" s="18" t="e">
        <x:f>HYPERLINK("https://www.miami.edu","Open source")</x:f>
        <x:v>HYPERLINK is not implemented. linkLocation=https://www.miami.edu, friendlyName=Open source</x:v>
      </x:c>
    </x:row>
    <x:row r="969" ht="46" customHeight="1">
      <x:c r="A969" s="17" t="str">
        <x:v>stage3src:ad3c2ae05d67990fe681</x:v>
      </x:c>
      <x:c r="B969" s="17" t="str">
        <x:v>program</x:v>
      </x:c>
      <x:c r="C969" s="17" t="str">
        <x:v>University of North Florida</x:v>
      </x:c>
      <x:c r="D969" s="17" t="str">
        <x:v>us:ipeds:136172:program:unclear:ipeds-discovery-signal-computer-and-information-sciences-general-cip-11-0101</x:v>
      </x:c>
      <x:c r="E969" s="17" t="str"/>
      <x:c r="F969" s="17" t="str">
        <x:v>discovery</x:v>
      </x:c>
      <x:c r="G969" s="17" t="str">
        <x:v>Stage 2 recorded this row as a discovery candidate; it does not independently verify an exact current research program, eligibility, or funding.</x:v>
      </x:c>
      <x:c r="H969" s="17" t="str">
        <x:v>Pass 2 Stage 2 candidate funnel</x:v>
      </x:c>
      <x:c r="I969" s="17" t="str">
        <x:v>Graduate audit pipeline</x:v>
      </x:c>
      <x:c r="J969" s="17" t="str">
        <x:v>derived</x:v>
      </x:c>
      <x:c r="K969" s="17" t="str">
        <x:v>2026-09-11</x:v>
      </x:c>
      <x:c r="L969" s="17" t="str">
        <x:v>Not cycle-specific</x:v>
      </x:c>
      <x:c r="M969" s="17" t="str">
        <x:v>low</x:v>
      </x:c>
      <x:c r="N969" s="17" t="str">
        <x:v>Discovery evidence only</x:v>
      </x:c>
      <x:c r="O969" s="17" t="str">
        <x:v>Use the source_record_paths field to trace the underlying discovery inputs.</x:v>
      </x:c>
      <x:c r="P969" s="18" t="e">
        <x:f>HYPERLINK("https://www.unf.edu","Open source")</x:f>
        <x:v>HYPERLINK is not implemented. linkLocation=https://www.unf.edu, friendlyName=Open source</x:v>
      </x:c>
    </x:row>
    <x:row r="970" ht="46" customHeight="1">
      <x:c r="A970" s="17" t="str">
        <x:v>stage3src:2caa0728b8a38eb9609a</x:v>
      </x:c>
      <x:c r="B970" s="17" t="str">
        <x:v>program</x:v>
      </x:c>
      <x:c r="C970" s="17" t="str">
        <x:v>University of North Florida</x:v>
      </x:c>
      <x:c r="D970" s="17" t="str">
        <x:v>us:ipeds:136172:program:unclear:ipeds-discovery-signal-electrical-and-electronics-engineering-cip-14-1001</x:v>
      </x:c>
      <x:c r="E970" s="17" t="str"/>
      <x:c r="F970" s="17" t="str">
        <x:v>discovery</x:v>
      </x:c>
      <x:c r="G970" s="17" t="str">
        <x:v>Stage 2 recorded this row as a discovery candidate; it does not independently verify an exact current research program, eligibility, or funding.</x:v>
      </x:c>
      <x:c r="H970" s="17" t="str">
        <x:v>Pass 2 Stage 2 candidate funnel</x:v>
      </x:c>
      <x:c r="I970" s="17" t="str">
        <x:v>Graduate audit pipeline</x:v>
      </x:c>
      <x:c r="J970" s="17" t="str">
        <x:v>derived</x:v>
      </x:c>
      <x:c r="K970" s="17" t="str">
        <x:v>2026-09-11</x:v>
      </x:c>
      <x:c r="L970" s="17" t="str">
        <x:v>Not cycle-specific</x:v>
      </x:c>
      <x:c r="M970" s="17" t="str">
        <x:v>low</x:v>
      </x:c>
      <x:c r="N970" s="17" t="str">
        <x:v>Discovery evidence only</x:v>
      </x:c>
      <x:c r="O970" s="17" t="str">
        <x:v>Use the source_record_paths field to trace the underlying discovery inputs.</x:v>
      </x:c>
      <x:c r="P970" s="18" t="e">
        <x:f>HYPERLINK("https://www.unf.edu","Open source")</x:f>
        <x:v>HYPERLINK is not implemented. linkLocation=https://www.unf.edu, friendlyName=Open source</x:v>
      </x:c>
    </x:row>
    <x:row r="971" ht="46" customHeight="1">
      <x:c r="A971" s="17" t="str">
        <x:v>stage3src:de6d5ffc57d7831732bb</x:v>
      </x:c>
      <x:c r="B971" s="17" t="str">
        <x:v>program</x:v>
      </x:c>
      <x:c r="C971" s="17" t="str">
        <x:v>Nova Southeastern University</x:v>
      </x:c>
      <x:c r="D971" s="17" t="str">
        <x:v>us:ipeds:136215:program:unclear:ipeds-discovery-signal-computer-and-information-sciences-general-cip-11-0101</x:v>
      </x:c>
      <x:c r="E971" s="17" t="str"/>
      <x:c r="F971" s="17" t="str">
        <x:v>discovery</x:v>
      </x:c>
      <x:c r="G971" s="17" t="str">
        <x:v>Stage 2 recorded this row as a discovery candidate; it does not independently verify an exact current research program, eligibility, or funding.</x:v>
      </x:c>
      <x:c r="H971" s="17" t="str">
        <x:v>Pass 2 Stage 2 candidate funnel</x:v>
      </x:c>
      <x:c r="I971" s="17" t="str">
        <x:v>Graduate audit pipeline</x:v>
      </x:c>
      <x:c r="J971" s="17" t="str">
        <x:v>derived</x:v>
      </x:c>
      <x:c r="K971" s="17" t="str">
        <x:v>2026-09-11</x:v>
      </x:c>
      <x:c r="L971" s="17" t="str">
        <x:v>Not cycle-specific</x:v>
      </x:c>
      <x:c r="M971" s="17" t="str">
        <x:v>low</x:v>
      </x:c>
      <x:c r="N971" s="17" t="str">
        <x:v>Discovery evidence only</x:v>
      </x:c>
      <x:c r="O971" s="17" t="str">
        <x:v>Use the source_record_paths field to trace the underlying discovery inputs.</x:v>
      </x:c>
      <x:c r="P971" s="18" t="e">
        <x:f>HYPERLINK("https://www.nova.edu","Open source")</x:f>
        <x:v>HYPERLINK is not implemented. linkLocation=https://www.nova.edu, friendlyName=Open source</x:v>
      </x:c>
    </x:row>
    <x:row r="972" ht="46" customHeight="1">
      <x:c r="A972" s="17" t="str">
        <x:v>stage3src:58b6ab89d9a8231732ad</x:v>
      </x:c>
      <x:c r="B972" s="17" t="str">
        <x:v>program</x:v>
      </x:c>
      <x:c r="C972" s="17" t="str">
        <x:v>Nova Southeastern University</x:v>
      </x:c>
      <x:c r="D972" s="17" t="str">
        <x:v>us:ipeds:136215:program:unclear:ipeds-discovery-signal-computer-and-information-systems-security-auditing-information-assurance-cip-11-1003</x:v>
      </x:c>
      <x:c r="E972" s="17" t="str"/>
      <x:c r="F972" s="17" t="str">
        <x:v>discovery</x:v>
      </x:c>
      <x:c r="G972" s="17" t="str">
        <x:v>Stage 2 recorded this row as a discovery candidate; it does not independently verify an exact current research program, eligibility, or funding.</x:v>
      </x:c>
      <x:c r="H972" s="17" t="str">
        <x:v>Pass 2 Stage 2 candidate funnel</x:v>
      </x:c>
      <x:c r="I972" s="17" t="str">
        <x:v>Graduate audit pipeline</x:v>
      </x:c>
      <x:c r="J972" s="17" t="str">
        <x:v>derived</x:v>
      </x:c>
      <x:c r="K972" s="17" t="str">
        <x:v>2026-09-11</x:v>
      </x:c>
      <x:c r="L972" s="17" t="str">
        <x:v>Not cycle-specific</x:v>
      </x:c>
      <x:c r="M972" s="17" t="str">
        <x:v>low</x:v>
      </x:c>
      <x:c r="N972" s="17" t="str">
        <x:v>Discovery evidence only</x:v>
      </x:c>
      <x:c r="O972" s="17" t="str">
        <x:v>Use the source_record_paths field to trace the underlying discovery inputs.</x:v>
      </x:c>
      <x:c r="P972" s="18" t="e">
        <x:f>HYPERLINK("https://www.nova.edu","Open source")</x:f>
        <x:v>HYPERLINK is not implemented. linkLocation=https://www.nova.edu, friendlyName=Open source</x:v>
      </x:c>
    </x:row>
    <x:row r="973" ht="46" customHeight="1">
      <x:c r="A973" s="17" t="str">
        <x:v>stage3src:afc431a1deb07527bd04</x:v>
      </x:c>
      <x:c r="B973" s="17" t="str">
        <x:v>program</x:v>
      </x:c>
      <x:c r="C973" s="17" t="str">
        <x:v>Nova Southeastern University</x:v>
      </x:c>
      <x:c r="D973" s="17" t="str">
        <x:v>us:ipeds:136215:program:unclear:ipeds-discovery-signal-computer-science-cip-11-0701</x:v>
      </x:c>
      <x:c r="E973" s="17" t="str"/>
      <x:c r="F973" s="17" t="str">
        <x:v>discovery</x:v>
      </x:c>
      <x:c r="G973" s="17" t="str">
        <x:v>Stage 2 recorded this row as a discovery candidate; it does not independently verify an exact current research program, eligibility, or funding.</x:v>
      </x:c>
      <x:c r="H973" s="17" t="str">
        <x:v>Pass 2 Stage 2 candidate funnel</x:v>
      </x:c>
      <x:c r="I973" s="17" t="str">
        <x:v>Graduate audit pipeline</x:v>
      </x:c>
      <x:c r="J973" s="17" t="str">
        <x:v>derived</x:v>
      </x:c>
      <x:c r="K973" s="17" t="str">
        <x:v>2026-09-11</x:v>
      </x:c>
      <x:c r="L973" s="17" t="str">
        <x:v>Not cycle-specific</x:v>
      </x:c>
      <x:c r="M973" s="17" t="str">
        <x:v>low</x:v>
      </x:c>
      <x:c r="N973" s="17" t="str">
        <x:v>Discovery evidence only</x:v>
      </x:c>
      <x:c r="O973" s="17" t="str">
        <x:v>Use the source_record_paths field to trace the underlying discovery inputs.</x:v>
      </x:c>
      <x:c r="P973" s="18" t="e">
        <x:f>HYPERLINK("https://www.nova.edu","Open source")</x:f>
        <x:v>HYPERLINK is not implemented. linkLocation=https://www.nova.edu, friendlyName=Open source</x:v>
      </x:c>
    </x:row>
    <x:row r="974" ht="46" customHeight="1">
      <x:c r="A974" s="17" t="str">
        <x:v>stage3src:4b1993d700032cd59211</x:v>
      </x:c>
      <x:c r="B974" s="17" t="str">
        <x:v>program</x:v>
      </x:c>
      <x:c r="C974" s="17" t="str">
        <x:v>Nova Southeastern University</x:v>
      </x:c>
      <x:c r="D974" s="17" t="str">
        <x:v>us:ipeds:136215:program:unclear:ipeds-discovery-signal-information-science-studies-cip-11-0401</x:v>
      </x:c>
      <x:c r="E974" s="17" t="str"/>
      <x:c r="F974" s="17" t="str">
        <x:v>discovery</x:v>
      </x:c>
      <x:c r="G974" s="17" t="str">
        <x:v>Stage 2 recorded this row as a discovery candidate; it does not independently verify an exact current research program, eligibility, or funding.</x:v>
      </x:c>
      <x:c r="H974" s="17" t="str">
        <x:v>Pass 2 Stage 2 candidate funnel</x:v>
      </x:c>
      <x:c r="I974" s="17" t="str">
        <x:v>Graduate audit pipeline</x:v>
      </x:c>
      <x:c r="J974" s="17" t="str">
        <x:v>derived</x:v>
      </x:c>
      <x:c r="K974" s="17" t="str">
        <x:v>2026-09-11</x:v>
      </x:c>
      <x:c r="L974" s="17" t="str">
        <x:v>Not cycle-specific</x:v>
      </x:c>
      <x:c r="M974" s="17" t="str">
        <x:v>low</x:v>
      </x:c>
      <x:c r="N974" s="17" t="str">
        <x:v>Discovery evidence only</x:v>
      </x:c>
      <x:c r="O974" s="17" t="str">
        <x:v>Use the source_record_paths field to trace the underlying discovery inputs.</x:v>
      </x:c>
      <x:c r="P974" s="18" t="e">
        <x:f>HYPERLINK("https://www.nova.edu","Open source")</x:f>
        <x:v>HYPERLINK is not implemented. linkLocation=https://www.nova.edu, friendlyName=Open source</x:v>
      </x:c>
    </x:row>
    <x:row r="975" ht="46" customHeight="1">
      <x:c r="A975" s="17" t="str">
        <x:v>stage3src:abfa841011dd0352645d</x:v>
      </x:c>
      <x:c r="B975" s="17" t="str">
        <x:v>program</x:v>
      </x:c>
      <x:c r="C975" s="17" t="str">
        <x:v>Nova Southeastern University</x:v>
      </x:c>
      <x:c r="D975" s="17" t="str">
        <x:v>us:ipeds:136215:program:unclear:ipeds-discovery-signal-information-technology-cip-11-0103</x:v>
      </x:c>
      <x:c r="E975" s="17" t="str"/>
      <x:c r="F975" s="17" t="str">
        <x:v>discovery</x:v>
      </x:c>
      <x:c r="G975" s="17" t="str">
        <x:v>Stage 2 recorded this row as a discovery candidate; it does not independently verify an exact current research program, eligibility, or funding.</x:v>
      </x:c>
      <x:c r="H975" s="17" t="str">
        <x:v>Pass 2 Stage 2 candidate funnel</x:v>
      </x:c>
      <x:c r="I975" s="17" t="str">
        <x:v>Graduate audit pipeline</x:v>
      </x:c>
      <x:c r="J975" s="17" t="str">
        <x:v>derived</x:v>
      </x:c>
      <x:c r="K975" s="17" t="str">
        <x:v>2026-09-11</x:v>
      </x:c>
      <x:c r="L975" s="17" t="str">
        <x:v>Not cycle-specific</x:v>
      </x:c>
      <x:c r="M975" s="17" t="str">
        <x:v>low</x:v>
      </x:c>
      <x:c r="N975" s="17" t="str">
        <x:v>Discovery evidence only</x:v>
      </x:c>
      <x:c r="O975" s="17" t="str">
        <x:v>Use the source_record_paths field to trace the underlying discovery inputs.</x:v>
      </x:c>
      <x:c r="P975" s="18" t="e">
        <x:f>HYPERLINK("https://www.nova.edu","Open source")</x:f>
        <x:v>HYPERLINK is not implemented. linkLocation=https://www.nova.edu, friendlyName=Open source</x:v>
      </x:c>
    </x:row>
    <x:row r="976" ht="46" customHeight="1">
      <x:c r="A976" s="17" t="str">
        <x:v>stage3src:a29bb768e669a327a879</x:v>
      </x:c>
      <x:c r="B976" s="17" t="str">
        <x:v>program</x:v>
      </x:c>
      <x:c r="C976" s="17" t="str">
        <x:v>Palm Beach Atlantic University</x:v>
      </x:c>
      <x:c r="D976" s="17" t="str">
        <x:v>us:ipeds:136330:program:unclear:ipeds-discovery-signal-computer-and-information-sciences-general-cip-11-0101</x:v>
      </x:c>
      <x:c r="E976" s="17" t="str"/>
      <x:c r="F976" s="17" t="str">
        <x:v>discovery</x:v>
      </x:c>
      <x:c r="G976" s="17" t="str">
        <x:v>Stage 2 recorded this row as a discovery candidate; it does not independently verify an exact current research program, eligibility, or funding.</x:v>
      </x:c>
      <x:c r="H976" s="17" t="str">
        <x:v>Pass 2 Stage 2 candidate funnel</x:v>
      </x:c>
      <x:c r="I976" s="17" t="str">
        <x:v>Graduate audit pipeline</x:v>
      </x:c>
      <x:c r="J976" s="17" t="str">
        <x:v>derived</x:v>
      </x:c>
      <x:c r="K976" s="17" t="str">
        <x:v>2026-09-11</x:v>
      </x:c>
      <x:c r="L976" s="17" t="str">
        <x:v>Not cycle-specific</x:v>
      </x:c>
      <x:c r="M976" s="17" t="str">
        <x:v>low</x:v>
      </x:c>
      <x:c r="N976" s="17" t="str">
        <x:v>Discovery evidence only</x:v>
      </x:c>
      <x:c r="O976" s="17" t="str">
        <x:v>Use the source_record_paths field to trace the underlying discovery inputs.</x:v>
      </x:c>
      <x:c r="P976" s="18" t="e">
        <x:f>HYPERLINK("https://www.pba.edu","Open source")</x:f>
        <x:v>HYPERLINK is not implemented. linkLocation=https://www.pba.edu, friendlyName=Open source</x:v>
      </x:c>
    </x:row>
    <x:row r="977" ht="46" customHeight="1">
      <x:c r="A977" s="17" t="str">
        <x:v>stage3src:63c43a0dd019588c12ec</x:v>
      </x:c>
      <x:c r="B977" s="17" t="str">
        <x:v>program</x:v>
      </x:c>
      <x:c r="C977" s="17" t="str">
        <x:v>Saint Leo University</x:v>
      </x:c>
      <x:c r="D977" s="17" t="str">
        <x:v>us:ipeds:137032:program:unclear:ipeds-discovery-signal-computer-and-information-systems-security-auditing-information-assurance-cip-11-1003</x:v>
      </x:c>
      <x:c r="E977" s="17" t="str"/>
      <x:c r="F977" s="17" t="str">
        <x:v>discovery</x:v>
      </x:c>
      <x:c r="G977" s="17" t="str">
        <x:v>Stage 2 recorded this row as a discovery candidate; it does not independently verify an exact current research program, eligibility, or funding.</x:v>
      </x:c>
      <x:c r="H977" s="17" t="str">
        <x:v>Pass 2 Stage 2 candidate funnel</x:v>
      </x:c>
      <x:c r="I977" s="17" t="str">
        <x:v>Graduate audit pipeline</x:v>
      </x:c>
      <x:c r="J977" s="17" t="str">
        <x:v>derived</x:v>
      </x:c>
      <x:c r="K977" s="17" t="str">
        <x:v>2026-09-11</x:v>
      </x:c>
      <x:c r="L977" s="17" t="str">
        <x:v>Not cycle-specific</x:v>
      </x:c>
      <x:c r="M977" s="17" t="str">
        <x:v>low</x:v>
      </x:c>
      <x:c r="N977" s="17" t="str">
        <x:v>Discovery evidence only</x:v>
      </x:c>
      <x:c r="O977" s="17" t="str">
        <x:v>Use the source_record_paths field to trace the underlying discovery inputs.</x:v>
      </x:c>
      <x:c r="P977" s="18" t="e">
        <x:f>HYPERLINK("https://www.saintleo.edu","Open source")</x:f>
        <x:v>HYPERLINK is not implemented. linkLocation=https://www.saintleo.edu, friendlyName=Open source</x:v>
      </x:c>
    </x:row>
    <x:row r="978" ht="46" customHeight="1">
      <x:c r="A978" s="17" t="str">
        <x:v>stage3src:e6fffd6b0eab38e21ec1</x:v>
      </x:c>
      <x:c r="B978" s="17" t="str">
        <x:v>program</x:v>
      </x:c>
      <x:c r="C978" s="17" t="str">
        <x:v>Saint Leo University</x:v>
      </x:c>
      <x:c r="D978" s="17" t="str">
        <x:v>us:ipeds:137032:program:unclear:ipeds-discovery-signal-computer-science-cip-11-0701</x:v>
      </x:c>
      <x:c r="E978" s="17" t="str"/>
      <x:c r="F978" s="17" t="str">
        <x:v>discovery</x:v>
      </x:c>
      <x:c r="G978" s="17" t="str">
        <x:v>Stage 2 recorded this row as a discovery candidate; it does not independently verify an exact current research program, eligibility, or funding.</x:v>
      </x:c>
      <x:c r="H978" s="17" t="str">
        <x:v>Pass 2 Stage 2 candidate funnel</x:v>
      </x:c>
      <x:c r="I978" s="17" t="str">
        <x:v>Graduate audit pipeline</x:v>
      </x:c>
      <x:c r="J978" s="17" t="str">
        <x:v>derived</x:v>
      </x:c>
      <x:c r="K978" s="17" t="str">
        <x:v>2026-09-11</x:v>
      </x:c>
      <x:c r="L978" s="17" t="str">
        <x:v>Not cycle-specific</x:v>
      </x:c>
      <x:c r="M978" s="17" t="str">
        <x:v>low</x:v>
      </x:c>
      <x:c r="N978" s="17" t="str">
        <x:v>Discovery evidence only</x:v>
      </x:c>
      <x:c r="O978" s="17" t="str">
        <x:v>Use the source_record_paths field to trace the underlying discovery inputs.</x:v>
      </x:c>
      <x:c r="P978" s="18" t="e">
        <x:f>HYPERLINK("https://www.saintleo.edu","Open source")</x:f>
        <x:v>HYPERLINK is not implemented. linkLocation=https://www.saintleo.edu, friendlyName=Open source</x:v>
      </x:c>
    </x:row>
    <x:row r="979" ht="46" customHeight="1">
      <x:c r="A979" s="17" t="str">
        <x:v>stage3src:4a2c9caeb6e55f8a4146</x:v>
      </x:c>
      <x:c r="B979" s="17" t="str">
        <x:v>program</x:v>
      </x:c>
      <x:c r="C979" s="17" t="str">
        <x:v>University of South Florida</x:v>
      </x:c>
      <x:c r="D979" s="17" t="str">
        <x:v>us:ipeds:137351:program:phd:ph-d-in-computer-science-and-engineering</x:v>
      </x:c>
      <x:c r="E979" s="17" t="str"/>
      <x:c r="F979" s="17" t="str">
        <x:v>admissions|funding|tuition|health|fees</x:v>
      </x:c>
      <x:c r="G979" s="17" t="str">
        <x:v>Assistantships for all incoming PhD students, faculty notification, and one application fee valid for one year across separate program applications.</x:v>
      </x:c>
      <x:c r="H979" s="17" t="str">
        <x:v>Graduate Application FAQ</x:v>
      </x:c>
      <x:c r="I979" s="17" t="str">
        <x:v>University of South Florida Bellini College</x:v>
      </x:c>
      <x:c r="J979" s="17" t="str">
        <x:v>official</x:v>
      </x:c>
      <x:c r="K979" s="17" t="str">
        <x:v>2026-09-10</x:v>
      </x:c>
      <x:c r="L979" s="17" t="str">
        <x:v>Current FAQ checked 2026-09-10</x:v>
      </x:c>
      <x:c r="M979" s="17" t="str">
        <x:v>high</x:v>
      </x:c>
      <x:c r="N979" s="17" t="str">
        <x:v>official page checked</x:v>
      </x:c>
      <x:c r="O979" s="17" t="str"/>
      <x:c r="P979" s="18" t="e">
        <x:f>HYPERLINK("https://www.usf.edu/ai-cybersecurity-computing/academics/application-faq.aspx","Open source")</x:f>
        <x:v>HYPERLINK is not implemented. linkLocation=https://www.usf.edu/ai-cybersecurity-computing/academics/application-faq.aspx, friendlyName=Open source</x:v>
      </x:c>
    </x:row>
    <x:row r="980" ht="46" customHeight="1">
      <x:c r="A980" s="17" t="str">
        <x:v>stage3src:878f1720273cd616fec2</x:v>
      </x:c>
      <x:c r="B980" s="17" t="str">
        <x:v>program</x:v>
      </x:c>
      <x:c r="C980" s="17" t="str">
        <x:v>University of South Florida</x:v>
      </x:c>
      <x:c r="D980" s="17" t="str">
        <x:v>us:ipeds:137351:program:phd:ph-d-in-computer-science-and-engineering</x:v>
      </x:c>
      <x:c r="E980" s="17" t="str"/>
      <x:c r="F980" s="17" t="str">
        <x:v>program|eligibility|research</x:v>
      </x:c>
      <x:c r="G980" s="17" t="str">
        <x:v>Current catalog route for the PhD in Computer Science and Engineering.</x:v>
      </x:c>
      <x:c r="H980" s="17" t="str">
        <x:v>Computer Science and Engineering PhD</x:v>
      </x:c>
      <x:c r="I980" s="17" t="str">
        <x:v>University of South Florida</x:v>
      </x:c>
      <x:c r="J980" s="17" t="str">
        <x:v>official</x:v>
      </x:c>
      <x:c r="K980" s="17" t="str">
        <x:v>2026-09-10</x:v>
      </x:c>
      <x:c r="L980" s="17" t="str">
        <x:v>2026-2027 catalog</x:v>
      </x:c>
      <x:c r="M980" s="17" t="str">
        <x:v>medium</x:v>
      </x:c>
      <x:c r="N980" s="17" t="str">
        <x:v>official page checked</x:v>
      </x:c>
      <x:c r="O980" s="17" t="str">
        <x:v>Linked by the current department page; automated browser retrieval was blocked.</x:v>
      </x:c>
      <x:c r="P980" s="18" t="e">
        <x:f>HYPERLINK("https://catalog.usf.edu/preview_program.php?catoid=28&amp;poid=16127&amp;returnto=5315","Open source")</x:f>
        <x:v>HYPERLINK is not implemented. linkLocation=https://catalog.usf.edu/preview_program.php?catoid=28&amp;poid=16127&amp;returnto=5315, friendlyName=Open source</x:v>
      </x:c>
    </x:row>
    <x:row r="981" ht="46" customHeight="1">
      <x:c r="A981" s="17" t="str">
        <x:v>stage3src:89d340010299157cb1d5</x:v>
      </x:c>
      <x:c r="B981" s="17" t="str">
        <x:v>program</x:v>
      </x:c>
      <x:c r="C981" s="17" t="str">
        <x:v>University of South Florida</x:v>
      </x:c>
      <x:c r="D981" s="17" t="str">
        <x:v>us:ipeds:137351:program:phd:ph-d-in-computer-science-and-engineering</x:v>
      </x:c>
      <x:c r="E981" s="17" t="str"/>
      <x:c r="F981" s="17" t="str">
        <x:v>admissions|fees</x:v>
      </x:c>
      <x:c r="G981" s="17" t="str">
        <x:v>Nonrefundable USD 30 graduate degree application fee.</x:v>
      </x:c>
      <x:c r="H981" s="17" t="str">
        <x:v>Graduate How to Apply</x:v>
      </x:c>
      <x:c r="I981" s="17" t="str">
        <x:v>University of South Florida</x:v>
      </x:c>
      <x:c r="J981" s="17" t="str">
        <x:v>official</x:v>
      </x:c>
      <x:c r="K981" s="17" t="str">
        <x:v>2026-09-10</x:v>
      </x:c>
      <x:c r="L981" s="17" t="str">
        <x:v>Current guidance checked 2026-09-10</x:v>
      </x:c>
      <x:c r="M981" s="17" t="str">
        <x:v>high</x:v>
      </x:c>
      <x:c r="N981" s="17" t="str">
        <x:v>official page checked</x:v>
      </x:c>
      <x:c r="O981" s="17" t="str"/>
      <x:c r="P981" s="18" t="e">
        <x:f>HYPERLINK("https://www.usf.edu/admissions/graduate/admission-information/how-to-apply.aspx","Open source")</x:f>
        <x:v>HYPERLINK is not implemented. linkLocation=https://www.usf.edu/admissions/graduate/admission-information/how-to-apply.aspx, friendlyName=Open source</x:v>
      </x:c>
    </x:row>
    <x:row r="982" ht="46" customHeight="1">
      <x:c r="A982" s="17" t="str">
        <x:v>stage3src:ecd286c930ea75faff83</x:v>
      </x:c>
      <x:c r="B982" s="17" t="str">
        <x:v>program</x:v>
      </x:c>
      <x:c r="C982" s="17" t="str">
        <x:v>University of South Florida</x:v>
      </x:c>
      <x:c r="D982" s="17" t="str">
        <x:v>us:ipeds:137351:program:phd:ph-d-in-computer-science-and-engineering</x:v>
      </x:c>
      <x:c r="E982" s="17" t="str"/>
      <x:c r="F982" s="17" t="str">
        <x:v>program|admissions|eligibility|language|deadline|fees</x:v>
      </x:c>
      <x:c r="G982" s="17" t="str">
        <x:v>Current degree listing, international materials, recurring January 15 priority and February 15 final fall deadlines, and graduate application procedure.</x:v>
      </x:c>
      <x:c r="H982" s="17" t="str">
        <x:v>Prospective Graduate Students</x:v>
      </x:c>
      <x:c r="I982" s="17" t="str">
        <x:v>University of South Florida Bellini College</x:v>
      </x:c>
      <x:c r="J982" s="17" t="str">
        <x:v>official</x:v>
      </x:c>
      <x:c r="K982" s="17" t="str">
        <x:v>2026-09-10</x:v>
      </x:c>
      <x:c r="L982" s="17" t="str">
        <x:v>Current recurring dates checked 2026-09-10</x:v>
      </x:c>
      <x:c r="M982" s="17" t="str">
        <x:v>high</x:v>
      </x:c>
      <x:c r="N982" s="17" t="str">
        <x:v>official page checked</x:v>
      </x:c>
      <x:c r="O982" s="17" t="str"/>
      <x:c r="P982" s="18" t="e">
        <x:f>HYPERLINK("https://www.usf.edu/ai-cybersecurity-computing/academics/graduate/prospective-students.aspx","Open source")</x:f>
        <x:v>HYPERLINK is not implemented. linkLocation=https://www.usf.edu/ai-cybersecurity-computing/academics/graduate/prospective-students.aspx, friendlyName=Open source</x:v>
      </x:c>
    </x:row>
    <x:row r="983" ht="46" customHeight="1">
      <x:c r="A983" s="17" t="str">
        <x:v>stage3src:4204321ccf46060a3f65</x:v>
      </x:c>
      <x:c r="B983" s="17" t="str">
        <x:v>program</x:v>
      </x:c>
      <x:c r="C983" s="17" t="str">
        <x:v>University of South Florida</x:v>
      </x:c>
      <x:c r="D983" s="17" t="str">
        <x:v>us:ipeds:137351:program:unclear:ipeds-discovery-signal-computer-engineering-general-cip-14-0901</x:v>
      </x:c>
      <x:c r="E983" s="17" t="str"/>
      <x:c r="F983" s="17" t="str">
        <x:v>discovery</x:v>
      </x:c>
      <x:c r="G983" s="17" t="str">
        <x:v>Stage 2 recorded this row as a discovery candidate; it does not independently verify an exact current research program, eligibility, or funding.</x:v>
      </x:c>
      <x:c r="H983" s="17" t="str">
        <x:v>Pass 2 Stage 2 candidate funnel</x:v>
      </x:c>
      <x:c r="I983" s="17" t="str">
        <x:v>Graduate audit pipeline</x:v>
      </x:c>
      <x:c r="J983" s="17" t="str">
        <x:v>derived</x:v>
      </x:c>
      <x:c r="K983" s="17" t="str">
        <x:v>2026-09-11</x:v>
      </x:c>
      <x:c r="L983" s="17" t="str">
        <x:v>Not cycle-specific</x:v>
      </x:c>
      <x:c r="M983" s="17" t="str">
        <x:v>low</x:v>
      </x:c>
      <x:c r="N983" s="17" t="str">
        <x:v>Discovery evidence only</x:v>
      </x:c>
      <x:c r="O983" s="17" t="str">
        <x:v>Use the source_record_paths field to trace the underlying discovery inputs.</x:v>
      </x:c>
      <x:c r="P983" s="18" t="e">
        <x:f>HYPERLINK("https://www.usf.edu","Open source")</x:f>
        <x:v>HYPERLINK is not implemented. linkLocation=https://www.usf.edu, friendlyName=Open source</x:v>
      </x:c>
    </x:row>
    <x:row r="984" ht="46" customHeight="1">
      <x:c r="A984" s="17" t="str">
        <x:v>stage3src:ef25327de1597161db7f</x:v>
      </x:c>
      <x:c r="B984" s="17" t="str">
        <x:v>program</x:v>
      </x:c>
      <x:c r="C984" s="17" t="str">
        <x:v>University of South Florida</x:v>
      </x:c>
      <x:c r="D984" s="17" t="str">
        <x:v>us:ipeds:137351:program:unclear:ipeds-discovery-signal-computer-science-cip-11-0701</x:v>
      </x:c>
      <x:c r="E984" s="17" t="str"/>
      <x:c r="F984" s="17" t="str">
        <x:v>discovery</x:v>
      </x:c>
      <x:c r="G984" s="17" t="str">
        <x:v>Stage 2 recorded this row as a discovery candidate; it does not independently verify an exact current research program, eligibility, or funding.</x:v>
      </x:c>
      <x:c r="H984" s="17" t="str">
        <x:v>Pass 2 Stage 2 candidate funnel</x:v>
      </x:c>
      <x:c r="I984" s="17" t="str">
        <x:v>Graduate audit pipeline</x:v>
      </x:c>
      <x:c r="J984" s="17" t="str">
        <x:v>derived</x:v>
      </x:c>
      <x:c r="K984" s="17" t="str">
        <x:v>2026-09-11</x:v>
      </x:c>
      <x:c r="L984" s="17" t="str">
        <x:v>Not cycle-specific</x:v>
      </x:c>
      <x:c r="M984" s="17" t="str">
        <x:v>low</x:v>
      </x:c>
      <x:c r="N984" s="17" t="str">
        <x:v>Discovery evidence only</x:v>
      </x:c>
      <x:c r="O984" s="17" t="str">
        <x:v>Use the source_record_paths field to trace the underlying discovery inputs.</x:v>
      </x:c>
      <x:c r="P984" s="18" t="e">
        <x:f>HYPERLINK("https://www.usf.edu","Open source")</x:f>
        <x:v>HYPERLINK is not implemented. linkLocation=https://www.usf.edu, friendlyName=Open source</x:v>
      </x:c>
    </x:row>
    <x:row r="985" ht="46" customHeight="1">
      <x:c r="A985" s="17" t="str">
        <x:v>stage3src:a841a6388d162ba764d2</x:v>
      </x:c>
      <x:c r="B985" s="17" t="str">
        <x:v>program</x:v>
      </x:c>
      <x:c r="C985" s="17" t="str">
        <x:v>University of South Florida</x:v>
      </x:c>
      <x:c r="D985" s="17" t="str">
        <x:v>us:ipeds:137351:program:unclear:ipeds-discovery-signal-electrical-and-electronics-engineering-cip-14-1001</x:v>
      </x:c>
      <x:c r="E985" s="17" t="str"/>
      <x:c r="F985" s="17" t="str">
        <x:v>discovery</x:v>
      </x:c>
      <x:c r="G985" s="17" t="str">
        <x:v>Stage 2 recorded this row as a discovery candidate; it does not independently verify an exact current research program, eligibility, or funding.</x:v>
      </x:c>
      <x:c r="H985" s="17" t="str">
        <x:v>Pass 2 Stage 2 candidate funnel</x:v>
      </x:c>
      <x:c r="I985" s="17" t="str">
        <x:v>Graduate audit pipeline</x:v>
      </x:c>
      <x:c r="J985" s="17" t="str">
        <x:v>derived</x:v>
      </x:c>
      <x:c r="K985" s="17" t="str">
        <x:v>2026-09-11</x:v>
      </x:c>
      <x:c r="L985" s="17" t="str">
        <x:v>Not cycle-specific</x:v>
      </x:c>
      <x:c r="M985" s="17" t="str">
        <x:v>low</x:v>
      </x:c>
      <x:c r="N985" s="17" t="str">
        <x:v>Discovery evidence only</x:v>
      </x:c>
      <x:c r="O985" s="17" t="str">
        <x:v>Use the source_record_paths field to trace the underlying discovery inputs.</x:v>
      </x:c>
      <x:c r="P985" s="18" t="e">
        <x:f>HYPERLINK("https://www.usf.edu","Open source")</x:f>
        <x:v>HYPERLINK is not implemented. linkLocation=https://www.usf.edu, friendlyName=Open source</x:v>
      </x:c>
    </x:row>
    <x:row r="986" ht="46" customHeight="1">
      <x:c r="A986" s="17" t="str">
        <x:v>stage3src:400b67c54f06c7aaf110</x:v>
      </x:c>
      <x:c r="B986" s="17" t="str">
        <x:v>program</x:v>
      </x:c>
      <x:c r="C986" s="17" t="str">
        <x:v>University of South Florida</x:v>
      </x:c>
      <x:c r="D986" s="17" t="str">
        <x:v>us:ipeds:137351:program:unclear:ipeds-discovery-signal-informatics-cip-11-0104</x:v>
      </x:c>
      <x:c r="E986" s="17" t="str"/>
      <x:c r="F986" s="17" t="str">
        <x:v>discovery</x:v>
      </x:c>
      <x:c r="G986" s="17" t="str">
        <x:v>Stage 2 recorded this row as a discovery candidate; it does not independently verify an exact current research program, eligibility, or funding.</x:v>
      </x:c>
      <x:c r="H986" s="17" t="str">
        <x:v>Pass 2 Stage 2 candidate funnel</x:v>
      </x:c>
      <x:c r="I986" s="17" t="str">
        <x:v>Graduate audit pipeline</x:v>
      </x:c>
      <x:c r="J986" s="17" t="str">
        <x:v>derived</x:v>
      </x:c>
      <x:c r="K986" s="17" t="str">
        <x:v>2026-09-11</x:v>
      </x:c>
      <x:c r="L986" s="17" t="str">
        <x:v>Not cycle-specific</x:v>
      </x:c>
      <x:c r="M986" s="17" t="str">
        <x:v>low</x:v>
      </x:c>
      <x:c r="N986" s="17" t="str">
        <x:v>Discovery evidence only</x:v>
      </x:c>
      <x:c r="O986" s="17" t="str">
        <x:v>Use the source_record_paths field to trace the underlying discovery inputs.</x:v>
      </x:c>
      <x:c r="P986" s="18" t="e">
        <x:f>HYPERLINK("https://www.usf.edu","Open source")</x:f>
        <x:v>HYPERLINK is not implemented. linkLocation=https://www.usf.edu, friendlyName=Open source</x:v>
      </x:c>
    </x:row>
    <x:row r="987" ht="46" customHeight="1">
      <x:c r="A987" s="17" t="str">
        <x:v>stage3src:329f77ea2eac67c0dafd</x:v>
      </x:c>
      <x:c r="B987" s="17" t="str">
        <x:v>program</x:v>
      </x:c>
      <x:c r="C987" s="17" t="str">
        <x:v>University of South Florida</x:v>
      </x:c>
      <x:c r="D987" s="17" t="str">
        <x:v>us:ipeds:137351:program:unclear:ipeds-discovery-signal-information-science-studies-cip-11-0401</x:v>
      </x:c>
      <x:c r="E987" s="17" t="str"/>
      <x:c r="F987" s="17" t="str">
        <x:v>discovery</x:v>
      </x:c>
      <x:c r="G987" s="17" t="str">
        <x:v>Stage 2 recorded this row as a discovery candidate; it does not independently verify an exact current research program, eligibility, or funding.</x:v>
      </x:c>
      <x:c r="H987" s="17" t="str">
        <x:v>Pass 2 Stage 2 candidate funnel</x:v>
      </x:c>
      <x:c r="I987" s="17" t="str">
        <x:v>Graduate audit pipeline</x:v>
      </x:c>
      <x:c r="J987" s="17" t="str">
        <x:v>derived</x:v>
      </x:c>
      <x:c r="K987" s="17" t="str">
        <x:v>2026-09-11</x:v>
      </x:c>
      <x:c r="L987" s="17" t="str">
        <x:v>Not cycle-specific</x:v>
      </x:c>
      <x:c r="M987" s="17" t="str">
        <x:v>low</x:v>
      </x:c>
      <x:c r="N987" s="17" t="str">
        <x:v>Discovery evidence only</x:v>
      </x:c>
      <x:c r="O987" s="17" t="str">
        <x:v>Use the source_record_paths field to trace the underlying discovery inputs.</x:v>
      </x:c>
      <x:c r="P987" s="18" t="e">
        <x:f>HYPERLINK("https://www.usf.edu","Open source")</x:f>
        <x:v>HYPERLINK is not implemented. linkLocation=https://www.usf.edu, friendlyName=Open source</x:v>
      </x:c>
    </x:row>
    <x:row r="988" ht="46" customHeight="1">
      <x:c r="A988" s="17" t="str">
        <x:v>stage3src:f4a83f6ad957be02ed6f</x:v>
      </x:c>
      <x:c r="B988" s="17" t="str">
        <x:v>program</x:v>
      </x:c>
      <x:c r="C988" s="17" t="str">
        <x:v>University of South Florida</x:v>
      </x:c>
      <x:c r="D988" s="17" t="str">
        <x:v>us:ipeds:137351:program:unclear:ipeds-discovery-signal-information-technology-cip-11-0103</x:v>
      </x:c>
      <x:c r="E988" s="17" t="str"/>
      <x:c r="F988" s="17" t="str">
        <x:v>discovery</x:v>
      </x:c>
      <x:c r="G988" s="17" t="str">
        <x:v>Stage 2 recorded this row as a discovery candidate; it does not independently verify an exact current research program, eligibility, or funding.</x:v>
      </x:c>
      <x:c r="H988" s="17" t="str">
        <x:v>Pass 2 Stage 2 candidate funnel</x:v>
      </x:c>
      <x:c r="I988" s="17" t="str">
        <x:v>Graduate audit pipeline</x:v>
      </x:c>
      <x:c r="J988" s="17" t="str">
        <x:v>derived</x:v>
      </x:c>
      <x:c r="K988" s="17" t="str">
        <x:v>2026-09-11</x:v>
      </x:c>
      <x:c r="L988" s="17" t="str">
        <x:v>Not cycle-specific</x:v>
      </x:c>
      <x:c r="M988" s="17" t="str">
        <x:v>low</x:v>
      </x:c>
      <x:c r="N988" s="17" t="str">
        <x:v>Discovery evidence only</x:v>
      </x:c>
      <x:c r="O988" s="17" t="str">
        <x:v>Use the source_record_paths field to trace the underlying discovery inputs.</x:v>
      </x:c>
      <x:c r="P988" s="18" t="e">
        <x:f>HYPERLINK("https://www.usf.edu","Open source")</x:f>
        <x:v>HYPERLINK is not implemented. linkLocation=https://www.usf.edu, friendlyName=Open source</x:v>
      </x:c>
    </x:row>
    <x:row r="989" ht="46" customHeight="1">
      <x:c r="A989" s="17" t="str">
        <x:v>stage3src:9debad0d85ea7e2715d5</x:v>
      </x:c>
      <x:c r="B989" s="17" t="str">
        <x:v>program</x:v>
      </x:c>
      <x:c r="C989" s="17" t="str">
        <x:v>St. Thomas University</x:v>
      </x:c>
      <x:c r="D989" s="17" t="str">
        <x:v>us:ipeds:137476:program:unclear:ipeds-discovery-signal-computer-and-information-systems-security-auditing-information-assurance-cip-11-1003</x:v>
      </x:c>
      <x:c r="E989" s="17" t="str"/>
      <x:c r="F989" s="17" t="str">
        <x:v>discovery</x:v>
      </x:c>
      <x:c r="G989" s="17" t="str">
        <x:v>Stage 2 recorded this row as a discovery candidate; it does not independently verify an exact current research program, eligibility, or funding.</x:v>
      </x:c>
      <x:c r="H989" s="17" t="str">
        <x:v>Pass 2 Stage 2 candidate funnel</x:v>
      </x:c>
      <x:c r="I989" s="17" t="str">
        <x:v>Graduate audit pipeline</x:v>
      </x:c>
      <x:c r="J989" s="17" t="str">
        <x:v>derived</x:v>
      </x:c>
      <x:c r="K989" s="17" t="str">
        <x:v>2026-09-11</x:v>
      </x:c>
      <x:c r="L989" s="17" t="str">
        <x:v>Not cycle-specific</x:v>
      </x:c>
      <x:c r="M989" s="17" t="str">
        <x:v>low</x:v>
      </x:c>
      <x:c r="N989" s="17" t="str">
        <x:v>Discovery evidence only</x:v>
      </x:c>
      <x:c r="O989" s="17" t="str">
        <x:v>Use the source_record_paths field to trace the underlying discovery inputs.</x:v>
      </x:c>
      <x:c r="P989" s="18" t="e">
        <x:f>HYPERLINK("https://www.stu.edu","Open source")</x:f>
        <x:v>HYPERLINK is not implemented. linkLocation=https://www.stu.edu, friendlyName=Open source</x:v>
      </x:c>
    </x:row>
    <x:row r="990" ht="46" customHeight="1">
      <x:c r="A990" s="17" t="str">
        <x:v>stage3src:104b20950a3791ce37ac</x:v>
      </x:c>
      <x:c r="B990" s="17" t="str">
        <x:v>program</x:v>
      </x:c>
      <x:c r="C990" s="17" t="str">
        <x:v>St. Thomas University</x:v>
      </x:c>
      <x:c r="D990" s="17" t="str">
        <x:v>us:ipeds:137476:program:unclear:ipeds-discovery-signal-informatics-cip-11-0104</x:v>
      </x:c>
      <x:c r="E990" s="17" t="str"/>
      <x:c r="F990" s="17" t="str">
        <x:v>discovery</x:v>
      </x:c>
      <x:c r="G990" s="17" t="str">
        <x:v>Stage 2 recorded this row as a discovery candidate; it does not independently verify an exact current research program, eligibility, or funding.</x:v>
      </x:c>
      <x:c r="H990" s="17" t="str">
        <x:v>Pass 2 Stage 2 candidate funnel</x:v>
      </x:c>
      <x:c r="I990" s="17" t="str">
        <x:v>Graduate audit pipeline</x:v>
      </x:c>
      <x:c r="J990" s="17" t="str">
        <x:v>derived</x:v>
      </x:c>
      <x:c r="K990" s="17" t="str">
        <x:v>2026-09-11</x:v>
      </x:c>
      <x:c r="L990" s="17" t="str">
        <x:v>Not cycle-specific</x:v>
      </x:c>
      <x:c r="M990" s="17" t="str">
        <x:v>low</x:v>
      </x:c>
      <x:c r="N990" s="17" t="str">
        <x:v>Discovery evidence only</x:v>
      </x:c>
      <x:c r="O990" s="17" t="str">
        <x:v>Use the source_record_paths field to trace the underlying discovery inputs.</x:v>
      </x:c>
      <x:c r="P990" s="18" t="e">
        <x:f>HYPERLINK("https://www.stu.edu","Open source")</x:f>
        <x:v>HYPERLINK is not implemented. linkLocation=https://www.stu.edu, friendlyName=Open source</x:v>
      </x:c>
    </x:row>
    <x:row r="991" ht="46" customHeight="1">
      <x:c r="A991" s="17" t="str">
        <x:v>stage3src:0ecb71576d9935b84685</x:v>
      </x:c>
      <x:c r="B991" s="17" t="str">
        <x:v>program</x:v>
      </x:c>
      <x:c r="C991" s="17" t="str">
        <x:v>The University of Tampa</x:v>
      </x:c>
      <x:c r="D991" s="17" t="str">
        <x:v>us:ipeds:137847:program:unclear:ipeds-discovery-signal-computer-and-information-systems-security-auditing-information-assurance-cip-11-1003</x:v>
      </x:c>
      <x:c r="E991" s="17" t="str"/>
      <x:c r="F991" s="17" t="str">
        <x:v>discovery</x:v>
      </x:c>
      <x:c r="G991" s="17" t="str">
        <x:v>Stage 2 recorded this row as a discovery candidate; it does not independently verify an exact current research program, eligibility, or funding.</x:v>
      </x:c>
      <x:c r="H991" s="17" t="str">
        <x:v>Pass 2 Stage 2 candidate funnel</x:v>
      </x:c>
      <x:c r="I991" s="17" t="str">
        <x:v>Graduate audit pipeline</x:v>
      </x:c>
      <x:c r="J991" s="17" t="str">
        <x:v>derived</x:v>
      </x:c>
      <x:c r="K991" s="17" t="str">
        <x:v>2026-09-11</x:v>
      </x:c>
      <x:c r="L991" s="17" t="str">
        <x:v>Not cycle-specific</x:v>
      </x:c>
      <x:c r="M991" s="17" t="str">
        <x:v>low</x:v>
      </x:c>
      <x:c r="N991" s="17" t="str">
        <x:v>Discovery evidence only</x:v>
      </x:c>
      <x:c r="O991" s="17" t="str">
        <x:v>Use the source_record_paths field to trace the underlying discovery inputs.</x:v>
      </x:c>
      <x:c r="P991" s="18" t="e">
        <x:f>HYPERLINK("https://www.ut.edu","Open source")</x:f>
        <x:v>HYPERLINK is not implemented. linkLocation=https://www.ut.edu, friendlyName=Open source</x:v>
      </x:c>
    </x:row>
    <x:row r="992" ht="46" customHeight="1">
      <x:c r="A992" s="17" t="str">
        <x:v>stage3src:a45054819628d8e37527</x:v>
      </x:c>
      <x:c r="B992" s="17" t="str">
        <x:v>program</x:v>
      </x:c>
      <x:c r="C992" s="17" t="str">
        <x:v>The University of Tampa</x:v>
      </x:c>
      <x:c r="D992" s="17" t="str">
        <x:v>us:ipeds:137847:program:unclear:ipeds-discovery-signal-information-technology-cip-11-0103</x:v>
      </x:c>
      <x:c r="E992" s="17" t="str"/>
      <x:c r="F992" s="17" t="str">
        <x:v>discovery</x:v>
      </x:c>
      <x:c r="G992" s="17" t="str">
        <x:v>Stage 2 recorded this row as a discovery candidate; it does not independently verify an exact current research program, eligibility, or funding.</x:v>
      </x:c>
      <x:c r="H992" s="17" t="str">
        <x:v>Pass 2 Stage 2 candidate funnel</x:v>
      </x:c>
      <x:c r="I992" s="17" t="str">
        <x:v>Graduate audit pipeline</x:v>
      </x:c>
      <x:c r="J992" s="17" t="str">
        <x:v>derived</x:v>
      </x:c>
      <x:c r="K992" s="17" t="str">
        <x:v>2026-09-11</x:v>
      </x:c>
      <x:c r="L992" s="17" t="str">
        <x:v>Not cycle-specific</x:v>
      </x:c>
      <x:c r="M992" s="17" t="str">
        <x:v>low</x:v>
      </x:c>
      <x:c r="N992" s="17" t="str">
        <x:v>Discovery evidence only</x:v>
      </x:c>
      <x:c r="O992" s="17" t="str">
        <x:v>Use the source_record_paths field to trace the underlying discovery inputs.</x:v>
      </x:c>
      <x:c r="P992" s="18" t="e">
        <x:f>HYPERLINK("https://www.ut.edu","Open source")</x:f>
        <x:v>HYPERLINK is not implemented. linkLocation=https://www.ut.edu, friendlyName=Open source</x:v>
      </x:c>
    </x:row>
    <x:row r="993" ht="46" customHeight="1">
      <x:c r="A993" s="17" t="str">
        <x:v>stage3src:848a59bbe2f51b0d6b99</x:v>
      </x:c>
      <x:c r="B993" s="17" t="str">
        <x:v>program</x:v>
      </x:c>
      <x:c r="C993" s="17" t="str">
        <x:v>University of West Florida</x:v>
      </x:c>
      <x:c r="D993" s="17" t="str">
        <x:v>us:ipeds:138354:program:unclear:ipeds-discovery-signal-artificial-intelligence-cip-11-0102</x:v>
      </x:c>
      <x:c r="E993" s="17" t="str"/>
      <x:c r="F993" s="17" t="str">
        <x:v>discovery</x:v>
      </x:c>
      <x:c r="G993" s="17" t="str">
        <x:v>Stage 2 recorded this row as a discovery candidate; it does not independently verify an exact current research program, eligibility, or funding.</x:v>
      </x:c>
      <x:c r="H993" s="17" t="str">
        <x:v>Pass 2 Stage 2 candidate funnel</x:v>
      </x:c>
      <x:c r="I993" s="17" t="str">
        <x:v>Graduate audit pipeline</x:v>
      </x:c>
      <x:c r="J993" s="17" t="str">
        <x:v>derived</x:v>
      </x:c>
      <x:c r="K993" s="17" t="str">
        <x:v>2026-09-11</x:v>
      </x:c>
      <x:c r="L993" s="17" t="str">
        <x:v>Not cycle-specific</x:v>
      </x:c>
      <x:c r="M993" s="17" t="str">
        <x:v>low</x:v>
      </x:c>
      <x:c r="N993" s="17" t="str">
        <x:v>Discovery evidence only</x:v>
      </x:c>
      <x:c r="O993" s="17" t="str">
        <x:v>Use the source_record_paths field to trace the underlying discovery inputs.</x:v>
      </x:c>
      <x:c r="P993" s="18" t="e">
        <x:f>HYPERLINK("https://uwf.edu","Open source")</x:f>
        <x:v>HYPERLINK is not implemented. linkLocation=https://uwf.edu, friendlyName=Open source</x:v>
      </x:c>
    </x:row>
    <x:row r="994" ht="46" customHeight="1">
      <x:c r="A994" s="17" t="str">
        <x:v>stage3src:2f2fcefa9ca2b9fb418e</x:v>
      </x:c>
      <x:c r="B994" s="17" t="str">
        <x:v>program</x:v>
      </x:c>
      <x:c r="C994" s="17" t="str">
        <x:v>University of West Florida</x:v>
      </x:c>
      <x:c r="D994" s="17" t="str">
        <x:v>us:ipeds:138354:program:unclear:ipeds-discovery-signal-computer-and-information-sciences-general-cip-11-0101</x:v>
      </x:c>
      <x:c r="E994" s="17" t="str"/>
      <x:c r="F994" s="17" t="str">
        <x:v>discovery</x:v>
      </x:c>
      <x:c r="G994" s="17" t="str">
        <x:v>Stage 2 recorded this row as a discovery candidate; it does not independently verify an exact current research program, eligibility, or funding.</x:v>
      </x:c>
      <x:c r="H994" s="17" t="str">
        <x:v>Pass 2 Stage 2 candidate funnel</x:v>
      </x:c>
      <x:c r="I994" s="17" t="str">
        <x:v>Graduate audit pipeline</x:v>
      </x:c>
      <x:c r="J994" s="17" t="str">
        <x:v>derived</x:v>
      </x:c>
      <x:c r="K994" s="17" t="str">
        <x:v>2026-09-11</x:v>
      </x:c>
      <x:c r="L994" s="17" t="str">
        <x:v>Not cycle-specific</x:v>
      </x:c>
      <x:c r="M994" s="17" t="str">
        <x:v>low</x:v>
      </x:c>
      <x:c r="N994" s="17" t="str">
        <x:v>Discovery evidence only</x:v>
      </x:c>
      <x:c r="O994" s="17" t="str">
        <x:v>Use the source_record_paths field to trace the underlying discovery inputs.</x:v>
      </x:c>
      <x:c r="P994" s="18" t="e">
        <x:f>HYPERLINK("https://uwf.edu","Open source")</x:f>
        <x:v>HYPERLINK is not implemented. linkLocation=https://uwf.edu, friendlyName=Open source</x:v>
      </x:c>
    </x:row>
    <x:row r="995" ht="46" customHeight="1">
      <x:c r="A995" s="17" t="str">
        <x:v>stage3src:865fe49312d6d58bacf3</x:v>
      </x:c>
      <x:c r="B995" s="17" t="str">
        <x:v>program</x:v>
      </x:c>
      <x:c r="C995" s="17" t="str">
        <x:v>University of West Florida</x:v>
      </x:c>
      <x:c r="D995" s="17" t="str">
        <x:v>us:ipeds:138354:program:unclear:ipeds-discovery-signal-computer-and-information-systems-security-auditing-information-assurance-cip-11-1003</x:v>
      </x:c>
      <x:c r="E995" s="17" t="str"/>
      <x:c r="F995" s="17" t="str">
        <x:v>discovery</x:v>
      </x:c>
      <x:c r="G995" s="17" t="str">
        <x:v>Stage 2 recorded this row as a discovery candidate; it does not independently verify an exact current research program, eligibility, or funding.</x:v>
      </x:c>
      <x:c r="H995" s="17" t="str">
        <x:v>Pass 2 Stage 2 candidate funnel</x:v>
      </x:c>
      <x:c r="I995" s="17" t="str">
        <x:v>Graduate audit pipeline</x:v>
      </x:c>
      <x:c r="J995" s="17" t="str">
        <x:v>derived</x:v>
      </x:c>
      <x:c r="K995" s="17" t="str">
        <x:v>2026-09-11</x:v>
      </x:c>
      <x:c r="L995" s="17" t="str">
        <x:v>Not cycle-specific</x:v>
      </x:c>
      <x:c r="M995" s="17" t="str">
        <x:v>low</x:v>
      </x:c>
      <x:c r="N995" s="17" t="str">
        <x:v>Discovery evidence only</x:v>
      </x:c>
      <x:c r="O995" s="17" t="str">
        <x:v>Use the source_record_paths field to trace the underlying discovery inputs.</x:v>
      </x:c>
      <x:c r="P995" s="18" t="e">
        <x:f>HYPERLINK("https://uwf.edu","Open source")</x:f>
        <x:v>HYPERLINK is not implemented. linkLocation=https://uwf.edu, friendlyName=Open source</x:v>
      </x:c>
    </x:row>
    <x:row r="996" ht="46" customHeight="1">
      <x:c r="A996" s="17" t="str">
        <x:v>stage3src:413f7697bf64a191f5e8</x:v>
      </x:c>
      <x:c r="B996" s="17" t="str">
        <x:v>program</x:v>
      </x:c>
      <x:c r="C996" s="17" t="str">
        <x:v>University of West Florida</x:v>
      </x:c>
      <x:c r="D996" s="17" t="str">
        <x:v>us:ipeds:138354:program:unclear:ipeds-discovery-signal-information-technology-cip-11-0103</x:v>
      </x:c>
      <x:c r="E996" s="17" t="str"/>
      <x:c r="F996" s="17" t="str">
        <x:v>discovery</x:v>
      </x:c>
      <x:c r="G996" s="17" t="str">
        <x:v>Stage 2 recorded this row as a discovery candidate; it does not independently verify an exact current research program, eligibility, or funding.</x:v>
      </x:c>
      <x:c r="H996" s="17" t="str">
        <x:v>Pass 2 Stage 2 candidate funnel</x:v>
      </x:c>
      <x:c r="I996" s="17" t="str">
        <x:v>Graduate audit pipeline</x:v>
      </x:c>
      <x:c r="J996" s="17" t="str">
        <x:v>derived</x:v>
      </x:c>
      <x:c r="K996" s="17" t="str">
        <x:v>2026-09-11</x:v>
      </x:c>
      <x:c r="L996" s="17" t="str">
        <x:v>Not cycle-specific</x:v>
      </x:c>
      <x:c r="M996" s="17" t="str">
        <x:v>low</x:v>
      </x:c>
      <x:c r="N996" s="17" t="str">
        <x:v>Discovery evidence only</x:v>
      </x:c>
      <x:c r="O996" s="17" t="str">
        <x:v>Use the source_record_paths field to trace the underlying discovery inputs.</x:v>
      </x:c>
      <x:c r="P996" s="18" t="e">
        <x:f>HYPERLINK("https://uwf.edu","Open source")</x:f>
        <x:v>HYPERLINK is not implemented. linkLocation=https://uwf.edu, friendlyName=Open source</x:v>
      </x:c>
    </x:row>
    <x:row r="997" ht="46" customHeight="1">
      <x:c r="A997" s="17" t="str">
        <x:v>stage3src:f874ffb96ff43010334e</x:v>
      </x:c>
      <x:c r="B997" s="17" t="str">
        <x:v>program</x:v>
      </x:c>
      <x:c r="C997" s="17" t="str">
        <x:v>Clark Atlanta University</x:v>
      </x:c>
      <x:c r="D997" s="17" t="str">
        <x:v>us:ipeds:138947:program:unclear:ipeds-discovery-signal-computer-science-cip-11-0701</x:v>
      </x:c>
      <x:c r="E997" s="17" t="str"/>
      <x:c r="F997" s="17" t="str">
        <x:v>discovery</x:v>
      </x:c>
      <x:c r="G997" s="17" t="str">
        <x:v>Stage 2 recorded this row as a discovery candidate; it does not independently verify an exact current research program, eligibility, or funding.</x:v>
      </x:c>
      <x:c r="H997" s="17" t="str">
        <x:v>Pass 2 Stage 2 candidate funnel</x:v>
      </x:c>
      <x:c r="I997" s="17" t="str">
        <x:v>Graduate audit pipeline</x:v>
      </x:c>
      <x:c r="J997" s="17" t="str">
        <x:v>derived</x:v>
      </x:c>
      <x:c r="K997" s="17" t="str">
        <x:v>2026-09-11</x:v>
      </x:c>
      <x:c r="L997" s="17" t="str">
        <x:v>Not cycle-specific</x:v>
      </x:c>
      <x:c r="M997" s="17" t="str">
        <x:v>low</x:v>
      </x:c>
      <x:c r="N997" s="17" t="str">
        <x:v>Discovery evidence only</x:v>
      </x:c>
      <x:c r="O997" s="17" t="str">
        <x:v>Use the source_record_paths field to trace the underlying discovery inputs.</x:v>
      </x:c>
      <x:c r="P997" s="18" t="e">
        <x:f>HYPERLINK("https://www.cau.edu","Open source")</x:f>
        <x:v>HYPERLINK is not implemented. linkLocation=https://www.cau.edu, friendlyName=Open source</x:v>
      </x:c>
    </x:row>
    <x:row r="998" ht="46" customHeight="1">
      <x:c r="A998" s="17" t="str">
        <x:v>stage3src:d198d5a9bc7d048a0d91</x:v>
      </x:c>
      <x:c r="B998" s="17" t="str">
        <x:v>program</x:v>
      </x:c>
      <x:c r="C998" s="17" t="str">
        <x:v>Clayton  State University</x:v>
      </x:c>
      <x:c r="D998" s="17" t="str">
        <x:v>us:ipeds:139311:program:unclear:ipeds-discovery-signal-computer-and-information-systems-security-auditing-information-assurance-cip-11-1003</x:v>
      </x:c>
      <x:c r="E998" s="17" t="str"/>
      <x:c r="F998" s="17" t="str">
        <x:v>discovery</x:v>
      </x:c>
      <x:c r="G998" s="17" t="str">
        <x:v>Stage 2 recorded this row as a discovery candidate; it does not independently verify an exact current research program, eligibility, or funding.</x:v>
      </x:c>
      <x:c r="H998" s="17" t="str">
        <x:v>Pass 2 Stage 2 candidate funnel</x:v>
      </x:c>
      <x:c r="I998" s="17" t="str">
        <x:v>Graduate audit pipeline</x:v>
      </x:c>
      <x:c r="J998" s="17" t="str">
        <x:v>derived</x:v>
      </x:c>
      <x:c r="K998" s="17" t="str">
        <x:v>2026-09-11</x:v>
      </x:c>
      <x:c r="L998" s="17" t="str">
        <x:v>Not cycle-specific</x:v>
      </x:c>
      <x:c r="M998" s="17" t="str">
        <x:v>low</x:v>
      </x:c>
      <x:c r="N998" s="17" t="str">
        <x:v>Discovery evidence only</x:v>
      </x:c>
      <x:c r="O998" s="17" t="str">
        <x:v>Use the source_record_paths field to trace the underlying discovery inputs.</x:v>
      </x:c>
      <x:c r="P998" s="18" t="e">
        <x:f>HYPERLINK("https://www.clayton.edu","Open source")</x:f>
        <x:v>HYPERLINK is not implemented. linkLocation=https://www.clayton.edu, friendlyName=Open source</x:v>
      </x:c>
    </x:row>
    <x:row r="999" ht="46" customHeight="1">
      <x:c r="A999" s="17" t="str">
        <x:v>stage3src:e714d530d9a39733b970</x:v>
      </x:c>
      <x:c r="B999" s="17" t="str">
        <x:v>program</x:v>
      </x:c>
      <x:c r="C999" s="17" t="str">
        <x:v>Columbus State University</x:v>
      </x:c>
      <x:c r="D999" s="17" t="str">
        <x:v>us:ipeds:139366:program:unclear:ipeds-discovery-signal-computer-and-information-sciences-general-cip-11-0101</x:v>
      </x:c>
      <x:c r="E999" s="17" t="str"/>
      <x:c r="F999" s="17" t="str">
        <x:v>discovery</x:v>
      </x:c>
      <x:c r="G999" s="17" t="str">
        <x:v>Stage 2 recorded this row as a discovery candidate; it does not independently verify an exact current research program, eligibility, or funding.</x:v>
      </x:c>
      <x:c r="H999" s="17" t="str">
        <x:v>Pass 2 Stage 2 candidate funnel</x:v>
      </x:c>
      <x:c r="I999" s="17" t="str">
        <x:v>Graduate audit pipeline</x:v>
      </x:c>
      <x:c r="J999" s="17" t="str">
        <x:v>derived</x:v>
      </x:c>
      <x:c r="K999" s="17" t="str">
        <x:v>2026-09-11</x:v>
      </x:c>
      <x:c r="L999" s="17" t="str">
        <x:v>Not cycle-specific</x:v>
      </x:c>
      <x:c r="M999" s="17" t="str">
        <x:v>low</x:v>
      </x:c>
      <x:c r="N999" s="17" t="str">
        <x:v>Discovery evidence only</x:v>
      </x:c>
      <x:c r="O999" s="17" t="str">
        <x:v>Use the source_record_paths field to trace the underlying discovery inputs.</x:v>
      </x:c>
      <x:c r="P999" s="18" t="e">
        <x:f>HYPERLINK("https://www.columbusstate.edu","Open source")</x:f>
        <x:v>HYPERLINK is not implemented. linkLocation=https://www.columbusstate.edu, friendlyName=Open source</x:v>
      </x:c>
    </x:row>
    <x:row r="1000" ht="46" customHeight="1">
      <x:c r="A1000" s="17" t="str">
        <x:v>stage3src:639f571a652e7a324998</x:v>
      </x:c>
      <x:c r="B1000" s="17" t="str">
        <x:v>program</x:v>
      </x:c>
      <x:c r="C1000" s="17" t="str">
        <x:v>Columbus State University</x:v>
      </x:c>
      <x:c r="D1000" s="17" t="str">
        <x:v>us:ipeds:139366:program:unclear:ipeds-discovery-signal-mechatronics-robotics-and-automation-engineering-cip-14-4201</x:v>
      </x:c>
      <x:c r="E1000" s="17" t="str"/>
      <x:c r="F1000" s="17" t="str">
        <x:v>discovery</x:v>
      </x:c>
      <x:c r="G1000" s="17" t="str">
        <x:v>Stage 2 recorded this row as a discovery candidate; it does not independently verify an exact current research program, eligibility, or funding.</x:v>
      </x:c>
      <x:c r="H1000" s="17" t="str">
        <x:v>Pass 2 Stage 2 candidate funnel</x:v>
      </x:c>
      <x:c r="I1000" s="17" t="str">
        <x:v>Graduate audit pipeline</x:v>
      </x:c>
      <x:c r="J1000" s="17" t="str">
        <x:v>derived</x:v>
      </x:c>
      <x:c r="K1000" s="17" t="str">
        <x:v>2026-09-11</x:v>
      </x:c>
      <x:c r="L1000" s="17" t="str">
        <x:v>Not cycle-specific</x:v>
      </x:c>
      <x:c r="M1000" s="17" t="str">
        <x:v>low</x:v>
      </x:c>
      <x:c r="N1000" s="17" t="str">
        <x:v>Discovery evidence only</x:v>
      </x:c>
      <x:c r="O1000" s="17" t="str">
        <x:v>Use the source_record_paths field to trace the underlying discovery inputs.</x:v>
      </x:c>
      <x:c r="P1000" s="18" t="e">
        <x:f>HYPERLINK("https://www.columbusstate.edu","Open source")</x:f>
        <x:v>HYPERLINK is not implemented. linkLocation=https://www.columbusstate.edu, friendlyName=Open source</x:v>
      </x:c>
    </x:row>
    <x:row r="1001" ht="46" customHeight="1">
      <x:c r="A1001" s="17" t="str">
        <x:v>stage3src:59eb3324e5decf167da8</x:v>
      </x:c>
      <x:c r="B1001" s="17" t="str">
        <x:v>program</x:v>
      </x:c>
      <x:c r="C1001" s="17" t="str">
        <x:v>Emory University</x:v>
      </x:c>
      <x:c r="D1001" s="17" t="str">
        <x:v>us:ipeds:139658:program:phd:phd-in-computer-science-and-informatics</x:v>
      </x:c>
      <x:c r="E1001" s="17" t="str"/>
      <x:c r="F1001" s="17" t="str">
        <x:v>funding|tuition|summer</x:v>
      </x:c>
      <x:c r="G1001" s="17" t="str">
        <x:v>Up-to-five-year stipend assurance subject to satisfactory progress and the possible support mechanisms.</x:v>
      </x:c>
      <x:c r="H1001" s="17" t="str">
        <x:v>Funding and Travel FAQ</x:v>
      </x:c>
      <x:c r="I1001" s="17" t="str">
        <x:v>Emory University</x:v>
      </x:c>
      <x:c r="J1001" s="17" t="str">
        <x:v>official</x:v>
      </x:c>
      <x:c r="K1001" s="17" t="str">
        <x:v>2026-09-11</x:v>
      </x:c>
      <x:c r="L1001" s="17" t="str">
        <x:v>Current policy checked 2026-09-11</x:v>
      </x:c>
      <x:c r="M1001" s="17" t="str">
        <x:v>high</x:v>
      </x:c>
      <x:c r="N1001" s="17" t="str">
        <x:v>official page checked</x:v>
      </x:c>
      <x:c r="O1001" s="17" t="str"/>
      <x:c r="P1001" s="18" t="e">
        <x:f>HYPERLINK("https://computerscience.emory.edu/graduate-phd/current-student/faqs/funding-travel.html","Open source")</x:f>
        <x:v>HYPERLINK is not implemented. linkLocation=https://computerscience.emory.edu/graduate-phd/current-student/faqs/funding-travel.html, friendlyName=Open source</x:v>
      </x:c>
    </x:row>
    <x:row r="1002" ht="46" customHeight="1">
      <x:c r="A1002" s="17" t="str">
        <x:v>stage3src:a9474202e5d60988202d</x:v>
      </x:c>
      <x:c r="B1002" s="17" t="str">
        <x:v>program</x:v>
      </x:c>
      <x:c r="C1002" s="17" t="str">
        <x:v>Emory University</x:v>
      </x:c>
      <x:c r="D1002" s="17" t="str">
        <x:v>us:ipeds:139658:program:phd:phd-in-computer-science-and-informatics</x:v>
      </x:c>
      <x:c r="E1002" s="17" t="str"/>
      <x:c r="F1002" s="17" t="str">
        <x:v>program|research|eligibility</x:v>
      </x:c>
      <x:c r="G1002" s="17" t="str">
        <x:v>Current CSI PhD, research structure, and faculty-alignment model.</x:v>
      </x:c>
      <x:c r="H1002" s="17" t="str">
        <x:v>PhD in Computer Science and Informatics</x:v>
      </x:c>
      <x:c r="I1002" s="17" t="str">
        <x:v>Emory University</x:v>
      </x:c>
      <x:c r="J1002" s="17" t="str">
        <x:v>official</x:v>
      </x:c>
      <x:c r="K1002" s="17" t="str">
        <x:v>2026-09-11</x:v>
      </x:c>
      <x:c r="L1002" s="17" t="str">
        <x:v>Current page checked 2026-09-11</x:v>
      </x:c>
      <x:c r="M1002" s="17" t="str">
        <x:v>high</x:v>
      </x:c>
      <x:c r="N1002" s="17" t="str">
        <x:v>official page checked</x:v>
      </x:c>
      <x:c r="O1002" s="17" t="str"/>
      <x:c r="P1002" s="18" t="e">
        <x:f>HYPERLINK("https://computerscience.emory.edu/graduate-phd/index.html","Open source")</x:f>
        <x:v>HYPERLINK is not implemented. linkLocation=https://computerscience.emory.edu/graduate-phd/index.html, friendlyName=Open source</x:v>
      </x:c>
    </x:row>
    <x:row r="1003" ht="46" customHeight="1">
      <x:c r="A1003" s="17" t="str">
        <x:v>stage3src:a99973fb3c38d55ec8fc</x:v>
      </x:c>
      <x:c r="B1003" s="17" t="str">
        <x:v>program</x:v>
      </x:c>
      <x:c r="C1003" s="17" t="str">
        <x:v>Emory University</x:v>
      </x:c>
      <x:c r="D1003" s="17" t="str">
        <x:v>us:ipeds:139658:program:phd:phd-in-computer-science-and-informatics</x:v>
      </x:c>
      <x:c r="E1003" s="17" t="str"/>
      <x:c r="F1003" s="17" t="str">
        <x:v>admissions|eligibility|language|deadline|fees|funding|tuition</x:v>
      </x:c>
      <x:c r="G1003" s="17" t="str">
        <x:v>Bachelor's entry, English and GPA guidance, latest deadline, fee and waiver, and full-tuition stipend commitment.</x:v>
      </x:c>
      <x:c r="H1003" s="17" t="str">
        <x:v>CSI PhD Admissions</x:v>
      </x:c>
      <x:c r="I1003" s="17" t="str">
        <x:v>Emory University</x:v>
      </x:c>
      <x:c r="J1003" s="17" t="str">
        <x:v>official</x:v>
      </x:c>
      <x:c r="K1003" s="17" t="str">
        <x:v>2026-09-11</x:v>
      </x:c>
      <x:c r="L1003" s="17" t="str">
        <x:v>Latest labeled Fall 2026 cycle checked 2026-09-11</x:v>
      </x:c>
      <x:c r="M1003" s="17" t="str">
        <x:v>high</x:v>
      </x:c>
      <x:c r="N1003" s="17" t="str">
        <x:v>official page checked</x:v>
      </x:c>
      <x:c r="O1003" s="17" t="str"/>
      <x:c r="P1003" s="18" t="e">
        <x:f>HYPERLINK("https://computerscience.emory.edu/graduate-phd/admissions/index.html","Open source")</x:f>
        <x:v>HYPERLINK is not implemented. linkLocation=https://computerscience.emory.edu/graduate-phd/admissions/index.html, friendlyName=Open source</x:v>
      </x:c>
    </x:row>
    <x:row r="1004" ht="46" customHeight="1">
      <x:c r="A1004" s="17" t="str">
        <x:v>stage3src:897baeca6b307a928e13</x:v>
      </x:c>
      <x:c r="B1004" s="17" t="str">
        <x:v>program</x:v>
      </x:c>
      <x:c r="C1004" s="17" t="str">
        <x:v>Emory University</x:v>
      </x:c>
      <x:c r="D1004" s="17" t="str">
        <x:v>us:ipeds:139658:program:unclear:ipeds-discovery-signal-computer-science-cip-11-0701</x:v>
      </x:c>
      <x:c r="E1004" s="17" t="str"/>
      <x:c r="F1004" s="17" t="str">
        <x:v>discovery</x:v>
      </x:c>
      <x:c r="G1004" s="17" t="str">
        <x:v>Stage 2 recorded this row as a discovery candidate; it does not independently verify an exact current research program, eligibility, or funding.</x:v>
      </x:c>
      <x:c r="H1004" s="17" t="str">
        <x:v>Pass 2 Stage 2 candidate funnel</x:v>
      </x:c>
      <x:c r="I1004" s="17" t="str">
        <x:v>Graduate audit pipeline</x:v>
      </x:c>
      <x:c r="J1004" s="17" t="str">
        <x:v>derived</x:v>
      </x:c>
      <x:c r="K1004" s="17" t="str">
        <x:v>2026-09-11</x:v>
      </x:c>
      <x:c r="L1004" s="17" t="str">
        <x:v>Not cycle-specific</x:v>
      </x:c>
      <x:c r="M1004" s="17" t="str">
        <x:v>low</x:v>
      </x:c>
      <x:c r="N1004" s="17" t="str">
        <x:v>Discovery evidence only</x:v>
      </x:c>
      <x:c r="O1004" s="17" t="str">
        <x:v>Use the source_record_paths field to trace the underlying discovery inputs.</x:v>
      </x:c>
      <x:c r="P1004" s="18" t="e">
        <x:f>HYPERLINK("https://www.emory.edu","Open source")</x:f>
        <x:v>HYPERLINK is not implemented. linkLocation=https://www.emory.edu, friendlyName=Open source</x:v>
      </x:c>
    </x:row>
    <x:row r="1005" ht="46" customHeight="1">
      <x:c r="A1005" s="17" t="str">
        <x:v>stage3src:327aa977ad095dca6090</x:v>
      </x:c>
      <x:c r="B1005" s="17" t="str">
        <x:v>program</x:v>
      </x:c>
      <x:c r="C1005" s="17" t="str">
        <x:v>Emory University</x:v>
      </x:c>
      <x:c r="D1005" s="17" t="str">
        <x:v>us:ipeds:139658:program:unclear:ipeds-discovery-signal-informatics-cip-11-0104</x:v>
      </x:c>
      <x:c r="E1005" s="17" t="str"/>
      <x:c r="F1005" s="17" t="str">
        <x:v>discovery</x:v>
      </x:c>
      <x:c r="G1005" s="17" t="str">
        <x:v>Stage 2 recorded this row as a discovery candidate; it does not independently verify an exact current research program, eligibility, or funding.</x:v>
      </x:c>
      <x:c r="H1005" s="17" t="str">
        <x:v>Pass 2 Stage 2 candidate funnel</x:v>
      </x:c>
      <x:c r="I1005" s="17" t="str">
        <x:v>Graduate audit pipeline</x:v>
      </x:c>
      <x:c r="J1005" s="17" t="str">
        <x:v>derived</x:v>
      </x:c>
      <x:c r="K1005" s="17" t="str">
        <x:v>2026-09-11</x:v>
      </x:c>
      <x:c r="L1005" s="17" t="str">
        <x:v>Not cycle-specific</x:v>
      </x:c>
      <x:c r="M1005" s="17" t="str">
        <x:v>low</x:v>
      </x:c>
      <x:c r="N1005" s="17" t="str">
        <x:v>Discovery evidence only</x:v>
      </x:c>
      <x:c r="O1005" s="17" t="str">
        <x:v>Use the source_record_paths field to trace the underlying discovery inputs.</x:v>
      </x:c>
      <x:c r="P1005" s="18" t="e">
        <x:f>HYPERLINK("https://www.emory.edu","Open source")</x:f>
        <x:v>HYPERLINK is not implemented. linkLocation=https://www.emory.edu, friendlyName=Open source</x:v>
      </x:c>
    </x:row>
    <x:row r="1006" ht="46" customHeight="1">
      <x:c r="A1006" s="17" t="str">
        <x:v>stage3src:594f00166019281cfb8e</x:v>
      </x:c>
      <x:c r="B1006" s="17" t="str">
        <x:v>program</x:v>
      </x:c>
      <x:c r="C1006" s="17" t="str">
        <x:v>Georgia Institute of Technology-Main Campus</x:v>
      </x:c>
      <x:c r="D1006" s="17" t="str">
        <x:v>us:ipeds:139755:program:phd:computer-science-phd</x:v>
      </x:c>
      <x:c r="E1006" s="17" t="str"/>
      <x:c r="F1006" s="17" t="str">
        <x:v>program</x:v>
      </x:c>
      <x:c r="G1006" s="17" t="str">
        <x:v>Active CS PhD program and research scope</x:v>
      </x:c>
      <x:c r="H1006" s="17" t="str">
        <x:v>PhD in Computer Science</x:v>
      </x:c>
      <x:c r="I1006" s="17" t="str">
        <x:v>Georgia Institute of Technology-Main Campus</x:v>
      </x:c>
      <x:c r="J1006" s="17" t="str">
        <x:v>Official</x:v>
      </x:c>
      <x:c r="K1006" s="17" t="str">
        <x:v>2026-09-09</x:v>
      </x:c>
      <x:c r="L1006" s="17" t="str">
        <x:v>Current</x:v>
      </x:c>
      <x:c r="M1006" s="17" t="str">
        <x:v>High</x:v>
      </x:c>
      <x:c r="N1006" s="17" t="str">
        <x:v>Verified</x:v>
      </x:c>
      <x:c r="O1006" s="17" t="str"/>
      <x:c r="P1006" s="18" t="e">
        <x:f>HYPERLINK("https://www.cc.gatech.edu/degree-programs/phd-computer-science","Open source")</x:f>
        <x:v>HYPERLINK is not implemented. linkLocation=https://www.cc.gatech.edu/degree-programs/phd-computer-science, friendlyName=Open source</x:v>
      </x:c>
    </x:row>
    <x:row r="1007" ht="46" customHeight="1">
      <x:c r="A1007" s="17" t="str">
        <x:v>stage3src:6954f025c0fd052efdfc</x:v>
      </x:c>
      <x:c r="B1007" s="17" t="str">
        <x:v>program</x:v>
      </x:c>
      <x:c r="C1007" s="17" t="str">
        <x:v>Georgia Institute of Technology-Main Campus</x:v>
      </x:c>
      <x:c r="D1007" s="17" t="str">
        <x:v>us:ipeds:139755:program:phd:computer-science-phd</x:v>
      </x:c>
      <x:c r="E1007" s="17" t="str"/>
      <x:c r="F1007" s="17" t="str">
        <x:v>deadline|eligibility|admissions</x:v>
      </x:c>
      <x:c r="G1007" s="17" t="str">
        <x:v>Fall 2027 deadline, bachelor/equivalent, 3.0 GPA, international rules, and program contact</x:v>
      </x:c>
      <x:c r="H1007" s="17" t="str">
        <x:v>Computer Science PhD Program Information</x:v>
      </x:c>
      <x:c r="I1007" s="17" t="str">
        <x:v>Georgia Institute of Technology-Main Campus</x:v>
      </x:c>
      <x:c r="J1007" s="17" t="str">
        <x:v>Official</x:v>
      </x:c>
      <x:c r="K1007" s="17" t="str">
        <x:v>2026-09-09</x:v>
      </x:c>
      <x:c r="L1007" s="17" t="str">
        <x:v>Fall 2027</x:v>
      </x:c>
      <x:c r="M1007" s="17" t="str">
        <x:v>High</x:v>
      </x:c>
      <x:c r="N1007" s="17" t="str">
        <x:v>Verified</x:v>
      </x:c>
      <x:c r="O1007" s="17" t="str"/>
      <x:c r="P1007" s="18" t="e">
        <x:f>HYPERLINK("https://gradapp.gatech.edu/portal/program-info?cmd=view-program&amp;program=169bcfc7-d134-ed0b-40e7-12bc93147f9a","Open source")</x:f>
        <x:v>HYPERLINK is not implemented. linkLocation=https://gradapp.gatech.edu/portal/program-info?cmd=view-program&amp;program=169bcfc7-d134-ed0b-40e7-12bc93147f9a, friendlyName=Open source</x:v>
      </x:c>
    </x:row>
    <x:row r="1008" ht="46" customHeight="1">
      <x:c r="A1008" s="17" t="str">
        <x:v>stage3src:f26da61c52686e4912fe</x:v>
      </x:c>
      <x:c r="B1008" s="17" t="str">
        <x:v>program</x:v>
      </x:c>
      <x:c r="C1008" s="17" t="str">
        <x:v>Georgia Institute of Technology-Main Campus</x:v>
      </x:c>
      <x:c r="D1008" s="17" t="str">
        <x:v>us:ipeds:139755:program:phd:computer-science-phd</x:v>
      </x:c>
      <x:c r="E1008" s="17" t="str"/>
      <x:c r="F1008" s="17" t="str">
        <x:v>fees|eligibility|admissions</x:v>
      </x:c>
      <x:c r="G1008" s="17" t="str">
        <x:v>$95 domestic/$105 international institute application fee</x:v>
      </x:c>
      <x:c r="H1008" s="17" t="str">
        <x:v>Graduate Application Information</x:v>
      </x:c>
      <x:c r="I1008" s="17" t="str">
        <x:v>Georgia Institute of Technology-Main Campus</x:v>
      </x:c>
      <x:c r="J1008" s="17" t="str">
        <x:v>Official</x:v>
      </x:c>
      <x:c r="K1008" s="17" t="str">
        <x:v>2026-09-09</x:v>
      </x:c>
      <x:c r="L1008" s="17" t="str">
        <x:v>Current</x:v>
      </x:c>
      <x:c r="M1008" s="17" t="str">
        <x:v>Medium</x:v>
      </x:c>
      <x:c r="N1008" s="17" t="str">
        <x:v>Verified</x:v>
      </x:c>
      <x:c r="O1008" s="17" t="str">
        <x:v>Fee page is hosted by another Georgia Tech department but states institute-wide fee.</x:v>
      </x:c>
      <x:c r="P1008" s="18" t="e">
        <x:f>HYPERLINK("https://math.gatech.edu/node/75","Open source")</x:f>
        <x:v>HYPERLINK is not implemented. linkLocation=https://math.gatech.edu/node/75, friendlyName=Open source</x:v>
      </x:c>
    </x:row>
    <x:row r="1009" ht="46" customHeight="1">
      <x:c r="A1009" s="17" t="str">
        <x:v>stage3src:e888fab959e07b80eb11</x:v>
      </x:c>
      <x:c r="B1009" s="17" t="str">
        <x:v>program</x:v>
      </x:c>
      <x:c r="C1009" s="17" t="str">
        <x:v>Georgia Institute of Technology-Main Campus</x:v>
      </x:c>
      <x:c r="D1009" s="17" t="str">
        <x:v>us:ipeds:139755:program:phd:ph-d-in-computer-science</x:v>
      </x:c>
      <x:c r="E1009" s="17" t="str"/>
      <x:c r="F1009" s="17" t="str">
        <x:v>program</x:v>
      </x:c>
      <x:c r="G1009" s="17" t="str">
        <x:v>Official program page describes an active research-oriented Ph.D. in Computer Science culminating in dissertation research.</x:v>
      </x:c>
      <x:c r="H1009" s="17" t="str">
        <x:v>Ph.D. in Computer Science</x:v>
      </x:c>
      <x:c r="I1009" s="17" t="str">
        <x:v>Georgia Institute of Technology-Main Campus</x:v>
      </x:c>
      <x:c r="J1009" s="17" t="str">
        <x:v>official</x:v>
      </x:c>
      <x:c r="K1009" s="17" t="str">
        <x:v>2026-09-09</x:v>
      </x:c>
      <x:c r="L1009" s="17" t="str">
        <x:v>Current page; Fall 2027 cycle not verified</x:v>
      </x:c>
      <x:c r="M1009" s="17" t="str">
        <x:v>high for page content; medium for future availability</x:v>
      </x:c>
      <x:c r="N1009" s="17" t="str">
        <x:v>opened official page</x:v>
      </x:c>
      <x:c r="O1009" s="17" t="str">
        <x:v>No inference about faculty recruiting or funding was made.</x:v>
      </x:c>
      <x:c r="P1009" s="18" t="e">
        <x:f>HYPERLINK("https://www.cc.gatech.edu/degree-programs/phd-computer-science","Open source")</x:f>
        <x:v>HYPERLINK is not implemented. linkLocation=https://www.cc.gatech.edu/degree-programs/phd-computer-science, friendlyName=Open source</x:v>
      </x:c>
    </x:row>
    <x:row r="1010" ht="46" customHeight="1">
      <x:c r="A1010" s="17" t="str">
        <x:v>stage3src:a778637d352c92d01864</x:v>
      </x:c>
      <x:c r="B1010" s="17" t="str">
        <x:v>program</x:v>
      </x:c>
      <x:c r="C1010" s="17" t="str">
        <x:v>Georgia Institute of Technology-Main Campus</x:v>
      </x:c>
      <x:c r="D1010" s="17" t="str">
        <x:v>us:ipeds:139755:program:unclear:ipeds-discovery-signal-computer-and-information-sciences-general-cip-11-0101</x:v>
      </x:c>
      <x:c r="E1010" s="17" t="str"/>
      <x:c r="F1010" s="17" t="str">
        <x:v>discovery</x:v>
      </x:c>
      <x:c r="G1010" s="17" t="str">
        <x:v>Stage 2 recorded this row as a discovery candidate; it does not independently verify an exact current research program, eligibility, or funding.</x:v>
      </x:c>
      <x:c r="H1010" s="17" t="str">
        <x:v>Pass 2 Stage 2 candidate funnel</x:v>
      </x:c>
      <x:c r="I1010" s="17" t="str">
        <x:v>Graduate audit pipeline</x:v>
      </x:c>
      <x:c r="J1010" s="17" t="str">
        <x:v>derived</x:v>
      </x:c>
      <x:c r="K1010" s="17" t="str">
        <x:v>2026-09-11</x:v>
      </x:c>
      <x:c r="L1010" s="17" t="str">
        <x:v>Not cycle-specific</x:v>
      </x:c>
      <x:c r="M1010" s="17" t="str">
        <x:v>low</x:v>
      </x:c>
      <x:c r="N1010" s="17" t="str">
        <x:v>Discovery evidence only</x:v>
      </x:c>
      <x:c r="O1010" s="17" t="str">
        <x:v>Use the source_record_paths field to trace the underlying discovery inputs.</x:v>
      </x:c>
      <x:c r="P1010" s="18" t="e">
        <x:f>HYPERLINK("https://www.gatech.edu","Open source")</x:f>
        <x:v>HYPERLINK is not implemented. linkLocation=https://www.gatech.edu, friendlyName=Open source</x:v>
      </x:c>
    </x:row>
    <x:row r="1011" ht="46" customHeight="1">
      <x:c r="A1011" s="17" t="str">
        <x:v>stage3src:3ea50ca42c40532a69fe</x:v>
      </x:c>
      <x:c r="B1011" s="17" t="str">
        <x:v>program</x:v>
      </x:c>
      <x:c r="C1011" s="17" t="str">
        <x:v>Georgia Institute of Technology-Main Campus</x:v>
      </x:c>
      <x:c r="D1011" s="17" t="str">
        <x:v>us:ipeds:139755:program:unclear:ipeds-discovery-signal-computer-and-information-systems-security-auditing-information-assurance-cip-11-1003</x:v>
      </x:c>
      <x:c r="E1011" s="17" t="str"/>
      <x:c r="F1011" s="17" t="str">
        <x:v>discovery</x:v>
      </x:c>
      <x:c r="G1011" s="17" t="str">
        <x:v>Stage 2 recorded this row as a discovery candidate; it does not independently verify an exact current research program, eligibility, or funding.</x:v>
      </x:c>
      <x:c r="H1011" s="17" t="str">
        <x:v>Pass 2 Stage 2 candidate funnel</x:v>
      </x:c>
      <x:c r="I1011" s="17" t="str">
        <x:v>Graduate audit pipeline</x:v>
      </x:c>
      <x:c r="J1011" s="17" t="str">
        <x:v>derived</x:v>
      </x:c>
      <x:c r="K1011" s="17" t="str">
        <x:v>2026-09-11</x:v>
      </x:c>
      <x:c r="L1011" s="17" t="str">
        <x:v>Not cycle-specific</x:v>
      </x:c>
      <x:c r="M1011" s="17" t="str">
        <x:v>low</x:v>
      </x:c>
      <x:c r="N1011" s="17" t="str">
        <x:v>Discovery evidence only</x:v>
      </x:c>
      <x:c r="O1011" s="17" t="str">
        <x:v>Use the source_record_paths field to trace the underlying discovery inputs.</x:v>
      </x:c>
      <x:c r="P1011" s="18" t="e">
        <x:f>HYPERLINK("https://www.gatech.edu","Open source")</x:f>
        <x:v>HYPERLINK is not implemented. linkLocation=https://www.gatech.edu, friendlyName=Open source</x:v>
      </x:c>
    </x:row>
    <x:row r="1012" ht="46" customHeight="1">
      <x:c r="A1012" s="17" t="str">
        <x:v>stage3src:dbfd5f834206527d038e</x:v>
      </x:c>
      <x:c r="B1012" s="17" t="str">
        <x:v>program</x:v>
      </x:c>
      <x:c r="C1012" s="17" t="str">
        <x:v>Georgia Institute of Technology-Main Campus</x:v>
      </x:c>
      <x:c r="D1012" s="17" t="str">
        <x:v>us:ipeds:139755:program:unclear:ipeds-discovery-signal-computer-science-cip-11-0701</x:v>
      </x:c>
      <x:c r="E1012" s="17" t="str"/>
      <x:c r="F1012" s="17" t="str">
        <x:v>discovery</x:v>
      </x:c>
      <x:c r="G1012" s="17" t="str">
        <x:v>Stage 2 recorded this row as a discovery candidate; it does not independently verify an exact current research program, eligibility, or funding.</x:v>
      </x:c>
      <x:c r="H1012" s="17" t="str">
        <x:v>Pass 2 Stage 2 candidate funnel</x:v>
      </x:c>
      <x:c r="I1012" s="17" t="str">
        <x:v>Graduate audit pipeline</x:v>
      </x:c>
      <x:c r="J1012" s="17" t="str">
        <x:v>derived</x:v>
      </x:c>
      <x:c r="K1012" s="17" t="str">
        <x:v>2026-09-11</x:v>
      </x:c>
      <x:c r="L1012" s="17" t="str">
        <x:v>Not cycle-specific</x:v>
      </x:c>
      <x:c r="M1012" s="17" t="str">
        <x:v>low</x:v>
      </x:c>
      <x:c r="N1012" s="17" t="str">
        <x:v>Discovery evidence only</x:v>
      </x:c>
      <x:c r="O1012" s="17" t="str">
        <x:v>Use the source_record_paths field to trace the underlying discovery inputs.</x:v>
      </x:c>
      <x:c r="P1012" s="18" t="e">
        <x:f>HYPERLINK("https://www.gatech.edu","Open source")</x:f>
        <x:v>HYPERLINK is not implemented. linkLocation=https://www.gatech.edu, friendlyName=Open source</x:v>
      </x:c>
    </x:row>
    <x:row r="1013" ht="46" customHeight="1">
      <x:c r="A1013" s="17" t="str">
        <x:v>stage3src:75251939901df3f3749d</x:v>
      </x:c>
      <x:c r="B1013" s="17" t="str">
        <x:v>program</x:v>
      </x:c>
      <x:c r="C1013" s="17" t="str">
        <x:v>Georgia Institute of Technology-Main Campus</x:v>
      </x:c>
      <x:c r="D1013" s="17" t="str">
        <x:v>us:ipeds:139755:program:unclear:ipeds-discovery-signal-electrical-and-electronics-engineering-cip-14-1001</x:v>
      </x:c>
      <x:c r="E1013" s="17" t="str"/>
      <x:c r="F1013" s="17" t="str">
        <x:v>discovery</x:v>
      </x:c>
      <x:c r="G1013" s="17" t="str">
        <x:v>Stage 2 recorded this row as a discovery candidate; it does not independently verify an exact current research program, eligibility, or funding.</x:v>
      </x:c>
      <x:c r="H1013" s="17" t="str">
        <x:v>Pass 2 Stage 2 candidate funnel</x:v>
      </x:c>
      <x:c r="I1013" s="17" t="str">
        <x:v>Graduate audit pipeline</x:v>
      </x:c>
      <x:c r="J1013" s="17" t="str">
        <x:v>derived</x:v>
      </x:c>
      <x:c r="K1013" s="17" t="str">
        <x:v>2026-09-11</x:v>
      </x:c>
      <x:c r="L1013" s="17" t="str">
        <x:v>Not cycle-specific</x:v>
      </x:c>
      <x:c r="M1013" s="17" t="str">
        <x:v>low</x:v>
      </x:c>
      <x:c r="N1013" s="17" t="str">
        <x:v>Discovery evidence only</x:v>
      </x:c>
      <x:c r="O1013" s="17" t="str">
        <x:v>Use the source_record_paths field to trace the underlying discovery inputs.</x:v>
      </x:c>
      <x:c r="P1013" s="18" t="e">
        <x:f>HYPERLINK("https://www.gatech.edu","Open source")</x:f>
        <x:v>HYPERLINK is not implemented. linkLocation=https://www.gatech.edu, friendlyName=Open source</x:v>
      </x:c>
    </x:row>
    <x:row r="1014" ht="46" customHeight="1">
      <x:c r="A1014" s="17" t="str">
        <x:v>stage3src:0dcbea5966a103b0978d</x:v>
      </x:c>
      <x:c r="B1014" s="17" t="str">
        <x:v>program</x:v>
      </x:c>
      <x:c r="C1014" s="17" t="str">
        <x:v>Georgia Institute of Technology-Main Campus</x:v>
      </x:c>
      <x:c r="D1014" s="17" t="str">
        <x:v>us:ipeds:139755:program:unclear:ipeds-discovery-signal-human-centered-technology-design-cip-11-0105</x:v>
      </x:c>
      <x:c r="E1014" s="17" t="str"/>
      <x:c r="F1014" s="17" t="str">
        <x:v>discovery</x:v>
      </x:c>
      <x:c r="G1014" s="17" t="str">
        <x:v>Stage 2 recorded this row as a discovery candidate; it does not independently verify an exact current research program, eligibility, or funding.</x:v>
      </x:c>
      <x:c r="H1014" s="17" t="str">
        <x:v>Pass 2 Stage 2 candidate funnel</x:v>
      </x:c>
      <x:c r="I1014" s="17" t="str">
        <x:v>Graduate audit pipeline</x:v>
      </x:c>
      <x:c r="J1014" s="17" t="str">
        <x:v>derived</x:v>
      </x:c>
      <x:c r="K1014" s="17" t="str">
        <x:v>2026-09-11</x:v>
      </x:c>
      <x:c r="L1014" s="17" t="str">
        <x:v>Not cycle-specific</x:v>
      </x:c>
      <x:c r="M1014" s="17" t="str">
        <x:v>low</x:v>
      </x:c>
      <x:c r="N1014" s="17" t="str">
        <x:v>Discovery evidence only</x:v>
      </x:c>
      <x:c r="O1014" s="17" t="str">
        <x:v>Use the source_record_paths field to trace the underlying discovery inputs.</x:v>
      </x:c>
      <x:c r="P1014" s="18" t="e">
        <x:f>HYPERLINK("https://www.gatech.edu","Open source")</x:f>
        <x:v>HYPERLINK is not implemented. linkLocation=https://www.gatech.edu, friendlyName=Open source</x:v>
      </x:c>
    </x:row>
    <x:row r="1015" ht="46" customHeight="1">
      <x:c r="A1015" s="17" t="str">
        <x:v>stage3src:ec816f00cd18ef0f4d3f</x:v>
      </x:c>
      <x:c r="B1015" s="17" t="str">
        <x:v>program</x:v>
      </x:c>
      <x:c r="C1015" s="17" t="str">
        <x:v>Georgia Institute of Technology-Main Campus</x:v>
      </x:c>
      <x:c r="D1015" s="17" t="str">
        <x:v>us:ipeds:139755:program:unclear:ipeds-discovery-signal-information-science-studies-cip-11-0401</x:v>
      </x:c>
      <x:c r="E1015" s="17" t="str"/>
      <x:c r="F1015" s="17" t="str">
        <x:v>discovery</x:v>
      </x:c>
      <x:c r="G1015" s="17" t="str">
        <x:v>Stage 2 recorded this row as a discovery candidate; it does not independently verify an exact current research program, eligibility, or funding.</x:v>
      </x:c>
      <x:c r="H1015" s="17" t="str">
        <x:v>Pass 2 Stage 2 candidate funnel</x:v>
      </x:c>
      <x:c r="I1015" s="17" t="str">
        <x:v>Graduate audit pipeline</x:v>
      </x:c>
      <x:c r="J1015" s="17" t="str">
        <x:v>derived</x:v>
      </x:c>
      <x:c r="K1015" s="17" t="str">
        <x:v>2026-09-11</x:v>
      </x:c>
      <x:c r="L1015" s="17" t="str">
        <x:v>Not cycle-specific</x:v>
      </x:c>
      <x:c r="M1015" s="17" t="str">
        <x:v>low</x:v>
      </x:c>
      <x:c r="N1015" s="17" t="str">
        <x:v>Discovery evidence only</x:v>
      </x:c>
      <x:c r="O1015" s="17" t="str">
        <x:v>Use the source_record_paths field to trace the underlying discovery inputs.</x:v>
      </x:c>
      <x:c r="P1015" s="18" t="e">
        <x:f>HYPERLINK("https://www.gatech.edu","Open source")</x:f>
        <x:v>HYPERLINK is not implemented. linkLocation=https://www.gatech.edu, friendlyName=Open source</x:v>
      </x:c>
    </x:row>
    <x:row r="1016" ht="46" customHeight="1">
      <x:c r="A1016" s="17" t="str">
        <x:v>stage3src:519229d9d38f8bbf9758</x:v>
      </x:c>
      <x:c r="B1016" s="17" t="str">
        <x:v>program</x:v>
      </x:c>
      <x:c r="C1016" s="17" t="str">
        <x:v>Georgia Institute of Technology-Main Campus</x:v>
      </x:c>
      <x:c r="D1016" s="17" t="str">
        <x:v>us:ipeds:139755:program:unclear:ipeds-discovery-signal-mechatronics-robotics-and-automation-engineering-cip-14-4201</x:v>
      </x:c>
      <x:c r="E1016" s="17" t="str"/>
      <x:c r="F1016" s="17" t="str">
        <x:v>discovery</x:v>
      </x:c>
      <x:c r="G1016" s="17" t="str">
        <x:v>Stage 2 recorded this row as a discovery candidate; it does not independently verify an exact current research program, eligibility, or funding.</x:v>
      </x:c>
      <x:c r="H1016" s="17" t="str">
        <x:v>Pass 2 Stage 2 candidate funnel</x:v>
      </x:c>
      <x:c r="I1016" s="17" t="str">
        <x:v>Graduate audit pipeline</x:v>
      </x:c>
      <x:c r="J1016" s="17" t="str">
        <x:v>derived</x:v>
      </x:c>
      <x:c r="K1016" s="17" t="str">
        <x:v>2026-09-11</x:v>
      </x:c>
      <x:c r="L1016" s="17" t="str">
        <x:v>Not cycle-specific</x:v>
      </x:c>
      <x:c r="M1016" s="17" t="str">
        <x:v>low</x:v>
      </x:c>
      <x:c r="N1016" s="17" t="str">
        <x:v>Discovery evidence only</x:v>
      </x:c>
      <x:c r="O1016" s="17" t="str">
        <x:v>Use the source_record_paths field to trace the underlying discovery inputs.</x:v>
      </x:c>
      <x:c r="P1016" s="18" t="e">
        <x:f>HYPERLINK("https://www.gatech.edu","Open source")</x:f>
        <x:v>HYPERLINK is not implemented. linkLocation=https://www.gatech.edu, friendlyName=Open source</x:v>
      </x:c>
    </x:row>
    <x:row r="1017" ht="46" customHeight="1">
      <x:c r="A1017" s="17" t="str">
        <x:v>stage3src:b150cfd272ed964f9db7</x:v>
      </x:c>
      <x:c r="B1017" s="17" t="str">
        <x:v>program</x:v>
      </x:c>
      <x:c r="C1017" s="17" t="str">
        <x:v>Georgia Southwestern State University</x:v>
      </x:c>
      <x:c r="D1017" s="17" t="str">
        <x:v>us:ipeds:139764:program:unclear:ipeds-discovery-signal-computer-science-cip-11-0701</x:v>
      </x:c>
      <x:c r="E1017" s="17" t="str"/>
      <x:c r="F1017" s="17" t="str">
        <x:v>discovery</x:v>
      </x:c>
      <x:c r="G1017" s="17" t="str">
        <x:v>Stage 2 recorded this row as a discovery candidate; it does not independently verify an exact current research program, eligibility, or funding.</x:v>
      </x:c>
      <x:c r="H1017" s="17" t="str">
        <x:v>Pass 2 Stage 2 candidate funnel</x:v>
      </x:c>
      <x:c r="I1017" s="17" t="str">
        <x:v>Graduate audit pipeline</x:v>
      </x:c>
      <x:c r="J1017" s="17" t="str">
        <x:v>derived</x:v>
      </x:c>
      <x:c r="K1017" s="17" t="str">
        <x:v>2026-09-11</x:v>
      </x:c>
      <x:c r="L1017" s="17" t="str">
        <x:v>Not cycle-specific</x:v>
      </x:c>
      <x:c r="M1017" s="17" t="str">
        <x:v>low</x:v>
      </x:c>
      <x:c r="N1017" s="17" t="str">
        <x:v>Discovery evidence only</x:v>
      </x:c>
      <x:c r="O1017" s="17" t="str">
        <x:v>Use the source_record_paths field to trace the underlying discovery inputs.</x:v>
      </x:c>
      <x:c r="P1017" s="18" t="e">
        <x:f>HYPERLINK("https://gsw.edu","Open source")</x:f>
        <x:v>HYPERLINK is not implemented. linkLocation=https://gsw.edu, friendlyName=Open source</x:v>
      </x:c>
    </x:row>
    <x:row r="1018" ht="46" customHeight="1">
      <x:c r="A1018" s="17" t="str">
        <x:v>stage3src:de19abd731c453a40279</x:v>
      </x:c>
      <x:c r="B1018" s="17" t="str">
        <x:v>program</x:v>
      </x:c>
      <x:c r="C1018" s="17" t="str">
        <x:v>Georgia Southern University</x:v>
      </x:c>
      <x:c r="D1018" s="17" t="str">
        <x:v>us:ipeds:139931:program:unclear:ipeds-discovery-signal-computer-science-cip-11-0701</x:v>
      </x:c>
      <x:c r="E1018" s="17" t="str"/>
      <x:c r="F1018" s="17" t="str">
        <x:v>discovery</x:v>
      </x:c>
      <x:c r="G1018" s="17" t="str">
        <x:v>Stage 2 recorded this row as a discovery candidate; it does not independently verify an exact current research program, eligibility, or funding.</x:v>
      </x:c>
      <x:c r="H1018" s="17" t="str">
        <x:v>Pass 2 Stage 2 candidate funnel</x:v>
      </x:c>
      <x:c r="I1018" s="17" t="str">
        <x:v>Graduate audit pipeline</x:v>
      </x:c>
      <x:c r="J1018" s="17" t="str">
        <x:v>derived</x:v>
      </x:c>
      <x:c r="K1018" s="17" t="str">
        <x:v>2026-09-11</x:v>
      </x:c>
      <x:c r="L1018" s="17" t="str">
        <x:v>Not cycle-specific</x:v>
      </x:c>
      <x:c r="M1018" s="17" t="str">
        <x:v>low</x:v>
      </x:c>
      <x:c r="N1018" s="17" t="str">
        <x:v>Discovery evidence only</x:v>
      </x:c>
      <x:c r="O1018" s="17" t="str">
        <x:v>Use the source_record_paths field to trace the underlying discovery inputs.</x:v>
      </x:c>
      <x:c r="P1018" s="18" t="e">
        <x:f>HYPERLINK("https://www.georgiasouthern.edu","Open source")</x:f>
        <x:v>HYPERLINK is not implemented. linkLocation=https://www.georgiasouthern.edu, friendlyName=Open source</x:v>
      </x:c>
    </x:row>
    <x:row r="1019" ht="46" customHeight="1">
      <x:c r="A1019" s="17" t="str">
        <x:v>stage3src:ab1be560b925f335f6ac</x:v>
      </x:c>
      <x:c r="B1019" s="17" t="str">
        <x:v>program</x:v>
      </x:c>
      <x:c r="C1019" s="17" t="str">
        <x:v>Georgia Southern University</x:v>
      </x:c>
      <x:c r="D1019" s="17" t="str">
        <x:v>us:ipeds:139931:program:unclear:ipeds-discovery-signal-electrical-and-electronics-engineering-cip-14-1001</x:v>
      </x:c>
      <x:c r="E1019" s="17" t="str"/>
      <x:c r="F1019" s="17" t="str">
        <x:v>discovery</x:v>
      </x:c>
      <x:c r="G1019" s="17" t="str">
        <x:v>Stage 2 recorded this row as a discovery candidate; it does not independently verify an exact current research program, eligibility, or funding.</x:v>
      </x:c>
      <x:c r="H1019" s="17" t="str">
        <x:v>Pass 2 Stage 2 candidate funnel</x:v>
      </x:c>
      <x:c r="I1019" s="17" t="str">
        <x:v>Graduate audit pipeline</x:v>
      </x:c>
      <x:c r="J1019" s="17" t="str">
        <x:v>derived</x:v>
      </x:c>
      <x:c r="K1019" s="17" t="str">
        <x:v>2026-09-11</x:v>
      </x:c>
      <x:c r="L1019" s="17" t="str">
        <x:v>Not cycle-specific</x:v>
      </x:c>
      <x:c r="M1019" s="17" t="str">
        <x:v>low</x:v>
      </x:c>
      <x:c r="N1019" s="17" t="str">
        <x:v>Discovery evidence only</x:v>
      </x:c>
      <x:c r="O1019" s="17" t="str">
        <x:v>Use the source_record_paths field to trace the underlying discovery inputs.</x:v>
      </x:c>
      <x:c r="P1019" s="18" t="e">
        <x:f>HYPERLINK("https://www.georgiasouthern.edu","Open source")</x:f>
        <x:v>HYPERLINK is not implemented. linkLocation=https://www.georgiasouthern.edu, friendlyName=Open source</x:v>
      </x:c>
    </x:row>
    <x:row r="1020" ht="46" customHeight="1">
      <x:c r="A1020" s="17" t="str">
        <x:v>stage3src:30e52c9daa0304c24bdb</x:v>
      </x:c>
      <x:c r="B1020" s="17" t="str">
        <x:v>program</x:v>
      </x:c>
      <x:c r="C1020" s="17" t="str">
        <x:v>Georgia Southern University</x:v>
      </x:c>
      <x:c r="D1020" s="17" t="str">
        <x:v>us:ipeds:139931:program:unclear:ipeds-discovery-signal-information-technology-cip-11-0103</x:v>
      </x:c>
      <x:c r="E1020" s="17" t="str"/>
      <x:c r="F1020" s="17" t="str">
        <x:v>discovery</x:v>
      </x:c>
      <x:c r="G1020" s="17" t="str">
        <x:v>Stage 2 recorded this row as a discovery candidate; it does not independently verify an exact current research program, eligibility, or funding.</x:v>
      </x:c>
      <x:c r="H1020" s="17" t="str">
        <x:v>Pass 2 Stage 2 candidate funnel</x:v>
      </x:c>
      <x:c r="I1020" s="17" t="str">
        <x:v>Graduate audit pipeline</x:v>
      </x:c>
      <x:c r="J1020" s="17" t="str">
        <x:v>derived</x:v>
      </x:c>
      <x:c r="K1020" s="17" t="str">
        <x:v>2026-09-11</x:v>
      </x:c>
      <x:c r="L1020" s="17" t="str">
        <x:v>Not cycle-specific</x:v>
      </x:c>
      <x:c r="M1020" s="17" t="str">
        <x:v>low</x:v>
      </x:c>
      <x:c r="N1020" s="17" t="str">
        <x:v>Discovery evidence only</x:v>
      </x:c>
      <x:c r="O1020" s="17" t="str">
        <x:v>Use the source_record_paths field to trace the underlying discovery inputs.</x:v>
      </x:c>
      <x:c r="P1020" s="18" t="e">
        <x:f>HYPERLINK("https://www.georgiasouthern.edu","Open source")</x:f>
        <x:v>HYPERLINK is not implemented. linkLocation=https://www.georgiasouthern.edu, friendlyName=Open source</x:v>
      </x:c>
    </x:row>
    <x:row r="1021" ht="46" customHeight="1">
      <x:c r="A1021" s="17" t="str">
        <x:v>stage3src:19f6ae517987ae77e7bf</x:v>
      </x:c>
      <x:c r="B1021" s="17" t="str">
        <x:v>program</x:v>
      </x:c>
      <x:c r="C1021" s="17" t="str">
        <x:v>Georgia State University</x:v>
      </x:c>
      <x:c r="D1021" s="17" t="str">
        <x:v>us:ipeds:139940:program:phd:computer-science-phd</x:v>
      </x:c>
      <x:c r="E1021" s="17" t="str"/>
      <x:c r="F1021" s="17" t="str">
        <x:v>program|research|eligibility|admissions|language|funding|tuition</x:v>
      </x:c>
      <x:c r="G1021" s="17" t="str">
        <x:v>Current PhD, 3.0 GPA, foundation route, research milestones, international English rule, and competitive funding boundary.</x:v>
      </x:c>
      <x:c r="H1021" s="17" t="str">
        <x:v>Computer Science, Ph.D.</x:v>
      </x:c>
      <x:c r="I1021" s="17" t="str">
        <x:v>Georgia State University</x:v>
      </x:c>
      <x:c r="J1021" s="17" t="str">
        <x:v>official</x:v>
      </x:c>
      <x:c r="K1021" s="17" t="str">
        <x:v>2026-09-11</x:v>
      </x:c>
      <x:c r="L1021" s="17" t="str">
        <x:v>Current page checked 2026-09-11</x:v>
      </x:c>
      <x:c r="M1021" s="17" t="str">
        <x:v>high</x:v>
      </x:c>
      <x:c r="N1021" s="17" t="str">
        <x:v>official page checked</x:v>
      </x:c>
      <x:c r="O1021" s="17" t="str"/>
      <x:c r="P1021" s="18" t="e">
        <x:f>HYPERLINK("https://graduate.gsu.edu/program/computer-science-phd/","Open source")</x:f>
        <x:v>HYPERLINK is not implemented. linkLocation=https://graduate.gsu.edu/program/computer-science-phd/, friendlyName=Open source</x:v>
      </x:c>
    </x:row>
    <x:row r="1022" ht="46" customHeight="1">
      <x:c r="A1022" s="17" t="str">
        <x:v>stage3src:3e37a3a0ef90d29b943c</x:v>
      </x:c>
      <x:c r="B1022" s="17" t="str">
        <x:v>program</x:v>
      </x:c>
      <x:c r="C1022" s="17" t="str">
        <x:v>Georgia State University</x:v>
      </x:c>
      <x:c r="D1022" s="17" t="str">
        <x:v>us:ipeds:139940:program:phd:computer-science-phd</x:v>
      </x:c>
      <x:c r="E1022" s="17" t="str"/>
      <x:c r="F1022" s="17" t="str">
        <x:v>admissions|deadline|eligibility|language|funding</x:v>
      </x:c>
      <x:c r="G1022" s="17" t="str">
        <x:v>Program deadline, assistantship-priority deadline, required materials, and international evidence route.</x:v>
      </x:c>
      <x:c r="H1022" s="17" t="str">
        <x:v>Graduate Program Admissions Requirements</x:v>
      </x:c>
      <x:c r="I1022" s="17" t="str">
        <x:v>Georgia State University</x:v>
      </x:c>
      <x:c r="J1022" s="17" t="str">
        <x:v>official</x:v>
      </x:c>
      <x:c r="K1022" s="17" t="str">
        <x:v>2026-09-11</x:v>
      </x:c>
      <x:c r="L1022" s="17" t="str">
        <x:v>Current recurring cycle checked 2026-09-11</x:v>
      </x:c>
      <x:c r="M1022" s="17" t="str">
        <x:v>high</x:v>
      </x:c>
      <x:c r="N1022" s="17" t="str">
        <x:v>official page checked</x:v>
      </x:c>
      <x:c r="O1022" s="17" t="str"/>
      <x:c r="P1022" s="18" t="e">
        <x:f>HYPERLINK("https://cas.gsu.edu/graduate-admissions/graduate-program-admissions-requirements/","Open source")</x:f>
        <x:v>HYPERLINK is not implemented. linkLocation=https://cas.gsu.edu/graduate-admissions/graduate-program-admissions-requirements/, friendlyName=Open source</x:v>
      </x:c>
    </x:row>
    <x:row r="1023" ht="46" customHeight="1">
      <x:c r="A1023" s="17" t="str">
        <x:v>stage3src:9bd7e7653153e6d294b0</x:v>
      </x:c>
      <x:c r="B1023" s="17" t="str">
        <x:v>program</x:v>
      </x:c>
      <x:c r="C1023" s="17" t="str">
        <x:v>Georgia State University</x:v>
      </x:c>
      <x:c r="D1023" s="17" t="str">
        <x:v>us:ipeds:139940:program:phd:computer-science-phd</x:v>
      </x:c>
      <x:c r="E1023" s="17" t="str"/>
      <x:c r="F1023" s="17" t="str">
        <x:v>funding|tuition</x:v>
      </x:c>
      <x:c r="G1023" s="17" t="str">
        <x:v>Central assistantship mechanisms and variable appointment and waiver coverage.</x:v>
      </x:c>
      <x:c r="H1023" s="17" t="str">
        <x:v>Graduate Assistantships</x:v>
      </x:c>
      <x:c r="I1023" s="17" t="str">
        <x:v>Georgia State University</x:v>
      </x:c>
      <x:c r="J1023" s="17" t="str">
        <x:v>official</x:v>
      </x:c>
      <x:c r="K1023" s="17" t="str">
        <x:v>2026-09-11</x:v>
      </x:c>
      <x:c r="L1023" s="17" t="str">
        <x:v>Current policy checked 2026-09-11</x:v>
      </x:c>
      <x:c r="M1023" s="17" t="str">
        <x:v>high</x:v>
      </x:c>
      <x:c r="N1023" s="17" t="str">
        <x:v>official page checked</x:v>
      </x:c>
      <x:c r="O1023" s="17" t="str"/>
      <x:c r="P1023" s="18" t="e">
        <x:f>HYPERLINK("https://graduate.gsu.edu/funding/graduate-assistantships/","Open source")</x:f>
        <x:v>HYPERLINK is not implemented. linkLocation=https://graduate.gsu.edu/funding/graduate-assistantships/, friendlyName=Open source</x:v>
      </x:c>
    </x:row>
    <x:row r="1024" ht="46" customHeight="1">
      <x:c r="A1024" s="17" t="str">
        <x:v>stage3src:69faedd4bd65ce54cc11</x:v>
      </x:c>
      <x:c r="B1024" s="17" t="str">
        <x:v>program</x:v>
      </x:c>
      <x:c r="C1024" s="17" t="str">
        <x:v>Georgia State University</x:v>
      </x:c>
      <x:c r="D1024" s="17" t="str">
        <x:v>us:ipeds:139940:program:unclear:ipeds-discovery-signal-computer-and-information-sciences-general-cip-11-0101</x:v>
      </x:c>
      <x:c r="E1024" s="17" t="str"/>
      <x:c r="F1024" s="17" t="str">
        <x:v>discovery</x:v>
      </x:c>
      <x:c r="G1024" s="17" t="str">
        <x:v>Stage 2 recorded this row as a discovery candidate; it does not independently verify an exact current research program, eligibility, or funding.</x:v>
      </x:c>
      <x:c r="H1024" s="17" t="str">
        <x:v>Pass 2 Stage 2 candidate funnel</x:v>
      </x:c>
      <x:c r="I1024" s="17" t="str">
        <x:v>Graduate audit pipeline</x:v>
      </x:c>
      <x:c r="J1024" s="17" t="str">
        <x:v>derived</x:v>
      </x:c>
      <x:c r="K1024" s="17" t="str">
        <x:v>2026-09-11</x:v>
      </x:c>
      <x:c r="L1024" s="17" t="str">
        <x:v>Not cycle-specific</x:v>
      </x:c>
      <x:c r="M1024" s="17" t="str">
        <x:v>low</x:v>
      </x:c>
      <x:c r="N1024" s="17" t="str">
        <x:v>Discovery evidence only</x:v>
      </x:c>
      <x:c r="O1024" s="17" t="str">
        <x:v>Use the source_record_paths field to trace the underlying discovery inputs.</x:v>
      </x:c>
      <x:c r="P1024" s="18" t="e">
        <x:f>HYPERLINK("https://www.gsu.edu","Open source")</x:f>
        <x:v>HYPERLINK is not implemented. linkLocation=https://www.gsu.edu, friendlyName=Open source</x:v>
      </x:c>
    </x:row>
    <x:row r="1025" ht="46" customHeight="1">
      <x:c r="A1025" s="17" t="str">
        <x:v>stage3src:cb21933fd97eedb1f786</x:v>
      </x:c>
      <x:c r="B1025" s="17" t="str">
        <x:v>program</x:v>
      </x:c>
      <x:c r="C1025" s="17" t="str">
        <x:v>Georgia State University</x:v>
      </x:c>
      <x:c r="D1025" s="17" t="str">
        <x:v>us:ipeds:139940:program:unclear:ipeds-discovery-signal-computer-and-information-systems-security-auditing-information-assurance-cip-11-1003</x:v>
      </x:c>
      <x:c r="E1025" s="17" t="str"/>
      <x:c r="F1025" s="17" t="str">
        <x:v>discovery</x:v>
      </x:c>
      <x:c r="G1025" s="17" t="str">
        <x:v>Stage 2 recorded this row as a discovery candidate; it does not independently verify an exact current research program, eligibility, or funding.</x:v>
      </x:c>
      <x:c r="H1025" s="17" t="str">
        <x:v>Pass 2 Stage 2 candidate funnel</x:v>
      </x:c>
      <x:c r="I1025" s="17" t="str">
        <x:v>Graduate audit pipeline</x:v>
      </x:c>
      <x:c r="J1025" s="17" t="str">
        <x:v>derived</x:v>
      </x:c>
      <x:c r="K1025" s="17" t="str">
        <x:v>2026-09-11</x:v>
      </x:c>
      <x:c r="L1025" s="17" t="str">
        <x:v>Not cycle-specific</x:v>
      </x:c>
      <x:c r="M1025" s="17" t="str">
        <x:v>low</x:v>
      </x:c>
      <x:c r="N1025" s="17" t="str">
        <x:v>Discovery evidence only</x:v>
      </x:c>
      <x:c r="O1025" s="17" t="str">
        <x:v>Use the source_record_paths field to trace the underlying discovery inputs.</x:v>
      </x:c>
      <x:c r="P1025" s="18" t="e">
        <x:f>HYPERLINK("https://www.gsu.edu","Open source")</x:f>
        <x:v>HYPERLINK is not implemented. linkLocation=https://www.gsu.edu, friendlyName=Open source</x:v>
      </x:c>
    </x:row>
    <x:row r="1026" ht="46" customHeight="1">
      <x:c r="A1026" s="17" t="str">
        <x:v>stage3src:ca0d1565d5bb17956353</x:v>
      </x:c>
      <x:c r="B1026" s="17" t="str">
        <x:v>program</x:v>
      </x:c>
      <x:c r="C1026" s="17" t="str">
        <x:v>Georgia State University</x:v>
      </x:c>
      <x:c r="D1026" s="17" t="str">
        <x:v>us:ipeds:139940:program:unclear:ipeds-discovery-signal-computer-science-cip-11-0701</x:v>
      </x:c>
      <x:c r="E1026" s="17" t="str"/>
      <x:c r="F1026" s="17" t="str">
        <x:v>discovery</x:v>
      </x:c>
      <x:c r="G1026" s="17" t="str">
        <x:v>Stage 2 recorded this row as a discovery candidate; it does not independently verify an exact current research program, eligibility, or funding.</x:v>
      </x:c>
      <x:c r="H1026" s="17" t="str">
        <x:v>Pass 2 Stage 2 candidate funnel</x:v>
      </x:c>
      <x:c r="I1026" s="17" t="str">
        <x:v>Graduate audit pipeline</x:v>
      </x:c>
      <x:c r="J1026" s="17" t="str">
        <x:v>derived</x:v>
      </x:c>
      <x:c r="K1026" s="17" t="str">
        <x:v>2026-09-11</x:v>
      </x:c>
      <x:c r="L1026" s="17" t="str">
        <x:v>Not cycle-specific</x:v>
      </x:c>
      <x:c r="M1026" s="17" t="str">
        <x:v>low</x:v>
      </x:c>
      <x:c r="N1026" s="17" t="str">
        <x:v>Discovery evidence only</x:v>
      </x:c>
      <x:c r="O1026" s="17" t="str">
        <x:v>Use the source_record_paths field to trace the underlying discovery inputs.</x:v>
      </x:c>
      <x:c r="P1026" s="18" t="e">
        <x:f>HYPERLINK("https://www.gsu.edu","Open source")</x:f>
        <x:v>HYPERLINK is not implemented. linkLocation=https://www.gsu.edu, friendlyName=Open source</x:v>
      </x:c>
    </x:row>
    <x:row r="1027" ht="46" customHeight="1">
      <x:c r="A1027" s="17" t="str">
        <x:v>stage3src:209a87bb5615605ec2ed</x:v>
      </x:c>
      <x:c r="B1027" s="17" t="str">
        <x:v>program</x:v>
      </x:c>
      <x:c r="C1027" s="17" t="str">
        <x:v>University of Georgia</x:v>
      </x:c>
      <x:c r="D1027" s="17" t="str">
        <x:v>us:ipeds:139959:program:phd:doctor-of-philosophy-in-computer-science</x:v>
      </x:c>
      <x:c r="E1027" s="17" t="str"/>
      <x:c r="F1027" s="17" t="str">
        <x:v>admissions|eligibility|language|deadline|fees</x:v>
      </x:c>
      <x:c r="G1027" s="17" t="str">
        <x:v>Fall 2027 international deadline, English rules, fee requirement, and no-waiver statement.</x:v>
      </x:c>
      <x:c r="H1027" s="17" t="str">
        <x:v>Graduate Admissions</x:v>
      </x:c>
      <x:c r="I1027" s="17" t="str">
        <x:v>University of Georgia</x:v>
      </x:c>
      <x:c r="J1027" s="17" t="str">
        <x:v>official</x:v>
      </x:c>
      <x:c r="K1027" s="17" t="str">
        <x:v>2026-09-11</x:v>
      </x:c>
      <x:c r="L1027" s="17" t="str">
        <x:v>Explicit Fall 2027 cycle checked 2026-09-11</x:v>
      </x:c>
      <x:c r="M1027" s="17" t="str">
        <x:v>high</x:v>
      </x:c>
      <x:c r="N1027" s="17" t="str">
        <x:v>official page checked</x:v>
      </x:c>
      <x:c r="O1027" s="17" t="str"/>
      <x:c r="P1027" s="18" t="e">
        <x:f>HYPERLINK("https://www.cs.uga.edu/graduate-admissions","Open source")</x:f>
        <x:v>HYPERLINK is not implemented. linkLocation=https://www.cs.uga.edu/graduate-admissions, friendlyName=Open source</x:v>
      </x:c>
    </x:row>
    <x:row r="1028" ht="46" customHeight="1">
      <x:c r="A1028" s="17" t="str">
        <x:v>stage3src:acf61b47ceb11e446ea7</x:v>
      </x:c>
      <x:c r="B1028" s="17" t="str">
        <x:v>program</x:v>
      </x:c>
      <x:c r="C1028" s="17" t="str">
        <x:v>University of Georgia</x:v>
      </x:c>
      <x:c r="D1028" s="17" t="str">
        <x:v>us:ipeds:139959:program:phd:doctor-of-philosophy-in-computer-science</x:v>
      </x:c>
      <x:c r="E1028" s="17" t="str"/>
      <x:c r="F1028" s="17" t="str">
        <x:v>program|research|eligibility</x:v>
      </x:c>
      <x:c r="G1028" s="17" t="str">
        <x:v>Current Computer Science PhD, bachelor's-entry route, curriculum, and dissertation requirement.</x:v>
      </x:c>
      <x:c r="H1028" s="17" t="str">
        <x:v>Doctor of Philosophy in Computer Science</x:v>
      </x:c>
      <x:c r="I1028" s="17" t="str">
        <x:v>University of Georgia</x:v>
      </x:c>
      <x:c r="J1028" s="17" t="str">
        <x:v>official</x:v>
      </x:c>
      <x:c r="K1028" s="17" t="str">
        <x:v>2026-09-11</x:v>
      </x:c>
      <x:c r="L1028" s="17" t="str">
        <x:v>Current page checked 2026-09-11</x:v>
      </x:c>
      <x:c r="M1028" s="17" t="str">
        <x:v>high</x:v>
      </x:c>
      <x:c r="N1028" s="17" t="str">
        <x:v>official page checked</x:v>
      </x:c>
      <x:c r="O1028" s="17" t="str"/>
      <x:c r="P1028" s="18" t="e">
        <x:f>HYPERLINK("https://www.cs.uga.edu/doctor-philosophy-computer-science","Open source")</x:f>
        <x:v>HYPERLINK is not implemented. linkLocation=https://www.cs.uga.edu/doctor-philosophy-computer-science, friendlyName=Open source</x:v>
      </x:c>
    </x:row>
    <x:row r="1029" ht="46" customHeight="1">
      <x:c r="A1029" s="17" t="str">
        <x:v>stage3src:b9771f586c860d0b67d8</x:v>
      </x:c>
      <x:c r="B1029" s="17" t="str">
        <x:v>program</x:v>
      </x:c>
      <x:c r="C1029" s="17" t="str">
        <x:v>University of Georgia</x:v>
      </x:c>
      <x:c r="D1029" s="17" t="str">
        <x:v>us:ipeds:139959:program:phd:doctor-of-philosophy-in-computer-science</x:v>
      </x:c>
      <x:c r="E1029" s="17" t="str"/>
      <x:c r="F1029" s="17" t="str">
        <x:v>funding|tuition|summer|language</x:v>
      </x:c>
      <x:c r="G1029" s="17" t="str">
        <x:v>Separate TA/RA process, PhD priority, limited summer positions, English conditions, and award boundaries.</x:v>
      </x:c>
      <x:c r="H1029" s="17" t="str">
        <x:v>Graduate Financial Assistance</x:v>
      </x:c>
      <x:c r="I1029" s="17" t="str">
        <x:v>University of Georgia</x:v>
      </x:c>
      <x:c r="J1029" s="17" t="str">
        <x:v>official</x:v>
      </x:c>
      <x:c r="K1029" s="17" t="str">
        <x:v>2026-09-11</x:v>
      </x:c>
      <x:c r="L1029" s="17" t="str">
        <x:v>Spring 2027 and current policy checked 2026-09-11</x:v>
      </x:c>
      <x:c r="M1029" s="17" t="str">
        <x:v>high</x:v>
      </x:c>
      <x:c r="N1029" s="17" t="str">
        <x:v>official page checked</x:v>
      </x:c>
      <x:c r="O1029" s="17" t="str"/>
      <x:c r="P1029" s="18" t="e">
        <x:f>HYPERLINK("https://www.cs.uga.edu/graduate-financial-assistance","Open source")</x:f>
        <x:v>HYPERLINK is not implemented. linkLocation=https://www.cs.uga.edu/graduate-financial-assistance, friendlyName=Open source</x:v>
      </x:c>
    </x:row>
    <x:row r="1030" ht="46" customHeight="1">
      <x:c r="A1030" s="17" t="str">
        <x:v>stage3src:365fe8a80bbd0b249f8a</x:v>
      </x:c>
      <x:c r="B1030" s="17" t="str">
        <x:v>program</x:v>
      </x:c>
      <x:c r="C1030" s="17" t="str">
        <x:v>University of Georgia</x:v>
      </x:c>
      <x:c r="D1030" s="17" t="str">
        <x:v>us:ipeds:139959:program:unclear:ipeds-discovery-signal-artificial-intelligence-cip-11-0102</x:v>
      </x:c>
      <x:c r="E1030" s="17" t="str"/>
      <x:c r="F1030" s="17" t="str">
        <x:v>discovery</x:v>
      </x:c>
      <x:c r="G1030" s="17" t="str">
        <x:v>Stage 2 recorded this row as a discovery candidate; it does not independently verify an exact current research program, eligibility, or funding.</x:v>
      </x:c>
      <x:c r="H1030" s="17" t="str">
        <x:v>Pass 2 Stage 2 candidate funnel</x:v>
      </x:c>
      <x:c r="I1030" s="17" t="str">
        <x:v>Graduate audit pipeline</x:v>
      </x:c>
      <x:c r="J1030" s="17" t="str">
        <x:v>derived</x:v>
      </x:c>
      <x:c r="K1030" s="17" t="str">
        <x:v>2026-09-11</x:v>
      </x:c>
      <x:c r="L1030" s="17" t="str">
        <x:v>Not cycle-specific</x:v>
      </x:c>
      <x:c r="M1030" s="17" t="str">
        <x:v>low</x:v>
      </x:c>
      <x:c r="N1030" s="17" t="str">
        <x:v>Discovery evidence only</x:v>
      </x:c>
      <x:c r="O1030" s="17" t="str">
        <x:v>Use the source_record_paths field to trace the underlying discovery inputs.</x:v>
      </x:c>
      <x:c r="P1030" s="18" t="e">
        <x:f>HYPERLINK("https://www.uga.edu","Open source")</x:f>
        <x:v>HYPERLINK is not implemented. linkLocation=https://www.uga.edu, friendlyName=Open source</x:v>
      </x:c>
    </x:row>
    <x:row r="1031" ht="46" customHeight="1">
      <x:c r="A1031" s="17" t="str">
        <x:v>stage3src:c46ce33e1983c473f926</x:v>
      </x:c>
      <x:c r="B1031" s="17" t="str">
        <x:v>program</x:v>
      </x:c>
      <x:c r="C1031" s="17" t="str">
        <x:v>University of Georgia</x:v>
      </x:c>
      <x:c r="D1031" s="17" t="str">
        <x:v>us:ipeds:139959:program:unclear:ipeds-discovery-signal-computer-and-information-systems-security-auditing-information-assurance-cip-11-1003</x:v>
      </x:c>
      <x:c r="E1031" s="17" t="str"/>
      <x:c r="F1031" s="17" t="str">
        <x:v>discovery</x:v>
      </x:c>
      <x:c r="G1031" s="17" t="str">
        <x:v>Stage 2 recorded this row as a discovery candidate; it does not independently verify an exact current research program, eligibility, or funding.</x:v>
      </x:c>
      <x:c r="H1031" s="17" t="str">
        <x:v>Pass 2 Stage 2 candidate funnel</x:v>
      </x:c>
      <x:c r="I1031" s="17" t="str">
        <x:v>Graduate audit pipeline</x:v>
      </x:c>
      <x:c r="J1031" s="17" t="str">
        <x:v>derived</x:v>
      </x:c>
      <x:c r="K1031" s="17" t="str">
        <x:v>2026-09-11</x:v>
      </x:c>
      <x:c r="L1031" s="17" t="str">
        <x:v>Not cycle-specific</x:v>
      </x:c>
      <x:c r="M1031" s="17" t="str">
        <x:v>low</x:v>
      </x:c>
      <x:c r="N1031" s="17" t="str">
        <x:v>Discovery evidence only</x:v>
      </x:c>
      <x:c r="O1031" s="17" t="str">
        <x:v>Use the source_record_paths field to trace the underlying discovery inputs.</x:v>
      </x:c>
      <x:c r="P1031" s="18" t="e">
        <x:f>HYPERLINK("https://www.uga.edu","Open source")</x:f>
        <x:v>HYPERLINK is not implemented. linkLocation=https://www.uga.edu, friendlyName=Open source</x:v>
      </x:c>
    </x:row>
    <x:row r="1032" ht="46" customHeight="1">
      <x:c r="A1032" s="17" t="str">
        <x:v>stage3src:dba511d4a1aa30beff7d</x:v>
      </x:c>
      <x:c r="B1032" s="17" t="str">
        <x:v>program</x:v>
      </x:c>
      <x:c r="C1032" s="17" t="str">
        <x:v>University of Georgia</x:v>
      </x:c>
      <x:c r="D1032" s="17" t="str">
        <x:v>us:ipeds:139959:program:unclear:ipeds-discovery-signal-computer-science-cip-11-0701</x:v>
      </x:c>
      <x:c r="E1032" s="17" t="str"/>
      <x:c r="F1032" s="17" t="str">
        <x:v>discovery</x:v>
      </x:c>
      <x:c r="G1032" s="17" t="str">
        <x:v>Stage 2 recorded this row as a discovery candidate; it does not independently verify an exact current research program, eligibility, or funding.</x:v>
      </x:c>
      <x:c r="H1032" s="17" t="str">
        <x:v>Pass 2 Stage 2 candidate funnel</x:v>
      </x:c>
      <x:c r="I1032" s="17" t="str">
        <x:v>Graduate audit pipeline</x:v>
      </x:c>
      <x:c r="J1032" s="17" t="str">
        <x:v>derived</x:v>
      </x:c>
      <x:c r="K1032" s="17" t="str">
        <x:v>2026-09-11</x:v>
      </x:c>
      <x:c r="L1032" s="17" t="str">
        <x:v>Not cycle-specific</x:v>
      </x:c>
      <x:c r="M1032" s="17" t="str">
        <x:v>low</x:v>
      </x:c>
      <x:c r="N1032" s="17" t="str">
        <x:v>Discovery evidence only</x:v>
      </x:c>
      <x:c r="O1032" s="17" t="str">
        <x:v>Use the source_record_paths field to trace the underlying discovery inputs.</x:v>
      </x:c>
      <x:c r="P1032" s="18" t="e">
        <x:f>HYPERLINK("https://www.uga.edu","Open source")</x:f>
        <x:v>HYPERLINK is not implemented. linkLocation=https://www.uga.edu, friendlyName=Open source</x:v>
      </x:c>
    </x:row>
    <x:row r="1033" ht="46" customHeight="1">
      <x:c r="A1033" s="17" t="str">
        <x:v>stage3src:f6040ecb7d73aad9458d</x:v>
      </x:c>
      <x:c r="B1033" s="17" t="str">
        <x:v>program</x:v>
      </x:c>
      <x:c r="C1033" s="17" t="str">
        <x:v>Mercer University</x:v>
      </x:c>
      <x:c r="D1033" s="17" t="str">
        <x:v>us:ipeds:140447:program:unclear:ipeds-discovery-signal-computer-and-information-systems-security-auditing-information-assurance-cip-11-1003</x:v>
      </x:c>
      <x:c r="E1033" s="17" t="str"/>
      <x:c r="F1033" s="17" t="str">
        <x:v>discovery</x:v>
      </x:c>
      <x:c r="G1033" s="17" t="str">
        <x:v>Stage 2 recorded this row as a discovery candidate; it does not independently verify an exact current research program, eligibility, or funding.</x:v>
      </x:c>
      <x:c r="H1033" s="17" t="str">
        <x:v>Pass 2 Stage 2 candidate funnel</x:v>
      </x:c>
      <x:c r="I1033" s="17" t="str">
        <x:v>Graduate audit pipeline</x:v>
      </x:c>
      <x:c r="J1033" s="17" t="str">
        <x:v>derived</x:v>
      </x:c>
      <x:c r="K1033" s="17" t="str">
        <x:v>2026-09-11</x:v>
      </x:c>
      <x:c r="L1033" s="17" t="str">
        <x:v>Not cycle-specific</x:v>
      </x:c>
      <x:c r="M1033" s="17" t="str">
        <x:v>low</x:v>
      </x:c>
      <x:c r="N1033" s="17" t="str">
        <x:v>Discovery evidence only</x:v>
      </x:c>
      <x:c r="O1033" s="17" t="str">
        <x:v>Use the source_record_paths field to trace the underlying discovery inputs.</x:v>
      </x:c>
      <x:c r="P1033" s="18" t="e">
        <x:f>HYPERLINK("https://www.mercer.edu","Open source")</x:f>
        <x:v>HYPERLINK is not implemented. linkLocation=https://www.mercer.edu, friendlyName=Open source</x:v>
      </x:c>
    </x:row>
    <x:row r="1034" ht="46" customHeight="1">
      <x:c r="A1034" s="17" t="str">
        <x:v>stage3src:607454df04a7477ccf9c</x:v>
      </x:c>
      <x:c r="B1034" s="17" t="str">
        <x:v>program</x:v>
      </x:c>
      <x:c r="C1034" s="17" t="str">
        <x:v>Mercer University</x:v>
      </x:c>
      <x:c r="D1034" s="17" t="str">
        <x:v>us:ipeds:140447:program:unclear:ipeds-discovery-signal-computer-engineering-general-cip-14-0901</x:v>
      </x:c>
      <x:c r="E1034" s="17" t="str"/>
      <x:c r="F1034" s="17" t="str">
        <x:v>discovery</x:v>
      </x:c>
      <x:c r="G1034" s="17" t="str">
        <x:v>Stage 2 recorded this row as a discovery candidate; it does not independently verify an exact current research program, eligibility, or funding.</x:v>
      </x:c>
      <x:c r="H1034" s="17" t="str">
        <x:v>Pass 2 Stage 2 candidate funnel</x:v>
      </x:c>
      <x:c r="I1034" s="17" t="str">
        <x:v>Graduate audit pipeline</x:v>
      </x:c>
      <x:c r="J1034" s="17" t="str">
        <x:v>derived</x:v>
      </x:c>
      <x:c r="K1034" s="17" t="str">
        <x:v>2026-09-11</x:v>
      </x:c>
      <x:c r="L1034" s="17" t="str">
        <x:v>Not cycle-specific</x:v>
      </x:c>
      <x:c r="M1034" s="17" t="str">
        <x:v>low</x:v>
      </x:c>
      <x:c r="N1034" s="17" t="str">
        <x:v>Discovery evidence only</x:v>
      </x:c>
      <x:c r="O1034" s="17" t="str">
        <x:v>Use the source_record_paths field to trace the underlying discovery inputs.</x:v>
      </x:c>
      <x:c r="P1034" s="18" t="e">
        <x:f>HYPERLINK("https://www.mercer.edu","Open source")</x:f>
        <x:v>HYPERLINK is not implemented. linkLocation=https://www.mercer.edu, friendlyName=Open source</x:v>
      </x:c>
    </x:row>
    <x:row r="1035" ht="46" customHeight="1">
      <x:c r="A1035" s="17" t="str">
        <x:v>stage3src:f953efc205ee82d9013c</x:v>
      </x:c>
      <x:c r="B1035" s="17" t="str">
        <x:v>program</x:v>
      </x:c>
      <x:c r="C1035" s="17" t="str">
        <x:v>Mercer University</x:v>
      </x:c>
      <x:c r="D1035" s="17" t="str">
        <x:v>us:ipeds:140447:program:unclear:ipeds-discovery-signal-computer-software-engineering-cip-14-0903</x:v>
      </x:c>
      <x:c r="E1035" s="17" t="str"/>
      <x:c r="F1035" s="17" t="str">
        <x:v>discovery</x:v>
      </x:c>
      <x:c r="G1035" s="17" t="str">
        <x:v>Stage 2 recorded this row as a discovery candidate; it does not independently verify an exact current research program, eligibility, or funding.</x:v>
      </x:c>
      <x:c r="H1035" s="17" t="str">
        <x:v>Pass 2 Stage 2 candidate funnel</x:v>
      </x:c>
      <x:c r="I1035" s="17" t="str">
        <x:v>Graduate audit pipeline</x:v>
      </x:c>
      <x:c r="J1035" s="17" t="str">
        <x:v>derived</x:v>
      </x:c>
      <x:c r="K1035" s="17" t="str">
        <x:v>2026-09-11</x:v>
      </x:c>
      <x:c r="L1035" s="17" t="str">
        <x:v>Not cycle-specific</x:v>
      </x:c>
      <x:c r="M1035" s="17" t="str">
        <x:v>low</x:v>
      </x:c>
      <x:c r="N1035" s="17" t="str">
        <x:v>Discovery evidence only</x:v>
      </x:c>
      <x:c r="O1035" s="17" t="str">
        <x:v>Use the source_record_paths field to trace the underlying discovery inputs.</x:v>
      </x:c>
      <x:c r="P1035" s="18" t="e">
        <x:f>HYPERLINK("https://www.mercer.edu","Open source")</x:f>
        <x:v>HYPERLINK is not implemented. linkLocation=https://www.mercer.edu, friendlyName=Open source</x:v>
      </x:c>
    </x:row>
    <x:row r="1036" ht="46" customHeight="1">
      <x:c r="A1036" s="17" t="str">
        <x:v>stage3src:3bc9a4b6c20e3368f330</x:v>
      </x:c>
      <x:c r="B1036" s="17" t="str">
        <x:v>program</x:v>
      </x:c>
      <x:c r="C1036" s="17" t="str">
        <x:v>Mercer University</x:v>
      </x:c>
      <x:c r="D1036" s="17" t="str">
        <x:v>us:ipeds:140447:program:unclear:ipeds-discovery-signal-electrical-and-electronics-engineering-cip-14-1001</x:v>
      </x:c>
      <x:c r="E1036" s="17" t="str"/>
      <x:c r="F1036" s="17" t="str">
        <x:v>discovery</x:v>
      </x:c>
      <x:c r="G1036" s="17" t="str">
        <x:v>Stage 2 recorded this row as a discovery candidate; it does not independently verify an exact current research program, eligibility, or funding.</x:v>
      </x:c>
      <x:c r="H1036" s="17" t="str">
        <x:v>Pass 2 Stage 2 candidate funnel</x:v>
      </x:c>
      <x:c r="I1036" s="17" t="str">
        <x:v>Graduate audit pipeline</x:v>
      </x:c>
      <x:c r="J1036" s="17" t="str">
        <x:v>derived</x:v>
      </x:c>
      <x:c r="K1036" s="17" t="str">
        <x:v>2026-09-11</x:v>
      </x:c>
      <x:c r="L1036" s="17" t="str">
        <x:v>Not cycle-specific</x:v>
      </x:c>
      <x:c r="M1036" s="17" t="str">
        <x:v>low</x:v>
      </x:c>
      <x:c r="N1036" s="17" t="str">
        <x:v>Discovery evidence only</x:v>
      </x:c>
      <x:c r="O1036" s="17" t="str">
        <x:v>Use the source_record_paths field to trace the underlying discovery inputs.</x:v>
      </x:c>
      <x:c r="P1036" s="18" t="e">
        <x:f>HYPERLINK("https://www.mercer.edu","Open source")</x:f>
        <x:v>HYPERLINK is not implemented. linkLocation=https://www.mercer.edu, friendlyName=Open source</x:v>
      </x:c>
    </x:row>
    <x:row r="1037" ht="46" customHeight="1">
      <x:c r="A1037" s="17" t="str">
        <x:v>stage3src:fcdce514738321523784</x:v>
      </x:c>
      <x:c r="B1037" s="17" t="str">
        <x:v>program</x:v>
      </x:c>
      <x:c r="C1037" s="17" t="str">
        <x:v>University of West Georgia</x:v>
      </x:c>
      <x:c r="D1037" s="17" t="str">
        <x:v>us:ipeds:141334:program:unclear:ipeds-discovery-signal-computer-science-cip-11-0701</x:v>
      </x:c>
      <x:c r="E1037" s="17" t="str"/>
      <x:c r="F1037" s="17" t="str">
        <x:v>discovery</x:v>
      </x:c>
      <x:c r="G1037" s="17" t="str">
        <x:v>Stage 2 recorded this row as a discovery candidate; it does not independently verify an exact current research program, eligibility, or funding.</x:v>
      </x:c>
      <x:c r="H1037" s="17" t="str">
        <x:v>Pass 2 Stage 2 candidate funnel</x:v>
      </x:c>
      <x:c r="I1037" s="17" t="str">
        <x:v>Graduate audit pipeline</x:v>
      </x:c>
      <x:c r="J1037" s="17" t="str">
        <x:v>derived</x:v>
      </x:c>
      <x:c r="K1037" s="17" t="str">
        <x:v>2026-09-11</x:v>
      </x:c>
      <x:c r="L1037" s="17" t="str">
        <x:v>Not cycle-specific</x:v>
      </x:c>
      <x:c r="M1037" s="17" t="str">
        <x:v>low</x:v>
      </x:c>
      <x:c r="N1037" s="17" t="str">
        <x:v>Discovery evidence only</x:v>
      </x:c>
      <x:c r="O1037" s="17" t="str">
        <x:v>Use the source_record_paths field to trace the underlying discovery inputs.</x:v>
      </x:c>
      <x:c r="P1037" s="18" t="e">
        <x:f>HYPERLINK("https://www.westga.edu","Open source")</x:f>
        <x:v>HYPERLINK is not implemented. linkLocation=https://www.westga.edu, friendlyName=Open source</x:v>
      </x:c>
    </x:row>
    <x:row r="1038" ht="46" customHeight="1">
      <x:c r="A1038" s="17" t="str">
        <x:v>stage3src:622db6362a1218e377b4</x:v>
      </x:c>
      <x:c r="B1038" s="17" t="str">
        <x:v>program</x:v>
      </x:c>
      <x:c r="C1038" s="17" t="str">
        <x:v>University of Hawaii at Manoa</x:v>
      </x:c>
      <x:c r="D1038" s="17" t="str">
        <x:v>us:ipeds:141574:program:unclear:ipeds-discovery-signal-computer-science-cip-11-0701</x:v>
      </x:c>
      <x:c r="E1038" s="17" t="str"/>
      <x:c r="F1038" s="17" t="str">
        <x:v>discovery</x:v>
      </x:c>
      <x:c r="G1038" s="17" t="str">
        <x:v>Stage 2 recorded this row as a discovery candidate; it does not independently verify an exact current research program, eligibility, or funding.</x:v>
      </x:c>
      <x:c r="H1038" s="17" t="str">
        <x:v>Pass 2 Stage 2 candidate funnel</x:v>
      </x:c>
      <x:c r="I1038" s="17" t="str">
        <x:v>Graduate audit pipeline</x:v>
      </x:c>
      <x:c r="J1038" s="17" t="str">
        <x:v>derived</x:v>
      </x:c>
      <x:c r="K1038" s="17" t="str">
        <x:v>2026-09-11</x:v>
      </x:c>
      <x:c r="L1038" s="17" t="str">
        <x:v>Not cycle-specific</x:v>
      </x:c>
      <x:c r="M1038" s="17" t="str">
        <x:v>low</x:v>
      </x:c>
      <x:c r="N1038" s="17" t="str">
        <x:v>Discovery evidence only</x:v>
      </x:c>
      <x:c r="O1038" s="17" t="str">
        <x:v>Use the source_record_paths field to trace the underlying discovery inputs.</x:v>
      </x:c>
      <x:c r="P1038" s="18" t="e">
        <x:f>HYPERLINK("https://manoa.hawaii.edu","Open source")</x:f>
        <x:v>HYPERLINK is not implemented. linkLocation=https://manoa.hawaii.edu, friendlyName=Open source</x:v>
      </x:c>
    </x:row>
    <x:row r="1039" ht="46" customHeight="1">
      <x:c r="A1039" s="17" t="str">
        <x:v>stage3src:f6242a0583d2ed32a892</x:v>
      </x:c>
      <x:c r="B1039" s="17" t="str">
        <x:v>program</x:v>
      </x:c>
      <x:c r="C1039" s="17" t="str">
        <x:v>University of Hawaii at Manoa</x:v>
      </x:c>
      <x:c r="D1039" s="17" t="str">
        <x:v>us:ipeds:141574:program:unclear:ipeds-discovery-signal-electrical-and-electronics-engineering-cip-14-1001</x:v>
      </x:c>
      <x:c r="E1039" s="17" t="str"/>
      <x:c r="F1039" s="17" t="str">
        <x:v>discovery</x:v>
      </x:c>
      <x:c r="G1039" s="17" t="str">
        <x:v>Stage 2 recorded this row as a discovery candidate; it does not independently verify an exact current research program, eligibility, or funding.</x:v>
      </x:c>
      <x:c r="H1039" s="17" t="str">
        <x:v>Pass 2 Stage 2 candidate funnel</x:v>
      </x:c>
      <x:c r="I1039" s="17" t="str">
        <x:v>Graduate audit pipeline</x:v>
      </x:c>
      <x:c r="J1039" s="17" t="str">
        <x:v>derived</x:v>
      </x:c>
      <x:c r="K1039" s="17" t="str">
        <x:v>2026-09-11</x:v>
      </x:c>
      <x:c r="L1039" s="17" t="str">
        <x:v>Not cycle-specific</x:v>
      </x:c>
      <x:c r="M1039" s="17" t="str">
        <x:v>low</x:v>
      </x:c>
      <x:c r="N1039" s="17" t="str">
        <x:v>Discovery evidence only</x:v>
      </x:c>
      <x:c r="O1039" s="17" t="str">
        <x:v>Use the source_record_paths field to trace the underlying discovery inputs.</x:v>
      </x:c>
      <x:c r="P1039" s="18" t="e">
        <x:f>HYPERLINK("https://manoa.hawaii.edu","Open source")</x:f>
        <x:v>HYPERLINK is not implemented. linkLocation=https://manoa.hawaii.edu, friendlyName=Open source</x:v>
      </x:c>
    </x:row>
    <x:row r="1040" ht="46" customHeight="1">
      <x:c r="A1040" s="17" t="str">
        <x:v>stage3src:e2cabcb83b8514f19661</x:v>
      </x:c>
      <x:c r="B1040" s="17" t="str">
        <x:v>program</x:v>
      </x:c>
      <x:c r="C1040" s="17" t="str">
        <x:v>University of Hawaii at Manoa</x:v>
      </x:c>
      <x:c r="D1040" s="17" t="str">
        <x:v>us:ipeds:141574:program:unclear:ipeds-discovery-signal-information-science-studies-cip-11-0401</x:v>
      </x:c>
      <x:c r="E1040" s="17" t="str"/>
      <x:c r="F1040" s="17" t="str">
        <x:v>discovery</x:v>
      </x:c>
      <x:c r="G1040" s="17" t="str">
        <x:v>Stage 2 recorded this row as a discovery candidate; it does not independently verify an exact current research program, eligibility, or funding.</x:v>
      </x:c>
      <x:c r="H1040" s="17" t="str">
        <x:v>Pass 2 Stage 2 candidate funnel</x:v>
      </x:c>
      <x:c r="I1040" s="17" t="str">
        <x:v>Graduate audit pipeline</x:v>
      </x:c>
      <x:c r="J1040" s="17" t="str">
        <x:v>derived</x:v>
      </x:c>
      <x:c r="K1040" s="17" t="str">
        <x:v>2026-09-11</x:v>
      </x:c>
      <x:c r="L1040" s="17" t="str">
        <x:v>Not cycle-specific</x:v>
      </x:c>
      <x:c r="M1040" s="17" t="str">
        <x:v>low</x:v>
      </x:c>
      <x:c r="N1040" s="17" t="str">
        <x:v>Discovery evidence only</x:v>
      </x:c>
      <x:c r="O1040" s="17" t="str">
        <x:v>Use the source_record_paths field to trace the underlying discovery inputs.</x:v>
      </x:c>
      <x:c r="P1040" s="18" t="e">
        <x:f>HYPERLINK("https://manoa.hawaii.edu","Open source")</x:f>
        <x:v>HYPERLINK is not implemented. linkLocation=https://manoa.hawaii.edu, friendlyName=Open source</x:v>
      </x:c>
    </x:row>
    <x:row r="1041" ht="46" customHeight="1">
      <x:c r="A1041" s="17" t="str">
        <x:v>stage3src:fbda73a56a729678386c</x:v>
      </x:c>
      <x:c r="B1041" s="17" t="str">
        <x:v>program</x:v>
      </x:c>
      <x:c r="C1041" s="17" t="str">
        <x:v>University of Hawaii at Manoa</x:v>
      </x:c>
      <x:c r="D1041" s="17" t="str">
        <x:v>us:ipeds:141574:program:unclear:ipeds-discovery-signal-information-technology-cip-11-0103</x:v>
      </x:c>
      <x:c r="E1041" s="17" t="str"/>
      <x:c r="F1041" s="17" t="str">
        <x:v>discovery</x:v>
      </x:c>
      <x:c r="G1041" s="17" t="str">
        <x:v>Stage 2 recorded this row as a discovery candidate; it does not independently verify an exact current research program, eligibility, or funding.</x:v>
      </x:c>
      <x:c r="H1041" s="17" t="str">
        <x:v>Pass 2 Stage 2 candidate funnel</x:v>
      </x:c>
      <x:c r="I1041" s="17" t="str">
        <x:v>Graduate audit pipeline</x:v>
      </x:c>
      <x:c r="J1041" s="17" t="str">
        <x:v>derived</x:v>
      </x:c>
      <x:c r="K1041" s="17" t="str">
        <x:v>2026-09-11</x:v>
      </x:c>
      <x:c r="L1041" s="17" t="str">
        <x:v>Not cycle-specific</x:v>
      </x:c>
      <x:c r="M1041" s="17" t="str">
        <x:v>low</x:v>
      </x:c>
      <x:c r="N1041" s="17" t="str">
        <x:v>Discovery evidence only</x:v>
      </x:c>
      <x:c r="O1041" s="17" t="str">
        <x:v>Use the source_record_paths field to trace the underlying discovery inputs.</x:v>
      </x:c>
      <x:c r="P1041" s="18" t="e">
        <x:f>HYPERLINK("https://manoa.hawaii.edu","Open source")</x:f>
        <x:v>HYPERLINK is not implemented. linkLocation=https://manoa.hawaii.edu, friendlyName=Open source</x:v>
      </x:c>
    </x:row>
    <x:row r="1042" ht="46" customHeight="1">
      <x:c r="A1042" s="17" t="str">
        <x:v>stage3src:c16b0c6d8012d5d5be47</x:v>
      </x:c>
      <x:c r="B1042" s="17" t="str">
        <x:v>program</x:v>
      </x:c>
      <x:c r="C1042" s="17" t="str">
        <x:v>Hawaii Pacific University</x:v>
      </x:c>
      <x:c r="D1042" s="17" t="str">
        <x:v>us:ipeds:141644:program:unclear:ipeds-discovery-signal-information-science-studies-cip-11-0401</x:v>
      </x:c>
      <x:c r="E1042" s="17" t="str"/>
      <x:c r="F1042" s="17" t="str">
        <x:v>discovery</x:v>
      </x:c>
      <x:c r="G1042" s="17" t="str">
        <x:v>Stage 2 recorded this row as a discovery candidate; it does not independently verify an exact current research program, eligibility, or funding.</x:v>
      </x:c>
      <x:c r="H1042" s="17" t="str">
        <x:v>Pass 2 Stage 2 candidate funnel</x:v>
      </x:c>
      <x:c r="I1042" s="17" t="str">
        <x:v>Graduate audit pipeline</x:v>
      </x:c>
      <x:c r="J1042" s="17" t="str">
        <x:v>derived</x:v>
      </x:c>
      <x:c r="K1042" s="17" t="str">
        <x:v>2026-09-11</x:v>
      </x:c>
      <x:c r="L1042" s="17" t="str">
        <x:v>Not cycle-specific</x:v>
      </x:c>
      <x:c r="M1042" s="17" t="str">
        <x:v>low</x:v>
      </x:c>
      <x:c r="N1042" s="17" t="str">
        <x:v>Discovery evidence only</x:v>
      </x:c>
      <x:c r="O1042" s="17" t="str">
        <x:v>Use the source_record_paths field to trace the underlying discovery inputs.</x:v>
      </x:c>
      <x:c r="P1042" s="18" t="e">
        <x:f>HYPERLINK("https://www.hpu.edu","Open source")</x:f>
        <x:v>HYPERLINK is not implemented. linkLocation=https://www.hpu.edu, friendlyName=Open source</x:v>
      </x:c>
    </x:row>
    <x:row r="1043" ht="46" customHeight="1">
      <x:c r="A1043" s="17" t="str">
        <x:v>stage3src:01392ca6b1e392d66a46</x:v>
      </x:c>
      <x:c r="B1043" s="17" t="str">
        <x:v>program</x:v>
      </x:c>
      <x:c r="C1043" s="17" t="str">
        <x:v>Boise State University</x:v>
      </x:c>
      <x:c r="D1043" s="17" t="str">
        <x:v>us:ipeds:142115:program:phd:computing-phd-computer-science-or-cybersecurity-emphasis</x:v>
      </x:c>
      <x:c r="E1043" s="17" t="str"/>
      <x:c r="F1043" s="17" t="str">
        <x:v>program|admissions|eligibility</x:v>
      </x:c>
      <x:c r="G1043" s="17" t="str">
        <x:v>Bachelor's entry, programming preparation, GPA expectations, required application materials, and emphasis-specific review.</x:v>
      </x:c>
      <x:c r="H1043" s="17" t="str">
        <x:v>Doctoral Application</x:v>
      </x:c>
      <x:c r="I1043" s="17" t="str">
        <x:v>Boise State University School of Computing</x:v>
      </x:c>
      <x:c r="J1043" s="17" t="str">
        <x:v>official</x:v>
      </x:c>
      <x:c r="K1043" s="17" t="str">
        <x:v>2026-09-10</x:v>
      </x:c>
      <x:c r="L1043" s="17" t="str">
        <x:v>Current guidance checked 2026-09-10</x:v>
      </x:c>
      <x:c r="M1043" s="17" t="str">
        <x:v>high</x:v>
      </x:c>
      <x:c r="N1043" s="17" t="str">
        <x:v>official page checked</x:v>
      </x:c>
      <x:c r="O1043" s="17" t="str"/>
      <x:c r="P1043" s="18" t="e">
        <x:f>HYPERLINK("https://www.boisestate.edu/computing/academics/doctoral-program/application-requirements-ph-d/","Open source")</x:f>
        <x:v>HYPERLINK is not implemented. linkLocation=https://www.boisestate.edu/computing/academics/doctoral-program/application-requirements-ph-d/, friendlyName=Open source</x:v>
      </x:c>
    </x:row>
    <x:row r="1044" ht="46" customHeight="1">
      <x:c r="A1044" s="17" t="str">
        <x:v>stage3src:78dc9ec575f6e44b9126</x:v>
      </x:c>
      <x:c r="B1044" s="17" t="str">
        <x:v>program</x:v>
      </x:c>
      <x:c r="C1044" s="17" t="str">
        <x:v>Boise State University</x:v>
      </x:c>
      <x:c r="D1044" s="17" t="str">
        <x:v>us:ipeds:142115:program:phd:computing-phd-computer-science-or-cybersecurity-emphasis</x:v>
      </x:c>
      <x:c r="E1044" s="17" t="str"/>
      <x:c r="F1044" s="17" t="str">
        <x:v>admissions|eligibility|language|fees</x:v>
      </x:c>
      <x:c r="G1044" s="17" t="str">
        <x:v>USD 95 international graduate fee, no international waiver, credential review, and prior-degree English exemption including Nigeria.</x:v>
      </x:c>
      <x:c r="H1044" s="17" t="str">
        <x:v>International Graduate Admissions</x:v>
      </x:c>
      <x:c r="I1044" s="17" t="str">
        <x:v>Boise State University International Admissions</x:v>
      </x:c>
      <x:c r="J1044" s="17" t="str">
        <x:v>official</x:v>
      </x:c>
      <x:c r="K1044" s="17" t="str">
        <x:v>2026-09-10</x:v>
      </x:c>
      <x:c r="L1044" s="17" t="str">
        <x:v>Current guidance checked 2026-09-10</x:v>
      </x:c>
      <x:c r="M1044" s="17" t="str">
        <x:v>high</x:v>
      </x:c>
      <x:c r="N1044" s="17" t="str">
        <x:v>official page checked</x:v>
      </x:c>
      <x:c r="O1044" s="17" t="str"/>
      <x:c r="P1044" s="18" t="e">
        <x:f>HYPERLINK("https://www.boisestate.edu/global-international/apply/ia-international-graduate-admission/","Open source")</x:f>
        <x:v>HYPERLINK is not implemented. linkLocation=https://www.boisestate.edu/global-international/apply/ia-international-graduate-admission/, friendlyName=Open source</x:v>
      </x:c>
    </x:row>
    <x:row r="1045" ht="46" customHeight="1">
      <x:c r="A1045" s="17" t="str">
        <x:v>stage3src:8291a09edefd441036d4</x:v>
      </x:c>
      <x:c r="B1045" s="17" t="str">
        <x:v>program</x:v>
      </x:c>
      <x:c r="C1045" s="17" t="str">
        <x:v>Boise State University</x:v>
      </x:c>
      <x:c r="D1045" s="17" t="str">
        <x:v>us:ipeds:142115:program:phd:computing-phd-computer-science-or-cybersecurity-emphasis</x:v>
      </x:c>
      <x:c r="E1045" s="17" t="str"/>
      <x:c r="F1045" s="17" t="str">
        <x:v>program|eligibility</x:v>
      </x:c>
      <x:c r="G1045" s="17" t="str">
        <x:v>Cybersecurity emphasis data-structures and systems-programming prerequisites plus dissertation and comprehensive-exam structure.</x:v>
      </x:c>
      <x:c r="H1045" s="17" t="str">
        <x:v>Ph.D. in Computing — Cybersecurity Emphasis</x:v>
      </x:c>
      <x:c r="I1045" s="17" t="str">
        <x:v>Boise State University School of Computing</x:v>
      </x:c>
      <x:c r="J1045" s="17" t="str">
        <x:v>official</x:v>
      </x:c>
      <x:c r="K1045" s="17" t="str">
        <x:v>2026-09-10</x:v>
      </x:c>
      <x:c r="L1045" s="17" t="str">
        <x:v>Current program checked 2026-09-10</x:v>
      </x:c>
      <x:c r="M1045" s="17" t="str">
        <x:v>high</x:v>
      </x:c>
      <x:c r="N1045" s="17" t="str">
        <x:v>official page checked</x:v>
      </x:c>
      <x:c r="O1045" s="17" t="str"/>
      <x:c r="P1045" s="18" t="e">
        <x:f>HYPERLINK("https://www.boisestate.edu/computing/academics/doctoral-program/cybersecurity/cybersecurity-ph-d/","Open source")</x:f>
        <x:v>HYPERLINK is not implemented. linkLocation=https://www.boisestate.edu/computing/academics/doctoral-program/cybersecurity/cybersecurity-ph-d/, friendlyName=Open source</x:v>
      </x:c>
    </x:row>
    <x:row r="1046" ht="46" customHeight="1">
      <x:c r="A1046" s="17" t="str">
        <x:v>stage3src:a74ad749be4aa7afd6f9</x:v>
      </x:c>
      <x:c r="B1046" s="17" t="str">
        <x:v>program</x:v>
      </x:c>
      <x:c r="C1046" s="17" t="str">
        <x:v>Boise State University</x:v>
      </x:c>
      <x:c r="D1046" s="17" t="str">
        <x:v>us:ipeds:142115:program:phd:computing-phd-computer-science-or-cybersecurity-emphasis</x:v>
      </x:c>
      <x:c r="E1046" s="17" t="str"/>
      <x:c r="F1046" s="17" t="str">
        <x:v>funding|deadline|tuition|fees</x:v>
      </x:c>
      <x:c r="G1046" s="17" t="str">
        <x:v>January 5 funding priority, limited first-year USD 28,000 assistantship, fall and spring tuition, full-year health insurance, and advisor-dependent continuation.</x:v>
      </x:c>
      <x:c r="H1046" s="17" t="str">
        <x:v>Graduate Assistantships</x:v>
      </x:c>
      <x:c r="I1046" s="17" t="str">
        <x:v>Boise State University School of Computing</x:v>
      </x:c>
      <x:c r="J1046" s="17" t="str">
        <x:v>official</x:v>
      </x:c>
      <x:c r="K1046" s="17" t="str">
        <x:v>2026-09-10</x:v>
      </x:c>
      <x:c r="L1046" s="17" t="str">
        <x:v>Current funding guidance checked 2026-09-10</x:v>
      </x:c>
      <x:c r="M1046" s="17" t="str">
        <x:v>high</x:v>
      </x:c>
      <x:c r="N1046" s="17" t="str">
        <x:v>official page checked</x:v>
      </x:c>
      <x:c r="O1046" s="17" t="str"/>
      <x:c r="P1046" s="18" t="e">
        <x:f>HYPERLINK("https://www.boisestate.edu/computing/academics/doctoral-program/graduate-assistantships/","Open source")</x:f>
        <x:v>HYPERLINK is not implemented. linkLocation=https://www.boisestate.edu/computing/academics/doctoral-program/graduate-assistantships/, friendlyName=Open source</x:v>
      </x:c>
    </x:row>
    <x:row r="1047" ht="46" customHeight="1">
      <x:c r="A1047" s="17" t="str">
        <x:v>stage3src:35176ebe5a52b8f53df7</x:v>
      </x:c>
      <x:c r="B1047" s="17" t="str">
        <x:v>program</x:v>
      </x:c>
      <x:c r="C1047" s="17" t="str">
        <x:v>Boise State University</x:v>
      </x:c>
      <x:c r="D1047" s="17" t="str">
        <x:v>us:ipeds:142115:program:unclear:ipeds-discovery-signal-computer-and-information-systems-security-auditing-information-assurance-cip-11-1003</x:v>
      </x:c>
      <x:c r="E1047" s="17" t="str"/>
      <x:c r="F1047" s="17" t="str">
        <x:v>discovery</x:v>
      </x:c>
      <x:c r="G1047" s="17" t="str">
        <x:v>Stage 2 recorded this row as a discovery candidate; it does not independently verify an exact current research program, eligibility, or funding.</x:v>
      </x:c>
      <x:c r="H1047" s="17" t="str">
        <x:v>Pass 2 Stage 2 candidate funnel</x:v>
      </x:c>
      <x:c r="I1047" s="17" t="str">
        <x:v>Graduate audit pipeline</x:v>
      </x:c>
      <x:c r="J1047" s="17" t="str">
        <x:v>derived</x:v>
      </x:c>
      <x:c r="K1047" s="17" t="str">
        <x:v>2026-09-11</x:v>
      </x:c>
      <x:c r="L1047" s="17" t="str">
        <x:v>Not cycle-specific</x:v>
      </x:c>
      <x:c r="M1047" s="17" t="str">
        <x:v>low</x:v>
      </x:c>
      <x:c r="N1047" s="17" t="str">
        <x:v>Discovery evidence only</x:v>
      </x:c>
      <x:c r="O1047" s="17" t="str">
        <x:v>Use the source_record_paths field to trace the underlying discovery inputs.</x:v>
      </x:c>
      <x:c r="P1047" s="18" t="e">
        <x:f>HYPERLINK("https://www.boisestate.edu","Open source")</x:f>
        <x:v>HYPERLINK is not implemented. linkLocation=https://www.boisestate.edu, friendlyName=Open source</x:v>
      </x:c>
    </x:row>
    <x:row r="1048" ht="46" customHeight="1">
      <x:c r="A1048" s="17" t="str">
        <x:v>stage3src:3f84280d6d5e2c2c0e25</x:v>
      </x:c>
      <x:c r="B1048" s="17" t="str">
        <x:v>program</x:v>
      </x:c>
      <x:c r="C1048" s="17" t="str">
        <x:v>Boise State University</x:v>
      </x:c>
      <x:c r="D1048" s="17" t="str">
        <x:v>us:ipeds:142115:program:unclear:ipeds-discovery-signal-computer-science-cip-11-0701</x:v>
      </x:c>
      <x:c r="E1048" s="17" t="str"/>
      <x:c r="F1048" s="17" t="str">
        <x:v>discovery</x:v>
      </x:c>
      <x:c r="G1048" s="17" t="str">
        <x:v>Stage 2 recorded this row as a discovery candidate; it does not independently verify an exact current research program, eligibility, or funding.</x:v>
      </x:c>
      <x:c r="H1048" s="17" t="str">
        <x:v>Pass 2 Stage 2 candidate funnel</x:v>
      </x:c>
      <x:c r="I1048" s="17" t="str">
        <x:v>Graduate audit pipeline</x:v>
      </x:c>
      <x:c r="J1048" s="17" t="str">
        <x:v>derived</x:v>
      </x:c>
      <x:c r="K1048" s="17" t="str">
        <x:v>2026-09-11</x:v>
      </x:c>
      <x:c r="L1048" s="17" t="str">
        <x:v>Not cycle-specific</x:v>
      </x:c>
      <x:c r="M1048" s="17" t="str">
        <x:v>low</x:v>
      </x:c>
      <x:c r="N1048" s="17" t="str">
        <x:v>Discovery evidence only</x:v>
      </x:c>
      <x:c r="O1048" s="17" t="str">
        <x:v>Use the source_record_paths field to trace the underlying discovery inputs.</x:v>
      </x:c>
      <x:c r="P1048" s="18" t="e">
        <x:f>HYPERLINK("https://www.boisestate.edu","Open source")</x:f>
        <x:v>HYPERLINK is not implemented. linkLocation=https://www.boisestate.edu, friendlyName=Open source</x:v>
      </x:c>
    </x:row>
    <x:row r="1049" ht="46" customHeight="1">
      <x:c r="A1049" s="17" t="str">
        <x:v>stage3src:e7029da445251cd9fe34</x:v>
      </x:c>
      <x:c r="B1049" s="17" t="str">
        <x:v>program</x:v>
      </x:c>
      <x:c r="C1049" s="17" t="str">
        <x:v>Idaho State University</x:v>
      </x:c>
      <x:c r="D1049" s="17" t="str">
        <x:v>us:ipeds:142276:program:unclear:ipeds-discovery-signal-computer-science-cip-11-0701</x:v>
      </x:c>
      <x:c r="E1049" s="17" t="str"/>
      <x:c r="F1049" s="17" t="str">
        <x:v>discovery</x:v>
      </x:c>
      <x:c r="G1049" s="17" t="str">
        <x:v>Stage 2 recorded this row as a discovery candidate; it does not independently verify an exact current research program, eligibility, or funding.</x:v>
      </x:c>
      <x:c r="H1049" s="17" t="str">
        <x:v>Pass 2 Stage 2 candidate funnel</x:v>
      </x:c>
      <x:c r="I1049" s="17" t="str">
        <x:v>Graduate audit pipeline</x:v>
      </x:c>
      <x:c r="J1049" s="17" t="str">
        <x:v>derived</x:v>
      </x:c>
      <x:c r="K1049" s="17" t="str">
        <x:v>2026-09-11</x:v>
      </x:c>
      <x:c r="L1049" s="17" t="str">
        <x:v>Not cycle-specific</x:v>
      </x:c>
      <x:c r="M1049" s="17" t="str">
        <x:v>low</x:v>
      </x:c>
      <x:c r="N1049" s="17" t="str">
        <x:v>Discovery evidence only</x:v>
      </x:c>
      <x:c r="O1049" s="17" t="str">
        <x:v>Use the source_record_paths field to trace the underlying discovery inputs.</x:v>
      </x:c>
      <x:c r="P1049" s="18" t="e">
        <x:f>HYPERLINK("https://www.isu.edu","Open source")</x:f>
        <x:v>HYPERLINK is not implemented. linkLocation=https://www.isu.edu, friendlyName=Open source</x:v>
      </x:c>
    </x:row>
    <x:row r="1050" ht="46" customHeight="1">
      <x:c r="A1050" s="17" t="str">
        <x:v>stage3src:c674cbd4b8d0c1e42392</x:v>
      </x:c>
      <x:c r="B1050" s="17" t="str">
        <x:v>program</x:v>
      </x:c>
      <x:c r="C1050" s="17" t="str">
        <x:v>Idaho State University</x:v>
      </x:c>
      <x:c r="D1050" s="17" t="str">
        <x:v>us:ipeds:142276:program:unclear:ipeds-discovery-signal-electrical-and-electronics-engineering-cip-14-1001</x:v>
      </x:c>
      <x:c r="E1050" s="17" t="str"/>
      <x:c r="F1050" s="17" t="str">
        <x:v>discovery</x:v>
      </x:c>
      <x:c r="G1050" s="17" t="str">
        <x:v>Stage 2 recorded this row as a discovery candidate; it does not independently verify an exact current research program, eligibility, or funding.</x:v>
      </x:c>
      <x:c r="H1050" s="17" t="str">
        <x:v>Pass 2 Stage 2 candidate funnel</x:v>
      </x:c>
      <x:c r="I1050" s="17" t="str">
        <x:v>Graduate audit pipeline</x:v>
      </x:c>
      <x:c r="J1050" s="17" t="str">
        <x:v>derived</x:v>
      </x:c>
      <x:c r="K1050" s="17" t="str">
        <x:v>2026-09-11</x:v>
      </x:c>
      <x:c r="L1050" s="17" t="str">
        <x:v>Not cycle-specific</x:v>
      </x:c>
      <x:c r="M1050" s="17" t="str">
        <x:v>low</x:v>
      </x:c>
      <x:c r="N1050" s="17" t="str">
        <x:v>Discovery evidence only</x:v>
      </x:c>
      <x:c r="O1050" s="17" t="str">
        <x:v>Use the source_record_paths field to trace the underlying discovery inputs.</x:v>
      </x:c>
      <x:c r="P1050" s="18" t="e">
        <x:f>HYPERLINK("https://www.isu.edu","Open source")</x:f>
        <x:v>HYPERLINK is not implemented. linkLocation=https://www.isu.edu, friendlyName=Open source</x:v>
      </x:c>
    </x:row>
    <x:row r="1051" ht="46" customHeight="1">
      <x:c r="A1051" s="17" t="str">
        <x:v>stage3src:177794ae28a4fec809f5</x:v>
      </x:c>
      <x:c r="B1051" s="17" t="str">
        <x:v>program</x:v>
      </x:c>
      <x:c r="C1051" s="17" t="str">
        <x:v>University of Idaho</x:v>
      </x:c>
      <x:c r="D1051" s="17" t="str">
        <x:v>us:ipeds:142285:program:phd:computer-science-ph-d</x:v>
      </x:c>
      <x:c r="E1051" s="17" t="str"/>
      <x:c r="F1051" s="17" t="str">
        <x:v>program|eligibility|admissions</x:v>
      </x:c>
      <x:c r="G1051" s="17" t="str">
        <x:v>Doctoral research structure, competitive admission, bachelor's entry, and possible prerequisite deficiencies.</x:v>
      </x:c>
      <x:c r="H1051" s="17" t="str">
        <x:v>Computer Science, Ph.D.</x:v>
      </x:c>
      <x:c r="I1051" s="17" t="str">
        <x:v>University of Idaho Academic Catalog</x:v>
      </x:c>
      <x:c r="J1051" s="17" t="str">
        <x:v>official</x:v>
      </x:c>
      <x:c r="K1051" s="17" t="str">
        <x:v>2026-09-10</x:v>
      </x:c>
      <x:c r="L1051" s="17" t="str">
        <x:v>Current catalog checked 2026-09-11</x:v>
      </x:c>
      <x:c r="M1051" s="17" t="str">
        <x:v>high</x:v>
      </x:c>
      <x:c r="N1051" s="17" t="str">
        <x:v>official page checked</x:v>
      </x:c>
      <x:c r="O1051" s="17" t="str"/>
      <x:c r="P1051" s="18" t="e">
        <x:f>HYPERLINK("https://catalog.uidaho.edu/colleges-related-units/engineering/computer-science/computer-science-phd/","Open source")</x:f>
        <x:v>HYPERLINK is not implemented. linkLocation=https://catalog.uidaho.edu/colleges-related-units/engineering/computer-science/computer-science-phd/, friendlyName=Open source</x:v>
      </x:c>
    </x:row>
    <x:row r="1052" ht="46" customHeight="1">
      <x:c r="A1052" s="17" t="str">
        <x:v>stage3src:684f4a65141acb897a6e</x:v>
      </x:c>
      <x:c r="B1052" s="17" t="str">
        <x:v>program</x:v>
      </x:c>
      <x:c r="C1052" s="17" t="str">
        <x:v>University of Idaho</x:v>
      </x:c>
      <x:c r="D1052" s="17" t="str">
        <x:v>us:ipeds:142285:program:phd:computer-science-ph-d</x:v>
      </x:c>
      <x:c r="E1052" s="17" t="str"/>
      <x:c r="F1052" s="17" t="str">
        <x:v>admissions|deadline|fees|funding</x:v>
      </x:c>
      <x:c r="G1052" s="17" t="str">
        <x:v>January 15 fall priority timing, application fee, and funding-consideration timing.</x:v>
      </x:c>
      <x:c r="H1052" s="17" t="str">
        <x:v>Graduate application and deadlines</x:v>
      </x:c>
      <x:c r="I1052" s="17" t="str">
        <x:v>University of Idaho College of Graduate Studies</x:v>
      </x:c>
      <x:c r="J1052" s="17" t="str">
        <x:v>official</x:v>
      </x:c>
      <x:c r="K1052" s="17" t="str">
        <x:v>2026-09-10</x:v>
      </x:c>
      <x:c r="L1052" s="17" t="str">
        <x:v>Current page checked 2026-09-11</x:v>
      </x:c>
      <x:c r="M1052" s="17" t="str">
        <x:v>high</x:v>
      </x:c>
      <x:c r="N1052" s="17" t="str">
        <x:v>official page checked</x:v>
      </x:c>
      <x:c r="O1052" s="17" t="str"/>
      <x:c r="P1052" s="18" t="e">
        <x:f>HYPERLINK("https://www.uidaho.edu/graduate-studies/admissions/application-and-deadlines","Open source")</x:f>
        <x:v>HYPERLINK is not implemented. linkLocation=https://www.uidaho.edu/graduate-studies/admissions/application-and-deadlines, friendlyName=Open source</x:v>
      </x:c>
    </x:row>
    <x:row r="1053" ht="46" customHeight="1">
      <x:c r="A1053" s="17" t="str">
        <x:v>stage3src:c9163c297dbd4ec7e164</x:v>
      </x:c>
      <x:c r="B1053" s="17" t="str">
        <x:v>program</x:v>
      </x:c>
      <x:c r="C1053" s="17" t="str">
        <x:v>University of Idaho</x:v>
      </x:c>
      <x:c r="D1053" s="17" t="str">
        <x:v>us:ipeds:142285:program:phd:computer-science-ph-d</x:v>
      </x:c>
      <x:c r="E1053" s="17" t="str"/>
      <x:c r="F1053" s="17" t="str">
        <x:v>program|research|eligibility|language|funding</x:v>
      </x:c>
      <x:c r="G1053" s="17" t="str">
        <x:v>Current PhD, bachelor's entry, 3.0 GPA, prerequisites, English minima, and competitive faculty/fellowship funding signals.</x:v>
      </x:c>
      <x:c r="H1053" s="17" t="str">
        <x:v>Computer Science, Ph.D.</x:v>
      </x:c>
      <x:c r="I1053" s="17" t="str">
        <x:v>University of Idaho</x:v>
      </x:c>
      <x:c r="J1053" s="17" t="str">
        <x:v>official</x:v>
      </x:c>
      <x:c r="K1053" s="17" t="str">
        <x:v>2026-09-10</x:v>
      </x:c>
      <x:c r="L1053" s="17" t="str">
        <x:v>Current page checked 2026-09-11</x:v>
      </x:c>
      <x:c r="M1053" s="17" t="str">
        <x:v>high</x:v>
      </x:c>
      <x:c r="N1053" s="17" t="str">
        <x:v>official page checked</x:v>
      </x:c>
      <x:c r="O1053" s="17" t="str"/>
      <x:c r="P1053" s="18" t="e">
        <x:f>HYPERLINK("https://www.uidaho.edu/academics/degree-finder/computer-sci-phd","Open source")</x:f>
        <x:v>HYPERLINK is not implemented. linkLocation=https://www.uidaho.edu/academics/degree-finder/computer-sci-phd, friendlyName=Open source</x:v>
      </x:c>
    </x:row>
    <x:row r="1054" ht="46" customHeight="1">
      <x:c r="A1054" s="17" t="str">
        <x:v>stage3src:b30bb405e2b2ea0974e2</x:v>
      </x:c>
      <x:c r="B1054" s="17" t="str">
        <x:v>program</x:v>
      </x:c>
      <x:c r="C1054" s="17" t="str">
        <x:v>University of Idaho</x:v>
      </x:c>
      <x:c r="D1054" s="17" t="str">
        <x:v>us:ipeds:142285:program:unclear:ipeds-discovery-signal-computer-and-information-systems-security-auditing-information-assurance-cip-11-1003</x:v>
      </x:c>
      <x:c r="E1054" s="17" t="str"/>
      <x:c r="F1054" s="17" t="str">
        <x:v>discovery</x:v>
      </x:c>
      <x:c r="G1054" s="17" t="str">
        <x:v>Stage 2 recorded this row as a discovery candidate; it does not independently verify an exact current research program, eligibility, or funding.</x:v>
      </x:c>
      <x:c r="H1054" s="17" t="str">
        <x:v>Pass 2 Stage 2 candidate funnel</x:v>
      </x:c>
      <x:c r="I1054" s="17" t="str">
        <x:v>Graduate audit pipeline</x:v>
      </x:c>
      <x:c r="J1054" s="17" t="str">
        <x:v>derived</x:v>
      </x:c>
      <x:c r="K1054" s="17" t="str">
        <x:v>2026-09-11</x:v>
      </x:c>
      <x:c r="L1054" s="17" t="str">
        <x:v>Not cycle-specific</x:v>
      </x:c>
      <x:c r="M1054" s="17" t="str">
        <x:v>low</x:v>
      </x:c>
      <x:c r="N1054" s="17" t="str">
        <x:v>Discovery evidence only</x:v>
      </x:c>
      <x:c r="O1054" s="17" t="str">
        <x:v>Use the source_record_paths field to trace the underlying discovery inputs.</x:v>
      </x:c>
      <x:c r="P1054" s="18" t="e">
        <x:f>HYPERLINK("https://www.uidaho.edu","Open source")</x:f>
        <x:v>HYPERLINK is not implemented. linkLocation=https://www.uidaho.edu, friendlyName=Open source</x:v>
      </x:c>
    </x:row>
    <x:row r="1055" ht="46" customHeight="1">
      <x:c r="A1055" s="17" t="str">
        <x:v>stage3src:25b58a4619c85dbe3cff</x:v>
      </x:c>
      <x:c r="B1055" s="17" t="str">
        <x:v>program</x:v>
      </x:c>
      <x:c r="C1055" s="17" t="str">
        <x:v>University of Idaho</x:v>
      </x:c>
      <x:c r="D1055" s="17" t="str">
        <x:v>us:ipeds:142285:program:unclear:ipeds-discovery-signal-computer-engineering-general-cip-14-0901</x:v>
      </x:c>
      <x:c r="E1055" s="17" t="str"/>
      <x:c r="F1055" s="17" t="str">
        <x:v>discovery</x:v>
      </x:c>
      <x:c r="G1055" s="17" t="str">
        <x:v>Stage 2 recorded this row as a discovery candidate; it does not independently verify an exact current research program, eligibility, or funding.</x:v>
      </x:c>
      <x:c r="H1055" s="17" t="str">
        <x:v>Pass 2 Stage 2 candidate funnel</x:v>
      </x:c>
      <x:c r="I1055" s="17" t="str">
        <x:v>Graduate audit pipeline</x:v>
      </x:c>
      <x:c r="J1055" s="17" t="str">
        <x:v>derived</x:v>
      </x:c>
      <x:c r="K1055" s="17" t="str">
        <x:v>2026-09-11</x:v>
      </x:c>
      <x:c r="L1055" s="17" t="str">
        <x:v>Not cycle-specific</x:v>
      </x:c>
      <x:c r="M1055" s="17" t="str">
        <x:v>low</x:v>
      </x:c>
      <x:c r="N1055" s="17" t="str">
        <x:v>Discovery evidence only</x:v>
      </x:c>
      <x:c r="O1055" s="17" t="str">
        <x:v>Use the source_record_paths field to trace the underlying discovery inputs.</x:v>
      </x:c>
      <x:c r="P1055" s="18" t="e">
        <x:f>HYPERLINK("https://www.uidaho.edu","Open source")</x:f>
        <x:v>HYPERLINK is not implemented. linkLocation=https://www.uidaho.edu, friendlyName=Open source</x:v>
      </x:c>
    </x:row>
    <x:row r="1056" ht="46" customHeight="1">
      <x:c r="A1056" s="17" t="str">
        <x:v>stage3src:50a369246bfbfa8e7de9</x:v>
      </x:c>
      <x:c r="B1056" s="17" t="str">
        <x:v>program</x:v>
      </x:c>
      <x:c r="C1056" s="17" t="str">
        <x:v>University of Idaho</x:v>
      </x:c>
      <x:c r="D1056" s="17" t="str">
        <x:v>us:ipeds:142285:program:unclear:ipeds-discovery-signal-computer-science-cip-11-0701</x:v>
      </x:c>
      <x:c r="E1056" s="17" t="str"/>
      <x:c r="F1056" s="17" t="str">
        <x:v>discovery</x:v>
      </x:c>
      <x:c r="G1056" s="17" t="str">
        <x:v>Stage 2 recorded this row as a discovery candidate; it does not independently verify an exact current research program, eligibility, or funding.</x:v>
      </x:c>
      <x:c r="H1056" s="17" t="str">
        <x:v>Pass 2 Stage 2 candidate funnel</x:v>
      </x:c>
      <x:c r="I1056" s="17" t="str">
        <x:v>Graduate audit pipeline</x:v>
      </x:c>
      <x:c r="J1056" s="17" t="str">
        <x:v>derived</x:v>
      </x:c>
      <x:c r="K1056" s="17" t="str">
        <x:v>2026-09-11</x:v>
      </x:c>
      <x:c r="L1056" s="17" t="str">
        <x:v>Not cycle-specific</x:v>
      </x:c>
      <x:c r="M1056" s="17" t="str">
        <x:v>low</x:v>
      </x:c>
      <x:c r="N1056" s="17" t="str">
        <x:v>Discovery evidence only</x:v>
      </x:c>
      <x:c r="O1056" s="17" t="str">
        <x:v>Use the source_record_paths field to trace the underlying discovery inputs.</x:v>
      </x:c>
      <x:c r="P1056" s="18" t="e">
        <x:f>HYPERLINK("https://www.uidaho.edu","Open source")</x:f>
        <x:v>HYPERLINK is not implemented. linkLocation=https://www.uidaho.edu, friendlyName=Open source</x:v>
      </x:c>
    </x:row>
    <x:row r="1057" ht="46" customHeight="1">
      <x:c r="A1057" s="17" t="str">
        <x:v>stage3src:09bccaf56125b5d31e85</x:v>
      </x:c>
      <x:c r="B1057" s="17" t="str">
        <x:v>program</x:v>
      </x:c>
      <x:c r="C1057" s="17" t="str">
        <x:v>University of Idaho</x:v>
      </x:c>
      <x:c r="D1057" s="17" t="str">
        <x:v>us:ipeds:142285:program:unclear:ipeds-discovery-signal-electrical-and-electronics-engineering-cip-14-1001</x:v>
      </x:c>
      <x:c r="E1057" s="17" t="str"/>
      <x:c r="F1057" s="17" t="str">
        <x:v>discovery</x:v>
      </x:c>
      <x:c r="G1057" s="17" t="str">
        <x:v>Stage 2 recorded this row as a discovery candidate; it does not independently verify an exact current research program, eligibility, or funding.</x:v>
      </x:c>
      <x:c r="H1057" s="17" t="str">
        <x:v>Pass 2 Stage 2 candidate funnel</x:v>
      </x:c>
      <x:c r="I1057" s="17" t="str">
        <x:v>Graduate audit pipeline</x:v>
      </x:c>
      <x:c r="J1057" s="17" t="str">
        <x:v>derived</x:v>
      </x:c>
      <x:c r="K1057" s="17" t="str">
        <x:v>2026-09-11</x:v>
      </x:c>
      <x:c r="L1057" s="17" t="str">
        <x:v>Not cycle-specific</x:v>
      </x:c>
      <x:c r="M1057" s="17" t="str">
        <x:v>low</x:v>
      </x:c>
      <x:c r="N1057" s="17" t="str">
        <x:v>Discovery evidence only</x:v>
      </x:c>
      <x:c r="O1057" s="17" t="str">
        <x:v>Use the source_record_paths field to trace the underlying discovery inputs.</x:v>
      </x:c>
      <x:c r="P1057" s="18" t="e">
        <x:f>HYPERLINK("https://www.uidaho.edu","Open source")</x:f>
        <x:v>HYPERLINK is not implemented. linkLocation=https://www.uidaho.edu, friendlyName=Open source</x:v>
      </x:c>
    </x:row>
    <x:row r="1058" ht="46" customHeight="1">
      <x:c r="A1058" s="17" t="str">
        <x:v>stage3src:3c7459ef5ee8b2e54077</x:v>
      </x:c>
      <x:c r="B1058" s="17" t="str">
        <x:v>program</x:v>
      </x:c>
      <x:c r="C1058" s="17" t="str">
        <x:v>Bradley University</x:v>
      </x:c>
      <x:c r="D1058" s="17" t="str">
        <x:v>us:ipeds:143358:program:unclear:ipeds-discovery-signal-computer-science-cip-11-0701</x:v>
      </x:c>
      <x:c r="E1058" s="17" t="str"/>
      <x:c r="F1058" s="17" t="str">
        <x:v>discovery</x:v>
      </x:c>
      <x:c r="G1058" s="17" t="str">
        <x:v>Stage 2 recorded this row as a discovery candidate; it does not independently verify an exact current research program, eligibility, or funding.</x:v>
      </x:c>
      <x:c r="H1058" s="17" t="str">
        <x:v>Pass 2 Stage 2 candidate funnel</x:v>
      </x:c>
      <x:c r="I1058" s="17" t="str">
        <x:v>Graduate audit pipeline</x:v>
      </x:c>
      <x:c r="J1058" s="17" t="str">
        <x:v>derived</x:v>
      </x:c>
      <x:c r="K1058" s="17" t="str">
        <x:v>2026-09-11</x:v>
      </x:c>
      <x:c r="L1058" s="17" t="str">
        <x:v>Not cycle-specific</x:v>
      </x:c>
      <x:c r="M1058" s="17" t="str">
        <x:v>low</x:v>
      </x:c>
      <x:c r="N1058" s="17" t="str">
        <x:v>Discovery evidence only</x:v>
      </x:c>
      <x:c r="O1058" s="17" t="str">
        <x:v>Use the source_record_paths field to trace the underlying discovery inputs.</x:v>
      </x:c>
      <x:c r="P1058" s="18" t="e">
        <x:f>HYPERLINK("https://www.bradley.edu","Open source")</x:f>
        <x:v>HYPERLINK is not implemented. linkLocation=https://www.bradley.edu, friendlyName=Open source</x:v>
      </x:c>
    </x:row>
    <x:row r="1059" ht="46" customHeight="1">
      <x:c r="A1059" s="17" t="str">
        <x:v>stage3src:e6b2cdd169e3615719a0</x:v>
      </x:c>
      <x:c r="B1059" s="17" t="str">
        <x:v>program</x:v>
      </x:c>
      <x:c r="C1059" s="17" t="str">
        <x:v>Bradley University</x:v>
      </x:c>
      <x:c r="D1059" s="17" t="str">
        <x:v>us:ipeds:143358:program:unclear:ipeds-discovery-signal-data-science-general-cip-30-7001</x:v>
      </x:c>
      <x:c r="E1059" s="17" t="str"/>
      <x:c r="F1059" s="17" t="str">
        <x:v>discovery</x:v>
      </x:c>
      <x:c r="G1059" s="17" t="str">
        <x:v>Stage 2 recorded this row as a discovery candidate; it does not independently verify an exact current research program, eligibility, or funding.</x:v>
      </x:c>
      <x:c r="H1059" s="17" t="str">
        <x:v>Pass 2 Stage 2 candidate funnel</x:v>
      </x:c>
      <x:c r="I1059" s="17" t="str">
        <x:v>Graduate audit pipeline</x:v>
      </x:c>
      <x:c r="J1059" s="17" t="str">
        <x:v>derived</x:v>
      </x:c>
      <x:c r="K1059" s="17" t="str">
        <x:v>2026-09-11</x:v>
      </x:c>
      <x:c r="L1059" s="17" t="str">
        <x:v>Not cycle-specific</x:v>
      </x:c>
      <x:c r="M1059" s="17" t="str">
        <x:v>low</x:v>
      </x:c>
      <x:c r="N1059" s="17" t="str">
        <x:v>Discovery evidence only</x:v>
      </x:c>
      <x:c r="O1059" s="17" t="str">
        <x:v>Use the source_record_paths field to trace the underlying discovery inputs.</x:v>
      </x:c>
      <x:c r="P1059" s="18" t="e">
        <x:f>HYPERLINK("https://www.bradley.edu","Open source")</x:f>
        <x:v>HYPERLINK is not implemented. linkLocation=https://www.bradley.edu, friendlyName=Open source</x:v>
      </x:c>
    </x:row>
    <x:row r="1060" ht="46" customHeight="1">
      <x:c r="A1060" s="17" t="str">
        <x:v>stage3src:b519924ddfea025f2383</x:v>
      </x:c>
      <x:c r="B1060" s="17" t="str">
        <x:v>program</x:v>
      </x:c>
      <x:c r="C1060" s="17" t="str">
        <x:v>Bradley University</x:v>
      </x:c>
      <x:c r="D1060" s="17" t="str">
        <x:v>us:ipeds:143358:program:unclear:ipeds-discovery-signal-electrical-and-electronics-engineering-cip-14-1001</x:v>
      </x:c>
      <x:c r="E1060" s="17" t="str"/>
      <x:c r="F1060" s="17" t="str">
        <x:v>discovery</x:v>
      </x:c>
      <x:c r="G1060" s="17" t="str">
        <x:v>Stage 2 recorded this row as a discovery candidate; it does not independently verify an exact current research program, eligibility, or funding.</x:v>
      </x:c>
      <x:c r="H1060" s="17" t="str">
        <x:v>Pass 2 Stage 2 candidate funnel</x:v>
      </x:c>
      <x:c r="I1060" s="17" t="str">
        <x:v>Graduate audit pipeline</x:v>
      </x:c>
      <x:c r="J1060" s="17" t="str">
        <x:v>derived</x:v>
      </x:c>
      <x:c r="K1060" s="17" t="str">
        <x:v>2026-09-11</x:v>
      </x:c>
      <x:c r="L1060" s="17" t="str">
        <x:v>Not cycle-specific</x:v>
      </x:c>
      <x:c r="M1060" s="17" t="str">
        <x:v>low</x:v>
      </x:c>
      <x:c r="N1060" s="17" t="str">
        <x:v>Discovery evidence only</x:v>
      </x:c>
      <x:c r="O1060" s="17" t="str">
        <x:v>Use the source_record_paths field to trace the underlying discovery inputs.</x:v>
      </x:c>
      <x:c r="P1060" s="18" t="e">
        <x:f>HYPERLINK("https://www.bradley.edu","Open source")</x:f>
        <x:v>HYPERLINK is not implemented. linkLocation=https://www.bradley.edu, friendlyName=Open source</x:v>
      </x:c>
    </x:row>
    <x:row r="1061" ht="46" customHeight="1">
      <x:c r="A1061" s="17" t="str">
        <x:v>stage3src:2489463d9ebcc9d3277a</x:v>
      </x:c>
      <x:c r="B1061" s="17" t="str">
        <x:v>program</x:v>
      </x:c>
      <x:c r="C1061" s="17" t="str">
        <x:v>Bradley University</x:v>
      </x:c>
      <x:c r="D1061" s="17" t="str">
        <x:v>us:ipeds:143358:program:unclear:ipeds-discovery-signal-information-science-studies-cip-11-0401</x:v>
      </x:c>
      <x:c r="E1061" s="17" t="str"/>
      <x:c r="F1061" s="17" t="str">
        <x:v>discovery</x:v>
      </x:c>
      <x:c r="G1061" s="17" t="str">
        <x:v>Stage 2 recorded this row as a discovery candidate; it does not independently verify an exact current research program, eligibility, or funding.</x:v>
      </x:c>
      <x:c r="H1061" s="17" t="str">
        <x:v>Pass 2 Stage 2 candidate funnel</x:v>
      </x:c>
      <x:c r="I1061" s="17" t="str">
        <x:v>Graduate audit pipeline</x:v>
      </x:c>
      <x:c r="J1061" s="17" t="str">
        <x:v>derived</x:v>
      </x:c>
      <x:c r="K1061" s="17" t="str">
        <x:v>2026-09-11</x:v>
      </x:c>
      <x:c r="L1061" s="17" t="str">
        <x:v>Not cycle-specific</x:v>
      </x:c>
      <x:c r="M1061" s="17" t="str">
        <x:v>low</x:v>
      </x:c>
      <x:c r="N1061" s="17" t="str">
        <x:v>Discovery evidence only</x:v>
      </x:c>
      <x:c r="O1061" s="17" t="str">
        <x:v>Use the source_record_paths field to trace the underlying discovery inputs.</x:v>
      </x:c>
      <x:c r="P1061" s="18" t="e">
        <x:f>HYPERLINK("https://www.bradley.edu","Open source")</x:f>
        <x:v>HYPERLINK is not implemented. linkLocation=https://www.bradley.edu, friendlyName=Open source</x:v>
      </x:c>
    </x:row>
    <x:row r="1062" ht="46" customHeight="1">
      <x:c r="A1062" s="17" t="str">
        <x:v>stage3src:eb0321e42ba6b21cede9</x:v>
      </x:c>
      <x:c r="B1062" s="17" t="str">
        <x:v>program</x:v>
      </x:c>
      <x:c r="C1062" s="17" t="str">
        <x:v>Chicago State University</x:v>
      </x:c>
      <x:c r="D1062" s="17" t="str">
        <x:v>us:ipeds:144005:program:unclear:ipeds-discovery-signal-computer-science-cip-11-0701</x:v>
      </x:c>
      <x:c r="E1062" s="17" t="str"/>
      <x:c r="F1062" s="17" t="str">
        <x:v>discovery</x:v>
      </x:c>
      <x:c r="G1062" s="17" t="str">
        <x:v>Stage 2 recorded this row as a discovery candidate; it does not independently verify an exact current research program, eligibility, or funding.</x:v>
      </x:c>
      <x:c r="H1062" s="17" t="str">
        <x:v>Pass 2 Stage 2 candidate funnel</x:v>
      </x:c>
      <x:c r="I1062" s="17" t="str">
        <x:v>Graduate audit pipeline</x:v>
      </x:c>
      <x:c r="J1062" s="17" t="str">
        <x:v>derived</x:v>
      </x:c>
      <x:c r="K1062" s="17" t="str">
        <x:v>2026-09-11</x:v>
      </x:c>
      <x:c r="L1062" s="17" t="str">
        <x:v>Not cycle-specific</x:v>
      </x:c>
      <x:c r="M1062" s="17" t="str">
        <x:v>low</x:v>
      </x:c>
      <x:c r="N1062" s="17" t="str">
        <x:v>Discovery evidence only</x:v>
      </x:c>
      <x:c r="O1062" s="17" t="str">
        <x:v>Use the source_record_paths field to trace the underlying discovery inputs.</x:v>
      </x:c>
      <x:c r="P1062" s="18" t="e">
        <x:f>HYPERLINK("https://www.csu.edu","Open source")</x:f>
        <x:v>HYPERLINK is not implemented. linkLocation=https://www.csu.edu, friendlyName=Open source</x:v>
      </x:c>
    </x:row>
    <x:row r="1063" ht="46" customHeight="1">
      <x:c r="A1063" s="17" t="str">
        <x:v>stage3src:5cfd96937ec0162dd3e7</x:v>
      </x:c>
      <x:c r="B1063" s="17" t="str">
        <x:v>program</x:v>
      </x:c>
      <x:c r="C1063" s="17" t="str">
        <x:v>University of Chicago</x:v>
      </x:c>
      <x:c r="D1063" s="17" t="str">
        <x:v>us:ipeds:144050:program:unclear:ipeds-discovery-signal-computer-and-information-sciences-other-cip-11-0199</x:v>
      </x:c>
      <x:c r="E1063" s="17" t="str"/>
      <x:c r="F1063" s="17" t="str">
        <x:v>discovery</x:v>
      </x:c>
      <x:c r="G1063" s="17" t="str">
        <x:v>Stage 2 recorded this row as a discovery candidate; it does not independently verify an exact current research program, eligibility, or funding.</x:v>
      </x:c>
      <x:c r="H1063" s="17" t="str">
        <x:v>Pass 2 Stage 2 candidate funnel</x:v>
      </x:c>
      <x:c r="I1063" s="17" t="str">
        <x:v>Graduate audit pipeline</x:v>
      </x:c>
      <x:c r="J1063" s="17" t="str">
        <x:v>derived</x:v>
      </x:c>
      <x:c r="K1063" s="17" t="str">
        <x:v>2026-09-11</x:v>
      </x:c>
      <x:c r="L1063" s="17" t="str">
        <x:v>Not cycle-specific</x:v>
      </x:c>
      <x:c r="M1063" s="17" t="str">
        <x:v>low</x:v>
      </x:c>
      <x:c r="N1063" s="17" t="str">
        <x:v>Discovery evidence only</x:v>
      </x:c>
      <x:c r="O1063" s="17" t="str">
        <x:v>Use the source_record_paths field to trace the underlying discovery inputs.</x:v>
      </x:c>
      <x:c r="P1063" s="18" t="e">
        <x:f>HYPERLINK("https://www.uchicago.edu","Open source")</x:f>
        <x:v>HYPERLINK is not implemented. linkLocation=https://www.uchicago.edu, friendlyName=Open source</x:v>
      </x:c>
    </x:row>
    <x:row r="1064" ht="46" customHeight="1">
      <x:c r="A1064" s="17" t="str">
        <x:v>stage3src:066465967db2cf38d266</x:v>
      </x:c>
      <x:c r="B1064" s="17" t="str">
        <x:v>program</x:v>
      </x:c>
      <x:c r="C1064" s="17" t="str">
        <x:v>University of Chicago</x:v>
      </x:c>
      <x:c r="D1064" s="17" t="str">
        <x:v>us:ipeds:144050:program:unclear:ipeds-discovery-signal-computer-science-cip-11-0701</x:v>
      </x:c>
      <x:c r="E1064" s="17" t="str"/>
      <x:c r="F1064" s="17" t="str">
        <x:v>discovery</x:v>
      </x:c>
      <x:c r="G1064" s="17" t="str">
        <x:v>Stage 2 recorded this row as a discovery candidate; it does not independently verify an exact current research program, eligibility, or funding.</x:v>
      </x:c>
      <x:c r="H1064" s="17" t="str">
        <x:v>Pass 2 Stage 2 candidate funnel</x:v>
      </x:c>
      <x:c r="I1064" s="17" t="str">
        <x:v>Graduate audit pipeline</x:v>
      </x:c>
      <x:c r="J1064" s="17" t="str">
        <x:v>derived</x:v>
      </x:c>
      <x:c r="K1064" s="17" t="str">
        <x:v>2026-09-11</x:v>
      </x:c>
      <x:c r="L1064" s="17" t="str">
        <x:v>Not cycle-specific</x:v>
      </x:c>
      <x:c r="M1064" s="17" t="str">
        <x:v>low</x:v>
      </x:c>
      <x:c r="N1064" s="17" t="str">
        <x:v>Discovery evidence only</x:v>
      </x:c>
      <x:c r="O1064" s="17" t="str">
        <x:v>Use the source_record_paths field to trace the underlying discovery inputs.</x:v>
      </x:c>
      <x:c r="P1064" s="18" t="e">
        <x:f>HYPERLINK("https://www.uchicago.edu","Open source")</x:f>
        <x:v>HYPERLINK is not implemented. linkLocation=https://www.uchicago.edu, friendlyName=Open source</x:v>
      </x:c>
    </x:row>
    <x:row r="1065" ht="46" customHeight="1">
      <x:c r="A1065" s="17" t="str">
        <x:v>stage3src:f1303e97d84f31fce9f1</x:v>
      </x:c>
      <x:c r="B1065" s="17" t="str">
        <x:v>program</x:v>
      </x:c>
      <x:c r="C1065" s="17" t="str">
        <x:v>University of Chicago</x:v>
      </x:c>
      <x:c r="D1065" s="17" t="str">
        <x:v>us:ipeds:144050:program:unclear:ipeds-discovery-signal-data-analytics-general-cip-30-7101</x:v>
      </x:c>
      <x:c r="E1065" s="17" t="str"/>
      <x:c r="F1065" s="17" t="str">
        <x:v>discovery</x:v>
      </x:c>
      <x:c r="G1065" s="17" t="str">
        <x:v>Stage 2 recorded this row as a discovery candidate; it does not independently verify an exact current research program, eligibility, or funding.</x:v>
      </x:c>
      <x:c r="H1065" s="17" t="str">
        <x:v>Pass 2 Stage 2 candidate funnel</x:v>
      </x:c>
      <x:c r="I1065" s="17" t="str">
        <x:v>Graduate audit pipeline</x:v>
      </x:c>
      <x:c r="J1065" s="17" t="str">
        <x:v>derived</x:v>
      </x:c>
      <x:c r="K1065" s="17" t="str">
        <x:v>2026-09-11</x:v>
      </x:c>
      <x:c r="L1065" s="17" t="str">
        <x:v>Not cycle-specific</x:v>
      </x:c>
      <x:c r="M1065" s="17" t="str">
        <x:v>low</x:v>
      </x:c>
      <x:c r="N1065" s="17" t="str">
        <x:v>Discovery evidence only</x:v>
      </x:c>
      <x:c r="O1065" s="17" t="str">
        <x:v>Use the source_record_paths field to trace the underlying discovery inputs.</x:v>
      </x:c>
      <x:c r="P1065" s="18" t="e">
        <x:f>HYPERLINK("https://www.uchicago.edu","Open source")</x:f>
        <x:v>HYPERLINK is not implemented. linkLocation=https://www.uchicago.edu, friendlyName=Open source</x:v>
      </x:c>
    </x:row>
    <x:row r="1066" ht="46" customHeight="1">
      <x:c r="A1066" s="17" t="str">
        <x:v>stage3src:bccc35ce8a67b1b5bdb4</x:v>
      </x:c>
      <x:c r="B1066" s="17" t="str">
        <x:v>program</x:v>
      </x:c>
      <x:c r="C1066" s="17" t="str">
        <x:v>University of Chicago</x:v>
      </x:c>
      <x:c r="D1066" s="17" t="str">
        <x:v>us:ipeds:144050:program:unclear:ipeds-discovery-signal-information-science-studies-cip-11-0401</x:v>
      </x:c>
      <x:c r="E1066" s="17" t="str"/>
      <x:c r="F1066" s="17" t="str">
        <x:v>discovery</x:v>
      </x:c>
      <x:c r="G1066" s="17" t="str">
        <x:v>Stage 2 recorded this row as a discovery candidate; it does not independently verify an exact current research program, eligibility, or funding.</x:v>
      </x:c>
      <x:c r="H1066" s="17" t="str">
        <x:v>Pass 2 Stage 2 candidate funnel</x:v>
      </x:c>
      <x:c r="I1066" s="17" t="str">
        <x:v>Graduate audit pipeline</x:v>
      </x:c>
      <x:c r="J1066" s="17" t="str">
        <x:v>derived</x:v>
      </x:c>
      <x:c r="K1066" s="17" t="str">
        <x:v>2026-09-11</x:v>
      </x:c>
      <x:c r="L1066" s="17" t="str">
        <x:v>Not cycle-specific</x:v>
      </x:c>
      <x:c r="M1066" s="17" t="str">
        <x:v>low</x:v>
      </x:c>
      <x:c r="N1066" s="17" t="str">
        <x:v>Discovery evidence only</x:v>
      </x:c>
      <x:c r="O1066" s="17" t="str">
        <x:v>Use the source_record_paths field to trace the underlying discovery inputs.</x:v>
      </x:c>
      <x:c r="P1066" s="18" t="e">
        <x:f>HYPERLINK("https://www.uchicago.edu","Open source")</x:f>
        <x:v>HYPERLINK is not implemented. linkLocation=https://www.uchicago.edu, friendlyName=Open source</x:v>
      </x:c>
    </x:row>
    <x:row r="1067" ht="46" customHeight="1">
      <x:c r="A1067" s="17" t="str">
        <x:v>stage3src:035b356db92961a795bf</x:v>
      </x:c>
      <x:c r="B1067" s="17" t="str">
        <x:v>program</x:v>
      </x:c>
      <x:c r="C1067" s="17" t="str">
        <x:v>Concordia University-Chicago</x:v>
      </x:c>
      <x:c r="D1067" s="17" t="str">
        <x:v>us:ipeds:144351:program:unclear:ipeds-discovery-signal-computer-and-information-sciences-general-cip-11-0101</x:v>
      </x:c>
      <x:c r="E1067" s="17" t="str"/>
      <x:c r="F1067" s="17" t="str">
        <x:v>discovery</x:v>
      </x:c>
      <x:c r="G1067" s="17" t="str">
        <x:v>Stage 2 recorded this row as a discovery candidate; it does not independently verify an exact current research program, eligibility, or funding.</x:v>
      </x:c>
      <x:c r="H1067" s="17" t="str">
        <x:v>Pass 2 Stage 2 candidate funnel</x:v>
      </x:c>
      <x:c r="I1067" s="17" t="str">
        <x:v>Graduate audit pipeline</x:v>
      </x:c>
      <x:c r="J1067" s="17" t="str">
        <x:v>derived</x:v>
      </x:c>
      <x:c r="K1067" s="17" t="str">
        <x:v>2026-09-11</x:v>
      </x:c>
      <x:c r="L1067" s="17" t="str">
        <x:v>Not cycle-specific</x:v>
      </x:c>
      <x:c r="M1067" s="17" t="str">
        <x:v>low</x:v>
      </x:c>
      <x:c r="N1067" s="17" t="str">
        <x:v>Discovery evidence only</x:v>
      </x:c>
      <x:c r="O1067" s="17" t="str">
        <x:v>Use the source_record_paths field to trace the underlying discovery inputs.</x:v>
      </x:c>
      <x:c r="P1067" s="18" t="e">
        <x:f>HYPERLINK("https://www.cuchicago.edu","Open source")</x:f>
        <x:v>HYPERLINK is not implemented. linkLocation=https://www.cuchicago.edu, friendlyName=Open source</x:v>
      </x:c>
    </x:row>
    <x:row r="1068" ht="46" customHeight="1">
      <x:c r="A1068" s="17" t="str">
        <x:v>stage3src:7887416cfa16a598b073</x:v>
      </x:c>
      <x:c r="B1068" s="17" t="str">
        <x:v>program</x:v>
      </x:c>
      <x:c r="C1068" s="17" t="str">
        <x:v>DePaul University</x:v>
      </x:c>
      <x:c r="D1068" s="17" t="str">
        <x:v>us:ipeds:144740:program:unclear:ipeds-discovery-signal-artificial-intelligence-cip-11-0102</x:v>
      </x:c>
      <x:c r="E1068" s="17" t="str"/>
      <x:c r="F1068" s="17" t="str">
        <x:v>discovery</x:v>
      </x:c>
      <x:c r="G1068" s="17" t="str">
        <x:v>Stage 2 recorded this row as a discovery candidate; it does not independently verify an exact current research program, eligibility, or funding.</x:v>
      </x:c>
      <x:c r="H1068" s="17" t="str">
        <x:v>Pass 2 Stage 2 candidate funnel</x:v>
      </x:c>
      <x:c r="I1068" s="17" t="str">
        <x:v>Graduate audit pipeline</x:v>
      </x:c>
      <x:c r="J1068" s="17" t="str">
        <x:v>derived</x:v>
      </x:c>
      <x:c r="K1068" s="17" t="str">
        <x:v>2026-09-11</x:v>
      </x:c>
      <x:c r="L1068" s="17" t="str">
        <x:v>Not cycle-specific</x:v>
      </x:c>
      <x:c r="M1068" s="17" t="str">
        <x:v>low</x:v>
      </x:c>
      <x:c r="N1068" s="17" t="str">
        <x:v>Discovery evidence only</x:v>
      </x:c>
      <x:c r="O1068" s="17" t="str">
        <x:v>Use the source_record_paths field to trace the underlying discovery inputs.</x:v>
      </x:c>
      <x:c r="P1068" s="18" t="e">
        <x:f>HYPERLINK("https://www.depaul.edu","Open source")</x:f>
        <x:v>HYPERLINK is not implemented. linkLocation=https://www.depaul.edu, friendlyName=Open source</x:v>
      </x:c>
    </x:row>
    <x:row r="1069" ht="46" customHeight="1">
      <x:c r="A1069" s="17" t="str">
        <x:v>stage3src:2be646229993c77bca1a</x:v>
      </x:c>
      <x:c r="B1069" s="17" t="str">
        <x:v>program</x:v>
      </x:c>
      <x:c r="C1069" s="17" t="str">
        <x:v>DePaul University</x:v>
      </x:c>
      <x:c r="D1069" s="17" t="str">
        <x:v>us:ipeds:144740:program:unclear:ipeds-discovery-signal-computer-and-information-sciences-general-cip-11-0101</x:v>
      </x:c>
      <x:c r="E1069" s="17" t="str"/>
      <x:c r="F1069" s="17" t="str">
        <x:v>discovery</x:v>
      </x:c>
      <x:c r="G1069" s="17" t="str">
        <x:v>Stage 2 recorded this row as a discovery candidate; it does not independently verify an exact current research program, eligibility, or funding.</x:v>
      </x:c>
      <x:c r="H1069" s="17" t="str">
        <x:v>Pass 2 Stage 2 candidate funnel</x:v>
      </x:c>
      <x:c r="I1069" s="17" t="str">
        <x:v>Graduate audit pipeline</x:v>
      </x:c>
      <x:c r="J1069" s="17" t="str">
        <x:v>derived</x:v>
      </x:c>
      <x:c r="K1069" s="17" t="str">
        <x:v>2026-09-11</x:v>
      </x:c>
      <x:c r="L1069" s="17" t="str">
        <x:v>Not cycle-specific</x:v>
      </x:c>
      <x:c r="M1069" s="17" t="str">
        <x:v>low</x:v>
      </x:c>
      <x:c r="N1069" s="17" t="str">
        <x:v>Discovery evidence only</x:v>
      </x:c>
      <x:c r="O1069" s="17" t="str">
        <x:v>Use the source_record_paths field to trace the underlying discovery inputs.</x:v>
      </x:c>
      <x:c r="P1069" s="18" t="e">
        <x:f>HYPERLINK("https://www.depaul.edu","Open source")</x:f>
        <x:v>HYPERLINK is not implemented. linkLocation=https://www.depaul.edu, friendlyName=Open source</x:v>
      </x:c>
    </x:row>
    <x:row r="1070" ht="46" customHeight="1">
      <x:c r="A1070" s="17" t="str">
        <x:v>stage3src:89d9c0450564b5b5ff1e</x:v>
      </x:c>
      <x:c r="B1070" s="17" t="str">
        <x:v>program</x:v>
      </x:c>
      <x:c r="C1070" s="17" t="str">
        <x:v>DePaul University</x:v>
      </x:c>
      <x:c r="D1070" s="17" t="str">
        <x:v>us:ipeds:144740:program:unclear:ipeds-discovery-signal-computer-and-information-systems-security-auditing-information-assurance-cip-11-1003</x:v>
      </x:c>
      <x:c r="E1070" s="17" t="str"/>
      <x:c r="F1070" s="17" t="str">
        <x:v>discovery</x:v>
      </x:c>
      <x:c r="G1070" s="17" t="str">
        <x:v>Stage 2 recorded this row as a discovery candidate; it does not independently verify an exact current research program, eligibility, or funding.</x:v>
      </x:c>
      <x:c r="H1070" s="17" t="str">
        <x:v>Pass 2 Stage 2 candidate funnel</x:v>
      </x:c>
      <x:c r="I1070" s="17" t="str">
        <x:v>Graduate audit pipeline</x:v>
      </x:c>
      <x:c r="J1070" s="17" t="str">
        <x:v>derived</x:v>
      </x:c>
      <x:c r="K1070" s="17" t="str">
        <x:v>2026-09-11</x:v>
      </x:c>
      <x:c r="L1070" s="17" t="str">
        <x:v>Not cycle-specific</x:v>
      </x:c>
      <x:c r="M1070" s="17" t="str">
        <x:v>low</x:v>
      </x:c>
      <x:c r="N1070" s="17" t="str">
        <x:v>Discovery evidence only</x:v>
      </x:c>
      <x:c r="O1070" s="17" t="str">
        <x:v>Use the source_record_paths field to trace the underlying discovery inputs.</x:v>
      </x:c>
      <x:c r="P1070" s="18" t="e">
        <x:f>HYPERLINK("https://www.depaul.edu","Open source")</x:f>
        <x:v>HYPERLINK is not implemented. linkLocation=https://www.depaul.edu, friendlyName=Open source</x:v>
      </x:c>
    </x:row>
    <x:row r="1071" ht="46" customHeight="1">
      <x:c r="A1071" s="17" t="str">
        <x:v>stage3src:ff1c68cba15541db69a4</x:v>
      </x:c>
      <x:c r="B1071" s="17" t="str">
        <x:v>program</x:v>
      </x:c>
      <x:c r="C1071" s="17" t="str">
        <x:v>DePaul University</x:v>
      </x:c>
      <x:c r="D1071" s="17" t="str">
        <x:v>us:ipeds:144740:program:unclear:ipeds-discovery-signal-computer-science-cip-11-0701</x:v>
      </x:c>
      <x:c r="E1071" s="17" t="str"/>
      <x:c r="F1071" s="17" t="str">
        <x:v>discovery</x:v>
      </x:c>
      <x:c r="G1071" s="17" t="str">
        <x:v>Stage 2 recorded this row as a discovery candidate; it does not independently verify an exact current research program, eligibility, or funding.</x:v>
      </x:c>
      <x:c r="H1071" s="17" t="str">
        <x:v>Pass 2 Stage 2 candidate funnel</x:v>
      </x:c>
      <x:c r="I1071" s="17" t="str">
        <x:v>Graduate audit pipeline</x:v>
      </x:c>
      <x:c r="J1071" s="17" t="str">
        <x:v>derived</x:v>
      </x:c>
      <x:c r="K1071" s="17" t="str">
        <x:v>2026-09-11</x:v>
      </x:c>
      <x:c r="L1071" s="17" t="str">
        <x:v>Not cycle-specific</x:v>
      </x:c>
      <x:c r="M1071" s="17" t="str">
        <x:v>low</x:v>
      </x:c>
      <x:c r="N1071" s="17" t="str">
        <x:v>Discovery evidence only</x:v>
      </x:c>
      <x:c r="O1071" s="17" t="str">
        <x:v>Use the source_record_paths field to trace the underlying discovery inputs.</x:v>
      </x:c>
      <x:c r="P1071" s="18" t="e">
        <x:f>HYPERLINK("https://www.depaul.edu","Open source")</x:f>
        <x:v>HYPERLINK is not implemented. linkLocation=https://www.depaul.edu, friendlyName=Open source</x:v>
      </x:c>
    </x:row>
    <x:row r="1072" ht="46" customHeight="1">
      <x:c r="A1072" s="17" t="str">
        <x:v>stage3src:5f3447a6515a65841198</x:v>
      </x:c>
      <x:c r="B1072" s="17" t="str">
        <x:v>program</x:v>
      </x:c>
      <x:c r="C1072" s="17" t="str">
        <x:v>DePaul University</x:v>
      </x:c>
      <x:c r="D1072" s="17" t="str">
        <x:v>us:ipeds:144740:program:unclear:ipeds-discovery-signal-computer-software-engineering-cip-14-0903</x:v>
      </x:c>
      <x:c r="E1072" s="17" t="str"/>
      <x:c r="F1072" s="17" t="str">
        <x:v>discovery</x:v>
      </x:c>
      <x:c r="G1072" s="17" t="str">
        <x:v>Stage 2 recorded this row as a discovery candidate; it does not independently verify an exact current research program, eligibility, or funding.</x:v>
      </x:c>
      <x:c r="H1072" s="17" t="str">
        <x:v>Pass 2 Stage 2 candidate funnel</x:v>
      </x:c>
      <x:c r="I1072" s="17" t="str">
        <x:v>Graduate audit pipeline</x:v>
      </x:c>
      <x:c r="J1072" s="17" t="str">
        <x:v>derived</x:v>
      </x:c>
      <x:c r="K1072" s="17" t="str">
        <x:v>2026-09-11</x:v>
      </x:c>
      <x:c r="L1072" s="17" t="str">
        <x:v>Not cycle-specific</x:v>
      </x:c>
      <x:c r="M1072" s="17" t="str">
        <x:v>low</x:v>
      </x:c>
      <x:c r="N1072" s="17" t="str">
        <x:v>Discovery evidence only</x:v>
      </x:c>
      <x:c r="O1072" s="17" t="str">
        <x:v>Use the source_record_paths field to trace the underlying discovery inputs.</x:v>
      </x:c>
      <x:c r="P1072" s="18" t="e">
        <x:f>HYPERLINK("https://www.depaul.edu","Open source")</x:f>
        <x:v>HYPERLINK is not implemented. linkLocation=https://www.depaul.edu, friendlyName=Open source</x:v>
      </x:c>
    </x:row>
    <x:row r="1073" ht="46" customHeight="1">
      <x:c r="A1073" s="17" t="str">
        <x:v>stage3src:a9a9f21b6e139886c3c0</x:v>
      </x:c>
      <x:c r="B1073" s="17" t="str">
        <x:v>program</x:v>
      </x:c>
      <x:c r="C1073" s="17" t="str">
        <x:v>DePaul University</x:v>
      </x:c>
      <x:c r="D1073" s="17" t="str">
        <x:v>us:ipeds:144740:program:unclear:ipeds-discovery-signal-computer-systems-networking-and-telecommunications-cip-11-0901</x:v>
      </x:c>
      <x:c r="E1073" s="17" t="str"/>
      <x:c r="F1073" s="17" t="str">
        <x:v>discovery</x:v>
      </x:c>
      <x:c r="G1073" s="17" t="str">
        <x:v>Stage 2 recorded this row as a discovery candidate; it does not independently verify an exact current research program, eligibility, or funding.</x:v>
      </x:c>
      <x:c r="H1073" s="17" t="str">
        <x:v>Pass 2 Stage 2 candidate funnel</x:v>
      </x:c>
      <x:c r="I1073" s="17" t="str">
        <x:v>Graduate audit pipeline</x:v>
      </x:c>
      <x:c r="J1073" s="17" t="str">
        <x:v>derived</x:v>
      </x:c>
      <x:c r="K1073" s="17" t="str">
        <x:v>2026-09-11</x:v>
      </x:c>
      <x:c r="L1073" s="17" t="str">
        <x:v>Not cycle-specific</x:v>
      </x:c>
      <x:c r="M1073" s="17" t="str">
        <x:v>low</x:v>
      </x:c>
      <x:c r="N1073" s="17" t="str">
        <x:v>Discovery evidence only</x:v>
      </x:c>
      <x:c r="O1073" s="17" t="str">
        <x:v>Use the source_record_paths field to trace the underlying discovery inputs.</x:v>
      </x:c>
      <x:c r="P1073" s="18" t="e">
        <x:f>HYPERLINK("https://www.depaul.edu","Open source")</x:f>
        <x:v>HYPERLINK is not implemented. linkLocation=https://www.depaul.edu, friendlyName=Open source</x:v>
      </x:c>
    </x:row>
    <x:row r="1074" ht="46" customHeight="1">
      <x:c r="A1074" s="17" t="str">
        <x:v>stage3src:9af465c5c64a147ecd04</x:v>
      </x:c>
      <x:c r="B1074" s="17" t="str">
        <x:v>program</x:v>
      </x:c>
      <x:c r="C1074" s="17" t="str">
        <x:v>DePaul University</x:v>
      </x:c>
      <x:c r="D1074" s="17" t="str">
        <x:v>us:ipeds:144740:program:unclear:ipeds-discovery-signal-informatics-cip-11-0104</x:v>
      </x:c>
      <x:c r="E1074" s="17" t="str"/>
      <x:c r="F1074" s="17" t="str">
        <x:v>discovery</x:v>
      </x:c>
      <x:c r="G1074" s="17" t="str">
        <x:v>Stage 2 recorded this row as a discovery candidate; it does not independently verify an exact current research program, eligibility, or funding.</x:v>
      </x:c>
      <x:c r="H1074" s="17" t="str">
        <x:v>Pass 2 Stage 2 candidate funnel</x:v>
      </x:c>
      <x:c r="I1074" s="17" t="str">
        <x:v>Graduate audit pipeline</x:v>
      </x:c>
      <x:c r="J1074" s="17" t="str">
        <x:v>derived</x:v>
      </x:c>
      <x:c r="K1074" s="17" t="str">
        <x:v>2026-09-11</x:v>
      </x:c>
      <x:c r="L1074" s="17" t="str">
        <x:v>Not cycle-specific</x:v>
      </x:c>
      <x:c r="M1074" s="17" t="str">
        <x:v>low</x:v>
      </x:c>
      <x:c r="N1074" s="17" t="str">
        <x:v>Discovery evidence only</x:v>
      </x:c>
      <x:c r="O1074" s="17" t="str">
        <x:v>Use the source_record_paths field to trace the underlying discovery inputs.</x:v>
      </x:c>
      <x:c r="P1074" s="18" t="e">
        <x:f>HYPERLINK("https://www.depaul.edu","Open source")</x:f>
        <x:v>HYPERLINK is not implemented. linkLocation=https://www.depaul.edu, friendlyName=Open source</x:v>
      </x:c>
    </x:row>
    <x:row r="1075" ht="46" customHeight="1">
      <x:c r="A1075" s="17" t="str">
        <x:v>stage3src:560b06bb55413026842e</x:v>
      </x:c>
      <x:c r="B1075" s="17" t="str">
        <x:v>program</x:v>
      </x:c>
      <x:c r="C1075" s="17" t="str">
        <x:v>DePaul University</x:v>
      </x:c>
      <x:c r="D1075" s="17" t="str">
        <x:v>us:ipeds:144740:program:unclear:ipeds-discovery-signal-information-science-studies-cip-11-0401</x:v>
      </x:c>
      <x:c r="E1075" s="17" t="str"/>
      <x:c r="F1075" s="17" t="str">
        <x:v>discovery</x:v>
      </x:c>
      <x:c r="G1075" s="17" t="str">
        <x:v>Stage 2 recorded this row as a discovery candidate; it does not independently verify an exact current research program, eligibility, or funding.</x:v>
      </x:c>
      <x:c r="H1075" s="17" t="str">
        <x:v>Pass 2 Stage 2 candidate funnel</x:v>
      </x:c>
      <x:c r="I1075" s="17" t="str">
        <x:v>Graduate audit pipeline</x:v>
      </x:c>
      <x:c r="J1075" s="17" t="str">
        <x:v>derived</x:v>
      </x:c>
      <x:c r="K1075" s="17" t="str">
        <x:v>2026-09-11</x:v>
      </x:c>
      <x:c r="L1075" s="17" t="str">
        <x:v>Not cycle-specific</x:v>
      </x:c>
      <x:c r="M1075" s="17" t="str">
        <x:v>low</x:v>
      </x:c>
      <x:c r="N1075" s="17" t="str">
        <x:v>Discovery evidence only</x:v>
      </x:c>
      <x:c r="O1075" s="17" t="str">
        <x:v>Use the source_record_paths field to trace the underlying discovery inputs.</x:v>
      </x:c>
      <x:c r="P1075" s="18" t="e">
        <x:f>HYPERLINK("https://www.depaul.edu","Open source")</x:f>
        <x:v>HYPERLINK is not implemented. linkLocation=https://www.depaul.edu, friendlyName=Open source</x:v>
      </x:c>
    </x:row>
    <x:row r="1076" ht="46" customHeight="1">
      <x:c r="A1076" s="17" t="str">
        <x:v>stage3src:de23cf252a2bb75fb495</x:v>
      </x:c>
      <x:c r="B1076" s="17" t="str">
        <x:v>program</x:v>
      </x:c>
      <x:c r="C1076" s="17" t="str">
        <x:v>Eastern Illinois University</x:v>
      </x:c>
      <x:c r="D1076" s="17" t="str">
        <x:v>us:ipeds:144892:program:unclear:ipeds-discovery-signal-cyber-computer-forensics-and-counterterrorism-cip-43-0403</x:v>
      </x:c>
      <x:c r="E1076" s="17" t="str"/>
      <x:c r="F1076" s="17" t="str">
        <x:v>discovery</x:v>
      </x:c>
      <x:c r="G1076" s="17" t="str">
        <x:v>Stage 2 recorded this row as a discovery candidate; it does not independently verify an exact current research program, eligibility, or funding.</x:v>
      </x:c>
      <x:c r="H1076" s="17" t="str">
        <x:v>Pass 2 Stage 2 candidate funnel</x:v>
      </x:c>
      <x:c r="I1076" s="17" t="str">
        <x:v>Graduate audit pipeline</x:v>
      </x:c>
      <x:c r="J1076" s="17" t="str">
        <x:v>derived</x:v>
      </x:c>
      <x:c r="K1076" s="17" t="str">
        <x:v>2026-09-11</x:v>
      </x:c>
      <x:c r="L1076" s="17" t="str">
        <x:v>Not cycle-specific</x:v>
      </x:c>
      <x:c r="M1076" s="17" t="str">
        <x:v>low</x:v>
      </x:c>
      <x:c r="N1076" s="17" t="str">
        <x:v>Discovery evidence only</x:v>
      </x:c>
      <x:c r="O1076" s="17" t="str">
        <x:v>Use the source_record_paths field to trace the underlying discovery inputs.</x:v>
      </x:c>
      <x:c r="P1076" s="18" t="e">
        <x:f>HYPERLINK("https://www.eiu.edu","Open source")</x:f>
        <x:v>HYPERLINK is not implemented. linkLocation=https://www.eiu.edu, friendlyName=Open source</x:v>
      </x:c>
    </x:row>
    <x:row r="1077" ht="46" customHeight="1">
      <x:c r="A1077" s="17" t="str">
        <x:v>stage3src:69701877f5f39dc46825</x:v>
      </x:c>
      <x:c r="B1077" s="17" t="str">
        <x:v>program</x:v>
      </x:c>
      <x:c r="C1077" s="17" t="str">
        <x:v>Elmhurst University</x:v>
      </x:c>
      <x:c r="D1077" s="17" t="str">
        <x:v>us:ipeds:144962:program:unclear:ipeds-discovery-signal-computer-systems-networking-and-telecommunications-cip-11-0901</x:v>
      </x:c>
      <x:c r="E1077" s="17" t="str"/>
      <x:c r="F1077" s="17" t="str">
        <x:v>discovery</x:v>
      </x:c>
      <x:c r="G1077" s="17" t="str">
        <x:v>Stage 2 recorded this row as a discovery candidate; it does not independently verify an exact current research program, eligibility, or funding.</x:v>
      </x:c>
      <x:c r="H1077" s="17" t="str">
        <x:v>Pass 2 Stage 2 candidate funnel</x:v>
      </x:c>
      <x:c r="I1077" s="17" t="str">
        <x:v>Graduate audit pipeline</x:v>
      </x:c>
      <x:c r="J1077" s="17" t="str">
        <x:v>derived</x:v>
      </x:c>
      <x:c r="K1077" s="17" t="str">
        <x:v>2026-09-11</x:v>
      </x:c>
      <x:c r="L1077" s="17" t="str">
        <x:v>Not cycle-specific</x:v>
      </x:c>
      <x:c r="M1077" s="17" t="str">
        <x:v>low</x:v>
      </x:c>
      <x:c r="N1077" s="17" t="str">
        <x:v>Discovery evidence only</x:v>
      </x:c>
      <x:c r="O1077" s="17" t="str">
        <x:v>Use the source_record_paths field to trace the underlying discovery inputs.</x:v>
      </x:c>
      <x:c r="P1077" s="18" t="e">
        <x:f>HYPERLINK("https://www.elmhurst.edu","Open source")</x:f>
        <x:v>HYPERLINK is not implemented. linkLocation=https://www.elmhurst.edu, friendlyName=Open source</x:v>
      </x:c>
    </x:row>
    <x:row r="1078" ht="46" customHeight="1">
      <x:c r="A1078" s="17" t="str">
        <x:v>stage3src:be13d3d7fcbb9a559dce</x:v>
      </x:c>
      <x:c r="B1078" s="17" t="str">
        <x:v>program</x:v>
      </x:c>
      <x:c r="C1078" s="17" t="str">
        <x:v>Governors State University</x:v>
      </x:c>
      <x:c r="D1078" s="17" t="str">
        <x:v>us:ipeds:145336:program:unclear:ipeds-discovery-signal-computer-and-information-systems-security-auditing-information-assurance-cip-11-1003</x:v>
      </x:c>
      <x:c r="E1078" s="17" t="str"/>
      <x:c r="F1078" s="17" t="str">
        <x:v>discovery</x:v>
      </x:c>
      <x:c r="G1078" s="17" t="str">
        <x:v>Stage 2 recorded this row as a discovery candidate; it does not independently verify an exact current research program, eligibility, or funding.</x:v>
      </x:c>
      <x:c r="H1078" s="17" t="str">
        <x:v>Pass 2 Stage 2 candidate funnel</x:v>
      </x:c>
      <x:c r="I1078" s="17" t="str">
        <x:v>Graduate audit pipeline</x:v>
      </x:c>
      <x:c r="J1078" s="17" t="str">
        <x:v>derived</x:v>
      </x:c>
      <x:c r="K1078" s="17" t="str">
        <x:v>2026-09-11</x:v>
      </x:c>
      <x:c r="L1078" s="17" t="str">
        <x:v>Not cycle-specific</x:v>
      </x:c>
      <x:c r="M1078" s="17" t="str">
        <x:v>low</x:v>
      </x:c>
      <x:c r="N1078" s="17" t="str">
        <x:v>Discovery evidence only</x:v>
      </x:c>
      <x:c r="O1078" s="17" t="str">
        <x:v>Use the source_record_paths field to trace the underlying discovery inputs.</x:v>
      </x:c>
      <x:c r="P1078" s="18" t="e">
        <x:f>HYPERLINK("https://www.govst.edu","Open source")</x:f>
        <x:v>HYPERLINK is not implemented. linkLocation=https://www.govst.edu, friendlyName=Open source</x:v>
      </x:c>
    </x:row>
    <x:row r="1079" ht="46" customHeight="1">
      <x:c r="A1079" s="17" t="str">
        <x:v>stage3src:2a6cc74f534947cd3c31</x:v>
      </x:c>
      <x:c r="B1079" s="17" t="str">
        <x:v>program</x:v>
      </x:c>
      <x:c r="C1079" s="17" t="str">
        <x:v>Governors State University</x:v>
      </x:c>
      <x:c r="D1079" s="17" t="str">
        <x:v>us:ipeds:145336:program:unclear:ipeds-discovery-signal-computer-science-cip-11-0701</x:v>
      </x:c>
      <x:c r="E1079" s="17" t="str"/>
      <x:c r="F1079" s="17" t="str">
        <x:v>discovery</x:v>
      </x:c>
      <x:c r="G1079" s="17" t="str">
        <x:v>Stage 2 recorded this row as a discovery candidate; it does not independently verify an exact current research program, eligibility, or funding.</x:v>
      </x:c>
      <x:c r="H1079" s="17" t="str">
        <x:v>Pass 2 Stage 2 candidate funnel</x:v>
      </x:c>
      <x:c r="I1079" s="17" t="str">
        <x:v>Graduate audit pipeline</x:v>
      </x:c>
      <x:c r="J1079" s="17" t="str">
        <x:v>derived</x:v>
      </x:c>
      <x:c r="K1079" s="17" t="str">
        <x:v>2026-09-11</x:v>
      </x:c>
      <x:c r="L1079" s="17" t="str">
        <x:v>Not cycle-specific</x:v>
      </x:c>
      <x:c r="M1079" s="17" t="str">
        <x:v>low</x:v>
      </x:c>
      <x:c r="N1079" s="17" t="str">
        <x:v>Discovery evidence only</x:v>
      </x:c>
      <x:c r="O1079" s="17" t="str">
        <x:v>Use the source_record_paths field to trace the underlying discovery inputs.</x:v>
      </x:c>
      <x:c r="P1079" s="18" t="e">
        <x:f>HYPERLINK("https://www.govst.edu","Open source")</x:f>
        <x:v>HYPERLINK is not implemented. linkLocation=https://www.govst.edu, friendlyName=Open source</x:v>
      </x:c>
    </x:row>
    <x:row r="1080" ht="46" customHeight="1">
      <x:c r="A1080" s="17" t="str">
        <x:v>stage3src:9508571e203f1a6f099d</x:v>
      </x:c>
      <x:c r="B1080" s="17" t="str">
        <x:v>program</x:v>
      </x:c>
      <x:c r="C1080" s="17" t="str">
        <x:v>University of Illinois Chicago</x:v>
      </x:c>
      <x:c r="D1080" s="17" t="str">
        <x:v>us:ipeds:145600:program:phd:phd-in-computer-science</x:v>
      </x:c>
      <x:c r="E1080" s="17" t="str"/>
      <x:c r="F1080" s="17" t="str">
        <x:v>program|admissions|eligibility|language</x:v>
      </x:c>
      <x:c r="G1080" s="17" t="str">
        <x:v>Direct bachelor's entry, final-60-hour 3.50 GPA, and dissertation-based CS PhD.</x:v>
      </x:c>
      <x:c r="H1080" s="17" t="str">
        <x:v>Computer Science, PhD</x:v>
      </x:c>
      <x:c r="I1080" s="17" t="str">
        <x:v>University of Illinois Chicago Graduate Catalog</x:v>
      </x:c>
      <x:c r="J1080" s="17" t="str">
        <x:v>official</x:v>
      </x:c>
      <x:c r="K1080" s="17" t="str">
        <x:v>2026-09-10</x:v>
      </x:c>
      <x:c r="L1080" s="17" t="str">
        <x:v>Current catalog checked 2026-09-10</x:v>
      </x:c>
      <x:c r="M1080" s="17" t="str">
        <x:v>high</x:v>
      </x:c>
      <x:c r="N1080" s="17" t="str">
        <x:v>official page checked</x:v>
      </x:c>
      <x:c r="O1080" s="17" t="str"/>
      <x:c r="P1080" s="18" t="e">
        <x:f>HYPERLINK("https://catalog.uic.edu/gcat/colleges-schools/engineering/cs/phd/","Open source")</x:f>
        <x:v>HYPERLINK is not implemented. linkLocation=https://catalog.uic.edu/gcat/colleges-schools/engineering/cs/phd/, friendlyName=Open source</x:v>
      </x:c>
    </x:row>
    <x:row r="1081" ht="46" customHeight="1">
      <x:c r="A1081" s="17" t="str">
        <x:v>stage3src:eff4e085335540565edd</x:v>
      </x:c>
      <x:c r="B1081" s="17" t="str">
        <x:v>program</x:v>
      </x:c>
      <x:c r="C1081" s="17" t="str">
        <x:v>University of Illinois Chicago</x:v>
      </x:c>
      <x:c r="D1081" s="17" t="str">
        <x:v>us:ipeds:145600:program:phd:phd-in-computer-science</x:v>
      </x:c>
      <x:c r="E1081" s="17" t="str"/>
      <x:c r="F1081" s="17" t="str">
        <x:v>admissions|deadline|fees|funding</x:v>
      </x:c>
      <x:c r="G1081" s="17" t="str">
        <x:v>Recommended and final deadlines, Fall 2026 fee treatment, and guaranteed first-five-year funded appointment with tuition and partial fee waiver.</x:v>
      </x:c>
      <x:c r="H1081" s="17" t="str">
        <x:v>PhD Admissions</x:v>
      </x:c>
      <x:c r="I1081" s="17" t="str">
        <x:v>UIC Department of Computer Science</x:v>
      </x:c>
      <x:c r="J1081" s="17" t="str">
        <x:v>official</x:v>
      </x:c>
      <x:c r="K1081" s="17" t="str">
        <x:v>2026-09-10</x:v>
      </x:c>
      <x:c r="L1081" s="17" t="str">
        <x:v>Latest published cycle checked 2026-09-10</x:v>
      </x:c>
      <x:c r="M1081" s="17" t="str">
        <x:v>high</x:v>
      </x:c>
      <x:c r="N1081" s="17" t="str">
        <x:v>official page checked</x:v>
      </x:c>
      <x:c r="O1081" s="17" t="str"/>
      <x:c r="P1081" s="18" t="e">
        <x:f>HYPERLINK("https://cs.uic.edu/graduate/admissions/phd/","Open source")</x:f>
        <x:v>HYPERLINK is not implemented. linkLocation=https://cs.uic.edu/graduate/admissions/phd/, friendlyName=Open source</x:v>
      </x:c>
    </x:row>
    <x:row r="1082" ht="46" customHeight="1">
      <x:c r="A1082" s="17" t="str">
        <x:v>stage3src:244fae488c4df9b8eb0e</x:v>
      </x:c>
      <x:c r="B1082" s="17" t="str">
        <x:v>program</x:v>
      </x:c>
      <x:c r="C1082" s="17" t="str">
        <x:v>University of Illinois Chicago</x:v>
      </x:c>
      <x:c r="D1082" s="17" t="str">
        <x:v>us:ipeds:145600:program:unclear:ipeds-discovery-signal-computer-and-information-sciences-other-cip-11-0199</x:v>
      </x:c>
      <x:c r="E1082" s="17" t="str"/>
      <x:c r="F1082" s="17" t="str">
        <x:v>discovery</x:v>
      </x:c>
      <x:c r="G1082" s="17" t="str">
        <x:v>Stage 2 recorded this row as a discovery candidate; it does not independently verify an exact current research program, eligibility, or funding.</x:v>
      </x:c>
      <x:c r="H1082" s="17" t="str">
        <x:v>Pass 2 Stage 2 candidate funnel</x:v>
      </x:c>
      <x:c r="I1082" s="17" t="str">
        <x:v>Graduate audit pipeline</x:v>
      </x:c>
      <x:c r="J1082" s="17" t="str">
        <x:v>derived</x:v>
      </x:c>
      <x:c r="K1082" s="17" t="str">
        <x:v>2026-09-11</x:v>
      </x:c>
      <x:c r="L1082" s="17" t="str">
        <x:v>Not cycle-specific</x:v>
      </x:c>
      <x:c r="M1082" s="17" t="str">
        <x:v>low</x:v>
      </x:c>
      <x:c r="N1082" s="17" t="str">
        <x:v>Discovery evidence only</x:v>
      </x:c>
      <x:c r="O1082" s="17" t="str">
        <x:v>Use the source_record_paths field to trace the underlying discovery inputs.</x:v>
      </x:c>
      <x:c r="P1082" s="18" t="e">
        <x:f>HYPERLINK("https://www.uic.edu","Open source")</x:f>
        <x:v>HYPERLINK is not implemented. linkLocation=https://www.uic.edu, friendlyName=Open source</x:v>
      </x:c>
    </x:row>
    <x:row r="1083" ht="46" customHeight="1">
      <x:c r="A1083" s="17" t="str">
        <x:v>stage3src:2ba10b3c55e70a285b2f</x:v>
      </x:c>
      <x:c r="B1083" s="17" t="str">
        <x:v>program</x:v>
      </x:c>
      <x:c r="C1083" s="17" t="str">
        <x:v>University of Illinois Chicago</x:v>
      </x:c>
      <x:c r="D1083" s="17" t="str">
        <x:v>us:ipeds:145600:program:unclear:ipeds-discovery-signal-computer-science-cip-11-0701</x:v>
      </x:c>
      <x:c r="E1083" s="17" t="str"/>
      <x:c r="F1083" s="17" t="str">
        <x:v>discovery</x:v>
      </x:c>
      <x:c r="G1083" s="17" t="str">
        <x:v>Stage 2 recorded this row as a discovery candidate; it does not independently verify an exact current research program, eligibility, or funding.</x:v>
      </x:c>
      <x:c r="H1083" s="17" t="str">
        <x:v>Pass 2 Stage 2 candidate funnel</x:v>
      </x:c>
      <x:c r="I1083" s="17" t="str">
        <x:v>Graduate audit pipeline</x:v>
      </x:c>
      <x:c r="J1083" s="17" t="str">
        <x:v>derived</x:v>
      </x:c>
      <x:c r="K1083" s="17" t="str">
        <x:v>2026-09-11</x:v>
      </x:c>
      <x:c r="L1083" s="17" t="str">
        <x:v>Not cycle-specific</x:v>
      </x:c>
      <x:c r="M1083" s="17" t="str">
        <x:v>low</x:v>
      </x:c>
      <x:c r="N1083" s="17" t="str">
        <x:v>Discovery evidence only</x:v>
      </x:c>
      <x:c r="O1083" s="17" t="str">
        <x:v>Use the source_record_paths field to trace the underlying discovery inputs.</x:v>
      </x:c>
      <x:c r="P1083" s="18" t="e">
        <x:f>HYPERLINK("https://www.uic.edu","Open source")</x:f>
        <x:v>HYPERLINK is not implemented. linkLocation=https://www.uic.edu, friendlyName=Open source</x:v>
      </x:c>
    </x:row>
    <x:row r="1084" ht="46" customHeight="1">
      <x:c r="A1084" s="17" t="str">
        <x:v>stage3src:1e61da9ed4a8559fd76c</x:v>
      </x:c>
      <x:c r="B1084" s="17" t="str">
        <x:v>program</x:v>
      </x:c>
      <x:c r="C1084" s="17" t="str">
        <x:v>University of Illinois Chicago</x:v>
      </x:c>
      <x:c r="D1084" s="17" t="str">
        <x:v>us:ipeds:145600:program:unclear:ipeds-discovery-signal-electrical-and-electronics-engineering-cip-14-1001</x:v>
      </x:c>
      <x:c r="E1084" s="17" t="str"/>
      <x:c r="F1084" s="17" t="str">
        <x:v>discovery</x:v>
      </x:c>
      <x:c r="G1084" s="17" t="str">
        <x:v>Stage 2 recorded this row as a discovery candidate; it does not independently verify an exact current research program, eligibility, or funding.</x:v>
      </x:c>
      <x:c r="H1084" s="17" t="str">
        <x:v>Pass 2 Stage 2 candidate funnel</x:v>
      </x:c>
      <x:c r="I1084" s="17" t="str">
        <x:v>Graduate audit pipeline</x:v>
      </x:c>
      <x:c r="J1084" s="17" t="str">
        <x:v>derived</x:v>
      </x:c>
      <x:c r="K1084" s="17" t="str">
        <x:v>2026-09-11</x:v>
      </x:c>
      <x:c r="L1084" s="17" t="str">
        <x:v>Not cycle-specific</x:v>
      </x:c>
      <x:c r="M1084" s="17" t="str">
        <x:v>low</x:v>
      </x:c>
      <x:c r="N1084" s="17" t="str">
        <x:v>Discovery evidence only</x:v>
      </x:c>
      <x:c r="O1084" s="17" t="str">
        <x:v>Use the source_record_paths field to trace the underlying discovery inputs.</x:v>
      </x:c>
      <x:c r="P1084" s="18" t="e">
        <x:f>HYPERLINK("https://www.uic.edu","Open source")</x:f>
        <x:v>HYPERLINK is not implemented. linkLocation=https://www.uic.edu, friendlyName=Open source</x:v>
      </x:c>
    </x:row>
    <x:row r="1085" ht="46" customHeight="1">
      <x:c r="A1085" s="17" t="str">
        <x:v>stage3src:6945186b613eca4d3beb</x:v>
      </x:c>
      <x:c r="B1085" s="17" t="str">
        <x:v>program</x:v>
      </x:c>
      <x:c r="C1085" s="17" t="str">
        <x:v>University of Illinois Urbana-Champaign</x:v>
      </x:c>
      <x:c r="D1085" s="17" t="str">
        <x:v>us:ipeds:145637:program:phd:computer-science-phd</x:v>
      </x:c>
      <x:c r="E1085" s="17" t="str"/>
      <x:c r="F1085" s="17" t="str">
        <x:v>fees</x:v>
      </x:c>
      <x:c r="G1085" s="17" t="str">
        <x:v>$90 fee and waiver policy</x:v>
      </x:c>
      <x:c r="H1085" s="17" t="str">
        <x:v>Completing Your Graduate Application</x:v>
      </x:c>
      <x:c r="I1085" s="17" t="str">
        <x:v>University of Illinois Urbana-Champaign</x:v>
      </x:c>
      <x:c r="J1085" s="17" t="str">
        <x:v>Official</x:v>
      </x:c>
      <x:c r="K1085" s="17" t="str">
        <x:v>2026-09-09</x:v>
      </x:c>
      <x:c r="L1085" s="17" t="str">
        <x:v>Current</x:v>
      </x:c>
      <x:c r="M1085" s="17" t="str">
        <x:v>High</x:v>
      </x:c>
      <x:c r="N1085" s="17" t="str">
        <x:v>Verified</x:v>
      </x:c>
      <x:c r="O1085" s="17" t="str"/>
      <x:c r="P1085" s="18" t="e">
        <x:f>HYPERLINK("https://grad.illinois.edu/admissions/application-instructions/completing-your-graduate-application","Open source")</x:f>
        <x:v>HYPERLINK is not implemented. linkLocation=https://grad.illinois.edu/admissions/application-instructions/completing-your-graduate-application, friendlyName=Open source</x:v>
      </x:c>
    </x:row>
    <x:row r="1086" ht="46" customHeight="1">
      <x:c r="A1086" s="17" t="str">
        <x:v>stage3src:74fa1855e46e041c9c90</x:v>
      </x:c>
      <x:c r="B1086" s="17" t="str">
        <x:v>program</x:v>
      </x:c>
      <x:c r="C1086" s="17" t="str">
        <x:v>University of Illinois Urbana-Champaign</x:v>
      </x:c>
      <x:c r="D1086" s="17" t="str">
        <x:v>us:ipeds:145637:program:phd:computer-science-phd</x:v>
      </x:c>
      <x:c r="E1086" s="17" t="str"/>
      <x:c r="F1086" s="17" t="str">
        <x:v>funding|eligibility|program</x:v>
      </x:c>
      <x:c r="G1086" s="17" t="str">
        <x:v>Active PhD, direct bachelor's entry, 3.40 minimum, and five-year funding model</x:v>
      </x:c>
      <x:c r="H1086" s="17" t="str">
        <x:v>Computer Science PhD Catalog</x:v>
      </x:c>
      <x:c r="I1086" s="17" t="str">
        <x:v>University of Illinois Urbana-Champaign</x:v>
      </x:c>
      <x:c r="J1086" s="17" t="str">
        <x:v>Official</x:v>
      </x:c>
      <x:c r="K1086" s="17" t="str">
        <x:v>2026-09-09</x:v>
      </x:c>
      <x:c r="L1086" s="17" t="str">
        <x:v>Current</x:v>
      </x:c>
      <x:c r="M1086" s="17" t="str">
        <x:v>High</x:v>
      </x:c>
      <x:c r="N1086" s="17" t="str">
        <x:v>Verified</x:v>
      </x:c>
      <x:c r="O1086" s="17" t="str"/>
      <x:c r="P1086" s="18" t="e">
        <x:f>HYPERLINK("https://catalog.illinois.edu/graduate/engineering/computer-science-phd/","Open source")</x:f>
        <x:v>HYPERLINK is not implemented. linkLocation=https://catalog.illinois.edu/graduate/engineering/computer-science-phd/, friendlyName=Open source</x:v>
      </x:c>
    </x:row>
    <x:row r="1087" ht="46" customHeight="1">
      <x:c r="A1087" s="17" t="str">
        <x:v>stage3src:fd7c6eafb6d1f91bb191</x:v>
      </x:c>
      <x:c r="B1087" s="17" t="str">
        <x:v>program</x:v>
      </x:c>
      <x:c r="C1087" s="17" t="str">
        <x:v>University of Illinois Urbana-Champaign</x:v>
      </x:c>
      <x:c r="D1087" s="17" t="str">
        <x:v>us:ipeds:145637:program:unclear:ipeds-discovery-signal-computer-science-cip-11-0701</x:v>
      </x:c>
      <x:c r="E1087" s="17" t="str"/>
      <x:c r="F1087" s="17" t="str">
        <x:v>discovery</x:v>
      </x:c>
      <x:c r="G1087" s="17" t="str">
        <x:v>Stage 2 recorded this row as a discovery candidate; it does not independently verify an exact current research program, eligibility, or funding.</x:v>
      </x:c>
      <x:c r="H1087" s="17" t="str">
        <x:v>Pass 2 Stage 2 candidate funnel</x:v>
      </x:c>
      <x:c r="I1087" s="17" t="str">
        <x:v>Graduate audit pipeline</x:v>
      </x:c>
      <x:c r="J1087" s="17" t="str">
        <x:v>derived</x:v>
      </x:c>
      <x:c r="K1087" s="17" t="str">
        <x:v>2026-09-11</x:v>
      </x:c>
      <x:c r="L1087" s="17" t="str">
        <x:v>Not cycle-specific</x:v>
      </x:c>
      <x:c r="M1087" s="17" t="str">
        <x:v>low</x:v>
      </x:c>
      <x:c r="N1087" s="17" t="str">
        <x:v>Discovery evidence only</x:v>
      </x:c>
      <x:c r="O1087" s="17" t="str">
        <x:v>Use the source_record_paths field to trace the underlying discovery inputs.</x:v>
      </x:c>
      <x:c r="P1087" s="18" t="e">
        <x:f>HYPERLINK("https://www.illinois.edu","Open source")</x:f>
        <x:v>HYPERLINK is not implemented. linkLocation=https://www.illinois.edu, friendlyName=Open source</x:v>
      </x:c>
    </x:row>
    <x:row r="1088" ht="46" customHeight="1">
      <x:c r="A1088" s="17" t="str">
        <x:v>stage3src:3ec16d854ecb2d3a5080</x:v>
      </x:c>
      <x:c r="B1088" s="17" t="str">
        <x:v>program</x:v>
      </x:c>
      <x:c r="C1088" s="17" t="str">
        <x:v>University of Illinois Urbana-Champaign</x:v>
      </x:c>
      <x:c r="D1088" s="17" t="str">
        <x:v>us:ipeds:145637:program:unclear:ipeds-discovery-signal-data-science-general-cip-30-7001</x:v>
      </x:c>
      <x:c r="E1088" s="17" t="str"/>
      <x:c r="F1088" s="17" t="str">
        <x:v>discovery</x:v>
      </x:c>
      <x:c r="G1088" s="17" t="str">
        <x:v>Stage 2 recorded this row as a discovery candidate; it does not independently verify an exact current research program, eligibility, or funding.</x:v>
      </x:c>
      <x:c r="H1088" s="17" t="str">
        <x:v>Pass 2 Stage 2 candidate funnel</x:v>
      </x:c>
      <x:c r="I1088" s="17" t="str">
        <x:v>Graduate audit pipeline</x:v>
      </x:c>
      <x:c r="J1088" s="17" t="str">
        <x:v>derived</x:v>
      </x:c>
      <x:c r="K1088" s="17" t="str">
        <x:v>2026-09-11</x:v>
      </x:c>
      <x:c r="L1088" s="17" t="str">
        <x:v>Not cycle-specific</x:v>
      </x:c>
      <x:c r="M1088" s="17" t="str">
        <x:v>low</x:v>
      </x:c>
      <x:c r="N1088" s="17" t="str">
        <x:v>Discovery evidence only</x:v>
      </x:c>
      <x:c r="O1088" s="17" t="str">
        <x:v>Use the source_record_paths field to trace the underlying discovery inputs.</x:v>
      </x:c>
      <x:c r="P1088" s="18" t="e">
        <x:f>HYPERLINK("https://www.illinois.edu","Open source")</x:f>
        <x:v>HYPERLINK is not implemented. linkLocation=https://www.illinois.edu, friendlyName=Open source</x:v>
      </x:c>
    </x:row>
    <x:row r="1089" ht="46" customHeight="1">
      <x:c r="A1089" s="17" t="str">
        <x:v>stage3src:6540e74876612500df83</x:v>
      </x:c>
      <x:c r="B1089" s="17" t="str">
        <x:v>program</x:v>
      </x:c>
      <x:c r="C1089" s="17" t="str">
        <x:v>University of Illinois Urbana-Champaign</x:v>
      </x:c>
      <x:c r="D1089" s="17" t="str">
        <x:v>us:ipeds:145637:program:unclear:ipeds-discovery-signal-electrical-and-electronics-engineering-cip-14-1001</x:v>
      </x:c>
      <x:c r="E1089" s="17" t="str"/>
      <x:c r="F1089" s="17" t="str">
        <x:v>discovery</x:v>
      </x:c>
      <x:c r="G1089" s="17" t="str">
        <x:v>Stage 2 recorded this row as a discovery candidate; it does not independently verify an exact current research program, eligibility, or funding.</x:v>
      </x:c>
      <x:c r="H1089" s="17" t="str">
        <x:v>Pass 2 Stage 2 candidate funnel</x:v>
      </x:c>
      <x:c r="I1089" s="17" t="str">
        <x:v>Graduate audit pipeline</x:v>
      </x:c>
      <x:c r="J1089" s="17" t="str">
        <x:v>derived</x:v>
      </x:c>
      <x:c r="K1089" s="17" t="str">
        <x:v>2026-09-11</x:v>
      </x:c>
      <x:c r="L1089" s="17" t="str">
        <x:v>Not cycle-specific</x:v>
      </x:c>
      <x:c r="M1089" s="17" t="str">
        <x:v>low</x:v>
      </x:c>
      <x:c r="N1089" s="17" t="str">
        <x:v>Discovery evidence only</x:v>
      </x:c>
      <x:c r="O1089" s="17" t="str">
        <x:v>Use the source_record_paths field to trace the underlying discovery inputs.</x:v>
      </x:c>
      <x:c r="P1089" s="18" t="e">
        <x:f>HYPERLINK("https://www.illinois.edu","Open source")</x:f>
        <x:v>HYPERLINK is not implemented. linkLocation=https://www.illinois.edu, friendlyName=Open source</x:v>
      </x:c>
    </x:row>
    <x:row r="1090" ht="46" customHeight="1">
      <x:c r="A1090" s="17" t="str">
        <x:v>stage3src:f72395a91b6caad127da</x:v>
      </x:c>
      <x:c r="B1090" s="17" t="str">
        <x:v>program</x:v>
      </x:c>
      <x:c r="C1090" s="17" t="str">
        <x:v>University of Illinois Urbana-Champaign</x:v>
      </x:c>
      <x:c r="D1090" s="17" t="str">
        <x:v>us:ipeds:145637:program:unclear:ipeds-discovery-signal-information-science-studies-cip-11-0401</x:v>
      </x:c>
      <x:c r="E1090" s="17" t="str"/>
      <x:c r="F1090" s="17" t="str">
        <x:v>discovery</x:v>
      </x:c>
      <x:c r="G1090" s="17" t="str">
        <x:v>Stage 2 recorded this row as a discovery candidate; it does not independently verify an exact current research program, eligibility, or funding.</x:v>
      </x:c>
      <x:c r="H1090" s="17" t="str">
        <x:v>Pass 2 Stage 2 candidate funnel</x:v>
      </x:c>
      <x:c r="I1090" s="17" t="str">
        <x:v>Graduate audit pipeline</x:v>
      </x:c>
      <x:c r="J1090" s="17" t="str">
        <x:v>derived</x:v>
      </x:c>
      <x:c r="K1090" s="17" t="str">
        <x:v>2026-09-11</x:v>
      </x:c>
      <x:c r="L1090" s="17" t="str">
        <x:v>Not cycle-specific</x:v>
      </x:c>
      <x:c r="M1090" s="17" t="str">
        <x:v>low</x:v>
      </x:c>
      <x:c r="N1090" s="17" t="str">
        <x:v>Discovery evidence only</x:v>
      </x:c>
      <x:c r="O1090" s="17" t="str">
        <x:v>Use the source_record_paths field to trace the underlying discovery inputs.</x:v>
      </x:c>
      <x:c r="P1090" s="18" t="e">
        <x:f>HYPERLINK("https://www.illinois.edu","Open source")</x:f>
        <x:v>HYPERLINK is not implemented. linkLocation=https://www.illinois.edu, friendlyName=Open source</x:v>
      </x:c>
    </x:row>
    <x:row r="1091" ht="46" customHeight="1">
      <x:c r="A1091" s="17" t="str">
        <x:v>stage3src:0552edc102af627e0322</x:v>
      </x:c>
      <x:c r="B1091" s="17" t="str">
        <x:v>program</x:v>
      </x:c>
      <x:c r="C1091" s="17" t="str">
        <x:v>Illinois Institute of Technology</x:v>
      </x:c>
      <x:c r="D1091" s="17" t="str">
        <x:v>us:ipeds:145725:program:phd:computer-science-ph-d</x:v>
      </x:c>
      <x:c r="E1091" s="17" t="str"/>
      <x:c r="F1091" s="17" t="str">
        <x:v>research|faculty|funding|tuition|deadline</x:v>
      </x:c>
      <x:c r="G1091" s="17" t="str">
        <x:v>Competitive international-eligible faculty PhD opportunity covering tuition and stipend, with recurring application dates and systems/security research scope.</x:v>
      </x:c>
      <x:c r="H1091" s="17" t="str">
        <x:v>Funded PhD Opportunities in Computer Science</x:v>
      </x:c>
      <x:c r="I1091" s="17" t="str">
        <x:v>Illinois Institute of Technology Department of Computer Science</x:v>
      </x:c>
      <x:c r="J1091" s="17" t="str">
        <x:v>official</x:v>
      </x:c>
      <x:c r="K1091" s="17" t="str">
        <x:v>2026-09-11</x:v>
      </x:c>
      <x:c r="L1091" s="17" t="str">
        <x:v>Page updated 2026-02-20; Fall 2027 availability unresolved</x:v>
      </x:c>
      <x:c r="M1091" s="17" t="str">
        <x:v>high</x:v>
      </x:c>
      <x:c r="N1091" s="17" t="str">
        <x:v>official page checked</x:v>
      </x:c>
      <x:c r="O1091" s="17" t="str"/>
      <x:c r="P1091" s="18" t="e">
        <x:f>HYPERLINK("https://cs.iit.edu/~nsultana1/student_projects/phd.html","Open source")</x:f>
        <x:v>HYPERLINK is not implemented. linkLocation=https://cs.iit.edu/~nsultana1/student_projects/phd.html, friendlyName=Open source</x:v>
      </x:c>
    </x:row>
    <x:row r="1092" ht="46" customHeight="1">
      <x:c r="A1092" s="17" t="str">
        <x:v>stage3src:5a88c160514d43563197</x:v>
      </x:c>
      <x:c r="B1092" s="17" t="str">
        <x:v>program</x:v>
      </x:c>
      <x:c r="C1092" s="17" t="str">
        <x:v>Illinois Institute of Technology</x:v>
      </x:c>
      <x:c r="D1092" s="17" t="str">
        <x:v>us:ipeds:145725:program:phd:computer-science-ph-d</x:v>
      </x:c>
      <x:c r="E1092" s="17" t="str"/>
      <x:c r="F1092" s="17" t="str">
        <x:v>program|research|admissions|eligibility|language</x:v>
      </x:c>
      <x:c r="G1092" s="17" t="str">
        <x:v>Current research PhD, bachelor's-entry structure, F-1 compatibility, English thresholds, and software, security, systems, and programming-languages breadth.</x:v>
      </x:c>
      <x:c r="H1092" s="17" t="str">
        <x:v>Computer Science (Ph.D.)</x:v>
      </x:c>
      <x:c r="I1092" s="17" t="str">
        <x:v>Illinois Institute of Technology</x:v>
      </x:c>
      <x:c r="J1092" s="17" t="str">
        <x:v>official</x:v>
      </x:c>
      <x:c r="K1092" s="17" t="str">
        <x:v>2026-09-11</x:v>
      </x:c>
      <x:c r="L1092" s="17" t="str">
        <x:v>2026-27 program page checked 2026-09-11</x:v>
      </x:c>
      <x:c r="M1092" s="17" t="str">
        <x:v>high</x:v>
      </x:c>
      <x:c r="N1092" s="17" t="str">
        <x:v>official page checked</x:v>
      </x:c>
      <x:c r="O1092" s="17" t="str"/>
      <x:c r="P1092" s="18" t="e">
        <x:f>HYPERLINK("https://www.iit.edu/academics/programs/computer-science-phd","Open source")</x:f>
        <x:v>HYPERLINK is not implemented. linkLocation=https://www.iit.edu/academics/programs/computer-science-phd, friendlyName=Open source</x:v>
      </x:c>
    </x:row>
    <x:row r="1093" ht="46" customHeight="1">
      <x:c r="A1093" s="17" t="str">
        <x:v>stage3src:ff3bc96d16da3b607c6f</x:v>
      </x:c>
      <x:c r="B1093" s="17" t="str">
        <x:v>program</x:v>
      </x:c>
      <x:c r="C1093" s="17" t="str">
        <x:v>Illinois Institute of Technology</x:v>
      </x:c>
      <x:c r="D1093" s="17" t="str">
        <x:v>us:ipeds:145725:program:unclear:ipeds-discovery-signal-artificial-intelligence-cip-11-0102</x:v>
      </x:c>
      <x:c r="E1093" s="17" t="str"/>
      <x:c r="F1093" s="17" t="str">
        <x:v>discovery</x:v>
      </x:c>
      <x:c r="G1093" s="17" t="str">
        <x:v>Stage 2 recorded this row as a discovery candidate; it does not independently verify an exact current research program, eligibility, or funding.</x:v>
      </x:c>
      <x:c r="H1093" s="17" t="str">
        <x:v>Pass 2 Stage 2 candidate funnel</x:v>
      </x:c>
      <x:c r="I1093" s="17" t="str">
        <x:v>Graduate audit pipeline</x:v>
      </x:c>
      <x:c r="J1093" s="17" t="str">
        <x:v>derived</x:v>
      </x:c>
      <x:c r="K1093" s="17" t="str">
        <x:v>2026-09-11</x:v>
      </x:c>
      <x:c r="L1093" s="17" t="str">
        <x:v>Not cycle-specific</x:v>
      </x:c>
      <x:c r="M1093" s="17" t="str">
        <x:v>low</x:v>
      </x:c>
      <x:c r="N1093" s="17" t="str">
        <x:v>Discovery evidence only</x:v>
      </x:c>
      <x:c r="O1093" s="17" t="str">
        <x:v>Use the source_record_paths field to trace the underlying discovery inputs.</x:v>
      </x:c>
      <x:c r="P1093" s="18" t="e">
        <x:f>HYPERLINK("https://www.iit.edu","Open source")</x:f>
        <x:v>HYPERLINK is not implemented. linkLocation=https://www.iit.edu, friendlyName=Open source</x:v>
      </x:c>
    </x:row>
    <x:row r="1094" ht="46" customHeight="1">
      <x:c r="A1094" s="17" t="str">
        <x:v>stage3src:eba9751a2f2951c2c163</x:v>
      </x:c>
      <x:c r="B1094" s="17" t="str">
        <x:v>program</x:v>
      </x:c>
      <x:c r="C1094" s="17" t="str">
        <x:v>Illinois Institute of Technology</x:v>
      </x:c>
      <x:c r="D1094" s="17" t="str">
        <x:v>us:ipeds:145725:program:unclear:ipeds-discovery-signal-computer-and-information-systems-security-auditing-information-assurance-cip-11-1003</x:v>
      </x:c>
      <x:c r="E1094" s="17" t="str"/>
      <x:c r="F1094" s="17" t="str">
        <x:v>discovery</x:v>
      </x:c>
      <x:c r="G1094" s="17" t="str">
        <x:v>Stage 2 recorded this row as a discovery candidate; it does not independently verify an exact current research program, eligibility, or funding.</x:v>
      </x:c>
      <x:c r="H1094" s="17" t="str">
        <x:v>Pass 2 Stage 2 candidate funnel</x:v>
      </x:c>
      <x:c r="I1094" s="17" t="str">
        <x:v>Graduate audit pipeline</x:v>
      </x:c>
      <x:c r="J1094" s="17" t="str">
        <x:v>derived</x:v>
      </x:c>
      <x:c r="K1094" s="17" t="str">
        <x:v>2026-09-11</x:v>
      </x:c>
      <x:c r="L1094" s="17" t="str">
        <x:v>Not cycle-specific</x:v>
      </x:c>
      <x:c r="M1094" s="17" t="str">
        <x:v>low</x:v>
      </x:c>
      <x:c r="N1094" s="17" t="str">
        <x:v>Discovery evidence only</x:v>
      </x:c>
      <x:c r="O1094" s="17" t="str">
        <x:v>Use the source_record_paths field to trace the underlying discovery inputs.</x:v>
      </x:c>
      <x:c r="P1094" s="18" t="e">
        <x:f>HYPERLINK("https://www.iit.edu","Open source")</x:f>
        <x:v>HYPERLINK is not implemented. linkLocation=https://www.iit.edu, friendlyName=Open source</x:v>
      </x:c>
    </x:row>
    <x:row r="1095" ht="46" customHeight="1">
      <x:c r="A1095" s="17" t="str">
        <x:v>stage3src:6897477fcd4e283392cd</x:v>
      </x:c>
      <x:c r="B1095" s="17" t="str">
        <x:v>program</x:v>
      </x:c>
      <x:c r="C1095" s="17" t="str">
        <x:v>Illinois Institute of Technology</x:v>
      </x:c>
      <x:c r="D1095" s="17" t="str">
        <x:v>us:ipeds:145725:program:unclear:ipeds-discovery-signal-computer-engineering-general-cip-14-0901</x:v>
      </x:c>
      <x:c r="E1095" s="17" t="str"/>
      <x:c r="F1095" s="17" t="str">
        <x:v>discovery</x:v>
      </x:c>
      <x:c r="G1095" s="17" t="str">
        <x:v>Stage 2 recorded this row as a discovery candidate; it does not independently verify an exact current research program, eligibility, or funding.</x:v>
      </x:c>
      <x:c r="H1095" s="17" t="str">
        <x:v>Pass 2 Stage 2 candidate funnel</x:v>
      </x:c>
      <x:c r="I1095" s="17" t="str">
        <x:v>Graduate audit pipeline</x:v>
      </x:c>
      <x:c r="J1095" s="17" t="str">
        <x:v>derived</x:v>
      </x:c>
      <x:c r="K1095" s="17" t="str">
        <x:v>2026-09-11</x:v>
      </x:c>
      <x:c r="L1095" s="17" t="str">
        <x:v>Not cycle-specific</x:v>
      </x:c>
      <x:c r="M1095" s="17" t="str">
        <x:v>low</x:v>
      </x:c>
      <x:c r="N1095" s="17" t="str">
        <x:v>Discovery evidence only</x:v>
      </x:c>
      <x:c r="O1095" s="17" t="str">
        <x:v>Use the source_record_paths field to trace the underlying discovery inputs.</x:v>
      </x:c>
      <x:c r="P1095" s="18" t="e">
        <x:f>HYPERLINK("https://www.iit.edu","Open source")</x:f>
        <x:v>HYPERLINK is not implemented. linkLocation=https://www.iit.edu, friendlyName=Open source</x:v>
      </x:c>
    </x:row>
    <x:row r="1096" ht="46" customHeight="1">
      <x:c r="A1096" s="17" t="str">
        <x:v>stage3src:bf44afc56645cefa1e42</x:v>
      </x:c>
      <x:c r="B1096" s="17" t="str">
        <x:v>program</x:v>
      </x:c>
      <x:c r="C1096" s="17" t="str">
        <x:v>Illinois Institute of Technology</x:v>
      </x:c>
      <x:c r="D1096" s="17" t="str">
        <x:v>us:ipeds:145725:program:unclear:ipeds-discovery-signal-computer-engineering-other-cip-14-0999</x:v>
      </x:c>
      <x:c r="E1096" s="17" t="str"/>
      <x:c r="F1096" s="17" t="str">
        <x:v>discovery</x:v>
      </x:c>
      <x:c r="G1096" s="17" t="str">
        <x:v>Stage 2 recorded this row as a discovery candidate; it does not independently verify an exact current research program, eligibility, or funding.</x:v>
      </x:c>
      <x:c r="H1096" s="17" t="str">
        <x:v>Pass 2 Stage 2 candidate funnel</x:v>
      </x:c>
      <x:c r="I1096" s="17" t="str">
        <x:v>Graduate audit pipeline</x:v>
      </x:c>
      <x:c r="J1096" s="17" t="str">
        <x:v>derived</x:v>
      </x:c>
      <x:c r="K1096" s="17" t="str">
        <x:v>2026-09-11</x:v>
      </x:c>
      <x:c r="L1096" s="17" t="str">
        <x:v>Not cycle-specific</x:v>
      </x:c>
      <x:c r="M1096" s="17" t="str">
        <x:v>low</x:v>
      </x:c>
      <x:c r="N1096" s="17" t="str">
        <x:v>Discovery evidence only</x:v>
      </x:c>
      <x:c r="O1096" s="17" t="str">
        <x:v>Use the source_record_paths field to trace the underlying discovery inputs.</x:v>
      </x:c>
      <x:c r="P1096" s="18" t="e">
        <x:f>HYPERLINK("https://www.iit.edu","Open source")</x:f>
        <x:v>HYPERLINK is not implemented. linkLocation=https://www.iit.edu, friendlyName=Open source</x:v>
      </x:c>
    </x:row>
    <x:row r="1097" ht="46" customHeight="1">
      <x:c r="A1097" s="17" t="str">
        <x:v>stage3src:d1ca75054c0831d00281</x:v>
      </x:c>
      <x:c r="B1097" s="17" t="str">
        <x:v>program</x:v>
      </x:c>
      <x:c r="C1097" s="17" t="str">
        <x:v>Illinois Institute of Technology</x:v>
      </x:c>
      <x:c r="D1097" s="17" t="str">
        <x:v>us:ipeds:145725:program:unclear:ipeds-discovery-signal-computer-hardware-engineering-cip-14-0902</x:v>
      </x:c>
      <x:c r="E1097" s="17" t="str"/>
      <x:c r="F1097" s="17" t="str">
        <x:v>discovery</x:v>
      </x:c>
      <x:c r="G1097" s="17" t="str">
        <x:v>Stage 2 recorded this row as a discovery candidate; it does not independently verify an exact current research program, eligibility, or funding.</x:v>
      </x:c>
      <x:c r="H1097" s="17" t="str">
        <x:v>Pass 2 Stage 2 candidate funnel</x:v>
      </x:c>
      <x:c r="I1097" s="17" t="str">
        <x:v>Graduate audit pipeline</x:v>
      </x:c>
      <x:c r="J1097" s="17" t="str">
        <x:v>derived</x:v>
      </x:c>
      <x:c r="K1097" s="17" t="str">
        <x:v>2026-09-11</x:v>
      </x:c>
      <x:c r="L1097" s="17" t="str">
        <x:v>Not cycle-specific</x:v>
      </x:c>
      <x:c r="M1097" s="17" t="str">
        <x:v>low</x:v>
      </x:c>
      <x:c r="N1097" s="17" t="str">
        <x:v>Discovery evidence only</x:v>
      </x:c>
      <x:c r="O1097" s="17" t="str">
        <x:v>Use the source_record_paths field to trace the underlying discovery inputs.</x:v>
      </x:c>
      <x:c r="P1097" s="18" t="e">
        <x:f>HYPERLINK("https://www.iit.edu","Open source")</x:f>
        <x:v>HYPERLINK is not implemented. linkLocation=https://www.iit.edu, friendlyName=Open source</x:v>
      </x:c>
    </x:row>
    <x:row r="1098" ht="46" customHeight="1">
      <x:c r="A1098" s="17" t="str">
        <x:v>stage3src:c4a7dad1981e18c34c08</x:v>
      </x:c>
      <x:c r="B1098" s="17" t="str">
        <x:v>program</x:v>
      </x:c>
      <x:c r="C1098" s="17" t="str">
        <x:v>Illinois Institute of Technology</x:v>
      </x:c>
      <x:c r="D1098" s="17" t="str">
        <x:v>us:ipeds:145725:program:unclear:ipeds-discovery-signal-computer-science-cip-11-0701</x:v>
      </x:c>
      <x:c r="E1098" s="17" t="str"/>
      <x:c r="F1098" s="17" t="str">
        <x:v>discovery</x:v>
      </x:c>
      <x:c r="G1098" s="17" t="str">
        <x:v>Stage 2 recorded this row as a discovery candidate; it does not independently verify an exact current research program, eligibility, or funding.</x:v>
      </x:c>
      <x:c r="H1098" s="17" t="str">
        <x:v>Pass 2 Stage 2 candidate funnel</x:v>
      </x:c>
      <x:c r="I1098" s="17" t="str">
        <x:v>Graduate audit pipeline</x:v>
      </x:c>
      <x:c r="J1098" s="17" t="str">
        <x:v>derived</x:v>
      </x:c>
      <x:c r="K1098" s="17" t="str">
        <x:v>2026-09-11</x:v>
      </x:c>
      <x:c r="L1098" s="17" t="str">
        <x:v>Not cycle-specific</x:v>
      </x:c>
      <x:c r="M1098" s="17" t="str">
        <x:v>low</x:v>
      </x:c>
      <x:c r="N1098" s="17" t="str">
        <x:v>Discovery evidence only</x:v>
      </x:c>
      <x:c r="O1098" s="17" t="str">
        <x:v>Use the source_record_paths field to trace the underlying discovery inputs.</x:v>
      </x:c>
      <x:c r="P1098" s="18" t="e">
        <x:f>HYPERLINK("https://www.iit.edu","Open source")</x:f>
        <x:v>HYPERLINK is not implemented. linkLocation=https://www.iit.edu, friendlyName=Open source</x:v>
      </x:c>
    </x:row>
    <x:row r="1099" ht="46" customHeight="1">
      <x:c r="A1099" s="17" t="str">
        <x:v>stage3src:626707df374d58c6595c</x:v>
      </x:c>
      <x:c r="B1099" s="17" t="str">
        <x:v>program</x:v>
      </x:c>
      <x:c r="C1099" s="17" t="str">
        <x:v>Illinois Institute of Technology</x:v>
      </x:c>
      <x:c r="D1099" s="17" t="str">
        <x:v>us:ipeds:145725:program:unclear:ipeds-discovery-signal-computer-software-engineering-cip-14-0903</x:v>
      </x:c>
      <x:c r="E1099" s="17" t="str"/>
      <x:c r="F1099" s="17" t="str">
        <x:v>discovery</x:v>
      </x:c>
      <x:c r="G1099" s="17" t="str">
        <x:v>Stage 2 recorded this row as a discovery candidate; it does not independently verify an exact current research program, eligibility, or funding.</x:v>
      </x:c>
      <x:c r="H1099" s="17" t="str">
        <x:v>Pass 2 Stage 2 candidate funnel</x:v>
      </x:c>
      <x:c r="I1099" s="17" t="str">
        <x:v>Graduate audit pipeline</x:v>
      </x:c>
      <x:c r="J1099" s="17" t="str">
        <x:v>derived</x:v>
      </x:c>
      <x:c r="K1099" s="17" t="str">
        <x:v>2026-09-11</x:v>
      </x:c>
      <x:c r="L1099" s="17" t="str">
        <x:v>Not cycle-specific</x:v>
      </x:c>
      <x:c r="M1099" s="17" t="str">
        <x:v>low</x:v>
      </x:c>
      <x:c r="N1099" s="17" t="str">
        <x:v>Discovery evidence only</x:v>
      </x:c>
      <x:c r="O1099" s="17" t="str">
        <x:v>Use the source_record_paths field to trace the underlying discovery inputs.</x:v>
      </x:c>
      <x:c r="P1099" s="18" t="e">
        <x:f>HYPERLINK("https://www.iit.edu","Open source")</x:f>
        <x:v>HYPERLINK is not implemented. linkLocation=https://www.iit.edu, friendlyName=Open source</x:v>
      </x:c>
    </x:row>
    <x:row r="1100" ht="46" customHeight="1">
      <x:c r="A1100" s="17" t="str">
        <x:v>stage3src:9dae8d092c5402160044</x:v>
      </x:c>
      <x:c r="B1100" s="17" t="str">
        <x:v>program</x:v>
      </x:c>
      <x:c r="C1100" s="17" t="str">
        <x:v>Illinois Institute of Technology</x:v>
      </x:c>
      <x:c r="D1100" s="17" t="str">
        <x:v>us:ipeds:145725:program:unclear:ipeds-discovery-signal-computer-systems-networking-and-telecommunications-cip-11-0901</x:v>
      </x:c>
      <x:c r="E1100" s="17" t="str"/>
      <x:c r="F1100" s="17" t="str">
        <x:v>discovery</x:v>
      </x:c>
      <x:c r="G1100" s="17" t="str">
        <x:v>Stage 2 recorded this row as a discovery candidate; it does not independently verify an exact current research program, eligibility, or funding.</x:v>
      </x:c>
      <x:c r="H1100" s="17" t="str">
        <x:v>Pass 2 Stage 2 candidate funnel</x:v>
      </x:c>
      <x:c r="I1100" s="17" t="str">
        <x:v>Graduate audit pipeline</x:v>
      </x:c>
      <x:c r="J1100" s="17" t="str">
        <x:v>derived</x:v>
      </x:c>
      <x:c r="K1100" s="17" t="str">
        <x:v>2026-09-11</x:v>
      </x:c>
      <x:c r="L1100" s="17" t="str">
        <x:v>Not cycle-specific</x:v>
      </x:c>
      <x:c r="M1100" s="17" t="str">
        <x:v>low</x:v>
      </x:c>
      <x:c r="N1100" s="17" t="str">
        <x:v>Discovery evidence only</x:v>
      </x:c>
      <x:c r="O1100" s="17" t="str">
        <x:v>Use the source_record_paths field to trace the underlying discovery inputs.</x:v>
      </x:c>
      <x:c r="P1100" s="18" t="e">
        <x:f>HYPERLINK("https://www.iit.edu","Open source")</x:f>
        <x:v>HYPERLINK is not implemented. linkLocation=https://www.iit.edu, friendlyName=Open source</x:v>
      </x:c>
    </x:row>
    <x:row r="1101" ht="46" customHeight="1">
      <x:c r="A1101" s="17" t="str">
        <x:v>stage3src:7907755f7bfa8b7ed98b</x:v>
      </x:c>
      <x:c r="B1101" s="17" t="str">
        <x:v>program</x:v>
      </x:c>
      <x:c r="C1101" s="17" t="str">
        <x:v>Illinois Institute of Technology</x:v>
      </x:c>
      <x:c r="D1101" s="17" t="str">
        <x:v>us:ipeds:145725:program:unclear:ipeds-discovery-signal-electrical-and-electronics-engineering-cip-14-1001</x:v>
      </x:c>
      <x:c r="E1101" s="17" t="str"/>
      <x:c r="F1101" s="17" t="str">
        <x:v>discovery</x:v>
      </x:c>
      <x:c r="G1101" s="17" t="str">
        <x:v>Stage 2 recorded this row as a discovery candidate; it does not independently verify an exact current research program, eligibility, or funding.</x:v>
      </x:c>
      <x:c r="H1101" s="17" t="str">
        <x:v>Pass 2 Stage 2 candidate funnel</x:v>
      </x:c>
      <x:c r="I1101" s="17" t="str">
        <x:v>Graduate audit pipeline</x:v>
      </x:c>
      <x:c r="J1101" s="17" t="str">
        <x:v>derived</x:v>
      </x:c>
      <x:c r="K1101" s="17" t="str">
        <x:v>2026-09-11</x:v>
      </x:c>
      <x:c r="L1101" s="17" t="str">
        <x:v>Not cycle-specific</x:v>
      </x:c>
      <x:c r="M1101" s="17" t="str">
        <x:v>low</x:v>
      </x:c>
      <x:c r="N1101" s="17" t="str">
        <x:v>Discovery evidence only</x:v>
      </x:c>
      <x:c r="O1101" s="17" t="str">
        <x:v>Use the source_record_paths field to trace the underlying discovery inputs.</x:v>
      </x:c>
      <x:c r="P1101" s="18" t="e">
        <x:f>HYPERLINK("https://www.iit.edu","Open source")</x:f>
        <x:v>HYPERLINK is not implemented. linkLocation=https://www.iit.edu, friendlyName=Open source</x:v>
      </x:c>
    </x:row>
    <x:row r="1102" ht="46" customHeight="1">
      <x:c r="A1102" s="17" t="str">
        <x:v>stage3src:7a928a6428d55748cb1f</x:v>
      </x:c>
      <x:c r="B1102" s="17" t="str">
        <x:v>program</x:v>
      </x:c>
      <x:c r="C1102" s="17" t="str">
        <x:v>Illinois Institute of Technology</x:v>
      </x:c>
      <x:c r="D1102" s="17" t="str">
        <x:v>us:ipeds:145725:program:unclear:ipeds-discovery-signal-information-technology-cip-11-0103</x:v>
      </x:c>
      <x:c r="E1102" s="17" t="str"/>
      <x:c r="F1102" s="17" t="str">
        <x:v>discovery</x:v>
      </x:c>
      <x:c r="G1102" s="17" t="str">
        <x:v>Stage 2 recorded this row as a discovery candidate; it does not independently verify an exact current research program, eligibility, or funding.</x:v>
      </x:c>
      <x:c r="H1102" s="17" t="str">
        <x:v>Pass 2 Stage 2 candidate funnel</x:v>
      </x:c>
      <x:c r="I1102" s="17" t="str">
        <x:v>Graduate audit pipeline</x:v>
      </x:c>
      <x:c r="J1102" s="17" t="str">
        <x:v>derived</x:v>
      </x:c>
      <x:c r="K1102" s="17" t="str">
        <x:v>2026-09-11</x:v>
      </x:c>
      <x:c r="L1102" s="17" t="str">
        <x:v>Not cycle-specific</x:v>
      </x:c>
      <x:c r="M1102" s="17" t="str">
        <x:v>low</x:v>
      </x:c>
      <x:c r="N1102" s="17" t="str">
        <x:v>Discovery evidence only</x:v>
      </x:c>
      <x:c r="O1102" s="17" t="str">
        <x:v>Use the source_record_paths field to trace the underlying discovery inputs.</x:v>
      </x:c>
      <x:c r="P1102" s="18" t="e">
        <x:f>HYPERLINK("https://www.iit.edu","Open source")</x:f>
        <x:v>HYPERLINK is not implemented. linkLocation=https://www.iit.edu, friendlyName=Open source</x:v>
      </x:c>
    </x:row>
    <x:row r="1103" ht="46" customHeight="1">
      <x:c r="A1103" s="17" t="str">
        <x:v>stage3src:72634363655c8584f02a</x:v>
      </x:c>
      <x:c r="B1103" s="17" t="str">
        <x:v>program</x:v>
      </x:c>
      <x:c r="C1103" s="17" t="str">
        <x:v>Illinois Institute of Technology</x:v>
      </x:c>
      <x:c r="D1103" s="17" t="str">
        <x:v>us:ipeds:145725:program:unclear:ipeds-discovery-signal-mechatronics-robotics-and-automation-engineering-cip-14-4201</x:v>
      </x:c>
      <x:c r="E1103" s="17" t="str"/>
      <x:c r="F1103" s="17" t="str">
        <x:v>discovery</x:v>
      </x:c>
      <x:c r="G1103" s="17" t="str">
        <x:v>Stage 2 recorded this row as a discovery candidate; it does not independently verify an exact current research program, eligibility, or funding.</x:v>
      </x:c>
      <x:c r="H1103" s="17" t="str">
        <x:v>Pass 2 Stage 2 candidate funnel</x:v>
      </x:c>
      <x:c r="I1103" s="17" t="str">
        <x:v>Graduate audit pipeline</x:v>
      </x:c>
      <x:c r="J1103" s="17" t="str">
        <x:v>derived</x:v>
      </x:c>
      <x:c r="K1103" s="17" t="str">
        <x:v>2026-09-11</x:v>
      </x:c>
      <x:c r="L1103" s="17" t="str">
        <x:v>Not cycle-specific</x:v>
      </x:c>
      <x:c r="M1103" s="17" t="str">
        <x:v>low</x:v>
      </x:c>
      <x:c r="N1103" s="17" t="str">
        <x:v>Discovery evidence only</x:v>
      </x:c>
      <x:c r="O1103" s="17" t="str">
        <x:v>Use the source_record_paths field to trace the underlying discovery inputs.</x:v>
      </x:c>
      <x:c r="P1103" s="18" t="e">
        <x:f>HYPERLINK("https://www.iit.edu","Open source")</x:f>
        <x:v>HYPERLINK is not implemented. linkLocation=https://www.iit.edu, friendlyName=Open source</x:v>
      </x:c>
    </x:row>
    <x:row r="1104" ht="46" customHeight="1">
      <x:c r="A1104" s="17" t="str">
        <x:v>stage3src:5b7f172215e1ca705e19</x:v>
      </x:c>
      <x:c r="B1104" s="17" t="str">
        <x:v>program</x:v>
      </x:c>
      <x:c r="C1104" s="17" t="str">
        <x:v>Illinois State University</x:v>
      </x:c>
      <x:c r="D1104" s="17" t="str">
        <x:v>us:ipeds:145813:program:unclear:ipeds-discovery-signal-computer-science-cip-11-0701</x:v>
      </x:c>
      <x:c r="E1104" s="17" t="str"/>
      <x:c r="F1104" s="17" t="str">
        <x:v>discovery</x:v>
      </x:c>
      <x:c r="G1104" s="17" t="str">
        <x:v>Stage 2 recorded this row as a discovery candidate; it does not independently verify an exact current research program, eligibility, or funding.</x:v>
      </x:c>
      <x:c r="H1104" s="17" t="str">
        <x:v>Pass 2 Stage 2 candidate funnel</x:v>
      </x:c>
      <x:c r="I1104" s="17" t="str">
        <x:v>Graduate audit pipeline</x:v>
      </x:c>
      <x:c r="J1104" s="17" t="str">
        <x:v>derived</x:v>
      </x:c>
      <x:c r="K1104" s="17" t="str">
        <x:v>2026-09-11</x:v>
      </x:c>
      <x:c r="L1104" s="17" t="str">
        <x:v>Not cycle-specific</x:v>
      </x:c>
      <x:c r="M1104" s="17" t="str">
        <x:v>low</x:v>
      </x:c>
      <x:c r="N1104" s="17" t="str">
        <x:v>Discovery evidence only</x:v>
      </x:c>
      <x:c r="O1104" s="17" t="str">
        <x:v>Use the source_record_paths field to trace the underlying discovery inputs.</x:v>
      </x:c>
      <x:c r="P1104" s="18" t="e">
        <x:f>HYPERLINK("https://illinoisstate.edu","Open source")</x:f>
        <x:v>HYPERLINK is not implemented. linkLocation=https://illinoisstate.edu, friendlyName=Open source</x:v>
      </x:c>
    </x:row>
    <x:row r="1105" ht="46" customHeight="1">
      <x:c r="A1105" s="17" t="str">
        <x:v>stage3src:5c96ad5d492351d0829a</x:v>
      </x:c>
      <x:c r="B1105" s="17" t="str">
        <x:v>program</x:v>
      </x:c>
      <x:c r="C1105" s="17" t="str">
        <x:v>Illinois State University</x:v>
      </x:c>
      <x:c r="D1105" s="17" t="str">
        <x:v>us:ipeds:145813:program:unclear:ipeds-discovery-signal-information-technology-cip-11-0103</x:v>
      </x:c>
      <x:c r="E1105" s="17" t="str"/>
      <x:c r="F1105" s="17" t="str">
        <x:v>discovery</x:v>
      </x:c>
      <x:c r="G1105" s="17" t="str">
        <x:v>Stage 2 recorded this row as a discovery candidate; it does not independently verify an exact current research program, eligibility, or funding.</x:v>
      </x:c>
      <x:c r="H1105" s="17" t="str">
        <x:v>Pass 2 Stage 2 candidate funnel</x:v>
      </x:c>
      <x:c r="I1105" s="17" t="str">
        <x:v>Graduate audit pipeline</x:v>
      </x:c>
      <x:c r="J1105" s="17" t="str">
        <x:v>derived</x:v>
      </x:c>
      <x:c r="K1105" s="17" t="str">
        <x:v>2026-09-11</x:v>
      </x:c>
      <x:c r="L1105" s="17" t="str">
        <x:v>Not cycle-specific</x:v>
      </x:c>
      <x:c r="M1105" s="17" t="str">
        <x:v>low</x:v>
      </x:c>
      <x:c r="N1105" s="17" t="str">
        <x:v>Discovery evidence only</x:v>
      </x:c>
      <x:c r="O1105" s="17" t="str">
        <x:v>Use the source_record_paths field to trace the underlying discovery inputs.</x:v>
      </x:c>
      <x:c r="P1105" s="18" t="e">
        <x:f>HYPERLINK("https://illinoisstate.edu","Open source")</x:f>
        <x:v>HYPERLINK is not implemented. linkLocation=https://illinoisstate.edu, friendlyName=Open source</x:v>
      </x:c>
    </x:row>
    <x:row r="1106" ht="46" customHeight="1">
      <x:c r="A1106" s="17" t="str">
        <x:v>stage3src:063e65c2eb8ac7ac26c4</x:v>
      </x:c>
      <x:c r="B1106" s="17" t="str">
        <x:v>program</x:v>
      </x:c>
      <x:c r="C1106" s="17" t="str">
        <x:v>Lewis University</x:v>
      </x:c>
      <x:c r="D1106" s="17" t="str">
        <x:v>us:ipeds:146612:program:unclear:ipeds-discovery-signal-computer-and-information-systems-security-auditing-information-assurance-cip-11-1003</x:v>
      </x:c>
      <x:c r="E1106" s="17" t="str"/>
      <x:c r="F1106" s="17" t="str">
        <x:v>discovery</x:v>
      </x:c>
      <x:c r="G1106" s="17" t="str">
        <x:v>Stage 2 recorded this row as a discovery candidate; it does not independently verify an exact current research program, eligibility, or funding.</x:v>
      </x:c>
      <x:c r="H1106" s="17" t="str">
        <x:v>Pass 2 Stage 2 candidate funnel</x:v>
      </x:c>
      <x:c r="I1106" s="17" t="str">
        <x:v>Graduate audit pipeline</x:v>
      </x:c>
      <x:c r="J1106" s="17" t="str">
        <x:v>derived</x:v>
      </x:c>
      <x:c r="K1106" s="17" t="str">
        <x:v>2026-09-11</x:v>
      </x:c>
      <x:c r="L1106" s="17" t="str">
        <x:v>Not cycle-specific</x:v>
      </x:c>
      <x:c r="M1106" s="17" t="str">
        <x:v>low</x:v>
      </x:c>
      <x:c r="N1106" s="17" t="str">
        <x:v>Discovery evidence only</x:v>
      </x:c>
      <x:c r="O1106" s="17" t="str">
        <x:v>Use the source_record_paths field to trace the underlying discovery inputs.</x:v>
      </x:c>
      <x:c r="P1106" s="18" t="e">
        <x:f>HYPERLINK("https://www.lewisu.edu","Open source")</x:f>
        <x:v>HYPERLINK is not implemented. linkLocation=https://www.lewisu.edu, friendlyName=Open source</x:v>
      </x:c>
    </x:row>
    <x:row r="1107" ht="46" customHeight="1">
      <x:c r="A1107" s="17" t="str">
        <x:v>stage3src:6b94033a530dd5d46c2b</x:v>
      </x:c>
      <x:c r="B1107" s="17" t="str">
        <x:v>program</x:v>
      </x:c>
      <x:c r="C1107" s="17" t="str">
        <x:v>Lewis University</x:v>
      </x:c>
      <x:c r="D1107" s="17" t="str">
        <x:v>us:ipeds:146612:program:unclear:ipeds-discovery-signal-computer-science-cip-11-0701</x:v>
      </x:c>
      <x:c r="E1107" s="17" t="str"/>
      <x:c r="F1107" s="17" t="str">
        <x:v>discovery</x:v>
      </x:c>
      <x:c r="G1107" s="17" t="str">
        <x:v>Stage 2 recorded this row as a discovery candidate; it does not independently verify an exact current research program, eligibility, or funding.</x:v>
      </x:c>
      <x:c r="H1107" s="17" t="str">
        <x:v>Pass 2 Stage 2 candidate funnel</x:v>
      </x:c>
      <x:c r="I1107" s="17" t="str">
        <x:v>Graduate audit pipeline</x:v>
      </x:c>
      <x:c r="J1107" s="17" t="str">
        <x:v>derived</x:v>
      </x:c>
      <x:c r="K1107" s="17" t="str">
        <x:v>2026-09-11</x:v>
      </x:c>
      <x:c r="L1107" s="17" t="str">
        <x:v>Not cycle-specific</x:v>
      </x:c>
      <x:c r="M1107" s="17" t="str">
        <x:v>low</x:v>
      </x:c>
      <x:c r="N1107" s="17" t="str">
        <x:v>Discovery evidence only</x:v>
      </x:c>
      <x:c r="O1107" s="17" t="str">
        <x:v>Use the source_record_paths field to trace the underlying discovery inputs.</x:v>
      </x:c>
      <x:c r="P1107" s="18" t="e">
        <x:f>HYPERLINK("https://www.lewisu.edu","Open source")</x:f>
        <x:v>HYPERLINK is not implemented. linkLocation=https://www.lewisu.edu, friendlyName=Open source</x:v>
      </x:c>
    </x:row>
    <x:row r="1108" ht="46" customHeight="1">
      <x:c r="A1108" s="17" t="str">
        <x:v>stage3src:3addc3df307c66eef33e</x:v>
      </x:c>
      <x:c r="B1108" s="17" t="str">
        <x:v>program</x:v>
      </x:c>
      <x:c r="C1108" s="17" t="str">
        <x:v>Lewis University</x:v>
      </x:c>
      <x:c r="D1108" s="17" t="str">
        <x:v>us:ipeds:146612:program:unclear:ipeds-discovery-signal-data-science-general-cip-30-7001</x:v>
      </x:c>
      <x:c r="E1108" s="17" t="str"/>
      <x:c r="F1108" s="17" t="str">
        <x:v>discovery</x:v>
      </x:c>
      <x:c r="G1108" s="17" t="str">
        <x:v>Stage 2 recorded this row as a discovery candidate; it does not independently verify an exact current research program, eligibility, or funding.</x:v>
      </x:c>
      <x:c r="H1108" s="17" t="str">
        <x:v>Pass 2 Stage 2 candidate funnel</x:v>
      </x:c>
      <x:c r="I1108" s="17" t="str">
        <x:v>Graduate audit pipeline</x:v>
      </x:c>
      <x:c r="J1108" s="17" t="str">
        <x:v>derived</x:v>
      </x:c>
      <x:c r="K1108" s="17" t="str">
        <x:v>2026-09-11</x:v>
      </x:c>
      <x:c r="L1108" s="17" t="str">
        <x:v>Not cycle-specific</x:v>
      </x:c>
      <x:c r="M1108" s="17" t="str">
        <x:v>low</x:v>
      </x:c>
      <x:c r="N1108" s="17" t="str">
        <x:v>Discovery evidence only</x:v>
      </x:c>
      <x:c r="O1108" s="17" t="str">
        <x:v>Use the source_record_paths field to trace the underlying discovery inputs.</x:v>
      </x:c>
      <x:c r="P1108" s="18" t="e">
        <x:f>HYPERLINK("https://www.lewisu.edu","Open source")</x:f>
        <x:v>HYPERLINK is not implemented. linkLocation=https://www.lewisu.edu, friendlyName=Open source</x:v>
      </x:c>
    </x:row>
    <x:row r="1109" ht="46" customHeight="1">
      <x:c r="A1109" s="17" t="str">
        <x:v>stage3src:b3bffdd782d5259533d1</x:v>
      </x:c>
      <x:c r="B1109" s="17" t="str">
        <x:v>program</x:v>
      </x:c>
      <x:c r="C1109" s="17" t="str">
        <x:v>Loyola University Chicago</x:v>
      </x:c>
      <x:c r="D1109" s="17" t="str">
        <x:v>us:ipeds:146719:program:unclear:ipeds-discovery-signal-computer-science-cip-11-0701</x:v>
      </x:c>
      <x:c r="E1109" s="17" t="str"/>
      <x:c r="F1109" s="17" t="str">
        <x:v>discovery</x:v>
      </x:c>
      <x:c r="G1109" s="17" t="str">
        <x:v>Stage 2 recorded this row as a discovery candidate; it does not independently verify an exact current research program, eligibility, or funding.</x:v>
      </x:c>
      <x:c r="H1109" s="17" t="str">
        <x:v>Pass 2 Stage 2 candidate funnel</x:v>
      </x:c>
      <x:c r="I1109" s="17" t="str">
        <x:v>Graduate audit pipeline</x:v>
      </x:c>
      <x:c r="J1109" s="17" t="str">
        <x:v>derived</x:v>
      </x:c>
      <x:c r="K1109" s="17" t="str">
        <x:v>2026-09-11</x:v>
      </x:c>
      <x:c r="L1109" s="17" t="str">
        <x:v>Not cycle-specific</x:v>
      </x:c>
      <x:c r="M1109" s="17" t="str">
        <x:v>low</x:v>
      </x:c>
      <x:c r="N1109" s="17" t="str">
        <x:v>Discovery evidence only</x:v>
      </x:c>
      <x:c r="O1109" s="17" t="str">
        <x:v>Use the source_record_paths field to trace the underlying discovery inputs.</x:v>
      </x:c>
      <x:c r="P1109" s="18" t="e">
        <x:f>HYPERLINK("https://www.luc.edu","Open source")</x:f>
        <x:v>HYPERLINK is not implemented. linkLocation=https://www.luc.edu, friendlyName=Open source</x:v>
      </x:c>
    </x:row>
    <x:row r="1110" ht="46" customHeight="1">
      <x:c r="A1110" s="17" t="str">
        <x:v>stage3src:2bda239efce3c35dd50a</x:v>
      </x:c>
      <x:c r="B1110" s="17" t="str">
        <x:v>program</x:v>
      </x:c>
      <x:c r="C1110" s="17" t="str">
        <x:v>Loyola University Chicago</x:v>
      </x:c>
      <x:c r="D1110" s="17" t="str">
        <x:v>us:ipeds:146719:program:unclear:ipeds-discovery-signal-computer-software-engineering-cip-14-0903</x:v>
      </x:c>
      <x:c r="E1110" s="17" t="str"/>
      <x:c r="F1110" s="17" t="str">
        <x:v>discovery</x:v>
      </x:c>
      <x:c r="G1110" s="17" t="str">
        <x:v>Stage 2 recorded this row as a discovery candidate; it does not independently verify an exact current research program, eligibility, or funding.</x:v>
      </x:c>
      <x:c r="H1110" s="17" t="str">
        <x:v>Pass 2 Stage 2 candidate funnel</x:v>
      </x:c>
      <x:c r="I1110" s="17" t="str">
        <x:v>Graduate audit pipeline</x:v>
      </x:c>
      <x:c r="J1110" s="17" t="str">
        <x:v>derived</x:v>
      </x:c>
      <x:c r="K1110" s="17" t="str">
        <x:v>2026-09-11</x:v>
      </x:c>
      <x:c r="L1110" s="17" t="str">
        <x:v>Not cycle-specific</x:v>
      </x:c>
      <x:c r="M1110" s="17" t="str">
        <x:v>low</x:v>
      </x:c>
      <x:c r="N1110" s="17" t="str">
        <x:v>Discovery evidence only</x:v>
      </x:c>
      <x:c r="O1110" s="17" t="str">
        <x:v>Use the source_record_paths field to trace the underlying discovery inputs.</x:v>
      </x:c>
      <x:c r="P1110" s="18" t="e">
        <x:f>HYPERLINK("https://www.luc.edu","Open source")</x:f>
        <x:v>HYPERLINK is not implemented. linkLocation=https://www.luc.edu, friendlyName=Open source</x:v>
      </x:c>
    </x:row>
    <x:row r="1111" ht="46" customHeight="1">
      <x:c r="A1111" s="17" t="str">
        <x:v>stage3src:66de393a5bdef354c497</x:v>
      </x:c>
      <x:c r="B1111" s="17" t="str">
        <x:v>program</x:v>
      </x:c>
      <x:c r="C1111" s="17" t="str">
        <x:v>Loyola University Chicago</x:v>
      </x:c>
      <x:c r="D1111" s="17" t="str">
        <x:v>us:ipeds:146719:program:unclear:ipeds-discovery-signal-data-science-general-cip-30-7001</x:v>
      </x:c>
      <x:c r="E1111" s="17" t="str"/>
      <x:c r="F1111" s="17" t="str">
        <x:v>discovery</x:v>
      </x:c>
      <x:c r="G1111" s="17" t="str">
        <x:v>Stage 2 recorded this row as a discovery candidate; it does not independently verify an exact current research program, eligibility, or funding.</x:v>
      </x:c>
      <x:c r="H1111" s="17" t="str">
        <x:v>Pass 2 Stage 2 candidate funnel</x:v>
      </x:c>
      <x:c r="I1111" s="17" t="str">
        <x:v>Graduate audit pipeline</x:v>
      </x:c>
      <x:c r="J1111" s="17" t="str">
        <x:v>derived</x:v>
      </x:c>
      <x:c r="K1111" s="17" t="str">
        <x:v>2026-09-11</x:v>
      </x:c>
      <x:c r="L1111" s="17" t="str">
        <x:v>Not cycle-specific</x:v>
      </x:c>
      <x:c r="M1111" s="17" t="str">
        <x:v>low</x:v>
      </x:c>
      <x:c r="N1111" s="17" t="str">
        <x:v>Discovery evidence only</x:v>
      </x:c>
      <x:c r="O1111" s="17" t="str">
        <x:v>Use the source_record_paths field to trace the underlying discovery inputs.</x:v>
      </x:c>
      <x:c r="P1111" s="18" t="e">
        <x:f>HYPERLINK("https://www.luc.edu","Open source")</x:f>
        <x:v>HYPERLINK is not implemented. linkLocation=https://www.luc.edu, friendlyName=Open source</x:v>
      </x:c>
    </x:row>
    <x:row r="1112" ht="46" customHeight="1">
      <x:c r="A1112" s="17" t="str">
        <x:v>stage3src:a6e08a016f651ba949aa</x:v>
      </x:c>
      <x:c r="B1112" s="17" t="str">
        <x:v>program</x:v>
      </x:c>
      <x:c r="C1112" s="17" t="str">
        <x:v>Loyola University Chicago</x:v>
      </x:c>
      <x:c r="D1112" s="17" t="str">
        <x:v>us:ipeds:146719:program:unclear:ipeds-discovery-signal-information-technology-cip-11-0103</x:v>
      </x:c>
      <x:c r="E1112" s="17" t="str"/>
      <x:c r="F1112" s="17" t="str">
        <x:v>discovery</x:v>
      </x:c>
      <x:c r="G1112" s="17" t="str">
        <x:v>Stage 2 recorded this row as a discovery candidate; it does not independently verify an exact current research program, eligibility, or funding.</x:v>
      </x:c>
      <x:c r="H1112" s="17" t="str">
        <x:v>Pass 2 Stage 2 candidate funnel</x:v>
      </x:c>
      <x:c r="I1112" s="17" t="str">
        <x:v>Graduate audit pipeline</x:v>
      </x:c>
      <x:c r="J1112" s="17" t="str">
        <x:v>derived</x:v>
      </x:c>
      <x:c r="K1112" s="17" t="str">
        <x:v>2026-09-11</x:v>
      </x:c>
      <x:c r="L1112" s="17" t="str">
        <x:v>Not cycle-specific</x:v>
      </x:c>
      <x:c r="M1112" s="17" t="str">
        <x:v>low</x:v>
      </x:c>
      <x:c r="N1112" s="17" t="str">
        <x:v>Discovery evidence only</x:v>
      </x:c>
      <x:c r="O1112" s="17" t="str">
        <x:v>Use the source_record_paths field to trace the underlying discovery inputs.</x:v>
      </x:c>
      <x:c r="P1112" s="18" t="e">
        <x:f>HYPERLINK("https://www.luc.edu","Open source")</x:f>
        <x:v>HYPERLINK is not implemented. linkLocation=https://www.luc.edu, friendlyName=Open source</x:v>
      </x:c>
    </x:row>
    <x:row r="1113" ht="46" customHeight="1">
      <x:c r="A1113" s="17" t="str">
        <x:v>stage3src:34835062ea60f2bd2842</x:v>
      </x:c>
      <x:c r="B1113" s="17" t="str">
        <x:v>program</x:v>
      </x:c>
      <x:c r="C1113" s="17" t="str">
        <x:v>Northern Illinois University</x:v>
      </x:c>
      <x:c r="D1113" s="17" t="str">
        <x:v>us:ipeds:147703:program:unclear:ipeds-discovery-signal-computer-science-cip-11-0701</x:v>
      </x:c>
      <x:c r="E1113" s="17" t="str"/>
      <x:c r="F1113" s="17" t="str">
        <x:v>discovery</x:v>
      </x:c>
      <x:c r="G1113" s="17" t="str">
        <x:v>Stage 2 recorded this row as a discovery candidate; it does not independently verify an exact current research program, eligibility, or funding.</x:v>
      </x:c>
      <x:c r="H1113" s="17" t="str">
        <x:v>Pass 2 Stage 2 candidate funnel</x:v>
      </x:c>
      <x:c r="I1113" s="17" t="str">
        <x:v>Graduate audit pipeline</x:v>
      </x:c>
      <x:c r="J1113" s="17" t="str">
        <x:v>derived</x:v>
      </x:c>
      <x:c r="K1113" s="17" t="str">
        <x:v>2026-09-11</x:v>
      </x:c>
      <x:c r="L1113" s="17" t="str">
        <x:v>Not cycle-specific</x:v>
      </x:c>
      <x:c r="M1113" s="17" t="str">
        <x:v>low</x:v>
      </x:c>
      <x:c r="N1113" s="17" t="str">
        <x:v>Discovery evidence only</x:v>
      </x:c>
      <x:c r="O1113" s="17" t="str">
        <x:v>Use the source_record_paths field to trace the underlying discovery inputs.</x:v>
      </x:c>
      <x:c r="P1113" s="18" t="e">
        <x:f>HYPERLINK("https://www.niu.edu","Open source")</x:f>
        <x:v>HYPERLINK is not implemented. linkLocation=https://www.niu.edu, friendlyName=Open source</x:v>
      </x:c>
    </x:row>
    <x:row r="1114" ht="46" customHeight="1">
      <x:c r="A1114" s="17" t="str">
        <x:v>stage3src:54e8d752cc8ccf83aa1e</x:v>
      </x:c>
      <x:c r="B1114" s="17" t="str">
        <x:v>program</x:v>
      </x:c>
      <x:c r="C1114" s="17" t="str">
        <x:v>Northern Illinois University</x:v>
      </x:c>
      <x:c r="D1114" s="17" t="str">
        <x:v>us:ipeds:147703:program:unclear:ipeds-discovery-signal-electrical-and-electronics-engineering-cip-14-1001</x:v>
      </x:c>
      <x:c r="E1114" s="17" t="str"/>
      <x:c r="F1114" s="17" t="str">
        <x:v>discovery</x:v>
      </x:c>
      <x:c r="G1114" s="17" t="str">
        <x:v>Stage 2 recorded this row as a discovery candidate; it does not independently verify an exact current research program, eligibility, or funding.</x:v>
      </x:c>
      <x:c r="H1114" s="17" t="str">
        <x:v>Pass 2 Stage 2 candidate funnel</x:v>
      </x:c>
      <x:c r="I1114" s="17" t="str">
        <x:v>Graduate audit pipeline</x:v>
      </x:c>
      <x:c r="J1114" s="17" t="str">
        <x:v>derived</x:v>
      </x:c>
      <x:c r="K1114" s="17" t="str">
        <x:v>2026-09-11</x:v>
      </x:c>
      <x:c r="L1114" s="17" t="str">
        <x:v>Not cycle-specific</x:v>
      </x:c>
      <x:c r="M1114" s="17" t="str">
        <x:v>low</x:v>
      </x:c>
      <x:c r="N1114" s="17" t="str">
        <x:v>Discovery evidence only</x:v>
      </x:c>
      <x:c r="O1114" s="17" t="str">
        <x:v>Use the source_record_paths field to trace the underlying discovery inputs.</x:v>
      </x:c>
      <x:c r="P1114" s="18" t="e">
        <x:f>HYPERLINK("https://www.niu.edu","Open source")</x:f>
        <x:v>HYPERLINK is not implemented. linkLocation=https://www.niu.edu, friendlyName=Open source</x:v>
      </x:c>
    </x:row>
    <x:row r="1115" ht="46" customHeight="1">
      <x:c r="A1115" s="17" t="str">
        <x:v>stage3src:692aedd1bae9b7dc7d97</x:v>
      </x:c>
      <x:c r="B1115" s="17" t="str">
        <x:v>program</x:v>
      </x:c>
      <x:c r="C1115" s="17" t="str">
        <x:v>Northern Illinois University</x:v>
      </x:c>
      <x:c r="D1115" s="17" t="str">
        <x:v>us:ipeds:147703:program:unclear:ipeds-discovery-signal-information-technology-cip-11-0103</x:v>
      </x:c>
      <x:c r="E1115" s="17" t="str"/>
      <x:c r="F1115" s="17" t="str">
        <x:v>discovery</x:v>
      </x:c>
      <x:c r="G1115" s="17" t="str">
        <x:v>Stage 2 recorded this row as a discovery candidate; it does not independently verify an exact current research program, eligibility, or funding.</x:v>
      </x:c>
      <x:c r="H1115" s="17" t="str">
        <x:v>Pass 2 Stage 2 candidate funnel</x:v>
      </x:c>
      <x:c r="I1115" s="17" t="str">
        <x:v>Graduate audit pipeline</x:v>
      </x:c>
      <x:c r="J1115" s="17" t="str">
        <x:v>derived</x:v>
      </x:c>
      <x:c r="K1115" s="17" t="str">
        <x:v>2026-09-11</x:v>
      </x:c>
      <x:c r="L1115" s="17" t="str">
        <x:v>Not cycle-specific</x:v>
      </x:c>
      <x:c r="M1115" s="17" t="str">
        <x:v>low</x:v>
      </x:c>
      <x:c r="N1115" s="17" t="str">
        <x:v>Discovery evidence only</x:v>
      </x:c>
      <x:c r="O1115" s="17" t="str">
        <x:v>Use the source_record_paths field to trace the underlying discovery inputs.</x:v>
      </x:c>
      <x:c r="P1115" s="18" t="e">
        <x:f>HYPERLINK("https://www.niu.edu","Open source")</x:f>
        <x:v>HYPERLINK is not implemented. linkLocation=https://www.niu.edu, friendlyName=Open source</x:v>
      </x:c>
    </x:row>
    <x:row r="1116" ht="46" customHeight="1">
      <x:c r="A1116" s="17" t="str">
        <x:v>stage3src:00a1c3d523ac6668ba66</x:v>
      </x:c>
      <x:c r="B1116" s="17" t="str">
        <x:v>program</x:v>
      </x:c>
      <x:c r="C1116" s="17" t="str">
        <x:v>Northwestern University</x:v>
      </x:c>
      <x:c r="D1116" s="17" t="str">
        <x:v>us:ipeds:147767:program:phd:phd-in-computer-science</x:v>
      </x:c>
      <x:c r="E1116" s="17" t="str"/>
      <x:c r="F1116" s="17" t="str">
        <x:v>admissions|fees</x:v>
      </x:c>
      <x:c r="G1116" s="17" t="str">
        <x:v>Nonrefundable USD 95 Graduate School application fee and limited waiver guidance.</x:v>
      </x:c>
      <x:c r="H1116" s="17" t="str">
        <x:v>Application Fee</x:v>
      </x:c>
      <x:c r="I1116" s="17" t="str">
        <x:v>Northwestern University The Graduate School</x:v>
      </x:c>
      <x:c r="J1116" s="17" t="str">
        <x:v>official</x:v>
      </x:c>
      <x:c r="K1116" s="17" t="str">
        <x:v>2026-09-11</x:v>
      </x:c>
      <x:c r="L1116" s="17" t="str">
        <x:v>Current fee page checked 2026-09-11</x:v>
      </x:c>
      <x:c r="M1116" s="17" t="str">
        <x:v>high</x:v>
      </x:c>
      <x:c r="N1116" s="17" t="str">
        <x:v>official page checked</x:v>
      </x:c>
      <x:c r="O1116" s="17" t="str"/>
      <x:c r="P1116" s="18" t="e">
        <x:f>HYPERLINK("https://www.tgs.northwestern.edu/admission/application-procedures/application-requirements/fee.html","Open source")</x:f>
        <x:v>HYPERLINK is not implemented. linkLocation=https://www.tgs.northwestern.edu/admission/application-procedures/application-requirements/fee.html, friendlyName=Open source</x:v>
      </x:c>
    </x:row>
    <x:row r="1117" ht="46" customHeight="1">
      <x:c r="A1117" s="17" t="str">
        <x:v>stage3src:17ca2d30251838ec5b34</x:v>
      </x:c>
      <x:c r="B1117" s="17" t="str">
        <x:v>program</x:v>
      </x:c>
      <x:c r="C1117" s="17" t="str">
        <x:v>Northwestern University</x:v>
      </x:c>
      <x:c r="D1117" s="17" t="str">
        <x:v>us:ipeds:147767:program:phd:phd-in-computer-science</x:v>
      </x:c>
      <x:c r="E1117" s="17" t="str"/>
      <x:c r="F1117" s="17" t="str">
        <x:v>admissions|eligibility|language|deadline</x:v>
      </x:c>
      <x:c r="G1117" s="17" t="str">
        <x:v>Application cycle, English thresholds and U.S.-degree waiver, doctoral application model, and no-master's entry.</x:v>
      </x:c>
      <x:c r="H1117" s="17" t="str">
        <x:v>Graduate Admissions FAQ</x:v>
      </x:c>
      <x:c r="I1117" s="17" t="str">
        <x:v>Northwestern University Computer Science</x:v>
      </x:c>
      <x:c r="J1117" s="17" t="str">
        <x:v>official</x:v>
      </x:c>
      <x:c r="K1117" s="17" t="str">
        <x:v>2026-09-11</x:v>
      </x:c>
      <x:c r="L1117" s="17" t="str">
        <x:v>2026–27 cycle checked 2026-09-11</x:v>
      </x:c>
      <x:c r="M1117" s="17" t="str">
        <x:v>high</x:v>
      </x:c>
      <x:c r="N1117" s="17" t="str">
        <x:v>official page checked</x:v>
      </x:c>
      <x:c r="O1117" s="17" t="str"/>
      <x:c r="P1117" s="18" t="e">
        <x:f>HYPERLINK("https://www.mccormick.northwestern.edu/computer-science/academics/graduate/admissions/faq.html","Open source")</x:f>
        <x:v>HYPERLINK is not implemented. linkLocation=https://www.mccormick.northwestern.edu/computer-science/academics/graduate/admissions/faq.html, friendlyName=Open source</x:v>
      </x:c>
    </x:row>
    <x:row r="1118" ht="46" customHeight="1">
      <x:c r="A1118" s="17" t="str">
        <x:v>stage3src:4c2d4116d295c08dcc49</x:v>
      </x:c>
      <x:c r="B1118" s="17" t="str">
        <x:v>program</x:v>
      </x:c>
      <x:c r="C1118" s="17" t="str">
        <x:v>Northwestern University</x:v>
      </x:c>
      <x:c r="D1118" s="17" t="str">
        <x:v>us:ipeds:147767:program:phd:phd-in-computer-science</x:v>
      </x:c>
      <x:c r="E1118" s="17" t="str"/>
      <x:c r="F1118" s="17" t="str">
        <x:v>funding|tuition</x:v>
      </x:c>
      <x:c r="G1118" s="17" t="str">
        <x:v>Guaranteed support through the fifth year and first-year fellowship/later assistantship structure.</x:v>
      </x:c>
      <x:c r="H1118" s="17" t="str">
        <x:v>PhD Student Resources</x:v>
      </x:c>
      <x:c r="I1118" s="17" t="str">
        <x:v>Northwestern University Computer Science</x:v>
      </x:c>
      <x:c r="J1118" s="17" t="str">
        <x:v>official</x:v>
      </x:c>
      <x:c r="K1118" s="17" t="str">
        <x:v>2026-09-11</x:v>
      </x:c>
      <x:c r="L1118" s="17" t="str">
        <x:v>Current funding policy checked 2026-09-11</x:v>
      </x:c>
      <x:c r="M1118" s="17" t="str">
        <x:v>high</x:v>
      </x:c>
      <x:c r="N1118" s="17" t="str">
        <x:v>official page checked</x:v>
      </x:c>
      <x:c r="O1118" s="17" t="str"/>
      <x:c r="P1118" s="18" t="e">
        <x:f>HYPERLINK("https://www.mccormick.northwestern.edu/computer-science/resources/student/phd.html","Open source")</x:f>
        <x:v>HYPERLINK is not implemented. linkLocation=https://www.mccormick.northwestern.edu/computer-science/resources/student/phd.html, friendlyName=Open source</x:v>
      </x:c>
    </x:row>
    <x:row r="1119" ht="46" customHeight="1">
      <x:c r="A1119" s="17" t="str">
        <x:v>stage3src:80d38a2a9332ab25506c</x:v>
      </x:c>
      <x:c r="B1119" s="17" t="str">
        <x:v>program</x:v>
      </x:c>
      <x:c r="C1119" s="17" t="str">
        <x:v>Northwestern University</x:v>
      </x:c>
      <x:c r="D1119" s="17" t="str">
        <x:v>us:ipeds:147767:program:phd:phd-in-computer-science</x:v>
      </x:c>
      <x:c r="E1119" s="17" t="str"/>
      <x:c r="F1119" s="17" t="str">
        <x:v>program|research|eligibility</x:v>
      </x:c>
      <x:c r="G1119" s="17" t="str">
        <x:v>Current CS PhD, full-time research structure, and bachelor's-entry route.</x:v>
      </x:c>
      <x:c r="H1119" s="17" t="str">
        <x:v>PhD in Computer Science</x:v>
      </x:c>
      <x:c r="I1119" s="17" t="str">
        <x:v>Northwestern University</x:v>
      </x:c>
      <x:c r="J1119" s="17" t="str">
        <x:v>official</x:v>
      </x:c>
      <x:c r="K1119" s="17" t="str">
        <x:v>2026-09-11</x:v>
      </x:c>
      <x:c r="L1119" s="17" t="str">
        <x:v>Current page checked 2026-09-11</x:v>
      </x:c>
      <x:c r="M1119" s="17" t="str">
        <x:v>high</x:v>
      </x:c>
      <x:c r="N1119" s="17" t="str">
        <x:v>official page checked</x:v>
      </x:c>
      <x:c r="O1119" s="17" t="str"/>
      <x:c r="P1119" s="18" t="e">
        <x:f>HYPERLINK("https://www.mccormick.northwestern.edu/computer-science/academics/graduate/phd/","Open source")</x:f>
        <x:v>HYPERLINK is not implemented. linkLocation=https://www.mccormick.northwestern.edu/computer-science/academics/graduate/phd/, friendlyName=Open source</x:v>
      </x:c>
    </x:row>
    <x:row r="1120" ht="46" customHeight="1">
      <x:c r="A1120" s="17" t="str">
        <x:v>stage3src:fa24935509b16055bd29</x:v>
      </x:c>
      <x:c r="B1120" s="17" t="str">
        <x:v>program</x:v>
      </x:c>
      <x:c r="C1120" s="17" t="str">
        <x:v>Northwestern University</x:v>
      </x:c>
      <x:c r="D1120" s="17" t="str">
        <x:v>us:ipeds:147767:program:unclear:ipeds-discovery-signal-artificial-intelligence-cip-11-0102</x:v>
      </x:c>
      <x:c r="E1120" s="17" t="str"/>
      <x:c r="F1120" s="17" t="str">
        <x:v>discovery</x:v>
      </x:c>
      <x:c r="G1120" s="17" t="str">
        <x:v>Stage 2 recorded this row as a discovery candidate; it does not independently verify an exact current research program, eligibility, or funding.</x:v>
      </x:c>
      <x:c r="H1120" s="17" t="str">
        <x:v>Pass 2 Stage 2 candidate funnel</x:v>
      </x:c>
      <x:c r="I1120" s="17" t="str">
        <x:v>Graduate audit pipeline</x:v>
      </x:c>
      <x:c r="J1120" s="17" t="str">
        <x:v>derived</x:v>
      </x:c>
      <x:c r="K1120" s="17" t="str">
        <x:v>2026-09-11</x:v>
      </x:c>
      <x:c r="L1120" s="17" t="str">
        <x:v>Not cycle-specific</x:v>
      </x:c>
      <x:c r="M1120" s="17" t="str">
        <x:v>low</x:v>
      </x:c>
      <x:c r="N1120" s="17" t="str">
        <x:v>Discovery evidence only</x:v>
      </x:c>
      <x:c r="O1120" s="17" t="str">
        <x:v>Use the source_record_paths field to trace the underlying discovery inputs.</x:v>
      </x:c>
      <x:c r="P1120" s="18" t="e">
        <x:f>HYPERLINK("https://www.northwestern.edu","Open source")</x:f>
        <x:v>HYPERLINK is not implemented. linkLocation=https://www.northwestern.edu, friendlyName=Open source</x:v>
      </x:c>
    </x:row>
    <x:row r="1121" ht="46" customHeight="1">
      <x:c r="A1121" s="17" t="str">
        <x:v>stage3src:7bc60559814a5fe0efc2</x:v>
      </x:c>
      <x:c r="B1121" s="17" t="str">
        <x:v>program</x:v>
      </x:c>
      <x:c r="C1121" s="17" t="str">
        <x:v>Northwestern University</x:v>
      </x:c>
      <x:c r="D1121" s="17" t="str">
        <x:v>us:ipeds:147767:program:unclear:ipeds-discovery-signal-computer-and-information-sciences-other-cip-11-0199</x:v>
      </x:c>
      <x:c r="E1121" s="17" t="str"/>
      <x:c r="F1121" s="17" t="str">
        <x:v>discovery</x:v>
      </x:c>
      <x:c r="G1121" s="17" t="str">
        <x:v>Stage 2 recorded this row as a discovery candidate; it does not independently verify an exact current research program, eligibility, or funding.</x:v>
      </x:c>
      <x:c r="H1121" s="17" t="str">
        <x:v>Pass 2 Stage 2 candidate funnel</x:v>
      </x:c>
      <x:c r="I1121" s="17" t="str">
        <x:v>Graduate audit pipeline</x:v>
      </x:c>
      <x:c r="J1121" s="17" t="str">
        <x:v>derived</x:v>
      </x:c>
      <x:c r="K1121" s="17" t="str">
        <x:v>2026-09-11</x:v>
      </x:c>
      <x:c r="L1121" s="17" t="str">
        <x:v>Not cycle-specific</x:v>
      </x:c>
      <x:c r="M1121" s="17" t="str">
        <x:v>low</x:v>
      </x:c>
      <x:c r="N1121" s="17" t="str">
        <x:v>Discovery evidence only</x:v>
      </x:c>
      <x:c r="O1121" s="17" t="str">
        <x:v>Use the source_record_paths field to trace the underlying discovery inputs.</x:v>
      </x:c>
      <x:c r="P1121" s="18" t="e">
        <x:f>HYPERLINK("https://www.northwestern.edu","Open source")</x:f>
        <x:v>HYPERLINK is not implemented. linkLocation=https://www.northwestern.edu, friendlyName=Open source</x:v>
      </x:c>
    </x:row>
    <x:row r="1122" ht="46" customHeight="1">
      <x:c r="A1122" s="17" t="str">
        <x:v>stage3src:ae2dd01fc89da9d5988a</x:v>
      </x:c>
      <x:c r="B1122" s="17" t="str">
        <x:v>program</x:v>
      </x:c>
      <x:c r="C1122" s="17" t="str">
        <x:v>Northwestern University</x:v>
      </x:c>
      <x:c r="D1122" s="17" t="str">
        <x:v>us:ipeds:147767:program:unclear:ipeds-discovery-signal-computer-engineering-general-cip-14-0901</x:v>
      </x:c>
      <x:c r="E1122" s="17" t="str"/>
      <x:c r="F1122" s="17" t="str">
        <x:v>discovery</x:v>
      </x:c>
      <x:c r="G1122" s="17" t="str">
        <x:v>Stage 2 recorded this row as a discovery candidate; it does not independently verify an exact current research program, eligibility, or funding.</x:v>
      </x:c>
      <x:c r="H1122" s="17" t="str">
        <x:v>Pass 2 Stage 2 candidate funnel</x:v>
      </x:c>
      <x:c r="I1122" s="17" t="str">
        <x:v>Graduate audit pipeline</x:v>
      </x:c>
      <x:c r="J1122" s="17" t="str">
        <x:v>derived</x:v>
      </x:c>
      <x:c r="K1122" s="17" t="str">
        <x:v>2026-09-11</x:v>
      </x:c>
      <x:c r="L1122" s="17" t="str">
        <x:v>Not cycle-specific</x:v>
      </x:c>
      <x:c r="M1122" s="17" t="str">
        <x:v>low</x:v>
      </x:c>
      <x:c r="N1122" s="17" t="str">
        <x:v>Discovery evidence only</x:v>
      </x:c>
      <x:c r="O1122" s="17" t="str">
        <x:v>Use the source_record_paths field to trace the underlying discovery inputs.</x:v>
      </x:c>
      <x:c r="P1122" s="18" t="e">
        <x:f>HYPERLINK("https://www.northwestern.edu","Open source")</x:f>
        <x:v>HYPERLINK is not implemented. linkLocation=https://www.northwestern.edu, friendlyName=Open source</x:v>
      </x:c>
    </x:row>
    <x:row r="1123" ht="46" customHeight="1">
      <x:c r="A1123" s="17" t="str">
        <x:v>stage3src:c7a46b067d117efc154b</x:v>
      </x:c>
      <x:c r="B1123" s="17" t="str">
        <x:v>program</x:v>
      </x:c>
      <x:c r="C1123" s="17" t="str">
        <x:v>Northwestern University</x:v>
      </x:c>
      <x:c r="D1123" s="17" t="str">
        <x:v>us:ipeds:147767:program:unclear:ipeds-discovery-signal-computer-science-cip-11-0701</x:v>
      </x:c>
      <x:c r="E1123" s="17" t="str"/>
      <x:c r="F1123" s="17" t="str">
        <x:v>discovery</x:v>
      </x:c>
      <x:c r="G1123" s="17" t="str">
        <x:v>Stage 2 recorded this row as a discovery candidate; it does not independently verify an exact current research program, eligibility, or funding.</x:v>
      </x:c>
      <x:c r="H1123" s="17" t="str">
        <x:v>Pass 2 Stage 2 candidate funnel</x:v>
      </x:c>
      <x:c r="I1123" s="17" t="str">
        <x:v>Graduate audit pipeline</x:v>
      </x:c>
      <x:c r="J1123" s="17" t="str">
        <x:v>derived</x:v>
      </x:c>
      <x:c r="K1123" s="17" t="str">
        <x:v>2026-09-11</x:v>
      </x:c>
      <x:c r="L1123" s="17" t="str">
        <x:v>Not cycle-specific</x:v>
      </x:c>
      <x:c r="M1123" s="17" t="str">
        <x:v>low</x:v>
      </x:c>
      <x:c r="N1123" s="17" t="str">
        <x:v>Discovery evidence only</x:v>
      </x:c>
      <x:c r="O1123" s="17" t="str">
        <x:v>Use the source_record_paths field to trace the underlying discovery inputs.</x:v>
      </x:c>
      <x:c r="P1123" s="18" t="e">
        <x:f>HYPERLINK("https://www.northwestern.edu","Open source")</x:f>
        <x:v>HYPERLINK is not implemented. linkLocation=https://www.northwestern.edu, friendlyName=Open source</x:v>
      </x:c>
    </x:row>
    <x:row r="1124" ht="46" customHeight="1">
      <x:c r="A1124" s="17" t="str">
        <x:v>stage3src:1715d0909897d9da650f</x:v>
      </x:c>
      <x:c r="B1124" s="17" t="str">
        <x:v>program</x:v>
      </x:c>
      <x:c r="C1124" s="17" t="str">
        <x:v>Northwestern University</x:v>
      </x:c>
      <x:c r="D1124" s="17" t="str">
        <x:v>us:ipeds:147767:program:unclear:ipeds-discovery-signal-electrical-and-electronics-engineering-cip-14-1001</x:v>
      </x:c>
      <x:c r="E1124" s="17" t="str"/>
      <x:c r="F1124" s="17" t="str">
        <x:v>discovery</x:v>
      </x:c>
      <x:c r="G1124" s="17" t="str">
        <x:v>Stage 2 recorded this row as a discovery candidate; it does not independently verify an exact current research program, eligibility, or funding.</x:v>
      </x:c>
      <x:c r="H1124" s="17" t="str">
        <x:v>Pass 2 Stage 2 candidate funnel</x:v>
      </x:c>
      <x:c r="I1124" s="17" t="str">
        <x:v>Graduate audit pipeline</x:v>
      </x:c>
      <x:c r="J1124" s="17" t="str">
        <x:v>derived</x:v>
      </x:c>
      <x:c r="K1124" s="17" t="str">
        <x:v>2026-09-11</x:v>
      </x:c>
      <x:c r="L1124" s="17" t="str">
        <x:v>Not cycle-specific</x:v>
      </x:c>
      <x:c r="M1124" s="17" t="str">
        <x:v>low</x:v>
      </x:c>
      <x:c r="N1124" s="17" t="str">
        <x:v>Discovery evidence only</x:v>
      </x:c>
      <x:c r="O1124" s="17" t="str">
        <x:v>Use the source_record_paths field to trace the underlying discovery inputs.</x:v>
      </x:c>
      <x:c r="P1124" s="18" t="e">
        <x:f>HYPERLINK("https://www.northwestern.edu","Open source")</x:f>
        <x:v>HYPERLINK is not implemented. linkLocation=https://www.northwestern.edu, friendlyName=Open source</x:v>
      </x:c>
    </x:row>
    <x:row r="1125" ht="46" customHeight="1">
      <x:c r="A1125" s="17" t="str">
        <x:v>stage3src:7bc83c3ce07bf946d967</x:v>
      </x:c>
      <x:c r="B1125" s="17" t="str">
        <x:v>program</x:v>
      </x:c>
      <x:c r="C1125" s="17" t="str">
        <x:v>Northwestern University</x:v>
      </x:c>
      <x:c r="D1125" s="17" t="str">
        <x:v>us:ipeds:147767:program:unclear:ipeds-discovery-signal-information-science-studies-cip-11-0401</x:v>
      </x:c>
      <x:c r="E1125" s="17" t="str"/>
      <x:c r="F1125" s="17" t="str">
        <x:v>discovery</x:v>
      </x:c>
      <x:c r="G1125" s="17" t="str">
        <x:v>Stage 2 recorded this row as a discovery candidate; it does not independently verify an exact current research program, eligibility, or funding.</x:v>
      </x:c>
      <x:c r="H1125" s="17" t="str">
        <x:v>Pass 2 Stage 2 candidate funnel</x:v>
      </x:c>
      <x:c r="I1125" s="17" t="str">
        <x:v>Graduate audit pipeline</x:v>
      </x:c>
      <x:c r="J1125" s="17" t="str">
        <x:v>derived</x:v>
      </x:c>
      <x:c r="K1125" s="17" t="str">
        <x:v>2026-09-11</x:v>
      </x:c>
      <x:c r="L1125" s="17" t="str">
        <x:v>Not cycle-specific</x:v>
      </x:c>
      <x:c r="M1125" s="17" t="str">
        <x:v>low</x:v>
      </x:c>
      <x:c r="N1125" s="17" t="str">
        <x:v>Discovery evidence only</x:v>
      </x:c>
      <x:c r="O1125" s="17" t="str">
        <x:v>Use the source_record_paths field to trace the underlying discovery inputs.</x:v>
      </x:c>
      <x:c r="P1125" s="18" t="e">
        <x:f>HYPERLINK("https://www.northwestern.edu","Open source")</x:f>
        <x:v>HYPERLINK is not implemented. linkLocation=https://www.northwestern.edu, friendlyName=Open source</x:v>
      </x:c>
    </x:row>
    <x:row r="1126" ht="46" customHeight="1">
      <x:c r="A1126" s="17" t="str">
        <x:v>stage3src:38ccd1f0caacff75f005</x:v>
      </x:c>
      <x:c r="B1126" s="17" t="str">
        <x:v>program</x:v>
      </x:c>
      <x:c r="C1126" s="17" t="str">
        <x:v>Northeastern Illinois University</x:v>
      </x:c>
      <x:c r="D1126" s="17" t="str">
        <x:v>us:ipeds:147776:program:unclear:ipeds-discovery-signal-computer-science-cip-11-0701</x:v>
      </x:c>
      <x:c r="E1126" s="17" t="str"/>
      <x:c r="F1126" s="17" t="str">
        <x:v>discovery</x:v>
      </x:c>
      <x:c r="G1126" s="17" t="str">
        <x:v>Stage 2 recorded this row as a discovery candidate; it does not independently verify an exact current research program, eligibility, or funding.</x:v>
      </x:c>
      <x:c r="H1126" s="17" t="str">
        <x:v>Pass 2 Stage 2 candidate funnel</x:v>
      </x:c>
      <x:c r="I1126" s="17" t="str">
        <x:v>Graduate audit pipeline</x:v>
      </x:c>
      <x:c r="J1126" s="17" t="str">
        <x:v>derived</x:v>
      </x:c>
      <x:c r="K1126" s="17" t="str">
        <x:v>2026-09-11</x:v>
      </x:c>
      <x:c r="L1126" s="17" t="str">
        <x:v>Not cycle-specific</x:v>
      </x:c>
      <x:c r="M1126" s="17" t="str">
        <x:v>low</x:v>
      </x:c>
      <x:c r="N1126" s="17" t="str">
        <x:v>Discovery evidence only</x:v>
      </x:c>
      <x:c r="O1126" s="17" t="str">
        <x:v>Use the source_record_paths field to trace the underlying discovery inputs.</x:v>
      </x:c>
      <x:c r="P1126" s="18" t="e">
        <x:f>HYPERLINK("https://www.neiu.edu","Open source")</x:f>
        <x:v>HYPERLINK is not implemented. linkLocation=https://www.neiu.edu, friendlyName=Open source</x:v>
      </x:c>
    </x:row>
    <x:row r="1127" ht="46" customHeight="1">
      <x:c r="A1127" s="17" t="str">
        <x:v>stage3src:3a1501fdeb5a38e44811</x:v>
      </x:c>
      <x:c r="B1127" s="17" t="str">
        <x:v>program</x:v>
      </x:c>
      <x:c r="C1127" s="17" t="str">
        <x:v>Roosevelt University</x:v>
      </x:c>
      <x:c r="D1127" s="17" t="str">
        <x:v>us:ipeds:148487:program:unclear:ipeds-discovery-signal-computer-and-information-systems-security-auditing-information-assurance-cip-11-1003</x:v>
      </x:c>
      <x:c r="E1127" s="17" t="str"/>
      <x:c r="F1127" s="17" t="str">
        <x:v>discovery</x:v>
      </x:c>
      <x:c r="G1127" s="17" t="str">
        <x:v>Stage 2 recorded this row as a discovery candidate; it does not independently verify an exact current research program, eligibility, or funding.</x:v>
      </x:c>
      <x:c r="H1127" s="17" t="str">
        <x:v>Pass 2 Stage 2 candidate funnel</x:v>
      </x:c>
      <x:c r="I1127" s="17" t="str">
        <x:v>Graduate audit pipeline</x:v>
      </x:c>
      <x:c r="J1127" s="17" t="str">
        <x:v>derived</x:v>
      </x:c>
      <x:c r="K1127" s="17" t="str">
        <x:v>2026-09-11</x:v>
      </x:c>
      <x:c r="L1127" s="17" t="str">
        <x:v>Not cycle-specific</x:v>
      </x:c>
      <x:c r="M1127" s="17" t="str">
        <x:v>low</x:v>
      </x:c>
      <x:c r="N1127" s="17" t="str">
        <x:v>Discovery evidence only</x:v>
      </x:c>
      <x:c r="O1127" s="17" t="str">
        <x:v>Use the source_record_paths field to trace the underlying discovery inputs.</x:v>
      </x:c>
      <x:c r="P1127" s="18" t="e">
        <x:f>HYPERLINK("https://www.roosevelt.edu","Open source")</x:f>
        <x:v>HYPERLINK is not implemented. linkLocation=https://www.roosevelt.edu, friendlyName=Open source</x:v>
      </x:c>
    </x:row>
    <x:row r="1128" ht="46" customHeight="1">
      <x:c r="A1128" s="17" t="str">
        <x:v>stage3src:5b80b60ec2bc60bbe2c1</x:v>
      </x:c>
      <x:c r="B1128" s="17" t="str">
        <x:v>program</x:v>
      </x:c>
      <x:c r="C1128" s="17" t="str">
        <x:v>Roosevelt University</x:v>
      </x:c>
      <x:c r="D1128" s="17" t="str">
        <x:v>us:ipeds:148487:program:unclear:ipeds-discovery-signal-computer-science-cip-11-0701</x:v>
      </x:c>
      <x:c r="E1128" s="17" t="str"/>
      <x:c r="F1128" s="17" t="str">
        <x:v>discovery</x:v>
      </x:c>
      <x:c r="G1128" s="17" t="str">
        <x:v>Stage 2 recorded this row as a discovery candidate; it does not independently verify an exact current research program, eligibility, or funding.</x:v>
      </x:c>
      <x:c r="H1128" s="17" t="str">
        <x:v>Pass 2 Stage 2 candidate funnel</x:v>
      </x:c>
      <x:c r="I1128" s="17" t="str">
        <x:v>Graduate audit pipeline</x:v>
      </x:c>
      <x:c r="J1128" s="17" t="str">
        <x:v>derived</x:v>
      </x:c>
      <x:c r="K1128" s="17" t="str">
        <x:v>2026-09-11</x:v>
      </x:c>
      <x:c r="L1128" s="17" t="str">
        <x:v>Not cycle-specific</x:v>
      </x:c>
      <x:c r="M1128" s="17" t="str">
        <x:v>low</x:v>
      </x:c>
      <x:c r="N1128" s="17" t="str">
        <x:v>Discovery evidence only</x:v>
      </x:c>
      <x:c r="O1128" s="17" t="str">
        <x:v>Use the source_record_paths field to trace the underlying discovery inputs.</x:v>
      </x:c>
      <x:c r="P1128" s="18" t="e">
        <x:f>HYPERLINK("https://www.roosevelt.edu","Open source")</x:f>
        <x:v>HYPERLINK is not implemented. linkLocation=https://www.roosevelt.edu, friendlyName=Open source</x:v>
      </x:c>
    </x:row>
    <x:row r="1129" ht="46" customHeight="1">
      <x:c r="A1129" s="17" t="str">
        <x:v>stage3src:1be0335bb6866b97f1f8</x:v>
      </x:c>
      <x:c r="B1129" s="17" t="str">
        <x:v>program</x:v>
      </x:c>
      <x:c r="C1129" s="17" t="str">
        <x:v>Roosevelt University</x:v>
      </x:c>
      <x:c r="D1129" s="17" t="str">
        <x:v>us:ipeds:148487:program:unclear:ipeds-discovery-signal-information-science-studies-cip-11-0401</x:v>
      </x:c>
      <x:c r="E1129" s="17" t="str"/>
      <x:c r="F1129" s="17" t="str">
        <x:v>discovery</x:v>
      </x:c>
      <x:c r="G1129" s="17" t="str">
        <x:v>Stage 2 recorded this row as a discovery candidate; it does not independently verify an exact current research program, eligibility, or funding.</x:v>
      </x:c>
      <x:c r="H1129" s="17" t="str">
        <x:v>Pass 2 Stage 2 candidate funnel</x:v>
      </x:c>
      <x:c r="I1129" s="17" t="str">
        <x:v>Graduate audit pipeline</x:v>
      </x:c>
      <x:c r="J1129" s="17" t="str">
        <x:v>derived</x:v>
      </x:c>
      <x:c r="K1129" s="17" t="str">
        <x:v>2026-09-11</x:v>
      </x:c>
      <x:c r="L1129" s="17" t="str">
        <x:v>Not cycle-specific</x:v>
      </x:c>
      <x:c r="M1129" s="17" t="str">
        <x:v>low</x:v>
      </x:c>
      <x:c r="N1129" s="17" t="str">
        <x:v>Discovery evidence only</x:v>
      </x:c>
      <x:c r="O1129" s="17" t="str">
        <x:v>Use the source_record_paths field to trace the underlying discovery inputs.</x:v>
      </x:c>
      <x:c r="P1129" s="18" t="e">
        <x:f>HYPERLINK("https://www.roosevelt.edu","Open source")</x:f>
        <x:v>HYPERLINK is not implemented. linkLocation=https://www.roosevelt.edu, friendlyName=Open source</x:v>
      </x:c>
    </x:row>
    <x:row r="1130" ht="46" customHeight="1">
      <x:c r="A1130" s="17" t="str">
        <x:v>stage3src:235a2775f32053016d91</x:v>
      </x:c>
      <x:c r="B1130" s="17" t="str">
        <x:v>program</x:v>
      </x:c>
      <x:c r="C1130" s="17" t="str">
        <x:v>Saint Xavier University</x:v>
      </x:c>
      <x:c r="D1130" s="17" t="str">
        <x:v>us:ipeds:148627:program:unclear:ipeds-discovery-signal-computer-and-information-sciences-general-cip-11-0101</x:v>
      </x:c>
      <x:c r="E1130" s="17" t="str"/>
      <x:c r="F1130" s="17" t="str">
        <x:v>discovery</x:v>
      </x:c>
      <x:c r="G1130" s="17" t="str">
        <x:v>Stage 2 recorded this row as a discovery candidate; it does not independently verify an exact current research program, eligibility, or funding.</x:v>
      </x:c>
      <x:c r="H1130" s="17" t="str">
        <x:v>Pass 2 Stage 2 candidate funnel</x:v>
      </x:c>
      <x:c r="I1130" s="17" t="str">
        <x:v>Graduate audit pipeline</x:v>
      </x:c>
      <x:c r="J1130" s="17" t="str">
        <x:v>derived</x:v>
      </x:c>
      <x:c r="K1130" s="17" t="str">
        <x:v>2026-09-11</x:v>
      </x:c>
      <x:c r="L1130" s="17" t="str">
        <x:v>Not cycle-specific</x:v>
      </x:c>
      <x:c r="M1130" s="17" t="str">
        <x:v>low</x:v>
      </x:c>
      <x:c r="N1130" s="17" t="str">
        <x:v>Discovery evidence only</x:v>
      </x:c>
      <x:c r="O1130" s="17" t="str">
        <x:v>Use the source_record_paths field to trace the underlying discovery inputs.</x:v>
      </x:c>
      <x:c r="P1130" s="18" t="e">
        <x:f>HYPERLINK("https://www.sxu.edu","Open source")</x:f>
        <x:v>HYPERLINK is not implemented. linkLocation=https://www.sxu.edu, friendlyName=Open source</x:v>
      </x:c>
    </x:row>
    <x:row r="1131" ht="46" customHeight="1">
      <x:c r="A1131" s="17" t="str">
        <x:v>stage3src:6937509b82297bfa9e48</x:v>
      </x:c>
      <x:c r="B1131" s="17" t="str">
        <x:v>program</x:v>
      </x:c>
      <x:c r="C1131" s="17" t="str">
        <x:v>Saint Xavier University</x:v>
      </x:c>
      <x:c r="D1131" s="17" t="str">
        <x:v>us:ipeds:148627:program:unclear:ipeds-discovery-signal-computer-and-information-systems-security-auditing-information-assurance-cip-11-1003</x:v>
      </x:c>
      <x:c r="E1131" s="17" t="str"/>
      <x:c r="F1131" s="17" t="str">
        <x:v>discovery</x:v>
      </x:c>
      <x:c r="G1131" s="17" t="str">
        <x:v>Stage 2 recorded this row as a discovery candidate; it does not independently verify an exact current research program, eligibility, or funding.</x:v>
      </x:c>
      <x:c r="H1131" s="17" t="str">
        <x:v>Pass 2 Stage 2 candidate funnel</x:v>
      </x:c>
      <x:c r="I1131" s="17" t="str">
        <x:v>Graduate audit pipeline</x:v>
      </x:c>
      <x:c r="J1131" s="17" t="str">
        <x:v>derived</x:v>
      </x:c>
      <x:c r="K1131" s="17" t="str">
        <x:v>2026-09-11</x:v>
      </x:c>
      <x:c r="L1131" s="17" t="str">
        <x:v>Not cycle-specific</x:v>
      </x:c>
      <x:c r="M1131" s="17" t="str">
        <x:v>low</x:v>
      </x:c>
      <x:c r="N1131" s="17" t="str">
        <x:v>Discovery evidence only</x:v>
      </x:c>
      <x:c r="O1131" s="17" t="str">
        <x:v>Use the source_record_paths field to trace the underlying discovery inputs.</x:v>
      </x:c>
      <x:c r="P1131" s="18" t="e">
        <x:f>HYPERLINK("https://www.sxu.edu","Open source")</x:f>
        <x:v>HYPERLINK is not implemented. linkLocation=https://www.sxu.edu, friendlyName=Open source</x:v>
      </x:c>
    </x:row>
    <x:row r="1132" ht="46" customHeight="1">
      <x:c r="A1132" s="17" t="str">
        <x:v>stage3src:56ee16e1398f4be1f5cc</x:v>
      </x:c>
      <x:c r="B1132" s="17" t="str">
        <x:v>program</x:v>
      </x:c>
      <x:c r="C1132" s="17" t="str">
        <x:v>Saint Xavier University</x:v>
      </x:c>
      <x:c r="D1132" s="17" t="str">
        <x:v>us:ipeds:148627:program:unclear:ipeds-discovery-signal-computer-software-engineering-cip-14-0903</x:v>
      </x:c>
      <x:c r="E1132" s="17" t="str"/>
      <x:c r="F1132" s="17" t="str">
        <x:v>discovery</x:v>
      </x:c>
      <x:c r="G1132" s="17" t="str">
        <x:v>Stage 2 recorded this row as a discovery candidate; it does not independently verify an exact current research program, eligibility, or funding.</x:v>
      </x:c>
      <x:c r="H1132" s="17" t="str">
        <x:v>Pass 2 Stage 2 candidate funnel</x:v>
      </x:c>
      <x:c r="I1132" s="17" t="str">
        <x:v>Graduate audit pipeline</x:v>
      </x:c>
      <x:c r="J1132" s="17" t="str">
        <x:v>derived</x:v>
      </x:c>
      <x:c r="K1132" s="17" t="str">
        <x:v>2026-09-11</x:v>
      </x:c>
      <x:c r="L1132" s="17" t="str">
        <x:v>Not cycle-specific</x:v>
      </x:c>
      <x:c r="M1132" s="17" t="str">
        <x:v>low</x:v>
      </x:c>
      <x:c r="N1132" s="17" t="str">
        <x:v>Discovery evidence only</x:v>
      </x:c>
      <x:c r="O1132" s="17" t="str">
        <x:v>Use the source_record_paths field to trace the underlying discovery inputs.</x:v>
      </x:c>
      <x:c r="P1132" s="18" t="e">
        <x:f>HYPERLINK("https://www.sxu.edu","Open source")</x:f>
        <x:v>HYPERLINK is not implemented. linkLocation=https://www.sxu.edu, friendlyName=Open source</x:v>
      </x:c>
    </x:row>
    <x:row r="1133" ht="46" customHeight="1">
      <x:c r="A1133" s="17" t="str">
        <x:v>stage3src:2a3ff1698ecae5788cbf</x:v>
      </x:c>
      <x:c r="B1133" s="17" t="str">
        <x:v>program</x:v>
      </x:c>
      <x:c r="C1133" s="17" t="str">
        <x:v>University of Illinois Springfield</x:v>
      </x:c>
      <x:c r="D1133" s="17" t="str">
        <x:v>us:ipeds:148654:program:unclear:ipeds-discovery-signal-computer-and-information-systems-security-auditing-information-assurance-cip-11-1003</x:v>
      </x:c>
      <x:c r="E1133" s="17" t="str"/>
      <x:c r="F1133" s="17" t="str">
        <x:v>discovery</x:v>
      </x:c>
      <x:c r="G1133" s="17" t="str">
        <x:v>Stage 2 recorded this row as a discovery candidate; it does not independently verify an exact current research program, eligibility, or funding.</x:v>
      </x:c>
      <x:c r="H1133" s="17" t="str">
        <x:v>Pass 2 Stage 2 candidate funnel</x:v>
      </x:c>
      <x:c r="I1133" s="17" t="str">
        <x:v>Graduate audit pipeline</x:v>
      </x:c>
      <x:c r="J1133" s="17" t="str">
        <x:v>derived</x:v>
      </x:c>
      <x:c r="K1133" s="17" t="str">
        <x:v>2026-09-11</x:v>
      </x:c>
      <x:c r="L1133" s="17" t="str">
        <x:v>Not cycle-specific</x:v>
      </x:c>
      <x:c r="M1133" s="17" t="str">
        <x:v>low</x:v>
      </x:c>
      <x:c r="N1133" s="17" t="str">
        <x:v>Discovery evidence only</x:v>
      </x:c>
      <x:c r="O1133" s="17" t="str">
        <x:v>Use the source_record_paths field to trace the underlying discovery inputs.</x:v>
      </x:c>
      <x:c r="P1133" s="18" t="e">
        <x:f>HYPERLINK("https://www.uis.edu","Open source")</x:f>
        <x:v>HYPERLINK is not implemented. linkLocation=https://www.uis.edu, friendlyName=Open source</x:v>
      </x:c>
    </x:row>
    <x:row r="1134" ht="46" customHeight="1">
      <x:c r="A1134" s="17" t="str">
        <x:v>stage3src:fb6b8b412061de4fb9ab</x:v>
      </x:c>
      <x:c r="B1134" s="17" t="str">
        <x:v>program</x:v>
      </x:c>
      <x:c r="C1134" s="17" t="str">
        <x:v>University of Illinois Springfield</x:v>
      </x:c>
      <x:c r="D1134" s="17" t="str">
        <x:v>us:ipeds:148654:program:unclear:ipeds-discovery-signal-computer-science-cip-11-0701</x:v>
      </x:c>
      <x:c r="E1134" s="17" t="str"/>
      <x:c r="F1134" s="17" t="str">
        <x:v>discovery</x:v>
      </x:c>
      <x:c r="G1134" s="17" t="str">
        <x:v>Stage 2 recorded this row as a discovery candidate; it does not independently verify an exact current research program, eligibility, or funding.</x:v>
      </x:c>
      <x:c r="H1134" s="17" t="str">
        <x:v>Pass 2 Stage 2 candidate funnel</x:v>
      </x:c>
      <x:c r="I1134" s="17" t="str">
        <x:v>Graduate audit pipeline</x:v>
      </x:c>
      <x:c r="J1134" s="17" t="str">
        <x:v>derived</x:v>
      </x:c>
      <x:c r="K1134" s="17" t="str">
        <x:v>2026-09-11</x:v>
      </x:c>
      <x:c r="L1134" s="17" t="str">
        <x:v>Not cycle-specific</x:v>
      </x:c>
      <x:c r="M1134" s="17" t="str">
        <x:v>low</x:v>
      </x:c>
      <x:c r="N1134" s="17" t="str">
        <x:v>Discovery evidence only</x:v>
      </x:c>
      <x:c r="O1134" s="17" t="str">
        <x:v>Use the source_record_paths field to trace the underlying discovery inputs.</x:v>
      </x:c>
      <x:c r="P1134" s="18" t="e">
        <x:f>HYPERLINK("https://www.uis.edu","Open source")</x:f>
        <x:v>HYPERLINK is not implemented. linkLocation=https://www.uis.edu, friendlyName=Open source</x:v>
      </x:c>
    </x:row>
    <x:row r="1135" ht="46" customHeight="1">
      <x:c r="A1135" s="17" t="str">
        <x:v>stage3src:5166c417af3a27fe88e5</x:v>
      </x:c>
      <x:c r="B1135" s="17" t="str">
        <x:v>program</x:v>
      </x:c>
      <x:c r="C1135" s="17" t="str">
        <x:v>Southern Illinois University-Carbondale</x:v>
      </x:c>
      <x:c r="D1135" s="17" t="str">
        <x:v>us:ipeds:149222:program:phd:computer-science-doctor-of-philosophy</x:v>
      </x:c>
      <x:c r="E1135" s="17" t="str"/>
      <x:c r="F1135" s="17" t="str">
        <x:v>admissions|international|language|fee</x:v>
      </x:c>
      <x:c r="G1135" s="17" t="str">
        <x:v>International graduate application, English, financial-document, and assistantship-confirmation rules, including the current $65 application fee.</x:v>
      </x:c>
      <x:c r="H1135" s="17" t="str">
        <x:v>International Graduate Applicants</x:v>
      </x:c>
      <x:c r="I1135" s="17" t="str">
        <x:v>Southern Illinois University Carbondale</x:v>
      </x:c>
      <x:c r="J1135" s="17" t="str">
        <x:v>official</x:v>
      </x:c>
      <x:c r="K1135" s="17" t="str">
        <x:v>2026-09-11</x:v>
      </x:c>
      <x:c r="L1135" s="17" t="str">
        <x:v>Current admissions page checked 2026-09-11</x:v>
      </x:c>
      <x:c r="M1135" s="17" t="str">
        <x:v>high</x:v>
      </x:c>
      <x:c r="N1135" s="17" t="str">
        <x:v>official page checked</x:v>
      </x:c>
      <x:c r="O1135" s="17" t="str"/>
      <x:c r="P1135" s="18" t="e">
        <x:f>HYPERLINK("https://siu.edu/admissions/graduate/apply/international/","Open source")</x:f>
        <x:v>HYPERLINK is not implemented. linkLocation=https://siu.edu/admissions/graduate/apply/international/, friendlyName=Open source</x:v>
      </x:c>
    </x:row>
    <x:row r="1136" ht="46" customHeight="1">
      <x:c r="A1136" s="17" t="str">
        <x:v>stage3src:aa00b69e588c42e157db</x:v>
      </x:c>
      <x:c r="B1136" s="17" t="str">
        <x:v>program</x:v>
      </x:c>
      <x:c r="C1136" s="17" t="str">
        <x:v>Southern Illinois University-Carbondale</x:v>
      </x:c>
      <x:c r="D1136" s="17" t="str">
        <x:v>us:ipeds:149222:program:phd:computer-science-doctor-of-philosophy</x:v>
      </x:c>
      <x:c r="E1136" s="17" t="str"/>
      <x:c r="F1136" s="17" t="str">
        <x:v>program|admissions|eligibility|gpa|deadline|funding</x:v>
      </x:c>
      <x:c r="G1136" s="17" t="str">
        <x:v>Normal master's-entry rule, exceptional bachelor's exception, 15-credit 3.25 continuation condition, priority timing, and assistantship terms.</x:v>
      </x:c>
      <x:c r="H1136" s="17" t="str">
        <x:v>Computer Science</x:v>
      </x:c>
      <x:c r="I1136" s="17" t="str">
        <x:v>Southern Illinois University Graduate Catalog</x:v>
      </x:c>
      <x:c r="J1136" s="17" t="str">
        <x:v>official</x:v>
      </x:c>
      <x:c r="K1136" s="17" t="str">
        <x:v>2026-09-11</x:v>
      </x:c>
      <x:c r="L1136" s="17" t="str">
        <x:v>2026-27 catalog checked 2026-09-11; Fall 2027 not published</x:v>
      </x:c>
      <x:c r="M1136" s="17" t="str">
        <x:v>high</x:v>
      </x:c>
      <x:c r="N1136" s="17" t="str">
        <x:v>official page checked</x:v>
      </x:c>
      <x:c r="O1136" s="17" t="str"/>
      <x:c r="P1136" s="18" t="e">
        <x:f>HYPERLINK("https://gradcatalog.siu.edu/programs/cs/","Open source")</x:f>
        <x:v>HYPERLINK is not implemented. linkLocation=https://gradcatalog.siu.edu/programs/cs/, friendlyName=Open source</x:v>
      </x:c>
    </x:row>
    <x:row r="1137" ht="46" customHeight="1">
      <x:c r="A1137" s="17" t="str">
        <x:v>stage3src:be59df2a4d0f995cadab</x:v>
      </x:c>
      <x:c r="B1137" s="17" t="str">
        <x:v>program</x:v>
      </x:c>
      <x:c r="C1137" s="17" t="str">
        <x:v>Southern Illinois University-Carbondale</x:v>
      </x:c>
      <x:c r="D1137" s="17" t="str">
        <x:v>us:ipeds:149222:program:phd:computer-science-doctor-of-philosophy</x:v>
      </x:c>
      <x:c r="E1137" s="17" t="str"/>
      <x:c r="F1137" s="17" t="str">
        <x:v>program|research|funding</x:v>
      </x:c>
      <x:c r="G1137" s="17" t="str">
        <x:v>Current Computer Science doctorate, dissertation route, and assistantship support reported for many qualified doctoral students.</x:v>
      </x:c>
      <x:c r="H1137" s="17" t="str">
        <x:v>Computer Science Doctoral Program</x:v>
      </x:c>
      <x:c r="I1137" s="17" t="str">
        <x:v>Southern Illinois University Carbondale</x:v>
      </x:c>
      <x:c r="J1137" s="17" t="str">
        <x:v>official</x:v>
      </x:c>
      <x:c r="K1137" s="17" t="str">
        <x:v>2026-09-11</x:v>
      </x:c>
      <x:c r="L1137" s="17" t="str">
        <x:v>Current program page checked 2026-09-11</x:v>
      </x:c>
      <x:c r="M1137" s="17" t="str">
        <x:v>high</x:v>
      </x:c>
      <x:c r="N1137" s="17" t="str">
        <x:v>official page checked</x:v>
      </x:c>
      <x:c r="O1137" s="17" t="str"/>
      <x:c r="P1137" s="18" t="e">
        <x:f>HYPERLINK("https://academics.siu.edu/computing-and-technology/computer-science/doctoral/","Open source")</x:f>
        <x:v>HYPERLINK is not implemented. linkLocation=https://academics.siu.edu/computing-and-technology/computer-science/doctoral/, friendlyName=Open source</x:v>
      </x:c>
    </x:row>
    <x:row r="1138" ht="46" customHeight="1">
      <x:c r="A1138" s="17" t="str">
        <x:v>stage3src:0933b42cd32fea55f4aa</x:v>
      </x:c>
      <x:c r="B1138" s="17" t="str">
        <x:v>program</x:v>
      </x:c>
      <x:c r="C1138" s="17" t="str">
        <x:v>Southern Illinois University-Carbondale</x:v>
      </x:c>
      <x:c r="D1138" s="17" t="str">
        <x:v>us:ipeds:149222:program:unclear:ipeds-discovery-signal-computer-and-information-systems-security-auditing-information-assurance-cip-11-1003</x:v>
      </x:c>
      <x:c r="E1138" s="17" t="str"/>
      <x:c r="F1138" s="17" t="str">
        <x:v>discovery</x:v>
      </x:c>
      <x:c r="G1138" s="17" t="str">
        <x:v>Stage 2 recorded this row as a discovery candidate; it does not independently verify an exact current research program, eligibility, or funding.</x:v>
      </x:c>
      <x:c r="H1138" s="17" t="str">
        <x:v>Pass 2 Stage 2 candidate funnel</x:v>
      </x:c>
      <x:c r="I1138" s="17" t="str">
        <x:v>Graduate audit pipeline</x:v>
      </x:c>
      <x:c r="J1138" s="17" t="str">
        <x:v>derived</x:v>
      </x:c>
      <x:c r="K1138" s="17" t="str">
        <x:v>2026-09-11</x:v>
      </x:c>
      <x:c r="L1138" s="17" t="str">
        <x:v>Not cycle-specific</x:v>
      </x:c>
      <x:c r="M1138" s="17" t="str">
        <x:v>low</x:v>
      </x:c>
      <x:c r="N1138" s="17" t="str">
        <x:v>Discovery evidence only</x:v>
      </x:c>
      <x:c r="O1138" s="17" t="str">
        <x:v>Use the source_record_paths field to trace the underlying discovery inputs.</x:v>
      </x:c>
      <x:c r="P1138" s="18" t="e">
        <x:f>HYPERLINK("https://siu.edu","Open source")</x:f>
        <x:v>HYPERLINK is not implemented. linkLocation=https://siu.edu, friendlyName=Open source</x:v>
      </x:c>
    </x:row>
    <x:row r="1139" ht="46" customHeight="1">
      <x:c r="A1139" s="17" t="str">
        <x:v>stage3src:df534ddebf366ec0811c</x:v>
      </x:c>
      <x:c r="B1139" s="17" t="str">
        <x:v>program</x:v>
      </x:c>
      <x:c r="C1139" s="17" t="str">
        <x:v>Southern Illinois University-Carbondale</x:v>
      </x:c>
      <x:c r="D1139" s="17" t="str">
        <x:v>us:ipeds:149222:program:unclear:ipeds-discovery-signal-computer-science-cip-11-0701</x:v>
      </x:c>
      <x:c r="E1139" s="17" t="str"/>
      <x:c r="F1139" s="17" t="str">
        <x:v>discovery</x:v>
      </x:c>
      <x:c r="G1139" s="17" t="str">
        <x:v>Stage 2 recorded this row as a discovery candidate; it does not independently verify an exact current research program, eligibility, or funding.</x:v>
      </x:c>
      <x:c r="H1139" s="17" t="str">
        <x:v>Pass 2 Stage 2 candidate funnel</x:v>
      </x:c>
      <x:c r="I1139" s="17" t="str">
        <x:v>Graduate audit pipeline</x:v>
      </x:c>
      <x:c r="J1139" s="17" t="str">
        <x:v>derived</x:v>
      </x:c>
      <x:c r="K1139" s="17" t="str">
        <x:v>2026-09-11</x:v>
      </x:c>
      <x:c r="L1139" s="17" t="str">
        <x:v>Not cycle-specific</x:v>
      </x:c>
      <x:c r="M1139" s="17" t="str">
        <x:v>low</x:v>
      </x:c>
      <x:c r="N1139" s="17" t="str">
        <x:v>Discovery evidence only</x:v>
      </x:c>
      <x:c r="O1139" s="17" t="str">
        <x:v>Use the source_record_paths field to trace the underlying discovery inputs.</x:v>
      </x:c>
      <x:c r="P1139" s="18" t="e">
        <x:f>HYPERLINK("https://siu.edu","Open source")</x:f>
        <x:v>HYPERLINK is not implemented. linkLocation=https://siu.edu, friendlyName=Open source</x:v>
      </x:c>
    </x:row>
    <x:row r="1140" ht="46" customHeight="1">
      <x:c r="A1140" s="17" t="str">
        <x:v>stage3src:287c3331aa71f5107515</x:v>
      </x:c>
      <x:c r="B1140" s="17" t="str">
        <x:v>program</x:v>
      </x:c>
      <x:c r="C1140" s="17" t="str">
        <x:v>Southern Illinois University-Carbondale</x:v>
      </x:c>
      <x:c r="D1140" s="17" t="str">
        <x:v>us:ipeds:149222:program:unclear:ipeds-discovery-signal-electrical-and-electronics-engineering-cip-14-1001</x:v>
      </x:c>
      <x:c r="E1140" s="17" t="str"/>
      <x:c r="F1140" s="17" t="str">
        <x:v>discovery</x:v>
      </x:c>
      <x:c r="G1140" s="17" t="str">
        <x:v>Stage 2 recorded this row as a discovery candidate; it does not independently verify an exact current research program, eligibility, or funding.</x:v>
      </x:c>
      <x:c r="H1140" s="17" t="str">
        <x:v>Pass 2 Stage 2 candidate funnel</x:v>
      </x:c>
      <x:c r="I1140" s="17" t="str">
        <x:v>Graduate audit pipeline</x:v>
      </x:c>
      <x:c r="J1140" s="17" t="str">
        <x:v>derived</x:v>
      </x:c>
      <x:c r="K1140" s="17" t="str">
        <x:v>2026-09-11</x:v>
      </x:c>
      <x:c r="L1140" s="17" t="str">
        <x:v>Not cycle-specific</x:v>
      </x:c>
      <x:c r="M1140" s="17" t="str">
        <x:v>low</x:v>
      </x:c>
      <x:c r="N1140" s="17" t="str">
        <x:v>Discovery evidence only</x:v>
      </x:c>
      <x:c r="O1140" s="17" t="str">
        <x:v>Use the source_record_paths field to trace the underlying discovery inputs.</x:v>
      </x:c>
      <x:c r="P1140" s="18" t="e">
        <x:f>HYPERLINK("https://siu.edu","Open source")</x:f>
        <x:v>HYPERLINK is not implemented. linkLocation=https://siu.edu, friendlyName=Open source</x:v>
      </x:c>
    </x:row>
    <x:row r="1141" ht="46" customHeight="1">
      <x:c r="A1141" s="17" t="str">
        <x:v>stage3src:e43e61ea7686f283e31c</x:v>
      </x:c>
      <x:c r="B1141" s="17" t="str">
        <x:v>program</x:v>
      </x:c>
      <x:c r="C1141" s="17" t="str">
        <x:v>Southern Illinois University Edwardsville</x:v>
      </x:c>
      <x:c r="D1141" s="17" t="str">
        <x:v>us:ipeds:149231:program:unclear:ipeds-discovery-signal-computer-and-information-sciences-general-cip-11-0101</x:v>
      </x:c>
      <x:c r="E1141" s="17" t="str"/>
      <x:c r="F1141" s="17" t="str">
        <x:v>discovery</x:v>
      </x:c>
      <x:c r="G1141" s="17" t="str">
        <x:v>Stage 2 recorded this row as a discovery candidate; it does not independently verify an exact current research program, eligibility, or funding.</x:v>
      </x:c>
      <x:c r="H1141" s="17" t="str">
        <x:v>Pass 2 Stage 2 candidate funnel</x:v>
      </x:c>
      <x:c r="I1141" s="17" t="str">
        <x:v>Graduate audit pipeline</x:v>
      </x:c>
      <x:c r="J1141" s="17" t="str">
        <x:v>derived</x:v>
      </x:c>
      <x:c r="K1141" s="17" t="str">
        <x:v>2026-09-11</x:v>
      </x:c>
      <x:c r="L1141" s="17" t="str">
        <x:v>Not cycle-specific</x:v>
      </x:c>
      <x:c r="M1141" s="17" t="str">
        <x:v>low</x:v>
      </x:c>
      <x:c r="N1141" s="17" t="str">
        <x:v>Discovery evidence only</x:v>
      </x:c>
      <x:c r="O1141" s="17" t="str">
        <x:v>Use the source_record_paths field to trace the underlying discovery inputs.</x:v>
      </x:c>
      <x:c r="P1141" s="18" t="e">
        <x:f>HYPERLINK("https://www.siue.edu","Open source")</x:f>
        <x:v>HYPERLINK is not implemented. linkLocation=https://www.siue.edu, friendlyName=Open source</x:v>
      </x:c>
    </x:row>
    <x:row r="1142" ht="46" customHeight="1">
      <x:c r="A1142" s="17" t="str">
        <x:v>stage3src:a19d4d82e9f2fac067c7</x:v>
      </x:c>
      <x:c r="B1142" s="17" t="str">
        <x:v>program</x:v>
      </x:c>
      <x:c r="C1142" s="17" t="str">
        <x:v>Southern Illinois University Edwardsville</x:v>
      </x:c>
      <x:c r="D1142" s="17" t="str">
        <x:v>us:ipeds:149231:program:unclear:ipeds-discovery-signal-computer-science-cip-11-0701</x:v>
      </x:c>
      <x:c r="E1142" s="17" t="str"/>
      <x:c r="F1142" s="17" t="str">
        <x:v>discovery</x:v>
      </x:c>
      <x:c r="G1142" s="17" t="str">
        <x:v>Stage 2 recorded this row as a discovery candidate; it does not independently verify an exact current research program, eligibility, or funding.</x:v>
      </x:c>
      <x:c r="H1142" s="17" t="str">
        <x:v>Pass 2 Stage 2 candidate funnel</x:v>
      </x:c>
      <x:c r="I1142" s="17" t="str">
        <x:v>Graduate audit pipeline</x:v>
      </x:c>
      <x:c r="J1142" s="17" t="str">
        <x:v>derived</x:v>
      </x:c>
      <x:c r="K1142" s="17" t="str">
        <x:v>2026-09-11</x:v>
      </x:c>
      <x:c r="L1142" s="17" t="str">
        <x:v>Not cycle-specific</x:v>
      </x:c>
      <x:c r="M1142" s="17" t="str">
        <x:v>low</x:v>
      </x:c>
      <x:c r="N1142" s="17" t="str">
        <x:v>Discovery evidence only</x:v>
      </x:c>
      <x:c r="O1142" s="17" t="str">
        <x:v>Use the source_record_paths field to trace the underlying discovery inputs.</x:v>
      </x:c>
      <x:c r="P1142" s="18" t="e">
        <x:f>HYPERLINK("https://www.siue.edu","Open source")</x:f>
        <x:v>HYPERLINK is not implemented. linkLocation=https://www.siue.edu, friendlyName=Open source</x:v>
      </x:c>
    </x:row>
    <x:row r="1143" ht="46" customHeight="1">
      <x:c r="A1143" s="17" t="str">
        <x:v>stage3src:9440cdf15a4b77e1b471</x:v>
      </x:c>
      <x:c r="B1143" s="17" t="str">
        <x:v>program</x:v>
      </x:c>
      <x:c r="C1143" s="17" t="str">
        <x:v>Southern Illinois University Edwardsville</x:v>
      </x:c>
      <x:c r="D1143" s="17" t="str">
        <x:v>us:ipeds:149231:program:unclear:ipeds-discovery-signal-electrical-and-electronics-engineering-cip-14-1001</x:v>
      </x:c>
      <x:c r="E1143" s="17" t="str"/>
      <x:c r="F1143" s="17" t="str">
        <x:v>discovery</x:v>
      </x:c>
      <x:c r="G1143" s="17" t="str">
        <x:v>Stage 2 recorded this row as a discovery candidate; it does not independently verify an exact current research program, eligibility, or funding.</x:v>
      </x:c>
      <x:c r="H1143" s="17" t="str">
        <x:v>Pass 2 Stage 2 candidate funnel</x:v>
      </x:c>
      <x:c r="I1143" s="17" t="str">
        <x:v>Graduate audit pipeline</x:v>
      </x:c>
      <x:c r="J1143" s="17" t="str">
        <x:v>derived</x:v>
      </x:c>
      <x:c r="K1143" s="17" t="str">
        <x:v>2026-09-11</x:v>
      </x:c>
      <x:c r="L1143" s="17" t="str">
        <x:v>Not cycle-specific</x:v>
      </x:c>
      <x:c r="M1143" s="17" t="str">
        <x:v>low</x:v>
      </x:c>
      <x:c r="N1143" s="17" t="str">
        <x:v>Discovery evidence only</x:v>
      </x:c>
      <x:c r="O1143" s="17" t="str">
        <x:v>Use the source_record_paths field to trace the underlying discovery inputs.</x:v>
      </x:c>
      <x:c r="P1143" s="18" t="e">
        <x:f>HYPERLINK("https://www.siue.edu","Open source")</x:f>
        <x:v>HYPERLINK is not implemented. linkLocation=https://www.siue.edu, friendlyName=Open source</x:v>
      </x:c>
    </x:row>
    <x:row r="1144" ht="46" customHeight="1">
      <x:c r="A1144" s="17" t="str">
        <x:v>stage3src:246a39894144143c6479</x:v>
      </x:c>
      <x:c r="B1144" s="17" t="str">
        <x:v>program</x:v>
      </x:c>
      <x:c r="C1144" s="17" t="str">
        <x:v>Western Illinois University</x:v>
      </x:c>
      <x:c r="D1144" s="17" t="str">
        <x:v>us:ipeds:149772:program:unclear:ipeds-discovery-signal-computer-and-information-sciences-general-cip-11-0101</x:v>
      </x:c>
      <x:c r="E1144" s="17" t="str"/>
      <x:c r="F1144" s="17" t="str">
        <x:v>discovery</x:v>
      </x:c>
      <x:c r="G1144" s="17" t="str">
        <x:v>Stage 2 recorded this row as a discovery candidate; it does not independently verify an exact current research program, eligibility, or funding.</x:v>
      </x:c>
      <x:c r="H1144" s="17" t="str">
        <x:v>Pass 2 Stage 2 candidate funnel</x:v>
      </x:c>
      <x:c r="I1144" s="17" t="str">
        <x:v>Graduate audit pipeline</x:v>
      </x:c>
      <x:c r="J1144" s="17" t="str">
        <x:v>derived</x:v>
      </x:c>
      <x:c r="K1144" s="17" t="str">
        <x:v>2026-09-11</x:v>
      </x:c>
      <x:c r="L1144" s="17" t="str">
        <x:v>Not cycle-specific</x:v>
      </x:c>
      <x:c r="M1144" s="17" t="str">
        <x:v>low</x:v>
      </x:c>
      <x:c r="N1144" s="17" t="str">
        <x:v>Discovery evidence only</x:v>
      </x:c>
      <x:c r="O1144" s="17" t="str">
        <x:v>Use the source_record_paths field to trace the underlying discovery inputs.</x:v>
      </x:c>
      <x:c r="P1144" s="18" t="e">
        <x:f>HYPERLINK("https://www.wiu.edu","Open source")</x:f>
        <x:v>HYPERLINK is not implemented. linkLocation=https://www.wiu.edu, friendlyName=Open source</x:v>
      </x:c>
    </x:row>
    <x:row r="1145" ht="46" customHeight="1">
      <x:c r="A1145" s="17" t="str">
        <x:v>stage3src:6f4719855b52d3e17794</x:v>
      </x:c>
      <x:c r="B1145" s="17" t="str">
        <x:v>program</x:v>
      </x:c>
      <x:c r="C1145" s="17" t="str">
        <x:v>Ball State University</x:v>
      </x:c>
      <x:c r="D1145" s="17" t="str">
        <x:v>us:ipeds:150136:program:unclear:ipeds-discovery-signal-information-science-studies-cip-11-0401</x:v>
      </x:c>
      <x:c r="E1145" s="17" t="str"/>
      <x:c r="F1145" s="17" t="str">
        <x:v>discovery</x:v>
      </x:c>
      <x:c r="G1145" s="17" t="str">
        <x:v>Stage 2 recorded this row as a discovery candidate; it does not independently verify an exact current research program, eligibility, or funding.</x:v>
      </x:c>
      <x:c r="H1145" s="17" t="str">
        <x:v>Pass 2 Stage 2 candidate funnel</x:v>
      </x:c>
      <x:c r="I1145" s="17" t="str">
        <x:v>Graduate audit pipeline</x:v>
      </x:c>
      <x:c r="J1145" s="17" t="str">
        <x:v>derived</x:v>
      </x:c>
      <x:c r="K1145" s="17" t="str">
        <x:v>2026-09-11</x:v>
      </x:c>
      <x:c r="L1145" s="17" t="str">
        <x:v>Not cycle-specific</x:v>
      </x:c>
      <x:c r="M1145" s="17" t="str">
        <x:v>low</x:v>
      </x:c>
      <x:c r="N1145" s="17" t="str">
        <x:v>Discovery evidence only</x:v>
      </x:c>
      <x:c r="O1145" s="17" t="str">
        <x:v>Use the source_record_paths field to trace the underlying discovery inputs.</x:v>
      </x:c>
      <x:c r="P1145" s="18" t="e">
        <x:f>HYPERLINK("https://www.bsu.edu","Open source")</x:f>
        <x:v>HYPERLINK is not implemented. linkLocation=https://www.bsu.edu, friendlyName=Open source</x:v>
      </x:c>
    </x:row>
    <x:row r="1146" ht="46" customHeight="1">
      <x:c r="A1146" s="17" t="str">
        <x:v>stage3src:22cf60dc11e446da3538</x:v>
      </x:c>
      <x:c r="B1146" s="17" t="str">
        <x:v>program</x:v>
      </x:c>
      <x:c r="C1146" s="17" t="str">
        <x:v>Butler University</x:v>
      </x:c>
      <x:c r="D1146" s="17" t="str">
        <x:v>us:ipeds:150163:program:unclear:ipeds-discovery-signal-data-analytics-general-cip-30-7101</x:v>
      </x:c>
      <x:c r="E1146" s="17" t="str"/>
      <x:c r="F1146" s="17" t="str">
        <x:v>discovery</x:v>
      </x:c>
      <x:c r="G1146" s="17" t="str">
        <x:v>Stage 2 recorded this row as a discovery candidate; it does not independently verify an exact current research program, eligibility, or funding.</x:v>
      </x:c>
      <x:c r="H1146" s="17" t="str">
        <x:v>Pass 2 Stage 2 candidate funnel</x:v>
      </x:c>
      <x:c r="I1146" s="17" t="str">
        <x:v>Graduate audit pipeline</x:v>
      </x:c>
      <x:c r="J1146" s="17" t="str">
        <x:v>derived</x:v>
      </x:c>
      <x:c r="K1146" s="17" t="str">
        <x:v>2026-09-11</x:v>
      </x:c>
      <x:c r="L1146" s="17" t="str">
        <x:v>Not cycle-specific</x:v>
      </x:c>
      <x:c r="M1146" s="17" t="str">
        <x:v>low</x:v>
      </x:c>
      <x:c r="N1146" s="17" t="str">
        <x:v>Discovery evidence only</x:v>
      </x:c>
      <x:c r="O1146" s="17" t="str">
        <x:v>Use the source_record_paths field to trace the underlying discovery inputs.</x:v>
      </x:c>
      <x:c r="P1146" s="18" t="e">
        <x:f>HYPERLINK("https://www.butler.edu","Open source")</x:f>
        <x:v>HYPERLINK is not implemented. linkLocation=https://www.butler.edu, friendlyName=Open source</x:v>
      </x:c>
    </x:row>
    <x:row r="1147" ht="46" customHeight="1">
      <x:c r="A1147" s="17" t="str">
        <x:v>stage3src:3f100e6b08f100946fc2</x:v>
      </x:c>
      <x:c r="B1147" s="17" t="str">
        <x:v>program</x:v>
      </x:c>
      <x:c r="C1147" s="17" t="str">
        <x:v>Purdue University Fort Wayne</x:v>
      </x:c>
      <x:c r="D1147" s="17" t="str">
        <x:v>us:ipeds:151102:program:unclear:ipeds-discovery-signal-computer-science-cip-11-0701</x:v>
      </x:c>
      <x:c r="E1147" s="17" t="str"/>
      <x:c r="F1147" s="17" t="str">
        <x:v>discovery</x:v>
      </x:c>
      <x:c r="G1147" s="17" t="str">
        <x:v>Stage 2 recorded this row as a discovery candidate; it does not independently verify an exact current research program, eligibility, or funding.</x:v>
      </x:c>
      <x:c r="H1147" s="17" t="str">
        <x:v>Pass 2 Stage 2 candidate funnel</x:v>
      </x:c>
      <x:c r="I1147" s="17" t="str">
        <x:v>Graduate audit pipeline</x:v>
      </x:c>
      <x:c r="J1147" s="17" t="str">
        <x:v>derived</x:v>
      </x:c>
      <x:c r="K1147" s="17" t="str">
        <x:v>2026-09-11</x:v>
      </x:c>
      <x:c r="L1147" s="17" t="str">
        <x:v>Not cycle-specific</x:v>
      </x:c>
      <x:c r="M1147" s="17" t="str">
        <x:v>low</x:v>
      </x:c>
      <x:c r="N1147" s="17" t="str">
        <x:v>Discovery evidence only</x:v>
      </x:c>
      <x:c r="O1147" s="17" t="str">
        <x:v>Use the source_record_paths field to trace the underlying discovery inputs.</x:v>
      </x:c>
      <x:c r="P1147" s="18" t="e">
        <x:f>HYPERLINK("https://www.pfw.edu","Open source")</x:f>
        <x:v>HYPERLINK is not implemented. linkLocation=https://www.pfw.edu, friendlyName=Open source</x:v>
      </x:c>
    </x:row>
    <x:row r="1148" ht="46" customHeight="1">
      <x:c r="A1148" s="17" t="str">
        <x:v>stage3src:8b1aaad35aab2bab8bc0</x:v>
      </x:c>
      <x:c r="B1148" s="17" t="str">
        <x:v>program</x:v>
      </x:c>
      <x:c r="C1148" s="17" t="str">
        <x:v>Indiana University-Indianapolis</x:v>
      </x:c>
      <x:c r="D1148" s="17" t="str">
        <x:v>us:ipeds:151111:program:unclear:ipeds-discovery-signal-computer-and-information-sciences-general-cip-11-0101</x:v>
      </x:c>
      <x:c r="E1148" s="17" t="str"/>
      <x:c r="F1148" s="17" t="str">
        <x:v>discovery</x:v>
      </x:c>
      <x:c r="G1148" s="17" t="str">
        <x:v>Stage 2 recorded this row as a discovery candidate; it does not independently verify an exact current research program, eligibility, or funding.</x:v>
      </x:c>
      <x:c r="H1148" s="17" t="str">
        <x:v>Pass 2 Stage 2 candidate funnel</x:v>
      </x:c>
      <x:c r="I1148" s="17" t="str">
        <x:v>Graduate audit pipeline</x:v>
      </x:c>
      <x:c r="J1148" s="17" t="str">
        <x:v>derived</x:v>
      </x:c>
      <x:c r="K1148" s="17" t="str">
        <x:v>2026-09-11</x:v>
      </x:c>
      <x:c r="L1148" s="17" t="str">
        <x:v>Not cycle-specific</x:v>
      </x:c>
      <x:c r="M1148" s="17" t="str">
        <x:v>low</x:v>
      </x:c>
      <x:c r="N1148" s="17" t="str">
        <x:v>Discovery evidence only</x:v>
      </x:c>
      <x:c r="O1148" s="17" t="str">
        <x:v>Use the source_record_paths field to trace the underlying discovery inputs.</x:v>
      </x:c>
      <x:c r="P1148" s="18" t="e">
        <x:f>HYPERLINK("https://indianapolis.iu.edu","Open source")</x:f>
        <x:v>HYPERLINK is not implemented. linkLocation=https://indianapolis.iu.edu, friendlyName=Open source</x:v>
      </x:c>
    </x:row>
    <x:row r="1149" ht="46" customHeight="1">
      <x:c r="A1149" s="17" t="str">
        <x:v>stage3src:bda655a0c23e0e86d92b</x:v>
      </x:c>
      <x:c r="B1149" s="17" t="str">
        <x:v>program</x:v>
      </x:c>
      <x:c r="C1149" s="17" t="str">
        <x:v>Indiana University-Indianapolis</x:v>
      </x:c>
      <x:c r="D1149" s="17" t="str">
        <x:v>us:ipeds:151111:program:unclear:ipeds-discovery-signal-computer-and-information-systems-security-auditing-information-assurance-cip-11-1003</x:v>
      </x:c>
      <x:c r="E1149" s="17" t="str"/>
      <x:c r="F1149" s="17" t="str">
        <x:v>discovery</x:v>
      </x:c>
      <x:c r="G1149" s="17" t="str">
        <x:v>Stage 2 recorded this row as a discovery candidate; it does not independently verify an exact current research program, eligibility, or funding.</x:v>
      </x:c>
      <x:c r="H1149" s="17" t="str">
        <x:v>Pass 2 Stage 2 candidate funnel</x:v>
      </x:c>
      <x:c r="I1149" s="17" t="str">
        <x:v>Graduate audit pipeline</x:v>
      </x:c>
      <x:c r="J1149" s="17" t="str">
        <x:v>derived</x:v>
      </x:c>
      <x:c r="K1149" s="17" t="str">
        <x:v>2026-09-11</x:v>
      </x:c>
      <x:c r="L1149" s="17" t="str">
        <x:v>Not cycle-specific</x:v>
      </x:c>
      <x:c r="M1149" s="17" t="str">
        <x:v>low</x:v>
      </x:c>
      <x:c r="N1149" s="17" t="str">
        <x:v>Discovery evidence only</x:v>
      </x:c>
      <x:c r="O1149" s="17" t="str">
        <x:v>Use the source_record_paths field to trace the underlying discovery inputs.</x:v>
      </x:c>
      <x:c r="P1149" s="18" t="e">
        <x:f>HYPERLINK("https://indianapolis.iu.edu","Open source")</x:f>
        <x:v>HYPERLINK is not implemented. linkLocation=https://indianapolis.iu.edu, friendlyName=Open source</x:v>
      </x:c>
    </x:row>
    <x:row r="1150" ht="46" customHeight="1">
      <x:c r="A1150" s="17" t="str">
        <x:v>stage3src:211062e41fc3f4698dfd</x:v>
      </x:c>
      <x:c r="B1150" s="17" t="str">
        <x:v>program</x:v>
      </x:c>
      <x:c r="C1150" s="17" t="str">
        <x:v>Indiana University-Indianapolis</x:v>
      </x:c>
      <x:c r="D1150" s="17" t="str">
        <x:v>us:ipeds:151111:program:unclear:ipeds-discovery-signal-computer-science-cip-11-0701</x:v>
      </x:c>
      <x:c r="E1150" s="17" t="str"/>
      <x:c r="F1150" s="17" t="str">
        <x:v>discovery</x:v>
      </x:c>
      <x:c r="G1150" s="17" t="str">
        <x:v>Stage 2 recorded this row as a discovery candidate; it does not independently verify an exact current research program, eligibility, or funding.</x:v>
      </x:c>
      <x:c r="H1150" s="17" t="str">
        <x:v>Pass 2 Stage 2 candidate funnel</x:v>
      </x:c>
      <x:c r="I1150" s="17" t="str">
        <x:v>Graduate audit pipeline</x:v>
      </x:c>
      <x:c r="J1150" s="17" t="str">
        <x:v>derived</x:v>
      </x:c>
      <x:c r="K1150" s="17" t="str">
        <x:v>2026-09-11</x:v>
      </x:c>
      <x:c r="L1150" s="17" t="str">
        <x:v>Not cycle-specific</x:v>
      </x:c>
      <x:c r="M1150" s="17" t="str">
        <x:v>low</x:v>
      </x:c>
      <x:c r="N1150" s="17" t="str">
        <x:v>Discovery evidence only</x:v>
      </x:c>
      <x:c r="O1150" s="17" t="str">
        <x:v>Use the source_record_paths field to trace the underlying discovery inputs.</x:v>
      </x:c>
      <x:c r="P1150" s="18" t="e">
        <x:f>HYPERLINK("https://indianapolis.iu.edu","Open source")</x:f>
        <x:v>HYPERLINK is not implemented. linkLocation=https://indianapolis.iu.edu, friendlyName=Open source</x:v>
      </x:c>
    </x:row>
    <x:row r="1151" ht="46" customHeight="1">
      <x:c r="A1151" s="17" t="str">
        <x:v>stage3src:5fd8a0832f1c0e880bb9</x:v>
      </x:c>
      <x:c r="B1151" s="17" t="str">
        <x:v>program</x:v>
      </x:c>
      <x:c r="C1151" s="17" t="str">
        <x:v>Indiana University-Indianapolis</x:v>
      </x:c>
      <x:c r="D1151" s="17" t="str">
        <x:v>us:ipeds:151111:program:unclear:ipeds-discovery-signal-electrical-and-electronics-engineering-cip-14-1001</x:v>
      </x:c>
      <x:c r="E1151" s="17" t="str"/>
      <x:c r="F1151" s="17" t="str">
        <x:v>discovery</x:v>
      </x:c>
      <x:c r="G1151" s="17" t="str">
        <x:v>Stage 2 recorded this row as a discovery candidate; it does not independently verify an exact current research program, eligibility, or funding.</x:v>
      </x:c>
      <x:c r="H1151" s="17" t="str">
        <x:v>Pass 2 Stage 2 candidate funnel</x:v>
      </x:c>
      <x:c r="I1151" s="17" t="str">
        <x:v>Graduate audit pipeline</x:v>
      </x:c>
      <x:c r="J1151" s="17" t="str">
        <x:v>derived</x:v>
      </x:c>
      <x:c r="K1151" s="17" t="str">
        <x:v>2026-09-11</x:v>
      </x:c>
      <x:c r="L1151" s="17" t="str">
        <x:v>Not cycle-specific</x:v>
      </x:c>
      <x:c r="M1151" s="17" t="str">
        <x:v>low</x:v>
      </x:c>
      <x:c r="N1151" s="17" t="str">
        <x:v>Discovery evidence only</x:v>
      </x:c>
      <x:c r="O1151" s="17" t="str">
        <x:v>Use the source_record_paths field to trace the underlying discovery inputs.</x:v>
      </x:c>
      <x:c r="P1151" s="18" t="e">
        <x:f>HYPERLINK("https://indianapolis.iu.edu","Open source")</x:f>
        <x:v>HYPERLINK is not implemented. linkLocation=https://indianapolis.iu.edu, friendlyName=Open source</x:v>
      </x:c>
    </x:row>
    <x:row r="1152" ht="46" customHeight="1">
      <x:c r="A1152" s="17" t="str">
        <x:v>stage3src:e4b6b16af5ac9b89f1a2</x:v>
      </x:c>
      <x:c r="B1152" s="17" t="str">
        <x:v>program</x:v>
      </x:c>
      <x:c r="C1152" s="17" t="str">
        <x:v>Indiana University-Indianapolis</x:v>
      </x:c>
      <x:c r="D1152" s="17" t="str">
        <x:v>us:ipeds:151111:program:unclear:ipeds-discovery-signal-informatics-cip-11-0104</x:v>
      </x:c>
      <x:c r="E1152" s="17" t="str"/>
      <x:c r="F1152" s="17" t="str">
        <x:v>discovery</x:v>
      </x:c>
      <x:c r="G1152" s="17" t="str">
        <x:v>Stage 2 recorded this row as a discovery candidate; it does not independently verify an exact current research program, eligibility, or funding.</x:v>
      </x:c>
      <x:c r="H1152" s="17" t="str">
        <x:v>Pass 2 Stage 2 candidate funnel</x:v>
      </x:c>
      <x:c r="I1152" s="17" t="str">
        <x:v>Graduate audit pipeline</x:v>
      </x:c>
      <x:c r="J1152" s="17" t="str">
        <x:v>derived</x:v>
      </x:c>
      <x:c r="K1152" s="17" t="str">
        <x:v>2026-09-11</x:v>
      </x:c>
      <x:c r="L1152" s="17" t="str">
        <x:v>Not cycle-specific</x:v>
      </x:c>
      <x:c r="M1152" s="17" t="str">
        <x:v>low</x:v>
      </x:c>
      <x:c r="N1152" s="17" t="str">
        <x:v>Discovery evidence only</x:v>
      </x:c>
      <x:c r="O1152" s="17" t="str">
        <x:v>Use the source_record_paths field to trace the underlying discovery inputs.</x:v>
      </x:c>
      <x:c r="P1152" s="18" t="e">
        <x:f>HYPERLINK("https://indianapolis.iu.edu","Open source")</x:f>
        <x:v>HYPERLINK is not implemented. linkLocation=https://indianapolis.iu.edu, friendlyName=Open source</x:v>
      </x:c>
    </x:row>
    <x:row r="1153" ht="46" customHeight="1">
      <x:c r="A1153" s="17" t="str">
        <x:v>stage3src:a2bcf438116e30f7f81c</x:v>
      </x:c>
      <x:c r="B1153" s="17" t="str">
        <x:v>program</x:v>
      </x:c>
      <x:c r="C1153" s="17" t="str">
        <x:v>Indiana Institute of Technology</x:v>
      </x:c>
      <x:c r="D1153" s="17" t="str">
        <x:v>us:ipeds:151290:program:unclear:ipeds-discovery-signal-information-science-studies-cip-11-0401</x:v>
      </x:c>
      <x:c r="E1153" s="17" t="str"/>
      <x:c r="F1153" s="17" t="str">
        <x:v>discovery</x:v>
      </x:c>
      <x:c r="G1153" s="17" t="str">
        <x:v>Stage 2 recorded this row as a discovery candidate; it does not independently verify an exact current research program, eligibility, or funding.</x:v>
      </x:c>
      <x:c r="H1153" s="17" t="str">
        <x:v>Pass 2 Stage 2 candidate funnel</x:v>
      </x:c>
      <x:c r="I1153" s="17" t="str">
        <x:v>Graduate audit pipeline</x:v>
      </x:c>
      <x:c r="J1153" s="17" t="str">
        <x:v>derived</x:v>
      </x:c>
      <x:c r="K1153" s="17" t="str">
        <x:v>2026-09-11</x:v>
      </x:c>
      <x:c r="L1153" s="17" t="str">
        <x:v>Not cycle-specific</x:v>
      </x:c>
      <x:c r="M1153" s="17" t="str">
        <x:v>low</x:v>
      </x:c>
      <x:c r="N1153" s="17" t="str">
        <x:v>Discovery evidence only</x:v>
      </x:c>
      <x:c r="O1153" s="17" t="str">
        <x:v>Use the source_record_paths field to trace the underlying discovery inputs.</x:v>
      </x:c>
      <x:c r="P1153" s="18" t="e">
        <x:f>HYPERLINK("https://www.indianatech.edu","Open source")</x:f>
        <x:v>HYPERLINK is not implemented. linkLocation=https://www.indianatech.edu, friendlyName=Open source</x:v>
      </x:c>
    </x:row>
    <x:row r="1154" ht="46" customHeight="1">
      <x:c r="A1154" s="17" t="str">
        <x:v>stage3src:75d78710a21b7f3108a4</x:v>
      </x:c>
      <x:c r="B1154" s="17" t="str">
        <x:v>program</x:v>
      </x:c>
      <x:c r="C1154" s="17" t="str">
        <x:v>Indiana State University</x:v>
      </x:c>
      <x:c r="D1154" s="17" t="str">
        <x:v>us:ipeds:151324:program:unclear:ipeds-discovery-signal-computer-science-cip-11-0701</x:v>
      </x:c>
      <x:c r="E1154" s="17" t="str"/>
      <x:c r="F1154" s="17" t="str">
        <x:v>discovery</x:v>
      </x:c>
      <x:c r="G1154" s="17" t="str">
        <x:v>Stage 2 recorded this row as a discovery candidate; it does not independently verify an exact current research program, eligibility, or funding.</x:v>
      </x:c>
      <x:c r="H1154" s="17" t="str">
        <x:v>Pass 2 Stage 2 candidate funnel</x:v>
      </x:c>
      <x:c r="I1154" s="17" t="str">
        <x:v>Graduate audit pipeline</x:v>
      </x:c>
      <x:c r="J1154" s="17" t="str">
        <x:v>derived</x:v>
      </x:c>
      <x:c r="K1154" s="17" t="str">
        <x:v>2026-09-11</x:v>
      </x:c>
      <x:c r="L1154" s="17" t="str">
        <x:v>Not cycle-specific</x:v>
      </x:c>
      <x:c r="M1154" s="17" t="str">
        <x:v>low</x:v>
      </x:c>
      <x:c r="N1154" s="17" t="str">
        <x:v>Discovery evidence only</x:v>
      </x:c>
      <x:c r="O1154" s="17" t="str">
        <x:v>Use the source_record_paths field to trace the underlying discovery inputs.</x:v>
      </x:c>
      <x:c r="P1154" s="18" t="e">
        <x:f>HYPERLINK("https://indianastate.edu","Open source")</x:f>
        <x:v>HYPERLINK is not implemented. linkLocation=https://indianastate.edu, friendlyName=Open source</x:v>
      </x:c>
    </x:row>
    <x:row r="1155" ht="46" customHeight="1">
      <x:c r="A1155" s="17" t="str">
        <x:v>stage3src:74c94a9100222a342bb0</x:v>
      </x:c>
      <x:c r="B1155" s="17" t="str">
        <x:v>program</x:v>
      </x:c>
      <x:c r="C1155" s="17" t="str">
        <x:v>Indiana University-Bloomington</x:v>
      </x:c>
      <x:c r="D1155" s="17" t="str">
        <x:v>us:ipeds:151351:program:phd:computer-science-phd</x:v>
      </x:c>
      <x:c r="E1155" s="17" t="str"/>
      <x:c r="F1155" s="17" t="str">
        <x:v>program</x:v>
      </x:c>
      <x:c r="G1155" s="17" t="str">
        <x:v>Current on-campus fall-start PhD in Computer Science and research-oriented curriculum.</x:v>
      </x:c>
      <x:c r="H1155" s="17" t="str">
        <x:v>Doctor of Philosophy in Computer Science</x:v>
      </x:c>
      <x:c r="I1155" s="17" t="str">
        <x:v>Indiana University Luddy School</x:v>
      </x:c>
      <x:c r="J1155" s="17" t="str">
        <x:v>official</x:v>
      </x:c>
      <x:c r="K1155" s="17" t="str">
        <x:v>2026-09-10</x:v>
      </x:c>
      <x:c r="L1155" s="17" t="str">
        <x:v>Current page checked 2026-09-10</x:v>
      </x:c>
      <x:c r="M1155" s="17" t="str">
        <x:v>high</x:v>
      </x:c>
      <x:c r="N1155" s="17" t="str">
        <x:v>official page checked</x:v>
      </x:c>
      <x:c r="O1155" s="17" t="str"/>
      <x:c r="P1155" s="18" t="e">
        <x:f>HYPERLINK("https://luddy.iu.edu/academics/doctoral/computer-science.html","Open source")</x:f>
        <x:v>HYPERLINK is not implemented. linkLocation=https://luddy.iu.edu/academics/doctoral/computer-science.html, friendlyName=Open source</x:v>
      </x:c>
    </x:row>
    <x:row r="1156" ht="46" customHeight="1">
      <x:c r="A1156" s="17" t="str">
        <x:v>stage3src:d6c1d000f6d4b8ff5c32</x:v>
      </x:c>
      <x:c r="B1156" s="17" t="str">
        <x:v>program</x:v>
      </x:c>
      <x:c r="C1156" s="17" t="str">
        <x:v>Indiana University-Bloomington</x:v>
      </x:c>
      <x:c r="D1156" s="17" t="str">
        <x:v>us:ipeds:151351:program:phd:computer-science-phd</x:v>
      </x:c>
      <x:c r="E1156" s="17" t="str"/>
      <x:c r="F1156" s="17" t="str">
        <x:v>funding|fees</x:v>
      </x:c>
      <x:c r="G1156" s="17" t="str">
        <x:v>Automatic review, non-guaranteed incidence language, SAA conditions, Purdom terms, and international full-time/TEPAIC constraints.</x:v>
      </x:c>
      <x:c r="H1156" s="17" t="str">
        <x:v>Graduate Funding</x:v>
      </x:c>
      <x:c r="I1156" s="17" t="str">
        <x:v>Indiana University Luddy School</x:v>
      </x:c>
      <x:c r="J1156" s="17" t="str">
        <x:v>official</x:v>
      </x:c>
      <x:c r="K1156" s="17" t="str">
        <x:v>2026-09-10</x:v>
      </x:c>
      <x:c r="L1156" s="17" t="str">
        <x:v>Current page checked 2026-09-10</x:v>
      </x:c>
      <x:c r="M1156" s="17" t="str">
        <x:v>high</x:v>
      </x:c>
      <x:c r="N1156" s="17" t="str">
        <x:v>official page checked</x:v>
      </x:c>
      <x:c r="O1156" s="17" t="str"/>
      <x:c r="P1156" s="18" t="e">
        <x:f>HYPERLINK("https://luddy.iu.edu/cost-financial-aid/graduate-funding/index.html","Open source")</x:f>
        <x:v>HYPERLINK is not implemented. linkLocation=https://luddy.iu.edu/cost-financial-aid/graduate-funding/index.html, friendlyName=Open source</x:v>
      </x:c>
    </x:row>
    <x:row r="1157" ht="46" customHeight="1">
      <x:c r="A1157" s="17" t="str">
        <x:v>stage3src:da4aeb809ef8bae948d2</x:v>
      </x:c>
      <x:c r="B1157" s="17" t="str">
        <x:v>program</x:v>
      </x:c>
      <x:c r="C1157" s="17" t="str">
        <x:v>Indiana University-Bloomington</x:v>
      </x:c>
      <x:c r="D1157" s="17" t="str">
        <x:v>us:ipeds:151351:program:phd:computer-science-phd</x:v>
      </x:c>
      <x:c r="E1157" s="17" t="str"/>
      <x:c r="F1157" s="17" t="str">
        <x:v>admissions|eligibility|language|deadline|fees</x:v>
      </x:c>
      <x:c r="G1157" s="17" t="str">
        <x:v>Fall 2027 December 15 deadline, bachelor's entry, 3.5 PhD GPA gate, USD 70 fee, and English-test rules.</x:v>
      </x:c>
      <x:c r="H1157" s="17" t="str">
        <x:v>Graduate Admissions</x:v>
      </x:c>
      <x:c r="I1157" s="17" t="str">
        <x:v>Indiana University Luddy School</x:v>
      </x:c>
      <x:c r="J1157" s="17" t="str">
        <x:v>official</x:v>
      </x:c>
      <x:c r="K1157" s="17" t="str">
        <x:v>2026-09-10</x:v>
      </x:c>
      <x:c r="L1157" s="17" t="str">
        <x:v>Fall 2027</x:v>
      </x:c>
      <x:c r="M1157" s="17" t="str">
        <x:v>high</x:v>
      </x:c>
      <x:c r="N1157" s="17" t="str">
        <x:v>official page checked</x:v>
      </x:c>
      <x:c r="O1157" s="17" t="str"/>
      <x:c r="P1157" s="18" t="e">
        <x:f>HYPERLINK("https://luddy.iu.edu/admissions/graduate/index.html","Open source")</x:f>
        <x:v>HYPERLINK is not implemented. linkLocation=https://luddy.iu.edu/admissions/graduate/index.html, friendlyName=Open source</x:v>
      </x:c>
    </x:row>
    <x:row r="1158" ht="46" customHeight="1">
      <x:c r="A1158" s="17" t="str">
        <x:v>stage3src:32a888f4a91012b300be</x:v>
      </x:c>
      <x:c r="B1158" s="17" t="str">
        <x:v>program</x:v>
      </x:c>
      <x:c r="C1158" s="17" t="str">
        <x:v>Indiana University-Bloomington</x:v>
      </x:c>
      <x:c r="D1158" s="17" t="str">
        <x:v>us:ipeds:151351:program:unclear:ipeds-discovery-signal-artificial-intelligence-cip-11-0102</x:v>
      </x:c>
      <x:c r="E1158" s="17" t="str"/>
      <x:c r="F1158" s="17" t="str">
        <x:v>discovery</x:v>
      </x:c>
      <x:c r="G1158" s="17" t="str">
        <x:v>Stage 2 recorded this row as a discovery candidate; it does not independently verify an exact current research program, eligibility, or funding.</x:v>
      </x:c>
      <x:c r="H1158" s="17" t="str">
        <x:v>Pass 2 Stage 2 candidate funnel</x:v>
      </x:c>
      <x:c r="I1158" s="17" t="str">
        <x:v>Graduate audit pipeline</x:v>
      </x:c>
      <x:c r="J1158" s="17" t="str">
        <x:v>derived</x:v>
      </x:c>
      <x:c r="K1158" s="17" t="str">
        <x:v>2026-09-11</x:v>
      </x:c>
      <x:c r="L1158" s="17" t="str">
        <x:v>Not cycle-specific</x:v>
      </x:c>
      <x:c r="M1158" s="17" t="str">
        <x:v>low</x:v>
      </x:c>
      <x:c r="N1158" s="17" t="str">
        <x:v>Discovery evidence only</x:v>
      </x:c>
      <x:c r="O1158" s="17" t="str">
        <x:v>Use the source_record_paths field to trace the underlying discovery inputs.</x:v>
      </x:c>
      <x:c r="P1158" s="18" t="e">
        <x:f>HYPERLINK("https://bloomington.iu.edu","Open source")</x:f>
        <x:v>HYPERLINK is not implemented. linkLocation=https://bloomington.iu.edu, friendlyName=Open source</x:v>
      </x:c>
    </x:row>
    <x:row r="1159" ht="46" customHeight="1">
      <x:c r="A1159" s="17" t="str">
        <x:v>stage3src:9eabaf5007d3673a9b98</x:v>
      </x:c>
      <x:c r="B1159" s="17" t="str">
        <x:v>program</x:v>
      </x:c>
      <x:c r="C1159" s="17" t="str">
        <x:v>Indiana University-Bloomington</x:v>
      </x:c>
      <x:c r="D1159" s="17" t="str">
        <x:v>us:ipeds:151351:program:unclear:ipeds-discovery-signal-computer-and-information-systems-security-auditing-information-assurance-cip-11-1003</x:v>
      </x:c>
      <x:c r="E1159" s="17" t="str"/>
      <x:c r="F1159" s="17" t="str">
        <x:v>discovery</x:v>
      </x:c>
      <x:c r="G1159" s="17" t="str">
        <x:v>Stage 2 recorded this row as a discovery candidate; it does not independently verify an exact current research program, eligibility, or funding.</x:v>
      </x:c>
      <x:c r="H1159" s="17" t="str">
        <x:v>Pass 2 Stage 2 candidate funnel</x:v>
      </x:c>
      <x:c r="I1159" s="17" t="str">
        <x:v>Graduate audit pipeline</x:v>
      </x:c>
      <x:c r="J1159" s="17" t="str">
        <x:v>derived</x:v>
      </x:c>
      <x:c r="K1159" s="17" t="str">
        <x:v>2026-09-11</x:v>
      </x:c>
      <x:c r="L1159" s="17" t="str">
        <x:v>Not cycle-specific</x:v>
      </x:c>
      <x:c r="M1159" s="17" t="str">
        <x:v>low</x:v>
      </x:c>
      <x:c r="N1159" s="17" t="str">
        <x:v>Discovery evidence only</x:v>
      </x:c>
      <x:c r="O1159" s="17" t="str">
        <x:v>Use the source_record_paths field to trace the underlying discovery inputs.</x:v>
      </x:c>
      <x:c r="P1159" s="18" t="e">
        <x:f>HYPERLINK("https://bloomington.iu.edu","Open source")</x:f>
        <x:v>HYPERLINK is not implemented. linkLocation=https://bloomington.iu.edu, friendlyName=Open source</x:v>
      </x:c>
    </x:row>
    <x:row r="1160" ht="46" customHeight="1">
      <x:c r="A1160" s="17" t="str">
        <x:v>stage3src:7c4a4f0257545028f59c</x:v>
      </x:c>
      <x:c r="B1160" s="17" t="str">
        <x:v>program</x:v>
      </x:c>
      <x:c r="C1160" s="17" t="str">
        <x:v>Indiana University-Bloomington</x:v>
      </x:c>
      <x:c r="D1160" s="17" t="str">
        <x:v>us:ipeds:151351:program:unclear:ipeds-discovery-signal-computer-engineering-general-cip-14-0901</x:v>
      </x:c>
      <x:c r="E1160" s="17" t="str"/>
      <x:c r="F1160" s="17" t="str">
        <x:v>discovery</x:v>
      </x:c>
      <x:c r="G1160" s="17" t="str">
        <x:v>Stage 2 recorded this row as a discovery candidate; it does not independently verify an exact current research program, eligibility, or funding.</x:v>
      </x:c>
      <x:c r="H1160" s="17" t="str">
        <x:v>Pass 2 Stage 2 candidate funnel</x:v>
      </x:c>
      <x:c r="I1160" s="17" t="str">
        <x:v>Graduate audit pipeline</x:v>
      </x:c>
      <x:c r="J1160" s="17" t="str">
        <x:v>derived</x:v>
      </x:c>
      <x:c r="K1160" s="17" t="str">
        <x:v>2026-09-11</x:v>
      </x:c>
      <x:c r="L1160" s="17" t="str">
        <x:v>Not cycle-specific</x:v>
      </x:c>
      <x:c r="M1160" s="17" t="str">
        <x:v>low</x:v>
      </x:c>
      <x:c r="N1160" s="17" t="str">
        <x:v>Discovery evidence only</x:v>
      </x:c>
      <x:c r="O1160" s="17" t="str">
        <x:v>Use the source_record_paths field to trace the underlying discovery inputs.</x:v>
      </x:c>
      <x:c r="P1160" s="18" t="e">
        <x:f>HYPERLINK("https://bloomington.iu.edu","Open source")</x:f>
        <x:v>HYPERLINK is not implemented. linkLocation=https://bloomington.iu.edu, friendlyName=Open source</x:v>
      </x:c>
    </x:row>
    <x:row r="1161" ht="46" customHeight="1">
      <x:c r="A1161" s="17" t="str">
        <x:v>stage3src:058e56df1d37013010ec</x:v>
      </x:c>
      <x:c r="B1161" s="17" t="str">
        <x:v>program</x:v>
      </x:c>
      <x:c r="C1161" s="17" t="str">
        <x:v>Indiana University-Bloomington</x:v>
      </x:c>
      <x:c r="D1161" s="17" t="str">
        <x:v>us:ipeds:151351:program:unclear:ipeds-discovery-signal-computer-science-cip-11-0701</x:v>
      </x:c>
      <x:c r="E1161" s="17" t="str"/>
      <x:c r="F1161" s="17" t="str">
        <x:v>discovery</x:v>
      </x:c>
      <x:c r="G1161" s="17" t="str">
        <x:v>Stage 2 recorded this row as a discovery candidate; it does not independently verify an exact current research program, eligibility, or funding.</x:v>
      </x:c>
      <x:c r="H1161" s="17" t="str">
        <x:v>Pass 2 Stage 2 candidate funnel</x:v>
      </x:c>
      <x:c r="I1161" s="17" t="str">
        <x:v>Graduate audit pipeline</x:v>
      </x:c>
      <x:c r="J1161" s="17" t="str">
        <x:v>derived</x:v>
      </x:c>
      <x:c r="K1161" s="17" t="str">
        <x:v>2026-09-11</x:v>
      </x:c>
      <x:c r="L1161" s="17" t="str">
        <x:v>Not cycle-specific</x:v>
      </x:c>
      <x:c r="M1161" s="17" t="str">
        <x:v>low</x:v>
      </x:c>
      <x:c r="N1161" s="17" t="str">
        <x:v>Discovery evidence only</x:v>
      </x:c>
      <x:c r="O1161" s="17" t="str">
        <x:v>Use the source_record_paths field to trace the underlying discovery inputs.</x:v>
      </x:c>
      <x:c r="P1161" s="18" t="e">
        <x:f>HYPERLINK("https://bloomington.iu.edu","Open source")</x:f>
        <x:v>HYPERLINK is not implemented. linkLocation=https://bloomington.iu.edu, friendlyName=Open source</x:v>
      </x:c>
    </x:row>
    <x:row r="1162" ht="46" customHeight="1">
      <x:c r="A1162" s="17" t="str">
        <x:v>stage3src:56ea5b84e1751868164c</x:v>
      </x:c>
      <x:c r="B1162" s="17" t="str">
        <x:v>program</x:v>
      </x:c>
      <x:c r="C1162" s="17" t="str">
        <x:v>Indiana University-Bloomington</x:v>
      </x:c>
      <x:c r="D1162" s="17" t="str">
        <x:v>us:ipeds:151351:program:unclear:ipeds-discovery-signal-informatics-cip-11-0104</x:v>
      </x:c>
      <x:c r="E1162" s="17" t="str"/>
      <x:c r="F1162" s="17" t="str">
        <x:v>discovery</x:v>
      </x:c>
      <x:c r="G1162" s="17" t="str">
        <x:v>Stage 2 recorded this row as a discovery candidate; it does not independently verify an exact current research program, eligibility, or funding.</x:v>
      </x:c>
      <x:c r="H1162" s="17" t="str">
        <x:v>Pass 2 Stage 2 candidate funnel</x:v>
      </x:c>
      <x:c r="I1162" s="17" t="str">
        <x:v>Graduate audit pipeline</x:v>
      </x:c>
      <x:c r="J1162" s="17" t="str">
        <x:v>derived</x:v>
      </x:c>
      <x:c r="K1162" s="17" t="str">
        <x:v>2026-09-11</x:v>
      </x:c>
      <x:c r="L1162" s="17" t="str">
        <x:v>Not cycle-specific</x:v>
      </x:c>
      <x:c r="M1162" s="17" t="str">
        <x:v>low</x:v>
      </x:c>
      <x:c r="N1162" s="17" t="str">
        <x:v>Discovery evidence only</x:v>
      </x:c>
      <x:c r="O1162" s="17" t="str">
        <x:v>Use the source_record_paths field to trace the underlying discovery inputs.</x:v>
      </x:c>
      <x:c r="P1162" s="18" t="e">
        <x:f>HYPERLINK("https://bloomington.iu.edu","Open source")</x:f>
        <x:v>HYPERLINK is not implemented. linkLocation=https://bloomington.iu.edu, friendlyName=Open source</x:v>
      </x:c>
    </x:row>
    <x:row r="1163" ht="46" customHeight="1">
      <x:c r="A1163" s="17" t="str">
        <x:v>stage3src:a30f342cb9c5b6ea2178</x:v>
      </x:c>
      <x:c r="B1163" s="17" t="str">
        <x:v>program</x:v>
      </x:c>
      <x:c r="C1163" s="17" t="str">
        <x:v>Indiana University-Northwest</x:v>
      </x:c>
      <x:c r="D1163" s="17" t="str">
        <x:v>us:ipeds:151360:program:unclear:ipeds-discovery-signal-computer-and-information-sciences-general-cip-11-0101</x:v>
      </x:c>
      <x:c r="E1163" s="17" t="str"/>
      <x:c r="F1163" s="17" t="str">
        <x:v>discovery</x:v>
      </x:c>
      <x:c r="G1163" s="17" t="str">
        <x:v>Stage 2 recorded this row as a discovery candidate; it does not independently verify an exact current research program, eligibility, or funding.</x:v>
      </x:c>
      <x:c r="H1163" s="17" t="str">
        <x:v>Pass 2 Stage 2 candidate funnel</x:v>
      </x:c>
      <x:c r="I1163" s="17" t="str">
        <x:v>Graduate audit pipeline</x:v>
      </x:c>
      <x:c r="J1163" s="17" t="str">
        <x:v>derived</x:v>
      </x:c>
      <x:c r="K1163" s="17" t="str">
        <x:v>2026-09-11</x:v>
      </x:c>
      <x:c r="L1163" s="17" t="str">
        <x:v>Not cycle-specific</x:v>
      </x:c>
      <x:c r="M1163" s="17" t="str">
        <x:v>low</x:v>
      </x:c>
      <x:c r="N1163" s="17" t="str">
        <x:v>Discovery evidence only</x:v>
      </x:c>
      <x:c r="O1163" s="17" t="str">
        <x:v>Use the source_record_paths field to trace the underlying discovery inputs.</x:v>
      </x:c>
      <x:c r="P1163" s="18" t="e">
        <x:f>HYPERLINK("https://northwest.iu.edu","Open source")</x:f>
        <x:v>HYPERLINK is not implemented. linkLocation=https://northwest.iu.edu, friendlyName=Open source</x:v>
      </x:c>
    </x:row>
    <x:row r="1164" ht="46" customHeight="1">
      <x:c r="A1164" s="17" t="str">
        <x:v>stage3src:901918397e9bc0f80c33</x:v>
      </x:c>
      <x:c r="B1164" s="17" t="str">
        <x:v>program</x:v>
      </x:c>
      <x:c r="C1164" s="17" t="str">
        <x:v>University of Notre Dame</x:v>
      </x:c>
      <x:c r="D1164" s="17" t="str">
        <x:v>us:ipeds:152080:program:phd:computer-science-and-engineering-phd</x:v>
      </x:c>
      <x:c r="E1164" s="17" t="str"/>
      <x:c r="F1164" s="17" t="str">
        <x:v>admissions</x:v>
      </x:c>
      <x:c r="G1164" s="17" t="str">
        <x:v>$75 per application and waiver paths</x:v>
      </x:c>
      <x:c r="H1164" s="17" t="str">
        <x:v>Application Fee and Waiver</x:v>
      </x:c>
      <x:c r="I1164" s="17" t="str">
        <x:v>University of Notre Dame</x:v>
      </x:c>
      <x:c r="J1164" s="17" t="str">
        <x:v>Official</x:v>
      </x:c>
      <x:c r="K1164" s="17" t="str">
        <x:v>2026-09-09</x:v>
      </x:c>
      <x:c r="L1164" s="17" t="str">
        <x:v>Current</x:v>
      </x:c>
      <x:c r="M1164" s="17" t="str">
        <x:v>High</x:v>
      </x:c>
      <x:c r="N1164" s="17" t="str">
        <x:v>Verified</x:v>
      </x:c>
      <x:c r="O1164" s="17" t="str"/>
      <x:c r="P1164" s="18" t="e">
        <x:f>HYPERLINK("https://graduateschool.nd.edu/admissions/application-requirements/application-fee-and-waiver/","Open source")</x:f>
        <x:v>HYPERLINK is not implemented. linkLocation=https://graduateschool.nd.edu/admissions/application-requirements/application-fee-and-waiver/, friendlyName=Open source</x:v>
      </x:c>
    </x:row>
    <x:row r="1165" ht="46" customHeight="1">
      <x:c r="A1165" s="17" t="str">
        <x:v>stage3src:c055b3a913e5dd58e2da</x:v>
      </x:c>
      <x:c r="B1165" s="17" t="str">
        <x:v>program</x:v>
      </x:c>
      <x:c r="C1165" s="17" t="str">
        <x:v>University of Notre Dame</x:v>
      </x:c>
      <x:c r="D1165" s="17" t="str">
        <x:v>us:ipeds:152080:program:phd:computer-science-and-engineering-phd</x:v>
      </x:c>
      <x:c r="E1165" s="17" t="str"/>
      <x:c r="F1165" s="17" t="str">
        <x:v>funding|deadline|admissions|program</x:v>
      </x:c>
      <x:c r="G1165" s="17" t="str">
        <x:v>Active PhD, direct BS route, deadline, research areas, funding, and contact</x:v>
      </x:c>
      <x:c r="H1165" s="17" t="str">
        <x:v>PhD in Computer Science and Engineering</x:v>
      </x:c>
      <x:c r="I1165" s="17" t="str">
        <x:v>University of Notre Dame</x:v>
      </x:c>
      <x:c r="J1165" s="17" t="str">
        <x:v>Official</x:v>
      </x:c>
      <x:c r="K1165" s="17" t="str">
        <x:v>2026-09-09</x:v>
      </x:c>
      <x:c r="L1165" s="17" t="str">
        <x:v>Current; cycle not labeled</x:v>
      </x:c>
      <x:c r="M1165" s="17" t="str">
        <x:v>High</x:v>
      </x:c>
      <x:c r="N1165" s="17" t="str">
        <x:v>Verified</x:v>
      </x:c>
      <x:c r="O1165" s="17" t="str"/>
      <x:c r="P1165" s="18" t="e">
        <x:f>HYPERLINK("https://engineering.nd.edu/departments-programs/graduate-programs/phd-in-computer-science-and-engineering/","Open source")</x:f>
        <x:v>HYPERLINK is not implemented. linkLocation=https://engineering.nd.edu/departments-programs/graduate-programs/phd-in-computer-science-and-engineering/, friendlyName=Open source</x:v>
      </x:c>
    </x:row>
    <x:row r="1166" ht="46" customHeight="1">
      <x:c r="A1166" s="17" t="str">
        <x:v>stage3src:8e9ba02607c71813e1ea</x:v>
      </x:c>
      <x:c r="B1166" s="17" t="str">
        <x:v>program</x:v>
      </x:c>
      <x:c r="C1166" s="17" t="str">
        <x:v>University of Notre Dame</x:v>
      </x:c>
      <x:c r="D1166" s="17" t="str">
        <x:v>us:ipeds:152080:program:unclear:ipeds-discovery-signal-computer-engineering-general-cip-14-0901</x:v>
      </x:c>
      <x:c r="E1166" s="17" t="str"/>
      <x:c r="F1166" s="17" t="str">
        <x:v>discovery</x:v>
      </x:c>
      <x:c r="G1166" s="17" t="str">
        <x:v>Stage 2 recorded this row as a discovery candidate; it does not independently verify an exact current research program, eligibility, or funding.</x:v>
      </x:c>
      <x:c r="H1166" s="17" t="str">
        <x:v>Pass 2 Stage 2 candidate funnel</x:v>
      </x:c>
      <x:c r="I1166" s="17" t="str">
        <x:v>Graduate audit pipeline</x:v>
      </x:c>
      <x:c r="J1166" s="17" t="str">
        <x:v>derived</x:v>
      </x:c>
      <x:c r="K1166" s="17" t="str">
        <x:v>2026-09-11</x:v>
      </x:c>
      <x:c r="L1166" s="17" t="str">
        <x:v>Not cycle-specific</x:v>
      </x:c>
      <x:c r="M1166" s="17" t="str">
        <x:v>low</x:v>
      </x:c>
      <x:c r="N1166" s="17" t="str">
        <x:v>Discovery evidence only</x:v>
      </x:c>
      <x:c r="O1166" s="17" t="str">
        <x:v>Use the source_record_paths field to trace the underlying discovery inputs.</x:v>
      </x:c>
      <x:c r="P1166" s="18" t="e">
        <x:f>HYPERLINK("https://www.nd.edu","Open source")</x:f>
        <x:v>HYPERLINK is not implemented. linkLocation=https://www.nd.edu, friendlyName=Open source</x:v>
      </x:c>
    </x:row>
    <x:row r="1167" ht="46" customHeight="1">
      <x:c r="A1167" s="17" t="str">
        <x:v>stage3src:4a5f5a358438e01a55c5</x:v>
      </x:c>
      <x:c r="B1167" s="17" t="str">
        <x:v>program</x:v>
      </x:c>
      <x:c r="C1167" s="17" t="str">
        <x:v>University of Notre Dame</x:v>
      </x:c>
      <x:c r="D1167" s="17" t="str">
        <x:v>us:ipeds:152080:program:unclear:ipeds-discovery-signal-electrical-and-electronics-engineering-cip-14-1001</x:v>
      </x:c>
      <x:c r="E1167" s="17" t="str"/>
      <x:c r="F1167" s="17" t="str">
        <x:v>discovery</x:v>
      </x:c>
      <x:c r="G1167" s="17" t="str">
        <x:v>Stage 2 recorded this row as a discovery candidate; it does not independently verify an exact current research program, eligibility, or funding.</x:v>
      </x:c>
      <x:c r="H1167" s="17" t="str">
        <x:v>Pass 2 Stage 2 candidate funnel</x:v>
      </x:c>
      <x:c r="I1167" s="17" t="str">
        <x:v>Graduate audit pipeline</x:v>
      </x:c>
      <x:c r="J1167" s="17" t="str">
        <x:v>derived</x:v>
      </x:c>
      <x:c r="K1167" s="17" t="str">
        <x:v>2026-09-11</x:v>
      </x:c>
      <x:c r="L1167" s="17" t="str">
        <x:v>Not cycle-specific</x:v>
      </x:c>
      <x:c r="M1167" s="17" t="str">
        <x:v>low</x:v>
      </x:c>
      <x:c r="N1167" s="17" t="str">
        <x:v>Discovery evidence only</x:v>
      </x:c>
      <x:c r="O1167" s="17" t="str">
        <x:v>Use the source_record_paths field to trace the underlying discovery inputs.</x:v>
      </x:c>
      <x:c r="P1167" s="18" t="e">
        <x:f>HYPERLINK("https://www.nd.edu","Open source")</x:f>
        <x:v>HYPERLINK is not implemented. linkLocation=https://www.nd.edu, friendlyName=Open source</x:v>
      </x:c>
    </x:row>
    <x:row r="1168" ht="46" customHeight="1">
      <x:c r="A1168" s="17" t="str">
        <x:v>stage3src:47790f15e95afcf7eb12</x:v>
      </x:c>
      <x:c r="B1168" s="17" t="str">
        <x:v>program</x:v>
      </x:c>
      <x:c r="C1168" s="17" t="str">
        <x:v>Saint Mary's College</x:v>
      </x:c>
      <x:c r="D1168" s="17" t="str">
        <x:v>us:ipeds:152390:program:unclear:ipeds-discovery-signal-data-science-general-cip-30-7001</x:v>
      </x:c>
      <x:c r="E1168" s="17" t="str"/>
      <x:c r="F1168" s="17" t="str">
        <x:v>discovery</x:v>
      </x:c>
      <x:c r="G1168" s="17" t="str">
        <x:v>Stage 2 recorded this row as a discovery candidate; it does not independently verify an exact current research program, eligibility, or funding.</x:v>
      </x:c>
      <x:c r="H1168" s="17" t="str">
        <x:v>Pass 2 Stage 2 candidate funnel</x:v>
      </x:c>
      <x:c r="I1168" s="17" t="str">
        <x:v>Graduate audit pipeline</x:v>
      </x:c>
      <x:c r="J1168" s="17" t="str">
        <x:v>derived</x:v>
      </x:c>
      <x:c r="K1168" s="17" t="str">
        <x:v>2026-09-11</x:v>
      </x:c>
      <x:c r="L1168" s="17" t="str">
        <x:v>Not cycle-specific</x:v>
      </x:c>
      <x:c r="M1168" s="17" t="str">
        <x:v>low</x:v>
      </x:c>
      <x:c r="N1168" s="17" t="str">
        <x:v>Discovery evidence only</x:v>
      </x:c>
      <x:c r="O1168" s="17" t="str">
        <x:v>Use the source_record_paths field to trace the underlying discovery inputs.</x:v>
      </x:c>
      <x:c r="P1168" s="18" t="e">
        <x:f>HYPERLINK("https://www.saintmarys.edu","Open source")</x:f>
        <x:v>HYPERLINK is not implemented. linkLocation=https://www.saintmarys.edu, friendlyName=Open source</x:v>
      </x:c>
    </x:row>
    <x:row r="1169" ht="46" customHeight="1">
      <x:c r="A1169" s="17" t="str">
        <x:v>stage3src:de1cbccf2705bead3be7</x:v>
      </x:c>
      <x:c r="B1169" s="17" t="str">
        <x:v>program</x:v>
      </x:c>
      <x:c r="C1169" s="17" t="str">
        <x:v>Trine University</x:v>
      </x:c>
      <x:c r="D1169" s="17" t="str">
        <x:v>us:ipeds:152567:program:unclear:cross-path-catalog-review</x:v>
      </x:c>
      <x:c r="E1169" s="17" t="str"/>
      <x:c r="F1169" s="17" t="str">
        <x:v>discovery</x:v>
      </x:c>
      <x:c r="G1169" s="17" t="str">
        <x:v>Stage 2 recorded this row as a discovery candidate; it does not independently verify an exact current research program, eligibility, or funding.</x:v>
      </x:c>
      <x:c r="H1169" s="17" t="str">
        <x:v>Pass 2 Stage 2 candidate funnel</x:v>
      </x:c>
      <x:c r="I1169" s="17" t="str">
        <x:v>Graduate audit pipeline</x:v>
      </x:c>
      <x:c r="J1169" s="17" t="str">
        <x:v>derived</x:v>
      </x:c>
      <x:c r="K1169" s="17" t="str">
        <x:v>2026-09-11</x:v>
      </x:c>
      <x:c r="L1169" s="17" t="str">
        <x:v>Not cycle-specific</x:v>
      </x:c>
      <x:c r="M1169" s="17" t="str">
        <x:v>low</x:v>
      </x:c>
      <x:c r="N1169" s="17" t="str">
        <x:v>Discovery evidence only</x:v>
      </x:c>
      <x:c r="O1169" s="17" t="str">
        <x:v>Use the source_record_paths field to trace the underlying discovery inputs.</x:v>
      </x:c>
      <x:c r="P1169" s="18" t="e">
        <x:f>HYPERLINK("https://www.trine.edu","Open source")</x:f>
        <x:v>HYPERLINK is not implemented. linkLocation=https://www.trine.edu, friendlyName=Open source</x:v>
      </x:c>
    </x:row>
    <x:row r="1170" ht="46" customHeight="1">
      <x:c r="A1170" s="17" t="str">
        <x:v>stage3src:e3ba1fb313151f5ca860</x:v>
      </x:c>
      <x:c r="B1170" s="17" t="str">
        <x:v>program</x:v>
      </x:c>
      <x:c r="C1170" s="17" t="str">
        <x:v>Valparaiso University</x:v>
      </x:c>
      <x:c r="D1170" s="17" t="str">
        <x:v>us:ipeds:152600:program:unclear:ipeds-discovery-signal-information-technology-cip-11-0103</x:v>
      </x:c>
      <x:c r="E1170" s="17" t="str"/>
      <x:c r="F1170" s="17" t="str">
        <x:v>discovery</x:v>
      </x:c>
      <x:c r="G1170" s="17" t="str">
        <x:v>Stage 2 recorded this row as a discovery candidate; it does not independently verify an exact current research program, eligibility, or funding.</x:v>
      </x:c>
      <x:c r="H1170" s="17" t="str">
        <x:v>Pass 2 Stage 2 candidate funnel</x:v>
      </x:c>
      <x:c r="I1170" s="17" t="str">
        <x:v>Graduate audit pipeline</x:v>
      </x:c>
      <x:c r="J1170" s="17" t="str">
        <x:v>derived</x:v>
      </x:c>
      <x:c r="K1170" s="17" t="str">
        <x:v>2026-09-11</x:v>
      </x:c>
      <x:c r="L1170" s="17" t="str">
        <x:v>Not cycle-specific</x:v>
      </x:c>
      <x:c r="M1170" s="17" t="str">
        <x:v>low</x:v>
      </x:c>
      <x:c r="N1170" s="17" t="str">
        <x:v>Discovery evidence only</x:v>
      </x:c>
      <x:c r="O1170" s="17" t="str">
        <x:v>Use the source_record_paths field to trace the underlying discovery inputs.</x:v>
      </x:c>
      <x:c r="P1170" s="18" t="e">
        <x:f>HYPERLINK("https://www.valpo.edu","Open source")</x:f>
        <x:v>HYPERLINK is not implemented. linkLocation=https://www.valpo.edu, friendlyName=Open source</x:v>
      </x:c>
    </x:row>
    <x:row r="1171" ht="46" customHeight="1">
      <x:c r="A1171" s="17" t="str">
        <x:v>stage3src:0ca1a6e319385a4c4109</x:v>
      </x:c>
      <x:c r="B1171" s="17" t="str">
        <x:v>program</x:v>
      </x:c>
      <x:c r="C1171" s="17" t="str">
        <x:v>Drake University</x:v>
      </x:c>
      <x:c r="D1171" s="17" t="str">
        <x:v>us:ipeds:153269:program:unclear:ipeds-discovery-signal-data-analytics-general-cip-30-7101</x:v>
      </x:c>
      <x:c r="E1171" s="17" t="str"/>
      <x:c r="F1171" s="17" t="str">
        <x:v>discovery</x:v>
      </x:c>
      <x:c r="G1171" s="17" t="str">
        <x:v>Stage 2 recorded this row as a discovery candidate; it does not independently verify an exact current research program, eligibility, or funding.</x:v>
      </x:c>
      <x:c r="H1171" s="17" t="str">
        <x:v>Pass 2 Stage 2 candidate funnel</x:v>
      </x:c>
      <x:c r="I1171" s="17" t="str">
        <x:v>Graduate audit pipeline</x:v>
      </x:c>
      <x:c r="J1171" s="17" t="str">
        <x:v>derived</x:v>
      </x:c>
      <x:c r="K1171" s="17" t="str">
        <x:v>2026-09-11</x:v>
      </x:c>
      <x:c r="L1171" s="17" t="str">
        <x:v>Not cycle-specific</x:v>
      </x:c>
      <x:c r="M1171" s="17" t="str">
        <x:v>low</x:v>
      </x:c>
      <x:c r="N1171" s="17" t="str">
        <x:v>Discovery evidence only</x:v>
      </x:c>
      <x:c r="O1171" s="17" t="str">
        <x:v>Use the source_record_paths field to trace the underlying discovery inputs.</x:v>
      </x:c>
      <x:c r="P1171" s="18" t="e">
        <x:f>HYPERLINK("https://www.drake.edu","Open source")</x:f>
        <x:v>HYPERLINK is not implemented. linkLocation=https://www.drake.edu, friendlyName=Open source</x:v>
      </x:c>
    </x:row>
    <x:row r="1172" ht="46" customHeight="1">
      <x:c r="A1172" s="17" t="str">
        <x:v>stage3src:c37dcd3965eba464f9b8</x:v>
      </x:c>
      <x:c r="B1172" s="17" t="str">
        <x:v>program</x:v>
      </x:c>
      <x:c r="C1172" s="17" t="str">
        <x:v>Iowa State University</x:v>
      </x:c>
      <x:c r="D1172" s="17" t="str">
        <x:v>us:ipeds:153603:program:phd:computer-science-phd</x:v>
      </x:c>
      <x:c r="E1172" s="17" t="str"/>
      <x:c r="F1172" s="17" t="str">
        <x:v>funding|eligibility</x:v>
      </x:c>
      <x:c r="G1172" s="17" t="str">
        <x:v>Direct bachelor's eligibility and later funding norm</x:v>
      </x:c>
      <x:c r="H1172" s="17" t="str">
        <x:v>Prospective Graduate Student FAQ</x:v>
      </x:c>
      <x:c r="I1172" s="17" t="str">
        <x:v>Iowa State University</x:v>
      </x:c>
      <x:c r="J1172" s="17" t="str">
        <x:v>Official</x:v>
      </x:c>
      <x:c r="K1172" s="17" t="str">
        <x:v>2026-09-09</x:v>
      </x:c>
      <x:c r="L1172" s="17" t="str">
        <x:v>Current</x:v>
      </x:c>
      <x:c r="M1172" s="17" t="str">
        <x:v>High</x:v>
      </x:c>
      <x:c r="N1172" s="17" t="str">
        <x:v>Verified</x:v>
      </x:c>
      <x:c r="O1172" s="17" t="str"/>
      <x:c r="P1172" s="18" t="e">
        <x:f>HYPERLINK("https://www.cs.iastate.edu/graduate-studies/faq-prospective-graduate-students","Open source")</x:f>
        <x:v>HYPERLINK is not implemented. linkLocation=https://www.cs.iastate.edu/graduate-studies/faq-prospective-graduate-students, friendlyName=Open source</x:v>
      </x:c>
    </x:row>
    <x:row r="1173" ht="46" customHeight="1">
      <x:c r="A1173" s="17" t="str">
        <x:v>stage3src:f7cffd936b08b5e15419</x:v>
      </x:c>
      <x:c r="B1173" s="17" t="str">
        <x:v>program</x:v>
      </x:c>
      <x:c r="C1173" s="17" t="str">
        <x:v>Iowa State University</x:v>
      </x:c>
      <x:c r="D1173" s="17" t="str">
        <x:v>us:ipeds:153603:program:phd:computer-science-phd</x:v>
      </x:c>
      <x:c r="E1173" s="17" t="str"/>
      <x:c r="F1173" s="17" t="str">
        <x:v>funding|deadline|eligibility|admissions</x:v>
      </x:c>
      <x:c r="G1173" s="17" t="str">
        <x:v>Fall 2027 deadlines, free application, international rules, faculty list, and initial funding package</x:v>
      </x:c>
      <x:c r="H1173" s="17" t="str">
        <x:v>PhD Application Requirements</x:v>
      </x:c>
      <x:c r="I1173" s="17" t="str">
        <x:v>Iowa State University</x:v>
      </x:c>
      <x:c r="J1173" s="17" t="str">
        <x:v>Official</x:v>
      </x:c>
      <x:c r="K1173" s="17" t="str">
        <x:v>2026-09-09</x:v>
      </x:c>
      <x:c r="L1173" s="17" t="str">
        <x:v>Fall 2027</x:v>
      </x:c>
      <x:c r="M1173" s="17" t="str">
        <x:v>High</x:v>
      </x:c>
      <x:c r="N1173" s="17" t="str">
        <x:v>Verified</x:v>
      </x:c>
      <x:c r="O1173" s="17" t="str"/>
      <x:c r="P1173" s="18" t="e">
        <x:f>HYPERLINK("https://www.cs.iastate.edu/graduate-studies/phd-application-requirements","Open source")</x:f>
        <x:v>HYPERLINK is not implemented. linkLocation=https://www.cs.iastate.edu/graduate-studies/phd-application-requirements, friendlyName=Open source</x:v>
      </x:c>
    </x:row>
    <x:row r="1174" ht="46" customHeight="1">
      <x:c r="A1174" s="17" t="str">
        <x:v>stage3src:c85e24b4aa08e476e83a</x:v>
      </x:c>
      <x:c r="B1174" s="17" t="str">
        <x:v>program</x:v>
      </x:c>
      <x:c r="C1174" s="17" t="str">
        <x:v>Iowa State University</x:v>
      </x:c>
      <x:c r="D1174" s="17" t="str">
        <x:v>us:ipeds:153603:program:unclear:ipeds-discovery-signal-artificial-intelligence-cip-11-0102</x:v>
      </x:c>
      <x:c r="E1174" s="17" t="str"/>
      <x:c r="F1174" s="17" t="str">
        <x:v>discovery</x:v>
      </x:c>
      <x:c r="G1174" s="17" t="str">
        <x:v>Stage 2 recorded this row as a discovery candidate; it does not independently verify an exact current research program, eligibility, or funding.</x:v>
      </x:c>
      <x:c r="H1174" s="17" t="str">
        <x:v>Pass 2 Stage 2 candidate funnel</x:v>
      </x:c>
      <x:c r="I1174" s="17" t="str">
        <x:v>Graduate audit pipeline</x:v>
      </x:c>
      <x:c r="J1174" s="17" t="str">
        <x:v>derived</x:v>
      </x:c>
      <x:c r="K1174" s="17" t="str">
        <x:v>2026-09-11</x:v>
      </x:c>
      <x:c r="L1174" s="17" t="str">
        <x:v>Not cycle-specific</x:v>
      </x:c>
      <x:c r="M1174" s="17" t="str">
        <x:v>low</x:v>
      </x:c>
      <x:c r="N1174" s="17" t="str">
        <x:v>Discovery evidence only</x:v>
      </x:c>
      <x:c r="O1174" s="17" t="str">
        <x:v>Use the source_record_paths field to trace the underlying discovery inputs.</x:v>
      </x:c>
      <x:c r="P1174" s="18" t="e">
        <x:f>HYPERLINK("https://www.iastate.edu","Open source")</x:f>
        <x:v>HYPERLINK is not implemented. linkLocation=https://www.iastate.edu, friendlyName=Open source</x:v>
      </x:c>
    </x:row>
    <x:row r="1175" ht="46" customHeight="1">
      <x:c r="A1175" s="17" t="str">
        <x:v>stage3src:00a75374cc26609be4ab</x:v>
      </x:c>
      <x:c r="B1175" s="17" t="str">
        <x:v>program</x:v>
      </x:c>
      <x:c r="C1175" s="17" t="str">
        <x:v>Iowa State University</x:v>
      </x:c>
      <x:c r="D1175" s="17" t="str">
        <x:v>us:ipeds:153603:program:unclear:ipeds-discovery-signal-computer-and-information-systems-security-auditing-information-assurance-cip-11-1003</x:v>
      </x:c>
      <x:c r="E1175" s="17" t="str"/>
      <x:c r="F1175" s="17" t="str">
        <x:v>discovery</x:v>
      </x:c>
      <x:c r="G1175" s="17" t="str">
        <x:v>Stage 2 recorded this row as a discovery candidate; it does not independently verify an exact current research program, eligibility, or funding.</x:v>
      </x:c>
      <x:c r="H1175" s="17" t="str">
        <x:v>Pass 2 Stage 2 candidate funnel</x:v>
      </x:c>
      <x:c r="I1175" s="17" t="str">
        <x:v>Graduate audit pipeline</x:v>
      </x:c>
      <x:c r="J1175" s="17" t="str">
        <x:v>derived</x:v>
      </x:c>
      <x:c r="K1175" s="17" t="str">
        <x:v>2026-09-11</x:v>
      </x:c>
      <x:c r="L1175" s="17" t="str">
        <x:v>Not cycle-specific</x:v>
      </x:c>
      <x:c r="M1175" s="17" t="str">
        <x:v>low</x:v>
      </x:c>
      <x:c r="N1175" s="17" t="str">
        <x:v>Discovery evidence only</x:v>
      </x:c>
      <x:c r="O1175" s="17" t="str">
        <x:v>Use the source_record_paths field to trace the underlying discovery inputs.</x:v>
      </x:c>
      <x:c r="P1175" s="18" t="e">
        <x:f>HYPERLINK("https://www.iastate.edu","Open source")</x:f>
        <x:v>HYPERLINK is not implemented. linkLocation=https://www.iastate.edu, friendlyName=Open source</x:v>
      </x:c>
    </x:row>
    <x:row r="1176" ht="46" customHeight="1">
      <x:c r="A1176" s="17" t="str">
        <x:v>stage3src:97d1b8662a56142b87b7</x:v>
      </x:c>
      <x:c r="B1176" s="17" t="str">
        <x:v>program</x:v>
      </x:c>
      <x:c r="C1176" s="17" t="str">
        <x:v>Iowa State University</x:v>
      </x:c>
      <x:c r="D1176" s="17" t="str">
        <x:v>us:ipeds:153603:program:unclear:ipeds-discovery-signal-computer-engineering-general-cip-14-0901</x:v>
      </x:c>
      <x:c r="E1176" s="17" t="str"/>
      <x:c r="F1176" s="17" t="str">
        <x:v>discovery</x:v>
      </x:c>
      <x:c r="G1176" s="17" t="str">
        <x:v>Stage 2 recorded this row as a discovery candidate; it does not independently verify an exact current research program, eligibility, or funding.</x:v>
      </x:c>
      <x:c r="H1176" s="17" t="str">
        <x:v>Pass 2 Stage 2 candidate funnel</x:v>
      </x:c>
      <x:c r="I1176" s="17" t="str">
        <x:v>Graduate audit pipeline</x:v>
      </x:c>
      <x:c r="J1176" s="17" t="str">
        <x:v>derived</x:v>
      </x:c>
      <x:c r="K1176" s="17" t="str">
        <x:v>2026-09-11</x:v>
      </x:c>
      <x:c r="L1176" s="17" t="str">
        <x:v>Not cycle-specific</x:v>
      </x:c>
      <x:c r="M1176" s="17" t="str">
        <x:v>low</x:v>
      </x:c>
      <x:c r="N1176" s="17" t="str">
        <x:v>Discovery evidence only</x:v>
      </x:c>
      <x:c r="O1176" s="17" t="str">
        <x:v>Use the source_record_paths field to trace the underlying discovery inputs.</x:v>
      </x:c>
      <x:c r="P1176" s="18" t="e">
        <x:f>HYPERLINK("https://www.iastate.edu","Open source")</x:f>
        <x:v>HYPERLINK is not implemented. linkLocation=https://www.iastate.edu, friendlyName=Open source</x:v>
      </x:c>
    </x:row>
    <x:row r="1177" ht="46" customHeight="1">
      <x:c r="A1177" s="17" t="str">
        <x:v>stage3src:e1cb47e070b33c389e39</x:v>
      </x:c>
      <x:c r="B1177" s="17" t="str">
        <x:v>program</x:v>
      </x:c>
      <x:c r="C1177" s="17" t="str">
        <x:v>Iowa State University</x:v>
      </x:c>
      <x:c r="D1177" s="17" t="str">
        <x:v>us:ipeds:153603:program:unclear:ipeds-discovery-signal-computer-science-cip-11-0701</x:v>
      </x:c>
      <x:c r="E1177" s="17" t="str"/>
      <x:c r="F1177" s="17" t="str">
        <x:v>discovery</x:v>
      </x:c>
      <x:c r="G1177" s="17" t="str">
        <x:v>Stage 2 recorded this row as a discovery candidate; it does not independently verify an exact current research program, eligibility, or funding.</x:v>
      </x:c>
      <x:c r="H1177" s="17" t="str">
        <x:v>Pass 2 Stage 2 candidate funnel</x:v>
      </x:c>
      <x:c r="I1177" s="17" t="str">
        <x:v>Graduate audit pipeline</x:v>
      </x:c>
      <x:c r="J1177" s="17" t="str">
        <x:v>derived</x:v>
      </x:c>
      <x:c r="K1177" s="17" t="str">
        <x:v>2026-09-11</x:v>
      </x:c>
      <x:c r="L1177" s="17" t="str">
        <x:v>Not cycle-specific</x:v>
      </x:c>
      <x:c r="M1177" s="17" t="str">
        <x:v>low</x:v>
      </x:c>
      <x:c r="N1177" s="17" t="str">
        <x:v>Discovery evidence only</x:v>
      </x:c>
      <x:c r="O1177" s="17" t="str">
        <x:v>Use the source_record_paths field to trace the underlying discovery inputs.</x:v>
      </x:c>
      <x:c r="P1177" s="18" t="e">
        <x:f>HYPERLINK("https://www.iastate.edu","Open source")</x:f>
        <x:v>HYPERLINK is not implemented. linkLocation=https://www.iastate.edu, friendlyName=Open source</x:v>
      </x:c>
    </x:row>
    <x:row r="1178" ht="46" customHeight="1">
      <x:c r="A1178" s="17" t="str">
        <x:v>stage3src:e59801fa5f5a9ee7d75c</x:v>
      </x:c>
      <x:c r="B1178" s="17" t="str">
        <x:v>program</x:v>
      </x:c>
      <x:c r="C1178" s="17" t="str">
        <x:v>Iowa State University</x:v>
      </x:c>
      <x:c r="D1178" s="17" t="str">
        <x:v>us:ipeds:153603:program:unclear:ipeds-discovery-signal-information-technology-cip-11-0103</x:v>
      </x:c>
      <x:c r="E1178" s="17" t="str"/>
      <x:c r="F1178" s="17" t="str">
        <x:v>discovery</x:v>
      </x:c>
      <x:c r="G1178" s="17" t="str">
        <x:v>Stage 2 recorded this row as a discovery candidate; it does not independently verify an exact current research program, eligibility, or funding.</x:v>
      </x:c>
      <x:c r="H1178" s="17" t="str">
        <x:v>Pass 2 Stage 2 candidate funnel</x:v>
      </x:c>
      <x:c r="I1178" s="17" t="str">
        <x:v>Graduate audit pipeline</x:v>
      </x:c>
      <x:c r="J1178" s="17" t="str">
        <x:v>derived</x:v>
      </x:c>
      <x:c r="K1178" s="17" t="str">
        <x:v>2026-09-11</x:v>
      </x:c>
      <x:c r="L1178" s="17" t="str">
        <x:v>Not cycle-specific</x:v>
      </x:c>
      <x:c r="M1178" s="17" t="str">
        <x:v>low</x:v>
      </x:c>
      <x:c r="N1178" s="17" t="str">
        <x:v>Discovery evidence only</x:v>
      </x:c>
      <x:c r="O1178" s="17" t="str">
        <x:v>Use the source_record_paths field to trace the underlying discovery inputs.</x:v>
      </x:c>
      <x:c r="P1178" s="18" t="e">
        <x:f>HYPERLINK("https://www.iastate.edu","Open source")</x:f>
        <x:v>HYPERLINK is not implemented. linkLocation=https://www.iastate.edu, friendlyName=Open source</x:v>
      </x:c>
    </x:row>
    <x:row r="1179" ht="46" customHeight="1">
      <x:c r="A1179" s="17" t="str">
        <x:v>stage3src:040ce8e8970042301519</x:v>
      </x:c>
      <x:c r="B1179" s="17" t="str">
        <x:v>program</x:v>
      </x:c>
      <x:c r="C1179" s="17" t="str">
        <x:v>University of Iowa</x:v>
      </x:c>
      <x:c r="D1179" s="17" t="str">
        <x:v>us:ipeds:153658:program:phd:phd-in-computer-science</x:v>
      </x:c>
      <x:c r="E1179" s="17" t="str"/>
      <x:c r="F1179" s="17" t="str">
        <x:v>admissions|eligibility|language|deadline|fees</x:v>
      </x:c>
      <x:c r="G1179" s="17" t="str">
        <x:v>Explicit Fall 2027 deadline, bachelor's entry, 3.0 GPA, optional GRE, competitive review, and automatic MCS consideration rule.</x:v>
      </x:c>
      <x:c r="H1179" s="17" t="str">
        <x:v>Graduate Admissions Process</x:v>
      </x:c>
      <x:c r="I1179" s="17" t="str">
        <x:v>University of Iowa Department of Computer Science</x:v>
      </x:c>
      <x:c r="J1179" s="17" t="str">
        <x:v>official</x:v>
      </x:c>
      <x:c r="K1179" s="17" t="str">
        <x:v>2026-09-10</x:v>
      </x:c>
      <x:c r="L1179" s="17" t="str">
        <x:v>Fall 2027</x:v>
      </x:c>
      <x:c r="M1179" s="17" t="str">
        <x:v>high</x:v>
      </x:c>
      <x:c r="N1179" s="17" t="str">
        <x:v>official page checked</x:v>
      </x:c>
      <x:c r="O1179" s="17" t="str"/>
      <x:c r="P1179" s="18" t="e">
        <x:f>HYPERLINK("https://cs.uiowa.edu/graduate/admissions","Open source")</x:f>
        <x:v>HYPERLINK is not implemented. linkLocation=https://cs.uiowa.edu/graduate/admissions, friendlyName=Open source</x:v>
      </x:c>
    </x:row>
    <x:row r="1180" ht="46" customHeight="1">
      <x:c r="A1180" s="17" t="str">
        <x:v>stage3src:58add7da1abbe2d4583e</x:v>
      </x:c>
      <x:c r="B1180" s="17" t="str">
        <x:v>program</x:v>
      </x:c>
      <x:c r="C1180" s="17" t="str">
        <x:v>University of Iowa</x:v>
      </x:c>
      <x:c r="D1180" s="17" t="str">
        <x:v>us:ipeds:153658:program:phd:phd-in-computer-science</x:v>
      </x:c>
      <x:c r="E1180" s="17" t="str"/>
      <x:c r="F1180" s="17" t="str">
        <x:v>program</x:v>
      </x:c>
      <x:c r="G1180" s="17" t="str">
        <x:v>Current 72-hour Computer Science PhD and original dissertation research route.</x:v>
      </x:c>
      <x:c r="H1180" s="17" t="str">
        <x:v>PhD in Computer Science</x:v>
      </x:c>
      <x:c r="I1180" s="17" t="str">
        <x:v>University of Iowa Department of Computer Science</x:v>
      </x:c>
      <x:c r="J1180" s="17" t="str">
        <x:v>official</x:v>
      </x:c>
      <x:c r="K1180" s="17" t="str">
        <x:v>2026-09-10</x:v>
      </x:c>
      <x:c r="L1180" s="17" t="str">
        <x:v>Current page checked 2026-09-10</x:v>
      </x:c>
      <x:c r="M1180" s="17" t="str">
        <x:v>high</x:v>
      </x:c>
      <x:c r="N1180" s="17" t="str">
        <x:v>official page checked</x:v>
      </x:c>
      <x:c r="O1180" s="17" t="str"/>
      <x:c r="P1180" s="18" t="e">
        <x:f>HYPERLINK("https://cs.uiowa.edu/graduate/phd-computer-science","Open source")</x:f>
        <x:v>HYPERLINK is not implemented. linkLocation=https://cs.uiowa.edu/graduate/phd-computer-science, friendlyName=Open source</x:v>
      </x:c>
    </x:row>
    <x:row r="1181" ht="46" customHeight="1">
      <x:c r="A1181" s="17" t="str">
        <x:v>stage3src:7c933ed86687e0fb461b</x:v>
      </x:c>
      <x:c r="B1181" s="17" t="str">
        <x:v>program</x:v>
      </x:c>
      <x:c r="C1181" s="17" t="str">
        <x:v>University of Iowa</x:v>
      </x:c>
      <x:c r="D1181" s="17" t="str">
        <x:v>us:ipeds:153658:program:phd:phd-in-computer-science</x:v>
      </x:c>
      <x:c r="E1181" s="17" t="str"/>
      <x:c r="F1181" s="17" t="str">
        <x:v>funding|fees</x:v>
      </x:c>
      <x:c r="G1181" s="17" t="str">
        <x:v>Most students receive assistantship support; department support is conditionally limited to four years and is not universal.</x:v>
      </x:c>
      <x:c r="H1181" s="17" t="str">
        <x:v>Graduate Funding</x:v>
      </x:c>
      <x:c r="I1181" s="17" t="str">
        <x:v>University of Iowa Department of Computer Science</x:v>
      </x:c>
      <x:c r="J1181" s="17" t="str">
        <x:v>official</x:v>
      </x:c>
      <x:c r="K1181" s="17" t="str">
        <x:v>2026-09-10</x:v>
      </x:c>
      <x:c r="L1181" s="17" t="str">
        <x:v>Current page checked 2026-09-10</x:v>
      </x:c>
      <x:c r="M1181" s="17" t="str">
        <x:v>high</x:v>
      </x:c>
      <x:c r="N1181" s="17" t="str">
        <x:v>official page checked</x:v>
      </x:c>
      <x:c r="O1181" s="17" t="str"/>
      <x:c r="P1181" s="18" t="e">
        <x:f>HYPERLINK("https://cs.uiowa.edu/graduate/funding","Open source")</x:f>
        <x:v>HYPERLINK is not implemented. linkLocation=https://cs.uiowa.edu/graduate/funding, friendlyName=Open source</x:v>
      </x:c>
    </x:row>
    <x:row r="1182" ht="46" customHeight="1">
      <x:c r="A1182" s="17" t="str">
        <x:v>stage3src:b16644a82f5f61e3e0ef</x:v>
      </x:c>
      <x:c r="B1182" s="17" t="str">
        <x:v>program</x:v>
      </x:c>
      <x:c r="C1182" s="17" t="str">
        <x:v>University of Iowa</x:v>
      </x:c>
      <x:c r="D1182" s="17" t="str">
        <x:v>us:ipeds:153658:program:unclear:ipeds-discovery-signal-computer-and-information-sciences-general-cip-11-0101</x:v>
      </x:c>
      <x:c r="E1182" s="17" t="str"/>
      <x:c r="F1182" s="17" t="str">
        <x:v>discovery</x:v>
      </x:c>
      <x:c r="G1182" s="17" t="str">
        <x:v>Stage 2 recorded this row as a discovery candidate; it does not independently verify an exact current research program, eligibility, or funding.</x:v>
      </x:c>
      <x:c r="H1182" s="17" t="str">
        <x:v>Pass 2 Stage 2 candidate funnel</x:v>
      </x:c>
      <x:c r="I1182" s="17" t="str">
        <x:v>Graduate audit pipeline</x:v>
      </x:c>
      <x:c r="J1182" s="17" t="str">
        <x:v>derived</x:v>
      </x:c>
      <x:c r="K1182" s="17" t="str">
        <x:v>2026-09-11</x:v>
      </x:c>
      <x:c r="L1182" s="17" t="str">
        <x:v>Not cycle-specific</x:v>
      </x:c>
      <x:c r="M1182" s="17" t="str">
        <x:v>low</x:v>
      </x:c>
      <x:c r="N1182" s="17" t="str">
        <x:v>Discovery evidence only</x:v>
      </x:c>
      <x:c r="O1182" s="17" t="str">
        <x:v>Use the source_record_paths field to trace the underlying discovery inputs.</x:v>
      </x:c>
      <x:c r="P1182" s="18" t="e">
        <x:f>HYPERLINK("https://uiowa.edu","Open source")</x:f>
        <x:v>HYPERLINK is not implemented. linkLocation=https://uiowa.edu, friendlyName=Open source</x:v>
      </x:c>
    </x:row>
    <x:row r="1183" ht="46" customHeight="1">
      <x:c r="A1183" s="17" t="str">
        <x:v>stage3src:6bd3d0d031e588f59df6</x:v>
      </x:c>
      <x:c r="B1183" s="17" t="str">
        <x:v>program</x:v>
      </x:c>
      <x:c r="C1183" s="17" t="str">
        <x:v>University of Iowa</x:v>
      </x:c>
      <x:c r="D1183" s="17" t="str">
        <x:v>us:ipeds:153658:program:unclear:ipeds-discovery-signal-computer-engineering-general-cip-14-0901</x:v>
      </x:c>
      <x:c r="E1183" s="17" t="str"/>
      <x:c r="F1183" s="17" t="str">
        <x:v>discovery</x:v>
      </x:c>
      <x:c r="G1183" s="17" t="str">
        <x:v>Stage 2 recorded this row as a discovery candidate; it does not independently verify an exact current research program, eligibility, or funding.</x:v>
      </x:c>
      <x:c r="H1183" s="17" t="str">
        <x:v>Pass 2 Stage 2 candidate funnel</x:v>
      </x:c>
      <x:c r="I1183" s="17" t="str">
        <x:v>Graduate audit pipeline</x:v>
      </x:c>
      <x:c r="J1183" s="17" t="str">
        <x:v>derived</x:v>
      </x:c>
      <x:c r="K1183" s="17" t="str">
        <x:v>2026-09-11</x:v>
      </x:c>
      <x:c r="L1183" s="17" t="str">
        <x:v>Not cycle-specific</x:v>
      </x:c>
      <x:c r="M1183" s="17" t="str">
        <x:v>low</x:v>
      </x:c>
      <x:c r="N1183" s="17" t="str">
        <x:v>Discovery evidence only</x:v>
      </x:c>
      <x:c r="O1183" s="17" t="str">
        <x:v>Use the source_record_paths field to trace the underlying discovery inputs.</x:v>
      </x:c>
      <x:c r="P1183" s="18" t="e">
        <x:f>HYPERLINK("https://uiowa.edu","Open source")</x:f>
        <x:v>HYPERLINK is not implemented. linkLocation=https://uiowa.edu, friendlyName=Open source</x:v>
      </x:c>
    </x:row>
    <x:row r="1184" ht="46" customHeight="1">
      <x:c r="A1184" s="17" t="str">
        <x:v>stage3src:4a5348afb75758f63a3a</x:v>
      </x:c>
      <x:c r="B1184" s="17" t="str">
        <x:v>program</x:v>
      </x:c>
      <x:c r="C1184" s="17" t="str">
        <x:v>University of Iowa</x:v>
      </x:c>
      <x:c r="D1184" s="17" t="str">
        <x:v>us:ipeds:153658:program:unclear:ipeds-discovery-signal-data-science-general-cip-30-7001</x:v>
      </x:c>
      <x:c r="E1184" s="17" t="str"/>
      <x:c r="F1184" s="17" t="str">
        <x:v>discovery</x:v>
      </x:c>
      <x:c r="G1184" s="17" t="str">
        <x:v>Stage 2 recorded this row as a discovery candidate; it does not independently verify an exact current research program, eligibility, or funding.</x:v>
      </x:c>
      <x:c r="H1184" s="17" t="str">
        <x:v>Pass 2 Stage 2 candidate funnel</x:v>
      </x:c>
      <x:c r="I1184" s="17" t="str">
        <x:v>Graduate audit pipeline</x:v>
      </x:c>
      <x:c r="J1184" s="17" t="str">
        <x:v>derived</x:v>
      </x:c>
      <x:c r="K1184" s="17" t="str">
        <x:v>2026-09-11</x:v>
      </x:c>
      <x:c r="L1184" s="17" t="str">
        <x:v>Not cycle-specific</x:v>
      </x:c>
      <x:c r="M1184" s="17" t="str">
        <x:v>low</x:v>
      </x:c>
      <x:c r="N1184" s="17" t="str">
        <x:v>Discovery evidence only</x:v>
      </x:c>
      <x:c r="O1184" s="17" t="str">
        <x:v>Use the source_record_paths field to trace the underlying discovery inputs.</x:v>
      </x:c>
      <x:c r="P1184" s="18" t="e">
        <x:f>HYPERLINK("https://uiowa.edu","Open source")</x:f>
        <x:v>HYPERLINK is not implemented. linkLocation=https://uiowa.edu, friendlyName=Open source</x:v>
      </x:c>
    </x:row>
    <x:row r="1185" ht="46" customHeight="1">
      <x:c r="A1185" s="17" t="str">
        <x:v>stage3src:8edb1d45598e7b172cbd</x:v>
      </x:c>
      <x:c r="B1185" s="17" t="str">
        <x:v>program</x:v>
      </x:c>
      <x:c r="C1185" s="17" t="str">
        <x:v>University of Iowa</x:v>
      </x:c>
      <x:c r="D1185" s="17" t="str">
        <x:v>us:ipeds:153658:program:unclear:ipeds-discovery-signal-informatics-cip-11-0104</x:v>
      </x:c>
      <x:c r="E1185" s="17" t="str"/>
      <x:c r="F1185" s="17" t="str">
        <x:v>discovery</x:v>
      </x:c>
      <x:c r="G1185" s="17" t="str">
        <x:v>Stage 2 recorded this row as a discovery candidate; it does not independently verify an exact current research program, eligibility, or funding.</x:v>
      </x:c>
      <x:c r="H1185" s="17" t="str">
        <x:v>Pass 2 Stage 2 candidate funnel</x:v>
      </x:c>
      <x:c r="I1185" s="17" t="str">
        <x:v>Graduate audit pipeline</x:v>
      </x:c>
      <x:c r="J1185" s="17" t="str">
        <x:v>derived</x:v>
      </x:c>
      <x:c r="K1185" s="17" t="str">
        <x:v>2026-09-11</x:v>
      </x:c>
      <x:c r="L1185" s="17" t="str">
        <x:v>Not cycle-specific</x:v>
      </x:c>
      <x:c r="M1185" s="17" t="str">
        <x:v>low</x:v>
      </x:c>
      <x:c r="N1185" s="17" t="str">
        <x:v>Discovery evidence only</x:v>
      </x:c>
      <x:c r="O1185" s="17" t="str">
        <x:v>Use the source_record_paths field to trace the underlying discovery inputs.</x:v>
      </x:c>
      <x:c r="P1185" s="18" t="e">
        <x:f>HYPERLINK("https://uiowa.edu","Open source")</x:f>
        <x:v>HYPERLINK is not implemented. linkLocation=https://uiowa.edu, friendlyName=Open source</x:v>
      </x:c>
    </x:row>
    <x:row r="1186" ht="46" customHeight="1">
      <x:c r="A1186" s="17" t="str">
        <x:v>stage3src:1a7eaa22463fa7496624</x:v>
      </x:c>
      <x:c r="B1186" s="17" t="str">
        <x:v>program</x:v>
      </x:c>
      <x:c r="C1186" s="17" t="str">
        <x:v>Loras College</x:v>
      </x:c>
      <x:c r="D1186" s="17" t="str">
        <x:v>us:ipeds:153825:program:unclear:ipeds-discovery-signal-data-analytics-general-cip-30-7101</x:v>
      </x:c>
      <x:c r="E1186" s="17" t="str"/>
      <x:c r="F1186" s="17" t="str">
        <x:v>discovery</x:v>
      </x:c>
      <x:c r="G1186" s="17" t="str">
        <x:v>Stage 2 recorded this row as a discovery candidate; it does not independently verify an exact current research program, eligibility, or funding.</x:v>
      </x:c>
      <x:c r="H1186" s="17" t="str">
        <x:v>Pass 2 Stage 2 candidate funnel</x:v>
      </x:c>
      <x:c r="I1186" s="17" t="str">
        <x:v>Graduate audit pipeline</x:v>
      </x:c>
      <x:c r="J1186" s="17" t="str">
        <x:v>derived</x:v>
      </x:c>
      <x:c r="K1186" s="17" t="str">
        <x:v>2026-09-11</x:v>
      </x:c>
      <x:c r="L1186" s="17" t="str">
        <x:v>Not cycle-specific</x:v>
      </x:c>
      <x:c r="M1186" s="17" t="str">
        <x:v>low</x:v>
      </x:c>
      <x:c r="N1186" s="17" t="str">
        <x:v>Discovery evidence only</x:v>
      </x:c>
      <x:c r="O1186" s="17" t="str">
        <x:v>Use the source_record_paths field to trace the underlying discovery inputs.</x:v>
      </x:c>
      <x:c r="P1186" s="18" t="e">
        <x:f>HYPERLINK("https://www.loras.edu","Open source")</x:f>
        <x:v>HYPERLINK is not implemented. linkLocation=https://www.loras.edu, friendlyName=Open source</x:v>
      </x:c>
    </x:row>
    <x:row r="1187" ht="46" customHeight="1">
      <x:c r="A1187" s="17" t="str">
        <x:v>stage3src:2082eef466588c2a1ba0</x:v>
      </x:c>
      <x:c r="B1187" s="17" t="str">
        <x:v>program</x:v>
      </x:c>
      <x:c r="C1187" s="17" t="str">
        <x:v>Maharishi International University</x:v>
      </x:c>
      <x:c r="D1187" s="17" t="str">
        <x:v>us:ipeds:153861:program:unclear:ipeds-discovery-signal-computer-science-cip-11-0701</x:v>
      </x:c>
      <x:c r="E1187" s="17" t="str"/>
      <x:c r="F1187" s="17" t="str">
        <x:v>discovery</x:v>
      </x:c>
      <x:c r="G1187" s="17" t="str">
        <x:v>Stage 2 recorded this row as a discovery candidate; it does not independently verify an exact current research program, eligibility, or funding.</x:v>
      </x:c>
      <x:c r="H1187" s="17" t="str">
        <x:v>Pass 2 Stage 2 candidate funnel</x:v>
      </x:c>
      <x:c r="I1187" s="17" t="str">
        <x:v>Graduate audit pipeline</x:v>
      </x:c>
      <x:c r="J1187" s="17" t="str">
        <x:v>derived</x:v>
      </x:c>
      <x:c r="K1187" s="17" t="str">
        <x:v>2026-09-11</x:v>
      </x:c>
      <x:c r="L1187" s="17" t="str">
        <x:v>Not cycle-specific</x:v>
      </x:c>
      <x:c r="M1187" s="17" t="str">
        <x:v>low</x:v>
      </x:c>
      <x:c r="N1187" s="17" t="str">
        <x:v>Discovery evidence only</x:v>
      </x:c>
      <x:c r="O1187" s="17" t="str">
        <x:v>Use the source_record_paths field to trace the underlying discovery inputs.</x:v>
      </x:c>
      <x:c r="P1187" s="18" t="e">
        <x:f>HYPERLINK("https://www.miu.edu","Open source")</x:f>
        <x:v>HYPERLINK is not implemented. linkLocation=https://www.miu.edu, friendlyName=Open source</x:v>
      </x:c>
    </x:row>
    <x:row r="1188" ht="46" customHeight="1">
      <x:c r="A1188" s="17" t="str">
        <x:v>stage3src:db55875b02c491b89230</x:v>
      </x:c>
      <x:c r="B1188" s="17" t="str">
        <x:v>program</x:v>
      </x:c>
      <x:c r="C1188" s="17" t="str">
        <x:v>Saint Ambrose University</x:v>
      </x:c>
      <x:c r="D1188" s="17" t="str">
        <x:v>us:ipeds:154235:program:unclear:ipeds-discovery-signal-mechatronics-robotics-and-automation-engineering-cip-14-4201</x:v>
      </x:c>
      <x:c r="E1188" s="17" t="str"/>
      <x:c r="F1188" s="17" t="str">
        <x:v>discovery</x:v>
      </x:c>
      <x:c r="G1188" s="17" t="str">
        <x:v>Stage 2 recorded this row as a discovery candidate; it does not independently verify an exact current research program, eligibility, or funding.</x:v>
      </x:c>
      <x:c r="H1188" s="17" t="str">
        <x:v>Pass 2 Stage 2 candidate funnel</x:v>
      </x:c>
      <x:c r="I1188" s="17" t="str">
        <x:v>Graduate audit pipeline</x:v>
      </x:c>
      <x:c r="J1188" s="17" t="str">
        <x:v>derived</x:v>
      </x:c>
      <x:c r="K1188" s="17" t="str">
        <x:v>2026-09-11</x:v>
      </x:c>
      <x:c r="L1188" s="17" t="str">
        <x:v>Not cycle-specific</x:v>
      </x:c>
      <x:c r="M1188" s="17" t="str">
        <x:v>low</x:v>
      </x:c>
      <x:c r="N1188" s="17" t="str">
        <x:v>Discovery evidence only</x:v>
      </x:c>
      <x:c r="O1188" s="17" t="str">
        <x:v>Use the source_record_paths field to trace the underlying discovery inputs.</x:v>
      </x:c>
      <x:c r="P1188" s="18" t="e">
        <x:f>HYPERLINK("https://www.sau.edu","Open source")</x:f>
        <x:v>HYPERLINK is not implemented. linkLocation=https://www.sau.edu, friendlyName=Open source</x:v>
      </x:c>
    </x:row>
    <x:row r="1189" ht="46" customHeight="1">
      <x:c r="A1189" s="17" t="str">
        <x:v>stage3src:377e42bd5fcf00c10665</x:v>
      </x:c>
      <x:c r="B1189" s="17" t="str">
        <x:v>program</x:v>
      </x:c>
      <x:c r="C1189" s="17" t="str">
        <x:v>Emporia State University</x:v>
      </x:c>
      <x:c r="D1189" s="17" t="str">
        <x:v>us:ipeds:155025:program:unclear:ipeds-discovery-signal-informatics-cip-11-0104</x:v>
      </x:c>
      <x:c r="E1189" s="17" t="str"/>
      <x:c r="F1189" s="17" t="str">
        <x:v>discovery</x:v>
      </x:c>
      <x:c r="G1189" s="17" t="str">
        <x:v>Stage 2 recorded this row as a discovery candidate; it does not independently verify an exact current research program, eligibility, or funding.</x:v>
      </x:c>
      <x:c r="H1189" s="17" t="str">
        <x:v>Pass 2 Stage 2 candidate funnel</x:v>
      </x:c>
      <x:c r="I1189" s="17" t="str">
        <x:v>Graduate audit pipeline</x:v>
      </x:c>
      <x:c r="J1189" s="17" t="str">
        <x:v>derived</x:v>
      </x:c>
      <x:c r="K1189" s="17" t="str">
        <x:v>2026-09-11</x:v>
      </x:c>
      <x:c r="L1189" s="17" t="str">
        <x:v>Not cycle-specific</x:v>
      </x:c>
      <x:c r="M1189" s="17" t="str">
        <x:v>low</x:v>
      </x:c>
      <x:c r="N1189" s="17" t="str">
        <x:v>Discovery evidence only</x:v>
      </x:c>
      <x:c r="O1189" s="17" t="str">
        <x:v>Use the source_record_paths field to trace the underlying discovery inputs.</x:v>
      </x:c>
      <x:c r="P1189" s="18" t="e">
        <x:f>HYPERLINK("https://www.emporia.edu","Open source")</x:f>
        <x:v>HYPERLINK is not implemented. linkLocation=https://www.emporia.edu, friendlyName=Open source</x:v>
      </x:c>
    </x:row>
    <x:row r="1190" ht="46" customHeight="1">
      <x:c r="A1190" s="17" t="str">
        <x:v>stage3src:95ce2041fe5d6a0e31ee</x:v>
      </x:c>
      <x:c r="B1190" s="17" t="str">
        <x:v>program</x:v>
      </x:c>
      <x:c r="C1190" s="17" t="str">
        <x:v>Emporia State University</x:v>
      </x:c>
      <x:c r="D1190" s="17" t="str">
        <x:v>us:ipeds:155025:program:unclear:ipeds-discovery-signal-information-technology-cip-11-0103</x:v>
      </x:c>
      <x:c r="E1190" s="17" t="str"/>
      <x:c r="F1190" s="17" t="str">
        <x:v>discovery</x:v>
      </x:c>
      <x:c r="G1190" s="17" t="str">
        <x:v>Stage 2 recorded this row as a discovery candidate; it does not independently verify an exact current research program, eligibility, or funding.</x:v>
      </x:c>
      <x:c r="H1190" s="17" t="str">
        <x:v>Pass 2 Stage 2 candidate funnel</x:v>
      </x:c>
      <x:c r="I1190" s="17" t="str">
        <x:v>Graduate audit pipeline</x:v>
      </x:c>
      <x:c r="J1190" s="17" t="str">
        <x:v>derived</x:v>
      </x:c>
      <x:c r="K1190" s="17" t="str">
        <x:v>2026-09-11</x:v>
      </x:c>
      <x:c r="L1190" s="17" t="str">
        <x:v>Not cycle-specific</x:v>
      </x:c>
      <x:c r="M1190" s="17" t="str">
        <x:v>low</x:v>
      </x:c>
      <x:c r="N1190" s="17" t="str">
        <x:v>Discovery evidence only</x:v>
      </x:c>
      <x:c r="O1190" s="17" t="str">
        <x:v>Use the source_record_paths field to trace the underlying discovery inputs.</x:v>
      </x:c>
      <x:c r="P1190" s="18" t="e">
        <x:f>HYPERLINK("https://www.emporia.edu","Open source")</x:f>
        <x:v>HYPERLINK is not implemented. linkLocation=https://www.emporia.edu, friendlyName=Open source</x:v>
      </x:c>
    </x:row>
    <x:row r="1191" ht="46" customHeight="1">
      <x:c r="A1191" s="17" t="str">
        <x:v>stage3src:0b89e4bef0fb6ad6e2b8</x:v>
      </x:c>
      <x:c r="B1191" s="17" t="str">
        <x:v>program</x:v>
      </x:c>
      <x:c r="C1191" s="17" t="str">
        <x:v>University of Kansas</x:v>
      </x:c>
      <x:c r="D1191" s="17" t="str">
        <x:v>us:ipeds:155317:program:phd:doctor-of-philosophy-in-computer-science</x:v>
      </x:c>
      <x:c r="E1191" s="17" t="str"/>
      <x:c r="F1191" s="17" t="str">
        <x:v>program|admissions|eligibility|deadline</x:v>
      </x:c>
      <x:c r="G1191" s="17" t="str">
        <x:v>Current CS PhD, direct bachelor's route, dissertation, and published priority/final dates.</x:v>
      </x:c>
      <x:c r="H1191" s="17" t="str">
        <x:v>Computer Science PhD</x:v>
      </x:c>
      <x:c r="I1191" s="17" t="str">
        <x:v>University of Kansas</x:v>
      </x:c>
      <x:c r="J1191" s="17" t="str">
        <x:v>official</x:v>
      </x:c>
      <x:c r="K1191" s="17" t="str">
        <x:v>2026-09-10</x:v>
      </x:c>
      <x:c r="L1191" s="17" t="str">
        <x:v>Current page checked 2026-09-10</x:v>
      </x:c>
      <x:c r="M1191" s="17" t="str">
        <x:v>high</x:v>
      </x:c>
      <x:c r="N1191" s="17" t="str">
        <x:v>official page checked</x:v>
      </x:c>
      <x:c r="O1191" s="17" t="str"/>
      <x:c r="P1191" s="18" t="e">
        <x:f>HYPERLINK("https://degrees.ku.edu/graduate/doctoral/computer-science/","Open source")</x:f>
        <x:v>HYPERLINK is not implemented. linkLocation=https://degrees.ku.edu/graduate/doctoral/computer-science/, friendlyName=Open source</x:v>
      </x:c>
    </x:row>
    <x:row r="1192" ht="46" customHeight="1">
      <x:c r="A1192" s="17" t="str">
        <x:v>stage3src:216fe236e6fdf6577aff</x:v>
      </x:c>
      <x:c r="B1192" s="17" t="str">
        <x:v>program</x:v>
      </x:c>
      <x:c r="C1192" s="17" t="str">
        <x:v>University of Kansas</x:v>
      </x:c>
      <x:c r="D1192" s="17" t="str">
        <x:v>us:ipeds:155317:program:phd:doctor-of-philosophy-in-computer-science</x:v>
      </x:c>
      <x:c r="E1192" s="17" t="str"/>
      <x:c r="F1192" s="17" t="str">
        <x:v>funding|fees</x:v>
      </x:c>
      <x:c r="G1192" s="17" t="str">
        <x:v>EECS assistantship and fellowship incidence and explicit limited competitive funding.</x:v>
      </x:c>
      <x:c r="H1192" s="17" t="str">
        <x:v>Graduate Funding</x:v>
      </x:c>
      <x:c r="I1192" s="17" t="str">
        <x:v>KU Electrical Engineering and Computer Science</x:v>
      </x:c>
      <x:c r="J1192" s="17" t="str">
        <x:v>official</x:v>
      </x:c>
      <x:c r="K1192" s="17" t="str">
        <x:v>2026-09-10</x:v>
      </x:c>
      <x:c r="L1192" s="17" t="str">
        <x:v>Current page checked 2026-09-10</x:v>
      </x:c>
      <x:c r="M1192" s="17" t="str">
        <x:v>high</x:v>
      </x:c>
      <x:c r="N1192" s="17" t="str">
        <x:v>official page checked</x:v>
      </x:c>
      <x:c r="O1192" s="17" t="str"/>
      <x:c r="P1192" s="18" t="e">
        <x:f>HYPERLINK("https://eecs.ku.edu/graduate-funding","Open source")</x:f>
        <x:v>HYPERLINK is not implemented. linkLocation=https://eecs.ku.edu/graduate-funding, friendlyName=Open source</x:v>
      </x:c>
    </x:row>
    <x:row r="1193" ht="46" customHeight="1">
      <x:c r="A1193" s="17" t="str">
        <x:v>stage3src:46e9eeb653f3e4039c62</x:v>
      </x:c>
      <x:c r="B1193" s="17" t="str">
        <x:v>program</x:v>
      </x:c>
      <x:c r="C1193" s="17" t="str">
        <x:v>University of Kansas</x:v>
      </x:c>
      <x:c r="D1193" s="17" t="str">
        <x:v>us:ipeds:155317:program:phd:doctor-of-philosophy-in-computer-science</x:v>
      </x:c>
      <x:c r="E1193" s="17" t="str"/>
      <x:c r="F1193" s="17" t="str">
        <x:v>admissions|eligibility|language|fees</x:v>
      </x:c>
      <x:c r="G1193" s="17" t="str">
        <x:v>2027 application availability, international application requirements, USD 100 fee, and limited waiver route.</x:v>
      </x:c>
      <x:c r="H1193" s="17" t="str">
        <x:v>Graduate Application</x:v>
      </x:c>
      <x:c r="I1193" s="17" t="str">
        <x:v>University of Kansas Graduate Admissions</x:v>
      </x:c>
      <x:c r="J1193" s="17" t="str">
        <x:v>official</x:v>
      </x:c>
      <x:c r="K1193" s="17" t="str">
        <x:v>2026-09-10</x:v>
      </x:c>
      <x:c r="L1193" s="17" t="str">
        <x:v>2027</x:v>
      </x:c>
      <x:c r="M1193" s="17" t="str">
        <x:v>high</x:v>
      </x:c>
      <x:c r="N1193" s="17" t="str">
        <x:v>official page checked</x:v>
      </x:c>
      <x:c r="O1193" s="17" t="str"/>
      <x:c r="P1193" s="18" t="e">
        <x:f>HYPERLINK("https://gradapply.ku.edu/apply","Open source")</x:f>
        <x:v>HYPERLINK is not implemented. linkLocation=https://gradapply.ku.edu/apply, friendlyName=Open source</x:v>
      </x:c>
    </x:row>
    <x:row r="1194" ht="46" customHeight="1">
      <x:c r="A1194" s="17" t="str">
        <x:v>stage3src:5d5e0ef6813cce27aeb8</x:v>
      </x:c>
      <x:c r="B1194" s="17" t="str">
        <x:v>program</x:v>
      </x:c>
      <x:c r="C1194" s="17" t="str">
        <x:v>University of Kansas</x:v>
      </x:c>
      <x:c r="D1194" s="17" t="str">
        <x:v>us:ipeds:155317:program:unclear:ipeds-discovery-signal-computer-and-information-sciences-general-cip-11-0101</x:v>
      </x:c>
      <x:c r="E1194" s="17" t="str"/>
      <x:c r="F1194" s="17" t="str">
        <x:v>discovery</x:v>
      </x:c>
      <x:c r="G1194" s="17" t="str">
        <x:v>Stage 2 recorded this row as a discovery candidate; it does not independently verify an exact current research program, eligibility, or funding.</x:v>
      </x:c>
      <x:c r="H1194" s="17" t="str">
        <x:v>Pass 2 Stage 2 candidate funnel</x:v>
      </x:c>
      <x:c r="I1194" s="17" t="str">
        <x:v>Graduate audit pipeline</x:v>
      </x:c>
      <x:c r="J1194" s="17" t="str">
        <x:v>derived</x:v>
      </x:c>
      <x:c r="K1194" s="17" t="str">
        <x:v>2026-09-11</x:v>
      </x:c>
      <x:c r="L1194" s="17" t="str">
        <x:v>Not cycle-specific</x:v>
      </x:c>
      <x:c r="M1194" s="17" t="str">
        <x:v>low</x:v>
      </x:c>
      <x:c r="N1194" s="17" t="str">
        <x:v>Discovery evidence only</x:v>
      </x:c>
      <x:c r="O1194" s="17" t="str">
        <x:v>Use the source_record_paths field to trace the underlying discovery inputs.</x:v>
      </x:c>
      <x:c r="P1194" s="18" t="e">
        <x:f>HYPERLINK("https://ku.edu","Open source")</x:f>
        <x:v>HYPERLINK is not implemented. linkLocation=https://ku.edu, friendlyName=Open source</x:v>
      </x:c>
    </x:row>
    <x:row r="1195" ht="46" customHeight="1">
      <x:c r="A1195" s="17" t="str">
        <x:v>stage3src:231978dadeb4ae98a611</x:v>
      </x:c>
      <x:c r="B1195" s="17" t="str">
        <x:v>program</x:v>
      </x:c>
      <x:c r="C1195" s="17" t="str">
        <x:v>University of Kansas</x:v>
      </x:c>
      <x:c r="D1195" s="17" t="str">
        <x:v>us:ipeds:155317:program:unclear:ipeds-discovery-signal-computer-engineering-general-cip-14-0901</x:v>
      </x:c>
      <x:c r="E1195" s="17" t="str"/>
      <x:c r="F1195" s="17" t="str">
        <x:v>discovery</x:v>
      </x:c>
      <x:c r="G1195" s="17" t="str">
        <x:v>Stage 2 recorded this row as a discovery candidate; it does not independently verify an exact current research program, eligibility, or funding.</x:v>
      </x:c>
      <x:c r="H1195" s="17" t="str">
        <x:v>Pass 2 Stage 2 candidate funnel</x:v>
      </x:c>
      <x:c r="I1195" s="17" t="str">
        <x:v>Graduate audit pipeline</x:v>
      </x:c>
      <x:c r="J1195" s="17" t="str">
        <x:v>derived</x:v>
      </x:c>
      <x:c r="K1195" s="17" t="str">
        <x:v>2026-09-11</x:v>
      </x:c>
      <x:c r="L1195" s="17" t="str">
        <x:v>Not cycle-specific</x:v>
      </x:c>
      <x:c r="M1195" s="17" t="str">
        <x:v>low</x:v>
      </x:c>
      <x:c r="N1195" s="17" t="str">
        <x:v>Discovery evidence only</x:v>
      </x:c>
      <x:c r="O1195" s="17" t="str">
        <x:v>Use the source_record_paths field to trace the underlying discovery inputs.</x:v>
      </x:c>
      <x:c r="P1195" s="18" t="e">
        <x:f>HYPERLINK("https://ku.edu","Open source")</x:f>
        <x:v>HYPERLINK is not implemented. linkLocation=https://ku.edu, friendlyName=Open source</x:v>
      </x:c>
    </x:row>
    <x:row r="1196" ht="46" customHeight="1">
      <x:c r="A1196" s="17" t="str">
        <x:v>stage3src:90c2c4ae9594810e8706</x:v>
      </x:c>
      <x:c r="B1196" s="17" t="str">
        <x:v>program</x:v>
      </x:c>
      <x:c r="C1196" s="17" t="str">
        <x:v>University of Kansas</x:v>
      </x:c>
      <x:c r="D1196" s="17" t="str">
        <x:v>us:ipeds:155317:program:unclear:ipeds-discovery-signal-data-science-general-cip-30-7001</x:v>
      </x:c>
      <x:c r="E1196" s="17" t="str"/>
      <x:c r="F1196" s="17" t="str">
        <x:v>discovery</x:v>
      </x:c>
      <x:c r="G1196" s="17" t="str">
        <x:v>Stage 2 recorded this row as a discovery candidate; it does not independently verify an exact current research program, eligibility, or funding.</x:v>
      </x:c>
      <x:c r="H1196" s="17" t="str">
        <x:v>Pass 2 Stage 2 candidate funnel</x:v>
      </x:c>
      <x:c r="I1196" s="17" t="str">
        <x:v>Graduate audit pipeline</x:v>
      </x:c>
      <x:c r="J1196" s="17" t="str">
        <x:v>derived</x:v>
      </x:c>
      <x:c r="K1196" s="17" t="str">
        <x:v>2026-09-11</x:v>
      </x:c>
      <x:c r="L1196" s="17" t="str">
        <x:v>Not cycle-specific</x:v>
      </x:c>
      <x:c r="M1196" s="17" t="str">
        <x:v>low</x:v>
      </x:c>
      <x:c r="N1196" s="17" t="str">
        <x:v>Discovery evidence only</x:v>
      </x:c>
      <x:c r="O1196" s="17" t="str">
        <x:v>Use the source_record_paths field to trace the underlying discovery inputs.</x:v>
      </x:c>
      <x:c r="P1196" s="18" t="e">
        <x:f>HYPERLINK("https://ku.edu","Open source")</x:f>
        <x:v>HYPERLINK is not implemented. linkLocation=https://ku.edu, friendlyName=Open source</x:v>
      </x:c>
    </x:row>
    <x:row r="1197" ht="46" customHeight="1">
      <x:c r="A1197" s="17" t="str">
        <x:v>stage3src:a9bbcf832015399d42c8</x:v>
      </x:c>
      <x:c r="B1197" s="17" t="str">
        <x:v>program</x:v>
      </x:c>
      <x:c r="C1197" s="17" t="str">
        <x:v>University of Kansas</x:v>
      </x:c>
      <x:c r="D1197" s="17" t="str">
        <x:v>us:ipeds:155317:program:unclear:ipeds-discovery-signal-electrical-and-electronics-engineering-cip-14-1001</x:v>
      </x:c>
      <x:c r="E1197" s="17" t="str"/>
      <x:c r="F1197" s="17" t="str">
        <x:v>discovery</x:v>
      </x:c>
      <x:c r="G1197" s="17" t="str">
        <x:v>Stage 2 recorded this row as a discovery candidate; it does not independently verify an exact current research program, eligibility, or funding.</x:v>
      </x:c>
      <x:c r="H1197" s="17" t="str">
        <x:v>Pass 2 Stage 2 candidate funnel</x:v>
      </x:c>
      <x:c r="I1197" s="17" t="str">
        <x:v>Graduate audit pipeline</x:v>
      </x:c>
      <x:c r="J1197" s="17" t="str">
        <x:v>derived</x:v>
      </x:c>
      <x:c r="K1197" s="17" t="str">
        <x:v>2026-09-11</x:v>
      </x:c>
      <x:c r="L1197" s="17" t="str">
        <x:v>Not cycle-specific</x:v>
      </x:c>
      <x:c r="M1197" s="17" t="str">
        <x:v>low</x:v>
      </x:c>
      <x:c r="N1197" s="17" t="str">
        <x:v>Discovery evidence only</x:v>
      </x:c>
      <x:c r="O1197" s="17" t="str">
        <x:v>Use the source_record_paths field to trace the underlying discovery inputs.</x:v>
      </x:c>
      <x:c r="P1197" s="18" t="e">
        <x:f>HYPERLINK("https://ku.edu","Open source")</x:f>
        <x:v>HYPERLINK is not implemented. linkLocation=https://ku.edu, friendlyName=Open source</x:v>
      </x:c>
    </x:row>
    <x:row r="1198" ht="46" customHeight="1">
      <x:c r="A1198" s="17" t="str">
        <x:v>stage3src:161386c6e6713d459970</x:v>
      </x:c>
      <x:c r="B1198" s="17" t="str">
        <x:v>program</x:v>
      </x:c>
      <x:c r="C1198" s="17" t="str">
        <x:v>University of Kansas</x:v>
      </x:c>
      <x:c r="D1198" s="17" t="str">
        <x:v>us:ipeds:155317:program:unclear:ipeds-discovery-signal-information-technology-cip-11-0103</x:v>
      </x:c>
      <x:c r="E1198" s="17" t="str"/>
      <x:c r="F1198" s="17" t="str">
        <x:v>discovery</x:v>
      </x:c>
      <x:c r="G1198" s="17" t="str">
        <x:v>Stage 2 recorded this row as a discovery candidate; it does not independently verify an exact current research program, eligibility, or funding.</x:v>
      </x:c>
      <x:c r="H1198" s="17" t="str">
        <x:v>Pass 2 Stage 2 candidate funnel</x:v>
      </x:c>
      <x:c r="I1198" s="17" t="str">
        <x:v>Graduate audit pipeline</x:v>
      </x:c>
      <x:c r="J1198" s="17" t="str">
        <x:v>derived</x:v>
      </x:c>
      <x:c r="K1198" s="17" t="str">
        <x:v>2026-09-11</x:v>
      </x:c>
      <x:c r="L1198" s="17" t="str">
        <x:v>Not cycle-specific</x:v>
      </x:c>
      <x:c r="M1198" s="17" t="str">
        <x:v>low</x:v>
      </x:c>
      <x:c r="N1198" s="17" t="str">
        <x:v>Discovery evidence only</x:v>
      </x:c>
      <x:c r="O1198" s="17" t="str">
        <x:v>Use the source_record_paths field to trace the underlying discovery inputs.</x:v>
      </x:c>
      <x:c r="P1198" s="18" t="e">
        <x:f>HYPERLINK("https://ku.edu","Open source")</x:f>
        <x:v>HYPERLINK is not implemented. linkLocation=https://ku.edu, friendlyName=Open source</x:v>
      </x:c>
    </x:row>
    <x:row r="1199" ht="46" customHeight="1">
      <x:c r="A1199" s="17" t="str">
        <x:v>stage3src:d79f22d3788891b45f3f</x:v>
      </x:c>
      <x:c r="B1199" s="17" t="str">
        <x:v>program</x:v>
      </x:c>
      <x:c r="C1199" s="17" t="str">
        <x:v>Newman University</x:v>
      </x:c>
      <x:c r="D1199" s="17" t="str">
        <x:v>us:ipeds:155335:program:unclear:ipeds-discovery-signal-data-science-general-cip-30-7001</x:v>
      </x:c>
      <x:c r="E1199" s="17" t="str"/>
      <x:c r="F1199" s="17" t="str">
        <x:v>discovery</x:v>
      </x:c>
      <x:c r="G1199" s="17" t="str">
        <x:v>Stage 2 recorded this row as a discovery candidate; it does not independently verify an exact current research program, eligibility, or funding.</x:v>
      </x:c>
      <x:c r="H1199" s="17" t="str">
        <x:v>Pass 2 Stage 2 candidate funnel</x:v>
      </x:c>
      <x:c r="I1199" s="17" t="str">
        <x:v>Graduate audit pipeline</x:v>
      </x:c>
      <x:c r="J1199" s="17" t="str">
        <x:v>derived</x:v>
      </x:c>
      <x:c r="K1199" s="17" t="str">
        <x:v>2026-09-11</x:v>
      </x:c>
      <x:c r="L1199" s="17" t="str">
        <x:v>Not cycle-specific</x:v>
      </x:c>
      <x:c r="M1199" s="17" t="str">
        <x:v>low</x:v>
      </x:c>
      <x:c r="N1199" s="17" t="str">
        <x:v>Discovery evidence only</x:v>
      </x:c>
      <x:c r="O1199" s="17" t="str">
        <x:v>Use the source_record_paths field to trace the underlying discovery inputs.</x:v>
      </x:c>
      <x:c r="P1199" s="18" t="e">
        <x:f>HYPERLINK("https://www.newmanu.edu","Open source")</x:f>
        <x:v>HYPERLINK is not implemented. linkLocation=https://www.newmanu.edu, friendlyName=Open source</x:v>
      </x:c>
    </x:row>
    <x:row r="1200" ht="46" customHeight="1">
      <x:c r="A1200" s="17" t="str">
        <x:v>stage3src:77e651916779d5e65c68</x:v>
      </x:c>
      <x:c r="B1200" s="17" t="str">
        <x:v>program</x:v>
      </x:c>
      <x:c r="C1200" s="17" t="str">
        <x:v>Kansas State University</x:v>
      </x:c>
      <x:c r="D1200" s="17" t="str">
        <x:v>us:ipeds:155399:program:phd:doctor-of-philosophy-in-computer-science</x:v>
      </x:c>
      <x:c r="E1200" s="17" t="str"/>
      <x:c r="F1200" s="17" t="str">
        <x:v>program|research|eligibility|admissions</x:v>
      </x:c>
      <x:c r="G1200" s="17" t="str">
        <x:v>Current 90-credit PhD structure, research milestones, master's-credit treatment, and adviser timing.</x:v>
      </x:c>
      <x:c r="H1200" s="17" t="str">
        <x:v>Computer Science Ph.D.</x:v>
      </x:c>
      <x:c r="I1200" s="17" t="str">
        <x:v>Kansas State University Department of Computer Science</x:v>
      </x:c>
      <x:c r="J1200" s="17" t="str">
        <x:v>official</x:v>
      </x:c>
      <x:c r="K1200" s="17" t="str">
        <x:v>2026-09-10</x:v>
      </x:c>
      <x:c r="L1200" s="17" t="str">
        <x:v>Current page and 2026-27 handbook checked 2026-09-11</x:v>
      </x:c>
      <x:c r="M1200" s="17" t="str">
        <x:v>high</x:v>
      </x:c>
      <x:c r="N1200" s="17" t="str">
        <x:v>official page checked</x:v>
      </x:c>
      <x:c r="O1200" s="17" t="str"/>
      <x:c r="P1200" s="18" t="e">
        <x:f>HYPERLINK("https://www.cs.ksu.edu/academics/graduate/phd/","Open source")</x:f>
        <x:v>HYPERLINK is not implemented. linkLocation=https://www.cs.ksu.edu/academics/graduate/phd/, friendlyName=Open source</x:v>
      </x:c>
    </x:row>
    <x:row r="1201" ht="46" customHeight="1">
      <x:c r="A1201" s="17" t="str">
        <x:v>stage3src:cc202e198a603d93d662</x:v>
      </x:c>
      <x:c r="B1201" s="17" t="str">
        <x:v>program</x:v>
      </x:c>
      <x:c r="C1201" s="17" t="str">
        <x:v>Kansas State University</x:v>
      </x:c>
      <x:c r="D1201" s="17" t="str">
        <x:v>us:ipeds:155399:program:phd:doctor-of-philosophy-in-computer-science</x:v>
      </x:c>
      <x:c r="E1201" s="17" t="str"/>
      <x:c r="F1201" s="17" t="str">
        <x:v>funding|tuition|fees</x:v>
      </x:c>
      <x:c r="G1201" s="17" t="str">
        <x:v>Department-awarded assistantships, nine- or twelve-month terms, tuition-remission differences, fee boundaries, and continuation conditions.</x:v>
      </x:c>
      <x:c r="H1201" s="17" t="str">
        <x:v>Graduate assistantships</x:v>
      </x:c>
      <x:c r="I1201" s="17" t="str">
        <x:v>Kansas State University Graduate School</x:v>
      </x:c>
      <x:c r="J1201" s="17" t="str">
        <x:v>official</x:v>
      </x:c>
      <x:c r="K1201" s="17" t="str">
        <x:v>2026-09-10</x:v>
      </x:c>
      <x:c r="L1201" s="17" t="str">
        <x:v>Current page checked 2026-09-11</x:v>
      </x:c>
      <x:c r="M1201" s="17" t="str">
        <x:v>high</x:v>
      </x:c>
      <x:c r="N1201" s="17" t="str">
        <x:v>official page checked</x:v>
      </x:c>
      <x:c r="O1201" s="17" t="str"/>
      <x:c r="P1201" s="18" t="e">
        <x:f>HYPERLINK("https://www.k-state.edu/grad/financial-support/assistantships.html","Open source")</x:f>
        <x:v>HYPERLINK is not implemented. linkLocation=https://www.k-state.edu/grad/financial-support/assistantships.html, friendlyName=Open source</x:v>
      </x:c>
    </x:row>
    <x:row r="1202" ht="46" customHeight="1">
      <x:c r="A1202" s="17" t="str">
        <x:v>stage3src:fa51f4ee8a762494f7e5</x:v>
      </x:c>
      <x:c r="B1202" s="17" t="str">
        <x:v>program</x:v>
      </x:c>
      <x:c r="C1202" s="17" t="str">
        <x:v>Kansas State University</x:v>
      </x:c>
      <x:c r="D1202" s="17" t="str">
        <x:v>us:ipeds:155399:program:phd:doctor-of-philosophy-in-computer-science</x:v>
      </x:c>
      <x:c r="E1202" s="17" t="str"/>
      <x:c r="F1202" s="17" t="str">
        <x:v>admissions|eligibility|language|deadline|fees</x:v>
      </x:c>
      <x:c r="G1202" s="17" t="str">
        <x:v>Graduate admission process and current international deadline framework.</x:v>
      </x:c>
      <x:c r="H1202" s="17" t="str">
        <x:v>Graduate application process</x:v>
      </x:c>
      <x:c r="I1202" s="17" t="str">
        <x:v>Kansas State University Graduate School</x:v>
      </x:c>
      <x:c r="J1202" s="17" t="str">
        <x:v>official</x:v>
      </x:c>
      <x:c r="K1202" s="17" t="str">
        <x:v>2026-09-10</x:v>
      </x:c>
      <x:c r="L1202" s="17" t="str">
        <x:v>Current page checked 2026-09-11</x:v>
      </x:c>
      <x:c r="M1202" s="17" t="str">
        <x:v>high</x:v>
      </x:c>
      <x:c r="N1202" s="17" t="str">
        <x:v>official page checked</x:v>
      </x:c>
      <x:c r="O1202" s="17" t="str"/>
      <x:c r="P1202" s="18" t="e">
        <x:f>HYPERLINK("https://www.k-state.edu/grad/admissions/application-process/","Open source")</x:f>
        <x:v>HYPERLINK is not implemented. linkLocation=https://www.k-state.edu/grad/admissions/application-process/, friendlyName=Open source</x:v>
      </x:c>
    </x:row>
    <x:row r="1203" ht="46" customHeight="1">
      <x:c r="A1203" s="17" t="str">
        <x:v>stage3src:cd6bf82e070c27371396</x:v>
      </x:c>
      <x:c r="B1203" s="17" t="str">
        <x:v>program</x:v>
      </x:c>
      <x:c r="C1203" s="17" t="str">
        <x:v>Kansas State University</x:v>
      </x:c>
      <x:c r="D1203" s="17" t="str">
        <x:v>us:ipeds:155399:program:unclear:ipeds-discovery-signal-computer-and-information-sciences-general-cip-11-0101</x:v>
      </x:c>
      <x:c r="E1203" s="17" t="str"/>
      <x:c r="F1203" s="17" t="str">
        <x:v>discovery</x:v>
      </x:c>
      <x:c r="G1203" s="17" t="str">
        <x:v>Stage 2 recorded this row as a discovery candidate; it does not independently verify an exact current research program, eligibility, or funding.</x:v>
      </x:c>
      <x:c r="H1203" s="17" t="str">
        <x:v>Pass 2 Stage 2 candidate funnel</x:v>
      </x:c>
      <x:c r="I1203" s="17" t="str">
        <x:v>Graduate audit pipeline</x:v>
      </x:c>
      <x:c r="J1203" s="17" t="str">
        <x:v>derived</x:v>
      </x:c>
      <x:c r="K1203" s="17" t="str">
        <x:v>2026-09-11</x:v>
      </x:c>
      <x:c r="L1203" s="17" t="str">
        <x:v>Not cycle-specific</x:v>
      </x:c>
      <x:c r="M1203" s="17" t="str">
        <x:v>low</x:v>
      </x:c>
      <x:c r="N1203" s="17" t="str">
        <x:v>Discovery evidence only</x:v>
      </x:c>
      <x:c r="O1203" s="17" t="str">
        <x:v>Use the source_record_paths field to trace the underlying discovery inputs.</x:v>
      </x:c>
      <x:c r="P1203" s="18" t="e">
        <x:f>HYPERLINK("https://www.k-state.edu","Open source")</x:f>
        <x:v>HYPERLINK is not implemented. linkLocation=https://www.k-state.edu, friendlyName=Open source</x:v>
      </x:c>
    </x:row>
    <x:row r="1204" ht="46" customHeight="1">
      <x:c r="A1204" s="17" t="str">
        <x:v>stage3src:2020c552c58506bd7777</x:v>
      </x:c>
      <x:c r="B1204" s="17" t="str">
        <x:v>program</x:v>
      </x:c>
      <x:c r="C1204" s="17" t="str">
        <x:v>Kansas State University</x:v>
      </x:c>
      <x:c r="D1204" s="17" t="str">
        <x:v>us:ipeds:155399:program:unclear:ipeds-discovery-signal-electrical-and-electronics-engineering-cip-14-1001</x:v>
      </x:c>
      <x:c r="E1204" s="17" t="str"/>
      <x:c r="F1204" s="17" t="str">
        <x:v>discovery</x:v>
      </x:c>
      <x:c r="G1204" s="17" t="str">
        <x:v>Stage 2 recorded this row as a discovery candidate; it does not independently verify an exact current research program, eligibility, or funding.</x:v>
      </x:c>
      <x:c r="H1204" s="17" t="str">
        <x:v>Pass 2 Stage 2 candidate funnel</x:v>
      </x:c>
      <x:c r="I1204" s="17" t="str">
        <x:v>Graduate audit pipeline</x:v>
      </x:c>
      <x:c r="J1204" s="17" t="str">
        <x:v>derived</x:v>
      </x:c>
      <x:c r="K1204" s="17" t="str">
        <x:v>2026-09-11</x:v>
      </x:c>
      <x:c r="L1204" s="17" t="str">
        <x:v>Not cycle-specific</x:v>
      </x:c>
      <x:c r="M1204" s="17" t="str">
        <x:v>low</x:v>
      </x:c>
      <x:c r="N1204" s="17" t="str">
        <x:v>Discovery evidence only</x:v>
      </x:c>
      <x:c r="O1204" s="17" t="str">
        <x:v>Use the source_record_paths field to trace the underlying discovery inputs.</x:v>
      </x:c>
      <x:c r="P1204" s="18" t="e">
        <x:f>HYPERLINK("https://www.k-state.edu","Open source")</x:f>
        <x:v>HYPERLINK is not implemented. linkLocation=https://www.k-state.edu, friendlyName=Open source</x:v>
      </x:c>
    </x:row>
    <x:row r="1205" ht="46" customHeight="1">
      <x:c r="A1205" s="17" t="str">
        <x:v>stage3src:7a79097cb8eb681adb53</x:v>
      </x:c>
      <x:c r="B1205" s="17" t="str">
        <x:v>program</x:v>
      </x:c>
      <x:c r="C1205" s="17" t="str">
        <x:v>Ottawa University-Ottawa</x:v>
      </x:c>
      <x:c r="D1205" s="17" t="str">
        <x:v>us:ipeds:155627:program:unclear:ipeds-discovery-signal-information-science-studies-cip-11-0401</x:v>
      </x:c>
      <x:c r="E1205" s="17" t="str"/>
      <x:c r="F1205" s="17" t="str">
        <x:v>discovery</x:v>
      </x:c>
      <x:c r="G1205" s="17" t="str">
        <x:v>Stage 2 recorded this row as a discovery candidate; it does not independently verify an exact current research program, eligibility, or funding.</x:v>
      </x:c>
      <x:c r="H1205" s="17" t="str">
        <x:v>Pass 2 Stage 2 candidate funnel</x:v>
      </x:c>
      <x:c r="I1205" s="17" t="str">
        <x:v>Graduate audit pipeline</x:v>
      </x:c>
      <x:c r="J1205" s="17" t="str">
        <x:v>derived</x:v>
      </x:c>
      <x:c r="K1205" s="17" t="str">
        <x:v>2026-09-11</x:v>
      </x:c>
      <x:c r="L1205" s="17" t="str">
        <x:v>Not cycle-specific</x:v>
      </x:c>
      <x:c r="M1205" s="17" t="str">
        <x:v>low</x:v>
      </x:c>
      <x:c r="N1205" s="17" t="str">
        <x:v>Discovery evidence only</x:v>
      </x:c>
      <x:c r="O1205" s="17" t="str">
        <x:v>Use the source_record_paths field to trace the underlying discovery inputs.</x:v>
      </x:c>
      <x:c r="P1205" s="18" t="e">
        <x:f>HYPERLINK("https://www.ottawa.edu","Open source")</x:f>
        <x:v>HYPERLINK is not implemented. linkLocation=https://www.ottawa.edu, friendlyName=Open source</x:v>
      </x:c>
    </x:row>
    <x:row r="1206" ht="46" customHeight="1">
      <x:c r="A1206" s="17" t="str">
        <x:v>stage3src:93bb047c3129034360cc</x:v>
      </x:c>
      <x:c r="B1206" s="17" t="str">
        <x:v>program</x:v>
      </x:c>
      <x:c r="C1206" s="17" t="str">
        <x:v>Ottawa University-Kansas City</x:v>
      </x:c>
      <x:c r="D1206" s="17" t="str">
        <x:v>us:ipeds:155636:program:unclear:ipeds-discovery-signal-information-science-studies-cip-11-0401</x:v>
      </x:c>
      <x:c r="E1206" s="17" t="str"/>
      <x:c r="F1206" s="17" t="str">
        <x:v>discovery</x:v>
      </x:c>
      <x:c r="G1206" s="17" t="str">
        <x:v>Stage 2 recorded this row as a discovery candidate; it does not independently verify an exact current research program, eligibility, or funding.</x:v>
      </x:c>
      <x:c r="H1206" s="17" t="str">
        <x:v>Pass 2 Stage 2 candidate funnel</x:v>
      </x:c>
      <x:c r="I1206" s="17" t="str">
        <x:v>Graduate audit pipeline</x:v>
      </x:c>
      <x:c r="J1206" s="17" t="str">
        <x:v>derived</x:v>
      </x:c>
      <x:c r="K1206" s="17" t="str">
        <x:v>2026-09-11</x:v>
      </x:c>
      <x:c r="L1206" s="17" t="str">
        <x:v>Not cycle-specific</x:v>
      </x:c>
      <x:c r="M1206" s="17" t="str">
        <x:v>low</x:v>
      </x:c>
      <x:c r="N1206" s="17" t="str">
        <x:v>Discovery evidence only</x:v>
      </x:c>
      <x:c r="O1206" s="17" t="str">
        <x:v>Use the source_record_paths field to trace the underlying discovery inputs.</x:v>
      </x:c>
      <x:c r="P1206" s="18" t="e">
        <x:f>HYPERLINK("https://www.ottawa.edu","Open source")</x:f>
        <x:v>HYPERLINK is not implemented. linkLocation=https://www.ottawa.edu, friendlyName=Open source</x:v>
      </x:c>
    </x:row>
    <x:row r="1207" ht="46" customHeight="1">
      <x:c r="A1207" s="17" t="str">
        <x:v>stage3src:236f9856d42c40757d14</x:v>
      </x:c>
      <x:c r="B1207" s="17" t="str">
        <x:v>program</x:v>
      </x:c>
      <x:c r="C1207" s="17" t="str">
        <x:v>Wichita State University</x:v>
      </x:c>
      <x:c r="D1207" s="17" t="str">
        <x:v>us:ipeds:156125:program:phd:phd-in-electrical-engineering-and-computer-science</x:v>
      </x:c>
      <x:c r="E1207" s="17" t="str"/>
      <x:c r="F1207" s="17" t="str">
        <x:v>program|research|admissions|eligibility|gpa|faculty</x:v>
      </x:c>
      <x:c r="G1207" s="17" t="str">
        <x:v>Current EECS PhD computer science track, dissertation, 3.25 bachelor's-entry floor, exceptional-record standard, and willing-advisor requirement.</x:v>
      </x:c>
      <x:c r="H1207" s="17" t="str">
        <x:v>PhD in Electrical Engineering and Computer Science</x:v>
      </x:c>
      <x:c r="I1207" s="17" t="str">
        <x:v>Wichita State University Graduate Catalog</x:v>
      </x:c>
      <x:c r="J1207" s="17" t="str">
        <x:v>official</x:v>
      </x:c>
      <x:c r="K1207" s="17" t="str">
        <x:v>2026-09-11</x:v>
      </x:c>
      <x:c r="L1207" s="17" t="str">
        <x:v>Current catalog checked 2026-09-11</x:v>
      </x:c>
      <x:c r="M1207" s="17" t="str">
        <x:v>high</x:v>
      </x:c>
      <x:c r="N1207" s="17" t="str">
        <x:v>official page checked</x:v>
      </x:c>
      <x:c r="O1207" s="17" t="str"/>
      <x:c r="P1207" s="18" t="e">
        <x:f>HYPERLINK("https://catalog.wichita.edu/graduate/engineering/electrical-computer-engineering/phd-in-eecs/","Open source")</x:f>
        <x:v>HYPERLINK is not implemented. linkLocation=https://catalog.wichita.edu/graduate/engineering/electrical-computer-engineering/phd-in-eecs/, friendlyName=Open source</x:v>
      </x:c>
    </x:row>
    <x:row r="1208" ht="46" customHeight="1">
      <x:c r="A1208" s="17" t="str">
        <x:v>stage3src:4cfd7eac389962a05ea1</x:v>
      </x:c>
      <x:c r="B1208" s="17" t="str">
        <x:v>program</x:v>
      </x:c>
      <x:c r="C1208" s="17" t="str">
        <x:v>Wichita State University</x:v>
      </x:c>
      <x:c r="D1208" s="17" t="str">
        <x:v>us:ipeds:156125:program:phd:phd-in-electrical-engineering-and-computer-science</x:v>
      </x:c>
      <x:c r="E1208" s="17" t="str"/>
      <x:c r="F1208" s="17" t="str">
        <x:v>funding|tuition|fees|conditions</x:v>
      </x:c>
      <x:c r="G1208" s="17" t="str">
        <x:v>Competitive assistantship route, stipends, tuition waiver up to 100 percent, and explicit exclusion of fees from tuition discounts.</x:v>
      </x:c>
      <x:c r="H1208" s="17" t="str">
        <x:v>Graduate Assistantships</x:v>
      </x:c>
      <x:c r="I1208" s="17" t="str">
        <x:v>Wichita State University Graduate School</x:v>
      </x:c>
      <x:c r="J1208" s="17" t="str">
        <x:v>official</x:v>
      </x:c>
      <x:c r="K1208" s="17" t="str">
        <x:v>2026-09-11</x:v>
      </x:c>
      <x:c r="L1208" s="17" t="str">
        <x:v>Current funding page checked 2026-09-11</x:v>
      </x:c>
      <x:c r="M1208" s="17" t="str">
        <x:v>high</x:v>
      </x:c>
      <x:c r="N1208" s="17" t="str">
        <x:v>official page checked</x:v>
      </x:c>
      <x:c r="O1208" s="17" t="str"/>
      <x:c r="P1208" s="18" t="e">
        <x:f>HYPERLINK("https://www.wichita.edu/academics/graduate_school/assistantships.php","Open source")</x:f>
        <x:v>HYPERLINK is not implemented. linkLocation=https://www.wichita.edu/academics/graduate_school/assistantships.php, friendlyName=Open source</x:v>
      </x:c>
    </x:row>
    <x:row r="1209" ht="46" customHeight="1">
      <x:c r="A1209" s="17" t="str">
        <x:v>stage3src:d7cc75ac7cae8a0d6918</x:v>
      </x:c>
      <x:c r="B1209" s="17" t="str">
        <x:v>program</x:v>
      </x:c>
      <x:c r="C1209" s="17" t="str">
        <x:v>Wichita State University</x:v>
      </x:c>
      <x:c r="D1209" s="17" t="str">
        <x:v>us:ipeds:156125:program:phd:phd-in-electrical-engineering-and-computer-science</x:v>
      </x:c>
      <x:c r="E1209" s="17" t="str"/>
      <x:c r="F1209" s="17" t="str">
        <x:v>admissions|international|language|deadline|fee</x:v>
      </x:c>
      <x:c r="G1209" s="17" t="str">
        <x:v>Latest international graduate checklist, Fall priority and secondary dates, escalating application fees, and English-document requirements.</x:v>
      </x:c>
      <x:c r="H1209" s="17" t="str">
        <x:v>International Graduate Application Checklist</x:v>
      </x:c>
      <x:c r="I1209" s="17" t="str">
        <x:v>Wichita State University</x:v>
      </x:c>
      <x:c r="J1209" s="17" t="str">
        <x:v>official</x:v>
      </x:c>
      <x:c r="K1209" s="17" t="str">
        <x:v>2026-09-11</x:v>
      </x:c>
      <x:c r="L1209" s="17" t="str">
        <x:v>Latest published Fall schedule checked 2026-09-11; Fall 2027 not published</x:v>
      </x:c>
      <x:c r="M1209" s="17" t="str">
        <x:v>high</x:v>
      </x:c>
      <x:c r="N1209" s="17" t="str">
        <x:v>official page checked</x:v>
      </x:c>
      <x:c r="O1209" s="17" t="str"/>
      <x:c r="P1209" s="18" t="e">
        <x:f>HYPERLINK("https://www.wichita.edu/admissions/graduate/checklist-international.php","Open source")</x:f>
        <x:v>HYPERLINK is not implemented. linkLocation=https://www.wichita.edu/admissions/graduate/checklist-international.php, friendlyName=Open source</x:v>
      </x:c>
    </x:row>
    <x:row r="1210" ht="46" customHeight="1">
      <x:c r="A1210" s="17" t="str">
        <x:v>stage3src:6a6b85a0f2cf1e0a2bbb</x:v>
      </x:c>
      <x:c r="B1210" s="17" t="str">
        <x:v>program</x:v>
      </x:c>
      <x:c r="C1210" s="17" t="str">
        <x:v>Wichita State University</x:v>
      </x:c>
      <x:c r="D1210" s="17" t="str">
        <x:v>us:ipeds:156125:program:unclear:ipeds-discovery-signal-computer-and-information-sciences-general-cip-11-0101</x:v>
      </x:c>
      <x:c r="E1210" s="17" t="str"/>
      <x:c r="F1210" s="17" t="str">
        <x:v>discovery</x:v>
      </x:c>
      <x:c r="G1210" s="17" t="str">
        <x:v>Stage 2 recorded this row as a discovery candidate; it does not independently verify an exact current research program, eligibility, or funding.</x:v>
      </x:c>
      <x:c r="H1210" s="17" t="str">
        <x:v>Pass 2 Stage 2 candidate funnel</x:v>
      </x:c>
      <x:c r="I1210" s="17" t="str">
        <x:v>Graduate audit pipeline</x:v>
      </x:c>
      <x:c r="J1210" s="17" t="str">
        <x:v>derived</x:v>
      </x:c>
      <x:c r="K1210" s="17" t="str">
        <x:v>2026-09-11</x:v>
      </x:c>
      <x:c r="L1210" s="17" t="str">
        <x:v>Not cycle-specific</x:v>
      </x:c>
      <x:c r="M1210" s="17" t="str">
        <x:v>low</x:v>
      </x:c>
      <x:c r="N1210" s="17" t="str">
        <x:v>Discovery evidence only</x:v>
      </x:c>
      <x:c r="O1210" s="17" t="str">
        <x:v>Use the source_record_paths field to trace the underlying discovery inputs.</x:v>
      </x:c>
      <x:c r="P1210" s="18" t="e">
        <x:f>HYPERLINK("https://www.wichita.edu","Open source")</x:f>
        <x:v>HYPERLINK is not implemented. linkLocation=https://www.wichita.edu, friendlyName=Open source</x:v>
      </x:c>
    </x:row>
    <x:row r="1211" ht="46" customHeight="1">
      <x:c r="A1211" s="17" t="str">
        <x:v>stage3src:a9c696c4788c761b7d17</x:v>
      </x:c>
      <x:c r="B1211" s="17" t="str">
        <x:v>program</x:v>
      </x:c>
      <x:c r="C1211" s="17" t="str">
        <x:v>Wichita State University</x:v>
      </x:c>
      <x:c r="D1211" s="17" t="str">
        <x:v>us:ipeds:156125:program:unclear:ipeds-discovery-signal-computer-and-information-sciences-other-cip-11-0199</x:v>
      </x:c>
      <x:c r="E1211" s="17" t="str"/>
      <x:c r="F1211" s="17" t="str">
        <x:v>discovery</x:v>
      </x:c>
      <x:c r="G1211" s="17" t="str">
        <x:v>Stage 2 recorded this row as a discovery candidate; it does not independently verify an exact current research program, eligibility, or funding.</x:v>
      </x:c>
      <x:c r="H1211" s="17" t="str">
        <x:v>Pass 2 Stage 2 candidate funnel</x:v>
      </x:c>
      <x:c r="I1211" s="17" t="str">
        <x:v>Graduate audit pipeline</x:v>
      </x:c>
      <x:c r="J1211" s="17" t="str">
        <x:v>derived</x:v>
      </x:c>
      <x:c r="K1211" s="17" t="str">
        <x:v>2026-09-11</x:v>
      </x:c>
      <x:c r="L1211" s="17" t="str">
        <x:v>Not cycle-specific</x:v>
      </x:c>
      <x:c r="M1211" s="17" t="str">
        <x:v>low</x:v>
      </x:c>
      <x:c r="N1211" s="17" t="str">
        <x:v>Discovery evidence only</x:v>
      </x:c>
      <x:c r="O1211" s="17" t="str">
        <x:v>Use the source_record_paths field to trace the underlying discovery inputs.</x:v>
      </x:c>
      <x:c r="P1211" s="18" t="e">
        <x:f>HYPERLINK("https://www.wichita.edu","Open source")</x:f>
        <x:v>HYPERLINK is not implemented. linkLocation=https://www.wichita.edu, friendlyName=Open source</x:v>
      </x:c>
    </x:row>
    <x:row r="1212" ht="46" customHeight="1">
      <x:c r="A1212" s="17" t="str">
        <x:v>stage3src:9e31a61a2b08d4720a09</x:v>
      </x:c>
      <x:c r="B1212" s="17" t="str">
        <x:v>program</x:v>
      </x:c>
      <x:c r="C1212" s="17" t="str">
        <x:v>Wichita State University</x:v>
      </x:c>
      <x:c r="D1212" s="17" t="str">
        <x:v>us:ipeds:156125:program:unclear:ipeds-discovery-signal-computer-science-cip-11-0701</x:v>
      </x:c>
      <x:c r="E1212" s="17" t="str"/>
      <x:c r="F1212" s="17" t="str">
        <x:v>discovery</x:v>
      </x:c>
      <x:c r="G1212" s="17" t="str">
        <x:v>Stage 2 recorded this row as a discovery candidate; it does not independently verify an exact current research program, eligibility, or funding.</x:v>
      </x:c>
      <x:c r="H1212" s="17" t="str">
        <x:v>Pass 2 Stage 2 candidate funnel</x:v>
      </x:c>
      <x:c r="I1212" s="17" t="str">
        <x:v>Graduate audit pipeline</x:v>
      </x:c>
      <x:c r="J1212" s="17" t="str">
        <x:v>derived</x:v>
      </x:c>
      <x:c r="K1212" s="17" t="str">
        <x:v>2026-09-11</x:v>
      </x:c>
      <x:c r="L1212" s="17" t="str">
        <x:v>Not cycle-specific</x:v>
      </x:c>
      <x:c r="M1212" s="17" t="str">
        <x:v>low</x:v>
      </x:c>
      <x:c r="N1212" s="17" t="str">
        <x:v>Discovery evidence only</x:v>
      </x:c>
      <x:c r="O1212" s="17" t="str">
        <x:v>Use the source_record_paths field to trace the underlying discovery inputs.</x:v>
      </x:c>
      <x:c r="P1212" s="18" t="e">
        <x:f>HYPERLINK("https://www.wichita.edu","Open source")</x:f>
        <x:v>HYPERLINK is not implemented. linkLocation=https://www.wichita.edu, friendlyName=Open source</x:v>
      </x:c>
    </x:row>
    <x:row r="1213" ht="46" customHeight="1">
      <x:c r="A1213" s="17" t="str">
        <x:v>stage3src:5481038662cee237521a</x:v>
      </x:c>
      <x:c r="B1213" s="17" t="str">
        <x:v>program</x:v>
      </x:c>
      <x:c r="C1213" s="17" t="str">
        <x:v>Wichita State University</x:v>
      </x:c>
      <x:c r="D1213" s="17" t="str">
        <x:v>us:ipeds:156125:program:unclear:ipeds-discovery-signal-computer-software-engineering-cip-14-0903</x:v>
      </x:c>
      <x:c r="E1213" s="17" t="str"/>
      <x:c r="F1213" s="17" t="str">
        <x:v>discovery</x:v>
      </x:c>
      <x:c r="G1213" s="17" t="str">
        <x:v>Stage 2 recorded this row as a discovery candidate; it does not independently verify an exact current research program, eligibility, or funding.</x:v>
      </x:c>
      <x:c r="H1213" s="17" t="str">
        <x:v>Pass 2 Stage 2 candidate funnel</x:v>
      </x:c>
      <x:c r="I1213" s="17" t="str">
        <x:v>Graduate audit pipeline</x:v>
      </x:c>
      <x:c r="J1213" s="17" t="str">
        <x:v>derived</x:v>
      </x:c>
      <x:c r="K1213" s="17" t="str">
        <x:v>2026-09-11</x:v>
      </x:c>
      <x:c r="L1213" s="17" t="str">
        <x:v>Not cycle-specific</x:v>
      </x:c>
      <x:c r="M1213" s="17" t="str">
        <x:v>low</x:v>
      </x:c>
      <x:c r="N1213" s="17" t="str">
        <x:v>Discovery evidence only</x:v>
      </x:c>
      <x:c r="O1213" s="17" t="str">
        <x:v>Use the source_record_paths field to trace the underlying discovery inputs.</x:v>
      </x:c>
      <x:c r="P1213" s="18" t="e">
        <x:f>HYPERLINK("https://www.wichita.edu","Open source")</x:f>
        <x:v>HYPERLINK is not implemented. linkLocation=https://www.wichita.edu, friendlyName=Open source</x:v>
      </x:c>
    </x:row>
    <x:row r="1214" ht="46" customHeight="1">
      <x:c r="A1214" s="17" t="str">
        <x:v>stage3src:342ed163529c3d83d519</x:v>
      </x:c>
      <x:c r="B1214" s="17" t="str">
        <x:v>program</x:v>
      </x:c>
      <x:c r="C1214" s="17" t="str">
        <x:v>Wichita State University</x:v>
      </x:c>
      <x:c r="D1214" s="17" t="str">
        <x:v>us:ipeds:156125:program:unclear:ipeds-discovery-signal-computer-systems-networking-and-telecommunications-cip-11-0901</x:v>
      </x:c>
      <x:c r="E1214" s="17" t="str"/>
      <x:c r="F1214" s="17" t="str">
        <x:v>discovery</x:v>
      </x:c>
      <x:c r="G1214" s="17" t="str">
        <x:v>Stage 2 recorded this row as a discovery candidate; it does not independently verify an exact current research program, eligibility, or funding.</x:v>
      </x:c>
      <x:c r="H1214" s="17" t="str">
        <x:v>Pass 2 Stage 2 candidate funnel</x:v>
      </x:c>
      <x:c r="I1214" s="17" t="str">
        <x:v>Graduate audit pipeline</x:v>
      </x:c>
      <x:c r="J1214" s="17" t="str">
        <x:v>derived</x:v>
      </x:c>
      <x:c r="K1214" s="17" t="str">
        <x:v>2026-09-11</x:v>
      </x:c>
      <x:c r="L1214" s="17" t="str">
        <x:v>Not cycle-specific</x:v>
      </x:c>
      <x:c r="M1214" s="17" t="str">
        <x:v>low</x:v>
      </x:c>
      <x:c r="N1214" s="17" t="str">
        <x:v>Discovery evidence only</x:v>
      </x:c>
      <x:c r="O1214" s="17" t="str">
        <x:v>Use the source_record_paths field to trace the underlying discovery inputs.</x:v>
      </x:c>
      <x:c r="P1214" s="18" t="e">
        <x:f>HYPERLINK("https://www.wichita.edu","Open source")</x:f>
        <x:v>HYPERLINK is not implemented. linkLocation=https://www.wichita.edu, friendlyName=Open source</x:v>
      </x:c>
    </x:row>
    <x:row r="1215" ht="46" customHeight="1">
      <x:c r="A1215" s="17" t="str">
        <x:v>stage3src:16321350327ea073f536</x:v>
      </x:c>
      <x:c r="B1215" s="17" t="str">
        <x:v>program</x:v>
      </x:c>
      <x:c r="C1215" s="17" t="str">
        <x:v>Wichita State University</x:v>
      </x:c>
      <x:c r="D1215" s="17" t="str">
        <x:v>us:ipeds:156125:program:unclear:ipeds-discovery-signal-data-science-general-cip-30-7001</x:v>
      </x:c>
      <x:c r="E1215" s="17" t="str"/>
      <x:c r="F1215" s="17" t="str">
        <x:v>discovery</x:v>
      </x:c>
      <x:c r="G1215" s="17" t="str">
        <x:v>Stage 2 recorded this row as a discovery candidate; it does not independently verify an exact current research program, eligibility, or funding.</x:v>
      </x:c>
      <x:c r="H1215" s="17" t="str">
        <x:v>Pass 2 Stage 2 candidate funnel</x:v>
      </x:c>
      <x:c r="I1215" s="17" t="str">
        <x:v>Graduate audit pipeline</x:v>
      </x:c>
      <x:c r="J1215" s="17" t="str">
        <x:v>derived</x:v>
      </x:c>
      <x:c r="K1215" s="17" t="str">
        <x:v>2026-09-11</x:v>
      </x:c>
      <x:c r="L1215" s="17" t="str">
        <x:v>Not cycle-specific</x:v>
      </x:c>
      <x:c r="M1215" s="17" t="str">
        <x:v>low</x:v>
      </x:c>
      <x:c r="N1215" s="17" t="str">
        <x:v>Discovery evidence only</x:v>
      </x:c>
      <x:c r="O1215" s="17" t="str">
        <x:v>Use the source_record_paths field to trace the underlying discovery inputs.</x:v>
      </x:c>
      <x:c r="P1215" s="18" t="e">
        <x:f>HYPERLINK("https://www.wichita.edu","Open source")</x:f>
        <x:v>HYPERLINK is not implemented. linkLocation=https://www.wichita.edu, friendlyName=Open source</x:v>
      </x:c>
    </x:row>
    <x:row r="1216" ht="46" customHeight="1">
      <x:c r="A1216" s="17" t="str">
        <x:v>stage3src:fb3ff24fc75fe4e2fbd3</x:v>
      </x:c>
      <x:c r="B1216" s="17" t="str">
        <x:v>program</x:v>
      </x:c>
      <x:c r="C1216" s="17" t="str">
        <x:v>Wichita State University</x:v>
      </x:c>
      <x:c r="D1216" s="17" t="str">
        <x:v>us:ipeds:156125:program:unclear:ipeds-discovery-signal-human-centered-technology-design-cip-11-0105</x:v>
      </x:c>
      <x:c r="E1216" s="17" t="str"/>
      <x:c r="F1216" s="17" t="str">
        <x:v>discovery</x:v>
      </x:c>
      <x:c r="G1216" s="17" t="str">
        <x:v>Stage 2 recorded this row as a discovery candidate; it does not independently verify an exact current research program, eligibility, or funding.</x:v>
      </x:c>
      <x:c r="H1216" s="17" t="str">
        <x:v>Pass 2 Stage 2 candidate funnel</x:v>
      </x:c>
      <x:c r="I1216" s="17" t="str">
        <x:v>Graduate audit pipeline</x:v>
      </x:c>
      <x:c r="J1216" s="17" t="str">
        <x:v>derived</x:v>
      </x:c>
      <x:c r="K1216" s="17" t="str">
        <x:v>2026-09-11</x:v>
      </x:c>
      <x:c r="L1216" s="17" t="str">
        <x:v>Not cycle-specific</x:v>
      </x:c>
      <x:c r="M1216" s="17" t="str">
        <x:v>low</x:v>
      </x:c>
      <x:c r="N1216" s="17" t="str">
        <x:v>Discovery evidence only</x:v>
      </x:c>
      <x:c r="O1216" s="17" t="str">
        <x:v>Use the source_record_paths field to trace the underlying discovery inputs.</x:v>
      </x:c>
      <x:c r="P1216" s="18" t="e">
        <x:f>HYPERLINK("https://www.wichita.edu","Open source")</x:f>
        <x:v>HYPERLINK is not implemented. linkLocation=https://www.wichita.edu, friendlyName=Open source</x:v>
      </x:c>
    </x:row>
    <x:row r="1217" ht="46" customHeight="1">
      <x:c r="A1217" s="17" t="str">
        <x:v>stage3src:2491b91f76cc85d236e0</x:v>
      </x:c>
      <x:c r="B1217" s="17" t="str">
        <x:v>program</x:v>
      </x:c>
      <x:c r="C1217" s="17" t="str">
        <x:v>Campbellsville University</x:v>
      </x:c>
      <x:c r="D1217" s="17" t="str">
        <x:v>us:ipeds:156365:program:unclear:ipeds-discovery-signal-computer-science-cip-11-0701</x:v>
      </x:c>
      <x:c r="E1217" s="17" t="str"/>
      <x:c r="F1217" s="17" t="str">
        <x:v>discovery</x:v>
      </x:c>
      <x:c r="G1217" s="17" t="str">
        <x:v>Stage 2 recorded this row as a discovery candidate; it does not independently verify an exact current research program, eligibility, or funding.</x:v>
      </x:c>
      <x:c r="H1217" s="17" t="str">
        <x:v>Pass 2 Stage 2 candidate funnel</x:v>
      </x:c>
      <x:c r="I1217" s="17" t="str">
        <x:v>Graduate audit pipeline</x:v>
      </x:c>
      <x:c r="J1217" s="17" t="str">
        <x:v>derived</x:v>
      </x:c>
      <x:c r="K1217" s="17" t="str">
        <x:v>2026-09-11</x:v>
      </x:c>
      <x:c r="L1217" s="17" t="str">
        <x:v>Not cycle-specific</x:v>
      </x:c>
      <x:c r="M1217" s="17" t="str">
        <x:v>low</x:v>
      </x:c>
      <x:c r="N1217" s="17" t="str">
        <x:v>Discovery evidence only</x:v>
      </x:c>
      <x:c r="O1217" s="17" t="str">
        <x:v>Use the source_record_paths field to trace the underlying discovery inputs.</x:v>
      </x:c>
      <x:c r="P1217" s="18" t="e">
        <x:f>HYPERLINK("https://www.campbellsville.edu","Open source")</x:f>
        <x:v>HYPERLINK is not implemented. linkLocation=https://www.campbellsville.edu, friendlyName=Open source</x:v>
      </x:c>
    </x:row>
    <x:row r="1218" ht="46" customHeight="1">
      <x:c r="A1218" s="17" t="str">
        <x:v>stage3src:7ba467d6b9f1115f05e0</x:v>
      </x:c>
      <x:c r="B1218" s="17" t="str">
        <x:v>program</x:v>
      </x:c>
      <x:c r="C1218" s="17" t="str">
        <x:v>University of the Cumberlands</x:v>
      </x:c>
      <x:c r="D1218" s="17" t="str">
        <x:v>us:ipeds:156541:program:unclear:ipeds-discovery-signal-computer-and-information-systems-security-auditing-information-assurance-cip-11-1003</x:v>
      </x:c>
      <x:c r="E1218" s="17" t="str"/>
      <x:c r="F1218" s="17" t="str">
        <x:v>discovery</x:v>
      </x:c>
      <x:c r="G1218" s="17" t="str">
        <x:v>Stage 2 recorded this row as a discovery candidate; it does not independently verify an exact current research program, eligibility, or funding.</x:v>
      </x:c>
      <x:c r="H1218" s="17" t="str">
        <x:v>Pass 2 Stage 2 candidate funnel</x:v>
      </x:c>
      <x:c r="I1218" s="17" t="str">
        <x:v>Graduate audit pipeline</x:v>
      </x:c>
      <x:c r="J1218" s="17" t="str">
        <x:v>derived</x:v>
      </x:c>
      <x:c r="K1218" s="17" t="str">
        <x:v>2026-09-11</x:v>
      </x:c>
      <x:c r="L1218" s="17" t="str">
        <x:v>Not cycle-specific</x:v>
      </x:c>
      <x:c r="M1218" s="17" t="str">
        <x:v>low</x:v>
      </x:c>
      <x:c r="N1218" s="17" t="str">
        <x:v>Discovery evidence only</x:v>
      </x:c>
      <x:c r="O1218" s="17" t="str">
        <x:v>Use the source_record_paths field to trace the underlying discovery inputs.</x:v>
      </x:c>
      <x:c r="P1218" s="18" t="e">
        <x:f>HYPERLINK("https://www.ucumberlands.edu","Open source")</x:f>
        <x:v>HYPERLINK is not implemented. linkLocation=https://www.ucumberlands.edu, friendlyName=Open source</x:v>
      </x:c>
    </x:row>
    <x:row r="1219" ht="46" customHeight="1">
      <x:c r="A1219" s="17" t="str">
        <x:v>stage3src:a6dfeffc3d215d87e31c</x:v>
      </x:c>
      <x:c r="B1219" s="17" t="str">
        <x:v>program</x:v>
      </x:c>
      <x:c r="C1219" s="17" t="str">
        <x:v>University of the Cumberlands</x:v>
      </x:c>
      <x:c r="D1219" s="17" t="str">
        <x:v>us:ipeds:156541:program:unclear:ipeds-discovery-signal-cyber-computer-forensics-and-counterterrorism-cip-43-0403</x:v>
      </x:c>
      <x:c r="E1219" s="17" t="str"/>
      <x:c r="F1219" s="17" t="str">
        <x:v>discovery</x:v>
      </x:c>
      <x:c r="G1219" s="17" t="str">
        <x:v>Stage 2 recorded this row as a discovery candidate; it does not independently verify an exact current research program, eligibility, or funding.</x:v>
      </x:c>
      <x:c r="H1219" s="17" t="str">
        <x:v>Pass 2 Stage 2 candidate funnel</x:v>
      </x:c>
      <x:c r="I1219" s="17" t="str">
        <x:v>Graduate audit pipeline</x:v>
      </x:c>
      <x:c r="J1219" s="17" t="str">
        <x:v>derived</x:v>
      </x:c>
      <x:c r="K1219" s="17" t="str">
        <x:v>2026-09-11</x:v>
      </x:c>
      <x:c r="L1219" s="17" t="str">
        <x:v>Not cycle-specific</x:v>
      </x:c>
      <x:c r="M1219" s="17" t="str">
        <x:v>low</x:v>
      </x:c>
      <x:c r="N1219" s="17" t="str">
        <x:v>Discovery evidence only</x:v>
      </x:c>
      <x:c r="O1219" s="17" t="str">
        <x:v>Use the source_record_paths field to trace the underlying discovery inputs.</x:v>
      </x:c>
      <x:c r="P1219" s="18" t="e">
        <x:f>HYPERLINK("https://www.ucumberlands.edu","Open source")</x:f>
        <x:v>HYPERLINK is not implemented. linkLocation=https://www.ucumberlands.edu, friendlyName=Open source</x:v>
      </x:c>
    </x:row>
    <x:row r="1220" ht="46" customHeight="1">
      <x:c r="A1220" s="17" t="str">
        <x:v>stage3src:c6c2f60b969af0a26beb</x:v>
      </x:c>
      <x:c r="B1220" s="17" t="str">
        <x:v>program</x:v>
      </x:c>
      <x:c r="C1220" s="17" t="str">
        <x:v>University of the Cumberlands</x:v>
      </x:c>
      <x:c r="D1220" s="17" t="str">
        <x:v>us:ipeds:156541:program:unclear:ipeds-discovery-signal-information-science-studies-cip-11-0401</x:v>
      </x:c>
      <x:c r="E1220" s="17" t="str"/>
      <x:c r="F1220" s="17" t="str">
        <x:v>discovery</x:v>
      </x:c>
      <x:c r="G1220" s="17" t="str">
        <x:v>Stage 2 recorded this row as a discovery candidate; it does not independently verify an exact current research program, eligibility, or funding.</x:v>
      </x:c>
      <x:c r="H1220" s="17" t="str">
        <x:v>Pass 2 Stage 2 candidate funnel</x:v>
      </x:c>
      <x:c r="I1220" s="17" t="str">
        <x:v>Graduate audit pipeline</x:v>
      </x:c>
      <x:c r="J1220" s="17" t="str">
        <x:v>derived</x:v>
      </x:c>
      <x:c r="K1220" s="17" t="str">
        <x:v>2026-09-11</x:v>
      </x:c>
      <x:c r="L1220" s="17" t="str">
        <x:v>Not cycle-specific</x:v>
      </x:c>
      <x:c r="M1220" s="17" t="str">
        <x:v>low</x:v>
      </x:c>
      <x:c r="N1220" s="17" t="str">
        <x:v>Discovery evidence only</x:v>
      </x:c>
      <x:c r="O1220" s="17" t="str">
        <x:v>Use the source_record_paths field to trace the underlying discovery inputs.</x:v>
      </x:c>
      <x:c r="P1220" s="18" t="e">
        <x:f>HYPERLINK("https://www.ucumberlands.edu","Open source")</x:f>
        <x:v>HYPERLINK is not implemented. linkLocation=https://www.ucumberlands.edu, friendlyName=Open source</x:v>
      </x:c>
    </x:row>
    <x:row r="1221" ht="46" customHeight="1">
      <x:c r="A1221" s="17" t="str">
        <x:v>stage3src:4be288185cf1d307e5b0</x:v>
      </x:c>
      <x:c r="B1221" s="17" t="str">
        <x:v>program</x:v>
      </x:c>
      <x:c r="C1221" s="17" t="str">
        <x:v>University of the Cumberlands</x:v>
      </x:c>
      <x:c r="D1221" s="17" t="str">
        <x:v>us:ipeds:156541:program:unclear:ipeds-discovery-signal-information-technology-cip-11-0103</x:v>
      </x:c>
      <x:c r="E1221" s="17" t="str"/>
      <x:c r="F1221" s="17" t="str">
        <x:v>discovery</x:v>
      </x:c>
      <x:c r="G1221" s="17" t="str">
        <x:v>Stage 2 recorded this row as a discovery candidate; it does not independently verify an exact current research program, eligibility, or funding.</x:v>
      </x:c>
      <x:c r="H1221" s="17" t="str">
        <x:v>Pass 2 Stage 2 candidate funnel</x:v>
      </x:c>
      <x:c r="I1221" s="17" t="str">
        <x:v>Graduate audit pipeline</x:v>
      </x:c>
      <x:c r="J1221" s="17" t="str">
        <x:v>derived</x:v>
      </x:c>
      <x:c r="K1221" s="17" t="str">
        <x:v>2026-09-11</x:v>
      </x:c>
      <x:c r="L1221" s="17" t="str">
        <x:v>Not cycle-specific</x:v>
      </x:c>
      <x:c r="M1221" s="17" t="str">
        <x:v>low</x:v>
      </x:c>
      <x:c r="N1221" s="17" t="str">
        <x:v>Discovery evidence only</x:v>
      </x:c>
      <x:c r="O1221" s="17" t="str">
        <x:v>Use the source_record_paths field to trace the underlying discovery inputs.</x:v>
      </x:c>
      <x:c r="P1221" s="18" t="e">
        <x:f>HYPERLINK("https://www.ucumberlands.edu","Open source")</x:f>
        <x:v>HYPERLINK is not implemented. linkLocation=https://www.ucumberlands.edu, friendlyName=Open source</x:v>
      </x:c>
    </x:row>
    <x:row r="1222" ht="46" customHeight="1">
      <x:c r="A1222" s="17" t="str">
        <x:v>stage3src:fc71d2e682302ae9b97d</x:v>
      </x:c>
      <x:c r="B1222" s="17" t="str">
        <x:v>program</x:v>
      </x:c>
      <x:c r="C1222" s="17" t="str">
        <x:v>Eastern Kentucky University</x:v>
      </x:c>
      <x:c r="D1222" s="17" t="str">
        <x:v>us:ipeds:156620:program:unclear:ipeds-discovery-signal-computer-and-information-sciences-general-cip-11-0101</x:v>
      </x:c>
      <x:c r="E1222" s="17" t="str"/>
      <x:c r="F1222" s="17" t="str">
        <x:v>discovery</x:v>
      </x:c>
      <x:c r="G1222" s="17" t="str">
        <x:v>Stage 2 recorded this row as a discovery candidate; it does not independently verify an exact current research program, eligibility, or funding.</x:v>
      </x:c>
      <x:c r="H1222" s="17" t="str">
        <x:v>Pass 2 Stage 2 candidate funnel</x:v>
      </x:c>
      <x:c r="I1222" s="17" t="str">
        <x:v>Graduate audit pipeline</x:v>
      </x:c>
      <x:c r="J1222" s="17" t="str">
        <x:v>derived</x:v>
      </x:c>
      <x:c r="K1222" s="17" t="str">
        <x:v>2026-09-11</x:v>
      </x:c>
      <x:c r="L1222" s="17" t="str">
        <x:v>Not cycle-specific</x:v>
      </x:c>
      <x:c r="M1222" s="17" t="str">
        <x:v>low</x:v>
      </x:c>
      <x:c r="N1222" s="17" t="str">
        <x:v>Discovery evidence only</x:v>
      </x:c>
      <x:c r="O1222" s="17" t="str">
        <x:v>Use the source_record_paths field to trace the underlying discovery inputs.</x:v>
      </x:c>
      <x:c r="P1222" s="18" t="e">
        <x:f>HYPERLINK("https://www.eku.edu","Open source")</x:f>
        <x:v>HYPERLINK is not implemented. linkLocation=https://www.eku.edu, friendlyName=Open source</x:v>
      </x:c>
    </x:row>
    <x:row r="1223" ht="46" customHeight="1">
      <x:c r="A1223" s="17" t="str">
        <x:v>stage3src:7c5fb2dbddbaa3053adc</x:v>
      </x:c>
      <x:c r="B1223" s="17" t="str">
        <x:v>program</x:v>
      </x:c>
      <x:c r="C1223" s="17" t="str">
        <x:v>American National University-Pikeville</x:v>
      </x:c>
      <x:c r="D1223" s="17" t="str">
        <x:v>us:ipeds:157021:program:unclear:ipeds-discovery-signal-computer-and-information-sciences-general-cip-11-0101</x:v>
      </x:c>
      <x:c r="E1223" s="17" t="str"/>
      <x:c r="F1223" s="17" t="str">
        <x:v>discovery</x:v>
      </x:c>
      <x:c r="G1223" s="17" t="str">
        <x:v>Stage 2 recorded this row as a discovery candidate; it does not independently verify an exact current research program, eligibility, or funding.</x:v>
      </x:c>
      <x:c r="H1223" s="17" t="str">
        <x:v>Pass 2 Stage 2 candidate funnel</x:v>
      </x:c>
      <x:c r="I1223" s="17" t="str">
        <x:v>Graduate audit pipeline</x:v>
      </x:c>
      <x:c r="J1223" s="17" t="str">
        <x:v>derived</x:v>
      </x:c>
      <x:c r="K1223" s="17" t="str">
        <x:v>2026-09-11</x:v>
      </x:c>
      <x:c r="L1223" s="17" t="str">
        <x:v>Not cycle-specific</x:v>
      </x:c>
      <x:c r="M1223" s="17" t="str">
        <x:v>low</x:v>
      </x:c>
      <x:c r="N1223" s="17" t="str">
        <x:v>Discovery evidence only</x:v>
      </x:c>
      <x:c r="O1223" s="17" t="str">
        <x:v>Use the source_record_paths field to trace the underlying discovery inputs.</x:v>
      </x:c>
      <x:c r="P1223" s="18" t="e">
        <x:f>HYPERLINK("https://www.an.edu/locations","Open source")</x:f>
        <x:v>HYPERLINK is not implemented. linkLocation=https://www.an.edu/locations, friendlyName=Open source</x:v>
      </x:c>
    </x:row>
    <x:row r="1224" ht="46" customHeight="1">
      <x:c r="A1224" s="17" t="str">
        <x:v>stage3src:321d402d52fd50077d3f</x:v>
      </x:c>
      <x:c r="B1224" s="17" t="str">
        <x:v>program</x:v>
      </x:c>
      <x:c r="C1224" s="17" t="str">
        <x:v>American National University-Pikeville</x:v>
      </x:c>
      <x:c r="D1224" s="17" t="str">
        <x:v>us:ipeds:157021:program:unclear:ipeds-discovery-signal-computer-and-information-systems-security-auditing-information-assurance-cip-11-1003</x:v>
      </x:c>
      <x:c r="E1224" s="17" t="str"/>
      <x:c r="F1224" s="17" t="str">
        <x:v>discovery</x:v>
      </x:c>
      <x:c r="G1224" s="17" t="str">
        <x:v>Stage 2 recorded this row as a discovery candidate; it does not independently verify an exact current research program, eligibility, or funding.</x:v>
      </x:c>
      <x:c r="H1224" s="17" t="str">
        <x:v>Pass 2 Stage 2 candidate funnel</x:v>
      </x:c>
      <x:c r="I1224" s="17" t="str">
        <x:v>Graduate audit pipeline</x:v>
      </x:c>
      <x:c r="J1224" s="17" t="str">
        <x:v>derived</x:v>
      </x:c>
      <x:c r="K1224" s="17" t="str">
        <x:v>2026-09-11</x:v>
      </x:c>
      <x:c r="L1224" s="17" t="str">
        <x:v>Not cycle-specific</x:v>
      </x:c>
      <x:c r="M1224" s="17" t="str">
        <x:v>low</x:v>
      </x:c>
      <x:c r="N1224" s="17" t="str">
        <x:v>Discovery evidence only</x:v>
      </x:c>
      <x:c r="O1224" s="17" t="str">
        <x:v>Use the source_record_paths field to trace the underlying discovery inputs.</x:v>
      </x:c>
      <x:c r="P1224" s="18" t="e">
        <x:f>HYPERLINK("https://www.an.edu/locations","Open source")</x:f>
        <x:v>HYPERLINK is not implemented. linkLocation=https://www.an.edu/locations, friendlyName=Open source</x:v>
      </x:c>
    </x:row>
    <x:row r="1225" ht="46" customHeight="1">
      <x:c r="A1225" s="17" t="str">
        <x:v>stage3src:abbe46937e1c30162809</x:v>
      </x:c>
      <x:c r="B1225" s="17" t="str">
        <x:v>program</x:v>
      </x:c>
      <x:c r="C1225" s="17" t="str">
        <x:v>American National University-Pikeville</x:v>
      </x:c>
      <x:c r="D1225" s="17" t="str">
        <x:v>us:ipeds:157021:program:unclear:ipeds-discovery-signal-computer-engineering-general-cip-14-0901</x:v>
      </x:c>
      <x:c r="E1225" s="17" t="str"/>
      <x:c r="F1225" s="17" t="str">
        <x:v>discovery</x:v>
      </x:c>
      <x:c r="G1225" s="17" t="str">
        <x:v>Stage 2 recorded this row as a discovery candidate; it does not independently verify an exact current research program, eligibility, or funding.</x:v>
      </x:c>
      <x:c r="H1225" s="17" t="str">
        <x:v>Pass 2 Stage 2 candidate funnel</x:v>
      </x:c>
      <x:c r="I1225" s="17" t="str">
        <x:v>Graduate audit pipeline</x:v>
      </x:c>
      <x:c r="J1225" s="17" t="str">
        <x:v>derived</x:v>
      </x:c>
      <x:c r="K1225" s="17" t="str">
        <x:v>2026-09-11</x:v>
      </x:c>
      <x:c r="L1225" s="17" t="str">
        <x:v>Not cycle-specific</x:v>
      </x:c>
      <x:c r="M1225" s="17" t="str">
        <x:v>low</x:v>
      </x:c>
      <x:c r="N1225" s="17" t="str">
        <x:v>Discovery evidence only</x:v>
      </x:c>
      <x:c r="O1225" s="17" t="str">
        <x:v>Use the source_record_paths field to trace the underlying discovery inputs.</x:v>
      </x:c>
      <x:c r="P1225" s="18" t="e">
        <x:f>HYPERLINK("https://www.an.edu/locations","Open source")</x:f>
        <x:v>HYPERLINK is not implemented. linkLocation=https://www.an.edu/locations, friendlyName=Open source</x:v>
      </x:c>
    </x:row>
    <x:row r="1226" ht="46" customHeight="1">
      <x:c r="A1226" s="17" t="str">
        <x:v>stage3src:49023bad1485278effdf</x:v>
      </x:c>
      <x:c r="B1226" s="17" t="str">
        <x:v>program</x:v>
      </x:c>
      <x:c r="C1226" s="17" t="str">
        <x:v>American National University-Pikeville</x:v>
      </x:c>
      <x:c r="D1226" s="17" t="str">
        <x:v>us:ipeds:157021:program:unclear:ipeds-discovery-signal-computer-software-engineering-cip-14-0903</x:v>
      </x:c>
      <x:c r="E1226" s="17" t="str"/>
      <x:c r="F1226" s="17" t="str">
        <x:v>discovery</x:v>
      </x:c>
      <x:c r="G1226" s="17" t="str">
        <x:v>Stage 2 recorded this row as a discovery candidate; it does not independently verify an exact current research program, eligibility, or funding.</x:v>
      </x:c>
      <x:c r="H1226" s="17" t="str">
        <x:v>Pass 2 Stage 2 candidate funnel</x:v>
      </x:c>
      <x:c r="I1226" s="17" t="str">
        <x:v>Graduate audit pipeline</x:v>
      </x:c>
      <x:c r="J1226" s="17" t="str">
        <x:v>derived</x:v>
      </x:c>
      <x:c r="K1226" s="17" t="str">
        <x:v>2026-09-11</x:v>
      </x:c>
      <x:c r="L1226" s="17" t="str">
        <x:v>Not cycle-specific</x:v>
      </x:c>
      <x:c r="M1226" s="17" t="str">
        <x:v>low</x:v>
      </x:c>
      <x:c r="N1226" s="17" t="str">
        <x:v>Discovery evidence only</x:v>
      </x:c>
      <x:c r="O1226" s="17" t="str">
        <x:v>Use the source_record_paths field to trace the underlying discovery inputs.</x:v>
      </x:c>
      <x:c r="P1226" s="18" t="e">
        <x:f>HYPERLINK("https://www.an.edu/locations","Open source")</x:f>
        <x:v>HYPERLINK is not implemented. linkLocation=https://www.an.edu/locations, friendlyName=Open source</x:v>
      </x:c>
    </x:row>
    <x:row r="1227" ht="46" customHeight="1">
      <x:c r="A1227" s="17" t="str">
        <x:v>stage3src:9dda04b3b5ecef2e91a0</x:v>
      </x:c>
      <x:c r="B1227" s="17" t="str">
        <x:v>program</x:v>
      </x:c>
      <x:c r="C1227" s="17" t="str">
        <x:v>American National University-Pikeville</x:v>
      </x:c>
      <x:c r="D1227" s="17" t="str">
        <x:v>us:ipeds:157021:program:unclear:ipeds-discovery-signal-information-technology-cip-11-0103</x:v>
      </x:c>
      <x:c r="E1227" s="17" t="str"/>
      <x:c r="F1227" s="17" t="str">
        <x:v>discovery</x:v>
      </x:c>
      <x:c r="G1227" s="17" t="str">
        <x:v>Stage 2 recorded this row as a discovery candidate; it does not independently verify an exact current research program, eligibility, or funding.</x:v>
      </x:c>
      <x:c r="H1227" s="17" t="str">
        <x:v>Pass 2 Stage 2 candidate funnel</x:v>
      </x:c>
      <x:c r="I1227" s="17" t="str">
        <x:v>Graduate audit pipeline</x:v>
      </x:c>
      <x:c r="J1227" s="17" t="str">
        <x:v>derived</x:v>
      </x:c>
      <x:c r="K1227" s="17" t="str">
        <x:v>2026-09-11</x:v>
      </x:c>
      <x:c r="L1227" s="17" t="str">
        <x:v>Not cycle-specific</x:v>
      </x:c>
      <x:c r="M1227" s="17" t="str">
        <x:v>low</x:v>
      </x:c>
      <x:c r="N1227" s="17" t="str">
        <x:v>Discovery evidence only</x:v>
      </x:c>
      <x:c r="O1227" s="17" t="str">
        <x:v>Use the source_record_paths field to trace the underlying discovery inputs.</x:v>
      </x:c>
      <x:c r="P1227" s="18" t="e">
        <x:f>HYPERLINK("https://www.an.edu/locations","Open source")</x:f>
        <x:v>HYPERLINK is not implemented. linkLocation=https://www.an.edu/locations, friendlyName=Open source</x:v>
      </x:c>
    </x:row>
    <x:row r="1228" ht="46" customHeight="1">
      <x:c r="A1228" s="17" t="str">
        <x:v>stage3src:a4e96e2d87531ad3b560</x:v>
      </x:c>
      <x:c r="B1228" s="17" t="str">
        <x:v>program</x:v>
      </x:c>
      <x:c r="C1228" s="17" t="str">
        <x:v>Kentucky State University</x:v>
      </x:c>
      <x:c r="D1228" s="17" t="str">
        <x:v>us:ipeds:157058:program:unclear:ipeds-discovery-signal-computer-and-information-sciences-general-cip-11-0101</x:v>
      </x:c>
      <x:c r="E1228" s="17" t="str"/>
      <x:c r="F1228" s="17" t="str">
        <x:v>discovery</x:v>
      </x:c>
      <x:c r="G1228" s="17" t="str">
        <x:v>Stage 2 recorded this row as a discovery candidate; it does not independently verify an exact current research program, eligibility, or funding.</x:v>
      </x:c>
      <x:c r="H1228" s="17" t="str">
        <x:v>Pass 2 Stage 2 candidate funnel</x:v>
      </x:c>
      <x:c r="I1228" s="17" t="str">
        <x:v>Graduate audit pipeline</x:v>
      </x:c>
      <x:c r="J1228" s="17" t="str">
        <x:v>derived</x:v>
      </x:c>
      <x:c r="K1228" s="17" t="str">
        <x:v>2026-09-11</x:v>
      </x:c>
      <x:c r="L1228" s="17" t="str">
        <x:v>Not cycle-specific</x:v>
      </x:c>
      <x:c r="M1228" s="17" t="str">
        <x:v>low</x:v>
      </x:c>
      <x:c r="N1228" s="17" t="str">
        <x:v>Discovery evidence only</x:v>
      </x:c>
      <x:c r="O1228" s="17" t="str">
        <x:v>Use the source_record_paths field to trace the underlying discovery inputs.</x:v>
      </x:c>
      <x:c r="P1228" s="18" t="e">
        <x:f>HYPERLINK("https://www.kysu.edu","Open source")</x:f>
        <x:v>HYPERLINK is not implemented. linkLocation=https://www.kysu.edu, friendlyName=Open source</x:v>
      </x:c>
    </x:row>
    <x:row r="1229" ht="46" customHeight="1">
      <x:c r="A1229" s="17" t="str">
        <x:v>stage3src:5d7cfee15aaf2c885642</x:v>
      </x:c>
      <x:c r="B1229" s="17" t="str">
        <x:v>program</x:v>
      </x:c>
      <x:c r="C1229" s="17" t="str">
        <x:v>University of Kentucky</x:v>
      </x:c>
      <x:c r="D1229" s="17" t="str">
        <x:v>us:ipeds:157085:program:phd:doctoral-degree-in-computer-science</x:v>
      </x:c>
      <x:c r="E1229" s="17" t="str"/>
      <x:c r="F1229" s="17" t="str">
        <x:v>program</x:v>
      </x:c>
      <x:c r="G1229" s="17" t="str">
        <x:v>Current doctoral Computer Science research route.</x:v>
      </x:c>
      <x:c r="H1229" s="17" t="str">
        <x:v>Computer Science Doctoral Program</x:v>
      </x:c>
      <x:c r="I1229" s="17" t="str">
        <x:v>University of Kentucky</x:v>
      </x:c>
      <x:c r="J1229" s="17" t="str">
        <x:v>official</x:v>
      </x:c>
      <x:c r="K1229" s="17" t="str">
        <x:v>2026-09-10</x:v>
      </x:c>
      <x:c r="L1229" s="17" t="str">
        <x:v>Current page checked 2026-09-10</x:v>
      </x:c>
      <x:c r="M1229" s="17" t="str">
        <x:v>high</x:v>
      </x:c>
      <x:c r="N1229" s="17" t="str">
        <x:v>official page checked</x:v>
      </x:c>
      <x:c r="O1229" s="17" t="str"/>
      <x:c r="P1229" s="18" t="e">
        <x:f>HYPERLINK("https://academics.uky.edu/programs/doctoral/computer-science","Open source")</x:f>
        <x:v>HYPERLINK is not implemented. linkLocation=https://academics.uky.edu/programs/doctoral/computer-science, friendlyName=Open source</x:v>
      </x:c>
    </x:row>
    <x:row r="1230" ht="46" customHeight="1">
      <x:c r="A1230" s="17" t="str">
        <x:v>stage3src:6f79c7c7ec7dc4f655d4</x:v>
      </x:c>
      <x:c r="B1230" s="17" t="str">
        <x:v>program</x:v>
      </x:c>
      <x:c r="C1230" s="17" t="str">
        <x:v>University of Kentucky</x:v>
      </x:c>
      <x:c r="D1230" s="17" t="str">
        <x:v>us:ipeds:157085:program:phd:doctoral-degree-in-computer-science</x:v>
      </x:c>
      <x:c r="E1230" s="17" t="str"/>
      <x:c r="F1230" s="17" t="str">
        <x:v>admissions|deadline</x:v>
      </x:c>
      <x:c r="G1230" s="17" t="str">
        <x:v>Explicit Computer Science doctoral Fall 2027 domestic and international deadlines.</x:v>
      </x:c>
      <x:c r="H1230" s="17" t="str">
        <x:v>Application Deadline Portal</x:v>
      </x:c>
      <x:c r="I1230" s="17" t="str">
        <x:v>University of Kentucky Graduate School</x:v>
      </x:c>
      <x:c r="J1230" s="17" t="str">
        <x:v>official</x:v>
      </x:c>
      <x:c r="K1230" s="17" t="str">
        <x:v>2026-09-10</x:v>
      </x:c>
      <x:c r="L1230" s="17" t="str">
        <x:v>Fall 2027</x:v>
      </x:c>
      <x:c r="M1230" s="17" t="str">
        <x:v>high</x:v>
      </x:c>
      <x:c r="N1230" s="17" t="str">
        <x:v>official page checked</x:v>
      </x:c>
      <x:c r="O1230" s="17" t="str"/>
      <x:c r="P1230" s="18" t="e">
        <x:f>HYPERLINK("https://apply.gradschool.uky.edu/portal/application_deadlines","Open source")</x:f>
        <x:v>HYPERLINK is not implemented. linkLocation=https://apply.gradschool.uky.edu/portal/application_deadlines, friendlyName=Open source</x:v>
      </x:c>
    </x:row>
    <x:row r="1231" ht="46" customHeight="1">
      <x:c r="A1231" s="17" t="str">
        <x:v>stage3src:ab09639d58eb42d1b745</x:v>
      </x:c>
      <x:c r="B1231" s="17" t="str">
        <x:v>program</x:v>
      </x:c>
      <x:c r="C1231" s="17" t="str">
        <x:v>University of Kentucky</x:v>
      </x:c>
      <x:c r="D1231" s="17" t="str">
        <x:v>us:ipeds:157085:program:phd:doctoral-degree-in-computer-science</x:v>
      </x:c>
      <x:c r="E1231" s="17" t="str"/>
      <x:c r="F1231" s="17" t="str">
        <x:v>funding|fees</x:v>
      </x:c>
      <x:c r="G1231" s="17" t="str">
        <x:v>Nearly all CS PhD students are described as fully funded through TA or RA support.</x:v>
      </x:c>
      <x:c r="H1231" s="17" t="str">
        <x:v>Graduate Studies in Computer Science</x:v>
      </x:c>
      <x:c r="I1231" s="17" t="str">
        <x:v>University of Kentucky Department of Computer Science</x:v>
      </x:c>
      <x:c r="J1231" s="17" t="str">
        <x:v>official</x:v>
      </x:c>
      <x:c r="K1231" s="17" t="str">
        <x:v>2026-09-10</x:v>
      </x:c>
      <x:c r="L1231" s="17" t="str">
        <x:v>Current page checked 2026-09-10</x:v>
      </x:c>
      <x:c r="M1231" s="17" t="str">
        <x:v>high</x:v>
      </x:c>
      <x:c r="N1231" s="17" t="str">
        <x:v>official page checked</x:v>
      </x:c>
      <x:c r="O1231" s="17" t="str"/>
      <x:c r="P1231" s="18" t="e">
        <x:f>HYPERLINK("https://cs.engr.uky.edu/academics-1/graduate-studies/computer-science","Open source")</x:f>
        <x:v>HYPERLINK is not implemented. linkLocation=https://cs.engr.uky.edu/academics-1/graduate-studies/computer-science, friendlyName=Open source</x:v>
      </x:c>
    </x:row>
    <x:row r="1232" ht="46" customHeight="1">
      <x:c r="A1232" s="17" t="str">
        <x:v>stage3src:f3a9ad0de37e4e904767</x:v>
      </x:c>
      <x:c r="B1232" s="17" t="str">
        <x:v>program</x:v>
      </x:c>
      <x:c r="C1232" s="17" t="str">
        <x:v>University of Kentucky</x:v>
      </x:c>
      <x:c r="D1232" s="17" t="str">
        <x:v>us:ipeds:157085:program:phd:doctoral-degree-in-computer-science</x:v>
      </x:c>
      <x:c r="E1232" s="17" t="str"/>
      <x:c r="F1232" s="17" t="str">
        <x:v>admissions|eligibility|language|fees</x:v>
      </x:c>
      <x:c r="G1232" s="17" t="str">
        <x:v>3.0 GPA, CS preparation, and program-specific application fee-waiver rules.</x:v>
      </x:c>
      <x:c r="H1232" s="17" t="str">
        <x:v>Computer Science Admissions</x:v>
      </x:c>
      <x:c r="I1232" s="17" t="str">
        <x:v>University of Kentucky Department of Computer Science</x:v>
      </x:c>
      <x:c r="J1232" s="17" t="str">
        <x:v>official</x:v>
      </x:c>
      <x:c r="K1232" s="17" t="str">
        <x:v>2026-09-10</x:v>
      </x:c>
      <x:c r="L1232" s="17" t="str">
        <x:v>Current page checked 2026-09-10</x:v>
      </x:c>
      <x:c r="M1232" s="17" t="str">
        <x:v>high</x:v>
      </x:c>
      <x:c r="N1232" s="17" t="str">
        <x:v>official page checked</x:v>
      </x:c>
      <x:c r="O1232" s="17" t="str"/>
      <x:c r="P1232" s="18" t="e">
        <x:f>HYPERLINK("https://cs.engr.uky.edu/students-1/graduate-studies/computer-science/admissions","Open source")</x:f>
        <x:v>HYPERLINK is not implemented. linkLocation=https://cs.engr.uky.edu/students-1/graduate-studies/computer-science/admissions, friendlyName=Open source</x:v>
      </x:c>
    </x:row>
    <x:row r="1233" ht="46" customHeight="1">
      <x:c r="A1233" s="17" t="str">
        <x:v>stage3src:3a6c041bd29d371485e3</x:v>
      </x:c>
      <x:c r="B1233" s="17" t="str">
        <x:v>program</x:v>
      </x:c>
      <x:c r="C1233" s="17" t="str">
        <x:v>University of Kentucky</x:v>
      </x:c>
      <x:c r="D1233" s="17" t="str">
        <x:v>us:ipeds:157085:program:unclear:ipeds-discovery-signal-computer-and-information-sciences-general-cip-11-0101</x:v>
      </x:c>
      <x:c r="E1233" s="17" t="str"/>
      <x:c r="F1233" s="17" t="str">
        <x:v>discovery</x:v>
      </x:c>
      <x:c r="G1233" s="17" t="str">
        <x:v>Stage 2 recorded this row as a discovery candidate; it does not independently verify an exact current research program, eligibility, or funding.</x:v>
      </x:c>
      <x:c r="H1233" s="17" t="str">
        <x:v>Pass 2 Stage 2 candidate funnel</x:v>
      </x:c>
      <x:c r="I1233" s="17" t="str">
        <x:v>Graduate audit pipeline</x:v>
      </x:c>
      <x:c r="J1233" s="17" t="str">
        <x:v>derived</x:v>
      </x:c>
      <x:c r="K1233" s="17" t="str">
        <x:v>2026-09-11</x:v>
      </x:c>
      <x:c r="L1233" s="17" t="str">
        <x:v>Not cycle-specific</x:v>
      </x:c>
      <x:c r="M1233" s="17" t="str">
        <x:v>low</x:v>
      </x:c>
      <x:c r="N1233" s="17" t="str">
        <x:v>Discovery evidence only</x:v>
      </x:c>
      <x:c r="O1233" s="17" t="str">
        <x:v>Use the source_record_paths field to trace the underlying discovery inputs.</x:v>
      </x:c>
      <x:c r="P1233" s="18" t="e">
        <x:f>HYPERLINK("https://www.uky.edu","Open source")</x:f>
        <x:v>HYPERLINK is not implemented. linkLocation=https://www.uky.edu, friendlyName=Open source</x:v>
      </x:c>
    </x:row>
    <x:row r="1234" ht="46" customHeight="1">
      <x:c r="A1234" s="17" t="str">
        <x:v>stage3src:7f21c75eff69b2a7bba6</x:v>
      </x:c>
      <x:c r="B1234" s="17" t="str">
        <x:v>program</x:v>
      </x:c>
      <x:c r="C1234" s="17" t="str">
        <x:v>University of Kentucky</x:v>
      </x:c>
      <x:c r="D1234" s="17" t="str">
        <x:v>us:ipeds:157085:program:unclear:ipeds-discovery-signal-computer-engineering-general-cip-14-0901</x:v>
      </x:c>
      <x:c r="E1234" s="17" t="str"/>
      <x:c r="F1234" s="17" t="str">
        <x:v>discovery</x:v>
      </x:c>
      <x:c r="G1234" s="17" t="str">
        <x:v>Stage 2 recorded this row as a discovery candidate; it does not independently verify an exact current research program, eligibility, or funding.</x:v>
      </x:c>
      <x:c r="H1234" s="17" t="str">
        <x:v>Pass 2 Stage 2 candidate funnel</x:v>
      </x:c>
      <x:c r="I1234" s="17" t="str">
        <x:v>Graduate audit pipeline</x:v>
      </x:c>
      <x:c r="J1234" s="17" t="str">
        <x:v>derived</x:v>
      </x:c>
      <x:c r="K1234" s="17" t="str">
        <x:v>2026-09-11</x:v>
      </x:c>
      <x:c r="L1234" s="17" t="str">
        <x:v>Not cycle-specific</x:v>
      </x:c>
      <x:c r="M1234" s="17" t="str">
        <x:v>low</x:v>
      </x:c>
      <x:c r="N1234" s="17" t="str">
        <x:v>Discovery evidence only</x:v>
      </x:c>
      <x:c r="O1234" s="17" t="str">
        <x:v>Use the source_record_paths field to trace the underlying discovery inputs.</x:v>
      </x:c>
      <x:c r="P1234" s="18" t="e">
        <x:f>HYPERLINK("https://www.uky.edu","Open source")</x:f>
        <x:v>HYPERLINK is not implemented. linkLocation=https://www.uky.edu, friendlyName=Open source</x:v>
      </x:c>
    </x:row>
    <x:row r="1235" ht="46" customHeight="1">
      <x:c r="A1235" s="17" t="str">
        <x:v>stage3src:edc916b1030c4d726196</x:v>
      </x:c>
      <x:c r="B1235" s="17" t="str">
        <x:v>program</x:v>
      </x:c>
      <x:c r="C1235" s="17" t="str">
        <x:v>University of Kentucky</x:v>
      </x:c>
      <x:c r="D1235" s="17" t="str">
        <x:v>us:ipeds:157085:program:unclear:ipeds-discovery-signal-data-science-general-cip-30-7001</x:v>
      </x:c>
      <x:c r="E1235" s="17" t="str"/>
      <x:c r="F1235" s="17" t="str">
        <x:v>discovery</x:v>
      </x:c>
      <x:c r="G1235" s="17" t="str">
        <x:v>Stage 2 recorded this row as a discovery candidate; it does not independently verify an exact current research program, eligibility, or funding.</x:v>
      </x:c>
      <x:c r="H1235" s="17" t="str">
        <x:v>Pass 2 Stage 2 candidate funnel</x:v>
      </x:c>
      <x:c r="I1235" s="17" t="str">
        <x:v>Graduate audit pipeline</x:v>
      </x:c>
      <x:c r="J1235" s="17" t="str">
        <x:v>derived</x:v>
      </x:c>
      <x:c r="K1235" s="17" t="str">
        <x:v>2026-09-11</x:v>
      </x:c>
      <x:c r="L1235" s="17" t="str">
        <x:v>Not cycle-specific</x:v>
      </x:c>
      <x:c r="M1235" s="17" t="str">
        <x:v>low</x:v>
      </x:c>
      <x:c r="N1235" s="17" t="str">
        <x:v>Discovery evidence only</x:v>
      </x:c>
      <x:c r="O1235" s="17" t="str">
        <x:v>Use the source_record_paths field to trace the underlying discovery inputs.</x:v>
      </x:c>
      <x:c r="P1235" s="18" t="e">
        <x:f>HYPERLINK("https://www.uky.edu","Open source")</x:f>
        <x:v>HYPERLINK is not implemented. linkLocation=https://www.uky.edu, friendlyName=Open source</x:v>
      </x:c>
    </x:row>
    <x:row r="1236" ht="46" customHeight="1">
      <x:c r="A1236" s="17" t="str">
        <x:v>stage3src:805a8ca6e524dd1a310a</x:v>
      </x:c>
      <x:c r="B1236" s="17" t="str">
        <x:v>program</x:v>
      </x:c>
      <x:c r="C1236" s="17" t="str">
        <x:v>University of Kentucky</x:v>
      </x:c>
      <x:c r="D1236" s="17" t="str">
        <x:v>us:ipeds:157085:program:unclear:ipeds-discovery-signal-electrical-and-electronics-engineering-cip-14-1001</x:v>
      </x:c>
      <x:c r="E1236" s="17" t="str"/>
      <x:c r="F1236" s="17" t="str">
        <x:v>discovery</x:v>
      </x:c>
      <x:c r="G1236" s="17" t="str">
        <x:v>Stage 2 recorded this row as a discovery candidate; it does not independently verify an exact current research program, eligibility, or funding.</x:v>
      </x:c>
      <x:c r="H1236" s="17" t="str">
        <x:v>Pass 2 Stage 2 candidate funnel</x:v>
      </x:c>
      <x:c r="I1236" s="17" t="str">
        <x:v>Graduate audit pipeline</x:v>
      </x:c>
      <x:c r="J1236" s="17" t="str">
        <x:v>derived</x:v>
      </x:c>
      <x:c r="K1236" s="17" t="str">
        <x:v>2026-09-11</x:v>
      </x:c>
      <x:c r="L1236" s="17" t="str">
        <x:v>Not cycle-specific</x:v>
      </x:c>
      <x:c r="M1236" s="17" t="str">
        <x:v>low</x:v>
      </x:c>
      <x:c r="N1236" s="17" t="str">
        <x:v>Discovery evidence only</x:v>
      </x:c>
      <x:c r="O1236" s="17" t="str">
        <x:v>Use the source_record_paths field to trace the underlying discovery inputs.</x:v>
      </x:c>
      <x:c r="P1236" s="18" t="e">
        <x:f>HYPERLINK("https://www.uky.edu","Open source")</x:f>
        <x:v>HYPERLINK is not implemented. linkLocation=https://www.uky.edu, friendlyName=Open source</x:v>
      </x:c>
    </x:row>
    <x:row r="1237" ht="46" customHeight="1">
      <x:c r="A1237" s="17" t="str">
        <x:v>stage3src:0cea1042d3afae4f2928</x:v>
      </x:c>
      <x:c r="B1237" s="17" t="str">
        <x:v>program</x:v>
      </x:c>
      <x:c r="C1237" s="17" t="str">
        <x:v>University of Louisville</x:v>
      </x:c>
      <x:c r="D1237" s="17" t="str">
        <x:v>us:ipeds:157289:program:phd:doctor-of-philosophy-in-computer-science-and-engineering</x:v>
      </x:c>
      <x:c r="E1237" s="17" t="str"/>
      <x:c r="F1237" s="17" t="str">
        <x:v>program|research|eligibility|admissions|language</x:v>
      </x:c>
      <x:c r="G1237" s="17" t="str">
        <x:v>Current Computer Science and Engineering PhD, bachelor's entry, GPA, preparation, GRE, English minima, and dissertation structure.</x:v>
      </x:c>
      <x:c r="H1237" s="17" t="str">
        <x:v>Computer Science and Engineering, PhD</x:v>
      </x:c>
      <x:c r="I1237" s="17" t="str">
        <x:v>University of Louisville Graduate Catalog</x:v>
      </x:c>
      <x:c r="J1237" s="17" t="str">
        <x:v>official</x:v>
      </x:c>
      <x:c r="K1237" s="17" t="str">
        <x:v>2026-09-11</x:v>
      </x:c>
      <x:c r="L1237" s="17" t="str">
        <x:v>Current catalog checked 2026-09-11</x:v>
      </x:c>
      <x:c r="M1237" s="17" t="str">
        <x:v>high</x:v>
      </x:c>
      <x:c r="N1237" s="17" t="str">
        <x:v>official page checked</x:v>
      </x:c>
      <x:c r="O1237" s="17" t="str"/>
      <x:c r="P1237" s="18" t="e">
        <x:f>HYPERLINK("https://catalog.louisville.edu/graduate/programs-study/doctor-philosophy-computer-science-engineering/","Open source")</x:f>
        <x:v>HYPERLINK is not implemented. linkLocation=https://catalog.louisville.edu/graduate/programs-study/doctor-philosophy-computer-science-engineering/, friendlyName=Open source</x:v>
      </x:c>
    </x:row>
    <x:row r="1238" ht="46" customHeight="1">
      <x:c r="A1238" s="17" t="str">
        <x:v>stage3src:a05a3f4d6e7ac83f4dd4</x:v>
      </x:c>
      <x:c r="B1238" s="17" t="str">
        <x:v>program</x:v>
      </x:c>
      <x:c r="C1238" s="17" t="str">
        <x:v>University of Louisville</x:v>
      </x:c>
      <x:c r="D1238" s="17" t="str">
        <x:v>us:ipeds:157289:program:phd:doctor-of-philosophy-in-computer-science-and-engineering</x:v>
      </x:c>
      <x:c r="E1238" s="17" t="str"/>
      <x:c r="F1238" s="17" t="str">
        <x:v>funding|tuition|fees</x:v>
      </x:c>
      <x:c r="G1238" s="17" t="str">
        <x:v>Automatic fellowship consideration, USD 22,000 annual stipend, full tuition remission, health insurance, and renewable duration up to four years.</x:v>
      </x:c>
      <x:c r="H1238" s="17" t="str">
        <x:v>Graduate Funding</x:v>
      </x:c>
      <x:c r="I1238" s="17" t="str">
        <x:v>University of Louisville Speed School of Engineering</x:v>
      </x:c>
      <x:c r="J1238" s="17" t="str">
        <x:v>official</x:v>
      </x:c>
      <x:c r="K1238" s="17" t="str">
        <x:v>2026-09-11</x:v>
      </x:c>
      <x:c r="L1238" s="17" t="str">
        <x:v>Current page checked 2026-09-11</x:v>
      </x:c>
      <x:c r="M1238" s="17" t="str">
        <x:v>high</x:v>
      </x:c>
      <x:c r="N1238" s="17" t="str">
        <x:v>official page checked</x:v>
      </x:c>
      <x:c r="O1238" s="17" t="str"/>
      <x:c r="P1238" s="18" t="e">
        <x:f>HYPERLINK("https://engineering.louisville.edu/graduatefunding/","Open source")</x:f>
        <x:v>HYPERLINK is not implemented. linkLocation=https://engineering.louisville.edu/graduatefunding/, friendlyName=Open source</x:v>
      </x:c>
    </x:row>
    <x:row r="1239" ht="46" customHeight="1">
      <x:c r="A1239" s="17" t="str">
        <x:v>stage3src:d6232c986f42ee071514</x:v>
      </x:c>
      <x:c r="B1239" s="17" t="str">
        <x:v>program</x:v>
      </x:c>
      <x:c r="C1239" s="17" t="str">
        <x:v>University of Louisville</x:v>
      </x:c>
      <x:c r="D1239" s="17" t="str">
        <x:v>us:ipeds:157289:program:phd:doctor-of-philosophy-in-computer-science-and-engineering</x:v>
      </x:c>
      <x:c r="E1239" s="17" t="str"/>
      <x:c r="F1239" s="17" t="str">
        <x:v>program|research|admissions</x:v>
      </x:c>
      <x:c r="G1239" s="17" t="str">
        <x:v>Current departmental doctoral route and computing research context.</x:v>
      </x:c>
      <x:c r="H1239" s="17" t="str">
        <x:v>Computer Science and Engineering Graduate Programs</x:v>
      </x:c>
      <x:c r="I1239" s="17" t="str">
        <x:v>University of Louisville Speed School of Engineering</x:v>
      </x:c>
      <x:c r="J1239" s="17" t="str">
        <x:v>official</x:v>
      </x:c>
      <x:c r="K1239" s="17" t="str">
        <x:v>2026-09-11</x:v>
      </x:c>
      <x:c r="L1239" s="17" t="str">
        <x:v>Current page checked 2026-09-11</x:v>
      </x:c>
      <x:c r="M1239" s="17" t="str">
        <x:v>high</x:v>
      </x:c>
      <x:c r="N1239" s="17" t="str">
        <x:v>official page checked</x:v>
      </x:c>
      <x:c r="O1239" s="17" t="str"/>
      <x:c r="P1239" s="18" t="e">
        <x:f>HYPERLINK("https://engineering.louisville.edu/academics/departments/computer/graduate/","Open source")</x:f>
        <x:v>HYPERLINK is not implemented. linkLocation=https://engineering.louisville.edu/academics/departments/computer/graduate/, friendlyName=Open source</x:v>
      </x:c>
    </x:row>
    <x:row r="1240" ht="46" customHeight="1">
      <x:c r="A1240" s="17" t="str">
        <x:v>stage3src:33ca2d1faa6664885391</x:v>
      </x:c>
      <x:c r="B1240" s="17" t="str">
        <x:v>program</x:v>
      </x:c>
      <x:c r="C1240" s="17" t="str">
        <x:v>University of Louisville</x:v>
      </x:c>
      <x:c r="D1240" s="17" t="str">
        <x:v>us:ipeds:157289:program:unclear:ipeds-discovery-signal-computer-engineering-general-cip-14-0901</x:v>
      </x:c>
      <x:c r="E1240" s="17" t="str"/>
      <x:c r="F1240" s="17" t="str">
        <x:v>discovery</x:v>
      </x:c>
      <x:c r="G1240" s="17" t="str">
        <x:v>Stage 2 recorded this row as a discovery candidate; it does not independently verify an exact current research program, eligibility, or funding.</x:v>
      </x:c>
      <x:c r="H1240" s="17" t="str">
        <x:v>Pass 2 Stage 2 candidate funnel</x:v>
      </x:c>
      <x:c r="I1240" s="17" t="str">
        <x:v>Graduate audit pipeline</x:v>
      </x:c>
      <x:c r="J1240" s="17" t="str">
        <x:v>derived</x:v>
      </x:c>
      <x:c r="K1240" s="17" t="str">
        <x:v>2026-09-11</x:v>
      </x:c>
      <x:c r="L1240" s="17" t="str">
        <x:v>Not cycle-specific</x:v>
      </x:c>
      <x:c r="M1240" s="17" t="str">
        <x:v>low</x:v>
      </x:c>
      <x:c r="N1240" s="17" t="str">
        <x:v>Discovery evidence only</x:v>
      </x:c>
      <x:c r="O1240" s="17" t="str">
        <x:v>Use the source_record_paths field to trace the underlying discovery inputs.</x:v>
      </x:c>
      <x:c r="P1240" s="18" t="e">
        <x:f>HYPERLINK("https://www.louisville.edu","Open source")</x:f>
        <x:v>HYPERLINK is not implemented. linkLocation=https://www.louisville.edu, friendlyName=Open source</x:v>
      </x:c>
    </x:row>
    <x:row r="1241" ht="46" customHeight="1">
      <x:c r="A1241" s="17" t="str">
        <x:v>stage3src:81580b02897ebe948d16</x:v>
      </x:c>
      <x:c r="B1241" s="17" t="str">
        <x:v>program</x:v>
      </x:c>
      <x:c r="C1241" s="17" t="str">
        <x:v>University of Louisville</x:v>
      </x:c>
      <x:c r="D1241" s="17" t="str">
        <x:v>us:ipeds:157289:program:unclear:ipeds-discovery-signal-electrical-and-electronics-engineering-cip-14-1001</x:v>
      </x:c>
      <x:c r="E1241" s="17" t="str"/>
      <x:c r="F1241" s="17" t="str">
        <x:v>discovery</x:v>
      </x:c>
      <x:c r="G1241" s="17" t="str">
        <x:v>Stage 2 recorded this row as a discovery candidate; it does not independently verify an exact current research program, eligibility, or funding.</x:v>
      </x:c>
      <x:c r="H1241" s="17" t="str">
        <x:v>Pass 2 Stage 2 candidate funnel</x:v>
      </x:c>
      <x:c r="I1241" s="17" t="str">
        <x:v>Graduate audit pipeline</x:v>
      </x:c>
      <x:c r="J1241" s="17" t="str">
        <x:v>derived</x:v>
      </x:c>
      <x:c r="K1241" s="17" t="str">
        <x:v>2026-09-11</x:v>
      </x:c>
      <x:c r="L1241" s="17" t="str">
        <x:v>Not cycle-specific</x:v>
      </x:c>
      <x:c r="M1241" s="17" t="str">
        <x:v>low</x:v>
      </x:c>
      <x:c r="N1241" s="17" t="str">
        <x:v>Discovery evidence only</x:v>
      </x:c>
      <x:c r="O1241" s="17" t="str">
        <x:v>Use the source_record_paths field to trace the underlying discovery inputs.</x:v>
      </x:c>
      <x:c r="P1241" s="18" t="e">
        <x:f>HYPERLINK("https://www.louisville.edu","Open source")</x:f>
        <x:v>HYPERLINK is not implemented. linkLocation=https://www.louisville.edu, friendlyName=Open source</x:v>
      </x:c>
    </x:row>
    <x:row r="1242" ht="46" customHeight="1">
      <x:c r="A1242" s="17" t="str">
        <x:v>stage3src:193223148df0acbd7515</x:v>
      </x:c>
      <x:c r="B1242" s="17" t="str">
        <x:v>program</x:v>
      </x:c>
      <x:c r="C1242" s="17" t="str">
        <x:v>Murray State University</x:v>
      </x:c>
      <x:c r="D1242" s="17" t="str">
        <x:v>us:ipeds:157401:program:unclear:ipeds-discovery-signal-computer-and-information-systems-security-auditing-information-assurance-cip-11-1003</x:v>
      </x:c>
      <x:c r="E1242" s="17" t="str"/>
      <x:c r="F1242" s="17" t="str">
        <x:v>discovery</x:v>
      </x:c>
      <x:c r="G1242" s="17" t="str">
        <x:v>Stage 2 recorded this row as a discovery candidate; it does not independently verify an exact current research program, eligibility, or funding.</x:v>
      </x:c>
      <x:c r="H1242" s="17" t="str">
        <x:v>Pass 2 Stage 2 candidate funnel</x:v>
      </x:c>
      <x:c r="I1242" s="17" t="str">
        <x:v>Graduate audit pipeline</x:v>
      </x:c>
      <x:c r="J1242" s="17" t="str">
        <x:v>derived</x:v>
      </x:c>
      <x:c r="K1242" s="17" t="str">
        <x:v>2026-09-11</x:v>
      </x:c>
      <x:c r="L1242" s="17" t="str">
        <x:v>Not cycle-specific</x:v>
      </x:c>
      <x:c r="M1242" s="17" t="str">
        <x:v>low</x:v>
      </x:c>
      <x:c r="N1242" s="17" t="str">
        <x:v>Discovery evidence only</x:v>
      </x:c>
      <x:c r="O1242" s="17" t="str">
        <x:v>Use the source_record_paths field to trace the underlying discovery inputs.</x:v>
      </x:c>
      <x:c r="P1242" s="18" t="e">
        <x:f>HYPERLINK("https://www.murraystate.edu","Open source")</x:f>
        <x:v>HYPERLINK is not implemented. linkLocation=https://www.murraystate.edu, friendlyName=Open source</x:v>
      </x:c>
    </x:row>
    <x:row r="1243" ht="46" customHeight="1">
      <x:c r="A1243" s="17" t="str">
        <x:v>stage3src:06143ee313873f8bed3c</x:v>
      </x:c>
      <x:c r="B1243" s="17" t="str">
        <x:v>program</x:v>
      </x:c>
      <x:c r="C1243" s="17" t="str">
        <x:v>Murray State University</x:v>
      </x:c>
      <x:c r="D1243" s="17" t="str">
        <x:v>us:ipeds:157401:program:unclear:ipeds-discovery-signal-information-technology-cip-11-0103</x:v>
      </x:c>
      <x:c r="E1243" s="17" t="str"/>
      <x:c r="F1243" s="17" t="str">
        <x:v>discovery</x:v>
      </x:c>
      <x:c r="G1243" s="17" t="str">
        <x:v>Stage 2 recorded this row as a discovery candidate; it does not independently verify an exact current research program, eligibility, or funding.</x:v>
      </x:c>
      <x:c r="H1243" s="17" t="str">
        <x:v>Pass 2 Stage 2 candidate funnel</x:v>
      </x:c>
      <x:c r="I1243" s="17" t="str">
        <x:v>Graduate audit pipeline</x:v>
      </x:c>
      <x:c r="J1243" s="17" t="str">
        <x:v>derived</x:v>
      </x:c>
      <x:c r="K1243" s="17" t="str">
        <x:v>2026-09-11</x:v>
      </x:c>
      <x:c r="L1243" s="17" t="str">
        <x:v>Not cycle-specific</x:v>
      </x:c>
      <x:c r="M1243" s="17" t="str">
        <x:v>low</x:v>
      </x:c>
      <x:c r="N1243" s="17" t="str">
        <x:v>Discovery evidence only</x:v>
      </x:c>
      <x:c r="O1243" s="17" t="str">
        <x:v>Use the source_record_paths field to trace the underlying discovery inputs.</x:v>
      </x:c>
      <x:c r="P1243" s="18" t="e">
        <x:f>HYPERLINK("https://www.murraystate.edu","Open source")</x:f>
        <x:v>HYPERLINK is not implemented. linkLocation=https://www.murraystate.edu, friendlyName=Open source</x:v>
      </x:c>
    </x:row>
    <x:row r="1244" ht="46" customHeight="1">
      <x:c r="A1244" s="17" t="str">
        <x:v>stage3src:497fefe9d88c265866ca</x:v>
      </x:c>
      <x:c r="B1244" s="17" t="str">
        <x:v>program</x:v>
      </x:c>
      <x:c r="C1244" s="17" t="str">
        <x:v>Northern Kentucky University</x:v>
      </x:c>
      <x:c r="D1244" s="17" t="str">
        <x:v>us:ipeds:157447:program:unclear:ipeds-discovery-signal-computer-and-information-systems-security-auditing-information-assurance-cip-11-1003</x:v>
      </x:c>
      <x:c r="E1244" s="17" t="str"/>
      <x:c r="F1244" s="17" t="str">
        <x:v>discovery</x:v>
      </x:c>
      <x:c r="G1244" s="17" t="str">
        <x:v>Stage 2 recorded this row as a discovery candidate; it does not independently verify an exact current research program, eligibility, or funding.</x:v>
      </x:c>
      <x:c r="H1244" s="17" t="str">
        <x:v>Pass 2 Stage 2 candidate funnel</x:v>
      </x:c>
      <x:c r="I1244" s="17" t="str">
        <x:v>Graduate audit pipeline</x:v>
      </x:c>
      <x:c r="J1244" s="17" t="str">
        <x:v>derived</x:v>
      </x:c>
      <x:c r="K1244" s="17" t="str">
        <x:v>2026-09-11</x:v>
      </x:c>
      <x:c r="L1244" s="17" t="str">
        <x:v>Not cycle-specific</x:v>
      </x:c>
      <x:c r="M1244" s="17" t="str">
        <x:v>low</x:v>
      </x:c>
      <x:c r="N1244" s="17" t="str">
        <x:v>Discovery evidence only</x:v>
      </x:c>
      <x:c r="O1244" s="17" t="str">
        <x:v>Use the source_record_paths field to trace the underlying discovery inputs.</x:v>
      </x:c>
      <x:c r="P1244" s="18" t="e">
        <x:f>HYPERLINK("https://www.nku.edu","Open source")</x:f>
        <x:v>HYPERLINK is not implemented. linkLocation=https://www.nku.edu, friendlyName=Open source</x:v>
      </x:c>
    </x:row>
    <x:row r="1245" ht="46" customHeight="1">
      <x:c r="A1245" s="17" t="str">
        <x:v>stage3src:3c9fcfe78f541bed1812</x:v>
      </x:c>
      <x:c r="B1245" s="17" t="str">
        <x:v>program</x:v>
      </x:c>
      <x:c r="C1245" s="17" t="str">
        <x:v>Northern Kentucky University</x:v>
      </x:c>
      <x:c r="D1245" s="17" t="str">
        <x:v>us:ipeds:157447:program:unclear:ipeds-discovery-signal-computer-science-cip-11-0701</x:v>
      </x:c>
      <x:c r="E1245" s="17" t="str"/>
      <x:c r="F1245" s="17" t="str">
        <x:v>discovery</x:v>
      </x:c>
      <x:c r="G1245" s="17" t="str">
        <x:v>Stage 2 recorded this row as a discovery candidate; it does not independently verify an exact current research program, eligibility, or funding.</x:v>
      </x:c>
      <x:c r="H1245" s="17" t="str">
        <x:v>Pass 2 Stage 2 candidate funnel</x:v>
      </x:c>
      <x:c r="I1245" s="17" t="str">
        <x:v>Graduate audit pipeline</x:v>
      </x:c>
      <x:c r="J1245" s="17" t="str">
        <x:v>derived</x:v>
      </x:c>
      <x:c r="K1245" s="17" t="str">
        <x:v>2026-09-11</x:v>
      </x:c>
      <x:c r="L1245" s="17" t="str">
        <x:v>Not cycle-specific</x:v>
      </x:c>
      <x:c r="M1245" s="17" t="str">
        <x:v>low</x:v>
      </x:c>
      <x:c r="N1245" s="17" t="str">
        <x:v>Discovery evidence only</x:v>
      </x:c>
      <x:c r="O1245" s="17" t="str">
        <x:v>Use the source_record_paths field to trace the underlying discovery inputs.</x:v>
      </x:c>
      <x:c r="P1245" s="18" t="e">
        <x:f>HYPERLINK("https://www.nku.edu","Open source")</x:f>
        <x:v>HYPERLINK is not implemented. linkLocation=https://www.nku.edu, friendlyName=Open source</x:v>
      </x:c>
    </x:row>
    <x:row r="1246" ht="46" customHeight="1">
      <x:c r="A1246" s="17" t="str">
        <x:v>stage3src:752fb50aeb09273b98e8</x:v>
      </x:c>
      <x:c r="B1246" s="17" t="str">
        <x:v>program</x:v>
      </x:c>
      <x:c r="C1246" s="17" t="str">
        <x:v>Northern Kentucky University</x:v>
      </x:c>
      <x:c r="D1246" s="17" t="str">
        <x:v>us:ipeds:157447:program:unclear:ipeds-discovery-signal-information-science-studies-cip-11-0401</x:v>
      </x:c>
      <x:c r="E1246" s="17" t="str"/>
      <x:c r="F1246" s="17" t="str">
        <x:v>discovery</x:v>
      </x:c>
      <x:c r="G1246" s="17" t="str">
        <x:v>Stage 2 recorded this row as a discovery candidate; it does not independently verify an exact current research program, eligibility, or funding.</x:v>
      </x:c>
      <x:c r="H1246" s="17" t="str">
        <x:v>Pass 2 Stage 2 candidate funnel</x:v>
      </x:c>
      <x:c r="I1246" s="17" t="str">
        <x:v>Graduate audit pipeline</x:v>
      </x:c>
      <x:c r="J1246" s="17" t="str">
        <x:v>derived</x:v>
      </x:c>
      <x:c r="K1246" s="17" t="str">
        <x:v>2026-09-11</x:v>
      </x:c>
      <x:c r="L1246" s="17" t="str">
        <x:v>Not cycle-specific</x:v>
      </x:c>
      <x:c r="M1246" s="17" t="str">
        <x:v>low</x:v>
      </x:c>
      <x:c r="N1246" s="17" t="str">
        <x:v>Discovery evidence only</x:v>
      </x:c>
      <x:c r="O1246" s="17" t="str">
        <x:v>Use the source_record_paths field to trace the underlying discovery inputs.</x:v>
      </x:c>
      <x:c r="P1246" s="18" t="e">
        <x:f>HYPERLINK("https://www.nku.edu","Open source")</x:f>
        <x:v>HYPERLINK is not implemented. linkLocation=https://www.nku.edu, friendlyName=Open source</x:v>
      </x:c>
    </x:row>
    <x:row r="1247" ht="46" customHeight="1">
      <x:c r="A1247" s="17" t="str">
        <x:v>stage3src:55a65b639eb5b0faee60</x:v>
      </x:c>
      <x:c r="B1247" s="17" t="str">
        <x:v>program</x:v>
      </x:c>
      <x:c r="C1247" s="17" t="str">
        <x:v>Western Kentucky University</x:v>
      </x:c>
      <x:c r="D1247" s="17" t="str">
        <x:v>us:ipeds:157951:program:unclear:ipeds-discovery-signal-computer-and-information-sciences-general-cip-11-0101</x:v>
      </x:c>
      <x:c r="E1247" s="17" t="str"/>
      <x:c r="F1247" s="17" t="str">
        <x:v>discovery</x:v>
      </x:c>
      <x:c r="G1247" s="17" t="str">
        <x:v>Stage 2 recorded this row as a discovery candidate; it does not independently verify an exact current research program, eligibility, or funding.</x:v>
      </x:c>
      <x:c r="H1247" s="17" t="str">
        <x:v>Pass 2 Stage 2 candidate funnel</x:v>
      </x:c>
      <x:c r="I1247" s="17" t="str">
        <x:v>Graduate audit pipeline</x:v>
      </x:c>
      <x:c r="J1247" s="17" t="str">
        <x:v>derived</x:v>
      </x:c>
      <x:c r="K1247" s="17" t="str">
        <x:v>2026-09-11</x:v>
      </x:c>
      <x:c r="L1247" s="17" t="str">
        <x:v>Not cycle-specific</x:v>
      </x:c>
      <x:c r="M1247" s="17" t="str">
        <x:v>low</x:v>
      </x:c>
      <x:c r="N1247" s="17" t="str">
        <x:v>Discovery evidence only</x:v>
      </x:c>
      <x:c r="O1247" s="17" t="str">
        <x:v>Use the source_record_paths field to trace the underlying discovery inputs.</x:v>
      </x:c>
      <x:c r="P1247" s="18" t="e">
        <x:f>HYPERLINK("https://www.wku.edu","Open source")</x:f>
        <x:v>HYPERLINK is not implemented. linkLocation=https://www.wku.edu, friendlyName=Open source</x:v>
      </x:c>
    </x:row>
    <x:row r="1248" ht="46" customHeight="1">
      <x:c r="A1248" s="17" t="str">
        <x:v>stage3src:67fbe0019f04d0983369</x:v>
      </x:c>
      <x:c r="B1248" s="17" t="str">
        <x:v>program</x:v>
      </x:c>
      <x:c r="C1248" s="17" t="str">
        <x:v>Louisiana State University and Agricultural &amp; Mechanical College</x:v>
      </x:c>
      <x:c r="D1248" s="17" t="str">
        <x:v>us:ipeds:159391:program:phd:ph-d-in-computer-science-and-engineering</x:v>
      </x:c>
      <x:c r="E1248" s="17" t="str"/>
      <x:c r="F1248" s="17" t="str">
        <x:v>funding|tuition|fees</x:v>
      </x:c>
      <x:c r="G1248" s="17" t="str">
        <x:v>Teaching-assistantship prioritization and faculty-controlled research-assistantship mechanism.</x:v>
      </x:c>
      <x:c r="H1248" s="17" t="str">
        <x:v>Graduate financial support</x:v>
      </x:c>
      <x:c r="I1248" s="17" t="str">
        <x:v>Louisiana State University Division of Computer Science and Engineering</x:v>
      </x:c>
      <x:c r="J1248" s="17" t="str">
        <x:v>official</x:v>
      </x:c>
      <x:c r="K1248" s="17" t="str">
        <x:v>2026-09-10</x:v>
      </x:c>
      <x:c r="L1248" s="17" t="str">
        <x:v>Current page checked 2026-09-11</x:v>
      </x:c>
      <x:c r="M1248" s="17" t="str">
        <x:v>high</x:v>
      </x:c>
      <x:c r="N1248" s="17" t="str">
        <x:v>official page checked</x:v>
      </x:c>
      <x:c r="O1248" s="17" t="str"/>
      <x:c r="P1248" s="18" t="e">
        <x:f>HYPERLINK("https://www.lsu.edu/eng/cse/students/financial_support.php","Open source")</x:f>
        <x:v>HYPERLINK is not implemented. linkLocation=https://www.lsu.edu/eng/cse/students/financial_support.php, friendlyName=Open source</x:v>
      </x:c>
    </x:row>
    <x:row r="1249" ht="46" customHeight="1">
      <x:c r="A1249" s="17" t="str">
        <x:v>stage3src:721ea062b66b969bac7e</x:v>
      </x:c>
      <x:c r="B1249" s="17" t="str">
        <x:v>program</x:v>
      </x:c>
      <x:c r="C1249" s="17" t="str">
        <x:v>Louisiana State University and Agricultural &amp; Mechanical College</x:v>
      </x:c>
      <x:c r="D1249" s="17" t="str">
        <x:v>us:ipeds:159391:program:phd:ph-d-in-computer-science-and-engineering</x:v>
      </x:c>
      <x:c r="E1249" s="17" t="str"/>
      <x:c r="F1249" s="17" t="str">
        <x:v>program|research|eligibility|admissions|funding</x:v>
      </x:c>
      <x:c r="G1249" s="17" t="str">
        <x:v>Current PhD structure, direct route without mandatory master's, research milestones, annual TA renewal, and five-year support boundary.</x:v>
      </x:c>
      <x:c r="H1249" s="17" t="str">
        <x:v>Ph.D. in Computer Science and Engineering</x:v>
      </x:c>
      <x:c r="I1249" s="17" t="str">
        <x:v>Louisiana State University Division of Computer Science and Engineering</x:v>
      </x:c>
      <x:c r="J1249" s="17" t="str">
        <x:v>official</x:v>
      </x:c>
      <x:c r="K1249" s="17" t="str">
        <x:v>2026-09-10</x:v>
      </x:c>
      <x:c r="L1249" s="17" t="str">
        <x:v>Current page checked 2026-09-11</x:v>
      </x:c>
      <x:c r="M1249" s="17" t="str">
        <x:v>high</x:v>
      </x:c>
      <x:c r="N1249" s="17" t="str">
        <x:v>official page checked</x:v>
      </x:c>
      <x:c r="O1249" s="17" t="str"/>
      <x:c r="P1249" s="18" t="e">
        <x:f>HYPERLINK("https://www.lsu.edu/eng/cse/programs/graduate_program/graduate_phd.php","Open source")</x:f>
        <x:v>HYPERLINK is not implemented. linkLocation=https://www.lsu.edu/eng/cse/programs/graduate_program/graduate_phd.php, friendlyName=Open source</x:v>
      </x:c>
    </x:row>
    <x:row r="1250" ht="46" customHeight="1">
      <x:c r="A1250" s="17" t="str">
        <x:v>stage3src:c2e1c6a33755a21b60e7</x:v>
      </x:c>
      <x:c r="B1250" s="17" t="str">
        <x:v>program</x:v>
      </x:c>
      <x:c r="C1250" s="17" t="str">
        <x:v>Louisiana State University and Agricultural &amp; Mechanical College</x:v>
      </x:c>
      <x:c r="D1250" s="17" t="str">
        <x:v>us:ipeds:159391:program:phd:ph-d-in-computer-science-and-engineering</x:v>
      </x:c>
      <x:c r="E1250" s="17" t="str"/>
      <x:c r="F1250" s="17" t="str">
        <x:v>admissions|eligibility|language|fees|deadline</x:v>
      </x:c>
      <x:c r="G1250" s="17" t="str">
        <x:v>Graduate application requirements and official fee-waiver request mechanism.</x:v>
      </x:c>
      <x:c r="H1250" s="17" t="str">
        <x:v>Graduate admissions</x:v>
      </x:c>
      <x:c r="I1250" s="17" t="str">
        <x:v>Louisiana State University Graduate School</x:v>
      </x:c>
      <x:c r="J1250" s="17" t="str">
        <x:v>official</x:v>
      </x:c>
      <x:c r="K1250" s="17" t="str">
        <x:v>2026-09-10</x:v>
      </x:c>
      <x:c r="L1250" s="17" t="str">
        <x:v>Current page checked 2026-09-11</x:v>
      </x:c>
      <x:c r="M1250" s="17" t="str">
        <x:v>high</x:v>
      </x:c>
      <x:c r="N1250" s="17" t="str">
        <x:v>official page checked</x:v>
      </x:c>
      <x:c r="O1250" s="17" t="str"/>
      <x:c r="P1250" s="18" t="e">
        <x:f>HYPERLINK("https://www.lsu.edu/graduateschool/admissions/apply.php","Open source")</x:f>
        <x:v>HYPERLINK is not implemented. linkLocation=https://www.lsu.edu/graduateschool/admissions/apply.php, friendlyName=Open source</x:v>
      </x:c>
    </x:row>
    <x:row r="1251" ht="46" customHeight="1">
      <x:c r="A1251" s="17" t="str">
        <x:v>stage3src:8bdbf7e255092303690c</x:v>
      </x:c>
      <x:c r="B1251" s="17" t="str">
        <x:v>program</x:v>
      </x:c>
      <x:c r="C1251" s="17" t="str">
        <x:v>Louisiana State University and Agricultural &amp; Mechanical College</x:v>
      </x:c>
      <x:c r="D1251" s="17" t="str">
        <x:v>us:ipeds:159391:program:unclear:ipeds-discovery-signal-computer-science-cip-11-0701</x:v>
      </x:c>
      <x:c r="E1251" s="17" t="str"/>
      <x:c r="F1251" s="17" t="str">
        <x:v>discovery</x:v>
      </x:c>
      <x:c r="G1251" s="17" t="str">
        <x:v>Stage 2 recorded this row as a discovery candidate; it does not independently verify an exact current research program, eligibility, or funding.</x:v>
      </x:c>
      <x:c r="H1251" s="17" t="str">
        <x:v>Pass 2 Stage 2 candidate funnel</x:v>
      </x:c>
      <x:c r="I1251" s="17" t="str">
        <x:v>Graduate audit pipeline</x:v>
      </x:c>
      <x:c r="J1251" s="17" t="str">
        <x:v>derived</x:v>
      </x:c>
      <x:c r="K1251" s="17" t="str">
        <x:v>2026-09-11</x:v>
      </x:c>
      <x:c r="L1251" s="17" t="str">
        <x:v>Not cycle-specific</x:v>
      </x:c>
      <x:c r="M1251" s="17" t="str">
        <x:v>low</x:v>
      </x:c>
      <x:c r="N1251" s="17" t="str">
        <x:v>Discovery evidence only</x:v>
      </x:c>
      <x:c r="O1251" s="17" t="str">
        <x:v>Use the source_record_paths field to trace the underlying discovery inputs.</x:v>
      </x:c>
      <x:c r="P1251" s="18" t="e">
        <x:f>HYPERLINK("https://www.lsu.edu","Open source")</x:f>
        <x:v>HYPERLINK is not implemented. linkLocation=https://www.lsu.edu, friendlyName=Open source</x:v>
      </x:c>
    </x:row>
    <x:row r="1252" ht="46" customHeight="1">
      <x:c r="A1252" s="17" t="str">
        <x:v>stage3src:f5310d8eb663ce746cc0</x:v>
      </x:c>
      <x:c r="B1252" s="17" t="str">
        <x:v>program</x:v>
      </x:c>
      <x:c r="C1252" s="17" t="str">
        <x:v>Louisiana State University and Agricultural &amp; Mechanical College</x:v>
      </x:c>
      <x:c r="D1252" s="17" t="str">
        <x:v>us:ipeds:159391:program:unclear:ipeds-discovery-signal-electrical-and-electronics-engineering-cip-14-1001</x:v>
      </x:c>
      <x:c r="E1252" s="17" t="str"/>
      <x:c r="F1252" s="17" t="str">
        <x:v>discovery</x:v>
      </x:c>
      <x:c r="G1252" s="17" t="str">
        <x:v>Stage 2 recorded this row as a discovery candidate; it does not independently verify an exact current research program, eligibility, or funding.</x:v>
      </x:c>
      <x:c r="H1252" s="17" t="str">
        <x:v>Pass 2 Stage 2 candidate funnel</x:v>
      </x:c>
      <x:c r="I1252" s="17" t="str">
        <x:v>Graduate audit pipeline</x:v>
      </x:c>
      <x:c r="J1252" s="17" t="str">
        <x:v>derived</x:v>
      </x:c>
      <x:c r="K1252" s="17" t="str">
        <x:v>2026-09-11</x:v>
      </x:c>
      <x:c r="L1252" s="17" t="str">
        <x:v>Not cycle-specific</x:v>
      </x:c>
      <x:c r="M1252" s="17" t="str">
        <x:v>low</x:v>
      </x:c>
      <x:c r="N1252" s="17" t="str">
        <x:v>Discovery evidence only</x:v>
      </x:c>
      <x:c r="O1252" s="17" t="str">
        <x:v>Use the source_record_paths field to trace the underlying discovery inputs.</x:v>
      </x:c>
      <x:c r="P1252" s="18" t="e">
        <x:f>HYPERLINK("https://www.lsu.edu","Open source")</x:f>
        <x:v>HYPERLINK is not implemented. linkLocation=https://www.lsu.edu, friendlyName=Open source</x:v>
      </x:c>
    </x:row>
    <x:row r="1253" ht="46" customHeight="1">
      <x:c r="A1253" s="17" t="str">
        <x:v>stage3src:ec43651b7f17634bca58</x:v>
      </x:c>
      <x:c r="B1253" s="17" t="str">
        <x:v>program</x:v>
      </x:c>
      <x:c r="C1253" s="17" t="str">
        <x:v>Louisiana State University-Shreveport</x:v>
      </x:c>
      <x:c r="D1253" s="17" t="str">
        <x:v>us:ipeds:159416:program:unclear:ipeds-discovery-signal-computer-and-information-sciences-general-cip-11-0101</x:v>
      </x:c>
      <x:c r="E1253" s="17" t="str"/>
      <x:c r="F1253" s="17" t="str">
        <x:v>discovery</x:v>
      </x:c>
      <x:c r="G1253" s="17" t="str">
        <x:v>Stage 2 recorded this row as a discovery candidate; it does not independently verify an exact current research program, eligibility, or funding.</x:v>
      </x:c>
      <x:c r="H1253" s="17" t="str">
        <x:v>Pass 2 Stage 2 candidate funnel</x:v>
      </x:c>
      <x:c r="I1253" s="17" t="str">
        <x:v>Graduate audit pipeline</x:v>
      </x:c>
      <x:c r="J1253" s="17" t="str">
        <x:v>derived</x:v>
      </x:c>
      <x:c r="K1253" s="17" t="str">
        <x:v>2026-09-11</x:v>
      </x:c>
      <x:c r="L1253" s="17" t="str">
        <x:v>Not cycle-specific</x:v>
      </x:c>
      <x:c r="M1253" s="17" t="str">
        <x:v>low</x:v>
      </x:c>
      <x:c r="N1253" s="17" t="str">
        <x:v>Discovery evidence only</x:v>
      </x:c>
      <x:c r="O1253" s="17" t="str">
        <x:v>Use the source_record_paths field to trace the underlying discovery inputs.</x:v>
      </x:c>
      <x:c r="P1253" s="18" t="e">
        <x:f>HYPERLINK("https://www.lsus.edu","Open source")</x:f>
        <x:v>HYPERLINK is not implemented. linkLocation=https://www.lsus.edu, friendlyName=Open source</x:v>
      </x:c>
    </x:row>
    <x:row r="1254" ht="46" customHeight="1">
      <x:c r="A1254" s="17" t="str">
        <x:v>stage3src:982abd962ce6bab8c10b</x:v>
      </x:c>
      <x:c r="B1254" s="17" t="str">
        <x:v>program</x:v>
      </x:c>
      <x:c r="C1254" s="17" t="str">
        <x:v>Louisiana State University-Shreveport</x:v>
      </x:c>
      <x:c r="D1254" s="17" t="str">
        <x:v>us:ipeds:159416:program:unclear:ipeds-discovery-signal-information-science-studies-cip-11-0401</x:v>
      </x:c>
      <x:c r="E1254" s="17" t="str"/>
      <x:c r="F1254" s="17" t="str">
        <x:v>discovery</x:v>
      </x:c>
      <x:c r="G1254" s="17" t="str">
        <x:v>Stage 2 recorded this row as a discovery candidate; it does not independently verify an exact current research program, eligibility, or funding.</x:v>
      </x:c>
      <x:c r="H1254" s="17" t="str">
        <x:v>Pass 2 Stage 2 candidate funnel</x:v>
      </x:c>
      <x:c r="I1254" s="17" t="str">
        <x:v>Graduate audit pipeline</x:v>
      </x:c>
      <x:c r="J1254" s="17" t="str">
        <x:v>derived</x:v>
      </x:c>
      <x:c r="K1254" s="17" t="str">
        <x:v>2026-09-11</x:v>
      </x:c>
      <x:c r="L1254" s="17" t="str">
        <x:v>Not cycle-specific</x:v>
      </x:c>
      <x:c r="M1254" s="17" t="str">
        <x:v>low</x:v>
      </x:c>
      <x:c r="N1254" s="17" t="str">
        <x:v>Discovery evidence only</x:v>
      </x:c>
      <x:c r="O1254" s="17" t="str">
        <x:v>Use the source_record_paths field to trace the underlying discovery inputs.</x:v>
      </x:c>
      <x:c r="P1254" s="18" t="e">
        <x:f>HYPERLINK("https://www.lsus.edu","Open source")</x:f>
        <x:v>HYPERLINK is not implemented. linkLocation=https://www.lsus.edu, friendlyName=Open source</x:v>
      </x:c>
    </x:row>
    <x:row r="1255" ht="46" customHeight="1">
      <x:c r="A1255" s="17" t="str">
        <x:v>stage3src:582a25a4048d1e609941</x:v>
      </x:c>
      <x:c r="B1255" s="17" t="str">
        <x:v>program</x:v>
      </x:c>
      <x:c r="C1255" s="17" t="str">
        <x:v>Louisiana Tech University</x:v>
      </x:c>
      <x:c r="D1255" s="17" t="str">
        <x:v>us:ipeds:159647:program:unclear:ipeds-discovery-signal-computer-science-cip-11-0701</x:v>
      </x:c>
      <x:c r="E1255" s="17" t="str"/>
      <x:c r="F1255" s="17" t="str">
        <x:v>discovery</x:v>
      </x:c>
      <x:c r="G1255" s="17" t="str">
        <x:v>Stage 2 recorded this row as a discovery candidate; it does not independently verify an exact current research program, eligibility, or funding.</x:v>
      </x:c>
      <x:c r="H1255" s="17" t="str">
        <x:v>Pass 2 Stage 2 candidate funnel</x:v>
      </x:c>
      <x:c r="I1255" s="17" t="str">
        <x:v>Graduate audit pipeline</x:v>
      </x:c>
      <x:c r="J1255" s="17" t="str">
        <x:v>derived</x:v>
      </x:c>
      <x:c r="K1255" s="17" t="str">
        <x:v>2026-09-11</x:v>
      </x:c>
      <x:c r="L1255" s="17" t="str">
        <x:v>Not cycle-specific</x:v>
      </x:c>
      <x:c r="M1255" s="17" t="str">
        <x:v>low</x:v>
      </x:c>
      <x:c r="N1255" s="17" t="str">
        <x:v>Discovery evidence only</x:v>
      </x:c>
      <x:c r="O1255" s="17" t="str">
        <x:v>Use the source_record_paths field to trace the underlying discovery inputs.</x:v>
      </x:c>
      <x:c r="P1255" s="18" t="e">
        <x:f>HYPERLINK("https://www.latech.edu","Open source")</x:f>
        <x:v>HYPERLINK is not implemented. linkLocation=https://www.latech.edu, friendlyName=Open source</x:v>
      </x:c>
    </x:row>
    <x:row r="1256" ht="46" customHeight="1">
      <x:c r="A1256" s="17" t="str">
        <x:v>stage3src:e6af7d93b5d2e36b5319</x:v>
      </x:c>
      <x:c r="B1256" s="17" t="str">
        <x:v>program</x:v>
      </x:c>
      <x:c r="C1256" s="17" t="str">
        <x:v>University of New Orleans</x:v>
      </x:c>
      <x:c r="D1256" s="17" t="str">
        <x:v>us:ipeds:159939:program:unclear:ipeds-discovery-signal-computer-and-information-systems-security-auditing-information-assurance-cip-11-1003</x:v>
      </x:c>
      <x:c r="E1256" s="17" t="str"/>
      <x:c r="F1256" s="17" t="str">
        <x:v>discovery</x:v>
      </x:c>
      <x:c r="G1256" s="17" t="str">
        <x:v>Stage 2 recorded this row as a discovery candidate; it does not independently verify an exact current research program, eligibility, or funding.</x:v>
      </x:c>
      <x:c r="H1256" s="17" t="str">
        <x:v>Pass 2 Stage 2 candidate funnel</x:v>
      </x:c>
      <x:c r="I1256" s="17" t="str">
        <x:v>Graduate audit pipeline</x:v>
      </x:c>
      <x:c r="J1256" s="17" t="str">
        <x:v>derived</x:v>
      </x:c>
      <x:c r="K1256" s="17" t="str">
        <x:v>2026-09-11</x:v>
      </x:c>
      <x:c r="L1256" s="17" t="str">
        <x:v>Not cycle-specific</x:v>
      </x:c>
      <x:c r="M1256" s="17" t="str">
        <x:v>low</x:v>
      </x:c>
      <x:c r="N1256" s="17" t="str">
        <x:v>Discovery evidence only</x:v>
      </x:c>
      <x:c r="O1256" s="17" t="str">
        <x:v>Use the source_record_paths field to trace the underlying discovery inputs.</x:v>
      </x:c>
      <x:c r="P1256" s="18" t="e">
        <x:f>HYPERLINK("https://new.uno.edu","Open source")</x:f>
        <x:v>HYPERLINK is not implemented. linkLocation=https://new.uno.edu, friendlyName=Open source</x:v>
      </x:c>
    </x:row>
    <x:row r="1257" ht="46" customHeight="1">
      <x:c r="A1257" s="17" t="str">
        <x:v>stage3src:a16bc21fbd1875b52964</x:v>
      </x:c>
      <x:c r="B1257" s="17" t="str">
        <x:v>program</x:v>
      </x:c>
      <x:c r="C1257" s="17" t="str">
        <x:v>University of New Orleans</x:v>
      </x:c>
      <x:c r="D1257" s="17" t="str">
        <x:v>us:ipeds:159939:program:unclear:ipeds-discovery-signal-computer-science-cip-11-0701</x:v>
      </x:c>
      <x:c r="E1257" s="17" t="str"/>
      <x:c r="F1257" s="17" t="str">
        <x:v>discovery</x:v>
      </x:c>
      <x:c r="G1257" s="17" t="str">
        <x:v>Stage 2 recorded this row as a discovery candidate; it does not independently verify an exact current research program, eligibility, or funding.</x:v>
      </x:c>
      <x:c r="H1257" s="17" t="str">
        <x:v>Pass 2 Stage 2 candidate funnel</x:v>
      </x:c>
      <x:c r="I1257" s="17" t="str">
        <x:v>Graduate audit pipeline</x:v>
      </x:c>
      <x:c r="J1257" s="17" t="str">
        <x:v>derived</x:v>
      </x:c>
      <x:c r="K1257" s="17" t="str">
        <x:v>2026-09-11</x:v>
      </x:c>
      <x:c r="L1257" s="17" t="str">
        <x:v>Not cycle-specific</x:v>
      </x:c>
      <x:c r="M1257" s="17" t="str">
        <x:v>low</x:v>
      </x:c>
      <x:c r="N1257" s="17" t="str">
        <x:v>Discovery evidence only</x:v>
      </x:c>
      <x:c r="O1257" s="17" t="str">
        <x:v>Use the source_record_paths field to trace the underlying discovery inputs.</x:v>
      </x:c>
      <x:c r="P1257" s="18" t="e">
        <x:f>HYPERLINK("https://new.uno.edu","Open source")</x:f>
        <x:v>HYPERLINK is not implemented. linkLocation=https://new.uno.edu, friendlyName=Open source</x:v>
      </x:c>
    </x:row>
    <x:row r="1258" ht="46" customHeight="1">
      <x:c r="A1258" s="17" t="str">
        <x:v>stage3src:3ceebb838cff14e9a9bd</x:v>
      </x:c>
      <x:c r="B1258" s="17" t="str">
        <x:v>program</x:v>
      </x:c>
      <x:c r="C1258" s="17" t="str">
        <x:v>Northwestern State University of Louisiana</x:v>
      </x:c>
      <x:c r="D1258" s="17" t="str">
        <x:v>us:ipeds:160038:program:unclear:ipeds-discovery-signal-information-science-studies-cip-11-0401</x:v>
      </x:c>
      <x:c r="E1258" s="17" t="str"/>
      <x:c r="F1258" s="17" t="str">
        <x:v>discovery</x:v>
      </x:c>
      <x:c r="G1258" s="17" t="str">
        <x:v>Stage 2 recorded this row as a discovery candidate; it does not independently verify an exact current research program, eligibility, or funding.</x:v>
      </x:c>
      <x:c r="H1258" s="17" t="str">
        <x:v>Pass 2 Stage 2 candidate funnel</x:v>
      </x:c>
      <x:c r="I1258" s="17" t="str">
        <x:v>Graduate audit pipeline</x:v>
      </x:c>
      <x:c r="J1258" s="17" t="str">
        <x:v>derived</x:v>
      </x:c>
      <x:c r="K1258" s="17" t="str">
        <x:v>2026-09-11</x:v>
      </x:c>
      <x:c r="L1258" s="17" t="str">
        <x:v>Not cycle-specific</x:v>
      </x:c>
      <x:c r="M1258" s="17" t="str">
        <x:v>low</x:v>
      </x:c>
      <x:c r="N1258" s="17" t="str">
        <x:v>Discovery evidence only</x:v>
      </x:c>
      <x:c r="O1258" s="17" t="str">
        <x:v>Use the source_record_paths field to trace the underlying discovery inputs.</x:v>
      </x:c>
      <x:c r="P1258" s="18" t="e">
        <x:f>HYPERLINK("https://www.nsula.edu","Open source")</x:f>
        <x:v>HYPERLINK is not implemented. linkLocation=https://www.nsula.edu, friendlyName=Open source</x:v>
      </x:c>
    </x:row>
    <x:row r="1259" ht="46" customHeight="1">
      <x:c r="A1259" s="17" t="str">
        <x:v>stage3src:b33192fcc803769be9ed</x:v>
      </x:c>
      <x:c r="B1259" s="17" t="str">
        <x:v>program</x:v>
      </x:c>
      <x:c r="C1259" s="17" t="str">
        <x:v>Southern University and A &amp; M College</x:v>
      </x:c>
      <x:c r="D1259" s="17" t="str">
        <x:v>us:ipeds:160621:program:unclear:ipeds-discovery-signal-computer-science-cip-11-0701</x:v>
      </x:c>
      <x:c r="E1259" s="17" t="str"/>
      <x:c r="F1259" s="17" t="str">
        <x:v>discovery</x:v>
      </x:c>
      <x:c r="G1259" s="17" t="str">
        <x:v>Stage 2 recorded this row as a discovery candidate; it does not independently verify an exact current research program, eligibility, or funding.</x:v>
      </x:c>
      <x:c r="H1259" s="17" t="str">
        <x:v>Pass 2 Stage 2 candidate funnel</x:v>
      </x:c>
      <x:c r="I1259" s="17" t="str">
        <x:v>Graduate audit pipeline</x:v>
      </x:c>
      <x:c r="J1259" s="17" t="str">
        <x:v>derived</x:v>
      </x:c>
      <x:c r="K1259" s="17" t="str">
        <x:v>2026-09-11</x:v>
      </x:c>
      <x:c r="L1259" s="17" t="str">
        <x:v>Not cycle-specific</x:v>
      </x:c>
      <x:c r="M1259" s="17" t="str">
        <x:v>low</x:v>
      </x:c>
      <x:c r="N1259" s="17" t="str">
        <x:v>Discovery evidence only</x:v>
      </x:c>
      <x:c r="O1259" s="17" t="str">
        <x:v>Use the source_record_paths field to trace the underlying discovery inputs.</x:v>
      </x:c>
      <x:c r="P1259" s="18" t="e">
        <x:f>HYPERLINK("https://www.subr.edu","Open source")</x:f>
        <x:v>HYPERLINK is not implemented. linkLocation=https://www.subr.edu, friendlyName=Open source</x:v>
      </x:c>
    </x:row>
    <x:row r="1260" ht="46" customHeight="1">
      <x:c r="A1260" s="17" t="str">
        <x:v>stage3src:f58e7c5d0d26b62fcbac</x:v>
      </x:c>
      <x:c r="B1260" s="17" t="str">
        <x:v>program</x:v>
      </x:c>
      <x:c r="C1260" s="17" t="str">
        <x:v>Southern University at New Orleans</x:v>
      </x:c>
      <x:c r="D1260" s="17" t="str">
        <x:v>us:ipeds:160630:program:unclear:ipeds-discovery-signal-information-science-studies-cip-11-0401</x:v>
      </x:c>
      <x:c r="E1260" s="17" t="str"/>
      <x:c r="F1260" s="17" t="str">
        <x:v>discovery</x:v>
      </x:c>
      <x:c r="G1260" s="17" t="str">
        <x:v>Stage 2 recorded this row as a discovery candidate; it does not independently verify an exact current research program, eligibility, or funding.</x:v>
      </x:c>
      <x:c r="H1260" s="17" t="str">
        <x:v>Pass 2 Stage 2 candidate funnel</x:v>
      </x:c>
      <x:c r="I1260" s="17" t="str">
        <x:v>Graduate audit pipeline</x:v>
      </x:c>
      <x:c r="J1260" s="17" t="str">
        <x:v>derived</x:v>
      </x:c>
      <x:c r="K1260" s="17" t="str">
        <x:v>2026-09-11</x:v>
      </x:c>
      <x:c r="L1260" s="17" t="str">
        <x:v>Not cycle-specific</x:v>
      </x:c>
      <x:c r="M1260" s="17" t="str">
        <x:v>low</x:v>
      </x:c>
      <x:c r="N1260" s="17" t="str">
        <x:v>Discovery evidence only</x:v>
      </x:c>
      <x:c r="O1260" s="17" t="str">
        <x:v>Use the source_record_paths field to trace the underlying discovery inputs.</x:v>
      </x:c>
      <x:c r="P1260" s="18" t="e">
        <x:f>HYPERLINK("https://www.suno.edu","Open source")</x:f>
        <x:v>HYPERLINK is not implemented. linkLocation=https://www.suno.edu, friendlyName=Open source</x:v>
      </x:c>
    </x:row>
    <x:row r="1261" ht="46" customHeight="1">
      <x:c r="A1261" s="17" t="str">
        <x:v>stage3src:1e8b9fd86921b9d9fa50</x:v>
      </x:c>
      <x:c r="B1261" s="17" t="str">
        <x:v>program</x:v>
      </x:c>
      <x:c r="C1261" s="17" t="str">
        <x:v>University of Louisiana at Lafayette</x:v>
      </x:c>
      <x:c r="D1261" s="17" t="str">
        <x:v>us:ipeds:160658:program:phd:phd-in-applied-computing-and-information-sciences</x:v>
      </x:c>
      <x:c r="E1261" s="17" t="str"/>
      <x:c r="F1261" s="17" t="str">
        <x:v>program|research|admissions|eligibility|deadline|funding</x:v>
      </x:c>
      <x:c r="G1261" s="17" t="str">
        <x:v>Current doctorate, bachelor's-entry structure, prerequisites, fall deadline, and fellowship or assistantship dates.</x:v>
      </x:c>
      <x:c r="H1261" s="17" t="str">
        <x:v>Applied Computing and Information Sciences, PhD</x:v>
      </x:c>
      <x:c r="I1261" s="17" t="str">
        <x:v>University of Louisiana at Lafayette</x:v>
      </x:c>
      <x:c r="J1261" s="17" t="str">
        <x:v>official</x:v>
      </x:c>
      <x:c r="K1261" s="17" t="str">
        <x:v>2026-09-11</x:v>
      </x:c>
      <x:c r="L1261" s="17" t="str">
        <x:v>Current page checked 2026-09-11</x:v>
      </x:c>
      <x:c r="M1261" s="17" t="str">
        <x:v>high</x:v>
      </x:c>
      <x:c r="N1261" s="17" t="str">
        <x:v>official page checked</x:v>
      </x:c>
      <x:c r="O1261" s="17" t="str"/>
      <x:c r="P1261" s="18" t="e">
        <x:f>HYPERLINK("https://louisiana.edu/graduateschool/majors-minors/applied-computing-and-information-sciences-phd","Open source")</x:f>
        <x:v>HYPERLINK is not implemented. linkLocation=https://louisiana.edu/graduateschool/majors-minors/applied-computing-and-information-sciences-phd, friendlyName=Open source</x:v>
      </x:c>
    </x:row>
    <x:row r="1262" ht="46" customHeight="1">
      <x:c r="A1262" s="17" t="str">
        <x:v>stage3src:f5acc9527d7f77977dcf</x:v>
      </x:c>
      <x:c r="B1262" s="17" t="str">
        <x:v>program</x:v>
      </x:c>
      <x:c r="C1262" s="17" t="str">
        <x:v>University of Louisiana at Lafayette</x:v>
      </x:c>
      <x:c r="D1262" s="17" t="str">
        <x:v>us:ipeds:160658:program:phd:phd-in-applied-computing-and-information-sciences</x:v>
      </x:c>
      <x:c r="E1262" s="17" t="str"/>
      <x:c r="F1262" s="17" t="str">
        <x:v>funding|tuition|fees|insurance|summer</x:v>
      </x:c>
      <x:c r="G1262" s="17" t="str">
        <x:v>2026–27 fellowship stipend floor, tuition and mandatory-fee waiver, summer inclusion, duration, and international insurance limitation.</x:v>
      </x:c>
      <x:c r="H1262" s="17" t="str">
        <x:v>PhD University Fellowship Application 2026–2027</x:v>
      </x:c>
      <x:c r="I1262" s="17" t="str">
        <x:v>University of Louisiana at Lafayette</x:v>
      </x:c>
      <x:c r="J1262" s="17" t="str">
        <x:v>official</x:v>
      </x:c>
      <x:c r="K1262" s="17" t="str">
        <x:v>2026-09-11</x:v>
      </x:c>
      <x:c r="L1262" s="17" t="str">
        <x:v>2026–27</x:v>
      </x:c>
      <x:c r="M1262" s="17" t="str">
        <x:v>high</x:v>
      </x:c>
      <x:c r="N1262" s="17" t="str">
        <x:v>official page checked</x:v>
      </x:c>
      <x:c r="O1262" s="17" t="str"/>
      <x:c r="P1262" s="18" t="e">
        <x:f>HYPERLINK("https://louisiana.edu/sites/default/files/2026-01/PhD%20University%20Fellowship%20Application%20%282026-2027%29%201%202.pdf","Open source")</x:f>
        <x:v>HYPERLINK is not implemented. linkLocation=https://louisiana.edu/sites/default/files/2026-01/PhD%20University%20Fellowship%20Application%20%282026-2027%29%201%202.pdf, friendlyName=Open source</x:v>
      </x:c>
    </x:row>
    <x:row r="1263" ht="46" customHeight="1">
      <x:c r="A1263" s="17" t="str">
        <x:v>stage3src:79cf5a81f435dcb31278</x:v>
      </x:c>
      <x:c r="B1263" s="17" t="str">
        <x:v>program</x:v>
      </x:c>
      <x:c r="C1263" s="17" t="str">
        <x:v>University of Louisiana at Lafayette</x:v>
      </x:c>
      <x:c r="D1263" s="17" t="str">
        <x:v>us:ipeds:160658:program:unclear:ipeds-discovery-signal-computer-engineering-general-cip-14-0901</x:v>
      </x:c>
      <x:c r="E1263" s="17" t="str"/>
      <x:c r="F1263" s="17" t="str">
        <x:v>discovery</x:v>
      </x:c>
      <x:c r="G1263" s="17" t="str">
        <x:v>Stage 2 recorded this row as a discovery candidate; it does not independently verify an exact current research program, eligibility, or funding.</x:v>
      </x:c>
      <x:c r="H1263" s="17" t="str">
        <x:v>Pass 2 Stage 2 candidate funnel</x:v>
      </x:c>
      <x:c r="I1263" s="17" t="str">
        <x:v>Graduate audit pipeline</x:v>
      </x:c>
      <x:c r="J1263" s="17" t="str">
        <x:v>derived</x:v>
      </x:c>
      <x:c r="K1263" s="17" t="str">
        <x:v>2026-09-11</x:v>
      </x:c>
      <x:c r="L1263" s="17" t="str">
        <x:v>Not cycle-specific</x:v>
      </x:c>
      <x:c r="M1263" s="17" t="str">
        <x:v>low</x:v>
      </x:c>
      <x:c r="N1263" s="17" t="str">
        <x:v>Discovery evidence only</x:v>
      </x:c>
      <x:c r="O1263" s="17" t="str">
        <x:v>Use the source_record_paths field to trace the underlying discovery inputs.</x:v>
      </x:c>
      <x:c r="P1263" s="18" t="e">
        <x:f>HYPERLINK("https://www.louisiana.edu","Open source")</x:f>
        <x:v>HYPERLINK is not implemented. linkLocation=https://www.louisiana.edu, friendlyName=Open source</x:v>
      </x:c>
    </x:row>
    <x:row r="1264" ht="46" customHeight="1">
      <x:c r="A1264" s="17" t="str">
        <x:v>stage3src:6275c3eddf307a88d6ea</x:v>
      </x:c>
      <x:c r="B1264" s="17" t="str">
        <x:v>program</x:v>
      </x:c>
      <x:c r="C1264" s="17" t="str">
        <x:v>University of Louisiana at Lafayette</x:v>
      </x:c>
      <x:c r="D1264" s="17" t="str">
        <x:v>us:ipeds:160658:program:unclear:ipeds-discovery-signal-computer-science-cip-11-0701</x:v>
      </x:c>
      <x:c r="E1264" s="17" t="str"/>
      <x:c r="F1264" s="17" t="str">
        <x:v>discovery</x:v>
      </x:c>
      <x:c r="G1264" s="17" t="str">
        <x:v>Stage 2 recorded this row as a discovery candidate; it does not independently verify an exact current research program, eligibility, or funding.</x:v>
      </x:c>
      <x:c r="H1264" s="17" t="str">
        <x:v>Pass 2 Stage 2 candidate funnel</x:v>
      </x:c>
      <x:c r="I1264" s="17" t="str">
        <x:v>Graduate audit pipeline</x:v>
      </x:c>
      <x:c r="J1264" s="17" t="str">
        <x:v>derived</x:v>
      </x:c>
      <x:c r="K1264" s="17" t="str">
        <x:v>2026-09-11</x:v>
      </x:c>
      <x:c r="L1264" s="17" t="str">
        <x:v>Not cycle-specific</x:v>
      </x:c>
      <x:c r="M1264" s="17" t="str">
        <x:v>low</x:v>
      </x:c>
      <x:c r="N1264" s="17" t="str">
        <x:v>Discovery evidence only</x:v>
      </x:c>
      <x:c r="O1264" s="17" t="str">
        <x:v>Use the source_record_paths field to trace the underlying discovery inputs.</x:v>
      </x:c>
      <x:c r="P1264" s="18" t="e">
        <x:f>HYPERLINK("https://www.louisiana.edu","Open source")</x:f>
        <x:v>HYPERLINK is not implemented. linkLocation=https://www.louisiana.edu, friendlyName=Open source</x:v>
      </x:c>
    </x:row>
    <x:row r="1265" ht="46" customHeight="1">
      <x:c r="A1265" s="17" t="str">
        <x:v>stage3src:626a6466216ca194c8c7</x:v>
      </x:c>
      <x:c r="B1265" s="17" t="str">
        <x:v>program</x:v>
      </x:c>
      <x:c r="C1265" s="17" t="str">
        <x:v>University of Louisiana at Lafayette</x:v>
      </x:c>
      <x:c r="D1265" s="17" t="str">
        <x:v>us:ipeds:160658:program:unclear:ipeds-discovery-signal-informatics-cip-11-0104</x:v>
      </x:c>
      <x:c r="E1265" s="17" t="str"/>
      <x:c r="F1265" s="17" t="str">
        <x:v>discovery</x:v>
      </x:c>
      <x:c r="G1265" s="17" t="str">
        <x:v>Stage 2 recorded this row as a discovery candidate; it does not independently verify an exact current research program, eligibility, or funding.</x:v>
      </x:c>
      <x:c r="H1265" s="17" t="str">
        <x:v>Pass 2 Stage 2 candidate funnel</x:v>
      </x:c>
      <x:c r="I1265" s="17" t="str">
        <x:v>Graduate audit pipeline</x:v>
      </x:c>
      <x:c r="J1265" s="17" t="str">
        <x:v>derived</x:v>
      </x:c>
      <x:c r="K1265" s="17" t="str">
        <x:v>2026-09-11</x:v>
      </x:c>
      <x:c r="L1265" s="17" t="str">
        <x:v>Not cycle-specific</x:v>
      </x:c>
      <x:c r="M1265" s="17" t="str">
        <x:v>low</x:v>
      </x:c>
      <x:c r="N1265" s="17" t="str">
        <x:v>Discovery evidence only</x:v>
      </x:c>
      <x:c r="O1265" s="17" t="str">
        <x:v>Use the source_record_paths field to trace the underlying discovery inputs.</x:v>
      </x:c>
      <x:c r="P1265" s="18" t="e">
        <x:f>HYPERLINK("https://www.louisiana.edu","Open source")</x:f>
        <x:v>HYPERLINK is not implemented. linkLocation=https://www.louisiana.edu, friendlyName=Open source</x:v>
      </x:c>
    </x:row>
    <x:row r="1266" ht="46" customHeight="1">
      <x:c r="A1266" s="17" t="str">
        <x:v>stage3src:3214f4f0572ff50c79d8</x:v>
      </x:c>
      <x:c r="B1266" s="17" t="str">
        <x:v>program</x:v>
      </x:c>
      <x:c r="C1266" s="17" t="str">
        <x:v>Tulane University of Louisiana</x:v>
      </x:c>
      <x:c r="D1266" s="17" t="str">
        <x:v>us:ipeds:160755:program:unclear:ipeds-discovery-signal-computer-and-information-sciences-general-cip-11-0101</x:v>
      </x:c>
      <x:c r="E1266" s="17" t="str"/>
      <x:c r="F1266" s="17" t="str">
        <x:v>discovery</x:v>
      </x:c>
      <x:c r="G1266" s="17" t="str">
        <x:v>Stage 2 recorded this row as a discovery candidate; it does not independently verify an exact current research program, eligibility, or funding.</x:v>
      </x:c>
      <x:c r="H1266" s="17" t="str">
        <x:v>Pass 2 Stage 2 candidate funnel</x:v>
      </x:c>
      <x:c r="I1266" s="17" t="str">
        <x:v>Graduate audit pipeline</x:v>
      </x:c>
      <x:c r="J1266" s="17" t="str">
        <x:v>derived</x:v>
      </x:c>
      <x:c r="K1266" s="17" t="str">
        <x:v>2026-09-11</x:v>
      </x:c>
      <x:c r="L1266" s="17" t="str">
        <x:v>Not cycle-specific</x:v>
      </x:c>
      <x:c r="M1266" s="17" t="str">
        <x:v>low</x:v>
      </x:c>
      <x:c r="N1266" s="17" t="str">
        <x:v>Discovery evidence only</x:v>
      </x:c>
      <x:c r="O1266" s="17" t="str">
        <x:v>Use the source_record_paths field to trace the underlying discovery inputs.</x:v>
      </x:c>
      <x:c r="P1266" s="18" t="e">
        <x:f>HYPERLINK("https://tulane.edu","Open source")</x:f>
        <x:v>HYPERLINK is not implemented. linkLocation=https://tulane.edu, friendlyName=Open source</x:v>
      </x:c>
    </x:row>
    <x:row r="1267" ht="46" customHeight="1">
      <x:c r="A1267" s="17" t="str">
        <x:v>stage3src:750df45dc5741a6444e3</x:v>
      </x:c>
      <x:c r="B1267" s="17" t="str">
        <x:v>program</x:v>
      </x:c>
      <x:c r="C1267" s="17" t="str">
        <x:v>Tulane University of Louisiana</x:v>
      </x:c>
      <x:c r="D1267" s="17" t="str">
        <x:v>us:ipeds:160755:program:unclear:ipeds-discovery-signal-computer-and-information-systems-security-auditing-information-assurance-cip-11-1003</x:v>
      </x:c>
      <x:c r="E1267" s="17" t="str"/>
      <x:c r="F1267" s="17" t="str">
        <x:v>discovery</x:v>
      </x:c>
      <x:c r="G1267" s="17" t="str">
        <x:v>Stage 2 recorded this row as a discovery candidate; it does not independently verify an exact current research program, eligibility, or funding.</x:v>
      </x:c>
      <x:c r="H1267" s="17" t="str">
        <x:v>Pass 2 Stage 2 candidate funnel</x:v>
      </x:c>
      <x:c r="I1267" s="17" t="str">
        <x:v>Graduate audit pipeline</x:v>
      </x:c>
      <x:c r="J1267" s="17" t="str">
        <x:v>derived</x:v>
      </x:c>
      <x:c r="K1267" s="17" t="str">
        <x:v>2026-09-11</x:v>
      </x:c>
      <x:c r="L1267" s="17" t="str">
        <x:v>Not cycle-specific</x:v>
      </x:c>
      <x:c r="M1267" s="17" t="str">
        <x:v>low</x:v>
      </x:c>
      <x:c r="N1267" s="17" t="str">
        <x:v>Discovery evidence only</x:v>
      </x:c>
      <x:c r="O1267" s="17" t="str">
        <x:v>Use the source_record_paths field to trace the underlying discovery inputs.</x:v>
      </x:c>
      <x:c r="P1267" s="18" t="e">
        <x:f>HYPERLINK("https://tulane.edu","Open source")</x:f>
        <x:v>HYPERLINK is not implemented. linkLocation=https://tulane.edu, friendlyName=Open source</x:v>
      </x:c>
    </x:row>
    <x:row r="1268" ht="46" customHeight="1">
      <x:c r="A1268" s="17" t="str">
        <x:v>stage3src:4e9c8dbd3e4d01e24b83</x:v>
      </x:c>
      <x:c r="B1268" s="17" t="str">
        <x:v>program</x:v>
      </x:c>
      <x:c r="C1268" s="17" t="str">
        <x:v>Tulane University of Louisiana</x:v>
      </x:c>
      <x:c r="D1268" s="17" t="str">
        <x:v>us:ipeds:160755:program:unclear:ipeds-discovery-signal-computer-science-cip-11-0701</x:v>
      </x:c>
      <x:c r="E1268" s="17" t="str"/>
      <x:c r="F1268" s="17" t="str">
        <x:v>discovery</x:v>
      </x:c>
      <x:c r="G1268" s="17" t="str">
        <x:v>Stage 2 recorded this row as a discovery candidate; it does not independently verify an exact current research program, eligibility, or funding.</x:v>
      </x:c>
      <x:c r="H1268" s="17" t="str">
        <x:v>Pass 2 Stage 2 candidate funnel</x:v>
      </x:c>
      <x:c r="I1268" s="17" t="str">
        <x:v>Graduate audit pipeline</x:v>
      </x:c>
      <x:c r="J1268" s="17" t="str">
        <x:v>derived</x:v>
      </x:c>
      <x:c r="K1268" s="17" t="str">
        <x:v>2026-09-11</x:v>
      </x:c>
      <x:c r="L1268" s="17" t="str">
        <x:v>Not cycle-specific</x:v>
      </x:c>
      <x:c r="M1268" s="17" t="str">
        <x:v>low</x:v>
      </x:c>
      <x:c r="N1268" s="17" t="str">
        <x:v>Discovery evidence only</x:v>
      </x:c>
      <x:c r="O1268" s="17" t="str">
        <x:v>Use the source_record_paths field to trace the underlying discovery inputs.</x:v>
      </x:c>
      <x:c r="P1268" s="18" t="e">
        <x:f>HYPERLINK("https://tulane.edu","Open source")</x:f>
        <x:v>HYPERLINK is not implemented. linkLocation=https://tulane.edu, friendlyName=Open source</x:v>
      </x:c>
    </x:row>
    <x:row r="1269" ht="46" customHeight="1">
      <x:c r="A1269" s="17" t="str">
        <x:v>stage3src:45e7141e7b825ad01238</x:v>
      </x:c>
      <x:c r="B1269" s="17" t="str">
        <x:v>program</x:v>
      </x:c>
      <x:c r="C1269" s="17" t="str">
        <x:v>University of Maine at Augusta</x:v>
      </x:c>
      <x:c r="D1269" s="17" t="str">
        <x:v>us:ipeds:161217:program:unclear:ipeds-discovery-signal-computer-and-information-systems-security-auditing-information-assurance-cip-11-1003</x:v>
      </x:c>
      <x:c r="E1269" s="17" t="str"/>
      <x:c r="F1269" s="17" t="str">
        <x:v>discovery</x:v>
      </x:c>
      <x:c r="G1269" s="17" t="str">
        <x:v>Stage 2 recorded this row as a discovery candidate; it does not independently verify an exact current research program, eligibility, or funding.</x:v>
      </x:c>
      <x:c r="H1269" s="17" t="str">
        <x:v>Pass 2 Stage 2 candidate funnel</x:v>
      </x:c>
      <x:c r="I1269" s="17" t="str">
        <x:v>Graduate audit pipeline</x:v>
      </x:c>
      <x:c r="J1269" s="17" t="str">
        <x:v>derived</x:v>
      </x:c>
      <x:c r="K1269" s="17" t="str">
        <x:v>2026-09-11</x:v>
      </x:c>
      <x:c r="L1269" s="17" t="str">
        <x:v>Not cycle-specific</x:v>
      </x:c>
      <x:c r="M1269" s="17" t="str">
        <x:v>low</x:v>
      </x:c>
      <x:c r="N1269" s="17" t="str">
        <x:v>Discovery evidence only</x:v>
      </x:c>
      <x:c r="O1269" s="17" t="str">
        <x:v>Use the source_record_paths field to trace the underlying discovery inputs.</x:v>
      </x:c>
      <x:c r="P1269" s="18" t="e">
        <x:f>HYPERLINK("https://www.uma.edu","Open source")</x:f>
        <x:v>HYPERLINK is not implemented. linkLocation=https://www.uma.edu, friendlyName=Open source</x:v>
      </x:c>
    </x:row>
    <x:row r="1270" ht="46" customHeight="1">
      <x:c r="A1270" s="17" t="str">
        <x:v>stage3src:4cf32e2d5374acdb7447</x:v>
      </x:c>
      <x:c r="B1270" s="17" t="str">
        <x:v>program</x:v>
      </x:c>
      <x:c r="C1270" s="17" t="str">
        <x:v>University of Maine</x:v>
      </x:c>
      <x:c r="D1270" s="17" t="str">
        <x:v>us:ipeds:161253:program:unclear:ipeds-discovery-signal-computer-engineering-general-cip-14-0901</x:v>
      </x:c>
      <x:c r="E1270" s="17" t="str"/>
      <x:c r="F1270" s="17" t="str">
        <x:v>discovery</x:v>
      </x:c>
      <x:c r="G1270" s="17" t="str">
        <x:v>Stage 2 recorded this row as a discovery candidate; it does not independently verify an exact current research program, eligibility, or funding.</x:v>
      </x:c>
      <x:c r="H1270" s="17" t="str">
        <x:v>Pass 2 Stage 2 candidate funnel</x:v>
      </x:c>
      <x:c r="I1270" s="17" t="str">
        <x:v>Graduate audit pipeline</x:v>
      </x:c>
      <x:c r="J1270" s="17" t="str">
        <x:v>derived</x:v>
      </x:c>
      <x:c r="K1270" s="17" t="str">
        <x:v>2026-09-11</x:v>
      </x:c>
      <x:c r="L1270" s="17" t="str">
        <x:v>Not cycle-specific</x:v>
      </x:c>
      <x:c r="M1270" s="17" t="str">
        <x:v>low</x:v>
      </x:c>
      <x:c r="N1270" s="17" t="str">
        <x:v>Discovery evidence only</x:v>
      </x:c>
      <x:c r="O1270" s="17" t="str">
        <x:v>Use the source_record_paths field to trace the underlying discovery inputs.</x:v>
      </x:c>
      <x:c r="P1270" s="18" t="e">
        <x:f>HYPERLINK("https://www.umaine.edu","Open source")</x:f>
        <x:v>HYPERLINK is not implemented. linkLocation=https://www.umaine.edu, friendlyName=Open source</x:v>
      </x:c>
    </x:row>
    <x:row r="1271" ht="46" customHeight="1">
      <x:c r="A1271" s="17" t="str">
        <x:v>stage3src:3bfdbf2158b4bc2b4d01</x:v>
      </x:c>
      <x:c r="B1271" s="17" t="str">
        <x:v>program</x:v>
      </x:c>
      <x:c r="C1271" s="17" t="str">
        <x:v>University of Maine</x:v>
      </x:c>
      <x:c r="D1271" s="17" t="str">
        <x:v>us:ipeds:161253:program:unclear:ipeds-discovery-signal-computer-science-cip-11-0701</x:v>
      </x:c>
      <x:c r="E1271" s="17" t="str"/>
      <x:c r="F1271" s="17" t="str">
        <x:v>discovery</x:v>
      </x:c>
      <x:c r="G1271" s="17" t="str">
        <x:v>Stage 2 recorded this row as a discovery candidate; it does not independently verify an exact current research program, eligibility, or funding.</x:v>
      </x:c>
      <x:c r="H1271" s="17" t="str">
        <x:v>Pass 2 Stage 2 candidate funnel</x:v>
      </x:c>
      <x:c r="I1271" s="17" t="str">
        <x:v>Graduate audit pipeline</x:v>
      </x:c>
      <x:c r="J1271" s="17" t="str">
        <x:v>derived</x:v>
      </x:c>
      <x:c r="K1271" s="17" t="str">
        <x:v>2026-09-11</x:v>
      </x:c>
      <x:c r="L1271" s="17" t="str">
        <x:v>Not cycle-specific</x:v>
      </x:c>
      <x:c r="M1271" s="17" t="str">
        <x:v>low</x:v>
      </x:c>
      <x:c r="N1271" s="17" t="str">
        <x:v>Discovery evidence only</x:v>
      </x:c>
      <x:c r="O1271" s="17" t="str">
        <x:v>Use the source_record_paths field to trace the underlying discovery inputs.</x:v>
      </x:c>
      <x:c r="P1271" s="18" t="e">
        <x:f>HYPERLINK("https://www.umaine.edu","Open source")</x:f>
        <x:v>HYPERLINK is not implemented. linkLocation=https://www.umaine.edu, friendlyName=Open source</x:v>
      </x:c>
    </x:row>
    <x:row r="1272" ht="46" customHeight="1">
      <x:c r="A1272" s="17" t="str">
        <x:v>stage3src:4cebf1b5afb41cfbc3ce</x:v>
      </x:c>
      <x:c r="B1272" s="17" t="str">
        <x:v>program</x:v>
      </x:c>
      <x:c r="C1272" s="17" t="str">
        <x:v>University of Maine</x:v>
      </x:c>
      <x:c r="D1272" s="17" t="str">
        <x:v>us:ipeds:161253:program:unclear:ipeds-discovery-signal-electrical-and-electronics-engineering-cip-14-1001</x:v>
      </x:c>
      <x:c r="E1272" s="17" t="str"/>
      <x:c r="F1272" s="17" t="str">
        <x:v>discovery</x:v>
      </x:c>
      <x:c r="G1272" s="17" t="str">
        <x:v>Stage 2 recorded this row as a discovery candidate; it does not independently verify an exact current research program, eligibility, or funding.</x:v>
      </x:c>
      <x:c r="H1272" s="17" t="str">
        <x:v>Pass 2 Stage 2 candidate funnel</x:v>
      </x:c>
      <x:c r="I1272" s="17" t="str">
        <x:v>Graduate audit pipeline</x:v>
      </x:c>
      <x:c r="J1272" s="17" t="str">
        <x:v>derived</x:v>
      </x:c>
      <x:c r="K1272" s="17" t="str">
        <x:v>2026-09-11</x:v>
      </x:c>
      <x:c r="L1272" s="17" t="str">
        <x:v>Not cycle-specific</x:v>
      </x:c>
      <x:c r="M1272" s="17" t="str">
        <x:v>low</x:v>
      </x:c>
      <x:c r="N1272" s="17" t="str">
        <x:v>Discovery evidence only</x:v>
      </x:c>
      <x:c r="O1272" s="17" t="str">
        <x:v>Use the source_record_paths field to trace the underlying discovery inputs.</x:v>
      </x:c>
      <x:c r="P1272" s="18" t="e">
        <x:f>HYPERLINK("https://www.umaine.edu","Open source")</x:f>
        <x:v>HYPERLINK is not implemented. linkLocation=https://www.umaine.edu, friendlyName=Open source</x:v>
      </x:c>
    </x:row>
    <x:row r="1273" ht="46" customHeight="1">
      <x:c r="A1273" s="17" t="str">
        <x:v>stage3src:88038bb12716d354b67c</x:v>
      </x:c>
      <x:c r="B1273" s="17" t="str">
        <x:v>program</x:v>
      </x:c>
      <x:c r="C1273" s="17" t="str">
        <x:v>University of Maine</x:v>
      </x:c>
      <x:c r="D1273" s="17" t="str">
        <x:v>us:ipeds:161253:program:unclear:ipeds-discovery-signal-informatics-cip-11-0104</x:v>
      </x:c>
      <x:c r="E1273" s="17" t="str"/>
      <x:c r="F1273" s="17" t="str">
        <x:v>discovery</x:v>
      </x:c>
      <x:c r="G1273" s="17" t="str">
        <x:v>Stage 2 recorded this row as a discovery candidate; it does not independently verify an exact current research program, eligibility, or funding.</x:v>
      </x:c>
      <x:c r="H1273" s="17" t="str">
        <x:v>Pass 2 Stage 2 candidate funnel</x:v>
      </x:c>
      <x:c r="I1273" s="17" t="str">
        <x:v>Graduate audit pipeline</x:v>
      </x:c>
      <x:c r="J1273" s="17" t="str">
        <x:v>derived</x:v>
      </x:c>
      <x:c r="K1273" s="17" t="str">
        <x:v>2026-09-11</x:v>
      </x:c>
      <x:c r="L1273" s="17" t="str">
        <x:v>Not cycle-specific</x:v>
      </x:c>
      <x:c r="M1273" s="17" t="str">
        <x:v>low</x:v>
      </x:c>
      <x:c r="N1273" s="17" t="str">
        <x:v>Discovery evidence only</x:v>
      </x:c>
      <x:c r="O1273" s="17" t="str">
        <x:v>Use the source_record_paths field to trace the underlying discovery inputs.</x:v>
      </x:c>
      <x:c r="P1273" s="18" t="e">
        <x:f>HYPERLINK("https://www.umaine.edu","Open source")</x:f>
        <x:v>HYPERLINK is not implemented. linkLocation=https://www.umaine.edu, friendlyName=Open source</x:v>
      </x:c>
    </x:row>
    <x:row r="1274" ht="46" customHeight="1">
      <x:c r="A1274" s="17" t="str">
        <x:v>stage3src:d9f320ac0b29a71e0184</x:v>
      </x:c>
      <x:c r="B1274" s="17" t="str">
        <x:v>program</x:v>
      </x:c>
      <x:c r="C1274" s="17" t="str">
        <x:v>University of Maine</x:v>
      </x:c>
      <x:c r="D1274" s="17" t="str">
        <x:v>us:ipeds:161253:program:unclear:ipeds-discovery-signal-information-technology-cip-11-0103</x:v>
      </x:c>
      <x:c r="E1274" s="17" t="str"/>
      <x:c r="F1274" s="17" t="str">
        <x:v>discovery</x:v>
      </x:c>
      <x:c r="G1274" s="17" t="str">
        <x:v>Stage 2 recorded this row as a discovery candidate; it does not independently verify an exact current research program, eligibility, or funding.</x:v>
      </x:c>
      <x:c r="H1274" s="17" t="str">
        <x:v>Pass 2 Stage 2 candidate funnel</x:v>
      </x:c>
      <x:c r="I1274" s="17" t="str">
        <x:v>Graduate audit pipeline</x:v>
      </x:c>
      <x:c r="J1274" s="17" t="str">
        <x:v>derived</x:v>
      </x:c>
      <x:c r="K1274" s="17" t="str">
        <x:v>2026-09-11</x:v>
      </x:c>
      <x:c r="L1274" s="17" t="str">
        <x:v>Not cycle-specific</x:v>
      </x:c>
      <x:c r="M1274" s="17" t="str">
        <x:v>low</x:v>
      </x:c>
      <x:c r="N1274" s="17" t="str">
        <x:v>Discovery evidence only</x:v>
      </x:c>
      <x:c r="O1274" s="17" t="str">
        <x:v>Use the source_record_paths field to trace the underlying discovery inputs.</x:v>
      </x:c>
      <x:c r="P1274" s="18" t="e">
        <x:f>HYPERLINK("https://www.umaine.edu","Open source")</x:f>
        <x:v>HYPERLINK is not implemented. linkLocation=https://www.umaine.edu, friendlyName=Open source</x:v>
      </x:c>
    </x:row>
    <x:row r="1275" ht="46" customHeight="1">
      <x:c r="A1275" s="17" t="str">
        <x:v>stage3src:38bab1cf7a939fdbfedf</x:v>
      </x:c>
      <x:c r="B1275" s="17" t="str">
        <x:v>program</x:v>
      </x:c>
      <x:c r="C1275" s="17" t="str">
        <x:v>University of Southern Maine</x:v>
      </x:c>
      <x:c r="D1275" s="17" t="str">
        <x:v>us:ipeds:161554:program:unclear:ipeds-discovery-signal-cyber-computer-forensics-and-counterterrorism-cip-43-0403</x:v>
      </x:c>
      <x:c r="E1275" s="17" t="str"/>
      <x:c r="F1275" s="17" t="str">
        <x:v>discovery</x:v>
      </x:c>
      <x:c r="G1275" s="17" t="str">
        <x:v>Stage 2 recorded this row as a discovery candidate; it does not independently verify an exact current research program, eligibility, or funding.</x:v>
      </x:c>
      <x:c r="H1275" s="17" t="str">
        <x:v>Pass 2 Stage 2 candidate funnel</x:v>
      </x:c>
      <x:c r="I1275" s="17" t="str">
        <x:v>Graduate audit pipeline</x:v>
      </x:c>
      <x:c r="J1275" s="17" t="str">
        <x:v>derived</x:v>
      </x:c>
      <x:c r="K1275" s="17" t="str">
        <x:v>2026-09-11</x:v>
      </x:c>
      <x:c r="L1275" s="17" t="str">
        <x:v>Not cycle-specific</x:v>
      </x:c>
      <x:c r="M1275" s="17" t="str">
        <x:v>low</x:v>
      </x:c>
      <x:c r="N1275" s="17" t="str">
        <x:v>Discovery evidence only</x:v>
      </x:c>
      <x:c r="O1275" s="17" t="str">
        <x:v>Use the source_record_paths field to trace the underlying discovery inputs.</x:v>
      </x:c>
      <x:c r="P1275" s="18" t="e">
        <x:f>HYPERLINK("https://usm.maine.edu","Open source")</x:f>
        <x:v>HYPERLINK is not implemented. linkLocation=https://usm.maine.edu, friendlyName=Open source</x:v>
      </x:c>
    </x:row>
    <x:row r="1276" ht="46" customHeight="1">
      <x:c r="A1276" s="17" t="str">
        <x:v>stage3src:60518e7168ea61032ed3</x:v>
      </x:c>
      <x:c r="B1276" s="17" t="str">
        <x:v>program</x:v>
      </x:c>
      <x:c r="C1276" s="17" t="str">
        <x:v>Thomas College</x:v>
      </x:c>
      <x:c r="D1276" s="17" t="str">
        <x:v>us:ipeds:161563:program:unclear:ipeds-discovery-signal-computer-and-information-systems-security-auditing-information-assurance-cip-11-1003</x:v>
      </x:c>
      <x:c r="E1276" s="17" t="str"/>
      <x:c r="F1276" s="17" t="str">
        <x:v>discovery</x:v>
      </x:c>
      <x:c r="G1276" s="17" t="str">
        <x:v>Stage 2 recorded this row as a discovery candidate; it does not independently verify an exact current research program, eligibility, or funding.</x:v>
      </x:c>
      <x:c r="H1276" s="17" t="str">
        <x:v>Pass 2 Stage 2 candidate funnel</x:v>
      </x:c>
      <x:c r="I1276" s="17" t="str">
        <x:v>Graduate audit pipeline</x:v>
      </x:c>
      <x:c r="J1276" s="17" t="str">
        <x:v>derived</x:v>
      </x:c>
      <x:c r="K1276" s="17" t="str">
        <x:v>2026-09-11</x:v>
      </x:c>
      <x:c r="L1276" s="17" t="str">
        <x:v>Not cycle-specific</x:v>
      </x:c>
      <x:c r="M1276" s="17" t="str">
        <x:v>low</x:v>
      </x:c>
      <x:c r="N1276" s="17" t="str">
        <x:v>Discovery evidence only</x:v>
      </x:c>
      <x:c r="O1276" s="17" t="str">
        <x:v>Use the source_record_paths field to trace the underlying discovery inputs.</x:v>
      </x:c>
      <x:c r="P1276" s="18" t="e">
        <x:f>HYPERLINK("https://www.thomas.edu","Open source")</x:f>
        <x:v>HYPERLINK is not implemented. linkLocation=https://www.thomas.edu, friendlyName=Open source</x:v>
      </x:c>
    </x:row>
    <x:row r="1277" ht="46" customHeight="1">
      <x:c r="A1277" s="17" t="str">
        <x:v>stage3src:46bcbb2f2b31adf32bed</x:v>
      </x:c>
      <x:c r="B1277" s="17" t="str">
        <x:v>program</x:v>
      </x:c>
      <x:c r="C1277" s="17" t="str">
        <x:v>University of Baltimore</x:v>
      </x:c>
      <x:c r="D1277" s="17" t="str">
        <x:v>us:ipeds:161873:program:unclear:ipeds-discovery-signal-computer-and-information-systems-security-auditing-information-assurance-cip-11-1003</x:v>
      </x:c>
      <x:c r="E1277" s="17" t="str"/>
      <x:c r="F1277" s="17" t="str">
        <x:v>discovery</x:v>
      </x:c>
      <x:c r="G1277" s="17" t="str">
        <x:v>Stage 2 recorded this row as a discovery candidate; it does not independently verify an exact current research program, eligibility, or funding.</x:v>
      </x:c>
      <x:c r="H1277" s="17" t="str">
        <x:v>Pass 2 Stage 2 candidate funnel</x:v>
      </x:c>
      <x:c r="I1277" s="17" t="str">
        <x:v>Graduate audit pipeline</x:v>
      </x:c>
      <x:c r="J1277" s="17" t="str">
        <x:v>derived</x:v>
      </x:c>
      <x:c r="K1277" s="17" t="str">
        <x:v>2026-09-11</x:v>
      </x:c>
      <x:c r="L1277" s="17" t="str">
        <x:v>Not cycle-specific</x:v>
      </x:c>
      <x:c r="M1277" s="17" t="str">
        <x:v>low</x:v>
      </x:c>
      <x:c r="N1277" s="17" t="str">
        <x:v>Discovery evidence only</x:v>
      </x:c>
      <x:c r="O1277" s="17" t="str">
        <x:v>Use the source_record_paths field to trace the underlying discovery inputs.</x:v>
      </x:c>
      <x:c r="P1277" s="18" t="e">
        <x:f>HYPERLINK("https://www.ubalt.edu","Open source")</x:f>
        <x:v>HYPERLINK is not implemented. linkLocation=https://www.ubalt.edu, friendlyName=Open source</x:v>
      </x:c>
    </x:row>
    <x:row r="1278" ht="46" customHeight="1">
      <x:c r="A1278" s="17" t="str">
        <x:v>stage3src:694755686ae66c665877</x:v>
      </x:c>
      <x:c r="B1278" s="17" t="str">
        <x:v>program</x:v>
      </x:c>
      <x:c r="C1278" s="17" t="str">
        <x:v>University of Baltimore</x:v>
      </x:c>
      <x:c r="D1278" s="17" t="str">
        <x:v>us:ipeds:161873:program:unclear:ipeds-discovery-signal-cyber-computer-forensics-and-counterterrorism-cip-43-0403</x:v>
      </x:c>
      <x:c r="E1278" s="17" t="str"/>
      <x:c r="F1278" s="17" t="str">
        <x:v>discovery</x:v>
      </x:c>
      <x:c r="G1278" s="17" t="str">
        <x:v>Stage 2 recorded this row as a discovery candidate; it does not independently verify an exact current research program, eligibility, or funding.</x:v>
      </x:c>
      <x:c r="H1278" s="17" t="str">
        <x:v>Pass 2 Stage 2 candidate funnel</x:v>
      </x:c>
      <x:c r="I1278" s="17" t="str">
        <x:v>Graduate audit pipeline</x:v>
      </x:c>
      <x:c r="J1278" s="17" t="str">
        <x:v>derived</x:v>
      </x:c>
      <x:c r="K1278" s="17" t="str">
        <x:v>2026-09-11</x:v>
      </x:c>
      <x:c r="L1278" s="17" t="str">
        <x:v>Not cycle-specific</x:v>
      </x:c>
      <x:c r="M1278" s="17" t="str">
        <x:v>low</x:v>
      </x:c>
      <x:c r="N1278" s="17" t="str">
        <x:v>Discovery evidence only</x:v>
      </x:c>
      <x:c r="O1278" s="17" t="str">
        <x:v>Use the source_record_paths field to trace the underlying discovery inputs.</x:v>
      </x:c>
      <x:c r="P1278" s="18" t="e">
        <x:f>HYPERLINK("https://www.ubalt.edu","Open source")</x:f>
        <x:v>HYPERLINK is not implemented. linkLocation=https://www.ubalt.edu, friendlyName=Open source</x:v>
      </x:c>
    </x:row>
    <x:row r="1279" ht="46" customHeight="1">
      <x:c r="A1279" s="17" t="str">
        <x:v>stage3src:b4d543e0308d8c44e16a</x:v>
      </x:c>
      <x:c r="B1279" s="17" t="str">
        <x:v>program</x:v>
      </x:c>
      <x:c r="C1279" s="17" t="str">
        <x:v>Bowie State University</x:v>
      </x:c>
      <x:c r="D1279" s="17" t="str">
        <x:v>us:ipeds:162007:program:unclear:ipeds-discovery-signal-computer-and-information-sciences-general-cip-11-0101</x:v>
      </x:c>
      <x:c r="E1279" s="17" t="str"/>
      <x:c r="F1279" s="17" t="str">
        <x:v>discovery</x:v>
      </x:c>
      <x:c r="G1279" s="17" t="str">
        <x:v>Stage 2 recorded this row as a discovery candidate; it does not independently verify an exact current research program, eligibility, or funding.</x:v>
      </x:c>
      <x:c r="H1279" s="17" t="str">
        <x:v>Pass 2 Stage 2 candidate funnel</x:v>
      </x:c>
      <x:c r="I1279" s="17" t="str">
        <x:v>Graduate audit pipeline</x:v>
      </x:c>
      <x:c r="J1279" s="17" t="str">
        <x:v>derived</x:v>
      </x:c>
      <x:c r="K1279" s="17" t="str">
        <x:v>2026-09-11</x:v>
      </x:c>
      <x:c r="L1279" s="17" t="str">
        <x:v>Not cycle-specific</x:v>
      </x:c>
      <x:c r="M1279" s="17" t="str">
        <x:v>low</x:v>
      </x:c>
      <x:c r="N1279" s="17" t="str">
        <x:v>Discovery evidence only</x:v>
      </x:c>
      <x:c r="O1279" s="17" t="str">
        <x:v>Use the source_record_paths field to trace the underlying discovery inputs.</x:v>
      </x:c>
      <x:c r="P1279" s="18" t="e">
        <x:f>HYPERLINK("https://www.bowiestate.edu","Open source")</x:f>
        <x:v>HYPERLINK is not implemented. linkLocation=https://www.bowiestate.edu, friendlyName=Open source</x:v>
      </x:c>
    </x:row>
    <x:row r="1280" ht="46" customHeight="1">
      <x:c r="A1280" s="17" t="str">
        <x:v>stage3src:5c5c1ec2aa47b59d0ed4</x:v>
      </x:c>
      <x:c r="B1280" s="17" t="str">
        <x:v>program</x:v>
      </x:c>
      <x:c r="C1280" s="17" t="str">
        <x:v>Bowie State University</x:v>
      </x:c>
      <x:c r="D1280" s="17" t="str">
        <x:v>us:ipeds:162007:program:unclear:ipeds-discovery-signal-computer-systems-networking-and-telecommunications-cip-11-0901</x:v>
      </x:c>
      <x:c r="E1280" s="17" t="str"/>
      <x:c r="F1280" s="17" t="str">
        <x:v>discovery</x:v>
      </x:c>
      <x:c r="G1280" s="17" t="str">
        <x:v>Stage 2 recorded this row as a discovery candidate; it does not independently verify an exact current research program, eligibility, or funding.</x:v>
      </x:c>
      <x:c r="H1280" s="17" t="str">
        <x:v>Pass 2 Stage 2 candidate funnel</x:v>
      </x:c>
      <x:c r="I1280" s="17" t="str">
        <x:v>Graduate audit pipeline</x:v>
      </x:c>
      <x:c r="J1280" s="17" t="str">
        <x:v>derived</x:v>
      </x:c>
      <x:c r="K1280" s="17" t="str">
        <x:v>2026-09-11</x:v>
      </x:c>
      <x:c r="L1280" s="17" t="str">
        <x:v>Not cycle-specific</x:v>
      </x:c>
      <x:c r="M1280" s="17" t="str">
        <x:v>low</x:v>
      </x:c>
      <x:c r="N1280" s="17" t="str">
        <x:v>Discovery evidence only</x:v>
      </x:c>
      <x:c r="O1280" s="17" t="str">
        <x:v>Use the source_record_paths field to trace the underlying discovery inputs.</x:v>
      </x:c>
      <x:c r="P1280" s="18" t="e">
        <x:f>HYPERLINK("https://www.bowiestate.edu","Open source")</x:f>
        <x:v>HYPERLINK is not implemented. linkLocation=https://www.bowiestate.edu, friendlyName=Open source</x:v>
      </x:c>
    </x:row>
    <x:row r="1281" ht="46" customHeight="1">
      <x:c r="A1281" s="17" t="str">
        <x:v>stage3src:610f9efd2403e9d61648</x:v>
      </x:c>
      <x:c r="B1281" s="17" t="str">
        <x:v>program</x:v>
      </x:c>
      <x:c r="C1281" s="17" t="str">
        <x:v>Bowie State University</x:v>
      </x:c>
      <x:c r="D1281" s="17" t="str">
        <x:v>us:ipeds:162007:program:unclear:ipeds-discovery-signal-information-science-studies-cip-11-0401</x:v>
      </x:c>
      <x:c r="E1281" s="17" t="str"/>
      <x:c r="F1281" s="17" t="str">
        <x:v>discovery</x:v>
      </x:c>
      <x:c r="G1281" s="17" t="str">
        <x:v>Stage 2 recorded this row as a discovery candidate; it does not independently verify an exact current research program, eligibility, or funding.</x:v>
      </x:c>
      <x:c r="H1281" s="17" t="str">
        <x:v>Pass 2 Stage 2 candidate funnel</x:v>
      </x:c>
      <x:c r="I1281" s="17" t="str">
        <x:v>Graduate audit pipeline</x:v>
      </x:c>
      <x:c r="J1281" s="17" t="str">
        <x:v>derived</x:v>
      </x:c>
      <x:c r="K1281" s="17" t="str">
        <x:v>2026-09-11</x:v>
      </x:c>
      <x:c r="L1281" s="17" t="str">
        <x:v>Not cycle-specific</x:v>
      </x:c>
      <x:c r="M1281" s="17" t="str">
        <x:v>low</x:v>
      </x:c>
      <x:c r="N1281" s="17" t="str">
        <x:v>Discovery evidence only</x:v>
      </x:c>
      <x:c r="O1281" s="17" t="str">
        <x:v>Use the source_record_paths field to trace the underlying discovery inputs.</x:v>
      </x:c>
      <x:c r="P1281" s="18" t="e">
        <x:f>HYPERLINK("https://www.bowiestate.edu","Open source")</x:f>
        <x:v>HYPERLINK is not implemented. linkLocation=https://www.bowiestate.edu, friendlyName=Open source</x:v>
      </x:c>
    </x:row>
    <x:row r="1282" ht="46" customHeight="1">
      <x:c r="A1282" s="17" t="str">
        <x:v>stage3src:cd4d8ead038058477000</x:v>
      </x:c>
      <x:c r="B1282" s="17" t="str">
        <x:v>program</x:v>
      </x:c>
      <x:c r="C1282" s="17" t="str">
        <x:v>Capitol Technology University</x:v>
      </x:c>
      <x:c r="D1282" s="17" t="str">
        <x:v>us:ipeds:162061:program:unclear:ipeds-discovery-signal-artificial-intelligence-cip-11-0102</x:v>
      </x:c>
      <x:c r="E1282" s="17" t="str"/>
      <x:c r="F1282" s="17" t="str">
        <x:v>discovery</x:v>
      </x:c>
      <x:c r="G1282" s="17" t="str">
        <x:v>Stage 2 recorded this row as a discovery candidate; it does not independently verify an exact current research program, eligibility, or funding.</x:v>
      </x:c>
      <x:c r="H1282" s="17" t="str">
        <x:v>Pass 2 Stage 2 candidate funnel</x:v>
      </x:c>
      <x:c r="I1282" s="17" t="str">
        <x:v>Graduate audit pipeline</x:v>
      </x:c>
      <x:c r="J1282" s="17" t="str">
        <x:v>derived</x:v>
      </x:c>
      <x:c r="K1282" s="17" t="str">
        <x:v>2026-09-11</x:v>
      </x:c>
      <x:c r="L1282" s="17" t="str">
        <x:v>Not cycle-specific</x:v>
      </x:c>
      <x:c r="M1282" s="17" t="str">
        <x:v>low</x:v>
      </x:c>
      <x:c r="N1282" s="17" t="str">
        <x:v>Discovery evidence only</x:v>
      </x:c>
      <x:c r="O1282" s="17" t="str">
        <x:v>Use the source_record_paths field to trace the underlying discovery inputs.</x:v>
      </x:c>
      <x:c r="P1282" s="18" t="e">
        <x:f>HYPERLINK("https://www.captechu.edu","Open source")</x:f>
        <x:v>HYPERLINK is not implemented. linkLocation=https://www.captechu.edu, friendlyName=Open source</x:v>
      </x:c>
    </x:row>
    <x:row r="1283" ht="46" customHeight="1">
      <x:c r="A1283" s="17" t="str">
        <x:v>stage3src:17ac23d01895b22f8a83</x:v>
      </x:c>
      <x:c r="B1283" s="17" t="str">
        <x:v>program</x:v>
      </x:c>
      <x:c r="C1283" s="17" t="str">
        <x:v>Capitol Technology University</x:v>
      </x:c>
      <x:c r="D1283" s="17" t="str">
        <x:v>us:ipeds:162061:program:unclear:ipeds-discovery-signal-computer-and-information-sciences-general-cip-11-0101</x:v>
      </x:c>
      <x:c r="E1283" s="17" t="str"/>
      <x:c r="F1283" s="17" t="str">
        <x:v>discovery</x:v>
      </x:c>
      <x:c r="G1283" s="17" t="str">
        <x:v>Stage 2 recorded this row as a discovery candidate; it does not independently verify an exact current research program, eligibility, or funding.</x:v>
      </x:c>
      <x:c r="H1283" s="17" t="str">
        <x:v>Pass 2 Stage 2 candidate funnel</x:v>
      </x:c>
      <x:c r="I1283" s="17" t="str">
        <x:v>Graduate audit pipeline</x:v>
      </x:c>
      <x:c r="J1283" s="17" t="str">
        <x:v>derived</x:v>
      </x:c>
      <x:c r="K1283" s="17" t="str">
        <x:v>2026-09-11</x:v>
      </x:c>
      <x:c r="L1283" s="17" t="str">
        <x:v>Not cycle-specific</x:v>
      </x:c>
      <x:c r="M1283" s="17" t="str">
        <x:v>low</x:v>
      </x:c>
      <x:c r="N1283" s="17" t="str">
        <x:v>Discovery evidence only</x:v>
      </x:c>
      <x:c r="O1283" s="17" t="str">
        <x:v>Use the source_record_paths field to trace the underlying discovery inputs.</x:v>
      </x:c>
      <x:c r="P1283" s="18" t="e">
        <x:f>HYPERLINK("https://www.captechu.edu","Open source")</x:f>
        <x:v>HYPERLINK is not implemented. linkLocation=https://www.captechu.edu, friendlyName=Open source</x:v>
      </x:c>
    </x:row>
    <x:row r="1284" ht="46" customHeight="1">
      <x:c r="A1284" s="17" t="str">
        <x:v>stage3src:e8c62081e42f4f13fef7</x:v>
      </x:c>
      <x:c r="B1284" s="17" t="str">
        <x:v>program</x:v>
      </x:c>
      <x:c r="C1284" s="17" t="str">
        <x:v>Capitol Technology University</x:v>
      </x:c>
      <x:c r="D1284" s="17" t="str">
        <x:v>us:ipeds:162061:program:unclear:ipeds-discovery-signal-computer-and-information-systems-security-auditing-information-assurance-cip-11-1003</x:v>
      </x:c>
      <x:c r="E1284" s="17" t="str"/>
      <x:c r="F1284" s="17" t="str">
        <x:v>discovery</x:v>
      </x:c>
      <x:c r="G1284" s="17" t="str">
        <x:v>Stage 2 recorded this row as a discovery candidate; it does not independently verify an exact current research program, eligibility, or funding.</x:v>
      </x:c>
      <x:c r="H1284" s="17" t="str">
        <x:v>Pass 2 Stage 2 candidate funnel</x:v>
      </x:c>
      <x:c r="I1284" s="17" t="str">
        <x:v>Graduate audit pipeline</x:v>
      </x:c>
      <x:c r="J1284" s="17" t="str">
        <x:v>derived</x:v>
      </x:c>
      <x:c r="K1284" s="17" t="str">
        <x:v>2026-09-11</x:v>
      </x:c>
      <x:c r="L1284" s="17" t="str">
        <x:v>Not cycle-specific</x:v>
      </x:c>
      <x:c r="M1284" s="17" t="str">
        <x:v>low</x:v>
      </x:c>
      <x:c r="N1284" s="17" t="str">
        <x:v>Discovery evidence only</x:v>
      </x:c>
      <x:c r="O1284" s="17" t="str">
        <x:v>Use the source_record_paths field to trace the underlying discovery inputs.</x:v>
      </x:c>
      <x:c r="P1284" s="18" t="e">
        <x:f>HYPERLINK("https://www.captechu.edu","Open source")</x:f>
        <x:v>HYPERLINK is not implemented. linkLocation=https://www.captechu.edu, friendlyName=Open source</x:v>
      </x:c>
    </x:row>
    <x:row r="1285" ht="46" customHeight="1">
      <x:c r="A1285" s="17" t="str">
        <x:v>stage3src:0af1419e0ac3b7d6b8a5</x:v>
      </x:c>
      <x:c r="B1285" s="17" t="str">
        <x:v>program</x:v>
      </x:c>
      <x:c r="C1285" s="17" t="str">
        <x:v>Capitol Technology University</x:v>
      </x:c>
      <x:c r="D1285" s="17" t="str">
        <x:v>us:ipeds:162061:program:unclear:ipeds-discovery-signal-computer-science-cip-11-0701</x:v>
      </x:c>
      <x:c r="E1285" s="17" t="str"/>
      <x:c r="F1285" s="17" t="str">
        <x:v>discovery</x:v>
      </x:c>
      <x:c r="G1285" s="17" t="str">
        <x:v>Stage 2 recorded this row as a discovery candidate; it does not independently verify an exact current research program, eligibility, or funding.</x:v>
      </x:c>
      <x:c r="H1285" s="17" t="str">
        <x:v>Pass 2 Stage 2 candidate funnel</x:v>
      </x:c>
      <x:c r="I1285" s="17" t="str">
        <x:v>Graduate audit pipeline</x:v>
      </x:c>
      <x:c r="J1285" s="17" t="str">
        <x:v>derived</x:v>
      </x:c>
      <x:c r="K1285" s="17" t="str">
        <x:v>2026-09-11</x:v>
      </x:c>
      <x:c r="L1285" s="17" t="str">
        <x:v>Not cycle-specific</x:v>
      </x:c>
      <x:c r="M1285" s="17" t="str">
        <x:v>low</x:v>
      </x:c>
      <x:c r="N1285" s="17" t="str">
        <x:v>Discovery evidence only</x:v>
      </x:c>
      <x:c r="O1285" s="17" t="str">
        <x:v>Use the source_record_paths field to trace the underlying discovery inputs.</x:v>
      </x:c>
      <x:c r="P1285" s="18" t="e">
        <x:f>HYPERLINK("https://www.captechu.edu","Open source")</x:f>
        <x:v>HYPERLINK is not implemented. linkLocation=https://www.captechu.edu, friendlyName=Open source</x:v>
      </x:c>
    </x:row>
    <x:row r="1286" ht="46" customHeight="1">
      <x:c r="A1286" s="17" t="str">
        <x:v>stage3src:390f661c6d6017c3a4ec</x:v>
      </x:c>
      <x:c r="B1286" s="17" t="str">
        <x:v>program</x:v>
      </x:c>
      <x:c r="C1286" s="17" t="str">
        <x:v>Capitol Technology University</x:v>
      </x:c>
      <x:c r="D1286" s="17" t="str">
        <x:v>us:ipeds:162061:program:unclear:ipeds-discovery-signal-electrical-and-electronics-engineering-cip-14-1001</x:v>
      </x:c>
      <x:c r="E1286" s="17" t="str"/>
      <x:c r="F1286" s="17" t="str">
        <x:v>discovery</x:v>
      </x:c>
      <x:c r="G1286" s="17" t="str">
        <x:v>Stage 2 recorded this row as a discovery candidate; it does not independently verify an exact current research program, eligibility, or funding.</x:v>
      </x:c>
      <x:c r="H1286" s="17" t="str">
        <x:v>Pass 2 Stage 2 candidate funnel</x:v>
      </x:c>
      <x:c r="I1286" s="17" t="str">
        <x:v>Graduate audit pipeline</x:v>
      </x:c>
      <x:c r="J1286" s="17" t="str">
        <x:v>derived</x:v>
      </x:c>
      <x:c r="K1286" s="17" t="str">
        <x:v>2026-09-11</x:v>
      </x:c>
      <x:c r="L1286" s="17" t="str">
        <x:v>Not cycle-specific</x:v>
      </x:c>
      <x:c r="M1286" s="17" t="str">
        <x:v>low</x:v>
      </x:c>
      <x:c r="N1286" s="17" t="str">
        <x:v>Discovery evidence only</x:v>
      </x:c>
      <x:c r="O1286" s="17" t="str">
        <x:v>Use the source_record_paths field to trace the underlying discovery inputs.</x:v>
      </x:c>
      <x:c r="P1286" s="18" t="e">
        <x:f>HYPERLINK("https://www.captechu.edu","Open source")</x:f>
        <x:v>HYPERLINK is not implemented. linkLocation=https://www.captechu.edu, friendlyName=Open source</x:v>
      </x:c>
    </x:row>
    <x:row r="1287" ht="46" customHeight="1">
      <x:c r="A1287" s="17" t="str">
        <x:v>stage3src:1ee661ee3323042cb4bb</x:v>
      </x:c>
      <x:c r="B1287" s="17" t="str">
        <x:v>program</x:v>
      </x:c>
      <x:c r="C1287" s="17" t="str">
        <x:v>Capitol Technology University</x:v>
      </x:c>
      <x:c r="D1287" s="17" t="str">
        <x:v>us:ipeds:162061:program:unclear:ipeds-discovery-signal-human-centered-technology-design-cip-11-0105</x:v>
      </x:c>
      <x:c r="E1287" s="17" t="str"/>
      <x:c r="F1287" s="17" t="str">
        <x:v>discovery</x:v>
      </x:c>
      <x:c r="G1287" s="17" t="str">
        <x:v>Stage 2 recorded this row as a discovery candidate; it does not independently verify an exact current research program, eligibility, or funding.</x:v>
      </x:c>
      <x:c r="H1287" s="17" t="str">
        <x:v>Pass 2 Stage 2 candidate funnel</x:v>
      </x:c>
      <x:c r="I1287" s="17" t="str">
        <x:v>Graduate audit pipeline</x:v>
      </x:c>
      <x:c r="J1287" s="17" t="str">
        <x:v>derived</x:v>
      </x:c>
      <x:c r="K1287" s="17" t="str">
        <x:v>2026-09-11</x:v>
      </x:c>
      <x:c r="L1287" s="17" t="str">
        <x:v>Not cycle-specific</x:v>
      </x:c>
      <x:c r="M1287" s="17" t="str">
        <x:v>low</x:v>
      </x:c>
      <x:c r="N1287" s="17" t="str">
        <x:v>Discovery evidence only</x:v>
      </x:c>
      <x:c r="O1287" s="17" t="str">
        <x:v>Use the source_record_paths field to trace the underlying discovery inputs.</x:v>
      </x:c>
      <x:c r="P1287" s="18" t="e">
        <x:f>HYPERLINK("https://www.captechu.edu","Open source")</x:f>
        <x:v>HYPERLINK is not implemented. linkLocation=https://www.captechu.edu, friendlyName=Open source</x:v>
      </x:c>
    </x:row>
    <x:row r="1288" ht="46" customHeight="1">
      <x:c r="A1288" s="17" t="str">
        <x:v>stage3src:94ce508991c5404e0bba</x:v>
      </x:c>
      <x:c r="B1288" s="17" t="str">
        <x:v>program</x:v>
      </x:c>
      <x:c r="C1288" s="17" t="str">
        <x:v>Capitol Technology University</x:v>
      </x:c>
      <x:c r="D1288" s="17" t="str">
        <x:v>us:ipeds:162061:program:unclear:ipeds-discovery-signal-information-technology-cip-11-0103</x:v>
      </x:c>
      <x:c r="E1288" s="17" t="str"/>
      <x:c r="F1288" s="17" t="str">
        <x:v>discovery</x:v>
      </x:c>
      <x:c r="G1288" s="17" t="str">
        <x:v>Stage 2 recorded this row as a discovery candidate; it does not independently verify an exact current research program, eligibility, or funding.</x:v>
      </x:c>
      <x:c r="H1288" s="17" t="str">
        <x:v>Pass 2 Stage 2 candidate funnel</x:v>
      </x:c>
      <x:c r="I1288" s="17" t="str">
        <x:v>Graduate audit pipeline</x:v>
      </x:c>
      <x:c r="J1288" s="17" t="str">
        <x:v>derived</x:v>
      </x:c>
      <x:c r="K1288" s="17" t="str">
        <x:v>2026-09-11</x:v>
      </x:c>
      <x:c r="L1288" s="17" t="str">
        <x:v>Not cycle-specific</x:v>
      </x:c>
      <x:c r="M1288" s="17" t="str">
        <x:v>low</x:v>
      </x:c>
      <x:c r="N1288" s="17" t="str">
        <x:v>Discovery evidence only</x:v>
      </x:c>
      <x:c r="O1288" s="17" t="str">
        <x:v>Use the source_record_paths field to trace the underlying discovery inputs.</x:v>
      </x:c>
      <x:c r="P1288" s="18" t="e">
        <x:f>HYPERLINK("https://www.captechu.edu","Open source")</x:f>
        <x:v>HYPERLINK is not implemented. linkLocation=https://www.captechu.edu, friendlyName=Open source</x:v>
      </x:c>
    </x:row>
    <x:row r="1289" ht="46" customHeight="1">
      <x:c r="A1289" s="17" t="str">
        <x:v>stage3src:1039b2a34b65467cc50d</x:v>
      </x:c>
      <x:c r="B1289" s="17" t="str">
        <x:v>program</x:v>
      </x:c>
      <x:c r="C1289" s="17" t="str">
        <x:v>Capitol Technology University</x:v>
      </x:c>
      <x:c r="D1289" s="17" t="str">
        <x:v>us:ipeds:162061:program:unclear:ipeds-discovery-signal-mechatronics-robotics-and-automation-engineering-cip-14-4201</x:v>
      </x:c>
      <x:c r="E1289" s="17" t="str"/>
      <x:c r="F1289" s="17" t="str">
        <x:v>discovery</x:v>
      </x:c>
      <x:c r="G1289" s="17" t="str">
        <x:v>Stage 2 recorded this row as a discovery candidate; it does not independently verify an exact current research program, eligibility, or funding.</x:v>
      </x:c>
      <x:c r="H1289" s="17" t="str">
        <x:v>Pass 2 Stage 2 candidate funnel</x:v>
      </x:c>
      <x:c r="I1289" s="17" t="str">
        <x:v>Graduate audit pipeline</x:v>
      </x:c>
      <x:c r="J1289" s="17" t="str">
        <x:v>derived</x:v>
      </x:c>
      <x:c r="K1289" s="17" t="str">
        <x:v>2026-09-11</x:v>
      </x:c>
      <x:c r="L1289" s="17" t="str">
        <x:v>Not cycle-specific</x:v>
      </x:c>
      <x:c r="M1289" s="17" t="str">
        <x:v>low</x:v>
      </x:c>
      <x:c r="N1289" s="17" t="str">
        <x:v>Discovery evidence only</x:v>
      </x:c>
      <x:c r="O1289" s="17" t="str">
        <x:v>Use the source_record_paths field to trace the underlying discovery inputs.</x:v>
      </x:c>
      <x:c r="P1289" s="18" t="e">
        <x:f>HYPERLINK("https://www.captechu.edu","Open source")</x:f>
        <x:v>HYPERLINK is not implemented. linkLocation=https://www.captechu.edu, friendlyName=Open source</x:v>
      </x:c>
    </x:row>
    <x:row r="1290" ht="46" customHeight="1">
      <x:c r="A1290" s="17" t="str">
        <x:v>stage3src:8db1fd99896a2d5d91ac</x:v>
      </x:c>
      <x:c r="B1290" s="17" t="str">
        <x:v>program</x:v>
      </x:c>
      <x:c r="C1290" s="17" t="str">
        <x:v>Frostburg State University</x:v>
      </x:c>
      <x:c r="D1290" s="17" t="str">
        <x:v>us:ipeds:162584:program:unclear:ipeds-discovery-signal-computer-science-cip-11-0701</x:v>
      </x:c>
      <x:c r="E1290" s="17" t="str"/>
      <x:c r="F1290" s="17" t="str">
        <x:v>discovery</x:v>
      </x:c>
      <x:c r="G1290" s="17" t="str">
        <x:v>Stage 2 recorded this row as a discovery candidate; it does not independently verify an exact current research program, eligibility, or funding.</x:v>
      </x:c>
      <x:c r="H1290" s="17" t="str">
        <x:v>Pass 2 Stage 2 candidate funnel</x:v>
      </x:c>
      <x:c r="I1290" s="17" t="str">
        <x:v>Graduate audit pipeline</x:v>
      </x:c>
      <x:c r="J1290" s="17" t="str">
        <x:v>derived</x:v>
      </x:c>
      <x:c r="K1290" s="17" t="str">
        <x:v>2026-09-11</x:v>
      </x:c>
      <x:c r="L1290" s="17" t="str">
        <x:v>Not cycle-specific</x:v>
      </x:c>
      <x:c r="M1290" s="17" t="str">
        <x:v>low</x:v>
      </x:c>
      <x:c r="N1290" s="17" t="str">
        <x:v>Discovery evidence only</x:v>
      </x:c>
      <x:c r="O1290" s="17" t="str">
        <x:v>Use the source_record_paths field to trace the underlying discovery inputs.</x:v>
      </x:c>
      <x:c r="P1290" s="18" t="e">
        <x:f>HYPERLINK("https://www.frostburg.edu","Open source")</x:f>
        <x:v>HYPERLINK is not implemented. linkLocation=https://www.frostburg.edu, friendlyName=Open source</x:v>
      </x:c>
    </x:row>
    <x:row r="1291" ht="46" customHeight="1">
      <x:c r="A1291" s="17" t="str">
        <x:v>stage3src:f7504f597e8c6cd224af</x:v>
      </x:c>
      <x:c r="B1291" s="17" t="str">
        <x:v>program</x:v>
      </x:c>
      <x:c r="C1291" s="17" t="str">
        <x:v>Hood College</x:v>
      </x:c>
      <x:c r="D1291" s="17" t="str">
        <x:v>us:ipeds:162760:program:unclear:ipeds-discovery-signal-computer-and-information-sciences-general-cip-11-0101</x:v>
      </x:c>
      <x:c r="E1291" s="17" t="str"/>
      <x:c r="F1291" s="17" t="str">
        <x:v>discovery</x:v>
      </x:c>
      <x:c r="G1291" s="17" t="str">
        <x:v>Stage 2 recorded this row as a discovery candidate; it does not independently verify an exact current research program, eligibility, or funding.</x:v>
      </x:c>
      <x:c r="H1291" s="17" t="str">
        <x:v>Pass 2 Stage 2 candidate funnel</x:v>
      </x:c>
      <x:c r="I1291" s="17" t="str">
        <x:v>Graduate audit pipeline</x:v>
      </x:c>
      <x:c r="J1291" s="17" t="str">
        <x:v>derived</x:v>
      </x:c>
      <x:c r="K1291" s="17" t="str">
        <x:v>2026-09-11</x:v>
      </x:c>
      <x:c r="L1291" s="17" t="str">
        <x:v>Not cycle-specific</x:v>
      </x:c>
      <x:c r="M1291" s="17" t="str">
        <x:v>low</x:v>
      </x:c>
      <x:c r="N1291" s="17" t="str">
        <x:v>Discovery evidence only</x:v>
      </x:c>
      <x:c r="O1291" s="17" t="str">
        <x:v>Use the source_record_paths field to trace the underlying discovery inputs.</x:v>
      </x:c>
      <x:c r="P1291" s="18" t="e">
        <x:f>HYPERLINK("https://www.hood.edu","Open source")</x:f>
        <x:v>HYPERLINK is not implemented. linkLocation=https://www.hood.edu, friendlyName=Open source</x:v>
      </x:c>
    </x:row>
    <x:row r="1292" ht="46" customHeight="1">
      <x:c r="A1292" s="17" t="str">
        <x:v>stage3src:fe797d410f3322c3fbee</x:v>
      </x:c>
      <x:c r="B1292" s="17" t="str">
        <x:v>program</x:v>
      </x:c>
      <x:c r="C1292" s="17" t="str">
        <x:v>Hood College</x:v>
      </x:c>
      <x:c r="D1292" s="17" t="str">
        <x:v>us:ipeds:162760:program:unclear:ipeds-discovery-signal-computer-and-information-systems-security-auditing-information-assurance-cip-11-1003</x:v>
      </x:c>
      <x:c r="E1292" s="17" t="str"/>
      <x:c r="F1292" s="17" t="str">
        <x:v>discovery</x:v>
      </x:c>
      <x:c r="G1292" s="17" t="str">
        <x:v>Stage 2 recorded this row as a discovery candidate; it does not independently verify an exact current research program, eligibility, or funding.</x:v>
      </x:c>
      <x:c r="H1292" s="17" t="str">
        <x:v>Pass 2 Stage 2 candidate funnel</x:v>
      </x:c>
      <x:c r="I1292" s="17" t="str">
        <x:v>Graduate audit pipeline</x:v>
      </x:c>
      <x:c r="J1292" s="17" t="str">
        <x:v>derived</x:v>
      </x:c>
      <x:c r="K1292" s="17" t="str">
        <x:v>2026-09-11</x:v>
      </x:c>
      <x:c r="L1292" s="17" t="str">
        <x:v>Not cycle-specific</x:v>
      </x:c>
      <x:c r="M1292" s="17" t="str">
        <x:v>low</x:v>
      </x:c>
      <x:c r="N1292" s="17" t="str">
        <x:v>Discovery evidence only</x:v>
      </x:c>
      <x:c r="O1292" s="17" t="str">
        <x:v>Use the source_record_paths field to trace the underlying discovery inputs.</x:v>
      </x:c>
      <x:c r="P1292" s="18" t="e">
        <x:f>HYPERLINK("https://www.hood.edu","Open source")</x:f>
        <x:v>HYPERLINK is not implemented. linkLocation=https://www.hood.edu, friendlyName=Open source</x:v>
      </x:c>
    </x:row>
    <x:row r="1293" ht="46" customHeight="1">
      <x:c r="A1293" s="17" t="str">
        <x:v>stage3src:45216d07b10999c0d2dc</x:v>
      </x:c>
      <x:c r="B1293" s="17" t="str">
        <x:v>program</x:v>
      </x:c>
      <x:c r="C1293" s="17" t="str">
        <x:v>Hood College</x:v>
      </x:c>
      <x:c r="D1293" s="17" t="str">
        <x:v>us:ipeds:162760:program:unclear:ipeds-discovery-signal-computer-science-cip-11-0701</x:v>
      </x:c>
      <x:c r="E1293" s="17" t="str"/>
      <x:c r="F1293" s="17" t="str">
        <x:v>discovery</x:v>
      </x:c>
      <x:c r="G1293" s="17" t="str">
        <x:v>Stage 2 recorded this row as a discovery candidate; it does not independently verify an exact current research program, eligibility, or funding.</x:v>
      </x:c>
      <x:c r="H1293" s="17" t="str">
        <x:v>Pass 2 Stage 2 candidate funnel</x:v>
      </x:c>
      <x:c r="I1293" s="17" t="str">
        <x:v>Graduate audit pipeline</x:v>
      </x:c>
      <x:c r="J1293" s="17" t="str">
        <x:v>derived</x:v>
      </x:c>
      <x:c r="K1293" s="17" t="str">
        <x:v>2026-09-11</x:v>
      </x:c>
      <x:c r="L1293" s="17" t="str">
        <x:v>Not cycle-specific</x:v>
      </x:c>
      <x:c r="M1293" s="17" t="str">
        <x:v>low</x:v>
      </x:c>
      <x:c r="N1293" s="17" t="str">
        <x:v>Discovery evidence only</x:v>
      </x:c>
      <x:c r="O1293" s="17" t="str">
        <x:v>Use the source_record_paths field to trace the underlying discovery inputs.</x:v>
      </x:c>
      <x:c r="P1293" s="18" t="e">
        <x:f>HYPERLINK("https://www.hood.edu","Open source")</x:f>
        <x:v>HYPERLINK is not implemented. linkLocation=https://www.hood.edu, friendlyName=Open source</x:v>
      </x:c>
    </x:row>
    <x:row r="1294" ht="46" customHeight="1">
      <x:c r="A1294" s="17" t="str">
        <x:v>stage3src:0d5f936b2aa17fd6ee2d</x:v>
      </x:c>
      <x:c r="B1294" s="17" t="str">
        <x:v>program</x:v>
      </x:c>
      <x:c r="C1294" s="17" t="str">
        <x:v>Johns Hopkins University</x:v>
      </x:c>
      <x:c r="D1294" s="17" t="str">
        <x:v>us:ipeds:162928:program:phd:phd-in-computer-science</x:v>
      </x:c>
      <x:c r="E1294" s="17" t="str"/>
      <x:c r="F1294" s="17" t="str">
        <x:v>program|research|eligibility</x:v>
      </x:c>
      <x:c r="G1294" s="17" t="str">
        <x:v>Current full-time CS PhD, faculty matching, research areas, and dissertation route.</x:v>
      </x:c>
      <x:c r="H1294" s="17" t="str">
        <x:v>PhD Program</x:v>
      </x:c>
      <x:c r="I1294" s="17" t="str">
        <x:v>Johns Hopkins University Computer Science</x:v>
      </x:c>
      <x:c r="J1294" s="17" t="str">
        <x:v>official</x:v>
      </x:c>
      <x:c r="K1294" s="17" t="str">
        <x:v>2026-09-11</x:v>
      </x:c>
      <x:c r="L1294" s="17" t="str">
        <x:v>Current page checked 2026-09-11</x:v>
      </x:c>
      <x:c r="M1294" s="17" t="str">
        <x:v>high</x:v>
      </x:c>
      <x:c r="N1294" s="17" t="str">
        <x:v>official page checked</x:v>
      </x:c>
      <x:c r="O1294" s="17" t="str"/>
      <x:c r="P1294" s="18" t="e">
        <x:f>HYPERLINK("https://www.cs.jhu.edu/academic-programs/graduate-studies/phd-program/","Open source")</x:f>
        <x:v>HYPERLINK is not implemented. linkLocation=https://www.cs.jhu.edu/academic-programs/graduate-studies/phd-program/, friendlyName=Open source</x:v>
      </x:c>
    </x:row>
    <x:row r="1295" ht="46" customHeight="1">
      <x:c r="A1295" s="17" t="str">
        <x:v>stage3src:5889e70a8410e28205c4</x:v>
      </x:c>
      <x:c r="B1295" s="17" t="str">
        <x:v>program</x:v>
      </x:c>
      <x:c r="C1295" s="17" t="str">
        <x:v>Johns Hopkins University</x:v>
      </x:c>
      <x:c r="D1295" s="17" t="str">
        <x:v>us:ipeds:162928:program:phd:phd-in-computer-science</x:v>
      </x:c>
      <x:c r="E1295" s="17" t="str"/>
      <x:c r="F1295" s="17" t="str">
        <x:v>admissions|eligibility|language|deadline|fees|funding|tuition|health|summer</x:v>
      </x:c>
      <x:c r="G1295" s="17" t="str">
        <x:v>Bachelor's entry, core preparation, English waiver, recurring deadline, fee waivers, faculty-contact rule, and all-student full-funding guarantee.</x:v>
      </x:c>
      <x:c r="H1295" s="17" t="str">
        <x:v>PhD Admissions FAQs</x:v>
      </x:c>
      <x:c r="I1295" s="17" t="str">
        <x:v>Johns Hopkins University Computer Science</x:v>
      </x:c>
      <x:c r="J1295" s="17" t="str">
        <x:v>official</x:v>
      </x:c>
      <x:c r="K1295" s="17" t="str">
        <x:v>2026-09-11</x:v>
      </x:c>
      <x:c r="L1295" s="17" t="str">
        <x:v>Current FAQ checked 2026-09-11</x:v>
      </x:c>
      <x:c r="M1295" s="17" t="str">
        <x:v>high</x:v>
      </x:c>
      <x:c r="N1295" s="17" t="str">
        <x:v>official page checked</x:v>
      </x:c>
      <x:c r="O1295" s="17" t="str"/>
      <x:c r="P1295" s="18" t="e">
        <x:f>HYPERLINK("https://www.cs.jhu.edu/academic-programs/graduate-studies/phd-program/phd-admissions-faqs/","Open source")</x:f>
        <x:v>HYPERLINK is not implemented. linkLocation=https://www.cs.jhu.edu/academic-programs/graduate-studies/phd-program/phd-admissions-faqs/, friendlyName=Open source</x:v>
      </x:c>
    </x:row>
    <x:row r="1296" ht="46" customHeight="1">
      <x:c r="A1296" s="17" t="str">
        <x:v>stage3src:5c196bbefdc5dd0fb1c9</x:v>
      </x:c>
      <x:c r="B1296" s="17" t="str">
        <x:v>program</x:v>
      </x:c>
      <x:c r="C1296" s="17" t="str">
        <x:v>Johns Hopkins University</x:v>
      </x:c>
      <x:c r="D1296" s="17" t="str">
        <x:v>us:ipeds:162928:program:unclear:ipeds-discovery-signal-artificial-intelligence-cip-11-0102</x:v>
      </x:c>
      <x:c r="E1296" s="17" t="str"/>
      <x:c r="F1296" s="17" t="str">
        <x:v>discovery</x:v>
      </x:c>
      <x:c r="G1296" s="17" t="str">
        <x:v>Stage 2 recorded this row as a discovery candidate; it does not independently verify an exact current research program, eligibility, or funding.</x:v>
      </x:c>
      <x:c r="H1296" s="17" t="str">
        <x:v>Pass 2 Stage 2 candidate funnel</x:v>
      </x:c>
      <x:c r="I1296" s="17" t="str">
        <x:v>Graduate audit pipeline</x:v>
      </x:c>
      <x:c r="J1296" s="17" t="str">
        <x:v>derived</x:v>
      </x:c>
      <x:c r="K1296" s="17" t="str">
        <x:v>2026-09-11</x:v>
      </x:c>
      <x:c r="L1296" s="17" t="str">
        <x:v>Not cycle-specific</x:v>
      </x:c>
      <x:c r="M1296" s="17" t="str">
        <x:v>low</x:v>
      </x:c>
      <x:c r="N1296" s="17" t="str">
        <x:v>Discovery evidence only</x:v>
      </x:c>
      <x:c r="O1296" s="17" t="str">
        <x:v>Use the source_record_paths field to trace the underlying discovery inputs.</x:v>
      </x:c>
      <x:c r="P1296" s="18" t="e">
        <x:f>HYPERLINK("https://www.jhu.edu","Open source")</x:f>
        <x:v>HYPERLINK is not implemented. linkLocation=https://www.jhu.edu, friendlyName=Open source</x:v>
      </x:c>
    </x:row>
    <x:row r="1297" ht="46" customHeight="1">
      <x:c r="A1297" s="17" t="str">
        <x:v>stage3src:e4f5d6d2685754977d87</x:v>
      </x:c>
      <x:c r="B1297" s="17" t="str">
        <x:v>program</x:v>
      </x:c>
      <x:c r="C1297" s="17" t="str">
        <x:v>Johns Hopkins University</x:v>
      </x:c>
      <x:c r="D1297" s="17" t="str">
        <x:v>us:ipeds:162928:program:unclear:ipeds-discovery-signal-computer-and-information-sciences-general-cip-11-0101</x:v>
      </x:c>
      <x:c r="E1297" s="17" t="str"/>
      <x:c r="F1297" s="17" t="str">
        <x:v>discovery</x:v>
      </x:c>
      <x:c r="G1297" s="17" t="str">
        <x:v>Stage 2 recorded this row as a discovery candidate; it does not independently verify an exact current research program, eligibility, or funding.</x:v>
      </x:c>
      <x:c r="H1297" s="17" t="str">
        <x:v>Pass 2 Stage 2 candidate funnel</x:v>
      </x:c>
      <x:c r="I1297" s="17" t="str">
        <x:v>Graduate audit pipeline</x:v>
      </x:c>
      <x:c r="J1297" s="17" t="str">
        <x:v>derived</x:v>
      </x:c>
      <x:c r="K1297" s="17" t="str">
        <x:v>2026-09-11</x:v>
      </x:c>
      <x:c r="L1297" s="17" t="str">
        <x:v>Not cycle-specific</x:v>
      </x:c>
      <x:c r="M1297" s="17" t="str">
        <x:v>low</x:v>
      </x:c>
      <x:c r="N1297" s="17" t="str">
        <x:v>Discovery evidence only</x:v>
      </x:c>
      <x:c r="O1297" s="17" t="str">
        <x:v>Use the source_record_paths field to trace the underlying discovery inputs.</x:v>
      </x:c>
      <x:c r="P1297" s="18" t="e">
        <x:f>HYPERLINK("https://www.jhu.edu","Open source")</x:f>
        <x:v>HYPERLINK is not implemented. linkLocation=https://www.jhu.edu, friendlyName=Open source</x:v>
      </x:c>
    </x:row>
    <x:row r="1298" ht="46" customHeight="1">
      <x:c r="A1298" s="17" t="str">
        <x:v>stage3src:60823607908fb48cbf40</x:v>
      </x:c>
      <x:c r="B1298" s="17" t="str">
        <x:v>program</x:v>
      </x:c>
      <x:c r="C1298" s="17" t="str">
        <x:v>Johns Hopkins University</x:v>
      </x:c>
      <x:c r="D1298" s="17" t="str">
        <x:v>us:ipeds:162928:program:unclear:ipeds-discovery-signal-computer-and-information-systems-security-auditing-information-assurance-cip-11-1003</x:v>
      </x:c>
      <x:c r="E1298" s="17" t="str"/>
      <x:c r="F1298" s="17" t="str">
        <x:v>discovery</x:v>
      </x:c>
      <x:c r="G1298" s="17" t="str">
        <x:v>Stage 2 recorded this row as a discovery candidate; it does not independently verify an exact current research program, eligibility, or funding.</x:v>
      </x:c>
      <x:c r="H1298" s="17" t="str">
        <x:v>Pass 2 Stage 2 candidate funnel</x:v>
      </x:c>
      <x:c r="I1298" s="17" t="str">
        <x:v>Graduate audit pipeline</x:v>
      </x:c>
      <x:c r="J1298" s="17" t="str">
        <x:v>derived</x:v>
      </x:c>
      <x:c r="K1298" s="17" t="str">
        <x:v>2026-09-11</x:v>
      </x:c>
      <x:c r="L1298" s="17" t="str">
        <x:v>Not cycle-specific</x:v>
      </x:c>
      <x:c r="M1298" s="17" t="str">
        <x:v>low</x:v>
      </x:c>
      <x:c r="N1298" s="17" t="str">
        <x:v>Discovery evidence only</x:v>
      </x:c>
      <x:c r="O1298" s="17" t="str">
        <x:v>Use the source_record_paths field to trace the underlying discovery inputs.</x:v>
      </x:c>
      <x:c r="P1298" s="18" t="e">
        <x:f>HYPERLINK("https://www.jhu.edu","Open source")</x:f>
        <x:v>HYPERLINK is not implemented. linkLocation=https://www.jhu.edu, friendlyName=Open source</x:v>
      </x:c>
    </x:row>
    <x:row r="1299" ht="46" customHeight="1">
      <x:c r="A1299" s="17" t="str">
        <x:v>stage3src:3c00e18d9c33a65c57c2</x:v>
      </x:c>
      <x:c r="B1299" s="17" t="str">
        <x:v>program</x:v>
      </x:c>
      <x:c r="C1299" s="17" t="str">
        <x:v>Johns Hopkins University</x:v>
      </x:c>
      <x:c r="D1299" s="17" t="str">
        <x:v>us:ipeds:162928:program:unclear:ipeds-discovery-signal-computer-systems-networking-and-telecommunications-cip-11-0901</x:v>
      </x:c>
      <x:c r="E1299" s="17" t="str"/>
      <x:c r="F1299" s="17" t="str">
        <x:v>discovery</x:v>
      </x:c>
      <x:c r="G1299" s="17" t="str">
        <x:v>Stage 2 recorded this row as a discovery candidate; it does not independently verify an exact current research program, eligibility, or funding.</x:v>
      </x:c>
      <x:c r="H1299" s="17" t="str">
        <x:v>Pass 2 Stage 2 candidate funnel</x:v>
      </x:c>
      <x:c r="I1299" s="17" t="str">
        <x:v>Graduate audit pipeline</x:v>
      </x:c>
      <x:c r="J1299" s="17" t="str">
        <x:v>derived</x:v>
      </x:c>
      <x:c r="K1299" s="17" t="str">
        <x:v>2026-09-11</x:v>
      </x:c>
      <x:c r="L1299" s="17" t="str">
        <x:v>Not cycle-specific</x:v>
      </x:c>
      <x:c r="M1299" s="17" t="str">
        <x:v>low</x:v>
      </x:c>
      <x:c r="N1299" s="17" t="str">
        <x:v>Discovery evidence only</x:v>
      </x:c>
      <x:c r="O1299" s="17" t="str">
        <x:v>Use the source_record_paths field to trace the underlying discovery inputs.</x:v>
      </x:c>
      <x:c r="P1299" s="18" t="e">
        <x:f>HYPERLINK("https://www.jhu.edu","Open source")</x:f>
        <x:v>HYPERLINK is not implemented. linkLocation=https://www.jhu.edu, friendlyName=Open source</x:v>
      </x:c>
    </x:row>
    <x:row r="1300" ht="46" customHeight="1">
      <x:c r="A1300" s="17" t="str">
        <x:v>stage3src:a8ebd921c83e6343fa00</x:v>
      </x:c>
      <x:c r="B1300" s="17" t="str">
        <x:v>program</x:v>
      </x:c>
      <x:c r="C1300" s="17" t="str">
        <x:v>Johns Hopkins University</x:v>
      </x:c>
      <x:c r="D1300" s="17" t="str">
        <x:v>us:ipeds:162928:program:unclear:ipeds-discovery-signal-electrical-and-electronics-engineering-cip-14-1001</x:v>
      </x:c>
      <x:c r="E1300" s="17" t="str"/>
      <x:c r="F1300" s="17" t="str">
        <x:v>discovery</x:v>
      </x:c>
      <x:c r="G1300" s="17" t="str">
        <x:v>Stage 2 recorded this row as a discovery candidate; it does not independently verify an exact current research program, eligibility, or funding.</x:v>
      </x:c>
      <x:c r="H1300" s="17" t="str">
        <x:v>Pass 2 Stage 2 candidate funnel</x:v>
      </x:c>
      <x:c r="I1300" s="17" t="str">
        <x:v>Graduate audit pipeline</x:v>
      </x:c>
      <x:c r="J1300" s="17" t="str">
        <x:v>derived</x:v>
      </x:c>
      <x:c r="K1300" s="17" t="str">
        <x:v>2026-09-11</x:v>
      </x:c>
      <x:c r="L1300" s="17" t="str">
        <x:v>Not cycle-specific</x:v>
      </x:c>
      <x:c r="M1300" s="17" t="str">
        <x:v>low</x:v>
      </x:c>
      <x:c r="N1300" s="17" t="str">
        <x:v>Discovery evidence only</x:v>
      </x:c>
      <x:c r="O1300" s="17" t="str">
        <x:v>Use the source_record_paths field to trace the underlying discovery inputs.</x:v>
      </x:c>
      <x:c r="P1300" s="18" t="e">
        <x:f>HYPERLINK("https://www.jhu.edu","Open source")</x:f>
        <x:v>HYPERLINK is not implemented. linkLocation=https://www.jhu.edu, friendlyName=Open source</x:v>
      </x:c>
    </x:row>
    <x:row r="1301" ht="46" customHeight="1">
      <x:c r="A1301" s="17" t="str">
        <x:v>stage3src:72861fe296ff47a44e1d</x:v>
      </x:c>
      <x:c r="B1301" s="17" t="str">
        <x:v>program</x:v>
      </x:c>
      <x:c r="C1301" s="17" t="str">
        <x:v>Johns Hopkins University</x:v>
      </x:c>
      <x:c r="D1301" s="17" t="str">
        <x:v>us:ipeds:162928:program:unclear:ipeds-discovery-signal-information-science-studies-cip-11-0401</x:v>
      </x:c>
      <x:c r="E1301" s="17" t="str"/>
      <x:c r="F1301" s="17" t="str">
        <x:v>discovery</x:v>
      </x:c>
      <x:c r="G1301" s="17" t="str">
        <x:v>Stage 2 recorded this row as a discovery candidate; it does not independently verify an exact current research program, eligibility, or funding.</x:v>
      </x:c>
      <x:c r="H1301" s="17" t="str">
        <x:v>Pass 2 Stage 2 candidate funnel</x:v>
      </x:c>
      <x:c r="I1301" s="17" t="str">
        <x:v>Graduate audit pipeline</x:v>
      </x:c>
      <x:c r="J1301" s="17" t="str">
        <x:v>derived</x:v>
      </x:c>
      <x:c r="K1301" s="17" t="str">
        <x:v>2026-09-11</x:v>
      </x:c>
      <x:c r="L1301" s="17" t="str">
        <x:v>Not cycle-specific</x:v>
      </x:c>
      <x:c r="M1301" s="17" t="str">
        <x:v>low</x:v>
      </x:c>
      <x:c r="N1301" s="17" t="str">
        <x:v>Discovery evidence only</x:v>
      </x:c>
      <x:c r="O1301" s="17" t="str">
        <x:v>Use the source_record_paths field to trace the underlying discovery inputs.</x:v>
      </x:c>
      <x:c r="P1301" s="18" t="e">
        <x:f>HYPERLINK("https://www.jhu.edu","Open source")</x:f>
        <x:v>HYPERLINK is not implemented. linkLocation=https://www.jhu.edu, friendlyName=Open source</x:v>
      </x:c>
    </x:row>
    <x:row r="1302" ht="46" customHeight="1">
      <x:c r="A1302" s="17" t="str">
        <x:v>stage3src:efa20f45e060d49b3392</x:v>
      </x:c>
      <x:c r="B1302" s="17" t="str">
        <x:v>program</x:v>
      </x:c>
      <x:c r="C1302" s="17" t="str">
        <x:v>Johns Hopkins University</x:v>
      </x:c>
      <x:c r="D1302" s="17" t="str">
        <x:v>us:ipeds:162928:program:unclear:ipeds-discovery-signal-mechatronics-robotics-and-automation-engineering-cip-14-4201</x:v>
      </x:c>
      <x:c r="E1302" s="17" t="str"/>
      <x:c r="F1302" s="17" t="str">
        <x:v>discovery</x:v>
      </x:c>
      <x:c r="G1302" s="17" t="str">
        <x:v>Stage 2 recorded this row as a discovery candidate; it does not independently verify an exact current research program, eligibility, or funding.</x:v>
      </x:c>
      <x:c r="H1302" s="17" t="str">
        <x:v>Pass 2 Stage 2 candidate funnel</x:v>
      </x:c>
      <x:c r="I1302" s="17" t="str">
        <x:v>Graduate audit pipeline</x:v>
      </x:c>
      <x:c r="J1302" s="17" t="str">
        <x:v>derived</x:v>
      </x:c>
      <x:c r="K1302" s="17" t="str">
        <x:v>2026-09-11</x:v>
      </x:c>
      <x:c r="L1302" s="17" t="str">
        <x:v>Not cycle-specific</x:v>
      </x:c>
      <x:c r="M1302" s="17" t="str">
        <x:v>low</x:v>
      </x:c>
      <x:c r="N1302" s="17" t="str">
        <x:v>Discovery evidence only</x:v>
      </x:c>
      <x:c r="O1302" s="17" t="str">
        <x:v>Use the source_record_paths field to trace the underlying discovery inputs.</x:v>
      </x:c>
      <x:c r="P1302" s="18" t="e">
        <x:f>HYPERLINK("https://www.jhu.edu","Open source")</x:f>
        <x:v>HYPERLINK is not implemented. linkLocation=https://www.jhu.edu, friendlyName=Open source</x:v>
      </x:c>
    </x:row>
    <x:row r="1303" ht="46" customHeight="1">
      <x:c r="A1303" s="17" t="str">
        <x:v>stage3src:3899a5877d6fc8935a2f</x:v>
      </x:c>
      <x:c r="B1303" s="17" t="str">
        <x:v>program</x:v>
      </x:c>
      <x:c r="C1303" s="17" t="str">
        <x:v>Loyola University Maryland</x:v>
      </x:c>
      <x:c r="D1303" s="17" t="str">
        <x:v>us:ipeds:163046:program:unclear:ipeds-discovery-signal-information-science-studies-cip-11-0401</x:v>
      </x:c>
      <x:c r="E1303" s="17" t="str"/>
      <x:c r="F1303" s="17" t="str">
        <x:v>discovery</x:v>
      </x:c>
      <x:c r="G1303" s="17" t="str">
        <x:v>Stage 2 recorded this row as a discovery candidate; it does not independently verify an exact current research program, eligibility, or funding.</x:v>
      </x:c>
      <x:c r="H1303" s="17" t="str">
        <x:v>Pass 2 Stage 2 candidate funnel</x:v>
      </x:c>
      <x:c r="I1303" s="17" t="str">
        <x:v>Graduate audit pipeline</x:v>
      </x:c>
      <x:c r="J1303" s="17" t="str">
        <x:v>derived</x:v>
      </x:c>
      <x:c r="K1303" s="17" t="str">
        <x:v>2026-09-11</x:v>
      </x:c>
      <x:c r="L1303" s="17" t="str">
        <x:v>Not cycle-specific</x:v>
      </x:c>
      <x:c r="M1303" s="17" t="str">
        <x:v>low</x:v>
      </x:c>
      <x:c r="N1303" s="17" t="str">
        <x:v>Discovery evidence only</x:v>
      </x:c>
      <x:c r="O1303" s="17" t="str">
        <x:v>Use the source_record_paths field to trace the underlying discovery inputs.</x:v>
      </x:c>
      <x:c r="P1303" s="18" t="e">
        <x:f>HYPERLINK("https://www.loyola.edu","Open source")</x:f>
        <x:v>HYPERLINK is not implemented. linkLocation=https://www.loyola.edu, friendlyName=Open source</x:v>
      </x:c>
    </x:row>
    <x:row r="1304" ht="46" customHeight="1">
      <x:c r="A1304" s="17" t="str">
        <x:v>stage3src:afa24df93f403d2169fb</x:v>
      </x:c>
      <x:c r="B1304" s="17" t="str">
        <x:v>program</x:v>
      </x:c>
      <x:c r="C1304" s="17" t="str">
        <x:v>University of Maryland Global Campus</x:v>
      </x:c>
      <x:c r="D1304" s="17" t="str">
        <x:v>us:ipeds:163204:program:unclear:ipeds-discovery-signal-computer-and-information-systems-security-auditing-information-assurance-cip-11-1003</x:v>
      </x:c>
      <x:c r="E1304" s="17" t="str"/>
      <x:c r="F1304" s="17" t="str">
        <x:v>discovery</x:v>
      </x:c>
      <x:c r="G1304" s="17" t="str">
        <x:v>Stage 2 recorded this row as a discovery candidate; it does not independently verify an exact current research program, eligibility, or funding.</x:v>
      </x:c>
      <x:c r="H1304" s="17" t="str">
        <x:v>Pass 2 Stage 2 candidate funnel</x:v>
      </x:c>
      <x:c r="I1304" s="17" t="str">
        <x:v>Graduate audit pipeline</x:v>
      </x:c>
      <x:c r="J1304" s="17" t="str">
        <x:v>derived</x:v>
      </x:c>
      <x:c r="K1304" s="17" t="str">
        <x:v>2026-09-11</x:v>
      </x:c>
      <x:c r="L1304" s="17" t="str">
        <x:v>Not cycle-specific</x:v>
      </x:c>
      <x:c r="M1304" s="17" t="str">
        <x:v>low</x:v>
      </x:c>
      <x:c r="N1304" s="17" t="str">
        <x:v>Discovery evidence only</x:v>
      </x:c>
      <x:c r="O1304" s="17" t="str">
        <x:v>Use the source_record_paths field to trace the underlying discovery inputs.</x:v>
      </x:c>
      <x:c r="P1304" s="18" t="e">
        <x:f>HYPERLINK("https://www.umgc.edu","Open source")</x:f>
        <x:v>HYPERLINK is not implemented. linkLocation=https://www.umgc.edu, friendlyName=Open source</x:v>
      </x:c>
    </x:row>
    <x:row r="1305" ht="46" customHeight="1">
      <x:c r="A1305" s="17" t="str">
        <x:v>stage3src:f69cb1128d2518069bb0</x:v>
      </x:c>
      <x:c r="B1305" s="17" t="str">
        <x:v>program</x:v>
      </x:c>
      <x:c r="C1305" s="17" t="str">
        <x:v>University of Maryland Global Campus</x:v>
      </x:c>
      <x:c r="D1305" s="17" t="str">
        <x:v>us:ipeds:163204:program:unclear:ipeds-discovery-signal-cyber-computer-forensics-and-counterterrorism-cip-43-0403</x:v>
      </x:c>
      <x:c r="E1305" s="17" t="str"/>
      <x:c r="F1305" s="17" t="str">
        <x:v>discovery</x:v>
      </x:c>
      <x:c r="G1305" s="17" t="str">
        <x:v>Stage 2 recorded this row as a discovery candidate; it does not independently verify an exact current research program, eligibility, or funding.</x:v>
      </x:c>
      <x:c r="H1305" s="17" t="str">
        <x:v>Pass 2 Stage 2 candidate funnel</x:v>
      </x:c>
      <x:c r="I1305" s="17" t="str">
        <x:v>Graduate audit pipeline</x:v>
      </x:c>
      <x:c r="J1305" s="17" t="str">
        <x:v>derived</x:v>
      </x:c>
      <x:c r="K1305" s="17" t="str">
        <x:v>2026-09-11</x:v>
      </x:c>
      <x:c r="L1305" s="17" t="str">
        <x:v>Not cycle-specific</x:v>
      </x:c>
      <x:c r="M1305" s="17" t="str">
        <x:v>low</x:v>
      </x:c>
      <x:c r="N1305" s="17" t="str">
        <x:v>Discovery evidence only</x:v>
      </x:c>
      <x:c r="O1305" s="17" t="str">
        <x:v>Use the source_record_paths field to trace the underlying discovery inputs.</x:v>
      </x:c>
      <x:c r="P1305" s="18" t="e">
        <x:f>HYPERLINK("https://www.umgc.edu","Open source")</x:f>
        <x:v>HYPERLINK is not implemented. linkLocation=https://www.umgc.edu, friendlyName=Open source</x:v>
      </x:c>
    </x:row>
    <x:row r="1306" ht="46" customHeight="1">
      <x:c r="A1306" s="17" t="str">
        <x:v>stage3src:3a40103f35692f2ba20f</x:v>
      </x:c>
      <x:c r="B1306" s="17" t="str">
        <x:v>program</x:v>
      </x:c>
      <x:c r="C1306" s="17" t="str">
        <x:v>University of Maryland Global Campus</x:v>
      </x:c>
      <x:c r="D1306" s="17" t="str">
        <x:v>us:ipeds:163204:program:unclear:ipeds-discovery-signal-information-science-studies-cip-11-0401</x:v>
      </x:c>
      <x:c r="E1306" s="17" t="str"/>
      <x:c r="F1306" s="17" t="str">
        <x:v>discovery</x:v>
      </x:c>
      <x:c r="G1306" s="17" t="str">
        <x:v>Stage 2 recorded this row as a discovery candidate; it does not independently verify an exact current research program, eligibility, or funding.</x:v>
      </x:c>
      <x:c r="H1306" s="17" t="str">
        <x:v>Pass 2 Stage 2 candidate funnel</x:v>
      </x:c>
      <x:c r="I1306" s="17" t="str">
        <x:v>Graduate audit pipeline</x:v>
      </x:c>
      <x:c r="J1306" s="17" t="str">
        <x:v>derived</x:v>
      </x:c>
      <x:c r="K1306" s="17" t="str">
        <x:v>2026-09-11</x:v>
      </x:c>
      <x:c r="L1306" s="17" t="str">
        <x:v>Not cycle-specific</x:v>
      </x:c>
      <x:c r="M1306" s="17" t="str">
        <x:v>low</x:v>
      </x:c>
      <x:c r="N1306" s="17" t="str">
        <x:v>Discovery evidence only</x:v>
      </x:c>
      <x:c r="O1306" s="17" t="str">
        <x:v>Use the source_record_paths field to trace the underlying discovery inputs.</x:v>
      </x:c>
      <x:c r="P1306" s="18" t="e">
        <x:f>HYPERLINK("https://www.umgc.edu","Open source")</x:f>
        <x:v>HYPERLINK is not implemented. linkLocation=https://www.umgc.edu, friendlyName=Open source</x:v>
      </x:c>
    </x:row>
    <x:row r="1307" ht="46" customHeight="1">
      <x:c r="A1307" s="17" t="str">
        <x:v>stage3src:032d33b5a4337da65ee7</x:v>
      </x:c>
      <x:c r="B1307" s="17" t="str">
        <x:v>program</x:v>
      </x:c>
      <x:c r="C1307" s="17" t="str">
        <x:v>University of Maryland-Baltimore County</x:v>
      </x:c>
      <x:c r="D1307" s="17" t="str">
        <x:v>us:ipeds:163268:program:phd:phd-in-computer-science</x:v>
      </x:c>
      <x:c r="E1307" s="17" t="str"/>
      <x:c r="F1307" s="17" t="str">
        <x:v>program|eligibility</x:v>
      </x:c>
      <x:c r="G1307" s="17" t="str">
        <x:v>Current CS PhD structure, dissertation requirement, research areas, and prerequisite preparation.</x:v>
      </x:c>
      <x:c r="H1307" s="17" t="str">
        <x:v>Computer Science M.S. and Ph.D.</x:v>
      </x:c>
      <x:c r="I1307" s="17" t="str">
        <x:v>UMBC Department of Computer Science and Electrical Engineering</x:v>
      </x:c>
      <x:c r="J1307" s="17" t="str">
        <x:v>official</x:v>
      </x:c>
      <x:c r="K1307" s="17" t="str">
        <x:v>2026-09-10</x:v>
      </x:c>
      <x:c r="L1307" s="17" t="str">
        <x:v>Current page checked 2026-09-10</x:v>
      </x:c>
      <x:c r="M1307" s="17" t="str">
        <x:v>high</x:v>
      </x:c>
      <x:c r="N1307" s="17" t="str">
        <x:v>official page checked</x:v>
      </x:c>
      <x:c r="O1307" s="17" t="str"/>
      <x:c r="P1307" s="18" t="e">
        <x:f>HYPERLINK("https://www.csee.umbc.edu/graduate/computer-science-m-s-ph-d/","Open source")</x:f>
        <x:v>HYPERLINK is not implemented. linkLocation=https://www.csee.umbc.edu/graduate/computer-science-m-s-ph-d/, friendlyName=Open source</x:v>
      </x:c>
    </x:row>
    <x:row r="1308" ht="46" customHeight="1">
      <x:c r="A1308" s="17" t="str">
        <x:v>stage3src:9f8a70a463fee4695ad4</x:v>
      </x:c>
      <x:c r="B1308" s="17" t="str">
        <x:v>program</x:v>
      </x:c>
      <x:c r="C1308" s="17" t="str">
        <x:v>University of Maryland-Baltimore County</x:v>
      </x:c>
      <x:c r="D1308" s="17" t="str">
        <x:v>us:ipeds:163268:program:phd:phd-in-computer-science</x:v>
      </x:c>
      <x:c r="E1308" s="17" t="str"/>
      <x:c r="F1308" s="17" t="str">
        <x:v>funding</x:v>
      </x:c>
      <x:c r="G1308" s="17" t="str">
        <x:v>Teaching, research, and grader support is available competitively and research assistants are selected by faculty.</x:v>
      </x:c>
      <x:c r="H1308" s="17" t="str">
        <x:v>Graduate Programs</x:v>
      </x:c>
      <x:c r="I1308" s="17" t="str">
        <x:v>UMBC Department of Computer Science and Electrical Engineering</x:v>
      </x:c>
      <x:c r="J1308" s="17" t="str">
        <x:v>official</x:v>
      </x:c>
      <x:c r="K1308" s="17" t="str">
        <x:v>2026-09-10</x:v>
      </x:c>
      <x:c r="L1308" s="17" t="str">
        <x:v>Current page checked 2026-09-10</x:v>
      </x:c>
      <x:c r="M1308" s="17" t="str">
        <x:v>high</x:v>
      </x:c>
      <x:c r="N1308" s="17" t="str">
        <x:v>official page checked</x:v>
      </x:c>
      <x:c r="O1308" s="17" t="str"/>
      <x:c r="P1308" s="18" t="e">
        <x:f>HYPERLINK("https://www.csee.umbc.edu/graduate/","Open source")</x:f>
        <x:v>HYPERLINK is not implemented. linkLocation=https://www.csee.umbc.edu/graduate/, friendlyName=Open source</x:v>
      </x:c>
    </x:row>
    <x:row r="1309" ht="46" customHeight="1">
      <x:c r="A1309" s="17" t="str">
        <x:v>stage3src:dc1cc49c04a91c58eaf1</x:v>
      </x:c>
      <x:c r="B1309" s="17" t="str">
        <x:v>program</x:v>
      </x:c>
      <x:c r="C1309" s="17" t="str">
        <x:v>University of Maryland-Baltimore County</x:v>
      </x:c>
      <x:c r="D1309" s="17" t="str">
        <x:v>us:ipeds:163268:program:phd:phd-in-computer-science</x:v>
      </x:c>
      <x:c r="E1309" s="17" t="str"/>
      <x:c r="F1309" s="17" t="str">
        <x:v>admissions|eligibility|language|deadline|fees|funding</x:v>
      </x:c>
      <x:c r="G1309" s="17" t="str">
        <x:v>Highly selective bachelor's-entry route, recurring January 20 deadline, current testing requirements, fee, and funding-selection factors.</x:v>
      </x:c>
      <x:c r="H1309" s="17" t="str">
        <x:v>Graduate Admissions</x:v>
      </x:c>
      <x:c r="I1309" s="17" t="str">
        <x:v>UMBC Department of Computer Science and Electrical Engineering</x:v>
      </x:c>
      <x:c r="J1309" s="17" t="str">
        <x:v>official</x:v>
      </x:c>
      <x:c r="K1309" s="17" t="str">
        <x:v>2026-09-10</x:v>
      </x:c>
      <x:c r="L1309" s="17" t="str">
        <x:v>Current cycle checked 2026-09-10</x:v>
      </x:c>
      <x:c r="M1309" s="17" t="str">
        <x:v>high</x:v>
      </x:c>
      <x:c r="N1309" s="17" t="str">
        <x:v>official page checked</x:v>
      </x:c>
      <x:c r="O1309" s="17" t="str"/>
      <x:c r="P1309" s="18" t="e">
        <x:f>HYPERLINK("https://www.csee.umbc.edu/admission/","Open source")</x:f>
        <x:v>HYPERLINK is not implemented. linkLocation=https://www.csee.umbc.edu/admission/, friendlyName=Open source</x:v>
      </x:c>
    </x:row>
    <x:row r="1310" ht="46" customHeight="1">
      <x:c r="A1310" s="17" t="str">
        <x:v>stage3src:abde543f3078b517a423</x:v>
      </x:c>
      <x:c r="B1310" s="17" t="str">
        <x:v>program</x:v>
      </x:c>
      <x:c r="C1310" s="17" t="str">
        <x:v>University of Maryland-Baltimore County</x:v>
      </x:c>
      <x:c r="D1310" s="17" t="str">
        <x:v>us:ipeds:163268:program:unclear:ipeds-discovery-signal-computer-engineering-general-cip-14-0901</x:v>
      </x:c>
      <x:c r="E1310" s="17" t="str"/>
      <x:c r="F1310" s="17" t="str">
        <x:v>discovery</x:v>
      </x:c>
      <x:c r="G1310" s="17" t="str">
        <x:v>Stage 2 recorded this row as a discovery candidate; it does not independently verify an exact current research program, eligibility, or funding.</x:v>
      </x:c>
      <x:c r="H1310" s="17" t="str">
        <x:v>Pass 2 Stage 2 candidate funnel</x:v>
      </x:c>
      <x:c r="I1310" s="17" t="str">
        <x:v>Graduate audit pipeline</x:v>
      </x:c>
      <x:c r="J1310" s="17" t="str">
        <x:v>derived</x:v>
      </x:c>
      <x:c r="K1310" s="17" t="str">
        <x:v>2026-09-11</x:v>
      </x:c>
      <x:c r="L1310" s="17" t="str">
        <x:v>Not cycle-specific</x:v>
      </x:c>
      <x:c r="M1310" s="17" t="str">
        <x:v>low</x:v>
      </x:c>
      <x:c r="N1310" s="17" t="str">
        <x:v>Discovery evidence only</x:v>
      </x:c>
      <x:c r="O1310" s="17" t="str">
        <x:v>Use the source_record_paths field to trace the underlying discovery inputs.</x:v>
      </x:c>
      <x:c r="P1310" s="18" t="e">
        <x:f>HYPERLINK("https://umbc.edu","Open source")</x:f>
        <x:v>HYPERLINK is not implemented. linkLocation=https://umbc.edu, friendlyName=Open source</x:v>
      </x:c>
    </x:row>
    <x:row r="1311" ht="46" customHeight="1">
      <x:c r="A1311" s="17" t="str">
        <x:v>stage3src:7381f2d42ba9ccddb4ff</x:v>
      </x:c>
      <x:c r="B1311" s="17" t="str">
        <x:v>program</x:v>
      </x:c>
      <x:c r="C1311" s="17" t="str">
        <x:v>University of Maryland-Baltimore County</x:v>
      </x:c>
      <x:c r="D1311" s="17" t="str">
        <x:v>us:ipeds:163268:program:unclear:ipeds-discovery-signal-computer-science-cip-11-0701</x:v>
      </x:c>
      <x:c r="E1311" s="17" t="str"/>
      <x:c r="F1311" s="17" t="str">
        <x:v>discovery</x:v>
      </x:c>
      <x:c r="G1311" s="17" t="str">
        <x:v>Stage 2 recorded this row as a discovery candidate; it does not independently verify an exact current research program, eligibility, or funding.</x:v>
      </x:c>
      <x:c r="H1311" s="17" t="str">
        <x:v>Pass 2 Stage 2 candidate funnel</x:v>
      </x:c>
      <x:c r="I1311" s="17" t="str">
        <x:v>Graduate audit pipeline</x:v>
      </x:c>
      <x:c r="J1311" s="17" t="str">
        <x:v>derived</x:v>
      </x:c>
      <x:c r="K1311" s="17" t="str">
        <x:v>2026-09-11</x:v>
      </x:c>
      <x:c r="L1311" s="17" t="str">
        <x:v>Not cycle-specific</x:v>
      </x:c>
      <x:c r="M1311" s="17" t="str">
        <x:v>low</x:v>
      </x:c>
      <x:c r="N1311" s="17" t="str">
        <x:v>Discovery evidence only</x:v>
      </x:c>
      <x:c r="O1311" s="17" t="str">
        <x:v>Use the source_record_paths field to trace the underlying discovery inputs.</x:v>
      </x:c>
      <x:c r="P1311" s="18" t="e">
        <x:f>HYPERLINK("https://umbc.edu","Open source")</x:f>
        <x:v>HYPERLINK is not implemented. linkLocation=https://umbc.edu, friendlyName=Open source</x:v>
      </x:c>
    </x:row>
    <x:row r="1312" ht="46" customHeight="1">
      <x:c r="A1312" s="17" t="str">
        <x:v>stage3src:00fb76d8dffab7e0c9f1</x:v>
      </x:c>
      <x:c r="B1312" s="17" t="str">
        <x:v>program</x:v>
      </x:c>
      <x:c r="C1312" s="17" t="str">
        <x:v>University of Maryland-Baltimore County</x:v>
      </x:c>
      <x:c r="D1312" s="17" t="str">
        <x:v>us:ipeds:163268:program:unclear:ipeds-discovery-signal-electrical-and-electronics-engineering-cip-14-1001</x:v>
      </x:c>
      <x:c r="E1312" s="17" t="str"/>
      <x:c r="F1312" s="17" t="str">
        <x:v>discovery</x:v>
      </x:c>
      <x:c r="G1312" s="17" t="str">
        <x:v>Stage 2 recorded this row as a discovery candidate; it does not independently verify an exact current research program, eligibility, or funding.</x:v>
      </x:c>
      <x:c r="H1312" s="17" t="str">
        <x:v>Pass 2 Stage 2 candidate funnel</x:v>
      </x:c>
      <x:c r="I1312" s="17" t="str">
        <x:v>Graduate audit pipeline</x:v>
      </x:c>
      <x:c r="J1312" s="17" t="str">
        <x:v>derived</x:v>
      </x:c>
      <x:c r="K1312" s="17" t="str">
        <x:v>2026-09-11</x:v>
      </x:c>
      <x:c r="L1312" s="17" t="str">
        <x:v>Not cycle-specific</x:v>
      </x:c>
      <x:c r="M1312" s="17" t="str">
        <x:v>low</x:v>
      </x:c>
      <x:c r="N1312" s="17" t="str">
        <x:v>Discovery evidence only</x:v>
      </x:c>
      <x:c r="O1312" s="17" t="str">
        <x:v>Use the source_record_paths field to trace the underlying discovery inputs.</x:v>
      </x:c>
      <x:c r="P1312" s="18" t="e">
        <x:f>HYPERLINK("https://umbc.edu","Open source")</x:f>
        <x:v>HYPERLINK is not implemented. linkLocation=https://umbc.edu, friendlyName=Open source</x:v>
      </x:c>
    </x:row>
    <x:row r="1313" ht="46" customHeight="1">
      <x:c r="A1313" s="17" t="str">
        <x:v>stage3src:b8e4f957d695e6d0c8b6</x:v>
      </x:c>
      <x:c r="B1313" s="17" t="str">
        <x:v>program</x:v>
      </x:c>
      <x:c r="C1313" s="17" t="str">
        <x:v>University of Maryland-Baltimore County</x:v>
      </x:c>
      <x:c r="D1313" s="17" t="str">
        <x:v>us:ipeds:163268:program:unclear:ipeds-discovery-signal-information-science-studies-cip-11-0401</x:v>
      </x:c>
      <x:c r="E1313" s="17" t="str"/>
      <x:c r="F1313" s="17" t="str">
        <x:v>discovery</x:v>
      </x:c>
      <x:c r="G1313" s="17" t="str">
        <x:v>Stage 2 recorded this row as a discovery candidate; it does not independently verify an exact current research program, eligibility, or funding.</x:v>
      </x:c>
      <x:c r="H1313" s="17" t="str">
        <x:v>Pass 2 Stage 2 candidate funnel</x:v>
      </x:c>
      <x:c r="I1313" s="17" t="str">
        <x:v>Graduate audit pipeline</x:v>
      </x:c>
      <x:c r="J1313" s="17" t="str">
        <x:v>derived</x:v>
      </x:c>
      <x:c r="K1313" s="17" t="str">
        <x:v>2026-09-11</x:v>
      </x:c>
      <x:c r="L1313" s="17" t="str">
        <x:v>Not cycle-specific</x:v>
      </x:c>
      <x:c r="M1313" s="17" t="str">
        <x:v>low</x:v>
      </x:c>
      <x:c r="N1313" s="17" t="str">
        <x:v>Discovery evidence only</x:v>
      </x:c>
      <x:c r="O1313" s="17" t="str">
        <x:v>Use the source_record_paths field to trace the underlying discovery inputs.</x:v>
      </x:c>
      <x:c r="P1313" s="18" t="e">
        <x:f>HYPERLINK("https://umbc.edu","Open source")</x:f>
        <x:v>HYPERLINK is not implemented. linkLocation=https://umbc.edu, friendlyName=Open source</x:v>
      </x:c>
    </x:row>
    <x:row r="1314" ht="46" customHeight="1">
      <x:c r="A1314" s="17" t="str">
        <x:v>stage3src:20859fc18cfd8051e73a</x:v>
      </x:c>
      <x:c r="B1314" s="17" t="str">
        <x:v>program</x:v>
      </x:c>
      <x:c r="C1314" s="17" t="str">
        <x:v>University of Maryland-College Park</x:v>
      </x:c>
      <x:c r="D1314" s="17" t="str">
        <x:v>us:ipeds:163286:program:phd:computer-science-phd</x:v>
      </x:c>
      <x:c r="E1314" s="17" t="str"/>
      <x:c r="F1314" s="17" t="str">
        <x:v>funding|eligibility</x:v>
      </x:c>
      <x:c r="G1314" s="17" t="str">
        <x:v>Direct bachelor's eligibility, committee/faculty model, and funding description</x:v>
      </x:c>
      <x:c r="H1314" s="17" t="str">
        <x:v>Admissions FAQ</x:v>
      </x:c>
      <x:c r="I1314" s="17" t="str">
        <x:v>University of Maryland-College Park</x:v>
      </x:c>
      <x:c r="J1314" s="17" t="str">
        <x:v>Official</x:v>
      </x:c>
      <x:c r="K1314" s="17" t="str">
        <x:v>2026-09-09</x:v>
      </x:c>
      <x:c r="L1314" s="17" t="str">
        <x:v>Current</x:v>
      </x:c>
      <x:c r="M1314" s="17" t="str">
        <x:v>High</x:v>
      </x:c>
      <x:c r="N1314" s="17" t="str">
        <x:v>Verified</x:v>
      </x:c>
      <x:c r="O1314" s="17" t="str"/>
      <x:c r="P1314" s="18" t="e">
        <x:f>HYPERLINK("https://www.cs.umd.edu/grad/admissions-faq","Open source")</x:f>
        <x:v>HYPERLINK is not implemented. linkLocation=https://www.cs.umd.edu/grad/admissions-faq, friendlyName=Open source</x:v>
      </x:c>
    </x:row>
    <x:row r="1315" ht="46" customHeight="1">
      <x:c r="A1315" s="17" t="str">
        <x:v>stage3src:4dbf0504d6a460c7056d</x:v>
      </x:c>
      <x:c r="B1315" s="17" t="str">
        <x:v>program</x:v>
      </x:c>
      <x:c r="C1315" s="17" t="str">
        <x:v>University of Maryland-College Park</x:v>
      </x:c>
      <x:c r="D1315" s="17" t="str">
        <x:v>us:ipeds:163286:program:phd:computer-science-phd</x:v>
      </x:c>
      <x:c r="E1315" s="17" t="str"/>
      <x:c r="F1315" s="17" t="str">
        <x:v>fees|deadline|eligibility</x:v>
      </x:c>
      <x:c r="G1315" s="17" t="str">
        <x:v>Fall 2027 deadline, fee, GRE, and international requirements</x:v>
      </x:c>
      <x:c r="H1315" s="17" t="str">
        <x:v>Graduate Application</x:v>
      </x:c>
      <x:c r="I1315" s="17" t="str">
        <x:v>University of Maryland-College Park</x:v>
      </x:c>
      <x:c r="J1315" s="17" t="str">
        <x:v>Official</x:v>
      </x:c>
      <x:c r="K1315" s="17" t="str">
        <x:v>2026-09-09</x:v>
      </x:c>
      <x:c r="L1315" s="17" t="str">
        <x:v>Fall 2027</x:v>
      </x:c>
      <x:c r="M1315" s="17" t="str">
        <x:v>High</x:v>
      </x:c>
      <x:c r="N1315" s="17" t="str">
        <x:v>Verified</x:v>
      </x:c>
      <x:c r="O1315" s="17" t="str"/>
      <x:c r="P1315" s="18" t="e">
        <x:f>HYPERLINK("https://www.cs.umd.edu/grad/apply","Open source")</x:f>
        <x:v>HYPERLINK is not implemented. linkLocation=https://www.cs.umd.edu/grad/apply, friendlyName=Open source</x:v>
      </x:c>
    </x:row>
    <x:row r="1316" ht="46" customHeight="1">
      <x:c r="A1316" s="17" t="str">
        <x:v>stage3src:fa7bf8d07d7c45a6ff45</x:v>
      </x:c>
      <x:c r="B1316" s="17" t="str">
        <x:v>program</x:v>
      </x:c>
      <x:c r="C1316" s="17" t="str">
        <x:v>University of Maryland-College Park</x:v>
      </x:c>
      <x:c r="D1316" s="17" t="str">
        <x:v>us:ipeds:163286:program:phd:computer-science-phd</x:v>
      </x:c>
      <x:c r="E1316" s="17" t="str"/>
      <x:c r="F1316" s="17" t="str">
        <x:v>funding|program</x:v>
      </x:c>
      <x:c r="G1316" s="17" t="str">
        <x:v>Active PhD and broad full-time doctoral support</x:v>
      </x:c>
      <x:c r="H1316" s="17" t="str">
        <x:v>Computer Science Graduate Catalog</x:v>
      </x:c>
      <x:c r="I1316" s="17" t="str">
        <x:v>University of Maryland-College Park</x:v>
      </x:c>
      <x:c r="J1316" s="17" t="str">
        <x:v>Official</x:v>
      </x:c>
      <x:c r="K1316" s="17" t="str">
        <x:v>2026-09-09</x:v>
      </x:c>
      <x:c r="L1316" s="17" t="str">
        <x:v>Current</x:v>
      </x:c>
      <x:c r="M1316" s="17" t="str">
        <x:v>High</x:v>
      </x:c>
      <x:c r="N1316" s="17" t="str">
        <x:v>Verified</x:v>
      </x:c>
      <x:c r="O1316" s="17" t="str"/>
      <x:c r="P1316" s="18" t="e">
        <x:f>HYPERLINK("https://academiccatalog.umd.edu/graduate/programs/computer-science-cmsc/","Open source")</x:f>
        <x:v>HYPERLINK is not implemented. linkLocation=https://academiccatalog.umd.edu/graduate/programs/computer-science-cmsc/, friendlyName=Open source</x:v>
      </x:c>
    </x:row>
    <x:row r="1317" ht="46" customHeight="1">
      <x:c r="A1317" s="17" t="str">
        <x:v>stage3src:90af8ba27fe028b2d3b3</x:v>
      </x:c>
      <x:c r="B1317" s="17" t="str">
        <x:v>program</x:v>
      </x:c>
      <x:c r="C1317" s="17" t="str">
        <x:v>University of Maryland-College Park</x:v>
      </x:c>
      <x:c r="D1317" s="17" t="str">
        <x:v>us:ipeds:163286:program:unclear:ipeds-discovery-signal-computer-science-cip-11-0701</x:v>
      </x:c>
      <x:c r="E1317" s="17" t="str"/>
      <x:c r="F1317" s="17" t="str">
        <x:v>discovery</x:v>
      </x:c>
      <x:c r="G1317" s="17" t="str">
        <x:v>Stage 2 recorded this row as a discovery candidate; it does not independently verify an exact current research program, eligibility, or funding.</x:v>
      </x:c>
      <x:c r="H1317" s="17" t="str">
        <x:v>Pass 2 Stage 2 candidate funnel</x:v>
      </x:c>
      <x:c r="I1317" s="17" t="str">
        <x:v>Graduate audit pipeline</x:v>
      </x:c>
      <x:c r="J1317" s="17" t="str">
        <x:v>derived</x:v>
      </x:c>
      <x:c r="K1317" s="17" t="str">
        <x:v>2026-09-11</x:v>
      </x:c>
      <x:c r="L1317" s="17" t="str">
        <x:v>Not cycle-specific</x:v>
      </x:c>
      <x:c r="M1317" s="17" t="str">
        <x:v>low</x:v>
      </x:c>
      <x:c r="N1317" s="17" t="str">
        <x:v>Discovery evidence only</x:v>
      </x:c>
      <x:c r="O1317" s="17" t="str">
        <x:v>Use the source_record_paths field to trace the underlying discovery inputs.</x:v>
      </x:c>
      <x:c r="P1317" s="18" t="e">
        <x:f>HYPERLINK("https://www.umd.edu","Open source")</x:f>
        <x:v>HYPERLINK is not implemented. linkLocation=https://www.umd.edu, friendlyName=Open source</x:v>
      </x:c>
    </x:row>
    <x:row r="1318" ht="46" customHeight="1">
      <x:c r="A1318" s="17" t="str">
        <x:v>stage3src:ceb474565538805a838a</x:v>
      </x:c>
      <x:c r="B1318" s="17" t="str">
        <x:v>program</x:v>
      </x:c>
      <x:c r="C1318" s="17" t="str">
        <x:v>University of Maryland-College Park</x:v>
      </x:c>
      <x:c r="D1318" s="17" t="str">
        <x:v>us:ipeds:163286:program:unclear:ipeds-discovery-signal-electrical-and-electronics-engineering-cip-14-1001</x:v>
      </x:c>
      <x:c r="E1318" s="17" t="str"/>
      <x:c r="F1318" s="17" t="str">
        <x:v>discovery</x:v>
      </x:c>
      <x:c r="G1318" s="17" t="str">
        <x:v>Stage 2 recorded this row as a discovery candidate; it does not independently verify an exact current research program, eligibility, or funding.</x:v>
      </x:c>
      <x:c r="H1318" s="17" t="str">
        <x:v>Pass 2 Stage 2 candidate funnel</x:v>
      </x:c>
      <x:c r="I1318" s="17" t="str">
        <x:v>Graduate audit pipeline</x:v>
      </x:c>
      <x:c r="J1318" s="17" t="str">
        <x:v>derived</x:v>
      </x:c>
      <x:c r="K1318" s="17" t="str">
        <x:v>2026-09-11</x:v>
      </x:c>
      <x:c r="L1318" s="17" t="str">
        <x:v>Not cycle-specific</x:v>
      </x:c>
      <x:c r="M1318" s="17" t="str">
        <x:v>low</x:v>
      </x:c>
      <x:c r="N1318" s="17" t="str">
        <x:v>Discovery evidence only</x:v>
      </x:c>
      <x:c r="O1318" s="17" t="str">
        <x:v>Use the source_record_paths field to trace the underlying discovery inputs.</x:v>
      </x:c>
      <x:c r="P1318" s="18" t="e">
        <x:f>HYPERLINK("https://www.umd.edu","Open source")</x:f>
        <x:v>HYPERLINK is not implemented. linkLocation=https://www.umd.edu, friendlyName=Open source</x:v>
      </x:c>
    </x:row>
    <x:row r="1319" ht="46" customHeight="1">
      <x:c r="A1319" s="17" t="str">
        <x:v>stage3src:0693ddbcdaab8dd05934</x:v>
      </x:c>
      <x:c r="B1319" s="17" t="str">
        <x:v>program</x:v>
      </x:c>
      <x:c r="C1319" s="17" t="str">
        <x:v>University of Maryland-College Park</x:v>
      </x:c>
      <x:c r="D1319" s="17" t="str">
        <x:v>us:ipeds:163286:program:unclear:ipeds-discovery-signal-information-science-studies-cip-11-0401</x:v>
      </x:c>
      <x:c r="E1319" s="17" t="str"/>
      <x:c r="F1319" s="17" t="str">
        <x:v>discovery</x:v>
      </x:c>
      <x:c r="G1319" s="17" t="str">
        <x:v>Stage 2 recorded this row as a discovery candidate; it does not independently verify an exact current research program, eligibility, or funding.</x:v>
      </x:c>
      <x:c r="H1319" s="17" t="str">
        <x:v>Pass 2 Stage 2 candidate funnel</x:v>
      </x:c>
      <x:c r="I1319" s="17" t="str">
        <x:v>Graduate audit pipeline</x:v>
      </x:c>
      <x:c r="J1319" s="17" t="str">
        <x:v>derived</x:v>
      </x:c>
      <x:c r="K1319" s="17" t="str">
        <x:v>2026-09-11</x:v>
      </x:c>
      <x:c r="L1319" s="17" t="str">
        <x:v>Not cycle-specific</x:v>
      </x:c>
      <x:c r="M1319" s="17" t="str">
        <x:v>low</x:v>
      </x:c>
      <x:c r="N1319" s="17" t="str">
        <x:v>Discovery evidence only</x:v>
      </x:c>
      <x:c r="O1319" s="17" t="str">
        <x:v>Use the source_record_paths field to trace the underlying discovery inputs.</x:v>
      </x:c>
      <x:c r="P1319" s="18" t="e">
        <x:f>HYPERLINK("https://www.umd.edu","Open source")</x:f>
        <x:v>HYPERLINK is not implemented. linkLocation=https://www.umd.edu, friendlyName=Open source</x:v>
      </x:c>
    </x:row>
    <x:row r="1320" ht="46" customHeight="1">
      <x:c r="A1320" s="17" t="str">
        <x:v>stage3src:cc0a27605376e9afb3ad</x:v>
      </x:c>
      <x:c r="B1320" s="17" t="str">
        <x:v>program</x:v>
      </x:c>
      <x:c r="C1320" s="17" t="str">
        <x:v>University of Maryland-College Park</x:v>
      </x:c>
      <x:c r="D1320" s="17" t="str">
        <x:v>us:ipeds:163286:program:unclear:ipeds-discovery-signal-information-technology-cip-11-0103</x:v>
      </x:c>
      <x:c r="E1320" s="17" t="str"/>
      <x:c r="F1320" s="17" t="str">
        <x:v>discovery</x:v>
      </x:c>
      <x:c r="G1320" s="17" t="str">
        <x:v>Stage 2 recorded this row as a discovery candidate; it does not independently verify an exact current research program, eligibility, or funding.</x:v>
      </x:c>
      <x:c r="H1320" s="17" t="str">
        <x:v>Pass 2 Stage 2 candidate funnel</x:v>
      </x:c>
      <x:c r="I1320" s="17" t="str">
        <x:v>Graduate audit pipeline</x:v>
      </x:c>
      <x:c r="J1320" s="17" t="str">
        <x:v>derived</x:v>
      </x:c>
      <x:c r="K1320" s="17" t="str">
        <x:v>2026-09-11</x:v>
      </x:c>
      <x:c r="L1320" s="17" t="str">
        <x:v>Not cycle-specific</x:v>
      </x:c>
      <x:c r="M1320" s="17" t="str">
        <x:v>low</x:v>
      </x:c>
      <x:c r="N1320" s="17" t="str">
        <x:v>Discovery evidence only</x:v>
      </x:c>
      <x:c r="O1320" s="17" t="str">
        <x:v>Use the source_record_paths field to trace the underlying discovery inputs.</x:v>
      </x:c>
      <x:c r="P1320" s="18" t="e">
        <x:f>HYPERLINK("https://www.umd.edu","Open source")</x:f>
        <x:v>HYPERLINK is not implemented. linkLocation=https://www.umd.edu, friendlyName=Open source</x:v>
      </x:c>
    </x:row>
    <x:row r="1321" ht="46" customHeight="1">
      <x:c r="A1321" s="17" t="str">
        <x:v>stage3src:5bdef6d120e2d0ec768f</x:v>
      </x:c>
      <x:c r="B1321" s="17" t="str">
        <x:v>program</x:v>
      </x:c>
      <x:c r="C1321" s="17" t="str">
        <x:v>University of Maryland Eastern Shore</x:v>
      </x:c>
      <x:c r="D1321" s="17" t="str">
        <x:v>us:ipeds:163338:program:unclear:ipeds-discovery-signal-computer-and-information-sciences-general-cip-11-0101</x:v>
      </x:c>
      <x:c r="E1321" s="17" t="str"/>
      <x:c r="F1321" s="17" t="str">
        <x:v>discovery</x:v>
      </x:c>
      <x:c r="G1321" s="17" t="str">
        <x:v>Stage 2 recorded this row as a discovery candidate; it does not independently verify an exact current research program, eligibility, or funding.</x:v>
      </x:c>
      <x:c r="H1321" s="17" t="str">
        <x:v>Pass 2 Stage 2 candidate funnel</x:v>
      </x:c>
      <x:c r="I1321" s="17" t="str">
        <x:v>Graduate audit pipeline</x:v>
      </x:c>
      <x:c r="J1321" s="17" t="str">
        <x:v>derived</x:v>
      </x:c>
      <x:c r="K1321" s="17" t="str">
        <x:v>2026-09-11</x:v>
      </x:c>
      <x:c r="L1321" s="17" t="str">
        <x:v>Not cycle-specific</x:v>
      </x:c>
      <x:c r="M1321" s="17" t="str">
        <x:v>low</x:v>
      </x:c>
      <x:c r="N1321" s="17" t="str">
        <x:v>Discovery evidence only</x:v>
      </x:c>
      <x:c r="O1321" s="17" t="str">
        <x:v>Use the source_record_paths field to trace the underlying discovery inputs.</x:v>
      </x:c>
      <x:c r="P1321" s="18" t="e">
        <x:f>HYPERLINK("https://wwwcp.umes.edu","Open source")</x:f>
        <x:v>HYPERLINK is not implemented. linkLocation=https://wwwcp.umes.edu, friendlyName=Open source</x:v>
      </x:c>
    </x:row>
    <x:row r="1322" ht="46" customHeight="1">
      <x:c r="A1322" s="17" t="str">
        <x:v>stage3src:d516e2027ac03e6a0839</x:v>
      </x:c>
      <x:c r="B1322" s="17" t="str">
        <x:v>program</x:v>
      </x:c>
      <x:c r="C1322" s="17" t="str">
        <x:v>University of Maryland Eastern Shore</x:v>
      </x:c>
      <x:c r="D1322" s="17" t="str">
        <x:v>us:ipeds:163338:program:unclear:ipeds-discovery-signal-computer-and-information-systems-security-auditing-information-assurance-cip-11-1003</x:v>
      </x:c>
      <x:c r="E1322" s="17" t="str"/>
      <x:c r="F1322" s="17" t="str">
        <x:v>discovery</x:v>
      </x:c>
      <x:c r="G1322" s="17" t="str">
        <x:v>Stage 2 recorded this row as a discovery candidate; it does not independently verify an exact current research program, eligibility, or funding.</x:v>
      </x:c>
      <x:c r="H1322" s="17" t="str">
        <x:v>Pass 2 Stage 2 candidate funnel</x:v>
      </x:c>
      <x:c r="I1322" s="17" t="str">
        <x:v>Graduate audit pipeline</x:v>
      </x:c>
      <x:c r="J1322" s="17" t="str">
        <x:v>derived</x:v>
      </x:c>
      <x:c r="K1322" s="17" t="str">
        <x:v>2026-09-11</x:v>
      </x:c>
      <x:c r="L1322" s="17" t="str">
        <x:v>Not cycle-specific</x:v>
      </x:c>
      <x:c r="M1322" s="17" t="str">
        <x:v>low</x:v>
      </x:c>
      <x:c r="N1322" s="17" t="str">
        <x:v>Discovery evidence only</x:v>
      </x:c>
      <x:c r="O1322" s="17" t="str">
        <x:v>Use the source_record_paths field to trace the underlying discovery inputs.</x:v>
      </x:c>
      <x:c r="P1322" s="18" t="e">
        <x:f>HYPERLINK("https://wwwcp.umes.edu","Open source")</x:f>
        <x:v>HYPERLINK is not implemented. linkLocation=https://wwwcp.umes.edu, friendlyName=Open source</x:v>
      </x:c>
    </x:row>
    <x:row r="1323" ht="46" customHeight="1">
      <x:c r="A1323" s="17" t="str">
        <x:v>stage3src:05943033a33c1ea93cf8</x:v>
      </x:c>
      <x:c r="B1323" s="17" t="str">
        <x:v>program</x:v>
      </x:c>
      <x:c r="C1323" s="17" t="str">
        <x:v>Morgan State University</x:v>
      </x:c>
      <x:c r="D1323" s="17" t="str">
        <x:v>us:ipeds:163453:program:unclear:ipeds-discovery-signal-computer-science-cip-11-0701</x:v>
      </x:c>
      <x:c r="E1323" s="17" t="str"/>
      <x:c r="F1323" s="17" t="str">
        <x:v>discovery</x:v>
      </x:c>
      <x:c r="G1323" s="17" t="str">
        <x:v>Stage 2 recorded this row as a discovery candidate; it does not independently verify an exact current research program, eligibility, or funding.</x:v>
      </x:c>
      <x:c r="H1323" s="17" t="str">
        <x:v>Pass 2 Stage 2 candidate funnel</x:v>
      </x:c>
      <x:c r="I1323" s="17" t="str">
        <x:v>Graduate audit pipeline</x:v>
      </x:c>
      <x:c r="J1323" s="17" t="str">
        <x:v>derived</x:v>
      </x:c>
      <x:c r="K1323" s="17" t="str">
        <x:v>2026-09-11</x:v>
      </x:c>
      <x:c r="L1323" s="17" t="str">
        <x:v>Not cycle-specific</x:v>
      </x:c>
      <x:c r="M1323" s="17" t="str">
        <x:v>low</x:v>
      </x:c>
      <x:c r="N1323" s="17" t="str">
        <x:v>Discovery evidence only</x:v>
      </x:c>
      <x:c r="O1323" s="17" t="str">
        <x:v>Use the source_record_paths field to trace the underlying discovery inputs.</x:v>
      </x:c>
      <x:c r="P1323" s="18" t="e">
        <x:f>HYPERLINK("https://www.morgan.edu","Open source")</x:f>
        <x:v>HYPERLINK is not implemented. linkLocation=https://www.morgan.edu, friendlyName=Open source</x:v>
      </x:c>
    </x:row>
    <x:row r="1324" ht="46" customHeight="1">
      <x:c r="A1324" s="17" t="str">
        <x:v>stage3src:1ec455d452ef025c3813</x:v>
      </x:c>
      <x:c r="B1324" s="17" t="str">
        <x:v>program</x:v>
      </x:c>
      <x:c r="C1324" s="17" t="str">
        <x:v>Morgan State University</x:v>
      </x:c>
      <x:c r="D1324" s="17" t="str">
        <x:v>us:ipeds:163453:program:unclear:ipeds-discovery-signal-electrical-and-electronics-engineering-cip-14-1001</x:v>
      </x:c>
      <x:c r="E1324" s="17" t="str"/>
      <x:c r="F1324" s="17" t="str">
        <x:v>discovery</x:v>
      </x:c>
      <x:c r="G1324" s="17" t="str">
        <x:v>Stage 2 recorded this row as a discovery candidate; it does not independently verify an exact current research program, eligibility, or funding.</x:v>
      </x:c>
      <x:c r="H1324" s="17" t="str">
        <x:v>Pass 2 Stage 2 candidate funnel</x:v>
      </x:c>
      <x:c r="I1324" s="17" t="str">
        <x:v>Graduate audit pipeline</x:v>
      </x:c>
      <x:c r="J1324" s="17" t="str">
        <x:v>derived</x:v>
      </x:c>
      <x:c r="K1324" s="17" t="str">
        <x:v>2026-09-11</x:v>
      </x:c>
      <x:c r="L1324" s="17" t="str">
        <x:v>Not cycle-specific</x:v>
      </x:c>
      <x:c r="M1324" s="17" t="str">
        <x:v>low</x:v>
      </x:c>
      <x:c r="N1324" s="17" t="str">
        <x:v>Discovery evidence only</x:v>
      </x:c>
      <x:c r="O1324" s="17" t="str">
        <x:v>Use the source_record_paths field to trace the underlying discovery inputs.</x:v>
      </x:c>
      <x:c r="P1324" s="18" t="e">
        <x:f>HYPERLINK("https://www.morgan.edu","Open source")</x:f>
        <x:v>HYPERLINK is not implemented. linkLocation=https://www.morgan.edu, friendlyName=Open source</x:v>
      </x:c>
    </x:row>
    <x:row r="1325" ht="46" customHeight="1">
      <x:c r="A1325" s="17" t="str">
        <x:v>stage3src:374060b78fe340247322</x:v>
      </x:c>
      <x:c r="B1325" s="17" t="str">
        <x:v>program</x:v>
      </x:c>
      <x:c r="C1325" s="17" t="str">
        <x:v>Notre Dame of Maryland University</x:v>
      </x:c>
      <x:c r="D1325" s="17" t="str">
        <x:v>us:ipeds:163578:program:unclear:ipeds-discovery-signal-information-science-studies-cip-11-0401</x:v>
      </x:c>
      <x:c r="E1325" s="17" t="str"/>
      <x:c r="F1325" s="17" t="str">
        <x:v>discovery</x:v>
      </x:c>
      <x:c r="G1325" s="17" t="str">
        <x:v>Stage 2 recorded this row as a discovery candidate; it does not independently verify an exact current research program, eligibility, or funding.</x:v>
      </x:c>
      <x:c r="H1325" s="17" t="str">
        <x:v>Pass 2 Stage 2 candidate funnel</x:v>
      </x:c>
      <x:c r="I1325" s="17" t="str">
        <x:v>Graduate audit pipeline</x:v>
      </x:c>
      <x:c r="J1325" s="17" t="str">
        <x:v>derived</x:v>
      </x:c>
      <x:c r="K1325" s="17" t="str">
        <x:v>2026-09-11</x:v>
      </x:c>
      <x:c r="L1325" s="17" t="str">
        <x:v>Not cycle-specific</x:v>
      </x:c>
      <x:c r="M1325" s="17" t="str">
        <x:v>low</x:v>
      </x:c>
      <x:c r="N1325" s="17" t="str">
        <x:v>Discovery evidence only</x:v>
      </x:c>
      <x:c r="O1325" s="17" t="str">
        <x:v>Use the source_record_paths field to trace the underlying discovery inputs.</x:v>
      </x:c>
      <x:c r="P1325" s="18" t="e">
        <x:f>HYPERLINK("https://www.ndm.edu","Open source")</x:f>
        <x:v>HYPERLINK is not implemented. linkLocation=https://www.ndm.edu, friendlyName=Open source</x:v>
      </x:c>
    </x:row>
    <x:row r="1326" ht="46" customHeight="1">
      <x:c r="A1326" s="17" t="str">
        <x:v>stage3src:2155699b9c6ade6750d2</x:v>
      </x:c>
      <x:c r="B1326" s="17" t="str">
        <x:v>program</x:v>
      </x:c>
      <x:c r="C1326" s="17" t="str">
        <x:v>Towson University</x:v>
      </x:c>
      <x:c r="D1326" s="17" t="str">
        <x:v>us:ipeds:164076:program:unclear:ipeds-discovery-signal-computer-science-cip-11-0701</x:v>
      </x:c>
      <x:c r="E1326" s="17" t="str"/>
      <x:c r="F1326" s="17" t="str">
        <x:v>discovery</x:v>
      </x:c>
      <x:c r="G1326" s="17" t="str">
        <x:v>Stage 2 recorded this row as a discovery candidate; it does not independently verify an exact current research program, eligibility, or funding.</x:v>
      </x:c>
      <x:c r="H1326" s="17" t="str">
        <x:v>Pass 2 Stage 2 candidate funnel</x:v>
      </x:c>
      <x:c r="I1326" s="17" t="str">
        <x:v>Graduate audit pipeline</x:v>
      </x:c>
      <x:c r="J1326" s="17" t="str">
        <x:v>derived</x:v>
      </x:c>
      <x:c r="K1326" s="17" t="str">
        <x:v>2026-09-11</x:v>
      </x:c>
      <x:c r="L1326" s="17" t="str">
        <x:v>Not cycle-specific</x:v>
      </x:c>
      <x:c r="M1326" s="17" t="str">
        <x:v>low</x:v>
      </x:c>
      <x:c r="N1326" s="17" t="str">
        <x:v>Discovery evidence only</x:v>
      </x:c>
      <x:c r="O1326" s="17" t="str">
        <x:v>Use the source_record_paths field to trace the underlying discovery inputs.</x:v>
      </x:c>
      <x:c r="P1326" s="18" t="e">
        <x:f>HYPERLINK("https://www.towson.edu","Open source")</x:f>
        <x:v>HYPERLINK is not implemented. linkLocation=https://www.towson.edu, friendlyName=Open source</x:v>
      </x:c>
    </x:row>
    <x:row r="1327" ht="46" customHeight="1">
      <x:c r="A1327" s="17" t="str">
        <x:v>stage3src:1f7217d94b5a7c91a053</x:v>
      </x:c>
      <x:c r="B1327" s="17" t="str">
        <x:v>program</x:v>
      </x:c>
      <x:c r="C1327" s="17" t="str">
        <x:v>Towson University</x:v>
      </x:c>
      <x:c r="D1327" s="17" t="str">
        <x:v>us:ipeds:164076:program:unclear:ipeds-discovery-signal-information-technology-cip-11-0103</x:v>
      </x:c>
      <x:c r="E1327" s="17" t="str"/>
      <x:c r="F1327" s="17" t="str">
        <x:v>discovery</x:v>
      </x:c>
      <x:c r="G1327" s="17" t="str">
        <x:v>Stage 2 recorded this row as a discovery candidate; it does not independently verify an exact current research program, eligibility, or funding.</x:v>
      </x:c>
      <x:c r="H1327" s="17" t="str">
        <x:v>Pass 2 Stage 2 candidate funnel</x:v>
      </x:c>
      <x:c r="I1327" s="17" t="str">
        <x:v>Graduate audit pipeline</x:v>
      </x:c>
      <x:c r="J1327" s="17" t="str">
        <x:v>derived</x:v>
      </x:c>
      <x:c r="K1327" s="17" t="str">
        <x:v>2026-09-11</x:v>
      </x:c>
      <x:c r="L1327" s="17" t="str">
        <x:v>Not cycle-specific</x:v>
      </x:c>
      <x:c r="M1327" s="17" t="str">
        <x:v>low</x:v>
      </x:c>
      <x:c r="N1327" s="17" t="str">
        <x:v>Discovery evidence only</x:v>
      </x:c>
      <x:c r="O1327" s="17" t="str">
        <x:v>Use the source_record_paths field to trace the underlying discovery inputs.</x:v>
      </x:c>
      <x:c r="P1327" s="18" t="e">
        <x:f>HYPERLINK("https://www.towson.edu","Open source")</x:f>
        <x:v>HYPERLINK is not implemented. linkLocation=https://www.towson.edu, friendlyName=Open source</x:v>
      </x:c>
    </x:row>
    <x:row r="1328" ht="46" customHeight="1">
      <x:c r="A1328" s="17" t="str">
        <x:v>stage3src:80cabcbda13d104d05e2</x:v>
      </x:c>
      <x:c r="B1328" s="17" t="str">
        <x:v>program</x:v>
      </x:c>
      <x:c r="C1328" s="17" t="str">
        <x:v>Stevenson University</x:v>
      </x:c>
      <x:c r="D1328" s="17" t="str">
        <x:v>us:ipeds:164173:program:unclear:ipeds-discovery-signal-cyber-computer-forensics-and-counterterrorism-cip-43-0403</x:v>
      </x:c>
      <x:c r="E1328" s="17" t="str"/>
      <x:c r="F1328" s="17" t="str">
        <x:v>discovery</x:v>
      </x:c>
      <x:c r="G1328" s="17" t="str">
        <x:v>Stage 2 recorded this row as a discovery candidate; it does not independently verify an exact current research program, eligibility, or funding.</x:v>
      </x:c>
      <x:c r="H1328" s="17" t="str">
        <x:v>Pass 2 Stage 2 candidate funnel</x:v>
      </x:c>
      <x:c r="I1328" s="17" t="str">
        <x:v>Graduate audit pipeline</x:v>
      </x:c>
      <x:c r="J1328" s="17" t="str">
        <x:v>derived</x:v>
      </x:c>
      <x:c r="K1328" s="17" t="str">
        <x:v>2026-09-11</x:v>
      </x:c>
      <x:c r="L1328" s="17" t="str">
        <x:v>Not cycle-specific</x:v>
      </x:c>
      <x:c r="M1328" s="17" t="str">
        <x:v>low</x:v>
      </x:c>
      <x:c r="N1328" s="17" t="str">
        <x:v>Discovery evidence only</x:v>
      </x:c>
      <x:c r="O1328" s="17" t="str">
        <x:v>Use the source_record_paths field to trace the underlying discovery inputs.</x:v>
      </x:c>
      <x:c r="P1328" s="18" t="e">
        <x:f>HYPERLINK("https://www.stevenson.edu","Open source")</x:f>
        <x:v>HYPERLINK is not implemented. linkLocation=https://www.stevenson.edu, friendlyName=Open source</x:v>
      </x:c>
    </x:row>
    <x:row r="1329" ht="46" customHeight="1">
      <x:c r="A1329" s="17" t="str">
        <x:v>stage3src:410acffc199f1ae2c3cf</x:v>
      </x:c>
      <x:c r="B1329" s="17" t="str">
        <x:v>program</x:v>
      </x:c>
      <x:c r="C1329" s="17" t="str">
        <x:v>Stevenson University</x:v>
      </x:c>
      <x:c r="D1329" s="17" t="str">
        <x:v>us:ipeds:164173:program:unclear:ipeds-discovery-signal-information-science-studies-cip-11-0401</x:v>
      </x:c>
      <x:c r="E1329" s="17" t="str"/>
      <x:c r="F1329" s="17" t="str">
        <x:v>discovery</x:v>
      </x:c>
      <x:c r="G1329" s="17" t="str">
        <x:v>Stage 2 recorded this row as a discovery candidate; it does not independently verify an exact current research program, eligibility, or funding.</x:v>
      </x:c>
      <x:c r="H1329" s="17" t="str">
        <x:v>Pass 2 Stage 2 candidate funnel</x:v>
      </x:c>
      <x:c r="I1329" s="17" t="str">
        <x:v>Graduate audit pipeline</x:v>
      </x:c>
      <x:c r="J1329" s="17" t="str">
        <x:v>derived</x:v>
      </x:c>
      <x:c r="K1329" s="17" t="str">
        <x:v>2026-09-11</x:v>
      </x:c>
      <x:c r="L1329" s="17" t="str">
        <x:v>Not cycle-specific</x:v>
      </x:c>
      <x:c r="M1329" s="17" t="str">
        <x:v>low</x:v>
      </x:c>
      <x:c r="N1329" s="17" t="str">
        <x:v>Discovery evidence only</x:v>
      </x:c>
      <x:c r="O1329" s="17" t="str">
        <x:v>Use the source_record_paths field to trace the underlying discovery inputs.</x:v>
      </x:c>
      <x:c r="P1329" s="18" t="e">
        <x:f>HYPERLINK("https://www.stevenson.edu","Open source")</x:f>
        <x:v>HYPERLINK is not implemented. linkLocation=https://www.stevenson.edu, friendlyName=Open source</x:v>
      </x:c>
    </x:row>
    <x:row r="1330" ht="46" customHeight="1">
      <x:c r="A1330" s="17" t="str">
        <x:v>stage3src:8b347c4e6c934f25084f</x:v>
      </x:c>
      <x:c r="B1330" s="17" t="str">
        <x:v>program</x:v>
      </x:c>
      <x:c r="C1330" s="17" t="str">
        <x:v>Bentley University</x:v>
      </x:c>
      <x:c r="D1330" s="17" t="str">
        <x:v>us:ipeds:164739:program:unclear:ipeds-discovery-signal-information-technology-cip-11-0103</x:v>
      </x:c>
      <x:c r="E1330" s="17" t="str"/>
      <x:c r="F1330" s="17" t="str">
        <x:v>discovery</x:v>
      </x:c>
      <x:c r="G1330" s="17" t="str">
        <x:v>Stage 2 recorded this row as a discovery candidate; it does not independently verify an exact current research program, eligibility, or funding.</x:v>
      </x:c>
      <x:c r="H1330" s="17" t="str">
        <x:v>Pass 2 Stage 2 candidate funnel</x:v>
      </x:c>
      <x:c r="I1330" s="17" t="str">
        <x:v>Graduate audit pipeline</x:v>
      </x:c>
      <x:c r="J1330" s="17" t="str">
        <x:v>derived</x:v>
      </x:c>
      <x:c r="K1330" s="17" t="str">
        <x:v>2026-09-11</x:v>
      </x:c>
      <x:c r="L1330" s="17" t="str">
        <x:v>Not cycle-specific</x:v>
      </x:c>
      <x:c r="M1330" s="17" t="str">
        <x:v>low</x:v>
      </x:c>
      <x:c r="N1330" s="17" t="str">
        <x:v>Discovery evidence only</x:v>
      </x:c>
      <x:c r="O1330" s="17" t="str">
        <x:v>Use the source_record_paths field to trace the underlying discovery inputs.</x:v>
      </x:c>
      <x:c r="P1330" s="18" t="e">
        <x:f>HYPERLINK("https://www.bentley.edu","Open source")</x:f>
        <x:v>HYPERLINK is not implemented. linkLocation=https://www.bentley.edu, friendlyName=Open source</x:v>
      </x:c>
    </x:row>
    <x:row r="1331" ht="46" customHeight="1">
      <x:c r="A1331" s="17" t="str">
        <x:v>stage3src:dde98010752f63594df9</x:v>
      </x:c>
      <x:c r="B1331" s="17" t="str">
        <x:v>program</x:v>
      </x:c>
      <x:c r="C1331" s="17" t="str">
        <x:v>Boston College</x:v>
      </x:c>
      <x:c r="D1331" s="17" t="str">
        <x:v>us:ipeds:164924:program:unclear:ipeds-discovery-signal-computer-and-information-systems-security-auditing-information-assurance-cip-11-1003</x:v>
      </x:c>
      <x:c r="E1331" s="17" t="str"/>
      <x:c r="F1331" s="17" t="str">
        <x:v>discovery</x:v>
      </x:c>
      <x:c r="G1331" s="17" t="str">
        <x:v>Stage 2 recorded this row as a discovery candidate; it does not independently verify an exact current research program, eligibility, or funding.</x:v>
      </x:c>
      <x:c r="H1331" s="17" t="str">
        <x:v>Pass 2 Stage 2 candidate funnel</x:v>
      </x:c>
      <x:c r="I1331" s="17" t="str">
        <x:v>Graduate audit pipeline</x:v>
      </x:c>
      <x:c r="J1331" s="17" t="str">
        <x:v>derived</x:v>
      </x:c>
      <x:c r="K1331" s="17" t="str">
        <x:v>2026-09-11</x:v>
      </x:c>
      <x:c r="L1331" s="17" t="str">
        <x:v>Not cycle-specific</x:v>
      </x:c>
      <x:c r="M1331" s="17" t="str">
        <x:v>low</x:v>
      </x:c>
      <x:c r="N1331" s="17" t="str">
        <x:v>Discovery evidence only</x:v>
      </x:c>
      <x:c r="O1331" s="17" t="str">
        <x:v>Use the source_record_paths field to trace the underlying discovery inputs.</x:v>
      </x:c>
      <x:c r="P1331" s="18" t="e">
        <x:f>HYPERLINK("https://www.bc.edu","Open source")</x:f>
        <x:v>HYPERLINK is not implemented. linkLocation=https://www.bc.edu, friendlyName=Open source</x:v>
      </x:c>
    </x:row>
    <x:row r="1332" ht="46" customHeight="1">
      <x:c r="A1332" s="17" t="str">
        <x:v>stage3src:0786a28df5eb0199147e</x:v>
      </x:c>
      <x:c r="B1332" s="17" t="str">
        <x:v>program</x:v>
      </x:c>
      <x:c r="C1332" s="17" t="str">
        <x:v>Boston College</x:v>
      </x:c>
      <x:c r="D1332" s="17" t="str">
        <x:v>us:ipeds:164924:program:unclear:ipeds-discovery-signal-data-analytics-general-cip-30-7101</x:v>
      </x:c>
      <x:c r="E1332" s="17" t="str"/>
      <x:c r="F1332" s="17" t="str">
        <x:v>discovery</x:v>
      </x:c>
      <x:c r="G1332" s="17" t="str">
        <x:v>Stage 2 recorded this row as a discovery candidate; it does not independently verify an exact current research program, eligibility, or funding.</x:v>
      </x:c>
      <x:c r="H1332" s="17" t="str">
        <x:v>Pass 2 Stage 2 candidate funnel</x:v>
      </x:c>
      <x:c r="I1332" s="17" t="str">
        <x:v>Graduate audit pipeline</x:v>
      </x:c>
      <x:c r="J1332" s="17" t="str">
        <x:v>derived</x:v>
      </x:c>
      <x:c r="K1332" s="17" t="str">
        <x:v>2026-09-11</x:v>
      </x:c>
      <x:c r="L1332" s="17" t="str">
        <x:v>Not cycle-specific</x:v>
      </x:c>
      <x:c r="M1332" s="17" t="str">
        <x:v>low</x:v>
      </x:c>
      <x:c r="N1332" s="17" t="str">
        <x:v>Discovery evidence only</x:v>
      </x:c>
      <x:c r="O1332" s="17" t="str">
        <x:v>Use the source_record_paths field to trace the underlying discovery inputs.</x:v>
      </x:c>
      <x:c r="P1332" s="18" t="e">
        <x:f>HYPERLINK("https://www.bc.edu","Open source")</x:f>
        <x:v>HYPERLINK is not implemented. linkLocation=https://www.bc.edu, friendlyName=Open source</x:v>
      </x:c>
    </x:row>
    <x:row r="1333" ht="46" customHeight="1">
      <x:c r="A1333" s="17" t="str">
        <x:v>stage3src:047a1dd822552c122b04</x:v>
      </x:c>
      <x:c r="B1333" s="17" t="str">
        <x:v>program</x:v>
      </x:c>
      <x:c r="C1333" s="17" t="str">
        <x:v>Boston University</x:v>
      </x:c>
      <x:c r="D1333" s="17" t="str">
        <x:v>us:ipeds:164988:program:phd:computer-science-phd</x:v>
      </x:c>
      <x:c r="E1333" s="17" t="str"/>
      <x:c r="F1333" s="17" t="str">
        <x:v>admissions|fees</x:v>
      </x:c>
      <x:c r="G1333" s="17" t="str">
        <x:v>GRS application fee is USD 95 and fee-waiver rules for international applicants require departmental recommendation.</x:v>
      </x:c>
      <x:c r="H1333" s="17" t="str">
        <x:v>PhD &amp; MFA: Submitting your Application</x:v>
      </x:c>
      <x:c r="I1333" s="17" t="str">
        <x:v>Boston University Arts &amp; Sciences</x:v>
      </x:c>
      <x:c r="J1333" s="17" t="str">
        <x:v>official</x:v>
      </x:c>
      <x:c r="K1333" s="17" t="str">
        <x:v>2026-09-10</x:v>
      </x:c>
      <x:c r="L1333" s="17" t="str">
        <x:v>Current page checked 2026-09-10</x:v>
      </x:c>
      <x:c r="M1333" s="17" t="str">
        <x:v>high</x:v>
      </x:c>
      <x:c r="N1333" s="17" t="str">
        <x:v>official page checked</x:v>
      </x:c>
      <x:c r="O1333" s="17" t="str"/>
      <x:c r="P1333" s="18" t="e">
        <x:f>HYPERLINK("https://www.bu.edu/cas/admissions/phd-mfa/apply/frequently-asked-questions/phd-mfa-submitting-your-application/","Open source")</x:f>
        <x:v>HYPERLINK is not implemented. linkLocation=https://www.bu.edu/cas/admissions/phd-mfa/apply/frequently-asked-questions/phd-mfa-submitting-your-application/, friendlyName=Open source</x:v>
      </x:c>
    </x:row>
    <x:row r="1334" ht="46" customHeight="1">
      <x:c r="A1334" s="17" t="str">
        <x:v>stage3src:28988cbc2cc31abaa7ef</x:v>
      </x:c>
      <x:c r="B1334" s="17" t="str">
        <x:v>program</x:v>
      </x:c>
      <x:c r="C1334" s="17" t="str">
        <x:v>Boston University</x:v>
      </x:c>
      <x:c r="D1334" s="17" t="str">
        <x:v>us:ipeds:164988:program:phd:computer-science-phd</x:v>
      </x:c>
      <x:c r="E1334" s="17" t="str"/>
      <x:c r="F1334" s="17" t="str">
        <x:v>program|admissions|deadline</x:v>
      </x:c>
      <x:c r="G1334" s="17" t="str">
        <x:v>Current Computer Science PhD research route and December 1, 2026 deadline for Fall 2027.</x:v>
      </x:c>
      <x:c r="H1334" s="17" t="str">
        <x:v>PhD Program</x:v>
      </x:c>
      <x:c r="I1334" s="17" t="str">
        <x:v>Boston University Department of Computer Science</x:v>
      </x:c>
      <x:c r="J1334" s="17" t="str">
        <x:v>official</x:v>
      </x:c>
      <x:c r="K1334" s="17" t="str">
        <x:v>2026-09-10</x:v>
      </x:c>
      <x:c r="L1334" s="17" t="str">
        <x:v>Fall 2027</x:v>
      </x:c>
      <x:c r="M1334" s="17" t="str">
        <x:v>high</x:v>
      </x:c>
      <x:c r="N1334" s="17" t="str">
        <x:v>official page checked</x:v>
      </x:c>
      <x:c r="O1334" s="17" t="str"/>
      <x:c r="P1334" s="18" t="e">
        <x:f>HYPERLINK("https://www.bu.edu/cs/phd-program/","Open source")</x:f>
        <x:v>HYPERLINK is not implemented. linkLocation=https://www.bu.edu/cs/phd-program/, friendlyName=Open source</x:v>
      </x:c>
    </x:row>
    <x:row r="1335" ht="46" customHeight="1">
      <x:c r="A1335" s="17" t="str">
        <x:v>stage3src:c4e38b910d07c8a37008</x:v>
      </x:c>
      <x:c r="B1335" s="17" t="str">
        <x:v>program</x:v>
      </x:c>
      <x:c r="C1335" s="17" t="str">
        <x:v>Boston University</x:v>
      </x:c>
      <x:c r="D1335" s="17" t="str">
        <x:v>us:ipeds:164988:program:phd:computer-science-phd</x:v>
      </x:c>
      <x:c r="E1335" s="17" t="str"/>
      <x:c r="F1335" s="17" t="str">
        <x:v>funding|tuition|fees</x:v>
      </x:c>
      <x:c r="G1335" s="17" t="str">
        <x:v>Domestic and international GRS PhD students can receive five years of tuition, mandatory-fee, insurance-credit, and stipend funding subject to conduct, standing, and progress.</x:v>
      </x:c>
      <x:c r="H1335" s="17" t="str">
        <x:v>Aid for PhD Students</x:v>
      </x:c>
      <x:c r="I1335" s="17" t="str">
        <x:v>Boston University Arts &amp; Sciences</x:v>
      </x:c>
      <x:c r="J1335" s="17" t="str">
        <x:v>official</x:v>
      </x:c>
      <x:c r="K1335" s="17" t="str">
        <x:v>2026-09-10</x:v>
      </x:c>
      <x:c r="L1335" s="17" t="str">
        <x:v>Current page checked 2026-09-10</x:v>
      </x:c>
      <x:c r="M1335" s="17" t="str">
        <x:v>high</x:v>
      </x:c>
      <x:c r="N1335" s="17" t="str">
        <x:v>official page checked</x:v>
      </x:c>
      <x:c r="O1335" s="17" t="str"/>
      <x:c r="P1335" s="18" t="e">
        <x:f>HYPERLINK("https://www.bu.edu/cas/admissions/phd-mfa/fellowship-aid/aid-for-phd-students/","Open source")</x:f>
        <x:v>HYPERLINK is not implemented. linkLocation=https://www.bu.edu/cas/admissions/phd-mfa/fellowship-aid/aid-for-phd-students/, friendlyName=Open source</x:v>
      </x:c>
    </x:row>
    <x:row r="1336" ht="46" customHeight="1">
      <x:c r="A1336" s="17" t="str">
        <x:v>stage3src:e795f1001e46a328a7cb</x:v>
      </x:c>
      <x:c r="B1336" s="17" t="str">
        <x:v>program</x:v>
      </x:c>
      <x:c r="C1336" s="17" t="str">
        <x:v>Boston University</x:v>
      </x:c>
      <x:c r="D1336" s="17" t="str">
        <x:v>us:ipeds:164988:program:phd:computer-science-phd</x:v>
      </x:c>
      <x:c r="E1336" s="17" t="str"/>
      <x:c r="F1336" s="17" t="str">
        <x:v>admissions|deadline|fees|funding</x:v>
      </x:c>
      <x:c r="G1336" s="17" t="str">
        <x:v>Fall-only committee process, exact deadline time, required fee, separate aid decision, and fee-waiver route.</x:v>
      </x:c>
      <x:c r="H1336" s="17" t="str">
        <x:v>PhD Admissions</x:v>
      </x:c>
      <x:c r="I1336" s="17" t="str">
        <x:v>Boston University Department of Computer Science</x:v>
      </x:c>
      <x:c r="J1336" s="17" t="str">
        <x:v>official</x:v>
      </x:c>
      <x:c r="K1336" s="17" t="str">
        <x:v>2026-09-10</x:v>
      </x:c>
      <x:c r="L1336" s="17" t="str">
        <x:v>Fall 2027</x:v>
      </x:c>
      <x:c r="M1336" s="17" t="str">
        <x:v>high</x:v>
      </x:c>
      <x:c r="N1336" s="17" t="str">
        <x:v>official page checked</x:v>
      </x:c>
      <x:c r="O1336" s="17" t="str"/>
      <x:c r="P1336" s="18" t="e">
        <x:f>HYPERLINK("https://www.bu.edu/cs/phd-program/admissions/","Open source")</x:f>
        <x:v>HYPERLINK is not implemented. linkLocation=https://www.bu.edu/cs/phd-program/admissions/, friendlyName=Open source</x:v>
      </x:c>
    </x:row>
    <x:row r="1337" ht="46" customHeight="1">
      <x:c r="A1337" s="17" t="str">
        <x:v>stage3src:ef0d2d2e9ea201affe02</x:v>
      </x:c>
      <x:c r="B1337" s="17" t="str">
        <x:v>program</x:v>
      </x:c>
      <x:c r="C1337" s="17" t="str">
        <x:v>Boston University</x:v>
      </x:c>
      <x:c r="D1337" s="17" t="str">
        <x:v>us:ipeds:164988:program:phd:computer-science-phd</x:v>
      </x:c>
      <x:c r="E1337" s="17" t="str"/>
      <x:c r="F1337" s="17" t="str">
        <x:v>tuition|fees</x:v>
      </x:c>
      <x:c r="G1337" s="17" t="str">
        <x:v>Published 2026-2027 GRS tuition, mandatory fees, insurance premium, and cost-of-attendance components.</x:v>
      </x:c>
      <x:c r="H1337" s="17" t="str">
        <x:v>PhD &amp; MFA: Cost of Attendance</x:v>
      </x:c>
      <x:c r="I1337" s="17" t="str">
        <x:v>Boston University Arts &amp; Sciences</x:v>
      </x:c>
      <x:c r="J1337" s="17" t="str">
        <x:v>official</x:v>
      </x:c>
      <x:c r="K1337" s="17" t="str">
        <x:v>2026-09-10</x:v>
      </x:c>
      <x:c r="L1337" s="17" t="str">
        <x:v>2026-2027</x:v>
      </x:c>
      <x:c r="M1337" s="17" t="str">
        <x:v>high</x:v>
      </x:c>
      <x:c r="N1337" s="17" t="str">
        <x:v>official page checked</x:v>
      </x:c>
      <x:c r="O1337" s="17" t="str"/>
      <x:c r="P1337" s="18" t="e">
        <x:f>HYPERLINK("https://www.bu.edu/cas/admissions/phd-mfa/fellowship-aid/cost-of-attendance/","Open source")</x:f>
        <x:v>HYPERLINK is not implemented. linkLocation=https://www.bu.edu/cas/admissions/phd-mfa/fellowship-aid/cost-of-attendance/, friendlyName=Open source</x:v>
      </x:c>
    </x:row>
    <x:row r="1338" ht="46" customHeight="1">
      <x:c r="A1338" s="17" t="str">
        <x:v>stage3src:2836f9399a35436b864c</x:v>
      </x:c>
      <x:c r="B1338" s="17" t="str">
        <x:v>program</x:v>
      </x:c>
      <x:c r="C1338" s="17" t="str">
        <x:v>Boston University</x:v>
      </x:c>
      <x:c r="D1338" s="17" t="str">
        <x:v>us:ipeds:164988:program:unclear:ipeds-discovery-signal-artificial-intelligence-cip-11-0102</x:v>
      </x:c>
      <x:c r="E1338" s="17" t="str"/>
      <x:c r="F1338" s="17" t="str">
        <x:v>discovery</x:v>
      </x:c>
      <x:c r="G1338" s="17" t="str">
        <x:v>Stage 2 recorded this row as a discovery candidate; it does not independently verify an exact current research program, eligibility, or funding.</x:v>
      </x:c>
      <x:c r="H1338" s="17" t="str">
        <x:v>Pass 2 Stage 2 candidate funnel</x:v>
      </x:c>
      <x:c r="I1338" s="17" t="str">
        <x:v>Graduate audit pipeline</x:v>
      </x:c>
      <x:c r="J1338" s="17" t="str">
        <x:v>derived</x:v>
      </x:c>
      <x:c r="K1338" s="17" t="str">
        <x:v>2026-09-11</x:v>
      </x:c>
      <x:c r="L1338" s="17" t="str">
        <x:v>Not cycle-specific</x:v>
      </x:c>
      <x:c r="M1338" s="17" t="str">
        <x:v>low</x:v>
      </x:c>
      <x:c r="N1338" s="17" t="str">
        <x:v>Discovery evidence only</x:v>
      </x:c>
      <x:c r="O1338" s="17" t="str">
        <x:v>Use the source_record_paths field to trace the underlying discovery inputs.</x:v>
      </x:c>
      <x:c r="P1338" s="18" t="e">
        <x:f>HYPERLINK("https://www.bu.edu","Open source")</x:f>
        <x:v>HYPERLINK is not implemented. linkLocation=https://www.bu.edu, friendlyName=Open source</x:v>
      </x:c>
    </x:row>
    <x:row r="1339" ht="46" customHeight="1">
      <x:c r="A1339" s="17" t="str">
        <x:v>stage3src:f59f5e97e15aaeabc13d</x:v>
      </x:c>
      <x:c r="B1339" s="17" t="str">
        <x:v>program</x:v>
      </x:c>
      <x:c r="C1339" s="17" t="str">
        <x:v>Boston University</x:v>
      </x:c>
      <x:c r="D1339" s="17" t="str">
        <x:v>us:ipeds:164988:program:unclear:ipeds-discovery-signal-computer-and-information-systems-security-auditing-information-assurance-cip-11-1003</x:v>
      </x:c>
      <x:c r="E1339" s="17" t="str"/>
      <x:c r="F1339" s="17" t="str">
        <x:v>discovery</x:v>
      </x:c>
      <x:c r="G1339" s="17" t="str">
        <x:v>Stage 2 recorded this row as a discovery candidate; it does not independently verify an exact current research program, eligibility, or funding.</x:v>
      </x:c>
      <x:c r="H1339" s="17" t="str">
        <x:v>Pass 2 Stage 2 candidate funnel</x:v>
      </x:c>
      <x:c r="I1339" s="17" t="str">
        <x:v>Graduate audit pipeline</x:v>
      </x:c>
      <x:c r="J1339" s="17" t="str">
        <x:v>derived</x:v>
      </x:c>
      <x:c r="K1339" s="17" t="str">
        <x:v>2026-09-11</x:v>
      </x:c>
      <x:c r="L1339" s="17" t="str">
        <x:v>Not cycle-specific</x:v>
      </x:c>
      <x:c r="M1339" s="17" t="str">
        <x:v>low</x:v>
      </x:c>
      <x:c r="N1339" s="17" t="str">
        <x:v>Discovery evidence only</x:v>
      </x:c>
      <x:c r="O1339" s="17" t="str">
        <x:v>Use the source_record_paths field to trace the underlying discovery inputs.</x:v>
      </x:c>
      <x:c r="P1339" s="18" t="e">
        <x:f>HYPERLINK("https://www.bu.edu","Open source")</x:f>
        <x:v>HYPERLINK is not implemented. linkLocation=https://www.bu.edu, friendlyName=Open source</x:v>
      </x:c>
    </x:row>
    <x:row r="1340" ht="46" customHeight="1">
      <x:c r="A1340" s="17" t="str">
        <x:v>stage3src:85827952f4e35eb5d9c7</x:v>
      </x:c>
      <x:c r="B1340" s="17" t="str">
        <x:v>program</x:v>
      </x:c>
      <x:c r="C1340" s="17" t="str">
        <x:v>Boston University</x:v>
      </x:c>
      <x:c r="D1340" s="17" t="str">
        <x:v>us:ipeds:164988:program:unclear:ipeds-discovery-signal-computer-engineering-general-cip-14-0901</x:v>
      </x:c>
      <x:c r="E1340" s="17" t="str"/>
      <x:c r="F1340" s="17" t="str">
        <x:v>discovery</x:v>
      </x:c>
      <x:c r="G1340" s="17" t="str">
        <x:v>Stage 2 recorded this row as a discovery candidate; it does not independently verify an exact current research program, eligibility, or funding.</x:v>
      </x:c>
      <x:c r="H1340" s="17" t="str">
        <x:v>Pass 2 Stage 2 candidate funnel</x:v>
      </x:c>
      <x:c r="I1340" s="17" t="str">
        <x:v>Graduate audit pipeline</x:v>
      </x:c>
      <x:c r="J1340" s="17" t="str">
        <x:v>derived</x:v>
      </x:c>
      <x:c r="K1340" s="17" t="str">
        <x:v>2026-09-11</x:v>
      </x:c>
      <x:c r="L1340" s="17" t="str">
        <x:v>Not cycle-specific</x:v>
      </x:c>
      <x:c r="M1340" s="17" t="str">
        <x:v>low</x:v>
      </x:c>
      <x:c r="N1340" s="17" t="str">
        <x:v>Discovery evidence only</x:v>
      </x:c>
      <x:c r="O1340" s="17" t="str">
        <x:v>Use the source_record_paths field to trace the underlying discovery inputs.</x:v>
      </x:c>
      <x:c r="P1340" s="18" t="e">
        <x:f>HYPERLINK("https://www.bu.edu","Open source")</x:f>
        <x:v>HYPERLINK is not implemented. linkLocation=https://www.bu.edu, friendlyName=Open source</x:v>
      </x:c>
    </x:row>
    <x:row r="1341" ht="46" customHeight="1">
      <x:c r="A1341" s="17" t="str">
        <x:v>stage3src:ea9c866946ba9d910688</x:v>
      </x:c>
      <x:c r="B1341" s="17" t="str">
        <x:v>program</x:v>
      </x:c>
      <x:c r="C1341" s="17" t="str">
        <x:v>Boston University</x:v>
      </x:c>
      <x:c r="D1341" s="17" t="str">
        <x:v>us:ipeds:164988:program:unclear:ipeds-discovery-signal-computer-science-cip-11-0701</x:v>
      </x:c>
      <x:c r="E1341" s="17" t="str"/>
      <x:c r="F1341" s="17" t="str">
        <x:v>discovery</x:v>
      </x:c>
      <x:c r="G1341" s="17" t="str">
        <x:v>Stage 2 recorded this row as a discovery candidate; it does not independently verify an exact current research program, eligibility, or funding.</x:v>
      </x:c>
      <x:c r="H1341" s="17" t="str">
        <x:v>Pass 2 Stage 2 candidate funnel</x:v>
      </x:c>
      <x:c r="I1341" s="17" t="str">
        <x:v>Graduate audit pipeline</x:v>
      </x:c>
      <x:c r="J1341" s="17" t="str">
        <x:v>derived</x:v>
      </x:c>
      <x:c r="K1341" s="17" t="str">
        <x:v>2026-09-11</x:v>
      </x:c>
      <x:c r="L1341" s="17" t="str">
        <x:v>Not cycle-specific</x:v>
      </x:c>
      <x:c r="M1341" s="17" t="str">
        <x:v>low</x:v>
      </x:c>
      <x:c r="N1341" s="17" t="str">
        <x:v>Discovery evidence only</x:v>
      </x:c>
      <x:c r="O1341" s="17" t="str">
        <x:v>Use the source_record_paths field to trace the underlying discovery inputs.</x:v>
      </x:c>
      <x:c r="P1341" s="18" t="e">
        <x:f>HYPERLINK("https://www.bu.edu","Open source")</x:f>
        <x:v>HYPERLINK is not implemented. linkLocation=https://www.bu.edu, friendlyName=Open source</x:v>
      </x:c>
    </x:row>
    <x:row r="1342" ht="46" customHeight="1">
      <x:c r="A1342" s="17" t="str">
        <x:v>stage3src:e5b688fde1be526e760e</x:v>
      </x:c>
      <x:c r="B1342" s="17" t="str">
        <x:v>program</x:v>
      </x:c>
      <x:c r="C1342" s="17" t="str">
        <x:v>Boston University</x:v>
      </x:c>
      <x:c r="D1342" s="17" t="str">
        <x:v>us:ipeds:164988:program:unclear:ipeds-discovery-signal-data-science-general-cip-30-7001</x:v>
      </x:c>
      <x:c r="E1342" s="17" t="str"/>
      <x:c r="F1342" s="17" t="str">
        <x:v>discovery</x:v>
      </x:c>
      <x:c r="G1342" s="17" t="str">
        <x:v>Stage 2 recorded this row as a discovery candidate; it does not independently verify an exact current research program, eligibility, or funding.</x:v>
      </x:c>
      <x:c r="H1342" s="17" t="str">
        <x:v>Pass 2 Stage 2 candidate funnel</x:v>
      </x:c>
      <x:c r="I1342" s="17" t="str">
        <x:v>Graduate audit pipeline</x:v>
      </x:c>
      <x:c r="J1342" s="17" t="str">
        <x:v>derived</x:v>
      </x:c>
      <x:c r="K1342" s="17" t="str">
        <x:v>2026-09-11</x:v>
      </x:c>
      <x:c r="L1342" s="17" t="str">
        <x:v>Not cycle-specific</x:v>
      </x:c>
      <x:c r="M1342" s="17" t="str">
        <x:v>low</x:v>
      </x:c>
      <x:c r="N1342" s="17" t="str">
        <x:v>Discovery evidence only</x:v>
      </x:c>
      <x:c r="O1342" s="17" t="str">
        <x:v>Use the source_record_paths field to trace the underlying discovery inputs.</x:v>
      </x:c>
      <x:c r="P1342" s="18" t="e">
        <x:f>HYPERLINK("https://www.bu.edu","Open source")</x:f>
        <x:v>HYPERLINK is not implemented. linkLocation=https://www.bu.edu, friendlyName=Open source</x:v>
      </x:c>
    </x:row>
    <x:row r="1343" ht="46" customHeight="1">
      <x:c r="A1343" s="17" t="str">
        <x:v>stage3src:4073d361d12a2a13dd41</x:v>
      </x:c>
      <x:c r="B1343" s="17" t="str">
        <x:v>program</x:v>
      </x:c>
      <x:c r="C1343" s="17" t="str">
        <x:v>Boston University</x:v>
      </x:c>
      <x:c r="D1343" s="17" t="str">
        <x:v>us:ipeds:164988:program:unclear:ipeds-discovery-signal-electrical-and-electronics-engineering-cip-14-1001</x:v>
      </x:c>
      <x:c r="E1343" s="17" t="str"/>
      <x:c r="F1343" s="17" t="str">
        <x:v>discovery</x:v>
      </x:c>
      <x:c r="G1343" s="17" t="str">
        <x:v>Stage 2 recorded this row as a discovery candidate; it does not independently verify an exact current research program, eligibility, or funding.</x:v>
      </x:c>
      <x:c r="H1343" s="17" t="str">
        <x:v>Pass 2 Stage 2 candidate funnel</x:v>
      </x:c>
      <x:c r="I1343" s="17" t="str">
        <x:v>Graduate audit pipeline</x:v>
      </x:c>
      <x:c r="J1343" s="17" t="str">
        <x:v>derived</x:v>
      </x:c>
      <x:c r="K1343" s="17" t="str">
        <x:v>2026-09-11</x:v>
      </x:c>
      <x:c r="L1343" s="17" t="str">
        <x:v>Not cycle-specific</x:v>
      </x:c>
      <x:c r="M1343" s="17" t="str">
        <x:v>low</x:v>
      </x:c>
      <x:c r="N1343" s="17" t="str">
        <x:v>Discovery evidence only</x:v>
      </x:c>
      <x:c r="O1343" s="17" t="str">
        <x:v>Use the source_record_paths field to trace the underlying discovery inputs.</x:v>
      </x:c>
      <x:c r="P1343" s="18" t="e">
        <x:f>HYPERLINK("https://www.bu.edu","Open source")</x:f>
        <x:v>HYPERLINK is not implemented. linkLocation=https://www.bu.edu, friendlyName=Open source</x:v>
      </x:c>
    </x:row>
    <x:row r="1344" ht="46" customHeight="1">
      <x:c r="A1344" s="17" t="str">
        <x:v>stage3src:71a3788462f17f067fcd</x:v>
      </x:c>
      <x:c r="B1344" s="17" t="str">
        <x:v>program</x:v>
      </x:c>
      <x:c r="C1344" s="17" t="str">
        <x:v>Boston University</x:v>
      </x:c>
      <x:c r="D1344" s="17" t="str">
        <x:v>us:ipeds:164988:program:unclear:ipeds-discovery-signal-information-science-studies-cip-11-0401</x:v>
      </x:c>
      <x:c r="E1344" s="17" t="str"/>
      <x:c r="F1344" s="17" t="str">
        <x:v>discovery</x:v>
      </x:c>
      <x:c r="G1344" s="17" t="str">
        <x:v>Stage 2 recorded this row as a discovery candidate; it does not independently verify an exact current research program, eligibility, or funding.</x:v>
      </x:c>
      <x:c r="H1344" s="17" t="str">
        <x:v>Pass 2 Stage 2 candidate funnel</x:v>
      </x:c>
      <x:c r="I1344" s="17" t="str">
        <x:v>Graduate audit pipeline</x:v>
      </x:c>
      <x:c r="J1344" s="17" t="str">
        <x:v>derived</x:v>
      </x:c>
      <x:c r="K1344" s="17" t="str">
        <x:v>2026-09-11</x:v>
      </x:c>
      <x:c r="L1344" s="17" t="str">
        <x:v>Not cycle-specific</x:v>
      </x:c>
      <x:c r="M1344" s="17" t="str">
        <x:v>low</x:v>
      </x:c>
      <x:c r="N1344" s="17" t="str">
        <x:v>Discovery evidence only</x:v>
      </x:c>
      <x:c r="O1344" s="17" t="str">
        <x:v>Use the source_record_paths field to trace the underlying discovery inputs.</x:v>
      </x:c>
      <x:c r="P1344" s="18" t="e">
        <x:f>HYPERLINK("https://www.bu.edu","Open source")</x:f>
        <x:v>HYPERLINK is not implemented. linkLocation=https://www.bu.edu, friendlyName=Open source</x:v>
      </x:c>
    </x:row>
    <x:row r="1345" ht="46" customHeight="1">
      <x:c r="A1345" s="17" t="str">
        <x:v>stage3src:93f9f2d870cbd9c3cfdd</x:v>
      </x:c>
      <x:c r="B1345" s="17" t="str">
        <x:v>program</x:v>
      </x:c>
      <x:c r="C1345" s="17" t="str">
        <x:v>Boston University</x:v>
      </x:c>
      <x:c r="D1345" s="17" t="str">
        <x:v>us:ipeds:164988:program:unclear:ipeds-discovery-signal-mechatronics-robotics-and-automation-engineering-cip-14-4201</x:v>
      </x:c>
      <x:c r="E1345" s="17" t="str"/>
      <x:c r="F1345" s="17" t="str">
        <x:v>discovery</x:v>
      </x:c>
      <x:c r="G1345" s="17" t="str">
        <x:v>Stage 2 recorded this row as a discovery candidate; it does not independently verify an exact current research program, eligibility, or funding.</x:v>
      </x:c>
      <x:c r="H1345" s="17" t="str">
        <x:v>Pass 2 Stage 2 candidate funnel</x:v>
      </x:c>
      <x:c r="I1345" s="17" t="str">
        <x:v>Graduate audit pipeline</x:v>
      </x:c>
      <x:c r="J1345" s="17" t="str">
        <x:v>derived</x:v>
      </x:c>
      <x:c r="K1345" s="17" t="str">
        <x:v>2026-09-11</x:v>
      </x:c>
      <x:c r="L1345" s="17" t="str">
        <x:v>Not cycle-specific</x:v>
      </x:c>
      <x:c r="M1345" s="17" t="str">
        <x:v>low</x:v>
      </x:c>
      <x:c r="N1345" s="17" t="str">
        <x:v>Discovery evidence only</x:v>
      </x:c>
      <x:c r="O1345" s="17" t="str">
        <x:v>Use the source_record_paths field to trace the underlying discovery inputs.</x:v>
      </x:c>
      <x:c r="P1345" s="18" t="e">
        <x:f>HYPERLINK("https://www.bu.edu","Open source")</x:f>
        <x:v>HYPERLINK is not implemented. linkLocation=https://www.bu.edu, friendlyName=Open source</x:v>
      </x:c>
    </x:row>
    <x:row r="1346" ht="46" customHeight="1">
      <x:c r="A1346" s="17" t="str">
        <x:v>stage3src:0251d804b572bc997288</x:v>
      </x:c>
      <x:c r="B1346" s="17" t="str">
        <x:v>program</x:v>
      </x:c>
      <x:c r="C1346" s="17" t="str">
        <x:v>Brandeis University</x:v>
      </x:c>
      <x:c r="D1346" s="17" t="str">
        <x:v>us:ipeds:165015:program:phd:computer-science-phd</x:v>
      </x:c>
      <x:c r="E1346" s="17" t="str"/>
      <x:c r="F1346" s="17" t="str">
        <x:v>admissions|eligibility|language|fees</x:v>
      </x:c>
      <x:c r="G1346" s="17" t="str">
        <x:v>Bachelor's completion, USD 75 fee, waiver route, and one-program-per-academic-year rule.</x:v>
      </x:c>
      <x:c r="H1346" s="17" t="str">
        <x:v>Apply to GSAS</x:v>
      </x:c>
      <x:c r="I1346" s="17" t="str">
        <x:v>Brandeis University</x:v>
      </x:c>
      <x:c r="J1346" s="17" t="str">
        <x:v>official</x:v>
      </x:c>
      <x:c r="K1346" s="17" t="str">
        <x:v>2026-09-11</x:v>
      </x:c>
      <x:c r="L1346" s="17" t="str">
        <x:v>Current application guidance checked 2026-09-11</x:v>
      </x:c>
      <x:c r="M1346" s="17" t="str">
        <x:v>high</x:v>
      </x:c>
      <x:c r="N1346" s="17" t="str">
        <x:v>official page checked</x:v>
      </x:c>
      <x:c r="O1346" s="17" t="str"/>
      <x:c r="P1346" s="18" t="e">
        <x:f>HYPERLINK("https://www.brandeis.edu/gsas/admissions/apply/index.html","Open source")</x:f>
        <x:v>HYPERLINK is not implemented. linkLocation=https://www.brandeis.edu/gsas/admissions/apply/index.html, friendlyName=Open source</x:v>
      </x:c>
    </x:row>
    <x:row r="1347" ht="46" customHeight="1">
      <x:c r="A1347" s="17" t="str">
        <x:v>stage3src:052df755c99e5cd6b952</x:v>
      </x:c>
      <x:c r="B1347" s="17" t="str">
        <x:v>program</x:v>
      </x:c>
      <x:c r="C1347" s="17" t="str">
        <x:v>Brandeis University</x:v>
      </x:c>
      <x:c r="D1347" s="17" t="str">
        <x:v>us:ipeds:165015:program:phd:computer-science-phd</x:v>
      </x:c>
      <x:c r="E1347" s="17" t="str"/>
      <x:c r="F1347" s="17" t="str">
        <x:v>program|research|admissions|eligibility|deadline</x:v>
      </x:c>
      <x:c r="G1347" s="17" t="str">
        <x:v>Current CS PhD, bachelor's preparation, recurring deadline, and program structure.</x:v>
      </x:c>
      <x:c r="H1347" s="17" t="str">
        <x:v>Computer Science PhD</x:v>
      </x:c>
      <x:c r="I1347" s="17" t="str">
        <x:v>Brandeis University Graduate School of Arts and Sciences</x:v>
      </x:c>
      <x:c r="J1347" s="17" t="str">
        <x:v>official</x:v>
      </x:c>
      <x:c r="K1347" s="17" t="str">
        <x:v>2026-09-11</x:v>
      </x:c>
      <x:c r="L1347" s="17" t="str">
        <x:v>Current page checked 2026-09-11</x:v>
      </x:c>
      <x:c r="M1347" s="17" t="str">
        <x:v>high</x:v>
      </x:c>
      <x:c r="N1347" s="17" t="str">
        <x:v>official page checked</x:v>
      </x:c>
      <x:c r="O1347" s="17" t="str"/>
      <x:c r="P1347" s="18" t="e">
        <x:f>HYPERLINK("https://www.brandeis.edu/gsas/programs/computer_science.html","Open source")</x:f>
        <x:v>HYPERLINK is not implemented. linkLocation=https://www.brandeis.edu/gsas/programs/computer_science.html, friendlyName=Open source</x:v>
      </x:c>
    </x:row>
    <x:row r="1348" ht="46" customHeight="1">
      <x:c r="A1348" s="17" t="str">
        <x:v>stage3src:99cb6c06e5bce3bb85d3</x:v>
      </x:c>
      <x:c r="B1348" s="17" t="str">
        <x:v>program</x:v>
      </x:c>
      <x:c r="C1348" s="17" t="str">
        <x:v>Brandeis University</x:v>
      </x:c>
      <x:c r="D1348" s="17" t="str">
        <x:v>us:ipeds:165015:program:phd:computer-science-phd</x:v>
      </x:c>
      <x:c r="E1348" s="17" t="str"/>
      <x:c r="F1348" s="17" t="str">
        <x:v>funding|tuition|health</x:v>
      </x:c>
      <x:c r="G1348" s="17" t="str">
        <x:v>Most-doctoral-student five-year fellowship, full-tuition, and health-insurance package with international consideration.</x:v>
      </x:c>
      <x:c r="H1348" s="17" t="str">
        <x:v>Doctoral Student Financing</x:v>
      </x:c>
      <x:c r="I1348" s="17" t="str">
        <x:v>Brandeis University Graduate School of Arts and Sciences</x:v>
      </x:c>
      <x:c r="J1348" s="17" t="str">
        <x:v>official</x:v>
      </x:c>
      <x:c r="K1348" s="17" t="str">
        <x:v>2026-09-11</x:v>
      </x:c>
      <x:c r="L1348" s="17" t="str">
        <x:v>Current financing policy checked 2026-09-11</x:v>
      </x:c>
      <x:c r="M1348" s="17" t="str">
        <x:v>high</x:v>
      </x:c>
      <x:c r="N1348" s="17" t="str">
        <x:v>official page checked</x:v>
      </x:c>
      <x:c r="O1348" s="17" t="str"/>
      <x:c r="P1348" s="18" t="e">
        <x:f>HYPERLINK("https://www.brandeis.edu/gsas/financing/doctoral/index.html","Open source")</x:f>
        <x:v>HYPERLINK is not implemented. linkLocation=https://www.brandeis.edu/gsas/financing/doctoral/index.html, friendlyName=Open source</x:v>
      </x:c>
    </x:row>
    <x:row r="1349" ht="46" customHeight="1">
      <x:c r="A1349" s="17" t="str">
        <x:v>stage3src:a4260b5966a1f72a7772</x:v>
      </x:c>
      <x:c r="B1349" s="17" t="str">
        <x:v>program</x:v>
      </x:c>
      <x:c r="C1349" s="17" t="str">
        <x:v>Brandeis University</x:v>
      </x:c>
      <x:c r="D1349" s="17" t="str">
        <x:v>us:ipeds:165015:program:phd:computer-science-phd</x:v>
      </x:c>
      <x:c r="E1349" s="17" t="str"/>
      <x:c r="F1349" s="17" t="str">
        <x:v>program|research</x:v>
      </x:c>
      <x:c r="G1349" s="17" t="str">
        <x:v>Coursework, advisor selection, teaching, thesis proposal, dissertation, and residency requirements.</x:v>
      </x:c>
      <x:c r="H1349" s="17" t="str">
        <x:v>PhD Degree Requirements</x:v>
      </x:c>
      <x:c r="I1349" s="17" t="str">
        <x:v>Brandeis University Computer Science</x:v>
      </x:c>
      <x:c r="J1349" s="17" t="str">
        <x:v>official</x:v>
      </x:c>
      <x:c r="K1349" s="17" t="str">
        <x:v>2026-09-11</x:v>
      </x:c>
      <x:c r="L1349" s="17" t="str">
        <x:v>Current requirements checked 2026-09-11</x:v>
      </x:c>
      <x:c r="M1349" s="17" t="str">
        <x:v>high</x:v>
      </x:c>
      <x:c r="N1349" s="17" t="str">
        <x:v>official page checked</x:v>
      </x:c>
      <x:c r="O1349" s="17" t="str"/>
      <x:c r="P1349" s="18" t="e">
        <x:f>HYPERLINK("https://www.brandeis.edu/computer-science/phd/requirements.html","Open source")</x:f>
        <x:v>HYPERLINK is not implemented. linkLocation=https://www.brandeis.edu/computer-science/phd/requirements.html, friendlyName=Open source</x:v>
      </x:c>
    </x:row>
    <x:row r="1350" ht="46" customHeight="1">
      <x:c r="A1350" s="17" t="str">
        <x:v>stage3src:7867451de0c49e6223c7</x:v>
      </x:c>
      <x:c r="B1350" s="17" t="str">
        <x:v>program</x:v>
      </x:c>
      <x:c r="C1350" s="17" t="str">
        <x:v>Brandeis University</x:v>
      </x:c>
      <x:c r="D1350" s="17" t="str">
        <x:v>us:ipeds:165015:program:unclear:ipeds-discovery-signal-artificial-intelligence-cip-11-0102</x:v>
      </x:c>
      <x:c r="E1350" s="17" t="str"/>
      <x:c r="F1350" s="17" t="str">
        <x:v>discovery</x:v>
      </x:c>
      <x:c r="G1350" s="17" t="str">
        <x:v>Stage 2 recorded this row as a discovery candidate; it does not independently verify an exact current research program, eligibility, or funding.</x:v>
      </x:c>
      <x:c r="H1350" s="17" t="str">
        <x:v>Pass 2 Stage 2 candidate funnel</x:v>
      </x:c>
      <x:c r="I1350" s="17" t="str">
        <x:v>Graduate audit pipeline</x:v>
      </x:c>
      <x:c r="J1350" s="17" t="str">
        <x:v>derived</x:v>
      </x:c>
      <x:c r="K1350" s="17" t="str">
        <x:v>2026-09-11</x:v>
      </x:c>
      <x:c r="L1350" s="17" t="str">
        <x:v>Not cycle-specific</x:v>
      </x:c>
      <x:c r="M1350" s="17" t="str">
        <x:v>low</x:v>
      </x:c>
      <x:c r="N1350" s="17" t="str">
        <x:v>Discovery evidence only</x:v>
      </x:c>
      <x:c r="O1350" s="17" t="str">
        <x:v>Use the source_record_paths field to trace the underlying discovery inputs.</x:v>
      </x:c>
      <x:c r="P1350" s="18" t="e">
        <x:f>HYPERLINK("https://www.brandeis.edu","Open source")</x:f>
        <x:v>HYPERLINK is not implemented. linkLocation=https://www.brandeis.edu, friendlyName=Open source</x:v>
      </x:c>
    </x:row>
    <x:row r="1351" ht="46" customHeight="1">
      <x:c r="A1351" s="17" t="str">
        <x:v>stage3src:d8052dbff16d74605421</x:v>
      </x:c>
      <x:c r="B1351" s="17" t="str">
        <x:v>program</x:v>
      </x:c>
      <x:c r="C1351" s="17" t="str">
        <x:v>Brandeis University</x:v>
      </x:c>
      <x:c r="D1351" s="17" t="str">
        <x:v>us:ipeds:165015:program:unclear:ipeds-discovery-signal-computer-and-information-systems-security-auditing-information-assurance-cip-11-1003</x:v>
      </x:c>
      <x:c r="E1351" s="17" t="str"/>
      <x:c r="F1351" s="17" t="str">
        <x:v>discovery</x:v>
      </x:c>
      <x:c r="G1351" s="17" t="str">
        <x:v>Stage 2 recorded this row as a discovery candidate; it does not independently verify an exact current research program, eligibility, or funding.</x:v>
      </x:c>
      <x:c r="H1351" s="17" t="str">
        <x:v>Pass 2 Stage 2 candidate funnel</x:v>
      </x:c>
      <x:c r="I1351" s="17" t="str">
        <x:v>Graduate audit pipeline</x:v>
      </x:c>
      <x:c r="J1351" s="17" t="str">
        <x:v>derived</x:v>
      </x:c>
      <x:c r="K1351" s="17" t="str">
        <x:v>2026-09-11</x:v>
      </x:c>
      <x:c r="L1351" s="17" t="str">
        <x:v>Not cycle-specific</x:v>
      </x:c>
      <x:c r="M1351" s="17" t="str">
        <x:v>low</x:v>
      </x:c>
      <x:c r="N1351" s="17" t="str">
        <x:v>Discovery evidence only</x:v>
      </x:c>
      <x:c r="O1351" s="17" t="str">
        <x:v>Use the source_record_paths field to trace the underlying discovery inputs.</x:v>
      </x:c>
      <x:c r="P1351" s="18" t="e">
        <x:f>HYPERLINK("https://www.brandeis.edu","Open source")</x:f>
        <x:v>HYPERLINK is not implemented. linkLocation=https://www.brandeis.edu, friendlyName=Open source</x:v>
      </x:c>
    </x:row>
    <x:row r="1352" ht="46" customHeight="1">
      <x:c r="A1352" s="17" t="str">
        <x:v>stage3src:5a1208c2626f8ff4447b</x:v>
      </x:c>
      <x:c r="B1352" s="17" t="str">
        <x:v>program</x:v>
      </x:c>
      <x:c r="C1352" s="17" t="str">
        <x:v>Brandeis University</x:v>
      </x:c>
      <x:c r="D1352" s="17" t="str">
        <x:v>us:ipeds:165015:program:unclear:ipeds-discovery-signal-computer-science-cip-11-0701</x:v>
      </x:c>
      <x:c r="E1352" s="17" t="str"/>
      <x:c r="F1352" s="17" t="str">
        <x:v>discovery</x:v>
      </x:c>
      <x:c r="G1352" s="17" t="str">
        <x:v>Stage 2 recorded this row as a discovery candidate; it does not independently verify an exact current research program, eligibility, or funding.</x:v>
      </x:c>
      <x:c r="H1352" s="17" t="str">
        <x:v>Pass 2 Stage 2 candidate funnel</x:v>
      </x:c>
      <x:c r="I1352" s="17" t="str">
        <x:v>Graduate audit pipeline</x:v>
      </x:c>
      <x:c r="J1352" s="17" t="str">
        <x:v>derived</x:v>
      </x:c>
      <x:c r="K1352" s="17" t="str">
        <x:v>2026-09-11</x:v>
      </x:c>
      <x:c r="L1352" s="17" t="str">
        <x:v>Not cycle-specific</x:v>
      </x:c>
      <x:c r="M1352" s="17" t="str">
        <x:v>low</x:v>
      </x:c>
      <x:c r="N1352" s="17" t="str">
        <x:v>Discovery evidence only</x:v>
      </x:c>
      <x:c r="O1352" s="17" t="str">
        <x:v>Use the source_record_paths field to trace the underlying discovery inputs.</x:v>
      </x:c>
      <x:c r="P1352" s="18" t="e">
        <x:f>HYPERLINK("https://www.brandeis.edu","Open source")</x:f>
        <x:v>HYPERLINK is not implemented. linkLocation=https://www.brandeis.edu, friendlyName=Open source</x:v>
      </x:c>
    </x:row>
    <x:row r="1353" ht="46" customHeight="1">
      <x:c r="A1353" s="17" t="str">
        <x:v>stage3src:13693d8e5786b376eb44</x:v>
      </x:c>
      <x:c r="B1353" s="17" t="str">
        <x:v>program</x:v>
      </x:c>
      <x:c r="C1353" s="17" t="str">
        <x:v>Bridgewater State University</x:v>
      </x:c>
      <x:c r="D1353" s="17" t="str">
        <x:v>us:ipeds:165024:program:unclear:ipeds-discovery-signal-computer-science-cip-11-0701</x:v>
      </x:c>
      <x:c r="E1353" s="17" t="str"/>
      <x:c r="F1353" s="17" t="str">
        <x:v>discovery</x:v>
      </x:c>
      <x:c r="G1353" s="17" t="str">
        <x:v>Stage 2 recorded this row as a discovery candidate; it does not independently verify an exact current research program, eligibility, or funding.</x:v>
      </x:c>
      <x:c r="H1353" s="17" t="str">
        <x:v>Pass 2 Stage 2 candidate funnel</x:v>
      </x:c>
      <x:c r="I1353" s="17" t="str">
        <x:v>Graduate audit pipeline</x:v>
      </x:c>
      <x:c r="J1353" s="17" t="str">
        <x:v>derived</x:v>
      </x:c>
      <x:c r="K1353" s="17" t="str">
        <x:v>2026-09-11</x:v>
      </x:c>
      <x:c r="L1353" s="17" t="str">
        <x:v>Not cycle-specific</x:v>
      </x:c>
      <x:c r="M1353" s="17" t="str">
        <x:v>low</x:v>
      </x:c>
      <x:c r="N1353" s="17" t="str">
        <x:v>Discovery evidence only</x:v>
      </x:c>
      <x:c r="O1353" s="17" t="str">
        <x:v>Use the source_record_paths field to trace the underlying discovery inputs.</x:v>
      </x:c>
      <x:c r="P1353" s="18" t="e">
        <x:f>HYPERLINK("https://www.bridgew.edu","Open source")</x:f>
        <x:v>HYPERLINK is not implemented. linkLocation=https://www.bridgew.edu, friendlyName=Open source</x:v>
      </x:c>
    </x:row>
    <x:row r="1354" ht="46" customHeight="1">
      <x:c r="A1354" s="17" t="str">
        <x:v>stage3src:300c62c6c041907621d4</x:v>
      </x:c>
      <x:c r="B1354" s="17" t="str">
        <x:v>program</x:v>
      </x:c>
      <x:c r="C1354" s="17" t="str">
        <x:v>Clark University</x:v>
      </x:c>
      <x:c r="D1354" s="17" t="str">
        <x:v>us:ipeds:165334:program:unclear:ipeds-discovery-signal-computer-science-cip-11-0701</x:v>
      </x:c>
      <x:c r="E1354" s="17" t="str"/>
      <x:c r="F1354" s="17" t="str">
        <x:v>discovery</x:v>
      </x:c>
      <x:c r="G1354" s="17" t="str">
        <x:v>Stage 2 recorded this row as a discovery candidate; it does not independently verify an exact current research program, eligibility, or funding.</x:v>
      </x:c>
      <x:c r="H1354" s="17" t="str">
        <x:v>Pass 2 Stage 2 candidate funnel</x:v>
      </x:c>
      <x:c r="I1354" s="17" t="str">
        <x:v>Graduate audit pipeline</x:v>
      </x:c>
      <x:c r="J1354" s="17" t="str">
        <x:v>derived</x:v>
      </x:c>
      <x:c r="K1354" s="17" t="str">
        <x:v>2026-09-11</x:v>
      </x:c>
      <x:c r="L1354" s="17" t="str">
        <x:v>Not cycle-specific</x:v>
      </x:c>
      <x:c r="M1354" s="17" t="str">
        <x:v>low</x:v>
      </x:c>
      <x:c r="N1354" s="17" t="str">
        <x:v>Discovery evidence only</x:v>
      </x:c>
      <x:c r="O1354" s="17" t="str">
        <x:v>Use the source_record_paths field to trace the underlying discovery inputs.</x:v>
      </x:c>
      <x:c r="P1354" s="18" t="e">
        <x:f>HYPERLINK("https://www.clarku.edu","Open source")</x:f>
        <x:v>HYPERLINK is not implemented. linkLocation=https://www.clarku.edu, friendlyName=Open source</x:v>
      </x:c>
    </x:row>
    <x:row r="1355" ht="46" customHeight="1">
      <x:c r="A1355" s="17" t="str">
        <x:v>stage3src:2a156469b1952c999f14</x:v>
      </x:c>
      <x:c r="B1355" s="17" t="str">
        <x:v>program</x:v>
      </x:c>
      <x:c r="C1355" s="17" t="str">
        <x:v>Clark University</x:v>
      </x:c>
      <x:c r="D1355" s="17" t="str">
        <x:v>us:ipeds:165334:program:unclear:ipeds-discovery-signal-informatics-cip-11-0104</x:v>
      </x:c>
      <x:c r="E1355" s="17" t="str"/>
      <x:c r="F1355" s="17" t="str">
        <x:v>discovery</x:v>
      </x:c>
      <x:c r="G1355" s="17" t="str">
        <x:v>Stage 2 recorded this row as a discovery candidate; it does not independently verify an exact current research program, eligibility, or funding.</x:v>
      </x:c>
      <x:c r="H1355" s="17" t="str">
        <x:v>Pass 2 Stage 2 candidate funnel</x:v>
      </x:c>
      <x:c r="I1355" s="17" t="str">
        <x:v>Graduate audit pipeline</x:v>
      </x:c>
      <x:c r="J1355" s="17" t="str">
        <x:v>derived</x:v>
      </x:c>
      <x:c r="K1355" s="17" t="str">
        <x:v>2026-09-11</x:v>
      </x:c>
      <x:c r="L1355" s="17" t="str">
        <x:v>Not cycle-specific</x:v>
      </x:c>
      <x:c r="M1355" s="17" t="str">
        <x:v>low</x:v>
      </x:c>
      <x:c r="N1355" s="17" t="str">
        <x:v>Discovery evidence only</x:v>
      </x:c>
      <x:c r="O1355" s="17" t="str">
        <x:v>Use the source_record_paths field to trace the underlying discovery inputs.</x:v>
      </x:c>
      <x:c r="P1355" s="18" t="e">
        <x:f>HYPERLINK("https://www.clarku.edu","Open source")</x:f>
        <x:v>HYPERLINK is not implemented. linkLocation=https://www.clarku.edu, friendlyName=Open source</x:v>
      </x:c>
    </x:row>
    <x:row r="1356" ht="46" customHeight="1">
      <x:c r="A1356" s="17" t="str">
        <x:v>stage3src:6abc9b205a346ce0f852</x:v>
      </x:c>
      <x:c r="B1356" s="17" t="str">
        <x:v>program</x:v>
      </x:c>
      <x:c r="C1356" s="17" t="str">
        <x:v>Clark University</x:v>
      </x:c>
      <x:c r="D1356" s="17" t="str">
        <x:v>us:ipeds:165334:program:unclear:ipeds-discovery-signal-information-technology-cip-11-0103</x:v>
      </x:c>
      <x:c r="E1356" s="17" t="str"/>
      <x:c r="F1356" s="17" t="str">
        <x:v>discovery</x:v>
      </x:c>
      <x:c r="G1356" s="17" t="str">
        <x:v>Stage 2 recorded this row as a discovery candidate; it does not independently verify an exact current research program, eligibility, or funding.</x:v>
      </x:c>
      <x:c r="H1356" s="17" t="str">
        <x:v>Pass 2 Stage 2 candidate funnel</x:v>
      </x:c>
      <x:c r="I1356" s="17" t="str">
        <x:v>Graduate audit pipeline</x:v>
      </x:c>
      <x:c r="J1356" s="17" t="str">
        <x:v>derived</x:v>
      </x:c>
      <x:c r="K1356" s="17" t="str">
        <x:v>2026-09-11</x:v>
      </x:c>
      <x:c r="L1356" s="17" t="str">
        <x:v>Not cycle-specific</x:v>
      </x:c>
      <x:c r="M1356" s="17" t="str">
        <x:v>low</x:v>
      </x:c>
      <x:c r="N1356" s="17" t="str">
        <x:v>Discovery evidence only</x:v>
      </x:c>
      <x:c r="O1356" s="17" t="str">
        <x:v>Use the source_record_paths field to trace the underlying discovery inputs.</x:v>
      </x:c>
      <x:c r="P1356" s="18" t="e">
        <x:f>HYPERLINK("https://www.clarku.edu","Open source")</x:f>
        <x:v>HYPERLINK is not implemented. linkLocation=https://www.clarku.edu, friendlyName=Open source</x:v>
      </x:c>
    </x:row>
    <x:row r="1357" ht="46" customHeight="1">
      <x:c r="A1357" s="17" t="str">
        <x:v>stage3src:2780299e205a7c238d09</x:v>
      </x:c>
      <x:c r="B1357" s="17" t="str">
        <x:v>program</x:v>
      </x:c>
      <x:c r="C1357" s="17" t="str">
        <x:v>Endicott College</x:v>
      </x:c>
      <x:c r="D1357" s="17" t="str">
        <x:v>us:ipeds:165699:program:unclear:ipeds-discovery-signal-information-technology-cip-11-0103</x:v>
      </x:c>
      <x:c r="E1357" s="17" t="str"/>
      <x:c r="F1357" s="17" t="str">
        <x:v>discovery</x:v>
      </x:c>
      <x:c r="G1357" s="17" t="str">
        <x:v>Stage 2 recorded this row as a discovery candidate; it does not independently verify an exact current research program, eligibility, or funding.</x:v>
      </x:c>
      <x:c r="H1357" s="17" t="str">
        <x:v>Pass 2 Stage 2 candidate funnel</x:v>
      </x:c>
      <x:c r="I1357" s="17" t="str">
        <x:v>Graduate audit pipeline</x:v>
      </x:c>
      <x:c r="J1357" s="17" t="str">
        <x:v>derived</x:v>
      </x:c>
      <x:c r="K1357" s="17" t="str">
        <x:v>2026-09-11</x:v>
      </x:c>
      <x:c r="L1357" s="17" t="str">
        <x:v>Not cycle-specific</x:v>
      </x:c>
      <x:c r="M1357" s="17" t="str">
        <x:v>low</x:v>
      </x:c>
      <x:c r="N1357" s="17" t="str">
        <x:v>Discovery evidence only</x:v>
      </x:c>
      <x:c r="O1357" s="17" t="str">
        <x:v>Use the source_record_paths field to trace the underlying discovery inputs.</x:v>
      </x:c>
      <x:c r="P1357" s="18" t="e">
        <x:f>HYPERLINK("https://www.endicott.edu","Open source")</x:f>
        <x:v>HYPERLINK is not implemented. linkLocation=https://www.endicott.edu, friendlyName=Open source</x:v>
      </x:c>
    </x:row>
    <x:row r="1358" ht="46" customHeight="1">
      <x:c r="A1358" s="17" t="str">
        <x:v>stage3src:f8fc4bcfa4499f958693</x:v>
      </x:c>
      <x:c r="B1358" s="17" t="str">
        <x:v>program</x:v>
      </x:c>
      <x:c r="C1358" s="17" t="str">
        <x:v>Fitchburg State University</x:v>
      </x:c>
      <x:c r="D1358" s="17" t="str">
        <x:v>us:ipeds:165820:program:unclear:ipeds-discovery-signal-computer-science-cip-11-0701</x:v>
      </x:c>
      <x:c r="E1358" s="17" t="str"/>
      <x:c r="F1358" s="17" t="str">
        <x:v>discovery</x:v>
      </x:c>
      <x:c r="G1358" s="17" t="str">
        <x:v>Stage 2 recorded this row as a discovery candidate; it does not independently verify an exact current research program, eligibility, or funding.</x:v>
      </x:c>
      <x:c r="H1358" s="17" t="str">
        <x:v>Pass 2 Stage 2 candidate funnel</x:v>
      </x:c>
      <x:c r="I1358" s="17" t="str">
        <x:v>Graduate audit pipeline</x:v>
      </x:c>
      <x:c r="J1358" s="17" t="str">
        <x:v>derived</x:v>
      </x:c>
      <x:c r="K1358" s="17" t="str">
        <x:v>2026-09-11</x:v>
      </x:c>
      <x:c r="L1358" s="17" t="str">
        <x:v>Not cycle-specific</x:v>
      </x:c>
      <x:c r="M1358" s="17" t="str">
        <x:v>low</x:v>
      </x:c>
      <x:c r="N1358" s="17" t="str">
        <x:v>Discovery evidence only</x:v>
      </x:c>
      <x:c r="O1358" s="17" t="str">
        <x:v>Use the source_record_paths field to trace the underlying discovery inputs.</x:v>
      </x:c>
      <x:c r="P1358" s="18" t="e">
        <x:f>HYPERLINK("https://www.fitchburgstate.edu","Open source")</x:f>
        <x:v>HYPERLINK is not implemented. linkLocation=https://www.fitchburgstate.edu, friendlyName=Open source</x:v>
      </x:c>
    </x:row>
    <x:row r="1359" ht="46" customHeight="1">
      <x:c r="A1359" s="17" t="str">
        <x:v>stage3src:1640036667ea044ee64e</x:v>
      </x:c>
      <x:c r="B1359" s="17" t="str">
        <x:v>program</x:v>
      </x:c>
      <x:c r="C1359" s="17" t="str">
        <x:v>Harvard University</x:v>
      </x:c>
      <x:c r="D1359" s="17" t="str">
        <x:v>us:ipeds:166027:program:unclear:ipeds-discovery-signal-computer-and-information-sciences-general-cip-11-0101</x:v>
      </x:c>
      <x:c r="E1359" s="17" t="str"/>
      <x:c r="F1359" s="17" t="str">
        <x:v>discovery</x:v>
      </x:c>
      <x:c r="G1359" s="17" t="str">
        <x:v>Stage 2 recorded this row as a discovery candidate; it does not independently verify an exact current research program, eligibility, or funding.</x:v>
      </x:c>
      <x:c r="H1359" s="17" t="str">
        <x:v>Pass 2 Stage 2 candidate funnel</x:v>
      </x:c>
      <x:c r="I1359" s="17" t="str">
        <x:v>Graduate audit pipeline</x:v>
      </x:c>
      <x:c r="J1359" s="17" t="str">
        <x:v>derived</x:v>
      </x:c>
      <x:c r="K1359" s="17" t="str">
        <x:v>2026-09-11</x:v>
      </x:c>
      <x:c r="L1359" s="17" t="str">
        <x:v>Not cycle-specific</x:v>
      </x:c>
      <x:c r="M1359" s="17" t="str">
        <x:v>low</x:v>
      </x:c>
      <x:c r="N1359" s="17" t="str">
        <x:v>Discovery evidence only</x:v>
      </x:c>
      <x:c r="O1359" s="17" t="str">
        <x:v>Use the source_record_paths field to trace the underlying discovery inputs.</x:v>
      </x:c>
      <x:c r="P1359" s="18" t="e">
        <x:f>HYPERLINK("https://www.harvard.edu","Open source")</x:f>
        <x:v>HYPERLINK is not implemented. linkLocation=https://www.harvard.edu, friendlyName=Open source</x:v>
      </x:c>
    </x:row>
    <x:row r="1360" ht="46" customHeight="1">
      <x:c r="A1360" s="17" t="str">
        <x:v>stage3src:36d06871632ee3f4ed95</x:v>
      </x:c>
      <x:c r="B1360" s="17" t="str">
        <x:v>program</x:v>
      </x:c>
      <x:c r="C1360" s="17" t="str">
        <x:v>Harvard University</x:v>
      </x:c>
      <x:c r="D1360" s="17" t="str">
        <x:v>us:ipeds:166027:program:unclear:ipeds-discovery-signal-computer-and-information-systems-security-auditing-information-assurance-cip-11-1003</x:v>
      </x:c>
      <x:c r="E1360" s="17" t="str"/>
      <x:c r="F1360" s="17" t="str">
        <x:v>discovery</x:v>
      </x:c>
      <x:c r="G1360" s="17" t="str">
        <x:v>Stage 2 recorded this row as a discovery candidate; it does not independently verify an exact current research program, eligibility, or funding.</x:v>
      </x:c>
      <x:c r="H1360" s="17" t="str">
        <x:v>Pass 2 Stage 2 candidate funnel</x:v>
      </x:c>
      <x:c r="I1360" s="17" t="str">
        <x:v>Graduate audit pipeline</x:v>
      </x:c>
      <x:c r="J1360" s="17" t="str">
        <x:v>derived</x:v>
      </x:c>
      <x:c r="K1360" s="17" t="str">
        <x:v>2026-09-11</x:v>
      </x:c>
      <x:c r="L1360" s="17" t="str">
        <x:v>Not cycle-specific</x:v>
      </x:c>
      <x:c r="M1360" s="17" t="str">
        <x:v>low</x:v>
      </x:c>
      <x:c r="N1360" s="17" t="str">
        <x:v>Discovery evidence only</x:v>
      </x:c>
      <x:c r="O1360" s="17" t="str">
        <x:v>Use the source_record_paths field to trace the underlying discovery inputs.</x:v>
      </x:c>
      <x:c r="P1360" s="18" t="e">
        <x:f>HYPERLINK("https://www.harvard.edu","Open source")</x:f>
        <x:v>HYPERLINK is not implemented. linkLocation=https://www.harvard.edu, friendlyName=Open source</x:v>
      </x:c>
    </x:row>
    <x:row r="1361" ht="46" customHeight="1">
      <x:c r="A1361" s="17" t="str">
        <x:v>stage3src:3ac874519d1bcc1a7867</x:v>
      </x:c>
      <x:c r="B1361" s="17" t="str">
        <x:v>program</x:v>
      </x:c>
      <x:c r="C1361" s="17" t="str">
        <x:v>Harvard University</x:v>
      </x:c>
      <x:c r="D1361" s="17" t="str">
        <x:v>us:ipeds:166027:program:unclear:ipeds-discovery-signal-computer-engineering-general-cip-14-0901</x:v>
      </x:c>
      <x:c r="E1361" s="17" t="str"/>
      <x:c r="F1361" s="17" t="str">
        <x:v>discovery</x:v>
      </x:c>
      <x:c r="G1361" s="17" t="str">
        <x:v>Stage 2 recorded this row as a discovery candidate; it does not independently verify an exact current research program, eligibility, or funding.</x:v>
      </x:c>
      <x:c r="H1361" s="17" t="str">
        <x:v>Pass 2 Stage 2 candidate funnel</x:v>
      </x:c>
      <x:c r="I1361" s="17" t="str">
        <x:v>Graduate audit pipeline</x:v>
      </x:c>
      <x:c r="J1361" s="17" t="str">
        <x:v>derived</x:v>
      </x:c>
      <x:c r="K1361" s="17" t="str">
        <x:v>2026-09-11</x:v>
      </x:c>
      <x:c r="L1361" s="17" t="str">
        <x:v>Not cycle-specific</x:v>
      </x:c>
      <x:c r="M1361" s="17" t="str">
        <x:v>low</x:v>
      </x:c>
      <x:c r="N1361" s="17" t="str">
        <x:v>Discovery evidence only</x:v>
      </x:c>
      <x:c r="O1361" s="17" t="str">
        <x:v>Use the source_record_paths field to trace the underlying discovery inputs.</x:v>
      </x:c>
      <x:c r="P1361" s="18" t="e">
        <x:f>HYPERLINK("https://www.harvard.edu","Open source")</x:f>
        <x:v>HYPERLINK is not implemented. linkLocation=https://www.harvard.edu, friendlyName=Open source</x:v>
      </x:c>
    </x:row>
    <x:row r="1362" ht="46" customHeight="1">
      <x:c r="A1362" s="17" t="str">
        <x:v>stage3src:d5244259a4de932c70fd</x:v>
      </x:c>
      <x:c r="B1362" s="17" t="str">
        <x:v>program</x:v>
      </x:c>
      <x:c r="C1362" s="17" t="str">
        <x:v>Harvard University</x:v>
      </x:c>
      <x:c r="D1362" s="17" t="str">
        <x:v>us:ipeds:166027:program:unclear:ipeds-discovery-signal-computer-science-cip-11-0701</x:v>
      </x:c>
      <x:c r="E1362" s="17" t="str"/>
      <x:c r="F1362" s="17" t="str">
        <x:v>discovery</x:v>
      </x:c>
      <x:c r="G1362" s="17" t="str">
        <x:v>Stage 2 recorded this row as a discovery candidate; it does not independently verify an exact current research program, eligibility, or funding.</x:v>
      </x:c>
      <x:c r="H1362" s="17" t="str">
        <x:v>Pass 2 Stage 2 candidate funnel</x:v>
      </x:c>
      <x:c r="I1362" s="17" t="str">
        <x:v>Graduate audit pipeline</x:v>
      </x:c>
      <x:c r="J1362" s="17" t="str">
        <x:v>derived</x:v>
      </x:c>
      <x:c r="K1362" s="17" t="str">
        <x:v>2026-09-11</x:v>
      </x:c>
      <x:c r="L1362" s="17" t="str">
        <x:v>Not cycle-specific</x:v>
      </x:c>
      <x:c r="M1362" s="17" t="str">
        <x:v>low</x:v>
      </x:c>
      <x:c r="N1362" s="17" t="str">
        <x:v>Discovery evidence only</x:v>
      </x:c>
      <x:c r="O1362" s="17" t="str">
        <x:v>Use the source_record_paths field to trace the underlying discovery inputs.</x:v>
      </x:c>
      <x:c r="P1362" s="18" t="e">
        <x:f>HYPERLINK("https://www.harvard.edu","Open source")</x:f>
        <x:v>HYPERLINK is not implemented. linkLocation=https://www.harvard.edu, friendlyName=Open source</x:v>
      </x:c>
    </x:row>
    <x:row r="1363" ht="46" customHeight="1">
      <x:c r="A1363" s="17" t="str">
        <x:v>stage3src:153e65de8bd3d1982863</x:v>
      </x:c>
      <x:c r="B1363" s="17" t="str">
        <x:v>program</x:v>
      </x:c>
      <x:c r="C1363" s="17" t="str">
        <x:v>Harvard University</x:v>
      </x:c>
      <x:c r="D1363" s="17" t="str">
        <x:v>us:ipeds:166027:program:unclear:ipeds-discovery-signal-computer-software-engineering-cip-14-0903</x:v>
      </x:c>
      <x:c r="E1363" s="17" t="str"/>
      <x:c r="F1363" s="17" t="str">
        <x:v>discovery</x:v>
      </x:c>
      <x:c r="G1363" s="17" t="str">
        <x:v>Stage 2 recorded this row as a discovery candidate; it does not independently verify an exact current research program, eligibility, or funding.</x:v>
      </x:c>
      <x:c r="H1363" s="17" t="str">
        <x:v>Pass 2 Stage 2 candidate funnel</x:v>
      </x:c>
      <x:c r="I1363" s="17" t="str">
        <x:v>Graduate audit pipeline</x:v>
      </x:c>
      <x:c r="J1363" s="17" t="str">
        <x:v>derived</x:v>
      </x:c>
      <x:c r="K1363" s="17" t="str">
        <x:v>2026-09-11</x:v>
      </x:c>
      <x:c r="L1363" s="17" t="str">
        <x:v>Not cycle-specific</x:v>
      </x:c>
      <x:c r="M1363" s="17" t="str">
        <x:v>low</x:v>
      </x:c>
      <x:c r="N1363" s="17" t="str">
        <x:v>Discovery evidence only</x:v>
      </x:c>
      <x:c r="O1363" s="17" t="str">
        <x:v>Use the source_record_paths field to trace the underlying discovery inputs.</x:v>
      </x:c>
      <x:c r="P1363" s="18" t="e">
        <x:f>HYPERLINK("https://www.harvard.edu","Open source")</x:f>
        <x:v>HYPERLINK is not implemented. linkLocation=https://www.harvard.edu, friendlyName=Open source</x:v>
      </x:c>
    </x:row>
    <x:row r="1364" ht="46" customHeight="1">
      <x:c r="A1364" s="17" t="str">
        <x:v>stage3src:5e6ff52a7f1032f650b3</x:v>
      </x:c>
      <x:c r="B1364" s="17" t="str">
        <x:v>program</x:v>
      </x:c>
      <x:c r="C1364" s="17" t="str">
        <x:v>Harvard University</x:v>
      </x:c>
      <x:c r="D1364" s="17" t="str">
        <x:v>us:ipeds:166027:program:unclear:ipeds-discovery-signal-information-science-studies-cip-11-0401</x:v>
      </x:c>
      <x:c r="E1364" s="17" t="str"/>
      <x:c r="F1364" s="17" t="str">
        <x:v>discovery</x:v>
      </x:c>
      <x:c r="G1364" s="17" t="str">
        <x:v>Stage 2 recorded this row as a discovery candidate; it does not independently verify an exact current research program, eligibility, or funding.</x:v>
      </x:c>
      <x:c r="H1364" s="17" t="str">
        <x:v>Pass 2 Stage 2 candidate funnel</x:v>
      </x:c>
      <x:c r="I1364" s="17" t="str">
        <x:v>Graduate audit pipeline</x:v>
      </x:c>
      <x:c r="J1364" s="17" t="str">
        <x:v>derived</x:v>
      </x:c>
      <x:c r="K1364" s="17" t="str">
        <x:v>2026-09-11</x:v>
      </x:c>
      <x:c r="L1364" s="17" t="str">
        <x:v>Not cycle-specific</x:v>
      </x:c>
      <x:c r="M1364" s="17" t="str">
        <x:v>low</x:v>
      </x:c>
      <x:c r="N1364" s="17" t="str">
        <x:v>Discovery evidence only</x:v>
      </x:c>
      <x:c r="O1364" s="17" t="str">
        <x:v>Use the source_record_paths field to trace the underlying discovery inputs.</x:v>
      </x:c>
      <x:c r="P1364" s="18" t="e">
        <x:f>HYPERLINK("https://www.harvard.edu","Open source")</x:f>
        <x:v>HYPERLINK is not implemented. linkLocation=https://www.harvard.edu, friendlyName=Open source</x:v>
      </x:c>
    </x:row>
    <x:row r="1365" ht="46" customHeight="1">
      <x:c r="A1365" s="17" t="str">
        <x:v>stage3src:2277a2396dc7cce0cdcf</x:v>
      </x:c>
      <x:c r="B1365" s="17" t="str">
        <x:v>program</x:v>
      </x:c>
      <x:c r="C1365" s="17" t="str">
        <x:v>University of Massachusetts-Lowell</x:v>
      </x:c>
      <x:c r="D1365" s="17" t="str">
        <x:v>us:ipeds:166513:program:phd:doctor-of-philosophy-ph-d-in-computer-science</x:v>
      </x:c>
      <x:c r="E1365" s="17" t="str"/>
      <x:c r="F1365" s="17" t="str">
        <x:v>admissions|eligibility|language|deadline|funding</x:v>
      </x:c>
      <x:c r="G1365" s="17" t="str">
        <x:v>Adviser contact recommendation, RA and TA control, general deadline guidance, English/GRE expectations, and lack of guaranteed support.</x:v>
      </x:c>
      <x:c r="H1365" s="17" t="str">
        <x:v>Computer Science Graduate Student FAQ</x:v>
      </x:c>
      <x:c r="I1365" s="17" t="str">
        <x:v>University of Massachusetts Lowell Department of Computer Science</x:v>
      </x:c>
      <x:c r="J1365" s="17" t="str">
        <x:v>official</x:v>
      </x:c>
      <x:c r="K1365" s="17" t="str">
        <x:v>2026-09-11</x:v>
      </x:c>
      <x:c r="L1365" s="17" t="str">
        <x:v>Current guidance checked 2026-09-11</x:v>
      </x:c>
      <x:c r="M1365" s="17" t="str">
        <x:v>high</x:v>
      </x:c>
      <x:c r="N1365" s="17" t="str">
        <x:v>official page checked</x:v>
      </x:c>
      <x:c r="O1365" s="17" t="str"/>
      <x:c r="P1365" s="18" t="e">
        <x:f>HYPERLINK("https://cs.uml.edu/~gcoord/student-faq.html","Open source")</x:f>
        <x:v>HYPERLINK is not implemented. linkLocation=https://cs.uml.edu/~gcoord/student-faq.html, friendlyName=Open source</x:v>
      </x:c>
    </x:row>
    <x:row r="1366" ht="46" customHeight="1">
      <x:c r="A1366" s="17" t="str">
        <x:v>stage3src:aff14316e9c383e95931</x:v>
      </x:c>
      <x:c r="B1366" s="17" t="str">
        <x:v>program</x:v>
      </x:c>
      <x:c r="C1366" s="17" t="str">
        <x:v>University of Massachusetts-Lowell</x:v>
      </x:c>
      <x:c r="D1366" s="17" t="str">
        <x:v>us:ipeds:166513:program:phd:doctor-of-philosophy-ph-d-in-computer-science</x:v>
      </x:c>
      <x:c r="E1366" s="17" t="str"/>
      <x:c r="F1366" s="17" t="str">
        <x:v>admissions|fees</x:v>
      </x:c>
      <x:c r="G1366" s="17" t="str">
        <x:v>Published graduate application fee schedule.</x:v>
      </x:c>
      <x:c r="H1366" s="17" t="str">
        <x:v>Graduate Admissions</x:v>
      </x:c>
      <x:c r="I1366" s="17" t="str">
        <x:v>University of Massachusetts Lowell</x:v>
      </x:c>
      <x:c r="J1366" s="17" t="str">
        <x:v>official</x:v>
      </x:c>
      <x:c r="K1366" s="17" t="str">
        <x:v>2026-09-11</x:v>
      </x:c>
      <x:c r="L1366" s="17" t="str">
        <x:v>Current page checked 2026-09-11</x:v>
      </x:c>
      <x:c r="M1366" s="17" t="str">
        <x:v>high</x:v>
      </x:c>
      <x:c r="N1366" s="17" t="str">
        <x:v>official page checked</x:v>
      </x:c>
      <x:c r="O1366" s="17" t="str"/>
      <x:c r="P1366" s="18" t="e">
        <x:f>HYPERLINK("https://gps.uml.edu/apply/graduate-admissions.cfm","Open source")</x:f>
        <x:v>HYPERLINK is not implemented. linkLocation=https://gps.uml.edu/apply/graduate-admissions.cfm, friendlyName=Open source</x:v>
      </x:c>
    </x:row>
    <x:row r="1367" ht="46" customHeight="1">
      <x:c r="A1367" s="17" t="str">
        <x:v>stage3src:bbe43e76cd1e317e8a6a</x:v>
      </x:c>
      <x:c r="B1367" s="17" t="str">
        <x:v>program</x:v>
      </x:c>
      <x:c r="C1367" s="17" t="str">
        <x:v>University of Massachusetts-Lowell</x:v>
      </x:c>
      <x:c r="D1367" s="17" t="str">
        <x:v>us:ipeds:166513:program:phd:doctor-of-philosophy-ph-d-in-computer-science</x:v>
      </x:c>
      <x:c r="E1367" s="17" t="str"/>
      <x:c r="F1367" s="17" t="str">
        <x:v>program|research|eligibility</x:v>
      </x:c>
      <x:c r="G1367" s="17" t="str">
        <x:v>Current Computer Science PhD and its research/dissertation structure.</x:v>
      </x:c>
      <x:c r="H1367" s="17" t="str">
        <x:v>Doctorate in Computer Science</x:v>
      </x:c>
      <x:c r="I1367" s="17" t="str">
        <x:v>University of Massachusetts Lowell</x:v>
      </x:c>
      <x:c r="J1367" s="17" t="str">
        <x:v>official</x:v>
      </x:c>
      <x:c r="K1367" s="17" t="str">
        <x:v>2026-09-11</x:v>
      </x:c>
      <x:c r="L1367" s="17" t="str">
        <x:v>Current page checked 2026-09-11</x:v>
      </x:c>
      <x:c r="M1367" s="17" t="str">
        <x:v>high</x:v>
      </x:c>
      <x:c r="N1367" s="17" t="str">
        <x:v>official page checked</x:v>
      </x:c>
      <x:c r="O1367" s="17" t="str"/>
      <x:c r="P1367" s="18" t="e">
        <x:f>HYPERLINK("https://www.uml.edu/sciences/computer-science/programs/doctorate.aspx","Open source")</x:f>
        <x:v>HYPERLINK is not implemented. linkLocation=https://www.uml.edu/sciences/computer-science/programs/doctorate.aspx, friendlyName=Open source</x:v>
      </x:c>
    </x:row>
    <x:row r="1368" ht="46" customHeight="1">
      <x:c r="A1368" s="17" t="str">
        <x:v>stage3src:e071499b4943ac0fbb52</x:v>
      </x:c>
      <x:c r="B1368" s="17" t="str">
        <x:v>program</x:v>
      </x:c>
      <x:c r="C1368" s="17" t="str">
        <x:v>University of Massachusetts-Lowell</x:v>
      </x:c>
      <x:c r="D1368" s="17" t="str">
        <x:v>us:ipeds:166513:program:unclear:ipeds-discovery-signal-computer-engineering-general-cip-14-0901</x:v>
      </x:c>
      <x:c r="E1368" s="17" t="str"/>
      <x:c r="F1368" s="17" t="str">
        <x:v>discovery</x:v>
      </x:c>
      <x:c r="G1368" s="17" t="str">
        <x:v>Stage 2 recorded this row as a discovery candidate; it does not independently verify an exact current research program, eligibility, or funding.</x:v>
      </x:c>
      <x:c r="H1368" s="17" t="str">
        <x:v>Pass 2 Stage 2 candidate funnel</x:v>
      </x:c>
      <x:c r="I1368" s="17" t="str">
        <x:v>Graduate audit pipeline</x:v>
      </x:c>
      <x:c r="J1368" s="17" t="str">
        <x:v>derived</x:v>
      </x:c>
      <x:c r="K1368" s="17" t="str">
        <x:v>2026-09-11</x:v>
      </x:c>
      <x:c r="L1368" s="17" t="str">
        <x:v>Not cycle-specific</x:v>
      </x:c>
      <x:c r="M1368" s="17" t="str">
        <x:v>low</x:v>
      </x:c>
      <x:c r="N1368" s="17" t="str">
        <x:v>Discovery evidence only</x:v>
      </x:c>
      <x:c r="O1368" s="17" t="str">
        <x:v>Use the source_record_paths field to trace the underlying discovery inputs.</x:v>
      </x:c>
      <x:c r="P1368" s="18" t="e">
        <x:f>HYPERLINK("https://www.uml.edu","Open source")</x:f>
        <x:v>HYPERLINK is not implemented. linkLocation=https://www.uml.edu, friendlyName=Open source</x:v>
      </x:c>
    </x:row>
    <x:row r="1369" ht="46" customHeight="1">
      <x:c r="A1369" s="17" t="str">
        <x:v>stage3src:40bbbc47d7cd07923253</x:v>
      </x:c>
      <x:c r="B1369" s="17" t="str">
        <x:v>program</x:v>
      </x:c>
      <x:c r="C1369" s="17" t="str">
        <x:v>University of Massachusetts-Lowell</x:v>
      </x:c>
      <x:c r="D1369" s="17" t="str">
        <x:v>us:ipeds:166513:program:unclear:ipeds-discovery-signal-computer-science-cip-11-0701</x:v>
      </x:c>
      <x:c r="E1369" s="17" t="str"/>
      <x:c r="F1369" s="17" t="str">
        <x:v>discovery</x:v>
      </x:c>
      <x:c r="G1369" s="17" t="str">
        <x:v>Stage 2 recorded this row as a discovery candidate; it does not independently verify an exact current research program, eligibility, or funding.</x:v>
      </x:c>
      <x:c r="H1369" s="17" t="str">
        <x:v>Pass 2 Stage 2 candidate funnel</x:v>
      </x:c>
      <x:c r="I1369" s="17" t="str">
        <x:v>Graduate audit pipeline</x:v>
      </x:c>
      <x:c r="J1369" s="17" t="str">
        <x:v>derived</x:v>
      </x:c>
      <x:c r="K1369" s="17" t="str">
        <x:v>2026-09-11</x:v>
      </x:c>
      <x:c r="L1369" s="17" t="str">
        <x:v>Not cycle-specific</x:v>
      </x:c>
      <x:c r="M1369" s="17" t="str">
        <x:v>low</x:v>
      </x:c>
      <x:c r="N1369" s="17" t="str">
        <x:v>Discovery evidence only</x:v>
      </x:c>
      <x:c r="O1369" s="17" t="str">
        <x:v>Use the source_record_paths field to trace the underlying discovery inputs.</x:v>
      </x:c>
      <x:c r="P1369" s="18" t="e">
        <x:f>HYPERLINK("https://www.uml.edu","Open source")</x:f>
        <x:v>HYPERLINK is not implemented. linkLocation=https://www.uml.edu, friendlyName=Open source</x:v>
      </x:c>
    </x:row>
    <x:row r="1370" ht="46" customHeight="1">
      <x:c r="A1370" s="17" t="str">
        <x:v>stage3src:40215922c8a02fce53d8</x:v>
      </x:c>
      <x:c r="B1370" s="17" t="str">
        <x:v>program</x:v>
      </x:c>
      <x:c r="C1370" s="17" t="str">
        <x:v>University of Massachusetts-Lowell</x:v>
      </x:c>
      <x:c r="D1370" s="17" t="str">
        <x:v>us:ipeds:166513:program:unclear:ipeds-discovery-signal-electrical-and-electronics-engineering-cip-14-1001</x:v>
      </x:c>
      <x:c r="E1370" s="17" t="str"/>
      <x:c r="F1370" s="17" t="str">
        <x:v>discovery</x:v>
      </x:c>
      <x:c r="G1370" s="17" t="str">
        <x:v>Stage 2 recorded this row as a discovery candidate; it does not independently verify an exact current research program, eligibility, or funding.</x:v>
      </x:c>
      <x:c r="H1370" s="17" t="str">
        <x:v>Pass 2 Stage 2 candidate funnel</x:v>
      </x:c>
      <x:c r="I1370" s="17" t="str">
        <x:v>Graduate audit pipeline</x:v>
      </x:c>
      <x:c r="J1370" s="17" t="str">
        <x:v>derived</x:v>
      </x:c>
      <x:c r="K1370" s="17" t="str">
        <x:v>2026-09-11</x:v>
      </x:c>
      <x:c r="L1370" s="17" t="str">
        <x:v>Not cycle-specific</x:v>
      </x:c>
      <x:c r="M1370" s="17" t="str">
        <x:v>low</x:v>
      </x:c>
      <x:c r="N1370" s="17" t="str">
        <x:v>Discovery evidence only</x:v>
      </x:c>
      <x:c r="O1370" s="17" t="str">
        <x:v>Use the source_record_paths field to trace the underlying discovery inputs.</x:v>
      </x:c>
      <x:c r="P1370" s="18" t="e">
        <x:f>HYPERLINK("https://www.uml.edu","Open source")</x:f>
        <x:v>HYPERLINK is not implemented. linkLocation=https://www.uml.edu, friendlyName=Open source</x:v>
      </x:c>
    </x:row>
    <x:row r="1371" ht="46" customHeight="1">
      <x:c r="A1371" s="17" t="str">
        <x:v>stage3src:e536a528fe2772913ffd</x:v>
      </x:c>
      <x:c r="B1371" s="17" t="str">
        <x:v>program</x:v>
      </x:c>
      <x:c r="C1371" s="17" t="str">
        <x:v>University of Massachusetts-Lowell</x:v>
      </x:c>
      <x:c r="D1371" s="17" t="str">
        <x:v>us:ipeds:166513:program:unclear:ipeds-discovery-signal-information-technology-cip-11-0103</x:v>
      </x:c>
      <x:c r="E1371" s="17" t="str"/>
      <x:c r="F1371" s="17" t="str">
        <x:v>discovery</x:v>
      </x:c>
      <x:c r="G1371" s="17" t="str">
        <x:v>Stage 2 recorded this row as a discovery candidate; it does not independently verify an exact current research program, eligibility, or funding.</x:v>
      </x:c>
      <x:c r="H1371" s="17" t="str">
        <x:v>Pass 2 Stage 2 candidate funnel</x:v>
      </x:c>
      <x:c r="I1371" s="17" t="str">
        <x:v>Graduate audit pipeline</x:v>
      </x:c>
      <x:c r="J1371" s="17" t="str">
        <x:v>derived</x:v>
      </x:c>
      <x:c r="K1371" s="17" t="str">
        <x:v>2026-09-11</x:v>
      </x:c>
      <x:c r="L1371" s="17" t="str">
        <x:v>Not cycle-specific</x:v>
      </x:c>
      <x:c r="M1371" s="17" t="str">
        <x:v>low</x:v>
      </x:c>
      <x:c r="N1371" s="17" t="str">
        <x:v>Discovery evidence only</x:v>
      </x:c>
      <x:c r="O1371" s="17" t="str">
        <x:v>Use the source_record_paths field to trace the underlying discovery inputs.</x:v>
      </x:c>
      <x:c r="P1371" s="18" t="e">
        <x:f>HYPERLINK("https://www.uml.edu","Open source")</x:f>
        <x:v>HYPERLINK is not implemented. linkLocation=https://www.uml.edu, friendlyName=Open source</x:v>
      </x:c>
    </x:row>
    <x:row r="1372" ht="46" customHeight="1">
      <x:c r="A1372" s="17" t="str">
        <x:v>stage3src:6235f681577d33f7948a</x:v>
      </x:c>
      <x:c r="B1372" s="17" t="str">
        <x:v>program</x:v>
      </x:c>
      <x:c r="C1372" s="17" t="str">
        <x:v>University of Massachusetts-Amherst</x:v>
      </x:c>
      <x:c r="D1372" s="17" t="str">
        <x:v>us:ipeds:166629:program:phd:computer-science-phd</x:v>
      </x:c>
      <x:c r="E1372" s="17" t="str"/>
      <x:c r="F1372" s="17" t="str">
        <x:v>funding|program</x:v>
      </x:c>
      <x:c r="G1372" s="17" t="str">
        <x:v>Five-year conditional doctoral funding guarantee</x:v>
      </x:c>
      <x:c r="H1372" s="17" t="str">
        <x:v>Other MS/PhD Program Information</x:v>
      </x:c>
      <x:c r="I1372" s="17" t="str">
        <x:v>University of Massachusetts-Amherst</x:v>
      </x:c>
      <x:c r="J1372" s="17" t="str">
        <x:v>Official</x:v>
      </x:c>
      <x:c r="K1372" s="17" t="str">
        <x:v>2026-09-09</x:v>
      </x:c>
      <x:c r="L1372" s="17" t="str">
        <x:v>Current</x:v>
      </x:c>
      <x:c r="M1372" s="17" t="str">
        <x:v>High</x:v>
      </x:c>
      <x:c r="N1372" s="17" t="str">
        <x:v>Verified</x:v>
      </x:c>
      <x:c r="O1372" s="17" t="str"/>
      <x:c r="P1372" s="18" t="e">
        <x:f>HYPERLINK("https://www.cics.umass.edu/academics/academic-policies/graduate-programs-policies/msphd-degree-requirements/other-msphd-program-information","Open source")</x:f>
        <x:v>HYPERLINK is not implemented. linkLocation=https://www.cics.umass.edu/academics/academic-policies/graduate-programs-policies/msphd-degree-requirements/other-msphd-program-information, friendlyName=Open source</x:v>
      </x:c>
    </x:row>
    <x:row r="1373" ht="46" customHeight="1">
      <x:c r="A1373" s="17" t="str">
        <x:v>stage3src:86fe851a80c71bd603da</x:v>
      </x:c>
      <x:c r="B1373" s="17" t="str">
        <x:v>program</x:v>
      </x:c>
      <x:c r="C1373" s="17" t="str">
        <x:v>University of Massachusetts-Amherst</x:v>
      </x:c>
      <x:c r="D1373" s="17" t="str">
        <x:v>us:ipeds:166629:program:phd:computer-science-phd</x:v>
      </x:c>
      <x:c r="E1373" s="17" t="str"/>
      <x:c r="F1373" s="17" t="str">
        <x:v>fees|deadline|eligibility|program</x:v>
      </x:c>
      <x:c r="G1373" s="17" t="str">
        <x:v>Active PhD, current deadline, fee, bachelor background, and international requirements</x:v>
      </x:c>
      <x:c r="H1373" s="17" t="str">
        <x:v>How to Apply to the PhD Program</x:v>
      </x:c>
      <x:c r="I1373" s="17" t="str">
        <x:v>University of Massachusetts-Amherst</x:v>
      </x:c>
      <x:c r="J1373" s="17" t="str">
        <x:v>Official</x:v>
      </x:c>
      <x:c r="K1373" s="17" t="str">
        <x:v>2026-09-09</x:v>
      </x:c>
      <x:c r="L1373" s="17" t="str">
        <x:v>Current; cycle not labeled</x:v>
      </x:c>
      <x:c r="M1373" s="17" t="str">
        <x:v>High</x:v>
      </x:c>
      <x:c r="N1373" s="17" t="str">
        <x:v>Verified</x:v>
      </x:c>
      <x:c r="O1373" s="17" t="str"/>
      <x:c r="P1373" s="18" t="e">
        <x:f>HYPERLINK("https://www.cics.umass.edu/academics/phd-computer-science/how-apply-phd-program","Open source")</x:f>
        <x:v>HYPERLINK is not implemented. linkLocation=https://www.cics.umass.edu/academics/phd-computer-science/how-apply-phd-program, friendlyName=Open source</x:v>
      </x:c>
    </x:row>
    <x:row r="1374" ht="46" customHeight="1">
      <x:c r="A1374" s="17" t="str">
        <x:v>stage3src:c00aee93ee3d2163e641</x:v>
      </x:c>
      <x:c r="B1374" s="17" t="str">
        <x:v>program</x:v>
      </x:c>
      <x:c r="C1374" s="17" t="str">
        <x:v>University of Massachusetts-Amherst</x:v>
      </x:c>
      <x:c r="D1374" s="17" t="str">
        <x:v>us:ipeds:166629:program:unclear:ipeds-discovery-signal-computer-science-cip-11-0701</x:v>
      </x:c>
      <x:c r="E1374" s="17" t="str"/>
      <x:c r="F1374" s="17" t="str">
        <x:v>discovery</x:v>
      </x:c>
      <x:c r="G1374" s="17" t="str">
        <x:v>Stage 2 recorded this row as a discovery candidate; it does not independently verify an exact current research program, eligibility, or funding.</x:v>
      </x:c>
      <x:c r="H1374" s="17" t="str">
        <x:v>Pass 2 Stage 2 candidate funnel</x:v>
      </x:c>
      <x:c r="I1374" s="17" t="str">
        <x:v>Graduate audit pipeline</x:v>
      </x:c>
      <x:c r="J1374" s="17" t="str">
        <x:v>derived</x:v>
      </x:c>
      <x:c r="K1374" s="17" t="str">
        <x:v>2026-09-11</x:v>
      </x:c>
      <x:c r="L1374" s="17" t="str">
        <x:v>Not cycle-specific</x:v>
      </x:c>
      <x:c r="M1374" s="17" t="str">
        <x:v>low</x:v>
      </x:c>
      <x:c r="N1374" s="17" t="str">
        <x:v>Discovery evidence only</x:v>
      </x:c>
      <x:c r="O1374" s="17" t="str">
        <x:v>Use the source_record_paths field to trace the underlying discovery inputs.</x:v>
      </x:c>
      <x:c r="P1374" s="18" t="e">
        <x:f>HYPERLINK("https://www.umass.edu","Open source")</x:f>
        <x:v>HYPERLINK is not implemented. linkLocation=https://www.umass.edu, friendlyName=Open source</x:v>
      </x:c>
    </x:row>
    <x:row r="1375" ht="46" customHeight="1">
      <x:c r="A1375" s="17" t="str">
        <x:v>stage3src:4d336190b82d45b8c2d3</x:v>
      </x:c>
      <x:c r="B1375" s="17" t="str">
        <x:v>program</x:v>
      </x:c>
      <x:c r="C1375" s="17" t="str">
        <x:v>University of Massachusetts-Amherst</x:v>
      </x:c>
      <x:c r="D1375" s="17" t="str">
        <x:v>us:ipeds:166629:program:unclear:ipeds-discovery-signal-data-science-general-cip-30-7001</x:v>
      </x:c>
      <x:c r="E1375" s="17" t="str"/>
      <x:c r="F1375" s="17" t="str">
        <x:v>discovery</x:v>
      </x:c>
      <x:c r="G1375" s="17" t="str">
        <x:v>Stage 2 recorded this row as a discovery candidate; it does not independently verify an exact current research program, eligibility, or funding.</x:v>
      </x:c>
      <x:c r="H1375" s="17" t="str">
        <x:v>Pass 2 Stage 2 candidate funnel</x:v>
      </x:c>
      <x:c r="I1375" s="17" t="str">
        <x:v>Graduate audit pipeline</x:v>
      </x:c>
      <x:c r="J1375" s="17" t="str">
        <x:v>derived</x:v>
      </x:c>
      <x:c r="K1375" s="17" t="str">
        <x:v>2026-09-11</x:v>
      </x:c>
      <x:c r="L1375" s="17" t="str">
        <x:v>Not cycle-specific</x:v>
      </x:c>
      <x:c r="M1375" s="17" t="str">
        <x:v>low</x:v>
      </x:c>
      <x:c r="N1375" s="17" t="str">
        <x:v>Discovery evidence only</x:v>
      </x:c>
      <x:c r="O1375" s="17" t="str">
        <x:v>Use the source_record_paths field to trace the underlying discovery inputs.</x:v>
      </x:c>
      <x:c r="P1375" s="18" t="e">
        <x:f>HYPERLINK("https://www.umass.edu","Open source")</x:f>
        <x:v>HYPERLINK is not implemented. linkLocation=https://www.umass.edu, friendlyName=Open source</x:v>
      </x:c>
    </x:row>
    <x:row r="1376" ht="46" customHeight="1">
      <x:c r="A1376" s="17" t="str">
        <x:v>stage3src:2d75746c72fc8f3e45ad</x:v>
      </x:c>
      <x:c r="B1376" s="17" t="str">
        <x:v>program</x:v>
      </x:c>
      <x:c r="C1376" s="17" t="str">
        <x:v>University of Massachusetts-Amherst</x:v>
      </x:c>
      <x:c r="D1376" s="17" t="str">
        <x:v>us:ipeds:166629:program:unclear:ipeds-discovery-signal-electrical-and-electronics-engineering-cip-14-1001</x:v>
      </x:c>
      <x:c r="E1376" s="17" t="str"/>
      <x:c r="F1376" s="17" t="str">
        <x:v>discovery</x:v>
      </x:c>
      <x:c r="G1376" s="17" t="str">
        <x:v>Stage 2 recorded this row as a discovery candidate; it does not independently verify an exact current research program, eligibility, or funding.</x:v>
      </x:c>
      <x:c r="H1376" s="17" t="str">
        <x:v>Pass 2 Stage 2 candidate funnel</x:v>
      </x:c>
      <x:c r="I1376" s="17" t="str">
        <x:v>Graduate audit pipeline</x:v>
      </x:c>
      <x:c r="J1376" s="17" t="str">
        <x:v>derived</x:v>
      </x:c>
      <x:c r="K1376" s="17" t="str">
        <x:v>2026-09-11</x:v>
      </x:c>
      <x:c r="L1376" s="17" t="str">
        <x:v>Not cycle-specific</x:v>
      </x:c>
      <x:c r="M1376" s="17" t="str">
        <x:v>low</x:v>
      </x:c>
      <x:c r="N1376" s="17" t="str">
        <x:v>Discovery evidence only</x:v>
      </x:c>
      <x:c r="O1376" s="17" t="str">
        <x:v>Use the source_record_paths field to trace the underlying discovery inputs.</x:v>
      </x:c>
      <x:c r="P1376" s="18" t="e">
        <x:f>HYPERLINK("https://www.umass.edu","Open source")</x:f>
        <x:v>HYPERLINK is not implemented. linkLocation=https://www.umass.edu, friendlyName=Open source</x:v>
      </x:c>
    </x:row>
    <x:row r="1377" ht="46" customHeight="1">
      <x:c r="A1377" s="17" t="str">
        <x:v>stage3src:6e936b3ea786ed07919b</x:v>
      </x:c>
      <x:c r="B1377" s="17" t="str">
        <x:v>program</x:v>
      </x:c>
      <x:c r="C1377" s="17" t="str">
        <x:v>University of Massachusetts-Boston</x:v>
      </x:c>
      <x:c r="D1377" s="17" t="str">
        <x:v>us:ipeds:166638:program:unclear:ipeds-discovery-signal-computer-science-cip-11-0701</x:v>
      </x:c>
      <x:c r="E1377" s="17" t="str"/>
      <x:c r="F1377" s="17" t="str">
        <x:v>discovery</x:v>
      </x:c>
      <x:c r="G1377" s="17" t="str">
        <x:v>Stage 2 recorded this row as a discovery candidate; it does not independently verify an exact current research program, eligibility, or funding.</x:v>
      </x:c>
      <x:c r="H1377" s="17" t="str">
        <x:v>Pass 2 Stage 2 candidate funnel</x:v>
      </x:c>
      <x:c r="I1377" s="17" t="str">
        <x:v>Graduate audit pipeline</x:v>
      </x:c>
      <x:c r="J1377" s="17" t="str">
        <x:v>derived</x:v>
      </x:c>
      <x:c r="K1377" s="17" t="str">
        <x:v>2026-09-11</x:v>
      </x:c>
      <x:c r="L1377" s="17" t="str">
        <x:v>Not cycle-specific</x:v>
      </x:c>
      <x:c r="M1377" s="17" t="str">
        <x:v>low</x:v>
      </x:c>
      <x:c r="N1377" s="17" t="str">
        <x:v>Discovery evidence only</x:v>
      </x:c>
      <x:c r="O1377" s="17" t="str">
        <x:v>Use the source_record_paths field to trace the underlying discovery inputs.</x:v>
      </x:c>
      <x:c r="P1377" s="18" t="e">
        <x:f>HYPERLINK("https://www.umb.edu","Open source")</x:f>
        <x:v>HYPERLINK is not implemented. linkLocation=https://www.umb.edu, friendlyName=Open source</x:v>
      </x:c>
    </x:row>
    <x:row r="1378" ht="46" customHeight="1">
      <x:c r="A1378" s="17" t="str">
        <x:v>stage3src:d72f194e89e4a7c76f65</x:v>
      </x:c>
      <x:c r="B1378" s="17" t="str">
        <x:v>program</x:v>
      </x:c>
      <x:c r="C1378" s="17" t="str">
        <x:v>University of Massachusetts-Boston</x:v>
      </x:c>
      <x:c r="D1378" s="17" t="str">
        <x:v>us:ipeds:166638:program:unclear:ipeds-discovery-signal-information-science-studies-cip-11-0401</x:v>
      </x:c>
      <x:c r="E1378" s="17" t="str"/>
      <x:c r="F1378" s="17" t="str">
        <x:v>discovery</x:v>
      </x:c>
      <x:c r="G1378" s="17" t="str">
        <x:v>Stage 2 recorded this row as a discovery candidate; it does not independently verify an exact current research program, eligibility, or funding.</x:v>
      </x:c>
      <x:c r="H1378" s="17" t="str">
        <x:v>Pass 2 Stage 2 candidate funnel</x:v>
      </x:c>
      <x:c r="I1378" s="17" t="str">
        <x:v>Graduate audit pipeline</x:v>
      </x:c>
      <x:c r="J1378" s="17" t="str">
        <x:v>derived</x:v>
      </x:c>
      <x:c r="K1378" s="17" t="str">
        <x:v>2026-09-11</x:v>
      </x:c>
      <x:c r="L1378" s="17" t="str">
        <x:v>Not cycle-specific</x:v>
      </x:c>
      <x:c r="M1378" s="17" t="str">
        <x:v>low</x:v>
      </x:c>
      <x:c r="N1378" s="17" t="str">
        <x:v>Discovery evidence only</x:v>
      </x:c>
      <x:c r="O1378" s="17" t="str">
        <x:v>Use the source_record_paths field to trace the underlying discovery inputs.</x:v>
      </x:c>
      <x:c r="P1378" s="18" t="e">
        <x:f>HYPERLINK("https://www.umb.edu","Open source")</x:f>
        <x:v>HYPERLINK is not implemented. linkLocation=https://www.umb.edu, friendlyName=Open source</x:v>
      </x:c>
    </x:row>
    <x:row r="1379" ht="46" customHeight="1">
      <x:c r="A1379" s="17" t="str">
        <x:v>stage3src:d634589b52d9b591e76b</x:v>
      </x:c>
      <x:c r="B1379" s="17" t="str">
        <x:v>program</x:v>
      </x:c>
      <x:c r="C1379" s="17" t="str">
        <x:v>University of Massachusetts-Boston</x:v>
      </x:c>
      <x:c r="D1379" s="17" t="str">
        <x:v>us:ipeds:166638:program:unclear:ipeds-discovery-signal-information-technology-cip-11-0103</x:v>
      </x:c>
      <x:c r="E1379" s="17" t="str"/>
      <x:c r="F1379" s="17" t="str">
        <x:v>discovery</x:v>
      </x:c>
      <x:c r="G1379" s="17" t="str">
        <x:v>Stage 2 recorded this row as a discovery candidate; it does not independently verify an exact current research program, eligibility, or funding.</x:v>
      </x:c>
      <x:c r="H1379" s="17" t="str">
        <x:v>Pass 2 Stage 2 candidate funnel</x:v>
      </x:c>
      <x:c r="I1379" s="17" t="str">
        <x:v>Graduate audit pipeline</x:v>
      </x:c>
      <x:c r="J1379" s="17" t="str">
        <x:v>derived</x:v>
      </x:c>
      <x:c r="K1379" s="17" t="str">
        <x:v>2026-09-11</x:v>
      </x:c>
      <x:c r="L1379" s="17" t="str">
        <x:v>Not cycle-specific</x:v>
      </x:c>
      <x:c r="M1379" s="17" t="str">
        <x:v>low</x:v>
      </x:c>
      <x:c r="N1379" s="17" t="str">
        <x:v>Discovery evidence only</x:v>
      </x:c>
      <x:c r="O1379" s="17" t="str">
        <x:v>Use the source_record_paths field to trace the underlying discovery inputs.</x:v>
      </x:c>
      <x:c r="P1379" s="18" t="e">
        <x:f>HYPERLINK("https://www.umb.edu","Open source")</x:f>
        <x:v>HYPERLINK is not implemented. linkLocation=https://www.umb.edu, friendlyName=Open source</x:v>
      </x:c>
    </x:row>
    <x:row r="1380" ht="46" customHeight="1">
      <x:c r="A1380" s="17" t="str">
        <x:v>stage3src:42a5838047bcef7cc6e8</x:v>
      </x:c>
      <x:c r="B1380" s="17" t="str">
        <x:v>program</x:v>
      </x:c>
      <x:c r="C1380" s="17" t="str">
        <x:v>Massachusetts Institute of Technology</x:v>
      </x:c>
      <x:c r="D1380" s="17" t="str">
        <x:v>us:ipeds:166683:program:unclear:ipeds-discovery-signal-artificial-intelligence-cip-11-0102</x:v>
      </x:c>
      <x:c r="E1380" s="17" t="str"/>
      <x:c r="F1380" s="17" t="str">
        <x:v>discovery</x:v>
      </x:c>
      <x:c r="G1380" s="17" t="str">
        <x:v>Stage 2 recorded this row as a discovery candidate; it does not independently verify an exact current research program, eligibility, or funding.</x:v>
      </x:c>
      <x:c r="H1380" s="17" t="str">
        <x:v>Pass 2 Stage 2 candidate funnel</x:v>
      </x:c>
      <x:c r="I1380" s="17" t="str">
        <x:v>Graduate audit pipeline</x:v>
      </x:c>
      <x:c r="J1380" s="17" t="str">
        <x:v>derived</x:v>
      </x:c>
      <x:c r="K1380" s="17" t="str">
        <x:v>2026-09-11</x:v>
      </x:c>
      <x:c r="L1380" s="17" t="str">
        <x:v>Not cycle-specific</x:v>
      </x:c>
      <x:c r="M1380" s="17" t="str">
        <x:v>low</x:v>
      </x:c>
      <x:c r="N1380" s="17" t="str">
        <x:v>Discovery evidence only</x:v>
      </x:c>
      <x:c r="O1380" s="17" t="str">
        <x:v>Use the source_record_paths field to trace the underlying discovery inputs.</x:v>
      </x:c>
      <x:c r="P1380" s="18" t="e">
        <x:f>HYPERLINK("https://web.mit.edu","Open source")</x:f>
        <x:v>HYPERLINK is not implemented. linkLocation=https://web.mit.edu, friendlyName=Open source</x:v>
      </x:c>
    </x:row>
    <x:row r="1381" ht="46" customHeight="1">
      <x:c r="A1381" s="17" t="str">
        <x:v>stage3src:614bb5fd31465801fed7</x:v>
      </x:c>
      <x:c r="B1381" s="17" t="str">
        <x:v>program</x:v>
      </x:c>
      <x:c r="C1381" s="17" t="str">
        <x:v>Massachusetts Institute of Technology</x:v>
      </x:c>
      <x:c r="D1381" s="17" t="str">
        <x:v>us:ipeds:166683:program:unclear:ipeds-discovery-signal-computer-and-information-sciences-general-cip-11-0101</x:v>
      </x:c>
      <x:c r="E1381" s="17" t="str"/>
      <x:c r="F1381" s="17" t="str">
        <x:v>discovery</x:v>
      </x:c>
      <x:c r="G1381" s="17" t="str">
        <x:v>Stage 2 recorded this row as a discovery candidate; it does not independently verify an exact current research program, eligibility, or funding.</x:v>
      </x:c>
      <x:c r="H1381" s="17" t="str">
        <x:v>Pass 2 Stage 2 candidate funnel</x:v>
      </x:c>
      <x:c r="I1381" s="17" t="str">
        <x:v>Graduate audit pipeline</x:v>
      </x:c>
      <x:c r="J1381" s="17" t="str">
        <x:v>derived</x:v>
      </x:c>
      <x:c r="K1381" s="17" t="str">
        <x:v>2026-09-11</x:v>
      </x:c>
      <x:c r="L1381" s="17" t="str">
        <x:v>Not cycle-specific</x:v>
      </x:c>
      <x:c r="M1381" s="17" t="str">
        <x:v>low</x:v>
      </x:c>
      <x:c r="N1381" s="17" t="str">
        <x:v>Discovery evidence only</x:v>
      </x:c>
      <x:c r="O1381" s="17" t="str">
        <x:v>Use the source_record_paths field to trace the underlying discovery inputs.</x:v>
      </x:c>
      <x:c r="P1381" s="18" t="e">
        <x:f>HYPERLINK("https://web.mit.edu","Open source")</x:f>
        <x:v>HYPERLINK is not implemented. linkLocation=https://web.mit.edu, friendlyName=Open source</x:v>
      </x:c>
    </x:row>
    <x:row r="1382" ht="46" customHeight="1">
      <x:c r="A1382" s="17" t="str">
        <x:v>stage3src:456fbb02027ee1b37894</x:v>
      </x:c>
      <x:c r="B1382" s="17" t="str">
        <x:v>program</x:v>
      </x:c>
      <x:c r="C1382" s="17" t="str">
        <x:v>Massachusetts Institute of Technology</x:v>
      </x:c>
      <x:c r="D1382" s="17" t="str">
        <x:v>us:ipeds:166683:program:unclear:ipeds-discovery-signal-computer-science-cip-11-0701</x:v>
      </x:c>
      <x:c r="E1382" s="17" t="str"/>
      <x:c r="F1382" s="17" t="str">
        <x:v>discovery</x:v>
      </x:c>
      <x:c r="G1382" s="17" t="str">
        <x:v>Stage 2 recorded this row as a discovery candidate; it does not independently verify an exact current research program, eligibility, or funding.</x:v>
      </x:c>
      <x:c r="H1382" s="17" t="str">
        <x:v>Pass 2 Stage 2 candidate funnel</x:v>
      </x:c>
      <x:c r="I1382" s="17" t="str">
        <x:v>Graduate audit pipeline</x:v>
      </x:c>
      <x:c r="J1382" s="17" t="str">
        <x:v>derived</x:v>
      </x:c>
      <x:c r="K1382" s="17" t="str">
        <x:v>2026-09-11</x:v>
      </x:c>
      <x:c r="L1382" s="17" t="str">
        <x:v>Not cycle-specific</x:v>
      </x:c>
      <x:c r="M1382" s="17" t="str">
        <x:v>low</x:v>
      </x:c>
      <x:c r="N1382" s="17" t="str">
        <x:v>Discovery evidence only</x:v>
      </x:c>
      <x:c r="O1382" s="17" t="str">
        <x:v>Use the source_record_paths field to trace the underlying discovery inputs.</x:v>
      </x:c>
      <x:c r="P1382" s="18" t="e">
        <x:f>HYPERLINK("https://web.mit.edu","Open source")</x:f>
        <x:v>HYPERLINK is not implemented. linkLocation=https://web.mit.edu, friendlyName=Open source</x:v>
      </x:c>
    </x:row>
    <x:row r="1383" ht="46" customHeight="1">
      <x:c r="A1383" s="17" t="str">
        <x:v>stage3src:82a7f6c03a16425c033a</x:v>
      </x:c>
      <x:c r="B1383" s="17" t="str">
        <x:v>program</x:v>
      </x:c>
      <x:c r="C1383" s="17" t="str">
        <x:v>Massachusetts Institute of Technology</x:v>
      </x:c>
      <x:c r="D1383" s="17" t="str">
        <x:v>us:ipeds:166683:program:unclear:ipeds-discovery-signal-electrical-and-electronics-engineering-cip-14-1001</x:v>
      </x:c>
      <x:c r="E1383" s="17" t="str"/>
      <x:c r="F1383" s="17" t="str">
        <x:v>discovery</x:v>
      </x:c>
      <x:c r="G1383" s="17" t="str">
        <x:v>Stage 2 recorded this row as a discovery candidate; it does not independently verify an exact current research program, eligibility, or funding.</x:v>
      </x:c>
      <x:c r="H1383" s="17" t="str">
        <x:v>Pass 2 Stage 2 candidate funnel</x:v>
      </x:c>
      <x:c r="I1383" s="17" t="str">
        <x:v>Graduate audit pipeline</x:v>
      </x:c>
      <x:c r="J1383" s="17" t="str">
        <x:v>derived</x:v>
      </x:c>
      <x:c r="K1383" s="17" t="str">
        <x:v>2026-09-11</x:v>
      </x:c>
      <x:c r="L1383" s="17" t="str">
        <x:v>Not cycle-specific</x:v>
      </x:c>
      <x:c r="M1383" s="17" t="str">
        <x:v>low</x:v>
      </x:c>
      <x:c r="N1383" s="17" t="str">
        <x:v>Discovery evidence only</x:v>
      </x:c>
      <x:c r="O1383" s="17" t="str">
        <x:v>Use the source_record_paths field to trace the underlying discovery inputs.</x:v>
      </x:c>
      <x:c r="P1383" s="18" t="e">
        <x:f>HYPERLINK("https://web.mit.edu","Open source")</x:f>
        <x:v>HYPERLINK is not implemented. linkLocation=https://web.mit.edu, friendlyName=Open source</x:v>
      </x:c>
    </x:row>
    <x:row r="1384" ht="46" customHeight="1">
      <x:c r="A1384" s="17" t="str">
        <x:v>stage3src:67f80d9a41aacdf8f9d2</x:v>
      </x:c>
      <x:c r="B1384" s="17" t="str">
        <x:v>program</x:v>
      </x:c>
      <x:c r="C1384" s="17" t="str">
        <x:v>Merrimack College</x:v>
      </x:c>
      <x:c r="D1384" s="17" t="str">
        <x:v>us:ipeds:166850:program:unclear:ipeds-discovery-signal-computer-science-cip-11-0701</x:v>
      </x:c>
      <x:c r="E1384" s="17" t="str"/>
      <x:c r="F1384" s="17" t="str">
        <x:v>discovery</x:v>
      </x:c>
      <x:c r="G1384" s="17" t="str">
        <x:v>Stage 2 recorded this row as a discovery candidate; it does not independently verify an exact current research program, eligibility, or funding.</x:v>
      </x:c>
      <x:c r="H1384" s="17" t="str">
        <x:v>Pass 2 Stage 2 candidate funnel</x:v>
      </x:c>
      <x:c r="I1384" s="17" t="str">
        <x:v>Graduate audit pipeline</x:v>
      </x:c>
      <x:c r="J1384" s="17" t="str">
        <x:v>derived</x:v>
      </x:c>
      <x:c r="K1384" s="17" t="str">
        <x:v>2026-09-11</x:v>
      </x:c>
      <x:c r="L1384" s="17" t="str">
        <x:v>Not cycle-specific</x:v>
      </x:c>
      <x:c r="M1384" s="17" t="str">
        <x:v>low</x:v>
      </x:c>
      <x:c r="N1384" s="17" t="str">
        <x:v>Discovery evidence only</x:v>
      </x:c>
      <x:c r="O1384" s="17" t="str">
        <x:v>Use the source_record_paths field to trace the underlying discovery inputs.</x:v>
      </x:c>
      <x:c r="P1384" s="18" t="e">
        <x:f>HYPERLINK("https://www.merrimack.edu","Open source")</x:f>
        <x:v>HYPERLINK is not implemented. linkLocation=https://www.merrimack.edu, friendlyName=Open source</x:v>
      </x:c>
    </x:row>
    <x:row r="1385" ht="46" customHeight="1">
      <x:c r="A1385" s="17" t="str">
        <x:v>stage3src:dc50106e224621b63dda</x:v>
      </x:c>
      <x:c r="B1385" s="17" t="str">
        <x:v>program</x:v>
      </x:c>
      <x:c r="C1385" s="17" t="str">
        <x:v>Merrimack College</x:v>
      </x:c>
      <x:c r="D1385" s="17" t="str">
        <x:v>us:ipeds:166850:program:unclear:ipeds-discovery-signal-information-science-studies-cip-11-0401</x:v>
      </x:c>
      <x:c r="E1385" s="17" t="str"/>
      <x:c r="F1385" s="17" t="str">
        <x:v>discovery</x:v>
      </x:c>
      <x:c r="G1385" s="17" t="str">
        <x:v>Stage 2 recorded this row as a discovery candidate; it does not independently verify an exact current research program, eligibility, or funding.</x:v>
      </x:c>
      <x:c r="H1385" s="17" t="str">
        <x:v>Pass 2 Stage 2 candidate funnel</x:v>
      </x:c>
      <x:c r="I1385" s="17" t="str">
        <x:v>Graduate audit pipeline</x:v>
      </x:c>
      <x:c r="J1385" s="17" t="str">
        <x:v>derived</x:v>
      </x:c>
      <x:c r="K1385" s="17" t="str">
        <x:v>2026-09-11</x:v>
      </x:c>
      <x:c r="L1385" s="17" t="str">
        <x:v>Not cycle-specific</x:v>
      </x:c>
      <x:c r="M1385" s="17" t="str">
        <x:v>low</x:v>
      </x:c>
      <x:c r="N1385" s="17" t="str">
        <x:v>Discovery evidence only</x:v>
      </x:c>
      <x:c r="O1385" s="17" t="str">
        <x:v>Use the source_record_paths field to trace the underlying discovery inputs.</x:v>
      </x:c>
      <x:c r="P1385" s="18" t="e">
        <x:f>HYPERLINK("https://www.merrimack.edu","Open source")</x:f>
        <x:v>HYPERLINK is not implemented. linkLocation=https://www.merrimack.edu, friendlyName=Open source</x:v>
      </x:c>
    </x:row>
    <x:row r="1386" ht="46" customHeight="1">
      <x:c r="A1386" s="17" t="str">
        <x:v>stage3src:b214ec6bfeb1f5559198</x:v>
      </x:c>
      <x:c r="B1386" s="17" t="str">
        <x:v>program</x:v>
      </x:c>
      <x:c r="C1386" s="17" t="str">
        <x:v>MGH Institute of Health Professions</x:v>
      </x:c>
      <x:c r="D1386" s="17" t="str">
        <x:v>us:ipeds:166869:program:unclear:ipeds-discovery-signal-data-analytics-general-cip-30-7101</x:v>
      </x:c>
      <x:c r="E1386" s="17" t="str"/>
      <x:c r="F1386" s="17" t="str">
        <x:v>discovery</x:v>
      </x:c>
      <x:c r="G1386" s="17" t="str">
        <x:v>Stage 2 recorded this row as a discovery candidate; it does not independently verify an exact current research program, eligibility, or funding.</x:v>
      </x:c>
      <x:c r="H1386" s="17" t="str">
        <x:v>Pass 2 Stage 2 candidate funnel</x:v>
      </x:c>
      <x:c r="I1386" s="17" t="str">
        <x:v>Graduate audit pipeline</x:v>
      </x:c>
      <x:c r="J1386" s="17" t="str">
        <x:v>derived</x:v>
      </x:c>
      <x:c r="K1386" s="17" t="str">
        <x:v>2026-09-11</x:v>
      </x:c>
      <x:c r="L1386" s="17" t="str">
        <x:v>Not cycle-specific</x:v>
      </x:c>
      <x:c r="M1386" s="17" t="str">
        <x:v>low</x:v>
      </x:c>
      <x:c r="N1386" s="17" t="str">
        <x:v>Discovery evidence only</x:v>
      </x:c>
      <x:c r="O1386" s="17" t="str">
        <x:v>Use the source_record_paths field to trace the underlying discovery inputs.</x:v>
      </x:c>
      <x:c r="P1386" s="18" t="e">
        <x:f>HYPERLINK("https://www.mghihp.edu","Open source")</x:f>
        <x:v>HYPERLINK is not implemented. linkLocation=https://www.mghihp.edu, friendlyName=Open source</x:v>
      </x:c>
    </x:row>
    <x:row r="1387" ht="46" customHeight="1">
      <x:c r="A1387" s="17" t="str">
        <x:v>stage3src:4414f629cb5ddd580db9</x:v>
      </x:c>
      <x:c r="B1387" s="17" t="str">
        <x:v>program</x:v>
      </x:c>
      <x:c r="C1387" s="17" t="str">
        <x:v>Northeastern University</x:v>
      </x:c>
      <x:c r="D1387" s="17" t="str">
        <x:v>us:ipeds:167358:program:phd:computer-science-phd</x:v>
      </x:c>
      <x:c r="E1387" s="17" t="str"/>
      <x:c r="F1387" s="17" t="str">
        <x:v>deadline|language|eligibility|admissions|program</x:v>
      </x:c>
      <x:c r="G1387" s="17" t="str">
        <x:v>Active PhD, direct bachelor's route, English, GRE, current deadline, and admission model</x:v>
      </x:c>
      <x:c r="H1387" s="17" t="str">
        <x:v>Apply to the PhD Program</x:v>
      </x:c>
      <x:c r="I1387" s="17" t="str">
        <x:v>Northeastern University</x:v>
      </x:c>
      <x:c r="J1387" s="17" t="str">
        <x:v>Official</x:v>
      </x:c>
      <x:c r="K1387" s="17" t="str">
        <x:v>2026-09-09</x:v>
      </x:c>
      <x:c r="L1387" s="17" t="str">
        <x:v>Current; cycle not labeled</x:v>
      </x:c>
      <x:c r="M1387" s="17" t="str">
        <x:v>High</x:v>
      </x:c>
      <x:c r="N1387" s="17" t="str">
        <x:v>Verified</x:v>
      </x:c>
      <x:c r="O1387" s="17" t="str"/>
      <x:c r="P1387" s="18" t="e">
        <x:f>HYPERLINK("https://www.khoury.northeastern.edu/apply/phd-apply/","Open source")</x:f>
        <x:v>HYPERLINK is not implemented. linkLocation=https://www.khoury.northeastern.edu/apply/phd-apply/, friendlyName=Open source</x:v>
      </x:c>
    </x:row>
    <x:row r="1388" ht="46" customHeight="1">
      <x:c r="A1388" s="17" t="str">
        <x:v>stage3src:75314fc1a0f1db8dc3b8</x:v>
      </x:c>
      <x:c r="B1388" s="17" t="str">
        <x:v>program</x:v>
      </x:c>
      <x:c r="C1388" s="17" t="str">
        <x:v>Northeastern University</x:v>
      </x:c>
      <x:c r="D1388" s="17" t="str">
        <x:v>us:ipeds:167358:program:phd:computer-science-phd</x:v>
      </x:c>
      <x:c r="E1388" s="17" t="str"/>
      <x:c r="F1388" s="17" t="str">
        <x:v>funding|fees|program</x:v>
      </x:c>
      <x:c r="G1388" s="17" t="str">
        <x:v>Current PhD funding/health context and fee-waiver event path</x:v>
      </x:c>
      <x:c r="H1388" s="17" t="str">
        <x:v>Khoury PhD Open House</x:v>
      </x:c>
      <x:c r="I1388" s="17" t="str">
        <x:v>Northeastern University</x:v>
      </x:c>
      <x:c r="J1388" s="17" t="str">
        <x:v>Official</x:v>
      </x:c>
      <x:c r="K1388" s="17" t="str">
        <x:v>2026-09-09</x:v>
      </x:c>
      <x:c r="L1388" s="17" t="str">
        <x:v>Current</x:v>
      </x:c>
      <x:c r="M1388" s="17" t="str">
        <x:v>High</x:v>
      </x:c>
      <x:c r="N1388" s="17" t="str">
        <x:v>Verified</x:v>
      </x:c>
      <x:c r="O1388" s="17" t="str"/>
      <x:c r="P1388" s="18" t="e">
        <x:f>HYPERLINK("https://www.khoury.northeastern.edu/phd-programs/khoury-phd-open-house/","Open source")</x:f>
        <x:v>HYPERLINK is not implemented. linkLocation=https://www.khoury.northeastern.edu/phd-programs/khoury-phd-open-house/, friendlyName=Open source</x:v>
      </x:c>
    </x:row>
    <x:row r="1389" ht="46" customHeight="1">
      <x:c r="A1389" s="17" t="str">
        <x:v>stage3src:d626eaeb23b0db22af27</x:v>
      </x:c>
      <x:c r="B1389" s="17" t="str">
        <x:v>program</x:v>
      </x:c>
      <x:c r="C1389" s="17" t="str">
        <x:v>Northeastern University</x:v>
      </x:c>
      <x:c r="D1389" s="17" t="str">
        <x:v>us:ipeds:167358:program:phd:computer-science-phd</x:v>
      </x:c>
      <x:c r="E1389" s="17" t="str"/>
      <x:c r="F1389" s="17" t="str">
        <x:v>funding</x:v>
      </x:c>
      <x:c r="G1389" s="17" t="str">
        <x:v>Five-year package, tuition, health insurance, and assistantship</x:v>
      </x:c>
      <x:c r="H1389" s="17" t="str">
        <x:v>Financial Support for PhD Students</x:v>
      </x:c>
      <x:c r="I1389" s="17" t="str">
        <x:v>Northeastern University</x:v>
      </x:c>
      <x:c r="J1389" s="17" t="str">
        <x:v>Official</x:v>
      </x:c>
      <x:c r="K1389" s="17" t="str">
        <x:v>2026-09-09</x:v>
      </x:c>
      <x:c r="L1389" s="17" t="str">
        <x:v>Current</x:v>
      </x:c>
      <x:c r="M1389" s="17" t="str">
        <x:v>Medium</x:v>
      </x:c>
      <x:c r="N1389" s="17" t="str">
        <x:v>Verified</x:v>
      </x:c>
      <x:c r="O1389" s="17" t="str">
        <x:v>Official Khoury domain uses a devsite path; confirm at offer stage.</x:v>
      </x:c>
      <x:c r="P1389" s="18" t="e">
        <x:f>HYPERLINK("https://devsite.khoury.northeastern.edu/apply/phd-apply/financial-support-for-phd-students/","Open source")</x:f>
        <x:v>HYPERLINK is not implemented. linkLocation=https://devsite.khoury.northeastern.edu/apply/phd-apply/financial-support-for-phd-students/, friendlyName=Open source</x:v>
      </x:c>
    </x:row>
    <x:row r="1390" ht="46" customHeight="1">
      <x:c r="A1390" s="17" t="str">
        <x:v>stage3src:f902c3cc794d69538b0d</x:v>
      </x:c>
      <x:c r="B1390" s="17" t="str">
        <x:v>program</x:v>
      </x:c>
      <x:c r="C1390" s="17" t="str">
        <x:v>Northeastern University</x:v>
      </x:c>
      <x:c r="D1390" s="17" t="str">
        <x:v>us:ipeds:167358:program:unclear:ipeds-discovery-signal-artificial-intelligence-cip-11-0102</x:v>
      </x:c>
      <x:c r="E1390" s="17" t="str"/>
      <x:c r="F1390" s="17" t="str">
        <x:v>discovery</x:v>
      </x:c>
      <x:c r="G1390" s="17" t="str">
        <x:v>Stage 2 recorded this row as a discovery candidate; it does not independently verify an exact current research program, eligibility, or funding.</x:v>
      </x:c>
      <x:c r="H1390" s="17" t="str">
        <x:v>Pass 2 Stage 2 candidate funnel</x:v>
      </x:c>
      <x:c r="I1390" s="17" t="str">
        <x:v>Graduate audit pipeline</x:v>
      </x:c>
      <x:c r="J1390" s="17" t="str">
        <x:v>derived</x:v>
      </x:c>
      <x:c r="K1390" s="17" t="str">
        <x:v>2026-09-11</x:v>
      </x:c>
      <x:c r="L1390" s="17" t="str">
        <x:v>Not cycle-specific</x:v>
      </x:c>
      <x:c r="M1390" s="17" t="str">
        <x:v>low</x:v>
      </x:c>
      <x:c r="N1390" s="17" t="str">
        <x:v>Discovery evidence only</x:v>
      </x:c>
      <x:c r="O1390" s="17" t="str">
        <x:v>Use the source_record_paths field to trace the underlying discovery inputs.</x:v>
      </x:c>
      <x:c r="P1390" s="18" t="e">
        <x:f>HYPERLINK("https://www.northeastern.edu","Open source")</x:f>
        <x:v>HYPERLINK is not implemented. linkLocation=https://www.northeastern.edu, friendlyName=Open source</x:v>
      </x:c>
    </x:row>
    <x:row r="1391" ht="46" customHeight="1">
      <x:c r="A1391" s="17" t="str">
        <x:v>stage3src:ac973f622d5e81418677</x:v>
      </x:c>
      <x:c r="B1391" s="17" t="str">
        <x:v>program</x:v>
      </x:c>
      <x:c r="C1391" s="17" t="str">
        <x:v>Northeastern University</x:v>
      </x:c>
      <x:c r="D1391" s="17" t="str">
        <x:v>us:ipeds:167358:program:unclear:ipeds-discovery-signal-computer-and-information-sciences-general-cip-11-0101</x:v>
      </x:c>
      <x:c r="E1391" s="17" t="str"/>
      <x:c r="F1391" s="17" t="str">
        <x:v>discovery</x:v>
      </x:c>
      <x:c r="G1391" s="17" t="str">
        <x:v>Stage 2 recorded this row as a discovery candidate; it does not independently verify an exact current research program, eligibility, or funding.</x:v>
      </x:c>
      <x:c r="H1391" s="17" t="str">
        <x:v>Pass 2 Stage 2 candidate funnel</x:v>
      </x:c>
      <x:c r="I1391" s="17" t="str">
        <x:v>Graduate audit pipeline</x:v>
      </x:c>
      <x:c r="J1391" s="17" t="str">
        <x:v>derived</x:v>
      </x:c>
      <x:c r="K1391" s="17" t="str">
        <x:v>2026-09-11</x:v>
      </x:c>
      <x:c r="L1391" s="17" t="str">
        <x:v>Not cycle-specific</x:v>
      </x:c>
      <x:c r="M1391" s="17" t="str">
        <x:v>low</x:v>
      </x:c>
      <x:c r="N1391" s="17" t="str">
        <x:v>Discovery evidence only</x:v>
      </x:c>
      <x:c r="O1391" s="17" t="str">
        <x:v>Use the source_record_paths field to trace the underlying discovery inputs.</x:v>
      </x:c>
      <x:c r="P1391" s="18" t="e">
        <x:f>HYPERLINK("https://www.northeastern.edu","Open source")</x:f>
        <x:v>HYPERLINK is not implemented. linkLocation=https://www.northeastern.edu, friendlyName=Open source</x:v>
      </x:c>
    </x:row>
    <x:row r="1392" ht="46" customHeight="1">
      <x:c r="A1392" s="17" t="str">
        <x:v>stage3src:61d38936ebe1d2d802a3</x:v>
      </x:c>
      <x:c r="B1392" s="17" t="str">
        <x:v>program</x:v>
      </x:c>
      <x:c r="C1392" s="17" t="str">
        <x:v>Northeastern University</x:v>
      </x:c>
      <x:c r="D1392" s="17" t="str">
        <x:v>us:ipeds:167358:program:unclear:ipeds-discovery-signal-computer-and-information-systems-security-auditing-information-assurance-cip-11-1003</x:v>
      </x:c>
      <x:c r="E1392" s="17" t="str"/>
      <x:c r="F1392" s="17" t="str">
        <x:v>discovery</x:v>
      </x:c>
      <x:c r="G1392" s="17" t="str">
        <x:v>Stage 2 recorded this row as a discovery candidate; it does not independently verify an exact current research program, eligibility, or funding.</x:v>
      </x:c>
      <x:c r="H1392" s="17" t="str">
        <x:v>Pass 2 Stage 2 candidate funnel</x:v>
      </x:c>
      <x:c r="I1392" s="17" t="str">
        <x:v>Graduate audit pipeline</x:v>
      </x:c>
      <x:c r="J1392" s="17" t="str">
        <x:v>derived</x:v>
      </x:c>
      <x:c r="K1392" s="17" t="str">
        <x:v>2026-09-11</x:v>
      </x:c>
      <x:c r="L1392" s="17" t="str">
        <x:v>Not cycle-specific</x:v>
      </x:c>
      <x:c r="M1392" s="17" t="str">
        <x:v>low</x:v>
      </x:c>
      <x:c r="N1392" s="17" t="str">
        <x:v>Discovery evidence only</x:v>
      </x:c>
      <x:c r="O1392" s="17" t="str">
        <x:v>Use the source_record_paths field to trace the underlying discovery inputs.</x:v>
      </x:c>
      <x:c r="P1392" s="18" t="e">
        <x:f>HYPERLINK("https://www.northeastern.edu","Open source")</x:f>
        <x:v>HYPERLINK is not implemented. linkLocation=https://www.northeastern.edu, friendlyName=Open source</x:v>
      </x:c>
    </x:row>
    <x:row r="1393" ht="46" customHeight="1">
      <x:c r="A1393" s="17" t="str">
        <x:v>stage3src:04fef51ff9f8c156656b</x:v>
      </x:c>
      <x:c r="B1393" s="17" t="str">
        <x:v>program</x:v>
      </x:c>
      <x:c r="C1393" s="17" t="str">
        <x:v>Northeastern University</x:v>
      </x:c>
      <x:c r="D1393" s="17" t="str">
        <x:v>us:ipeds:167358:program:unclear:ipeds-discovery-signal-computer-engineering-general-cip-14-0901</x:v>
      </x:c>
      <x:c r="E1393" s="17" t="str"/>
      <x:c r="F1393" s="17" t="str">
        <x:v>discovery</x:v>
      </x:c>
      <x:c r="G1393" s="17" t="str">
        <x:v>Stage 2 recorded this row as a discovery candidate; it does not independently verify an exact current research program, eligibility, or funding.</x:v>
      </x:c>
      <x:c r="H1393" s="17" t="str">
        <x:v>Pass 2 Stage 2 candidate funnel</x:v>
      </x:c>
      <x:c r="I1393" s="17" t="str">
        <x:v>Graduate audit pipeline</x:v>
      </x:c>
      <x:c r="J1393" s="17" t="str">
        <x:v>derived</x:v>
      </x:c>
      <x:c r="K1393" s="17" t="str">
        <x:v>2026-09-11</x:v>
      </x:c>
      <x:c r="L1393" s="17" t="str">
        <x:v>Not cycle-specific</x:v>
      </x:c>
      <x:c r="M1393" s="17" t="str">
        <x:v>low</x:v>
      </x:c>
      <x:c r="N1393" s="17" t="str">
        <x:v>Discovery evidence only</x:v>
      </x:c>
      <x:c r="O1393" s="17" t="str">
        <x:v>Use the source_record_paths field to trace the underlying discovery inputs.</x:v>
      </x:c>
      <x:c r="P1393" s="18" t="e">
        <x:f>HYPERLINK("https://www.northeastern.edu","Open source")</x:f>
        <x:v>HYPERLINK is not implemented. linkLocation=https://www.northeastern.edu, friendlyName=Open source</x:v>
      </x:c>
    </x:row>
    <x:row r="1394" ht="46" customHeight="1">
      <x:c r="A1394" s="17" t="str">
        <x:v>stage3src:efc24276b4ff99bc2c27</x:v>
      </x:c>
      <x:c r="B1394" s="17" t="str">
        <x:v>program</x:v>
      </x:c>
      <x:c r="C1394" s="17" t="str">
        <x:v>Northeastern University</x:v>
      </x:c>
      <x:c r="D1394" s="17" t="str">
        <x:v>us:ipeds:167358:program:unclear:ipeds-discovery-signal-computer-software-engineering-cip-14-0903</x:v>
      </x:c>
      <x:c r="E1394" s="17" t="str"/>
      <x:c r="F1394" s="17" t="str">
        <x:v>discovery</x:v>
      </x:c>
      <x:c r="G1394" s="17" t="str">
        <x:v>Stage 2 recorded this row as a discovery candidate; it does not independently verify an exact current research program, eligibility, or funding.</x:v>
      </x:c>
      <x:c r="H1394" s="17" t="str">
        <x:v>Pass 2 Stage 2 candidate funnel</x:v>
      </x:c>
      <x:c r="I1394" s="17" t="str">
        <x:v>Graduate audit pipeline</x:v>
      </x:c>
      <x:c r="J1394" s="17" t="str">
        <x:v>derived</x:v>
      </x:c>
      <x:c r="K1394" s="17" t="str">
        <x:v>2026-09-11</x:v>
      </x:c>
      <x:c r="L1394" s="17" t="str">
        <x:v>Not cycle-specific</x:v>
      </x:c>
      <x:c r="M1394" s="17" t="str">
        <x:v>low</x:v>
      </x:c>
      <x:c r="N1394" s="17" t="str">
        <x:v>Discovery evidence only</x:v>
      </x:c>
      <x:c r="O1394" s="17" t="str">
        <x:v>Use the source_record_paths field to trace the underlying discovery inputs.</x:v>
      </x:c>
      <x:c r="P1394" s="18" t="e">
        <x:f>HYPERLINK("https://www.northeastern.edu","Open source")</x:f>
        <x:v>HYPERLINK is not implemented. linkLocation=https://www.northeastern.edu, friendlyName=Open source</x:v>
      </x:c>
    </x:row>
    <x:row r="1395" ht="46" customHeight="1">
      <x:c r="A1395" s="17" t="str">
        <x:v>stage3src:1bd0087c823604ca1551</x:v>
      </x:c>
      <x:c r="B1395" s="17" t="str">
        <x:v>program</x:v>
      </x:c>
      <x:c r="C1395" s="17" t="str">
        <x:v>Northeastern University</x:v>
      </x:c>
      <x:c r="D1395" s="17" t="str">
        <x:v>us:ipeds:167358:program:unclear:ipeds-discovery-signal-computer-systems-networking-and-telecommunications-cip-11-0901</x:v>
      </x:c>
      <x:c r="E1395" s="17" t="str"/>
      <x:c r="F1395" s="17" t="str">
        <x:v>discovery</x:v>
      </x:c>
      <x:c r="G1395" s="17" t="str">
        <x:v>Stage 2 recorded this row as a discovery candidate; it does not independently verify an exact current research program, eligibility, or funding.</x:v>
      </x:c>
      <x:c r="H1395" s="17" t="str">
        <x:v>Pass 2 Stage 2 candidate funnel</x:v>
      </x:c>
      <x:c r="I1395" s="17" t="str">
        <x:v>Graduate audit pipeline</x:v>
      </x:c>
      <x:c r="J1395" s="17" t="str">
        <x:v>derived</x:v>
      </x:c>
      <x:c r="K1395" s="17" t="str">
        <x:v>2026-09-11</x:v>
      </x:c>
      <x:c r="L1395" s="17" t="str">
        <x:v>Not cycle-specific</x:v>
      </x:c>
      <x:c r="M1395" s="17" t="str">
        <x:v>low</x:v>
      </x:c>
      <x:c r="N1395" s="17" t="str">
        <x:v>Discovery evidence only</x:v>
      </x:c>
      <x:c r="O1395" s="17" t="str">
        <x:v>Use the source_record_paths field to trace the underlying discovery inputs.</x:v>
      </x:c>
      <x:c r="P1395" s="18" t="e">
        <x:f>HYPERLINK("https://www.northeastern.edu","Open source")</x:f>
        <x:v>HYPERLINK is not implemented. linkLocation=https://www.northeastern.edu, friendlyName=Open source</x:v>
      </x:c>
    </x:row>
    <x:row r="1396" ht="46" customHeight="1">
      <x:c r="A1396" s="17" t="str">
        <x:v>stage3src:ab4dff924589dca673fd</x:v>
      </x:c>
      <x:c r="B1396" s="17" t="str">
        <x:v>program</x:v>
      </x:c>
      <x:c r="C1396" s="17" t="str">
        <x:v>Northeastern University</x:v>
      </x:c>
      <x:c r="D1396" s="17" t="str">
        <x:v>us:ipeds:167358:program:unclear:ipeds-discovery-signal-electrical-and-electronics-engineering-cip-14-1001</x:v>
      </x:c>
      <x:c r="E1396" s="17" t="str"/>
      <x:c r="F1396" s="17" t="str">
        <x:v>discovery</x:v>
      </x:c>
      <x:c r="G1396" s="17" t="str">
        <x:v>Stage 2 recorded this row as a discovery candidate; it does not independently verify an exact current research program, eligibility, or funding.</x:v>
      </x:c>
      <x:c r="H1396" s="17" t="str">
        <x:v>Pass 2 Stage 2 candidate funnel</x:v>
      </x:c>
      <x:c r="I1396" s="17" t="str">
        <x:v>Graduate audit pipeline</x:v>
      </x:c>
      <x:c r="J1396" s="17" t="str">
        <x:v>derived</x:v>
      </x:c>
      <x:c r="K1396" s="17" t="str">
        <x:v>2026-09-11</x:v>
      </x:c>
      <x:c r="L1396" s="17" t="str">
        <x:v>Not cycle-specific</x:v>
      </x:c>
      <x:c r="M1396" s="17" t="str">
        <x:v>low</x:v>
      </x:c>
      <x:c r="N1396" s="17" t="str">
        <x:v>Discovery evidence only</x:v>
      </x:c>
      <x:c r="O1396" s="17" t="str">
        <x:v>Use the source_record_paths field to trace the underlying discovery inputs.</x:v>
      </x:c>
      <x:c r="P1396" s="18" t="e">
        <x:f>HYPERLINK("https://www.northeastern.edu","Open source")</x:f>
        <x:v>HYPERLINK is not implemented. linkLocation=https://www.northeastern.edu, friendlyName=Open source</x:v>
      </x:c>
    </x:row>
    <x:row r="1397" ht="46" customHeight="1">
      <x:c r="A1397" s="17" t="str">
        <x:v>stage3src:feec2706fdafa0966bfa</x:v>
      </x:c>
      <x:c r="B1397" s="17" t="str">
        <x:v>program</x:v>
      </x:c>
      <x:c r="C1397" s="17" t="str">
        <x:v>Northeastern University</x:v>
      </x:c>
      <x:c r="D1397" s="17" t="str">
        <x:v>us:ipeds:167358:program:unclear:ipeds-discovery-signal-mechatronics-robotics-and-automation-engineering-cip-14-4201</x:v>
      </x:c>
      <x:c r="E1397" s="17" t="str"/>
      <x:c r="F1397" s="17" t="str">
        <x:v>discovery</x:v>
      </x:c>
      <x:c r="G1397" s="17" t="str">
        <x:v>Stage 2 recorded this row as a discovery candidate; it does not independently verify an exact current research program, eligibility, or funding.</x:v>
      </x:c>
      <x:c r="H1397" s="17" t="str">
        <x:v>Pass 2 Stage 2 candidate funnel</x:v>
      </x:c>
      <x:c r="I1397" s="17" t="str">
        <x:v>Graduate audit pipeline</x:v>
      </x:c>
      <x:c r="J1397" s="17" t="str">
        <x:v>derived</x:v>
      </x:c>
      <x:c r="K1397" s="17" t="str">
        <x:v>2026-09-11</x:v>
      </x:c>
      <x:c r="L1397" s="17" t="str">
        <x:v>Not cycle-specific</x:v>
      </x:c>
      <x:c r="M1397" s="17" t="str">
        <x:v>low</x:v>
      </x:c>
      <x:c r="N1397" s="17" t="str">
        <x:v>Discovery evidence only</x:v>
      </x:c>
      <x:c r="O1397" s="17" t="str">
        <x:v>Use the source_record_paths field to trace the underlying discovery inputs.</x:v>
      </x:c>
      <x:c r="P1397" s="18" t="e">
        <x:f>HYPERLINK("https://www.northeastern.edu","Open source")</x:f>
        <x:v>HYPERLINK is not implemented. linkLocation=https://www.northeastern.edu, friendlyName=Open source</x:v>
      </x:c>
    </x:row>
    <x:row r="1398" ht="46" customHeight="1">
      <x:c r="A1398" s="17" t="str">
        <x:v>stage3src:466d3a2f7a866ecfe115</x:v>
      </x:c>
      <x:c r="B1398" s="17" t="str">
        <x:v>program</x:v>
      </x:c>
      <x:c r="C1398" s="17" t="str">
        <x:v>University of Massachusetts-Dartmouth</x:v>
      </x:c>
      <x:c r="D1398" s="17" t="str">
        <x:v>us:ipeds:167987:program:unclear:ipeds-discovery-signal-computer-and-information-sciences-general-cip-11-0101</x:v>
      </x:c>
      <x:c r="E1398" s="17" t="str"/>
      <x:c r="F1398" s="17" t="str">
        <x:v>discovery</x:v>
      </x:c>
      <x:c r="G1398" s="17" t="str">
        <x:v>Stage 2 recorded this row as a discovery candidate; it does not independently verify an exact current research program, eligibility, or funding.</x:v>
      </x:c>
      <x:c r="H1398" s="17" t="str">
        <x:v>Pass 2 Stage 2 candidate funnel</x:v>
      </x:c>
      <x:c r="I1398" s="17" t="str">
        <x:v>Graduate audit pipeline</x:v>
      </x:c>
      <x:c r="J1398" s="17" t="str">
        <x:v>derived</x:v>
      </x:c>
      <x:c r="K1398" s="17" t="str">
        <x:v>2026-09-11</x:v>
      </x:c>
      <x:c r="L1398" s="17" t="str">
        <x:v>Not cycle-specific</x:v>
      </x:c>
      <x:c r="M1398" s="17" t="str">
        <x:v>low</x:v>
      </x:c>
      <x:c r="N1398" s="17" t="str">
        <x:v>Discovery evidence only</x:v>
      </x:c>
      <x:c r="O1398" s="17" t="str">
        <x:v>Use the source_record_paths field to trace the underlying discovery inputs.</x:v>
      </x:c>
      <x:c r="P1398" s="18" t="e">
        <x:f>HYPERLINK("https://www.umassd.edu","Open source")</x:f>
        <x:v>HYPERLINK is not implemented. linkLocation=https://www.umassd.edu, friendlyName=Open source</x:v>
      </x:c>
    </x:row>
    <x:row r="1399" ht="46" customHeight="1">
      <x:c r="A1399" s="17" t="str">
        <x:v>stage3src:07a83b6176314daf0a33</x:v>
      </x:c>
      <x:c r="B1399" s="17" t="str">
        <x:v>program</x:v>
      </x:c>
      <x:c r="C1399" s="17" t="str">
        <x:v>University of Massachusetts-Dartmouth</x:v>
      </x:c>
      <x:c r="D1399" s="17" t="str">
        <x:v>us:ipeds:167987:program:unclear:ipeds-discovery-signal-computer-engineering-general-cip-14-0901</x:v>
      </x:c>
      <x:c r="E1399" s="17" t="str"/>
      <x:c r="F1399" s="17" t="str">
        <x:v>discovery</x:v>
      </x:c>
      <x:c r="G1399" s="17" t="str">
        <x:v>Stage 2 recorded this row as a discovery candidate; it does not independently verify an exact current research program, eligibility, or funding.</x:v>
      </x:c>
      <x:c r="H1399" s="17" t="str">
        <x:v>Pass 2 Stage 2 candidate funnel</x:v>
      </x:c>
      <x:c r="I1399" s="17" t="str">
        <x:v>Graduate audit pipeline</x:v>
      </x:c>
      <x:c r="J1399" s="17" t="str">
        <x:v>derived</x:v>
      </x:c>
      <x:c r="K1399" s="17" t="str">
        <x:v>2026-09-11</x:v>
      </x:c>
      <x:c r="L1399" s="17" t="str">
        <x:v>Not cycle-specific</x:v>
      </x:c>
      <x:c r="M1399" s="17" t="str">
        <x:v>low</x:v>
      </x:c>
      <x:c r="N1399" s="17" t="str">
        <x:v>Discovery evidence only</x:v>
      </x:c>
      <x:c r="O1399" s="17" t="str">
        <x:v>Use the source_record_paths field to trace the underlying discovery inputs.</x:v>
      </x:c>
      <x:c r="P1399" s="18" t="e">
        <x:f>HYPERLINK("https://www.umassd.edu","Open source")</x:f>
        <x:v>HYPERLINK is not implemented. linkLocation=https://www.umassd.edu, friendlyName=Open source</x:v>
      </x:c>
    </x:row>
    <x:row r="1400" ht="46" customHeight="1">
      <x:c r="A1400" s="17" t="str">
        <x:v>stage3src:3d182665a19105617c87</x:v>
      </x:c>
      <x:c r="B1400" s="17" t="str">
        <x:v>program</x:v>
      </x:c>
      <x:c r="C1400" s="17" t="str">
        <x:v>University of Massachusetts-Dartmouth</x:v>
      </x:c>
      <x:c r="D1400" s="17" t="str">
        <x:v>us:ipeds:167987:program:unclear:ipeds-discovery-signal-data-analytics-general-cip-30-7101</x:v>
      </x:c>
      <x:c r="E1400" s="17" t="str"/>
      <x:c r="F1400" s="17" t="str">
        <x:v>discovery</x:v>
      </x:c>
      <x:c r="G1400" s="17" t="str">
        <x:v>Stage 2 recorded this row as a discovery candidate; it does not independently verify an exact current research program, eligibility, or funding.</x:v>
      </x:c>
      <x:c r="H1400" s="17" t="str">
        <x:v>Pass 2 Stage 2 candidate funnel</x:v>
      </x:c>
      <x:c r="I1400" s="17" t="str">
        <x:v>Graduate audit pipeline</x:v>
      </x:c>
      <x:c r="J1400" s="17" t="str">
        <x:v>derived</x:v>
      </x:c>
      <x:c r="K1400" s="17" t="str">
        <x:v>2026-09-11</x:v>
      </x:c>
      <x:c r="L1400" s="17" t="str">
        <x:v>Not cycle-specific</x:v>
      </x:c>
      <x:c r="M1400" s="17" t="str">
        <x:v>low</x:v>
      </x:c>
      <x:c r="N1400" s="17" t="str">
        <x:v>Discovery evidence only</x:v>
      </x:c>
      <x:c r="O1400" s="17" t="str">
        <x:v>Use the source_record_paths field to trace the underlying discovery inputs.</x:v>
      </x:c>
      <x:c r="P1400" s="18" t="e">
        <x:f>HYPERLINK("https://www.umassd.edu","Open source")</x:f>
        <x:v>HYPERLINK is not implemented. linkLocation=https://www.umassd.edu, friendlyName=Open source</x:v>
      </x:c>
    </x:row>
    <x:row r="1401" ht="46" customHeight="1">
      <x:c r="A1401" s="17" t="str">
        <x:v>stage3src:5ef671f156c84ead9792</x:v>
      </x:c>
      <x:c r="B1401" s="17" t="str">
        <x:v>program</x:v>
      </x:c>
      <x:c r="C1401" s="17" t="str">
        <x:v>University of Massachusetts-Dartmouth</x:v>
      </x:c>
      <x:c r="D1401" s="17" t="str">
        <x:v>us:ipeds:167987:program:unclear:ipeds-discovery-signal-electrical-and-electronics-engineering-cip-14-1001</x:v>
      </x:c>
      <x:c r="E1401" s="17" t="str"/>
      <x:c r="F1401" s="17" t="str">
        <x:v>discovery</x:v>
      </x:c>
      <x:c r="G1401" s="17" t="str">
        <x:v>Stage 2 recorded this row as a discovery candidate; it does not independently verify an exact current research program, eligibility, or funding.</x:v>
      </x:c>
      <x:c r="H1401" s="17" t="str">
        <x:v>Pass 2 Stage 2 candidate funnel</x:v>
      </x:c>
      <x:c r="I1401" s="17" t="str">
        <x:v>Graduate audit pipeline</x:v>
      </x:c>
      <x:c r="J1401" s="17" t="str">
        <x:v>derived</x:v>
      </x:c>
      <x:c r="K1401" s="17" t="str">
        <x:v>2026-09-11</x:v>
      </x:c>
      <x:c r="L1401" s="17" t="str">
        <x:v>Not cycle-specific</x:v>
      </x:c>
      <x:c r="M1401" s="17" t="str">
        <x:v>low</x:v>
      </x:c>
      <x:c r="N1401" s="17" t="str">
        <x:v>Discovery evidence only</x:v>
      </x:c>
      <x:c r="O1401" s="17" t="str">
        <x:v>Use the source_record_paths field to trace the underlying discovery inputs.</x:v>
      </x:c>
      <x:c r="P1401" s="18" t="e">
        <x:f>HYPERLINK("https://www.umassd.edu","Open source")</x:f>
        <x:v>HYPERLINK is not implemented. linkLocation=https://www.umassd.edu, friendlyName=Open source</x:v>
      </x:c>
    </x:row>
    <x:row r="1402" ht="46" customHeight="1">
      <x:c r="A1402" s="17" t="str">
        <x:v>stage3src:423a8d13b761fe4e6fd5</x:v>
      </x:c>
      <x:c r="B1402" s="17" t="str">
        <x:v>program</x:v>
      </x:c>
      <x:c r="C1402" s="17" t="str">
        <x:v>Tufts University</x:v>
      </x:c>
      <x:c r="D1402" s="17" t="str">
        <x:v>us:ipeds:168148:program:unclear:ipeds-discovery-signal-computer-and-information-systems-security-auditing-information-assurance-cip-11-1003</x:v>
      </x:c>
      <x:c r="E1402" s="17" t="str"/>
      <x:c r="F1402" s="17" t="str">
        <x:v>discovery</x:v>
      </x:c>
      <x:c r="G1402" s="17" t="str">
        <x:v>Stage 2 recorded this row as a discovery candidate; it does not independently verify an exact current research program, eligibility, or funding.</x:v>
      </x:c>
      <x:c r="H1402" s="17" t="str">
        <x:v>Pass 2 Stage 2 candidate funnel</x:v>
      </x:c>
      <x:c r="I1402" s="17" t="str">
        <x:v>Graduate audit pipeline</x:v>
      </x:c>
      <x:c r="J1402" s="17" t="str">
        <x:v>derived</x:v>
      </x:c>
      <x:c r="K1402" s="17" t="str">
        <x:v>2026-09-11</x:v>
      </x:c>
      <x:c r="L1402" s="17" t="str">
        <x:v>Not cycle-specific</x:v>
      </x:c>
      <x:c r="M1402" s="17" t="str">
        <x:v>low</x:v>
      </x:c>
      <x:c r="N1402" s="17" t="str">
        <x:v>Discovery evidence only</x:v>
      </x:c>
      <x:c r="O1402" s="17" t="str">
        <x:v>Use the source_record_paths field to trace the underlying discovery inputs.</x:v>
      </x:c>
      <x:c r="P1402" s="18" t="e">
        <x:f>HYPERLINK("https://www.tufts.edu","Open source")</x:f>
        <x:v>HYPERLINK is not implemented. linkLocation=https://www.tufts.edu, friendlyName=Open source</x:v>
      </x:c>
    </x:row>
    <x:row r="1403" ht="46" customHeight="1">
      <x:c r="A1403" s="17" t="str">
        <x:v>stage3src:b4b48bd1e7d0591ee622</x:v>
      </x:c>
      <x:c r="B1403" s="17" t="str">
        <x:v>program</x:v>
      </x:c>
      <x:c r="C1403" s="17" t="str">
        <x:v>Tufts University</x:v>
      </x:c>
      <x:c r="D1403" s="17" t="str">
        <x:v>us:ipeds:168148:program:unclear:ipeds-discovery-signal-computer-engineering-general-cip-14-0901</x:v>
      </x:c>
      <x:c r="E1403" s="17" t="str"/>
      <x:c r="F1403" s="17" t="str">
        <x:v>discovery</x:v>
      </x:c>
      <x:c r="G1403" s="17" t="str">
        <x:v>Stage 2 recorded this row as a discovery candidate; it does not independently verify an exact current research program, eligibility, or funding.</x:v>
      </x:c>
      <x:c r="H1403" s="17" t="str">
        <x:v>Pass 2 Stage 2 candidate funnel</x:v>
      </x:c>
      <x:c r="I1403" s="17" t="str">
        <x:v>Graduate audit pipeline</x:v>
      </x:c>
      <x:c r="J1403" s="17" t="str">
        <x:v>derived</x:v>
      </x:c>
      <x:c r="K1403" s="17" t="str">
        <x:v>2026-09-11</x:v>
      </x:c>
      <x:c r="L1403" s="17" t="str">
        <x:v>Not cycle-specific</x:v>
      </x:c>
      <x:c r="M1403" s="17" t="str">
        <x:v>low</x:v>
      </x:c>
      <x:c r="N1403" s="17" t="str">
        <x:v>Discovery evidence only</x:v>
      </x:c>
      <x:c r="O1403" s="17" t="str">
        <x:v>Use the source_record_paths field to trace the underlying discovery inputs.</x:v>
      </x:c>
      <x:c r="P1403" s="18" t="e">
        <x:f>HYPERLINK("https://www.tufts.edu","Open source")</x:f>
        <x:v>HYPERLINK is not implemented. linkLocation=https://www.tufts.edu, friendlyName=Open source</x:v>
      </x:c>
    </x:row>
    <x:row r="1404" ht="46" customHeight="1">
      <x:c r="A1404" s="17" t="str">
        <x:v>stage3src:d21b6f0bf310e6e5f1be</x:v>
      </x:c>
      <x:c r="B1404" s="17" t="str">
        <x:v>program</x:v>
      </x:c>
      <x:c r="C1404" s="17" t="str">
        <x:v>Tufts University</x:v>
      </x:c>
      <x:c r="D1404" s="17" t="str">
        <x:v>us:ipeds:168148:program:unclear:ipeds-discovery-signal-computer-science-cip-11-0701</x:v>
      </x:c>
      <x:c r="E1404" s="17" t="str"/>
      <x:c r="F1404" s="17" t="str">
        <x:v>discovery</x:v>
      </x:c>
      <x:c r="G1404" s="17" t="str">
        <x:v>Stage 2 recorded this row as a discovery candidate; it does not independently verify an exact current research program, eligibility, or funding.</x:v>
      </x:c>
      <x:c r="H1404" s="17" t="str">
        <x:v>Pass 2 Stage 2 candidate funnel</x:v>
      </x:c>
      <x:c r="I1404" s="17" t="str">
        <x:v>Graduate audit pipeline</x:v>
      </x:c>
      <x:c r="J1404" s="17" t="str">
        <x:v>derived</x:v>
      </x:c>
      <x:c r="K1404" s="17" t="str">
        <x:v>2026-09-11</x:v>
      </x:c>
      <x:c r="L1404" s="17" t="str">
        <x:v>Not cycle-specific</x:v>
      </x:c>
      <x:c r="M1404" s="17" t="str">
        <x:v>low</x:v>
      </x:c>
      <x:c r="N1404" s="17" t="str">
        <x:v>Discovery evidence only</x:v>
      </x:c>
      <x:c r="O1404" s="17" t="str">
        <x:v>Use the source_record_paths field to trace the underlying discovery inputs.</x:v>
      </x:c>
      <x:c r="P1404" s="18" t="e">
        <x:f>HYPERLINK("https://www.tufts.edu","Open source")</x:f>
        <x:v>HYPERLINK is not implemented. linkLocation=https://www.tufts.edu, friendlyName=Open source</x:v>
      </x:c>
    </x:row>
    <x:row r="1405" ht="46" customHeight="1">
      <x:c r="A1405" s="17" t="str">
        <x:v>stage3src:0092166c0a5f12ed6ed6</x:v>
      </x:c>
      <x:c r="B1405" s="17" t="str">
        <x:v>program</x:v>
      </x:c>
      <x:c r="C1405" s="17" t="str">
        <x:v>Tufts University</x:v>
      </x:c>
      <x:c r="D1405" s="17" t="str">
        <x:v>us:ipeds:168148:program:unclear:ipeds-discovery-signal-computer-software-engineering-cip-14-0903</x:v>
      </x:c>
      <x:c r="E1405" s="17" t="str"/>
      <x:c r="F1405" s="17" t="str">
        <x:v>discovery</x:v>
      </x:c>
      <x:c r="G1405" s="17" t="str">
        <x:v>Stage 2 recorded this row as a discovery candidate; it does not independently verify an exact current research program, eligibility, or funding.</x:v>
      </x:c>
      <x:c r="H1405" s="17" t="str">
        <x:v>Pass 2 Stage 2 candidate funnel</x:v>
      </x:c>
      <x:c r="I1405" s="17" t="str">
        <x:v>Graduate audit pipeline</x:v>
      </x:c>
      <x:c r="J1405" s="17" t="str">
        <x:v>derived</x:v>
      </x:c>
      <x:c r="K1405" s="17" t="str">
        <x:v>2026-09-11</x:v>
      </x:c>
      <x:c r="L1405" s="17" t="str">
        <x:v>Not cycle-specific</x:v>
      </x:c>
      <x:c r="M1405" s="17" t="str">
        <x:v>low</x:v>
      </x:c>
      <x:c r="N1405" s="17" t="str">
        <x:v>Discovery evidence only</x:v>
      </x:c>
      <x:c r="O1405" s="17" t="str">
        <x:v>Use the source_record_paths field to trace the underlying discovery inputs.</x:v>
      </x:c>
      <x:c r="P1405" s="18" t="e">
        <x:f>HYPERLINK("https://www.tufts.edu","Open source")</x:f>
        <x:v>HYPERLINK is not implemented. linkLocation=https://www.tufts.edu, friendlyName=Open source</x:v>
      </x:c>
    </x:row>
    <x:row r="1406" ht="46" customHeight="1">
      <x:c r="A1406" s="17" t="str">
        <x:v>stage3src:7aa44e74909f8e55da25</x:v>
      </x:c>
      <x:c r="B1406" s="17" t="str">
        <x:v>program</x:v>
      </x:c>
      <x:c r="C1406" s="17" t="str">
        <x:v>Tufts University</x:v>
      </x:c>
      <x:c r="D1406" s="17" t="str">
        <x:v>us:ipeds:168148:program:unclear:ipeds-discovery-signal-data-analytics-general-cip-30-7101</x:v>
      </x:c>
      <x:c r="E1406" s="17" t="str"/>
      <x:c r="F1406" s="17" t="str">
        <x:v>discovery</x:v>
      </x:c>
      <x:c r="G1406" s="17" t="str">
        <x:v>Stage 2 recorded this row as a discovery candidate; it does not independently verify an exact current research program, eligibility, or funding.</x:v>
      </x:c>
      <x:c r="H1406" s="17" t="str">
        <x:v>Pass 2 Stage 2 candidate funnel</x:v>
      </x:c>
      <x:c r="I1406" s="17" t="str">
        <x:v>Graduate audit pipeline</x:v>
      </x:c>
      <x:c r="J1406" s="17" t="str">
        <x:v>derived</x:v>
      </x:c>
      <x:c r="K1406" s="17" t="str">
        <x:v>2026-09-11</x:v>
      </x:c>
      <x:c r="L1406" s="17" t="str">
        <x:v>Not cycle-specific</x:v>
      </x:c>
      <x:c r="M1406" s="17" t="str">
        <x:v>low</x:v>
      </x:c>
      <x:c r="N1406" s="17" t="str">
        <x:v>Discovery evidence only</x:v>
      </x:c>
      <x:c r="O1406" s="17" t="str">
        <x:v>Use the source_record_paths field to trace the underlying discovery inputs.</x:v>
      </x:c>
      <x:c r="P1406" s="18" t="e">
        <x:f>HYPERLINK("https://www.tufts.edu","Open source")</x:f>
        <x:v>HYPERLINK is not implemented. linkLocation=https://www.tufts.edu, friendlyName=Open source</x:v>
      </x:c>
    </x:row>
    <x:row r="1407" ht="46" customHeight="1">
      <x:c r="A1407" s="17" t="str">
        <x:v>stage3src:fcbd94b7d8d5760fd1ca</x:v>
      </x:c>
      <x:c r="B1407" s="17" t="str">
        <x:v>program</x:v>
      </x:c>
      <x:c r="C1407" s="17" t="str">
        <x:v>Tufts University</x:v>
      </x:c>
      <x:c r="D1407" s="17" t="str">
        <x:v>us:ipeds:168148:program:unclear:ipeds-discovery-signal-data-science-general-cip-30-7001</x:v>
      </x:c>
      <x:c r="E1407" s="17" t="str"/>
      <x:c r="F1407" s="17" t="str">
        <x:v>discovery</x:v>
      </x:c>
      <x:c r="G1407" s="17" t="str">
        <x:v>Stage 2 recorded this row as a discovery candidate; it does not independently verify an exact current research program, eligibility, or funding.</x:v>
      </x:c>
      <x:c r="H1407" s="17" t="str">
        <x:v>Pass 2 Stage 2 candidate funnel</x:v>
      </x:c>
      <x:c r="I1407" s="17" t="str">
        <x:v>Graduate audit pipeline</x:v>
      </x:c>
      <x:c r="J1407" s="17" t="str">
        <x:v>derived</x:v>
      </x:c>
      <x:c r="K1407" s="17" t="str">
        <x:v>2026-09-11</x:v>
      </x:c>
      <x:c r="L1407" s="17" t="str">
        <x:v>Not cycle-specific</x:v>
      </x:c>
      <x:c r="M1407" s="17" t="str">
        <x:v>low</x:v>
      </x:c>
      <x:c r="N1407" s="17" t="str">
        <x:v>Discovery evidence only</x:v>
      </x:c>
      <x:c r="O1407" s="17" t="str">
        <x:v>Use the source_record_paths field to trace the underlying discovery inputs.</x:v>
      </x:c>
      <x:c r="P1407" s="18" t="e">
        <x:f>HYPERLINK("https://www.tufts.edu","Open source")</x:f>
        <x:v>HYPERLINK is not implemented. linkLocation=https://www.tufts.edu, friendlyName=Open source</x:v>
      </x:c>
    </x:row>
    <x:row r="1408" ht="46" customHeight="1">
      <x:c r="A1408" s="17" t="str">
        <x:v>stage3src:5beaefa03cdc63aee305</x:v>
      </x:c>
      <x:c r="B1408" s="17" t="str">
        <x:v>program</x:v>
      </x:c>
      <x:c r="C1408" s="17" t="str">
        <x:v>Tufts University</x:v>
      </x:c>
      <x:c r="D1408" s="17" t="str">
        <x:v>us:ipeds:168148:program:unclear:ipeds-discovery-signal-electrical-and-electronics-engineering-cip-14-1001</x:v>
      </x:c>
      <x:c r="E1408" s="17" t="str"/>
      <x:c r="F1408" s="17" t="str">
        <x:v>discovery</x:v>
      </x:c>
      <x:c r="G1408" s="17" t="str">
        <x:v>Stage 2 recorded this row as a discovery candidate; it does not independently verify an exact current research program, eligibility, or funding.</x:v>
      </x:c>
      <x:c r="H1408" s="17" t="str">
        <x:v>Pass 2 Stage 2 candidate funnel</x:v>
      </x:c>
      <x:c r="I1408" s="17" t="str">
        <x:v>Graduate audit pipeline</x:v>
      </x:c>
      <x:c r="J1408" s="17" t="str">
        <x:v>derived</x:v>
      </x:c>
      <x:c r="K1408" s="17" t="str">
        <x:v>2026-09-11</x:v>
      </x:c>
      <x:c r="L1408" s="17" t="str">
        <x:v>Not cycle-specific</x:v>
      </x:c>
      <x:c r="M1408" s="17" t="str">
        <x:v>low</x:v>
      </x:c>
      <x:c r="N1408" s="17" t="str">
        <x:v>Discovery evidence only</x:v>
      </x:c>
      <x:c r="O1408" s="17" t="str">
        <x:v>Use the source_record_paths field to trace the underlying discovery inputs.</x:v>
      </x:c>
      <x:c r="P1408" s="18" t="e">
        <x:f>HYPERLINK("https://www.tufts.edu","Open source")</x:f>
        <x:v>HYPERLINK is not implemented. linkLocation=https://www.tufts.edu, friendlyName=Open source</x:v>
      </x:c>
    </x:row>
    <x:row r="1409" ht="46" customHeight="1">
      <x:c r="A1409" s="17" t="str">
        <x:v>stage3src:144878407d833dcf1751</x:v>
      </x:c>
      <x:c r="B1409" s="17" t="str">
        <x:v>program</x:v>
      </x:c>
      <x:c r="C1409" s="17" t="str">
        <x:v>Wentworth Institute of Technology</x:v>
      </x:c>
      <x:c r="D1409" s="17" t="str">
        <x:v>us:ipeds:168227:program:unclear:ipeds-discovery-signal-computer-engineering-general-cip-14-0901</x:v>
      </x:c>
      <x:c r="E1409" s="17" t="str"/>
      <x:c r="F1409" s="17" t="str">
        <x:v>discovery</x:v>
      </x:c>
      <x:c r="G1409" s="17" t="str">
        <x:v>Stage 2 recorded this row as a discovery candidate; it does not independently verify an exact current research program, eligibility, or funding.</x:v>
      </x:c>
      <x:c r="H1409" s="17" t="str">
        <x:v>Pass 2 Stage 2 candidate funnel</x:v>
      </x:c>
      <x:c r="I1409" s="17" t="str">
        <x:v>Graduate audit pipeline</x:v>
      </x:c>
      <x:c r="J1409" s="17" t="str">
        <x:v>derived</x:v>
      </x:c>
      <x:c r="K1409" s="17" t="str">
        <x:v>2026-09-11</x:v>
      </x:c>
      <x:c r="L1409" s="17" t="str">
        <x:v>Not cycle-specific</x:v>
      </x:c>
      <x:c r="M1409" s="17" t="str">
        <x:v>low</x:v>
      </x:c>
      <x:c r="N1409" s="17" t="str">
        <x:v>Discovery evidence only</x:v>
      </x:c>
      <x:c r="O1409" s="17" t="str">
        <x:v>Use the source_record_paths field to trace the underlying discovery inputs.</x:v>
      </x:c>
      <x:c r="P1409" s="18" t="e">
        <x:f>HYPERLINK("https://wit.edu","Open source")</x:f>
        <x:v>HYPERLINK is not implemented. linkLocation=https://wit.edu, friendlyName=Open source</x:v>
      </x:c>
    </x:row>
    <x:row r="1410" ht="46" customHeight="1">
      <x:c r="A1410" s="17" t="str">
        <x:v>stage3src:92e4d707a20fb062852f</x:v>
      </x:c>
      <x:c r="B1410" s="17" t="str">
        <x:v>program</x:v>
      </x:c>
      <x:c r="C1410" s="17" t="str">
        <x:v>Wentworth Institute of Technology</x:v>
      </x:c>
      <x:c r="D1410" s="17" t="str">
        <x:v>us:ipeds:168227:program:unclear:ipeds-discovery-signal-computer-science-cip-11-0701</x:v>
      </x:c>
      <x:c r="E1410" s="17" t="str"/>
      <x:c r="F1410" s="17" t="str">
        <x:v>discovery</x:v>
      </x:c>
      <x:c r="G1410" s="17" t="str">
        <x:v>Stage 2 recorded this row as a discovery candidate; it does not independently verify an exact current research program, eligibility, or funding.</x:v>
      </x:c>
      <x:c r="H1410" s="17" t="str">
        <x:v>Pass 2 Stage 2 candidate funnel</x:v>
      </x:c>
      <x:c r="I1410" s="17" t="str">
        <x:v>Graduate audit pipeline</x:v>
      </x:c>
      <x:c r="J1410" s="17" t="str">
        <x:v>derived</x:v>
      </x:c>
      <x:c r="K1410" s="17" t="str">
        <x:v>2026-09-11</x:v>
      </x:c>
      <x:c r="L1410" s="17" t="str">
        <x:v>Not cycle-specific</x:v>
      </x:c>
      <x:c r="M1410" s="17" t="str">
        <x:v>low</x:v>
      </x:c>
      <x:c r="N1410" s="17" t="str">
        <x:v>Discovery evidence only</x:v>
      </x:c>
      <x:c r="O1410" s="17" t="str">
        <x:v>Use the source_record_paths field to trace the underlying discovery inputs.</x:v>
      </x:c>
      <x:c r="P1410" s="18" t="e">
        <x:f>HYPERLINK("https://wit.edu","Open source")</x:f>
        <x:v>HYPERLINK is not implemented. linkLocation=https://wit.edu, friendlyName=Open source</x:v>
      </x:c>
    </x:row>
    <x:row r="1411" ht="46" customHeight="1">
      <x:c r="A1411" s="17" t="str">
        <x:v>stage3src:ecd74ccfb0f2bd76d4f3</x:v>
      </x:c>
      <x:c r="B1411" s="17" t="str">
        <x:v>program</x:v>
      </x:c>
      <x:c r="C1411" s="17" t="str">
        <x:v>Wentworth Institute of Technology</x:v>
      </x:c>
      <x:c r="D1411" s="17" t="str">
        <x:v>us:ipeds:168227:program:unclear:ipeds-discovery-signal-data-science-general-cip-30-7001</x:v>
      </x:c>
      <x:c r="E1411" s="17" t="str"/>
      <x:c r="F1411" s="17" t="str">
        <x:v>discovery</x:v>
      </x:c>
      <x:c r="G1411" s="17" t="str">
        <x:v>Stage 2 recorded this row as a discovery candidate; it does not independently verify an exact current research program, eligibility, or funding.</x:v>
      </x:c>
      <x:c r="H1411" s="17" t="str">
        <x:v>Pass 2 Stage 2 candidate funnel</x:v>
      </x:c>
      <x:c r="I1411" s="17" t="str">
        <x:v>Graduate audit pipeline</x:v>
      </x:c>
      <x:c r="J1411" s="17" t="str">
        <x:v>derived</x:v>
      </x:c>
      <x:c r="K1411" s="17" t="str">
        <x:v>2026-09-11</x:v>
      </x:c>
      <x:c r="L1411" s="17" t="str">
        <x:v>Not cycle-specific</x:v>
      </x:c>
      <x:c r="M1411" s="17" t="str">
        <x:v>low</x:v>
      </x:c>
      <x:c r="N1411" s="17" t="str">
        <x:v>Discovery evidence only</x:v>
      </x:c>
      <x:c r="O1411" s="17" t="str">
        <x:v>Use the source_record_paths field to trace the underlying discovery inputs.</x:v>
      </x:c>
      <x:c r="P1411" s="18" t="e">
        <x:f>HYPERLINK("https://wit.edu","Open source")</x:f>
        <x:v>HYPERLINK is not implemented. linkLocation=https://wit.edu, friendlyName=Open source</x:v>
      </x:c>
    </x:row>
    <x:row r="1412" ht="46" customHeight="1">
      <x:c r="A1412" s="17" t="str">
        <x:v>stage3src:acdeef025e2d41142e1f</x:v>
      </x:c>
      <x:c r="B1412" s="17" t="str">
        <x:v>program</x:v>
      </x:c>
      <x:c r="C1412" s="17" t="str">
        <x:v>Wentworth Institute of Technology</x:v>
      </x:c>
      <x:c r="D1412" s="17" t="str">
        <x:v>us:ipeds:168227:program:unclear:ipeds-discovery-signal-electrical-and-electronics-engineering-cip-14-1001</x:v>
      </x:c>
      <x:c r="E1412" s="17" t="str"/>
      <x:c r="F1412" s="17" t="str">
        <x:v>discovery</x:v>
      </x:c>
      <x:c r="G1412" s="17" t="str">
        <x:v>Stage 2 recorded this row as a discovery candidate; it does not independently verify an exact current research program, eligibility, or funding.</x:v>
      </x:c>
      <x:c r="H1412" s="17" t="str">
        <x:v>Pass 2 Stage 2 candidate funnel</x:v>
      </x:c>
      <x:c r="I1412" s="17" t="str">
        <x:v>Graduate audit pipeline</x:v>
      </x:c>
      <x:c r="J1412" s="17" t="str">
        <x:v>derived</x:v>
      </x:c>
      <x:c r="K1412" s="17" t="str">
        <x:v>2026-09-11</x:v>
      </x:c>
      <x:c r="L1412" s="17" t="str">
        <x:v>Not cycle-specific</x:v>
      </x:c>
      <x:c r="M1412" s="17" t="str">
        <x:v>low</x:v>
      </x:c>
      <x:c r="N1412" s="17" t="str">
        <x:v>Discovery evidence only</x:v>
      </x:c>
      <x:c r="O1412" s="17" t="str">
        <x:v>Use the source_record_paths field to trace the underlying discovery inputs.</x:v>
      </x:c>
      <x:c r="P1412" s="18" t="e">
        <x:f>HYPERLINK("https://wit.edu","Open source")</x:f>
        <x:v>HYPERLINK is not implemented. linkLocation=https://wit.edu, friendlyName=Open source</x:v>
      </x:c>
    </x:row>
    <x:row r="1413" ht="46" customHeight="1">
      <x:c r="A1413" s="17" t="str">
        <x:v>stage3src:119f4d1a2b43d37270a3</x:v>
      </x:c>
      <x:c r="B1413" s="17" t="str">
        <x:v>program</x:v>
      </x:c>
      <x:c r="C1413" s="17" t="str">
        <x:v>Western New England University</x:v>
      </x:c>
      <x:c r="D1413" s="17" t="str">
        <x:v>us:ipeds:168254:program:unclear:ipeds-discovery-signal-electrical-and-electronics-engineering-cip-14-1001</x:v>
      </x:c>
      <x:c r="E1413" s="17" t="str"/>
      <x:c r="F1413" s="17" t="str">
        <x:v>discovery</x:v>
      </x:c>
      <x:c r="G1413" s="17" t="str">
        <x:v>Stage 2 recorded this row as a discovery candidate; it does not independently verify an exact current research program, eligibility, or funding.</x:v>
      </x:c>
      <x:c r="H1413" s="17" t="str">
        <x:v>Pass 2 Stage 2 candidate funnel</x:v>
      </x:c>
      <x:c r="I1413" s="17" t="str">
        <x:v>Graduate audit pipeline</x:v>
      </x:c>
      <x:c r="J1413" s="17" t="str">
        <x:v>derived</x:v>
      </x:c>
      <x:c r="K1413" s="17" t="str">
        <x:v>2026-09-11</x:v>
      </x:c>
      <x:c r="L1413" s="17" t="str">
        <x:v>Not cycle-specific</x:v>
      </x:c>
      <x:c r="M1413" s="17" t="str">
        <x:v>low</x:v>
      </x:c>
      <x:c r="N1413" s="17" t="str">
        <x:v>Discovery evidence only</x:v>
      </x:c>
      <x:c r="O1413" s="17" t="str">
        <x:v>Use the source_record_paths field to trace the underlying discovery inputs.</x:v>
      </x:c>
      <x:c r="P1413" s="18" t="e">
        <x:f>HYPERLINK("https://wne.edu","Open source")</x:f>
        <x:v>HYPERLINK is not implemented. linkLocation=https://wne.edu, friendlyName=Open source</x:v>
      </x:c>
    </x:row>
    <x:row r="1414" ht="46" customHeight="1">
      <x:c r="A1414" s="17" t="str">
        <x:v>stage3src:eae1e5ec289e2a0f7988</x:v>
      </x:c>
      <x:c r="B1414" s="17" t="str">
        <x:v>program</x:v>
      </x:c>
      <x:c r="C1414" s="17" t="str">
        <x:v>Western New England University</x:v>
      </x:c>
      <x:c r="D1414" s="17" t="str">
        <x:v>us:ipeds:168254:program:unclear:ipeds-discovery-signal-mechatronics-robotics-and-automation-engineering-cip-14-4201</x:v>
      </x:c>
      <x:c r="E1414" s="17" t="str"/>
      <x:c r="F1414" s="17" t="str">
        <x:v>discovery</x:v>
      </x:c>
      <x:c r="G1414" s="17" t="str">
        <x:v>Stage 2 recorded this row as a discovery candidate; it does not independently verify an exact current research program, eligibility, or funding.</x:v>
      </x:c>
      <x:c r="H1414" s="17" t="str">
        <x:v>Pass 2 Stage 2 candidate funnel</x:v>
      </x:c>
      <x:c r="I1414" s="17" t="str">
        <x:v>Graduate audit pipeline</x:v>
      </x:c>
      <x:c r="J1414" s="17" t="str">
        <x:v>derived</x:v>
      </x:c>
      <x:c r="K1414" s="17" t="str">
        <x:v>2026-09-11</x:v>
      </x:c>
      <x:c r="L1414" s="17" t="str">
        <x:v>Not cycle-specific</x:v>
      </x:c>
      <x:c r="M1414" s="17" t="str">
        <x:v>low</x:v>
      </x:c>
      <x:c r="N1414" s="17" t="str">
        <x:v>Discovery evidence only</x:v>
      </x:c>
      <x:c r="O1414" s="17" t="str">
        <x:v>Use the source_record_paths field to trace the underlying discovery inputs.</x:v>
      </x:c>
      <x:c r="P1414" s="18" t="e">
        <x:f>HYPERLINK("https://wne.edu","Open source")</x:f>
        <x:v>HYPERLINK is not implemented. linkLocation=https://wne.edu, friendlyName=Open source</x:v>
      </x:c>
    </x:row>
    <x:row r="1415" ht="46" customHeight="1">
      <x:c r="A1415" s="17" t="str">
        <x:v>stage3src:1c102ddf34e1c1bc478d</x:v>
      </x:c>
      <x:c r="B1415" s="17" t="str">
        <x:v>program</x:v>
      </x:c>
      <x:c r="C1415" s="17" t="str">
        <x:v>Worcester Polytechnic Institute</x:v>
      </x:c>
      <x:c r="D1415" s="17" t="str">
        <x:v>us:ipeds:168421:program:phd:phd-in-computer-science</x:v>
      </x:c>
      <x:c r="E1415" s="17" t="str"/>
      <x:c r="F1415" s="17" t="str">
        <x:v>program|admissions|eligibility|prerequisites</x:v>
      </x:c>
      <x:c r="G1415" s="17" t="str">
        <x:v>CS PhD entry after bachelor's or master's and required theoretical, applied, programming, and mathematics preparation.</x:v>
      </x:c>
      <x:c r="H1415" s="17" t="str">
        <x:v>Graduate Catalog 2024-25</x:v>
      </x:c>
      <x:c r="I1415" s="17" t="str">
        <x:v>Worcester Polytechnic Institute</x:v>
      </x:c>
      <x:c r="J1415" s="17" t="str">
        <x:v>official</x:v>
      </x:c>
      <x:c r="K1415" s="17" t="str">
        <x:v>2026-09-11</x:v>
      </x:c>
      <x:c r="L1415" s="17" t="str">
        <x:v>Latest catalog evidence located; checked 2026-09-11</x:v>
      </x:c>
      <x:c r="M1415" s="17" t="str">
        <x:v>high</x:v>
      </x:c>
      <x:c r="N1415" s="17" t="str">
        <x:v>official page checked</x:v>
      </x:c>
      <x:c r="O1415" s="17" t="str"/>
      <x:c r="P1415" s="18" t="e">
        <x:f>HYPERLINK("https://www.wpi.edu/sites/default/files/2025-08/Graduate_Catalog_2024-25.pdf","Open source")</x:f>
        <x:v>HYPERLINK is not implemented. linkLocation=https://www.wpi.edu/sites/default/files/2025-08/Graduate_Catalog_2024-25.pdf, friendlyName=Open source</x:v>
      </x:c>
    </x:row>
    <x:row r="1416" ht="46" customHeight="1">
      <x:c r="A1416" s="17" t="str">
        <x:v>stage3src:4e30e6156262c1032927</x:v>
      </x:c>
      <x:c r="B1416" s="17" t="str">
        <x:v>program</x:v>
      </x:c>
      <x:c r="C1416" s="17" t="str">
        <x:v>Worcester Polytechnic Institute</x:v>
      </x:c>
      <x:c r="D1416" s="17" t="str">
        <x:v>us:ipeds:168421:program:phd:phd-in-computer-science</x:v>
      </x:c>
      <x:c r="E1416" s="17" t="str"/>
      <x:c r="F1416" s="17" t="str">
        <x:v>funding|conditions</x:v>
      </x:c>
      <x:c r="G1416" s="17" t="str">
        <x:v>Graduate funding mechanisms and the current institutional research-assistant rate; individual awards vary.</x:v>
      </x:c>
      <x:c r="H1416" s="17" t="str">
        <x:v>Funding Opportunities</x:v>
      </x:c>
      <x:c r="I1416" s="17" t="str">
        <x:v>Worcester Polytechnic Institute</x:v>
      </x:c>
      <x:c r="J1416" s="17" t="str">
        <x:v>official</x:v>
      </x:c>
      <x:c r="K1416" s="17" t="str">
        <x:v>2026-09-11</x:v>
      </x:c>
      <x:c r="L1416" s="17" t="str">
        <x:v>Current funding page checked 2026-09-11</x:v>
      </x:c>
      <x:c r="M1416" s="17" t="str">
        <x:v>high</x:v>
      </x:c>
      <x:c r="N1416" s="17" t="str">
        <x:v>official page checked</x:v>
      </x:c>
      <x:c r="O1416" s="17" t="str"/>
      <x:c r="P1416" s="18" t="e">
        <x:f>HYPERLINK("https://www.wpi.edu/academics/graduate/graduate-student-experience/funding-opportunities","Open source")</x:f>
        <x:v>HYPERLINK is not implemented. linkLocation=https://www.wpi.edu/academics/graduate/graduate-student-experience/funding-opportunities, friendlyName=Open source</x:v>
      </x:c>
    </x:row>
    <x:row r="1417" ht="46" customHeight="1">
      <x:c r="A1417" s="17" t="str">
        <x:v>stage3src:5288b15fdf1fcb950bfa</x:v>
      </x:c>
      <x:c r="B1417" s="17" t="str">
        <x:v>program</x:v>
      </x:c>
      <x:c r="C1417" s="17" t="str">
        <x:v>Worcester Polytechnic Institute</x:v>
      </x:c>
      <x:c r="D1417" s="17" t="str">
        <x:v>us:ipeds:168421:program:phd:phd-in-computer-science</x:v>
      </x:c>
      <x:c r="E1417" s="17" t="str"/>
      <x:c r="F1417" s="17" t="str">
        <x:v>admissions|eligibility|prerequisites|deadline|funding</x:v>
      </x:c>
      <x:c r="G1417" s="17" t="str">
        <x:v>Bachelor's-entry CS preparation and the published Fall 2027 priority and latest dates with automatic funding consideration.</x:v>
      </x:c>
      <x:c r="H1417" s="17" t="str">
        <x:v>Graduate Admissions</x:v>
      </x:c>
      <x:c r="I1417" s="17" t="str">
        <x:v>Worcester Polytechnic Institute</x:v>
      </x:c>
      <x:c r="J1417" s="17" t="str">
        <x:v>official</x:v>
      </x:c>
      <x:c r="K1417" s="17" t="str">
        <x:v>2026-09-11</x:v>
      </x:c>
      <x:c r="L1417" s="17" t="str">
        <x:v>2027-28 dates published</x:v>
      </x:c>
      <x:c r="M1417" s="17" t="str">
        <x:v>high</x:v>
      </x:c>
      <x:c r="N1417" s="17" t="str">
        <x:v>official page checked</x:v>
      </x:c>
      <x:c r="O1417" s="17" t="str"/>
      <x:c r="P1417" s="18" t="e">
        <x:f>HYPERLINK("https://www.wpi.edu/admissions/graduate","Open source")</x:f>
        <x:v>HYPERLINK is not implemented. linkLocation=https://www.wpi.edu/admissions/graduate, friendlyName=Open source</x:v>
      </x:c>
    </x:row>
    <x:row r="1418" ht="46" customHeight="1">
      <x:c r="A1418" s="17" t="str">
        <x:v>stage3src:8f8d9edc546ba7a57d26</x:v>
      </x:c>
      <x:c r="B1418" s="17" t="str">
        <x:v>program</x:v>
      </x:c>
      <x:c r="C1418" s="17" t="str">
        <x:v>Worcester Polytechnic Institute</x:v>
      </x:c>
      <x:c r="D1418" s="17" t="str">
        <x:v>us:ipeds:168421:program:phd:phd-in-computer-science</x:v>
      </x:c>
      <x:c r="E1418" s="17" t="str"/>
      <x:c r="F1418" s="17" t="str">
        <x:v>program|research|faculty</x:v>
      </x:c>
      <x:c r="G1418" s="17" t="str">
        <x:v>Current Computer Science PhD, dissertation-oriented research, laboratories, and research groups.</x:v>
      </x:c>
      <x:c r="H1418" s="17" t="str">
        <x:v>PhD in Computer Science</x:v>
      </x:c>
      <x:c r="I1418" s="17" t="str">
        <x:v>Worcester Polytechnic Institute</x:v>
      </x:c>
      <x:c r="J1418" s="17" t="str">
        <x:v>official</x:v>
      </x:c>
      <x:c r="K1418" s="17" t="str">
        <x:v>2026-09-11</x:v>
      </x:c>
      <x:c r="L1418" s="17" t="str">
        <x:v>Current program page checked 2026-09-11</x:v>
      </x:c>
      <x:c r="M1418" s="17" t="str">
        <x:v>high</x:v>
      </x:c>
      <x:c r="N1418" s="17" t="str">
        <x:v>official page checked</x:v>
      </x:c>
      <x:c r="O1418" s="17" t="str"/>
      <x:c r="P1418" s="18" t="e">
        <x:f>HYPERLINK("https://www.wpi.edu/academics/study/computer-science-phd","Open source")</x:f>
        <x:v>HYPERLINK is not implemented. linkLocation=https://www.wpi.edu/academics/study/computer-science-phd, friendlyName=Open source</x:v>
      </x:c>
    </x:row>
    <x:row r="1419" ht="46" customHeight="1">
      <x:c r="A1419" s="17" t="str">
        <x:v>stage3src:79ddc20a45a8982e262d</x:v>
      </x:c>
      <x:c r="B1419" s="17" t="str">
        <x:v>program</x:v>
      </x:c>
      <x:c r="C1419" s="17" t="str">
        <x:v>Worcester Polytechnic Institute</x:v>
      </x:c>
      <x:c r="D1419" s="17" t="str">
        <x:v>us:ipeds:168421:program:unclear:ipeds-discovery-signal-computer-and-information-systems-security-auditing-information-assurance-cip-11-1003</x:v>
      </x:c>
      <x:c r="E1419" s="17" t="str"/>
      <x:c r="F1419" s="17" t="str">
        <x:v>discovery</x:v>
      </x:c>
      <x:c r="G1419" s="17" t="str">
        <x:v>Stage 2 recorded this row as a discovery candidate; it does not independently verify an exact current research program, eligibility, or funding.</x:v>
      </x:c>
      <x:c r="H1419" s="17" t="str">
        <x:v>Pass 2 Stage 2 candidate funnel</x:v>
      </x:c>
      <x:c r="I1419" s="17" t="str">
        <x:v>Graduate audit pipeline</x:v>
      </x:c>
      <x:c r="J1419" s="17" t="str">
        <x:v>derived</x:v>
      </x:c>
      <x:c r="K1419" s="17" t="str">
        <x:v>2026-09-11</x:v>
      </x:c>
      <x:c r="L1419" s="17" t="str">
        <x:v>Not cycle-specific</x:v>
      </x:c>
      <x:c r="M1419" s="17" t="str">
        <x:v>low</x:v>
      </x:c>
      <x:c r="N1419" s="17" t="str">
        <x:v>Discovery evidence only</x:v>
      </x:c>
      <x:c r="O1419" s="17" t="str">
        <x:v>Use the source_record_paths field to trace the underlying discovery inputs.</x:v>
      </x:c>
      <x:c r="P1419" s="18" t="e">
        <x:f>HYPERLINK("https://www.wpi.edu","Open source")</x:f>
        <x:v>HYPERLINK is not implemented. linkLocation=https://www.wpi.edu, friendlyName=Open source</x:v>
      </x:c>
    </x:row>
    <x:row r="1420" ht="46" customHeight="1">
      <x:c r="A1420" s="17" t="str">
        <x:v>stage3src:df6e20b6dcb1e9d499e5</x:v>
      </x:c>
      <x:c r="B1420" s="17" t="str">
        <x:v>program</x:v>
      </x:c>
      <x:c r="C1420" s="17" t="str">
        <x:v>Worcester Polytechnic Institute</x:v>
      </x:c>
      <x:c r="D1420" s="17" t="str">
        <x:v>us:ipeds:168421:program:unclear:ipeds-discovery-signal-computer-science-cip-11-0701</x:v>
      </x:c>
      <x:c r="E1420" s="17" t="str"/>
      <x:c r="F1420" s="17" t="str">
        <x:v>discovery</x:v>
      </x:c>
      <x:c r="G1420" s="17" t="str">
        <x:v>Stage 2 recorded this row as a discovery candidate; it does not independently verify an exact current research program, eligibility, or funding.</x:v>
      </x:c>
      <x:c r="H1420" s="17" t="str">
        <x:v>Pass 2 Stage 2 candidate funnel</x:v>
      </x:c>
      <x:c r="I1420" s="17" t="str">
        <x:v>Graduate audit pipeline</x:v>
      </x:c>
      <x:c r="J1420" s="17" t="str">
        <x:v>derived</x:v>
      </x:c>
      <x:c r="K1420" s="17" t="str">
        <x:v>2026-09-11</x:v>
      </x:c>
      <x:c r="L1420" s="17" t="str">
        <x:v>Not cycle-specific</x:v>
      </x:c>
      <x:c r="M1420" s="17" t="str">
        <x:v>low</x:v>
      </x:c>
      <x:c r="N1420" s="17" t="str">
        <x:v>Discovery evidence only</x:v>
      </x:c>
      <x:c r="O1420" s="17" t="str">
        <x:v>Use the source_record_paths field to trace the underlying discovery inputs.</x:v>
      </x:c>
      <x:c r="P1420" s="18" t="e">
        <x:f>HYPERLINK("https://www.wpi.edu","Open source")</x:f>
        <x:v>HYPERLINK is not implemented. linkLocation=https://www.wpi.edu, friendlyName=Open source</x:v>
      </x:c>
    </x:row>
    <x:row r="1421" ht="46" customHeight="1">
      <x:c r="A1421" s="17" t="str">
        <x:v>stage3src:e1751fde40c399440134</x:v>
      </x:c>
      <x:c r="B1421" s="17" t="str">
        <x:v>program</x:v>
      </x:c>
      <x:c r="C1421" s="17" t="str">
        <x:v>Worcester Polytechnic Institute</x:v>
      </x:c>
      <x:c r="D1421" s="17" t="str">
        <x:v>us:ipeds:168421:program:unclear:ipeds-discovery-signal-data-science-general-cip-30-7001</x:v>
      </x:c>
      <x:c r="E1421" s="17" t="str"/>
      <x:c r="F1421" s="17" t="str">
        <x:v>discovery</x:v>
      </x:c>
      <x:c r="G1421" s="17" t="str">
        <x:v>Stage 2 recorded this row as a discovery candidate; it does not independently verify an exact current research program, eligibility, or funding.</x:v>
      </x:c>
      <x:c r="H1421" s="17" t="str">
        <x:v>Pass 2 Stage 2 candidate funnel</x:v>
      </x:c>
      <x:c r="I1421" s="17" t="str">
        <x:v>Graduate audit pipeline</x:v>
      </x:c>
      <x:c r="J1421" s="17" t="str">
        <x:v>derived</x:v>
      </x:c>
      <x:c r="K1421" s="17" t="str">
        <x:v>2026-09-11</x:v>
      </x:c>
      <x:c r="L1421" s="17" t="str">
        <x:v>Not cycle-specific</x:v>
      </x:c>
      <x:c r="M1421" s="17" t="str">
        <x:v>low</x:v>
      </x:c>
      <x:c r="N1421" s="17" t="str">
        <x:v>Discovery evidence only</x:v>
      </x:c>
      <x:c r="O1421" s="17" t="str">
        <x:v>Use the source_record_paths field to trace the underlying discovery inputs.</x:v>
      </x:c>
      <x:c r="P1421" s="18" t="e">
        <x:f>HYPERLINK("https://www.wpi.edu","Open source")</x:f>
        <x:v>HYPERLINK is not implemented. linkLocation=https://www.wpi.edu, friendlyName=Open source</x:v>
      </x:c>
    </x:row>
    <x:row r="1422" ht="46" customHeight="1">
      <x:c r="A1422" s="17" t="str">
        <x:v>stage3src:e7aebfa54cf499d1919b</x:v>
      </x:c>
      <x:c r="B1422" s="17" t="str">
        <x:v>program</x:v>
      </x:c>
      <x:c r="C1422" s="17" t="str">
        <x:v>Worcester Polytechnic Institute</x:v>
      </x:c>
      <x:c r="D1422" s="17" t="str">
        <x:v>us:ipeds:168421:program:unclear:ipeds-discovery-signal-electrical-and-electronics-engineering-cip-14-1001</x:v>
      </x:c>
      <x:c r="E1422" s="17" t="str"/>
      <x:c r="F1422" s="17" t="str">
        <x:v>discovery</x:v>
      </x:c>
      <x:c r="G1422" s="17" t="str">
        <x:v>Stage 2 recorded this row as a discovery candidate; it does not independently verify an exact current research program, eligibility, or funding.</x:v>
      </x:c>
      <x:c r="H1422" s="17" t="str">
        <x:v>Pass 2 Stage 2 candidate funnel</x:v>
      </x:c>
      <x:c r="I1422" s="17" t="str">
        <x:v>Graduate audit pipeline</x:v>
      </x:c>
      <x:c r="J1422" s="17" t="str">
        <x:v>derived</x:v>
      </x:c>
      <x:c r="K1422" s="17" t="str">
        <x:v>2026-09-11</x:v>
      </x:c>
      <x:c r="L1422" s="17" t="str">
        <x:v>Not cycle-specific</x:v>
      </x:c>
      <x:c r="M1422" s="17" t="str">
        <x:v>low</x:v>
      </x:c>
      <x:c r="N1422" s="17" t="str">
        <x:v>Discovery evidence only</x:v>
      </x:c>
      <x:c r="O1422" s="17" t="str">
        <x:v>Use the source_record_paths field to trace the underlying discovery inputs.</x:v>
      </x:c>
      <x:c r="P1422" s="18" t="e">
        <x:f>HYPERLINK("https://www.wpi.edu","Open source")</x:f>
        <x:v>HYPERLINK is not implemented. linkLocation=https://www.wpi.edu, friendlyName=Open source</x:v>
      </x:c>
    </x:row>
    <x:row r="1423" ht="46" customHeight="1">
      <x:c r="A1423" s="17" t="str">
        <x:v>stage3src:76ad4cee58a4f1470c09</x:v>
      </x:c>
      <x:c r="B1423" s="17" t="str">
        <x:v>program</x:v>
      </x:c>
      <x:c r="C1423" s="17" t="str">
        <x:v>Worcester Polytechnic Institute</x:v>
      </x:c>
      <x:c r="D1423" s="17" t="str">
        <x:v>us:ipeds:168421:program:unclear:ipeds-discovery-signal-information-technology-cip-11-0103</x:v>
      </x:c>
      <x:c r="E1423" s="17" t="str"/>
      <x:c r="F1423" s="17" t="str">
        <x:v>discovery</x:v>
      </x:c>
      <x:c r="G1423" s="17" t="str">
        <x:v>Stage 2 recorded this row as a discovery candidate; it does not independently verify an exact current research program, eligibility, or funding.</x:v>
      </x:c>
      <x:c r="H1423" s="17" t="str">
        <x:v>Pass 2 Stage 2 candidate funnel</x:v>
      </x:c>
      <x:c r="I1423" s="17" t="str">
        <x:v>Graduate audit pipeline</x:v>
      </x:c>
      <x:c r="J1423" s="17" t="str">
        <x:v>derived</x:v>
      </x:c>
      <x:c r="K1423" s="17" t="str">
        <x:v>2026-09-11</x:v>
      </x:c>
      <x:c r="L1423" s="17" t="str">
        <x:v>Not cycle-specific</x:v>
      </x:c>
      <x:c r="M1423" s="17" t="str">
        <x:v>low</x:v>
      </x:c>
      <x:c r="N1423" s="17" t="str">
        <x:v>Discovery evidence only</x:v>
      </x:c>
      <x:c r="O1423" s="17" t="str">
        <x:v>Use the source_record_paths field to trace the underlying discovery inputs.</x:v>
      </x:c>
      <x:c r="P1423" s="18" t="e">
        <x:f>HYPERLINK("https://www.wpi.edu","Open source")</x:f>
        <x:v>HYPERLINK is not implemented. linkLocation=https://www.wpi.edu, friendlyName=Open source</x:v>
      </x:c>
    </x:row>
    <x:row r="1424" ht="46" customHeight="1">
      <x:c r="A1424" s="17" t="str">
        <x:v>stage3src:4c8bfac0111b18a84504</x:v>
      </x:c>
      <x:c r="B1424" s="17" t="str">
        <x:v>program</x:v>
      </x:c>
      <x:c r="C1424" s="17" t="str">
        <x:v>Worcester Polytechnic Institute</x:v>
      </x:c>
      <x:c r="D1424" s="17" t="str">
        <x:v>us:ipeds:168421:program:unclear:ipeds-discovery-signal-mechatronics-robotics-and-automation-engineering-cip-14-4201</x:v>
      </x:c>
      <x:c r="E1424" s="17" t="str"/>
      <x:c r="F1424" s="17" t="str">
        <x:v>discovery</x:v>
      </x:c>
      <x:c r="G1424" s="17" t="str">
        <x:v>Stage 2 recorded this row as a discovery candidate; it does not independently verify an exact current research program, eligibility, or funding.</x:v>
      </x:c>
      <x:c r="H1424" s="17" t="str">
        <x:v>Pass 2 Stage 2 candidate funnel</x:v>
      </x:c>
      <x:c r="I1424" s="17" t="str">
        <x:v>Graduate audit pipeline</x:v>
      </x:c>
      <x:c r="J1424" s="17" t="str">
        <x:v>derived</x:v>
      </x:c>
      <x:c r="K1424" s="17" t="str">
        <x:v>2026-09-11</x:v>
      </x:c>
      <x:c r="L1424" s="17" t="str">
        <x:v>Not cycle-specific</x:v>
      </x:c>
      <x:c r="M1424" s="17" t="str">
        <x:v>low</x:v>
      </x:c>
      <x:c r="N1424" s="17" t="str">
        <x:v>Discovery evidence only</x:v>
      </x:c>
      <x:c r="O1424" s="17" t="str">
        <x:v>Use the source_record_paths field to trace the underlying discovery inputs.</x:v>
      </x:c>
      <x:c r="P1424" s="18" t="e">
        <x:f>HYPERLINK("https://www.wpi.edu","Open source")</x:f>
        <x:v>HYPERLINK is not implemented. linkLocation=https://www.wpi.edu, friendlyName=Open source</x:v>
      </x:c>
    </x:row>
    <x:row r="1425" ht="46" customHeight="1">
      <x:c r="A1425" s="17" t="str">
        <x:v>stage3src:d9e5698896097cb92b55</x:v>
      </x:c>
      <x:c r="B1425" s="17" t="str">
        <x:v>program</x:v>
      </x:c>
      <x:c r="C1425" s="17" t="str">
        <x:v>Baker College</x:v>
      </x:c>
      <x:c r="D1425" s="17" t="str">
        <x:v>us:ipeds:168847:program:unclear:ipeds-discovery-signal-computer-and-information-systems-security-auditing-information-assurance-cip-11-1003</x:v>
      </x:c>
      <x:c r="E1425" s="17" t="str"/>
      <x:c r="F1425" s="17" t="str">
        <x:v>discovery</x:v>
      </x:c>
      <x:c r="G1425" s="17" t="str">
        <x:v>Stage 2 recorded this row as a discovery candidate; it does not independently verify an exact current research program, eligibility, or funding.</x:v>
      </x:c>
      <x:c r="H1425" s="17" t="str">
        <x:v>Pass 2 Stage 2 candidate funnel</x:v>
      </x:c>
      <x:c r="I1425" s="17" t="str">
        <x:v>Graduate audit pipeline</x:v>
      </x:c>
      <x:c r="J1425" s="17" t="str">
        <x:v>derived</x:v>
      </x:c>
      <x:c r="K1425" s="17" t="str">
        <x:v>2026-09-11</x:v>
      </x:c>
      <x:c r="L1425" s="17" t="str">
        <x:v>Not cycle-specific</x:v>
      </x:c>
      <x:c r="M1425" s="17" t="str">
        <x:v>low</x:v>
      </x:c>
      <x:c r="N1425" s="17" t="str">
        <x:v>Discovery evidence only</x:v>
      </x:c>
      <x:c r="O1425" s="17" t="str">
        <x:v>Use the source_record_paths field to trace the underlying discovery inputs.</x:v>
      </x:c>
      <x:c r="P1425" s="18" t="e">
        <x:f>HYPERLINK("https://www.baker.edu","Open source")</x:f>
        <x:v>HYPERLINK is not implemented. linkLocation=https://www.baker.edu, friendlyName=Open source</x:v>
      </x:c>
    </x:row>
    <x:row r="1426" ht="46" customHeight="1">
      <x:c r="A1426" s="17" t="str">
        <x:v>stage3src:6f754bbadeee1a722d33</x:v>
      </x:c>
      <x:c r="B1426" s="17" t="str">
        <x:v>program</x:v>
      </x:c>
      <x:c r="C1426" s="17" t="str">
        <x:v>Central Michigan University</x:v>
      </x:c>
      <x:c r="D1426" s="17" t="str">
        <x:v>us:ipeds:169248:program:unclear:ipeds-discovery-signal-computer-and-information-sciences-general-cip-11-0101</x:v>
      </x:c>
      <x:c r="E1426" s="17" t="str"/>
      <x:c r="F1426" s="17" t="str">
        <x:v>discovery</x:v>
      </x:c>
      <x:c r="G1426" s="17" t="str">
        <x:v>Stage 2 recorded this row as a discovery candidate; it does not independently verify an exact current research program, eligibility, or funding.</x:v>
      </x:c>
      <x:c r="H1426" s="17" t="str">
        <x:v>Pass 2 Stage 2 candidate funnel</x:v>
      </x:c>
      <x:c r="I1426" s="17" t="str">
        <x:v>Graduate audit pipeline</x:v>
      </x:c>
      <x:c r="J1426" s="17" t="str">
        <x:v>derived</x:v>
      </x:c>
      <x:c r="K1426" s="17" t="str">
        <x:v>2026-09-11</x:v>
      </x:c>
      <x:c r="L1426" s="17" t="str">
        <x:v>Not cycle-specific</x:v>
      </x:c>
      <x:c r="M1426" s="17" t="str">
        <x:v>low</x:v>
      </x:c>
      <x:c r="N1426" s="17" t="str">
        <x:v>Discovery evidence only</x:v>
      </x:c>
      <x:c r="O1426" s="17" t="str">
        <x:v>Use the source_record_paths field to trace the underlying discovery inputs.</x:v>
      </x:c>
      <x:c r="P1426" s="18" t="e">
        <x:f>HYPERLINK("https://www.cmich.edu","Open source")</x:f>
        <x:v>HYPERLINK is not implemented. linkLocation=https://www.cmich.edu, friendlyName=Open source</x:v>
      </x:c>
    </x:row>
    <x:row r="1427" ht="46" customHeight="1">
      <x:c r="A1427" s="17" t="str">
        <x:v>stage3src:8ae4e737f9e3a0d42fe9</x:v>
      </x:c>
      <x:c r="B1427" s="17" t="str">
        <x:v>program</x:v>
      </x:c>
      <x:c r="C1427" s="17" t="str">
        <x:v>Central Michigan University</x:v>
      </x:c>
      <x:c r="D1427" s="17" t="str">
        <x:v>us:ipeds:169248:program:unclear:ipeds-discovery-signal-computer-science-cip-11-0701</x:v>
      </x:c>
      <x:c r="E1427" s="17" t="str"/>
      <x:c r="F1427" s="17" t="str">
        <x:v>discovery</x:v>
      </x:c>
      <x:c r="G1427" s="17" t="str">
        <x:v>Stage 2 recorded this row as a discovery candidate; it does not independently verify an exact current research program, eligibility, or funding.</x:v>
      </x:c>
      <x:c r="H1427" s="17" t="str">
        <x:v>Pass 2 Stage 2 candidate funnel</x:v>
      </x:c>
      <x:c r="I1427" s="17" t="str">
        <x:v>Graduate audit pipeline</x:v>
      </x:c>
      <x:c r="J1427" s="17" t="str">
        <x:v>derived</x:v>
      </x:c>
      <x:c r="K1427" s="17" t="str">
        <x:v>2026-09-11</x:v>
      </x:c>
      <x:c r="L1427" s="17" t="str">
        <x:v>Not cycle-specific</x:v>
      </x:c>
      <x:c r="M1427" s="17" t="str">
        <x:v>low</x:v>
      </x:c>
      <x:c r="N1427" s="17" t="str">
        <x:v>Discovery evidence only</x:v>
      </x:c>
      <x:c r="O1427" s="17" t="str">
        <x:v>Use the source_record_paths field to trace the underlying discovery inputs.</x:v>
      </x:c>
      <x:c r="P1427" s="18" t="e">
        <x:f>HYPERLINK("https://www.cmich.edu","Open source")</x:f>
        <x:v>HYPERLINK is not implemented. linkLocation=https://www.cmich.edu, friendlyName=Open source</x:v>
      </x:c>
    </x:row>
    <x:row r="1428" ht="46" customHeight="1">
      <x:c r="A1428" s="17" t="str">
        <x:v>stage3src:11c6dec2bcdc6ffbf53d</x:v>
      </x:c>
      <x:c r="B1428" s="17" t="str">
        <x:v>program</x:v>
      </x:c>
      <x:c r="C1428" s="17" t="str">
        <x:v>Central Michigan University</x:v>
      </x:c>
      <x:c r="D1428" s="17" t="str">
        <x:v>us:ipeds:169248:program:unclear:ipeds-discovery-signal-information-technology-cip-11-0103</x:v>
      </x:c>
      <x:c r="E1428" s="17" t="str"/>
      <x:c r="F1428" s="17" t="str">
        <x:v>discovery</x:v>
      </x:c>
      <x:c r="G1428" s="17" t="str">
        <x:v>Stage 2 recorded this row as a discovery candidate; it does not independently verify an exact current research program, eligibility, or funding.</x:v>
      </x:c>
      <x:c r="H1428" s="17" t="str">
        <x:v>Pass 2 Stage 2 candidate funnel</x:v>
      </x:c>
      <x:c r="I1428" s="17" t="str">
        <x:v>Graduate audit pipeline</x:v>
      </x:c>
      <x:c r="J1428" s="17" t="str">
        <x:v>derived</x:v>
      </x:c>
      <x:c r="K1428" s="17" t="str">
        <x:v>2026-09-11</x:v>
      </x:c>
      <x:c r="L1428" s="17" t="str">
        <x:v>Not cycle-specific</x:v>
      </x:c>
      <x:c r="M1428" s="17" t="str">
        <x:v>low</x:v>
      </x:c>
      <x:c r="N1428" s="17" t="str">
        <x:v>Discovery evidence only</x:v>
      </x:c>
      <x:c r="O1428" s="17" t="str">
        <x:v>Use the source_record_paths field to trace the underlying discovery inputs.</x:v>
      </x:c>
      <x:c r="P1428" s="18" t="e">
        <x:f>HYPERLINK("https://www.cmich.edu","Open source")</x:f>
        <x:v>HYPERLINK is not implemented. linkLocation=https://www.cmich.edu, friendlyName=Open source</x:v>
      </x:c>
    </x:row>
    <x:row r="1429" ht="46" customHeight="1">
      <x:c r="A1429" s="17" t="str">
        <x:v>stage3src:0f169280a23148d232ea</x:v>
      </x:c>
      <x:c r="B1429" s="17" t="str">
        <x:v>program</x:v>
      </x:c>
      <x:c r="C1429" s="17" t="str">
        <x:v>Concordia University Ann Arbor</x:v>
      </x:c>
      <x:c r="D1429" s="17" t="str">
        <x:v>us:ipeds:169363:program:unclear:ipeds-discovery-signal-computer-software-engineering-cip-14-0903</x:v>
      </x:c>
      <x:c r="E1429" s="17" t="str"/>
      <x:c r="F1429" s="17" t="str">
        <x:v>discovery</x:v>
      </x:c>
      <x:c r="G1429" s="17" t="str">
        <x:v>Stage 2 recorded this row as a discovery candidate; it does not independently verify an exact current research program, eligibility, or funding.</x:v>
      </x:c>
      <x:c r="H1429" s="17" t="str">
        <x:v>Pass 2 Stage 2 candidate funnel</x:v>
      </x:c>
      <x:c r="I1429" s="17" t="str">
        <x:v>Graduate audit pipeline</x:v>
      </x:c>
      <x:c r="J1429" s="17" t="str">
        <x:v>derived</x:v>
      </x:c>
      <x:c r="K1429" s="17" t="str">
        <x:v>2026-09-11</x:v>
      </x:c>
      <x:c r="L1429" s="17" t="str">
        <x:v>Not cycle-specific</x:v>
      </x:c>
      <x:c r="M1429" s="17" t="str">
        <x:v>low</x:v>
      </x:c>
      <x:c r="N1429" s="17" t="str">
        <x:v>Discovery evidence only</x:v>
      </x:c>
      <x:c r="O1429" s="17" t="str">
        <x:v>Use the source_record_paths field to trace the underlying discovery inputs.</x:v>
      </x:c>
      <x:c r="P1429" s="18" t="e">
        <x:f>HYPERLINK("https://www.cuaa.edu","Open source")</x:f>
        <x:v>HYPERLINK is not implemented. linkLocation=https://www.cuaa.edu, friendlyName=Open source</x:v>
      </x:c>
    </x:row>
    <x:row r="1430" ht="46" customHeight="1">
      <x:c r="A1430" s="17" t="str">
        <x:v>stage3src:0a1e28a4f59d69325846</x:v>
      </x:c>
      <x:c r="B1430" s="17" t="str">
        <x:v>program</x:v>
      </x:c>
      <x:c r="C1430" s="17" t="str">
        <x:v>Davenport University</x:v>
      </x:c>
      <x:c r="D1430" s="17" t="str">
        <x:v>us:ipeds:169479:program:unclear:ipeds-discovery-signal-computer-and-information-systems-security-auditing-information-assurance-cip-11-1003</x:v>
      </x:c>
      <x:c r="E1430" s="17" t="str"/>
      <x:c r="F1430" s="17" t="str">
        <x:v>discovery</x:v>
      </x:c>
      <x:c r="G1430" s="17" t="str">
        <x:v>Stage 2 recorded this row as a discovery candidate; it does not independently verify an exact current research program, eligibility, or funding.</x:v>
      </x:c>
      <x:c r="H1430" s="17" t="str">
        <x:v>Pass 2 Stage 2 candidate funnel</x:v>
      </x:c>
      <x:c r="I1430" s="17" t="str">
        <x:v>Graduate audit pipeline</x:v>
      </x:c>
      <x:c r="J1430" s="17" t="str">
        <x:v>derived</x:v>
      </x:c>
      <x:c r="K1430" s="17" t="str">
        <x:v>2026-09-11</x:v>
      </x:c>
      <x:c r="L1430" s="17" t="str">
        <x:v>Not cycle-specific</x:v>
      </x:c>
      <x:c r="M1430" s="17" t="str">
        <x:v>low</x:v>
      </x:c>
      <x:c r="N1430" s="17" t="str">
        <x:v>Discovery evidence only</x:v>
      </x:c>
      <x:c r="O1430" s="17" t="str">
        <x:v>Use the source_record_paths field to trace the underlying discovery inputs.</x:v>
      </x:c>
      <x:c r="P1430" s="18" t="e">
        <x:f>HYPERLINK("https://www.davenport.edu","Open source")</x:f>
        <x:v>HYPERLINK is not implemented. linkLocation=https://www.davenport.edu, friendlyName=Open source</x:v>
      </x:c>
    </x:row>
    <x:row r="1431" ht="46" customHeight="1">
      <x:c r="A1431" s="17" t="str">
        <x:v>stage3src:0af9dcc2256bc0066ff0</x:v>
      </x:c>
      <x:c r="B1431" s="17" t="str">
        <x:v>program</x:v>
      </x:c>
      <x:c r="C1431" s="17" t="str">
        <x:v>Davenport University</x:v>
      </x:c>
      <x:c r="D1431" s="17" t="str">
        <x:v>us:ipeds:169479:program:unclear:ipeds-discovery-signal-computer-science-cip-11-0701</x:v>
      </x:c>
      <x:c r="E1431" s="17" t="str"/>
      <x:c r="F1431" s="17" t="str">
        <x:v>discovery</x:v>
      </x:c>
      <x:c r="G1431" s="17" t="str">
        <x:v>Stage 2 recorded this row as a discovery candidate; it does not independently verify an exact current research program, eligibility, or funding.</x:v>
      </x:c>
      <x:c r="H1431" s="17" t="str">
        <x:v>Pass 2 Stage 2 candidate funnel</x:v>
      </x:c>
      <x:c r="I1431" s="17" t="str">
        <x:v>Graduate audit pipeline</x:v>
      </x:c>
      <x:c r="J1431" s="17" t="str">
        <x:v>derived</x:v>
      </x:c>
      <x:c r="K1431" s="17" t="str">
        <x:v>2026-09-11</x:v>
      </x:c>
      <x:c r="L1431" s="17" t="str">
        <x:v>Not cycle-specific</x:v>
      </x:c>
      <x:c r="M1431" s="17" t="str">
        <x:v>low</x:v>
      </x:c>
      <x:c r="N1431" s="17" t="str">
        <x:v>Discovery evidence only</x:v>
      </x:c>
      <x:c r="O1431" s="17" t="str">
        <x:v>Use the source_record_paths field to trace the underlying discovery inputs.</x:v>
      </x:c>
      <x:c r="P1431" s="18" t="e">
        <x:f>HYPERLINK("https://www.davenport.edu","Open source")</x:f>
        <x:v>HYPERLINK is not implemented. linkLocation=https://www.davenport.edu, friendlyName=Open source</x:v>
      </x:c>
    </x:row>
    <x:row r="1432" ht="46" customHeight="1">
      <x:c r="A1432" s="17" t="str">
        <x:v>stage3src:56af9d92b5fb5c7adf38</x:v>
      </x:c>
      <x:c r="B1432" s="17" t="str">
        <x:v>program</x:v>
      </x:c>
      <x:c r="C1432" s="17" t="str">
        <x:v>University of Detroit Mercy</x:v>
      </x:c>
      <x:c r="D1432" s="17" t="str">
        <x:v>us:ipeds:169716:program:unclear:ipeds-discovery-signal-computer-and-information-systems-security-auditing-information-assurance-cip-11-1003</x:v>
      </x:c>
      <x:c r="E1432" s="17" t="str"/>
      <x:c r="F1432" s="17" t="str">
        <x:v>discovery</x:v>
      </x:c>
      <x:c r="G1432" s="17" t="str">
        <x:v>Stage 2 recorded this row as a discovery candidate; it does not independently verify an exact current research program, eligibility, or funding.</x:v>
      </x:c>
      <x:c r="H1432" s="17" t="str">
        <x:v>Pass 2 Stage 2 candidate funnel</x:v>
      </x:c>
      <x:c r="I1432" s="17" t="str">
        <x:v>Graduate audit pipeline</x:v>
      </x:c>
      <x:c r="J1432" s="17" t="str">
        <x:v>derived</x:v>
      </x:c>
      <x:c r="K1432" s="17" t="str">
        <x:v>2026-09-11</x:v>
      </x:c>
      <x:c r="L1432" s="17" t="str">
        <x:v>Not cycle-specific</x:v>
      </x:c>
      <x:c r="M1432" s="17" t="str">
        <x:v>low</x:v>
      </x:c>
      <x:c r="N1432" s="17" t="str">
        <x:v>Discovery evidence only</x:v>
      </x:c>
      <x:c r="O1432" s="17" t="str">
        <x:v>Use the source_record_paths field to trace the underlying discovery inputs.</x:v>
      </x:c>
      <x:c r="P1432" s="18" t="e">
        <x:f>HYPERLINK("https://www.udmercy.edu","Open source")</x:f>
        <x:v>HYPERLINK is not implemented. linkLocation=https://www.udmercy.edu, friendlyName=Open source</x:v>
      </x:c>
    </x:row>
    <x:row r="1433" ht="46" customHeight="1">
      <x:c r="A1433" s="17" t="str">
        <x:v>stage3src:c77acc6720db5c7a9fb4</x:v>
      </x:c>
      <x:c r="B1433" s="17" t="str">
        <x:v>program</x:v>
      </x:c>
      <x:c r="C1433" s="17" t="str">
        <x:v>University of Detroit Mercy</x:v>
      </x:c>
      <x:c r="D1433" s="17" t="str">
        <x:v>us:ipeds:169716:program:unclear:ipeds-discovery-signal-computer-software-engineering-cip-14-0903</x:v>
      </x:c>
      <x:c r="E1433" s="17" t="str"/>
      <x:c r="F1433" s="17" t="str">
        <x:v>discovery</x:v>
      </x:c>
      <x:c r="G1433" s="17" t="str">
        <x:v>Stage 2 recorded this row as a discovery candidate; it does not independently verify an exact current research program, eligibility, or funding.</x:v>
      </x:c>
      <x:c r="H1433" s="17" t="str">
        <x:v>Pass 2 Stage 2 candidate funnel</x:v>
      </x:c>
      <x:c r="I1433" s="17" t="str">
        <x:v>Graduate audit pipeline</x:v>
      </x:c>
      <x:c r="J1433" s="17" t="str">
        <x:v>derived</x:v>
      </x:c>
      <x:c r="K1433" s="17" t="str">
        <x:v>2026-09-11</x:v>
      </x:c>
      <x:c r="L1433" s="17" t="str">
        <x:v>Not cycle-specific</x:v>
      </x:c>
      <x:c r="M1433" s="17" t="str">
        <x:v>low</x:v>
      </x:c>
      <x:c r="N1433" s="17" t="str">
        <x:v>Discovery evidence only</x:v>
      </x:c>
      <x:c r="O1433" s="17" t="str">
        <x:v>Use the source_record_paths field to trace the underlying discovery inputs.</x:v>
      </x:c>
      <x:c r="P1433" s="18" t="e">
        <x:f>HYPERLINK("https://www.udmercy.edu","Open source")</x:f>
        <x:v>HYPERLINK is not implemented. linkLocation=https://www.udmercy.edu, friendlyName=Open source</x:v>
      </x:c>
    </x:row>
    <x:row r="1434" ht="46" customHeight="1">
      <x:c r="A1434" s="17" t="str">
        <x:v>stage3src:dbeffeed9d53b9749f1b</x:v>
      </x:c>
      <x:c r="B1434" s="17" t="str">
        <x:v>program</x:v>
      </x:c>
      <x:c r="C1434" s="17" t="str">
        <x:v>Eastern Michigan University</x:v>
      </x:c>
      <x:c r="D1434" s="17" t="str">
        <x:v>us:ipeds:169798:program:unclear:ipeds-discovery-signal-computer-and-information-systems-security-auditing-information-assurance-cip-11-1003</x:v>
      </x:c>
      <x:c r="E1434" s="17" t="str"/>
      <x:c r="F1434" s="17" t="str">
        <x:v>discovery</x:v>
      </x:c>
      <x:c r="G1434" s="17" t="str">
        <x:v>Stage 2 recorded this row as a discovery candidate; it does not independently verify an exact current research program, eligibility, or funding.</x:v>
      </x:c>
      <x:c r="H1434" s="17" t="str">
        <x:v>Pass 2 Stage 2 candidate funnel</x:v>
      </x:c>
      <x:c r="I1434" s="17" t="str">
        <x:v>Graduate audit pipeline</x:v>
      </x:c>
      <x:c r="J1434" s="17" t="str">
        <x:v>derived</x:v>
      </x:c>
      <x:c r="K1434" s="17" t="str">
        <x:v>2026-09-11</x:v>
      </x:c>
      <x:c r="L1434" s="17" t="str">
        <x:v>Not cycle-specific</x:v>
      </x:c>
      <x:c r="M1434" s="17" t="str">
        <x:v>low</x:v>
      </x:c>
      <x:c r="N1434" s="17" t="str">
        <x:v>Discovery evidence only</x:v>
      </x:c>
      <x:c r="O1434" s="17" t="str">
        <x:v>Use the source_record_paths field to trace the underlying discovery inputs.</x:v>
      </x:c>
      <x:c r="P1434" s="18" t="e">
        <x:f>HYPERLINK("https://www.emich.edu","Open source")</x:f>
        <x:v>HYPERLINK is not implemented. linkLocation=https://www.emich.edu, friendlyName=Open source</x:v>
      </x:c>
    </x:row>
    <x:row r="1435" ht="46" customHeight="1">
      <x:c r="A1435" s="17" t="str">
        <x:v>stage3src:7146e2b5c061dc953bfb</x:v>
      </x:c>
      <x:c r="B1435" s="17" t="str">
        <x:v>program</x:v>
      </x:c>
      <x:c r="C1435" s="17" t="str">
        <x:v>Eastern Michigan University</x:v>
      </x:c>
      <x:c r="D1435" s="17" t="str">
        <x:v>us:ipeds:169798:program:unclear:ipeds-discovery-signal-computer-science-cip-11-0701</x:v>
      </x:c>
      <x:c r="E1435" s="17" t="str"/>
      <x:c r="F1435" s="17" t="str">
        <x:v>discovery</x:v>
      </x:c>
      <x:c r="G1435" s="17" t="str">
        <x:v>Stage 2 recorded this row as a discovery candidate; it does not independently verify an exact current research program, eligibility, or funding.</x:v>
      </x:c>
      <x:c r="H1435" s="17" t="str">
        <x:v>Pass 2 Stage 2 candidate funnel</x:v>
      </x:c>
      <x:c r="I1435" s="17" t="str">
        <x:v>Graduate audit pipeline</x:v>
      </x:c>
      <x:c r="J1435" s="17" t="str">
        <x:v>derived</x:v>
      </x:c>
      <x:c r="K1435" s="17" t="str">
        <x:v>2026-09-11</x:v>
      </x:c>
      <x:c r="L1435" s="17" t="str">
        <x:v>Not cycle-specific</x:v>
      </x:c>
      <x:c r="M1435" s="17" t="str">
        <x:v>low</x:v>
      </x:c>
      <x:c r="N1435" s="17" t="str">
        <x:v>Discovery evidence only</x:v>
      </x:c>
      <x:c r="O1435" s="17" t="str">
        <x:v>Use the source_record_paths field to trace the underlying discovery inputs.</x:v>
      </x:c>
      <x:c r="P1435" s="18" t="e">
        <x:f>HYPERLINK("https://www.emich.edu","Open source")</x:f>
        <x:v>HYPERLINK is not implemented. linkLocation=https://www.emich.edu, friendlyName=Open source</x:v>
      </x:c>
    </x:row>
    <x:row r="1436" ht="46" customHeight="1">
      <x:c r="A1436" s="17" t="str">
        <x:v>stage3src:1295183c341e710f1a09</x:v>
      </x:c>
      <x:c r="B1436" s="17" t="str">
        <x:v>program</x:v>
      </x:c>
      <x:c r="C1436" s="17" t="str">
        <x:v>Eastern Michigan University</x:v>
      </x:c>
      <x:c r="D1436" s="17" t="str">
        <x:v>us:ipeds:169798:program:unclear:ipeds-discovery-signal-information-science-studies-cip-11-0401</x:v>
      </x:c>
      <x:c r="E1436" s="17" t="str"/>
      <x:c r="F1436" s="17" t="str">
        <x:v>discovery</x:v>
      </x:c>
      <x:c r="G1436" s="17" t="str">
        <x:v>Stage 2 recorded this row as a discovery candidate; it does not independently verify an exact current research program, eligibility, or funding.</x:v>
      </x:c>
      <x:c r="H1436" s="17" t="str">
        <x:v>Pass 2 Stage 2 candidate funnel</x:v>
      </x:c>
      <x:c r="I1436" s="17" t="str">
        <x:v>Graduate audit pipeline</x:v>
      </x:c>
      <x:c r="J1436" s="17" t="str">
        <x:v>derived</x:v>
      </x:c>
      <x:c r="K1436" s="17" t="str">
        <x:v>2026-09-11</x:v>
      </x:c>
      <x:c r="L1436" s="17" t="str">
        <x:v>Not cycle-specific</x:v>
      </x:c>
      <x:c r="M1436" s="17" t="str">
        <x:v>low</x:v>
      </x:c>
      <x:c r="N1436" s="17" t="str">
        <x:v>Discovery evidence only</x:v>
      </x:c>
      <x:c r="O1436" s="17" t="str">
        <x:v>Use the source_record_paths field to trace the underlying discovery inputs.</x:v>
      </x:c>
      <x:c r="P1436" s="18" t="e">
        <x:f>HYPERLINK("https://www.emich.edu","Open source")</x:f>
        <x:v>HYPERLINK is not implemented. linkLocation=https://www.emich.edu, friendlyName=Open source</x:v>
      </x:c>
    </x:row>
    <x:row r="1437" ht="46" customHeight="1">
      <x:c r="A1437" s="17" t="str">
        <x:v>stage3src:523b5f2c16ebda58d79c</x:v>
      </x:c>
      <x:c r="B1437" s="17" t="str">
        <x:v>program</x:v>
      </x:c>
      <x:c r="C1437" s="17" t="str">
        <x:v>Ferris State University</x:v>
      </x:c>
      <x:c r="D1437" s="17" t="str">
        <x:v>us:ipeds:169910:program:unclear:ipeds-discovery-signal-computer-and-information-systems-security-auditing-information-assurance-cip-11-1003</x:v>
      </x:c>
      <x:c r="E1437" s="17" t="str"/>
      <x:c r="F1437" s="17" t="str">
        <x:v>discovery</x:v>
      </x:c>
      <x:c r="G1437" s="17" t="str">
        <x:v>Stage 2 recorded this row as a discovery candidate; it does not independently verify an exact current research program, eligibility, or funding.</x:v>
      </x:c>
      <x:c r="H1437" s="17" t="str">
        <x:v>Pass 2 Stage 2 candidate funnel</x:v>
      </x:c>
      <x:c r="I1437" s="17" t="str">
        <x:v>Graduate audit pipeline</x:v>
      </x:c>
      <x:c r="J1437" s="17" t="str">
        <x:v>derived</x:v>
      </x:c>
      <x:c r="K1437" s="17" t="str">
        <x:v>2026-09-11</x:v>
      </x:c>
      <x:c r="L1437" s="17" t="str">
        <x:v>Not cycle-specific</x:v>
      </x:c>
      <x:c r="M1437" s="17" t="str">
        <x:v>low</x:v>
      </x:c>
      <x:c r="N1437" s="17" t="str">
        <x:v>Discovery evidence only</x:v>
      </x:c>
      <x:c r="O1437" s="17" t="str">
        <x:v>Use the source_record_paths field to trace the underlying discovery inputs.</x:v>
      </x:c>
      <x:c r="P1437" s="18" t="e">
        <x:f>HYPERLINK("https://www.ferris.edu","Open source")</x:f>
        <x:v>HYPERLINK is not implemented. linkLocation=https://www.ferris.edu, friendlyName=Open source</x:v>
      </x:c>
    </x:row>
    <x:row r="1438" ht="46" customHeight="1">
      <x:c r="A1438" s="17" t="str">
        <x:v>stage3src:a712e500a6f980a70a63</x:v>
      </x:c>
      <x:c r="B1438" s="17" t="str">
        <x:v>program</x:v>
      </x:c>
      <x:c r="C1438" s="17" t="str">
        <x:v>Ferris State University</x:v>
      </x:c>
      <x:c r="D1438" s="17" t="str">
        <x:v>us:ipeds:169910:program:unclear:ipeds-discovery-signal-data-analytics-general-cip-30-7101</x:v>
      </x:c>
      <x:c r="E1438" s="17" t="str"/>
      <x:c r="F1438" s="17" t="str">
        <x:v>discovery</x:v>
      </x:c>
      <x:c r="G1438" s="17" t="str">
        <x:v>Stage 2 recorded this row as a discovery candidate; it does not independently verify an exact current research program, eligibility, or funding.</x:v>
      </x:c>
      <x:c r="H1438" s="17" t="str">
        <x:v>Pass 2 Stage 2 candidate funnel</x:v>
      </x:c>
      <x:c r="I1438" s="17" t="str">
        <x:v>Graduate audit pipeline</x:v>
      </x:c>
      <x:c r="J1438" s="17" t="str">
        <x:v>derived</x:v>
      </x:c>
      <x:c r="K1438" s="17" t="str">
        <x:v>2026-09-11</x:v>
      </x:c>
      <x:c r="L1438" s="17" t="str">
        <x:v>Not cycle-specific</x:v>
      </x:c>
      <x:c r="M1438" s="17" t="str">
        <x:v>low</x:v>
      </x:c>
      <x:c r="N1438" s="17" t="str">
        <x:v>Discovery evidence only</x:v>
      </x:c>
      <x:c r="O1438" s="17" t="str">
        <x:v>Use the source_record_paths field to trace the underlying discovery inputs.</x:v>
      </x:c>
      <x:c r="P1438" s="18" t="e">
        <x:f>HYPERLINK("https://www.ferris.edu","Open source")</x:f>
        <x:v>HYPERLINK is not implemented. linkLocation=https://www.ferris.edu, friendlyName=Open source</x:v>
      </x:c>
    </x:row>
    <x:row r="1439" ht="46" customHeight="1">
      <x:c r="A1439" s="17" t="str">
        <x:v>stage3src:8bba09e0f7b167306014</x:v>
      </x:c>
      <x:c r="B1439" s="17" t="str">
        <x:v>program</x:v>
      </x:c>
      <x:c r="C1439" s="17" t="str">
        <x:v>Kettering University</x:v>
      </x:c>
      <x:c r="D1439" s="17" t="str">
        <x:v>us:ipeds:169983:program:unclear:ipeds-discovery-signal-computer-science-cip-11-0701</x:v>
      </x:c>
      <x:c r="E1439" s="17" t="str"/>
      <x:c r="F1439" s="17" t="str">
        <x:v>discovery</x:v>
      </x:c>
      <x:c r="G1439" s="17" t="str">
        <x:v>Stage 2 recorded this row as a discovery candidate; it does not independently verify an exact current research program, eligibility, or funding.</x:v>
      </x:c>
      <x:c r="H1439" s="17" t="str">
        <x:v>Pass 2 Stage 2 candidate funnel</x:v>
      </x:c>
      <x:c r="I1439" s="17" t="str">
        <x:v>Graduate audit pipeline</x:v>
      </x:c>
      <x:c r="J1439" s="17" t="str">
        <x:v>derived</x:v>
      </x:c>
      <x:c r="K1439" s="17" t="str">
        <x:v>2026-09-11</x:v>
      </x:c>
      <x:c r="L1439" s="17" t="str">
        <x:v>Not cycle-specific</x:v>
      </x:c>
      <x:c r="M1439" s="17" t="str">
        <x:v>low</x:v>
      </x:c>
      <x:c r="N1439" s="17" t="str">
        <x:v>Discovery evidence only</x:v>
      </x:c>
      <x:c r="O1439" s="17" t="str">
        <x:v>Use the source_record_paths field to trace the underlying discovery inputs.</x:v>
      </x:c>
      <x:c r="P1439" s="18" t="e">
        <x:f>HYPERLINK("https://www.kettering.edu","Open source")</x:f>
        <x:v>HYPERLINK is not implemented. linkLocation=https://www.kettering.edu, friendlyName=Open source</x:v>
      </x:c>
    </x:row>
    <x:row r="1440" ht="46" customHeight="1">
      <x:c r="A1440" s="17" t="str">
        <x:v>stage3src:1adb3b90b2f8a06ca6f6</x:v>
      </x:c>
      <x:c r="B1440" s="17" t="str">
        <x:v>program</x:v>
      </x:c>
      <x:c r="C1440" s="17" t="str">
        <x:v>Grand Valley State University</x:v>
      </x:c>
      <x:c r="D1440" s="17" t="str">
        <x:v>us:ipeds:170082:program:unclear:ipeds-discovery-signal-computer-and-information-sciences-general-cip-11-0101</x:v>
      </x:c>
      <x:c r="E1440" s="17" t="str"/>
      <x:c r="F1440" s="17" t="str">
        <x:v>discovery</x:v>
      </x:c>
      <x:c r="G1440" s="17" t="str">
        <x:v>Stage 2 recorded this row as a discovery candidate; it does not independently verify an exact current research program, eligibility, or funding.</x:v>
      </x:c>
      <x:c r="H1440" s="17" t="str">
        <x:v>Pass 2 Stage 2 candidate funnel</x:v>
      </x:c>
      <x:c r="I1440" s="17" t="str">
        <x:v>Graduate audit pipeline</x:v>
      </x:c>
      <x:c r="J1440" s="17" t="str">
        <x:v>derived</x:v>
      </x:c>
      <x:c r="K1440" s="17" t="str">
        <x:v>2026-09-11</x:v>
      </x:c>
      <x:c r="L1440" s="17" t="str">
        <x:v>Not cycle-specific</x:v>
      </x:c>
      <x:c r="M1440" s="17" t="str">
        <x:v>low</x:v>
      </x:c>
      <x:c r="N1440" s="17" t="str">
        <x:v>Discovery evidence only</x:v>
      </x:c>
      <x:c r="O1440" s="17" t="str">
        <x:v>Use the source_record_paths field to trace the underlying discovery inputs.</x:v>
      </x:c>
      <x:c r="P1440" s="18" t="e">
        <x:f>HYPERLINK("https://www.gvsu.edu","Open source")</x:f>
        <x:v>HYPERLINK is not implemented. linkLocation=https://www.gvsu.edu, friendlyName=Open source</x:v>
      </x:c>
    </x:row>
    <x:row r="1441" ht="46" customHeight="1">
      <x:c r="A1441" s="17" t="str">
        <x:v>stage3src:e517d8dc5b8798e84c4b</x:v>
      </x:c>
      <x:c r="B1441" s="17" t="str">
        <x:v>program</x:v>
      </x:c>
      <x:c r="C1441" s="17" t="str">
        <x:v>Grand Valley State University</x:v>
      </x:c>
      <x:c r="D1441" s="17" t="str">
        <x:v>us:ipeds:170082:program:unclear:ipeds-discovery-signal-computer-and-information-systems-security-auditing-information-assurance-cip-11-1003</x:v>
      </x:c>
      <x:c r="E1441" s="17" t="str"/>
      <x:c r="F1441" s="17" t="str">
        <x:v>discovery</x:v>
      </x:c>
      <x:c r="G1441" s="17" t="str">
        <x:v>Stage 2 recorded this row as a discovery candidate; it does not independently verify an exact current research program, eligibility, or funding.</x:v>
      </x:c>
      <x:c r="H1441" s="17" t="str">
        <x:v>Pass 2 Stage 2 candidate funnel</x:v>
      </x:c>
      <x:c r="I1441" s="17" t="str">
        <x:v>Graduate audit pipeline</x:v>
      </x:c>
      <x:c r="J1441" s="17" t="str">
        <x:v>derived</x:v>
      </x:c>
      <x:c r="K1441" s="17" t="str">
        <x:v>2026-09-11</x:v>
      </x:c>
      <x:c r="L1441" s="17" t="str">
        <x:v>Not cycle-specific</x:v>
      </x:c>
      <x:c r="M1441" s="17" t="str">
        <x:v>low</x:v>
      </x:c>
      <x:c r="N1441" s="17" t="str">
        <x:v>Discovery evidence only</x:v>
      </x:c>
      <x:c r="O1441" s="17" t="str">
        <x:v>Use the source_record_paths field to trace the underlying discovery inputs.</x:v>
      </x:c>
      <x:c r="P1441" s="18" t="e">
        <x:f>HYPERLINK("https://www.gvsu.edu","Open source")</x:f>
        <x:v>HYPERLINK is not implemented. linkLocation=https://www.gvsu.edu, friendlyName=Open source</x:v>
      </x:c>
    </x:row>
    <x:row r="1442" ht="46" customHeight="1">
      <x:c r="A1442" s="17" t="str">
        <x:v>stage3src:a56eb3d8baad614188a4</x:v>
      </x:c>
      <x:c r="B1442" s="17" t="str">
        <x:v>program</x:v>
      </x:c>
      <x:c r="C1442" s="17" t="str">
        <x:v>Grand Valley State University</x:v>
      </x:c>
      <x:c r="D1442" s="17" t="str">
        <x:v>us:ipeds:170082:program:unclear:ipeds-discovery-signal-data-science-general-cip-30-7001</x:v>
      </x:c>
      <x:c r="E1442" s="17" t="str"/>
      <x:c r="F1442" s="17" t="str">
        <x:v>discovery</x:v>
      </x:c>
      <x:c r="G1442" s="17" t="str">
        <x:v>Stage 2 recorded this row as a discovery candidate; it does not independently verify an exact current research program, eligibility, or funding.</x:v>
      </x:c>
      <x:c r="H1442" s="17" t="str">
        <x:v>Pass 2 Stage 2 candidate funnel</x:v>
      </x:c>
      <x:c r="I1442" s="17" t="str">
        <x:v>Graduate audit pipeline</x:v>
      </x:c>
      <x:c r="J1442" s="17" t="str">
        <x:v>derived</x:v>
      </x:c>
      <x:c r="K1442" s="17" t="str">
        <x:v>2026-09-11</x:v>
      </x:c>
      <x:c r="L1442" s="17" t="str">
        <x:v>Not cycle-specific</x:v>
      </x:c>
      <x:c r="M1442" s="17" t="str">
        <x:v>low</x:v>
      </x:c>
      <x:c r="N1442" s="17" t="str">
        <x:v>Discovery evidence only</x:v>
      </x:c>
      <x:c r="O1442" s="17" t="str">
        <x:v>Use the source_record_paths field to trace the underlying discovery inputs.</x:v>
      </x:c>
      <x:c r="P1442" s="18" t="e">
        <x:f>HYPERLINK("https://www.gvsu.edu","Open source")</x:f>
        <x:v>HYPERLINK is not implemented. linkLocation=https://www.gvsu.edu, friendlyName=Open source</x:v>
      </x:c>
    </x:row>
    <x:row r="1443" ht="46" customHeight="1">
      <x:c r="A1443" s="17" t="str">
        <x:v>stage3src:f8d955a18b63e4300065</x:v>
      </x:c>
      <x:c r="B1443" s="17" t="str">
        <x:v>program</x:v>
      </x:c>
      <x:c r="C1443" s="17" t="str">
        <x:v>Lawrence Technological University</x:v>
      </x:c>
      <x:c r="D1443" s="17" t="str">
        <x:v>us:ipeds:170675:program:unclear:ipeds-discovery-signal-artificial-intelligence-cip-11-0102</x:v>
      </x:c>
      <x:c r="E1443" s="17" t="str"/>
      <x:c r="F1443" s="17" t="str">
        <x:v>discovery</x:v>
      </x:c>
      <x:c r="G1443" s="17" t="str">
        <x:v>Stage 2 recorded this row as a discovery candidate; it does not independently verify an exact current research program, eligibility, or funding.</x:v>
      </x:c>
      <x:c r="H1443" s="17" t="str">
        <x:v>Pass 2 Stage 2 candidate funnel</x:v>
      </x:c>
      <x:c r="I1443" s="17" t="str">
        <x:v>Graduate audit pipeline</x:v>
      </x:c>
      <x:c r="J1443" s="17" t="str">
        <x:v>derived</x:v>
      </x:c>
      <x:c r="K1443" s="17" t="str">
        <x:v>2026-09-11</x:v>
      </x:c>
      <x:c r="L1443" s="17" t="str">
        <x:v>Not cycle-specific</x:v>
      </x:c>
      <x:c r="M1443" s="17" t="str">
        <x:v>low</x:v>
      </x:c>
      <x:c r="N1443" s="17" t="str">
        <x:v>Discovery evidence only</x:v>
      </x:c>
      <x:c r="O1443" s="17" t="str">
        <x:v>Use the source_record_paths field to trace the underlying discovery inputs.</x:v>
      </x:c>
      <x:c r="P1443" s="18" t="e">
        <x:f>HYPERLINK("https://www.ltu.edu","Open source")</x:f>
        <x:v>HYPERLINK is not implemented. linkLocation=https://www.ltu.edu, friendlyName=Open source</x:v>
      </x:c>
    </x:row>
    <x:row r="1444" ht="46" customHeight="1">
      <x:c r="A1444" s="17" t="str">
        <x:v>stage3src:828ff119c82be5930b5b</x:v>
      </x:c>
      <x:c r="B1444" s="17" t="str">
        <x:v>program</x:v>
      </x:c>
      <x:c r="C1444" s="17" t="str">
        <x:v>Lawrence Technological University</x:v>
      </x:c>
      <x:c r="D1444" s="17" t="str">
        <x:v>us:ipeds:170675:program:unclear:ipeds-discovery-signal-computer-engineering-other-cip-14-0999</x:v>
      </x:c>
      <x:c r="E1444" s="17" t="str"/>
      <x:c r="F1444" s="17" t="str">
        <x:v>discovery</x:v>
      </x:c>
      <x:c r="G1444" s="17" t="str">
        <x:v>Stage 2 recorded this row as a discovery candidate; it does not independently verify an exact current research program, eligibility, or funding.</x:v>
      </x:c>
      <x:c r="H1444" s="17" t="str">
        <x:v>Pass 2 Stage 2 candidate funnel</x:v>
      </x:c>
      <x:c r="I1444" s="17" t="str">
        <x:v>Graduate audit pipeline</x:v>
      </x:c>
      <x:c r="J1444" s="17" t="str">
        <x:v>derived</x:v>
      </x:c>
      <x:c r="K1444" s="17" t="str">
        <x:v>2026-09-11</x:v>
      </x:c>
      <x:c r="L1444" s="17" t="str">
        <x:v>Not cycle-specific</x:v>
      </x:c>
      <x:c r="M1444" s="17" t="str">
        <x:v>low</x:v>
      </x:c>
      <x:c r="N1444" s="17" t="str">
        <x:v>Discovery evidence only</x:v>
      </x:c>
      <x:c r="O1444" s="17" t="str">
        <x:v>Use the source_record_paths field to trace the underlying discovery inputs.</x:v>
      </x:c>
      <x:c r="P1444" s="18" t="e">
        <x:f>HYPERLINK("https://www.ltu.edu","Open source")</x:f>
        <x:v>HYPERLINK is not implemented. linkLocation=https://www.ltu.edu, friendlyName=Open source</x:v>
      </x:c>
    </x:row>
    <x:row r="1445" ht="46" customHeight="1">
      <x:c r="A1445" s="17" t="str">
        <x:v>stage3src:2d136070dfcca83e061c</x:v>
      </x:c>
      <x:c r="B1445" s="17" t="str">
        <x:v>program</x:v>
      </x:c>
      <x:c r="C1445" s="17" t="str">
        <x:v>Lawrence Technological University</x:v>
      </x:c>
      <x:c r="D1445" s="17" t="str">
        <x:v>us:ipeds:170675:program:unclear:ipeds-discovery-signal-computer-science-cip-11-0701</x:v>
      </x:c>
      <x:c r="E1445" s="17" t="str"/>
      <x:c r="F1445" s="17" t="str">
        <x:v>discovery</x:v>
      </x:c>
      <x:c r="G1445" s="17" t="str">
        <x:v>Stage 2 recorded this row as a discovery candidate; it does not independently verify an exact current research program, eligibility, or funding.</x:v>
      </x:c>
      <x:c r="H1445" s="17" t="str">
        <x:v>Pass 2 Stage 2 candidate funnel</x:v>
      </x:c>
      <x:c r="I1445" s="17" t="str">
        <x:v>Graduate audit pipeline</x:v>
      </x:c>
      <x:c r="J1445" s="17" t="str">
        <x:v>derived</x:v>
      </x:c>
      <x:c r="K1445" s="17" t="str">
        <x:v>2026-09-11</x:v>
      </x:c>
      <x:c r="L1445" s="17" t="str">
        <x:v>Not cycle-specific</x:v>
      </x:c>
      <x:c r="M1445" s="17" t="str">
        <x:v>low</x:v>
      </x:c>
      <x:c r="N1445" s="17" t="str">
        <x:v>Discovery evidence only</x:v>
      </x:c>
      <x:c r="O1445" s="17" t="str">
        <x:v>Use the source_record_paths field to trace the underlying discovery inputs.</x:v>
      </x:c>
      <x:c r="P1445" s="18" t="e">
        <x:f>HYPERLINK("https://www.ltu.edu","Open source")</x:f>
        <x:v>HYPERLINK is not implemented. linkLocation=https://www.ltu.edu, friendlyName=Open source</x:v>
      </x:c>
    </x:row>
    <x:row r="1446" ht="46" customHeight="1">
      <x:c r="A1446" s="17" t="str">
        <x:v>stage3src:89602229b467abe6da81</x:v>
      </x:c>
      <x:c r="B1446" s="17" t="str">
        <x:v>program</x:v>
      </x:c>
      <x:c r="C1446" s="17" t="str">
        <x:v>Lawrence Technological University</x:v>
      </x:c>
      <x:c r="D1446" s="17" t="str">
        <x:v>us:ipeds:170675:program:unclear:ipeds-discovery-signal-information-technology-cip-11-0103</x:v>
      </x:c>
      <x:c r="E1446" s="17" t="str"/>
      <x:c r="F1446" s="17" t="str">
        <x:v>discovery</x:v>
      </x:c>
      <x:c r="G1446" s="17" t="str">
        <x:v>Stage 2 recorded this row as a discovery candidate; it does not independently verify an exact current research program, eligibility, or funding.</x:v>
      </x:c>
      <x:c r="H1446" s="17" t="str">
        <x:v>Pass 2 Stage 2 candidate funnel</x:v>
      </x:c>
      <x:c r="I1446" s="17" t="str">
        <x:v>Graduate audit pipeline</x:v>
      </x:c>
      <x:c r="J1446" s="17" t="str">
        <x:v>derived</x:v>
      </x:c>
      <x:c r="K1446" s="17" t="str">
        <x:v>2026-09-11</x:v>
      </x:c>
      <x:c r="L1446" s="17" t="str">
        <x:v>Not cycle-specific</x:v>
      </x:c>
      <x:c r="M1446" s="17" t="str">
        <x:v>low</x:v>
      </x:c>
      <x:c r="N1446" s="17" t="str">
        <x:v>Discovery evidence only</x:v>
      </x:c>
      <x:c r="O1446" s="17" t="str">
        <x:v>Use the source_record_paths field to trace the underlying discovery inputs.</x:v>
      </x:c>
      <x:c r="P1446" s="18" t="e">
        <x:f>HYPERLINK("https://www.ltu.edu","Open source")</x:f>
        <x:v>HYPERLINK is not implemented. linkLocation=https://www.ltu.edu, friendlyName=Open source</x:v>
      </x:c>
    </x:row>
    <x:row r="1447" ht="46" customHeight="1">
      <x:c r="A1447" s="17" t="str">
        <x:v>stage3src:46e3325359b8a337a329</x:v>
      </x:c>
      <x:c r="B1447" s="17" t="str">
        <x:v>program</x:v>
      </x:c>
      <x:c r="C1447" s="17" t="str">
        <x:v>Lawrence Technological University</x:v>
      </x:c>
      <x:c r="D1447" s="17" t="str">
        <x:v>us:ipeds:170675:program:unclear:ipeds-discovery-signal-mechatronics-robotics-and-automation-engineering-cip-14-4201</x:v>
      </x:c>
      <x:c r="E1447" s="17" t="str"/>
      <x:c r="F1447" s="17" t="str">
        <x:v>discovery</x:v>
      </x:c>
      <x:c r="G1447" s="17" t="str">
        <x:v>Stage 2 recorded this row as a discovery candidate; it does not independently verify an exact current research program, eligibility, or funding.</x:v>
      </x:c>
      <x:c r="H1447" s="17" t="str">
        <x:v>Pass 2 Stage 2 candidate funnel</x:v>
      </x:c>
      <x:c r="I1447" s="17" t="str">
        <x:v>Graduate audit pipeline</x:v>
      </x:c>
      <x:c r="J1447" s="17" t="str">
        <x:v>derived</x:v>
      </x:c>
      <x:c r="K1447" s="17" t="str">
        <x:v>2026-09-11</x:v>
      </x:c>
      <x:c r="L1447" s="17" t="str">
        <x:v>Not cycle-specific</x:v>
      </x:c>
      <x:c r="M1447" s="17" t="str">
        <x:v>low</x:v>
      </x:c>
      <x:c r="N1447" s="17" t="str">
        <x:v>Discovery evidence only</x:v>
      </x:c>
      <x:c r="O1447" s="17" t="str">
        <x:v>Use the source_record_paths field to trace the underlying discovery inputs.</x:v>
      </x:c>
      <x:c r="P1447" s="18" t="e">
        <x:f>HYPERLINK("https://www.ltu.edu","Open source")</x:f>
        <x:v>HYPERLINK is not implemented. linkLocation=https://www.ltu.edu, friendlyName=Open source</x:v>
      </x:c>
    </x:row>
    <x:row r="1448" ht="46" customHeight="1">
      <x:c r="A1448" s="17" t="str">
        <x:v>stage3src:233184b81880ee9cb929</x:v>
      </x:c>
      <x:c r="B1448" s="17" t="str">
        <x:v>program</x:v>
      </x:c>
      <x:c r="C1448" s="17" t="str">
        <x:v>University of Michigan-Ann Arbor</x:v>
      </x:c>
      <x:c r="D1448" s="17" t="str">
        <x:v>us:ipeds:170976:program:phd:computer-science-and-engineering-phd</x:v>
      </x:c>
      <x:c r="E1448" s="17" t="str"/>
      <x:c r="F1448" s="17" t="str">
        <x:v>funding</x:v>
      </x:c>
      <x:c r="G1448" s="17" t="str">
        <x:v>Full tuition, stipend, health, and duration</x:v>
      </x:c>
      <x:c r="H1448" s="17" t="str">
        <x:v>PhD Funding</x:v>
      </x:c>
      <x:c r="I1448" s="17" t="str">
        <x:v>University of Michigan-Ann Arbor</x:v>
      </x:c>
      <x:c r="J1448" s="17" t="str">
        <x:v>Official</x:v>
      </x:c>
      <x:c r="K1448" s="17" t="str">
        <x:v>2026-09-09</x:v>
      </x:c>
      <x:c r="L1448" s="17" t="str">
        <x:v>Current</x:v>
      </x:c>
      <x:c r="M1448" s="17" t="str">
        <x:v>High</x:v>
      </x:c>
      <x:c r="N1448" s="17" t="str">
        <x:v>Verified</x:v>
      </x:c>
      <x:c r="O1448" s="17" t="str"/>
      <x:c r="P1448" s="18" t="e">
        <x:f>HYPERLINK("https://cse.engin.umich.edu/academics/graduate/admissions/funding/","Open source")</x:f>
        <x:v>HYPERLINK is not implemented. linkLocation=https://cse.engin.umich.edu/academics/graduate/admissions/funding/, friendlyName=Open source</x:v>
      </x:c>
    </x:row>
    <x:row r="1449" ht="46" customHeight="1">
      <x:c r="A1449" s="17" t="str">
        <x:v>stage3src:af0aa2d0c49725b3bb4e</x:v>
      </x:c>
      <x:c r="B1449" s="17" t="str">
        <x:v>program</x:v>
      </x:c>
      <x:c r="C1449" s="17" t="str">
        <x:v>University of Michigan-Ann Arbor</x:v>
      </x:c>
      <x:c r="D1449" s="17" t="str">
        <x:v>us:ipeds:170976:program:phd:computer-science-and-engineering-phd</x:v>
      </x:c>
      <x:c r="E1449" s="17" t="str"/>
      <x:c r="F1449" s="17" t="str">
        <x:v>funding|deadline|eligibility</x:v>
      </x:c>
      <x:c r="G1449" s="17" t="str">
        <x:v>Fall 2027 deadline, direct bachelor's eligibility, international rules, typical GPA, and funding guarantee</x:v>
      </x:c>
      <x:c r="H1449" s="17" t="str">
        <x:v>Graduate Admissions</x:v>
      </x:c>
      <x:c r="I1449" s="17" t="str">
        <x:v>University of Michigan-Ann Arbor</x:v>
      </x:c>
      <x:c r="J1449" s="17" t="str">
        <x:v>Official</x:v>
      </x:c>
      <x:c r="K1449" s="17" t="str">
        <x:v>2026-09-09</x:v>
      </x:c>
      <x:c r="L1449" s="17" t="str">
        <x:v>Fall 2027</x:v>
      </x:c>
      <x:c r="M1449" s="17" t="str">
        <x:v>High</x:v>
      </x:c>
      <x:c r="N1449" s="17" t="str">
        <x:v>Verified</x:v>
      </x:c>
      <x:c r="O1449" s="17" t="str"/>
      <x:c r="P1449" s="18" t="e">
        <x:f>HYPERLINK("https://cse.engin.umich.edu/academics/graduate/admissions/","Open source")</x:f>
        <x:v>HYPERLINK is not implemented. linkLocation=https://cse.engin.umich.edu/academics/graduate/admissions/, friendlyName=Open source</x:v>
      </x:c>
    </x:row>
    <x:row r="1450" ht="46" customHeight="1">
      <x:c r="A1450" s="17" t="str">
        <x:v>stage3src:be10a376b4cb2951dc0c</x:v>
      </x:c>
      <x:c r="B1450" s="17" t="str">
        <x:v>program</x:v>
      </x:c>
      <x:c r="C1450" s="17" t="str">
        <x:v>University of Michigan-Ann Arbor</x:v>
      </x:c>
      <x:c r="D1450" s="17" t="str">
        <x:v>us:ipeds:170976:program:phd:computer-science-and-engineering-phd</x:v>
      </x:c>
      <x:c r="E1450" s="17" t="str"/>
      <x:c r="F1450" s="17" t="str">
        <x:v>fees|eligibility</x:v>
      </x:c>
      <x:c r="G1450" s="17" t="str">
        <x:v>$75 domestic/$90 international fee and waiver rules</x:v>
      </x:c>
      <x:c r="H1450" s="17" t="str">
        <x:v>Application Fee and Payment</x:v>
      </x:c>
      <x:c r="I1450" s="17" t="str">
        <x:v>University of Michigan-Ann Arbor</x:v>
      </x:c>
      <x:c r="J1450" s="17" t="str">
        <x:v>Official</x:v>
      </x:c>
      <x:c r="K1450" s="17" t="str">
        <x:v>2026-09-09</x:v>
      </x:c>
      <x:c r="L1450" s="17" t="str">
        <x:v>Current</x:v>
      </x:c>
      <x:c r="M1450" s="17" t="str">
        <x:v>High</x:v>
      </x:c>
      <x:c r="N1450" s="17" t="str">
        <x:v>Verified</x:v>
      </x:c>
      <x:c r="O1450" s="17" t="str"/>
      <x:c r="P1450" s="18" t="e">
        <x:f>HYPERLINK("https://rackham.umich.edu/admissions/applying/application-fee-and-payment/","Open source")</x:f>
        <x:v>HYPERLINK is not implemented. linkLocation=https://rackham.umich.edu/admissions/applying/application-fee-and-payment/, friendlyName=Open source</x:v>
      </x:c>
    </x:row>
    <x:row r="1451" ht="46" customHeight="1">
      <x:c r="A1451" s="17" t="str">
        <x:v>stage3src:ff251cf4a25cb56495ac</x:v>
      </x:c>
      <x:c r="B1451" s="17" t="str">
        <x:v>program</x:v>
      </x:c>
      <x:c r="C1451" s="17" t="str">
        <x:v>University of Michigan-Ann Arbor</x:v>
      </x:c>
      <x:c r="D1451" s="17" t="str">
        <x:v>us:ipeds:170976:program:unclear:ipeds-discovery-signal-computer-and-information-sciences-general-cip-11-0101</x:v>
      </x:c>
      <x:c r="E1451" s="17" t="str"/>
      <x:c r="F1451" s="17" t="str">
        <x:v>discovery</x:v>
      </x:c>
      <x:c r="G1451" s="17" t="str">
        <x:v>Stage 2 recorded this row as a discovery candidate; it does not independently verify an exact current research program, eligibility, or funding.</x:v>
      </x:c>
      <x:c r="H1451" s="17" t="str">
        <x:v>Pass 2 Stage 2 candidate funnel</x:v>
      </x:c>
      <x:c r="I1451" s="17" t="str">
        <x:v>Graduate audit pipeline</x:v>
      </x:c>
      <x:c r="J1451" s="17" t="str">
        <x:v>derived</x:v>
      </x:c>
      <x:c r="K1451" s="17" t="str">
        <x:v>2026-09-11</x:v>
      </x:c>
      <x:c r="L1451" s="17" t="str">
        <x:v>Not cycle-specific</x:v>
      </x:c>
      <x:c r="M1451" s="17" t="str">
        <x:v>low</x:v>
      </x:c>
      <x:c r="N1451" s="17" t="str">
        <x:v>Discovery evidence only</x:v>
      </x:c>
      <x:c r="O1451" s="17" t="str">
        <x:v>Use the source_record_paths field to trace the underlying discovery inputs.</x:v>
      </x:c>
      <x:c r="P1451" s="18" t="e">
        <x:f>HYPERLINK("https://umich.edu","Open source")</x:f>
        <x:v>HYPERLINK is not implemented. linkLocation=https://umich.edu, friendlyName=Open source</x:v>
      </x:c>
    </x:row>
    <x:row r="1452" ht="46" customHeight="1">
      <x:c r="A1452" s="17" t="str">
        <x:v>stage3src:4fbad555a69cd40b2186</x:v>
      </x:c>
      <x:c r="B1452" s="17" t="str">
        <x:v>program</x:v>
      </x:c>
      <x:c r="C1452" s="17" t="str">
        <x:v>University of Michigan-Ann Arbor</x:v>
      </x:c>
      <x:c r="D1452" s="17" t="str">
        <x:v>us:ipeds:170976:program:unclear:ipeds-discovery-signal-computer-engineering-general-cip-14-0901</x:v>
      </x:c>
      <x:c r="E1452" s="17" t="str"/>
      <x:c r="F1452" s="17" t="str">
        <x:v>discovery</x:v>
      </x:c>
      <x:c r="G1452" s="17" t="str">
        <x:v>Stage 2 recorded this row as a discovery candidate; it does not independently verify an exact current research program, eligibility, or funding.</x:v>
      </x:c>
      <x:c r="H1452" s="17" t="str">
        <x:v>Pass 2 Stage 2 candidate funnel</x:v>
      </x:c>
      <x:c r="I1452" s="17" t="str">
        <x:v>Graduate audit pipeline</x:v>
      </x:c>
      <x:c r="J1452" s="17" t="str">
        <x:v>derived</x:v>
      </x:c>
      <x:c r="K1452" s="17" t="str">
        <x:v>2026-09-11</x:v>
      </x:c>
      <x:c r="L1452" s="17" t="str">
        <x:v>Not cycle-specific</x:v>
      </x:c>
      <x:c r="M1452" s="17" t="str">
        <x:v>low</x:v>
      </x:c>
      <x:c r="N1452" s="17" t="str">
        <x:v>Discovery evidence only</x:v>
      </x:c>
      <x:c r="O1452" s="17" t="str">
        <x:v>Use the source_record_paths field to trace the underlying discovery inputs.</x:v>
      </x:c>
      <x:c r="P1452" s="18" t="e">
        <x:f>HYPERLINK("https://umich.edu","Open source")</x:f>
        <x:v>HYPERLINK is not implemented. linkLocation=https://umich.edu, friendlyName=Open source</x:v>
      </x:c>
    </x:row>
    <x:row r="1453" ht="46" customHeight="1">
      <x:c r="A1453" s="17" t="str">
        <x:v>stage3src:a4248f4ccb5f630cbc4e</x:v>
      </x:c>
      <x:c r="B1453" s="17" t="str">
        <x:v>program</x:v>
      </x:c>
      <x:c r="C1453" s="17" t="str">
        <x:v>University of Michigan-Ann Arbor</x:v>
      </x:c>
      <x:c r="D1453" s="17" t="str">
        <x:v>us:ipeds:170976:program:unclear:ipeds-discovery-signal-data-science-general-cip-30-7001</x:v>
      </x:c>
      <x:c r="E1453" s="17" t="str"/>
      <x:c r="F1453" s="17" t="str">
        <x:v>discovery</x:v>
      </x:c>
      <x:c r="G1453" s="17" t="str">
        <x:v>Stage 2 recorded this row as a discovery candidate; it does not independently verify an exact current research program, eligibility, or funding.</x:v>
      </x:c>
      <x:c r="H1453" s="17" t="str">
        <x:v>Pass 2 Stage 2 candidate funnel</x:v>
      </x:c>
      <x:c r="I1453" s="17" t="str">
        <x:v>Graduate audit pipeline</x:v>
      </x:c>
      <x:c r="J1453" s="17" t="str">
        <x:v>derived</x:v>
      </x:c>
      <x:c r="K1453" s="17" t="str">
        <x:v>2026-09-11</x:v>
      </x:c>
      <x:c r="L1453" s="17" t="str">
        <x:v>Not cycle-specific</x:v>
      </x:c>
      <x:c r="M1453" s="17" t="str">
        <x:v>low</x:v>
      </x:c>
      <x:c r="N1453" s="17" t="str">
        <x:v>Discovery evidence only</x:v>
      </x:c>
      <x:c r="O1453" s="17" t="str">
        <x:v>Use the source_record_paths field to trace the underlying discovery inputs.</x:v>
      </x:c>
      <x:c r="P1453" s="18" t="e">
        <x:f>HYPERLINK("https://umich.edu","Open source")</x:f>
        <x:v>HYPERLINK is not implemented. linkLocation=https://umich.edu, friendlyName=Open source</x:v>
      </x:c>
    </x:row>
    <x:row r="1454" ht="46" customHeight="1">
      <x:c r="A1454" s="17" t="str">
        <x:v>stage3src:e00ae1edf5ce88cccfad</x:v>
      </x:c>
      <x:c r="B1454" s="17" t="str">
        <x:v>program</x:v>
      </x:c>
      <x:c r="C1454" s="17" t="str">
        <x:v>University of Michigan-Ann Arbor</x:v>
      </x:c>
      <x:c r="D1454" s="17" t="str">
        <x:v>us:ipeds:170976:program:unclear:ipeds-discovery-signal-electrical-and-electronics-engineering-cip-14-1001</x:v>
      </x:c>
      <x:c r="E1454" s="17" t="str"/>
      <x:c r="F1454" s="17" t="str">
        <x:v>discovery</x:v>
      </x:c>
      <x:c r="G1454" s="17" t="str">
        <x:v>Stage 2 recorded this row as a discovery candidate; it does not independently verify an exact current research program, eligibility, or funding.</x:v>
      </x:c>
      <x:c r="H1454" s="17" t="str">
        <x:v>Pass 2 Stage 2 candidate funnel</x:v>
      </x:c>
      <x:c r="I1454" s="17" t="str">
        <x:v>Graduate audit pipeline</x:v>
      </x:c>
      <x:c r="J1454" s="17" t="str">
        <x:v>derived</x:v>
      </x:c>
      <x:c r="K1454" s="17" t="str">
        <x:v>2026-09-11</x:v>
      </x:c>
      <x:c r="L1454" s="17" t="str">
        <x:v>Not cycle-specific</x:v>
      </x:c>
      <x:c r="M1454" s="17" t="str">
        <x:v>low</x:v>
      </x:c>
      <x:c r="N1454" s="17" t="str">
        <x:v>Discovery evidence only</x:v>
      </x:c>
      <x:c r="O1454" s="17" t="str">
        <x:v>Use the source_record_paths field to trace the underlying discovery inputs.</x:v>
      </x:c>
      <x:c r="P1454" s="18" t="e">
        <x:f>HYPERLINK("https://umich.edu","Open source")</x:f>
        <x:v>HYPERLINK is not implemented. linkLocation=https://umich.edu, friendlyName=Open source</x:v>
      </x:c>
    </x:row>
    <x:row r="1455" ht="46" customHeight="1">
      <x:c r="A1455" s="17" t="str">
        <x:v>stage3src:0ce658551c79317dfd1e</x:v>
      </x:c>
      <x:c r="B1455" s="17" t="str">
        <x:v>program</x:v>
      </x:c>
      <x:c r="C1455" s="17" t="str">
        <x:v>University of Michigan-Ann Arbor</x:v>
      </x:c>
      <x:c r="D1455" s="17" t="str">
        <x:v>us:ipeds:170976:program:unclear:ipeds-discovery-signal-information-science-studies-cip-11-0401</x:v>
      </x:c>
      <x:c r="E1455" s="17" t="str"/>
      <x:c r="F1455" s="17" t="str">
        <x:v>discovery</x:v>
      </x:c>
      <x:c r="G1455" s="17" t="str">
        <x:v>Stage 2 recorded this row as a discovery candidate; it does not independently verify an exact current research program, eligibility, or funding.</x:v>
      </x:c>
      <x:c r="H1455" s="17" t="str">
        <x:v>Pass 2 Stage 2 candidate funnel</x:v>
      </x:c>
      <x:c r="I1455" s="17" t="str">
        <x:v>Graduate audit pipeline</x:v>
      </x:c>
      <x:c r="J1455" s="17" t="str">
        <x:v>derived</x:v>
      </x:c>
      <x:c r="K1455" s="17" t="str">
        <x:v>2026-09-11</x:v>
      </x:c>
      <x:c r="L1455" s="17" t="str">
        <x:v>Not cycle-specific</x:v>
      </x:c>
      <x:c r="M1455" s="17" t="str">
        <x:v>low</x:v>
      </x:c>
      <x:c r="N1455" s="17" t="str">
        <x:v>Discovery evidence only</x:v>
      </x:c>
      <x:c r="O1455" s="17" t="str">
        <x:v>Use the source_record_paths field to trace the underlying discovery inputs.</x:v>
      </x:c>
      <x:c r="P1455" s="18" t="e">
        <x:f>HYPERLINK("https://umich.edu","Open source")</x:f>
        <x:v>HYPERLINK is not implemented. linkLocation=https://umich.edu, friendlyName=Open source</x:v>
      </x:c>
    </x:row>
    <x:row r="1456" ht="46" customHeight="1">
      <x:c r="A1456" s="17" t="str">
        <x:v>stage3src:042cb4abdf456e1e56d3</x:v>
      </x:c>
      <x:c r="B1456" s="17" t="str">
        <x:v>program</x:v>
      </x:c>
      <x:c r="C1456" s="17" t="str">
        <x:v>University of Michigan-Ann Arbor</x:v>
      </x:c>
      <x:c r="D1456" s="17" t="str">
        <x:v>us:ipeds:170976:program:unclear:ipeds-discovery-signal-mechatronics-robotics-and-automation-engineering-cip-14-4201</x:v>
      </x:c>
      <x:c r="E1456" s="17" t="str"/>
      <x:c r="F1456" s="17" t="str">
        <x:v>discovery</x:v>
      </x:c>
      <x:c r="G1456" s="17" t="str">
        <x:v>Stage 2 recorded this row as a discovery candidate; it does not independently verify an exact current research program, eligibility, or funding.</x:v>
      </x:c>
      <x:c r="H1456" s="17" t="str">
        <x:v>Pass 2 Stage 2 candidate funnel</x:v>
      </x:c>
      <x:c r="I1456" s="17" t="str">
        <x:v>Graduate audit pipeline</x:v>
      </x:c>
      <x:c r="J1456" s="17" t="str">
        <x:v>derived</x:v>
      </x:c>
      <x:c r="K1456" s="17" t="str">
        <x:v>2026-09-11</x:v>
      </x:c>
      <x:c r="L1456" s="17" t="str">
        <x:v>Not cycle-specific</x:v>
      </x:c>
      <x:c r="M1456" s="17" t="str">
        <x:v>low</x:v>
      </x:c>
      <x:c r="N1456" s="17" t="str">
        <x:v>Discovery evidence only</x:v>
      </x:c>
      <x:c r="O1456" s="17" t="str">
        <x:v>Use the source_record_paths field to trace the underlying discovery inputs.</x:v>
      </x:c>
      <x:c r="P1456" s="18" t="e">
        <x:f>HYPERLINK("https://umich.edu","Open source")</x:f>
        <x:v>HYPERLINK is not implemented. linkLocation=https://umich.edu, friendlyName=Open source</x:v>
      </x:c>
    </x:row>
    <x:row r="1457" ht="46" customHeight="1">
      <x:c r="A1457" s="17" t="str">
        <x:v>stage3src:0752225ef17cc3a9120c</x:v>
      </x:c>
      <x:c r="B1457" s="17" t="str">
        <x:v>program</x:v>
      </x:c>
      <x:c r="C1457" s="17" t="str">
        <x:v>Michigan State University</x:v>
      </x:c>
      <x:c r="D1457" s="17" t="str">
        <x:v>us:ipeds:171100:program:phd:computer-science-phd</x:v>
      </x:c>
      <x:c r="E1457" s="17" t="str"/>
      <x:c r="F1457" s="17" t="str">
        <x:v>admissions|eligibility|language</x:v>
      </x:c>
      <x:c r="G1457" s="17" t="str">
        <x:v>Current international graduate English-proficiency routes and exception boundary.</x:v>
      </x:c>
      <x:c r="H1457" s="17" t="str">
        <x:v>English Language Competency</x:v>
      </x:c>
      <x:c r="I1457" s="17" t="str">
        <x:v>Michigan State University Graduate School</x:v>
      </x:c>
      <x:c r="J1457" s="17" t="str">
        <x:v>official</x:v>
      </x:c>
      <x:c r="K1457" s="17" t="str">
        <x:v>2026-09-11</x:v>
      </x:c>
      <x:c r="L1457" s="17" t="str">
        <x:v>Current policy checked 2026-09-11</x:v>
      </x:c>
      <x:c r="M1457" s="17" t="str">
        <x:v>high</x:v>
      </x:c>
      <x:c r="N1457" s="17" t="str">
        <x:v>official page checked</x:v>
      </x:c>
      <x:c r="O1457" s="17" t="str"/>
      <x:c r="P1457" s="18" t="e">
        <x:f>HYPERLINK("https://grad.msu.edu/admissions/apply/international-applicants/english-language-competency","Open source")</x:f>
        <x:v>HYPERLINK is not implemented. linkLocation=https://grad.msu.edu/admissions/apply/international-applicants/english-language-competency, friendlyName=Open source</x:v>
      </x:c>
    </x:row>
    <x:row r="1458" ht="46" customHeight="1">
      <x:c r="A1458" s="17" t="str">
        <x:v>stage3src:217d1203815916e80196</x:v>
      </x:c>
      <x:c r="B1458" s="17" t="str">
        <x:v>program</x:v>
      </x:c>
      <x:c r="C1458" s="17" t="str">
        <x:v>Michigan State University</x:v>
      </x:c>
      <x:c r="D1458" s="17" t="str">
        <x:v>us:ipeds:171100:program:phd:computer-science-phd</x:v>
      </x:c>
      <x:c r="E1458" s="17" t="str"/>
      <x:c r="F1458" s="17" t="str">
        <x:v>funding|tuition|fees</x:v>
      </x:c>
      <x:c r="G1458" s="17" t="str">
        <x:v>Competitive graduate assistantship and fellowship opportunities rather than a program-wide guarantee.</x:v>
      </x:c>
      <x:c r="H1458" s="17" t="str">
        <x:v>Graduate Funding Opportunities</x:v>
      </x:c>
      <x:c r="I1458" s="17" t="str">
        <x:v>Michigan State University College of Engineering</x:v>
      </x:c>
      <x:c r="J1458" s="17" t="str">
        <x:v>official</x:v>
      </x:c>
      <x:c r="K1458" s="17" t="str">
        <x:v>2026-09-11</x:v>
      </x:c>
      <x:c r="L1458" s="17" t="str">
        <x:v>Current opportunities checked 2026-09-11</x:v>
      </x:c>
      <x:c r="M1458" s="17" t="str">
        <x:v>high</x:v>
      </x:c>
      <x:c r="N1458" s="17" t="str">
        <x:v>official page checked</x:v>
      </x:c>
      <x:c r="O1458" s="17" t="str"/>
      <x:c r="P1458" s="18" t="e">
        <x:f>HYPERLINK("https://engineering.msu.edu/current-students/graduate/funding-opportunities","Open source")</x:f>
        <x:v>HYPERLINK is not implemented. linkLocation=https://engineering.msu.edu/current-students/graduate/funding-opportunities, friendlyName=Open source</x:v>
      </x:c>
    </x:row>
    <x:row r="1459" ht="46" customHeight="1">
      <x:c r="A1459" s="17" t="str">
        <x:v>stage3src:47488f3211b0481451ce</x:v>
      </x:c>
      <x:c r="B1459" s="17" t="str">
        <x:v>program</x:v>
      </x:c>
      <x:c r="C1459" s="17" t="str">
        <x:v>Michigan State University</x:v>
      </x:c>
      <x:c r="D1459" s="17" t="str">
        <x:v>us:ipeds:171100:program:phd:computer-science-phd</x:v>
      </x:c>
      <x:c r="E1459" s="17" t="str"/>
      <x:c r="F1459" s="17" t="str">
        <x:v>program|research|admissions|eligibility|deadline|funding</x:v>
      </x:c>
      <x:c r="G1459" s="17" t="str">
        <x:v>Current CS PhD, 3.2 GPA and course preparation, recurring deadlines, and competitive support model.</x:v>
      </x:c>
      <x:c r="H1459" s="17" t="str">
        <x:v>Computer Science PhD</x:v>
      </x:c>
      <x:c r="I1459" s="17" t="str">
        <x:v>Michigan State University College of Engineering</x:v>
      </x:c>
      <x:c r="J1459" s="17" t="str">
        <x:v>official</x:v>
      </x:c>
      <x:c r="K1459" s="17" t="str">
        <x:v>2026-09-11</x:v>
      </x:c>
      <x:c r="L1459" s="17" t="str">
        <x:v>Current recurring guidance checked 2026-09-11</x:v>
      </x:c>
      <x:c r="M1459" s="17" t="str">
        <x:v>high</x:v>
      </x:c>
      <x:c r="N1459" s="17" t="str">
        <x:v>official page checked</x:v>
      </x:c>
      <x:c r="O1459" s="17" t="str"/>
      <x:c r="P1459" s="18" t="e">
        <x:f>HYPERLINK("https://engineering.msu.edu/academics/majors-degrees/computer-science-phd","Open source")</x:f>
        <x:v>HYPERLINK is not implemented. linkLocation=https://engineering.msu.edu/academics/majors-degrees/computer-science-phd, friendlyName=Open source</x:v>
      </x:c>
    </x:row>
    <x:row r="1460" ht="46" customHeight="1">
      <x:c r="A1460" s="17" t="str">
        <x:v>stage3src:580fb46db1f250ab1e6d</x:v>
      </x:c>
      <x:c r="B1460" s="17" t="str">
        <x:v>program</x:v>
      </x:c>
      <x:c r="C1460" s="17" t="str">
        <x:v>Michigan State University</x:v>
      </x:c>
      <x:c r="D1460" s="17" t="str">
        <x:v>us:ipeds:171100:program:phd:computer-science-phd</x:v>
      </x:c>
      <x:c r="E1460" s="17" t="str"/>
      <x:c r="F1460" s="17" t="str">
        <x:v>admissions|fees</x:v>
      </x:c>
      <x:c r="G1460" s="17" t="str">
        <x:v>Current USD 75 graduate application fee and limited waiver routes.</x:v>
      </x:c>
      <x:c r="H1460" s="17" t="str">
        <x:v>Apply to Graduate School</x:v>
      </x:c>
      <x:c r="I1460" s="17" t="str">
        <x:v>Michigan State University</x:v>
      </x:c>
      <x:c r="J1460" s="17" t="str">
        <x:v>official</x:v>
      </x:c>
      <x:c r="K1460" s="17" t="str">
        <x:v>2026-09-11</x:v>
      </x:c>
      <x:c r="L1460" s="17" t="str">
        <x:v>Current fee guidance checked 2026-09-11</x:v>
      </x:c>
      <x:c r="M1460" s="17" t="str">
        <x:v>high</x:v>
      </x:c>
      <x:c r="N1460" s="17" t="str">
        <x:v>official page checked</x:v>
      </x:c>
      <x:c r="O1460" s="17" t="str"/>
      <x:c r="P1460" s="18" t="e">
        <x:f>HYPERLINK("https://grad.msu.edu/admissions/apply","Open source")</x:f>
        <x:v>HYPERLINK is not implemented. linkLocation=https://grad.msu.edu/admissions/apply, friendlyName=Open source</x:v>
      </x:c>
    </x:row>
    <x:row r="1461" ht="46" customHeight="1">
      <x:c r="A1461" s="17" t="str">
        <x:v>stage3src:68ae3550aac75af7836e</x:v>
      </x:c>
      <x:c r="B1461" s="17" t="str">
        <x:v>program</x:v>
      </x:c>
      <x:c r="C1461" s="17" t="str">
        <x:v>Michigan State University</x:v>
      </x:c>
      <x:c r="D1461" s="17" t="str">
        <x:v>us:ipeds:171100:program:unclear:ipeds-discovery-signal-computer-and-information-sciences-general-cip-11-0101</x:v>
      </x:c>
      <x:c r="E1461" s="17" t="str"/>
      <x:c r="F1461" s="17" t="str">
        <x:v>discovery</x:v>
      </x:c>
      <x:c r="G1461" s="17" t="str">
        <x:v>Stage 2 recorded this row as a discovery candidate; it does not independently verify an exact current research program, eligibility, or funding.</x:v>
      </x:c>
      <x:c r="H1461" s="17" t="str">
        <x:v>Pass 2 Stage 2 candidate funnel</x:v>
      </x:c>
      <x:c r="I1461" s="17" t="str">
        <x:v>Graduate audit pipeline</x:v>
      </x:c>
      <x:c r="J1461" s="17" t="str">
        <x:v>derived</x:v>
      </x:c>
      <x:c r="K1461" s="17" t="str">
        <x:v>2026-09-11</x:v>
      </x:c>
      <x:c r="L1461" s="17" t="str">
        <x:v>Not cycle-specific</x:v>
      </x:c>
      <x:c r="M1461" s="17" t="str">
        <x:v>low</x:v>
      </x:c>
      <x:c r="N1461" s="17" t="str">
        <x:v>Discovery evidence only</x:v>
      </x:c>
      <x:c r="O1461" s="17" t="str">
        <x:v>Use the source_record_paths field to trace the underlying discovery inputs.</x:v>
      </x:c>
      <x:c r="P1461" s="18" t="e">
        <x:f>HYPERLINK("https://www.msu.edu","Open source")</x:f>
        <x:v>HYPERLINK is not implemented. linkLocation=https://www.msu.edu, friendlyName=Open source</x:v>
      </x:c>
    </x:row>
    <x:row r="1462" ht="46" customHeight="1">
      <x:c r="A1462" s="17" t="str">
        <x:v>stage3src:25bfb846f7dca4b11144</x:v>
      </x:c>
      <x:c r="B1462" s="17" t="str">
        <x:v>program</x:v>
      </x:c>
      <x:c r="C1462" s="17" t="str">
        <x:v>Michigan State University</x:v>
      </x:c>
      <x:c r="D1462" s="17" t="str">
        <x:v>us:ipeds:171100:program:unclear:ipeds-discovery-signal-electrical-and-electronics-engineering-cip-14-1001</x:v>
      </x:c>
      <x:c r="E1462" s="17" t="str"/>
      <x:c r="F1462" s="17" t="str">
        <x:v>discovery</x:v>
      </x:c>
      <x:c r="G1462" s="17" t="str">
        <x:v>Stage 2 recorded this row as a discovery candidate; it does not independently verify an exact current research program, eligibility, or funding.</x:v>
      </x:c>
      <x:c r="H1462" s="17" t="str">
        <x:v>Pass 2 Stage 2 candidate funnel</x:v>
      </x:c>
      <x:c r="I1462" s="17" t="str">
        <x:v>Graduate audit pipeline</x:v>
      </x:c>
      <x:c r="J1462" s="17" t="str">
        <x:v>derived</x:v>
      </x:c>
      <x:c r="K1462" s="17" t="str">
        <x:v>2026-09-11</x:v>
      </x:c>
      <x:c r="L1462" s="17" t="str">
        <x:v>Not cycle-specific</x:v>
      </x:c>
      <x:c r="M1462" s="17" t="str">
        <x:v>low</x:v>
      </x:c>
      <x:c r="N1462" s="17" t="str">
        <x:v>Discovery evidence only</x:v>
      </x:c>
      <x:c r="O1462" s="17" t="str">
        <x:v>Use the source_record_paths field to trace the underlying discovery inputs.</x:v>
      </x:c>
      <x:c r="P1462" s="18" t="e">
        <x:f>HYPERLINK("https://www.msu.edu","Open source")</x:f>
        <x:v>HYPERLINK is not implemented. linkLocation=https://www.msu.edu, friendlyName=Open source</x:v>
      </x:c>
    </x:row>
    <x:row r="1463" ht="46" customHeight="1">
      <x:c r="A1463" s="17" t="str">
        <x:v>stage3src:531aab87028070b77192</x:v>
      </x:c>
      <x:c r="B1463" s="17" t="str">
        <x:v>program</x:v>
      </x:c>
      <x:c r="C1463" s="17" t="str">
        <x:v>Michigan Technological University</x:v>
      </x:c>
      <x:c r="D1463" s="17" t="str">
        <x:v>us:ipeds:171128:program:phd:computer-science-phd</x:v>
      </x:c>
      <x:c r="E1463" s="17" t="str"/>
      <x:c r="F1463" s="17" t="str">
        <x:v>funding|tuition|summer|conditions</x:v>
      </x:c>
      <x:c r="G1463" s="17" t="str">
        <x:v>Automatic assistantship consideration, funding priority for PhD students, full tuition with full appointments, and one-credit summer tuition treatment.</x:v>
      </x:c>
      <x:c r="H1463" s="17" t="str">
        <x:v>Graduate Assistantships</x:v>
      </x:c>
      <x:c r="I1463" s="17" t="str">
        <x:v>Michigan Technological University Graduate School</x:v>
      </x:c>
      <x:c r="J1463" s="17" t="str">
        <x:v>official</x:v>
      </x:c>
      <x:c r="K1463" s="17" t="str">
        <x:v>2026-09-11</x:v>
      </x:c>
      <x:c r="L1463" s="17" t="str">
        <x:v>Current funding policy checked 2026-09-11</x:v>
      </x:c>
      <x:c r="M1463" s="17" t="str">
        <x:v>high</x:v>
      </x:c>
      <x:c r="N1463" s="17" t="str">
        <x:v>official page checked</x:v>
      </x:c>
      <x:c r="O1463" s="17" t="str"/>
      <x:c r="P1463" s="18" t="e">
        <x:f>HYPERLINK("https://www.mtu.edu/gradschool/financial/assistantships/","Open source")</x:f>
        <x:v>HYPERLINK is not implemented. linkLocation=https://www.mtu.edu/gradschool/financial/assistantships/, friendlyName=Open source</x:v>
      </x:c>
    </x:row>
    <x:row r="1464" ht="46" customHeight="1">
      <x:c r="A1464" s="17" t="str">
        <x:v>stage3src:58857bdfe5cbece02004</x:v>
      </x:c>
      <x:c r="B1464" s="17" t="str">
        <x:v>program</x:v>
      </x:c>
      <x:c r="C1464" s="17" t="str">
        <x:v>Michigan Technological University</x:v>
      </x:c>
      <x:c r="D1464" s="17" t="str">
        <x:v>us:ipeds:171128:program:phd:computer-science-phd</x:v>
      </x:c>
      <x:c r="E1464" s="17" t="str"/>
      <x:c r="F1464" s="17" t="str">
        <x:v>funding|stipend</x:v>
      </x:c>
      <x:c r="G1464" s="17" t="str">
        <x:v>Published 2026-27 minimum semester stipend of $8,778 for PhD students without an MS and milestone-based higher rates.</x:v>
      </x:c>
      <x:c r="H1464" s="17" t="str">
        <x:v>Graduate Assistantship Stipends</x:v>
      </x:c>
      <x:c r="I1464" s="17" t="str">
        <x:v>Michigan Technological University Graduate School</x:v>
      </x:c>
      <x:c r="J1464" s="17" t="str">
        <x:v>official</x:v>
      </x:c>
      <x:c r="K1464" s="17" t="str">
        <x:v>2026-09-11</x:v>
      </x:c>
      <x:c r="L1464" s="17" t="str">
        <x:v>2026-27 stipend schedule checked 2026-09-11</x:v>
      </x:c>
      <x:c r="M1464" s="17" t="str">
        <x:v>high</x:v>
      </x:c>
      <x:c r="N1464" s="17" t="str">
        <x:v>official page checked</x:v>
      </x:c>
      <x:c r="O1464" s="17" t="str"/>
      <x:c r="P1464" s="18" t="e">
        <x:f>HYPERLINK("https://www.mtu.edu/gradschool/financial/assistantships/stipends/","Open source")</x:f>
        <x:v>HYPERLINK is not implemented. linkLocation=https://www.mtu.edu/gradschool/financial/assistantships/stipends/, friendlyName=Open source</x:v>
      </x:c>
    </x:row>
    <x:row r="1465" ht="46" customHeight="1">
      <x:c r="A1465" s="17" t="str">
        <x:v>stage3src:c728582d18045f46ef17</x:v>
      </x:c>
      <x:c r="B1465" s="17" t="str">
        <x:v>program</x:v>
      </x:c>
      <x:c r="C1465" s="17" t="str">
        <x:v>Michigan Technological University</x:v>
      </x:c>
      <x:c r="D1465" s="17" t="str">
        <x:v>us:ipeds:171128:program:phd:computer-science-phd</x:v>
      </x:c>
      <x:c r="E1465" s="17" t="str"/>
      <x:c r="F1465" s="17" t="str">
        <x:v>program|research|structure|eligibility|gpa|deadline|language</x:v>
      </x:c>
      <x:c r="G1465" s="17" t="str">
        <x:v>Current Computer Science PhD, BS-to-PhD 60-credit route, four-year relevant bachelor's entry, typical GPA, research areas, English and GRE notes, and recurring deadlines.</x:v>
      </x:c>
      <x:c r="H1465" s="17" t="str">
        <x:v>Computer Science—MS, PhD</x:v>
      </x:c>
      <x:c r="I1465" s="17" t="str">
        <x:v>Michigan Technological University Graduate School</x:v>
      </x:c>
      <x:c r="J1465" s="17" t="str">
        <x:v>official</x:v>
      </x:c>
      <x:c r="K1465" s="17" t="str">
        <x:v>2026-09-11</x:v>
      </x:c>
      <x:c r="L1465" s="17" t="str">
        <x:v>Current recurring dates checked 2026-09-11; Fall 2027 requires confirmation</x:v>
      </x:c>
      <x:c r="M1465" s="17" t="str">
        <x:v>high</x:v>
      </x:c>
      <x:c r="N1465" s="17" t="str">
        <x:v>official page checked</x:v>
      </x:c>
      <x:c r="O1465" s="17" t="str"/>
      <x:c r="P1465" s="18" t="e">
        <x:f>HYPERLINK("https://www.mtu.edu/gradschool/programs/degrees/computer-science/","Open source")</x:f>
        <x:v>HYPERLINK is not implemented. linkLocation=https://www.mtu.edu/gradschool/programs/degrees/computer-science/, friendlyName=Open source</x:v>
      </x:c>
    </x:row>
    <x:row r="1466" ht="46" customHeight="1">
      <x:c r="A1466" s="17" t="str">
        <x:v>stage3src:252293ae7123699e6624</x:v>
      </x:c>
      <x:c r="B1466" s="17" t="str">
        <x:v>program</x:v>
      </x:c>
      <x:c r="C1466" s="17" t="str">
        <x:v>Michigan Technological University</x:v>
      </x:c>
      <x:c r="D1466" s="17" t="str">
        <x:v>us:ipeds:171128:program:unclear:ipeds-discovery-signal-computer-and-information-systems-security-auditing-information-assurance-cip-11-1003</x:v>
      </x:c>
      <x:c r="E1466" s="17" t="str"/>
      <x:c r="F1466" s="17" t="str">
        <x:v>discovery</x:v>
      </x:c>
      <x:c r="G1466" s="17" t="str">
        <x:v>Stage 2 recorded this row as a discovery candidate; it does not independently verify an exact current research program, eligibility, or funding.</x:v>
      </x:c>
      <x:c r="H1466" s="17" t="str">
        <x:v>Pass 2 Stage 2 candidate funnel</x:v>
      </x:c>
      <x:c r="I1466" s="17" t="str">
        <x:v>Graduate audit pipeline</x:v>
      </x:c>
      <x:c r="J1466" s="17" t="str">
        <x:v>derived</x:v>
      </x:c>
      <x:c r="K1466" s="17" t="str">
        <x:v>2026-09-11</x:v>
      </x:c>
      <x:c r="L1466" s="17" t="str">
        <x:v>Not cycle-specific</x:v>
      </x:c>
      <x:c r="M1466" s="17" t="str">
        <x:v>low</x:v>
      </x:c>
      <x:c r="N1466" s="17" t="str">
        <x:v>Discovery evidence only</x:v>
      </x:c>
      <x:c r="O1466" s="17" t="str">
        <x:v>Use the source_record_paths field to trace the underlying discovery inputs.</x:v>
      </x:c>
      <x:c r="P1466" s="18" t="e">
        <x:f>HYPERLINK("https://www.mtu.edu","Open source")</x:f>
        <x:v>HYPERLINK is not implemented. linkLocation=https://www.mtu.edu, friendlyName=Open source</x:v>
      </x:c>
    </x:row>
    <x:row r="1467" ht="46" customHeight="1">
      <x:c r="A1467" s="17" t="str">
        <x:v>stage3src:05a318226256a812537f</x:v>
      </x:c>
      <x:c r="B1467" s="17" t="str">
        <x:v>program</x:v>
      </x:c>
      <x:c r="C1467" s="17" t="str">
        <x:v>Michigan Technological University</x:v>
      </x:c>
      <x:c r="D1467" s="17" t="str">
        <x:v>us:ipeds:171128:program:unclear:ipeds-discovery-signal-computer-engineering-general-cip-14-0901</x:v>
      </x:c>
      <x:c r="E1467" s="17" t="str"/>
      <x:c r="F1467" s="17" t="str">
        <x:v>discovery</x:v>
      </x:c>
      <x:c r="G1467" s="17" t="str">
        <x:v>Stage 2 recorded this row as a discovery candidate; it does not independently verify an exact current research program, eligibility, or funding.</x:v>
      </x:c>
      <x:c r="H1467" s="17" t="str">
        <x:v>Pass 2 Stage 2 candidate funnel</x:v>
      </x:c>
      <x:c r="I1467" s="17" t="str">
        <x:v>Graduate audit pipeline</x:v>
      </x:c>
      <x:c r="J1467" s="17" t="str">
        <x:v>derived</x:v>
      </x:c>
      <x:c r="K1467" s="17" t="str">
        <x:v>2026-09-11</x:v>
      </x:c>
      <x:c r="L1467" s="17" t="str">
        <x:v>Not cycle-specific</x:v>
      </x:c>
      <x:c r="M1467" s="17" t="str">
        <x:v>low</x:v>
      </x:c>
      <x:c r="N1467" s="17" t="str">
        <x:v>Discovery evidence only</x:v>
      </x:c>
      <x:c r="O1467" s="17" t="str">
        <x:v>Use the source_record_paths field to trace the underlying discovery inputs.</x:v>
      </x:c>
      <x:c r="P1467" s="18" t="e">
        <x:f>HYPERLINK("https://www.mtu.edu","Open source")</x:f>
        <x:v>HYPERLINK is not implemented. linkLocation=https://www.mtu.edu, friendlyName=Open source</x:v>
      </x:c>
    </x:row>
    <x:row r="1468" ht="46" customHeight="1">
      <x:c r="A1468" s="17" t="str">
        <x:v>stage3src:a943187a3f728988571a</x:v>
      </x:c>
      <x:c r="B1468" s="17" t="str">
        <x:v>program</x:v>
      </x:c>
      <x:c r="C1468" s="17" t="str">
        <x:v>Michigan Technological University</x:v>
      </x:c>
      <x:c r="D1468" s="17" t="str">
        <x:v>us:ipeds:171128:program:unclear:ipeds-discovery-signal-computer-science-cip-11-0701</x:v>
      </x:c>
      <x:c r="E1468" s="17" t="str"/>
      <x:c r="F1468" s="17" t="str">
        <x:v>discovery</x:v>
      </x:c>
      <x:c r="G1468" s="17" t="str">
        <x:v>Stage 2 recorded this row as a discovery candidate; it does not independently verify an exact current research program, eligibility, or funding.</x:v>
      </x:c>
      <x:c r="H1468" s="17" t="str">
        <x:v>Pass 2 Stage 2 candidate funnel</x:v>
      </x:c>
      <x:c r="I1468" s="17" t="str">
        <x:v>Graduate audit pipeline</x:v>
      </x:c>
      <x:c r="J1468" s="17" t="str">
        <x:v>derived</x:v>
      </x:c>
      <x:c r="K1468" s="17" t="str">
        <x:v>2026-09-11</x:v>
      </x:c>
      <x:c r="L1468" s="17" t="str">
        <x:v>Not cycle-specific</x:v>
      </x:c>
      <x:c r="M1468" s="17" t="str">
        <x:v>low</x:v>
      </x:c>
      <x:c r="N1468" s="17" t="str">
        <x:v>Discovery evidence only</x:v>
      </x:c>
      <x:c r="O1468" s="17" t="str">
        <x:v>Use the source_record_paths field to trace the underlying discovery inputs.</x:v>
      </x:c>
      <x:c r="P1468" s="18" t="e">
        <x:f>HYPERLINK("https://www.mtu.edu","Open source")</x:f>
        <x:v>HYPERLINK is not implemented. linkLocation=https://www.mtu.edu, friendlyName=Open source</x:v>
      </x:c>
    </x:row>
    <x:row r="1469" ht="46" customHeight="1">
      <x:c r="A1469" s="17" t="str">
        <x:v>stage3src:53e335e900e3e20c0466</x:v>
      </x:c>
      <x:c r="B1469" s="17" t="str">
        <x:v>program</x:v>
      </x:c>
      <x:c r="C1469" s="17" t="str">
        <x:v>Michigan Technological University</x:v>
      </x:c>
      <x:c r="D1469" s="17" t="str">
        <x:v>us:ipeds:171128:program:unclear:ipeds-discovery-signal-data-science-general-cip-30-7001</x:v>
      </x:c>
      <x:c r="E1469" s="17" t="str"/>
      <x:c r="F1469" s="17" t="str">
        <x:v>discovery</x:v>
      </x:c>
      <x:c r="G1469" s="17" t="str">
        <x:v>Stage 2 recorded this row as a discovery candidate; it does not independently verify an exact current research program, eligibility, or funding.</x:v>
      </x:c>
      <x:c r="H1469" s="17" t="str">
        <x:v>Pass 2 Stage 2 candidate funnel</x:v>
      </x:c>
      <x:c r="I1469" s="17" t="str">
        <x:v>Graduate audit pipeline</x:v>
      </x:c>
      <x:c r="J1469" s="17" t="str">
        <x:v>derived</x:v>
      </x:c>
      <x:c r="K1469" s="17" t="str">
        <x:v>2026-09-11</x:v>
      </x:c>
      <x:c r="L1469" s="17" t="str">
        <x:v>Not cycle-specific</x:v>
      </x:c>
      <x:c r="M1469" s="17" t="str">
        <x:v>low</x:v>
      </x:c>
      <x:c r="N1469" s="17" t="str">
        <x:v>Discovery evidence only</x:v>
      </x:c>
      <x:c r="O1469" s="17" t="str">
        <x:v>Use the source_record_paths field to trace the underlying discovery inputs.</x:v>
      </x:c>
      <x:c r="P1469" s="18" t="e">
        <x:f>HYPERLINK("https://www.mtu.edu","Open source")</x:f>
        <x:v>HYPERLINK is not implemented. linkLocation=https://www.mtu.edu, friendlyName=Open source</x:v>
      </x:c>
    </x:row>
    <x:row r="1470" ht="46" customHeight="1">
      <x:c r="A1470" s="17" t="str">
        <x:v>stage3src:ae19d123e9868bda6985</x:v>
      </x:c>
      <x:c r="B1470" s="17" t="str">
        <x:v>program</x:v>
      </x:c>
      <x:c r="C1470" s="17" t="str">
        <x:v>Michigan Technological University</x:v>
      </x:c>
      <x:c r="D1470" s="17" t="str">
        <x:v>us:ipeds:171128:program:unclear:ipeds-discovery-signal-electrical-and-electronics-engineering-cip-14-1001</x:v>
      </x:c>
      <x:c r="E1470" s="17" t="str"/>
      <x:c r="F1470" s="17" t="str">
        <x:v>discovery</x:v>
      </x:c>
      <x:c r="G1470" s="17" t="str">
        <x:v>Stage 2 recorded this row as a discovery candidate; it does not independently verify an exact current research program, eligibility, or funding.</x:v>
      </x:c>
      <x:c r="H1470" s="17" t="str">
        <x:v>Pass 2 Stage 2 candidate funnel</x:v>
      </x:c>
      <x:c r="I1470" s="17" t="str">
        <x:v>Graduate audit pipeline</x:v>
      </x:c>
      <x:c r="J1470" s="17" t="str">
        <x:v>derived</x:v>
      </x:c>
      <x:c r="K1470" s="17" t="str">
        <x:v>2026-09-11</x:v>
      </x:c>
      <x:c r="L1470" s="17" t="str">
        <x:v>Not cycle-specific</x:v>
      </x:c>
      <x:c r="M1470" s="17" t="str">
        <x:v>low</x:v>
      </x:c>
      <x:c r="N1470" s="17" t="str">
        <x:v>Discovery evidence only</x:v>
      </x:c>
      <x:c r="O1470" s="17" t="str">
        <x:v>Use the source_record_paths field to trace the underlying discovery inputs.</x:v>
      </x:c>
      <x:c r="P1470" s="18" t="e">
        <x:f>HYPERLINK("https://www.mtu.edu","Open source")</x:f>
        <x:v>HYPERLINK is not implemented. linkLocation=https://www.mtu.edu, friendlyName=Open source</x:v>
      </x:c>
    </x:row>
    <x:row r="1471" ht="46" customHeight="1">
      <x:c r="A1471" s="17" t="str">
        <x:v>stage3src:e88933033343ce097029</x:v>
      </x:c>
      <x:c r="B1471" s="17" t="str">
        <x:v>program</x:v>
      </x:c>
      <x:c r="C1471" s="17" t="str">
        <x:v>Michigan Technological University</x:v>
      </x:c>
      <x:c r="D1471" s="17" t="str">
        <x:v>us:ipeds:171128:program:unclear:ipeds-discovery-signal-mechatronics-robotics-and-automation-engineering-cip-14-4201</x:v>
      </x:c>
      <x:c r="E1471" s="17" t="str"/>
      <x:c r="F1471" s="17" t="str">
        <x:v>discovery</x:v>
      </x:c>
      <x:c r="G1471" s="17" t="str">
        <x:v>Stage 2 recorded this row as a discovery candidate; it does not independently verify an exact current research program, eligibility, or funding.</x:v>
      </x:c>
      <x:c r="H1471" s="17" t="str">
        <x:v>Pass 2 Stage 2 candidate funnel</x:v>
      </x:c>
      <x:c r="I1471" s="17" t="str">
        <x:v>Graduate audit pipeline</x:v>
      </x:c>
      <x:c r="J1471" s="17" t="str">
        <x:v>derived</x:v>
      </x:c>
      <x:c r="K1471" s="17" t="str">
        <x:v>2026-09-11</x:v>
      </x:c>
      <x:c r="L1471" s="17" t="str">
        <x:v>Not cycle-specific</x:v>
      </x:c>
      <x:c r="M1471" s="17" t="str">
        <x:v>low</x:v>
      </x:c>
      <x:c r="N1471" s="17" t="str">
        <x:v>Discovery evidence only</x:v>
      </x:c>
      <x:c r="O1471" s="17" t="str">
        <x:v>Use the source_record_paths field to trace the underlying discovery inputs.</x:v>
      </x:c>
      <x:c r="P1471" s="18" t="e">
        <x:f>HYPERLINK("https://www.mtu.edu","Open source")</x:f>
        <x:v>HYPERLINK is not implemented. linkLocation=https://www.mtu.edu, friendlyName=Open source</x:v>
      </x:c>
    </x:row>
    <x:row r="1472" ht="46" customHeight="1">
      <x:c r="A1472" s="17" t="str">
        <x:v>stage3src:25a44a37496eb8e590c3</x:v>
      </x:c>
      <x:c r="B1472" s="17" t="str">
        <x:v>program</x:v>
      </x:c>
      <x:c r="C1472" s="17" t="str">
        <x:v>University of Michigan-Dearborn</x:v>
      </x:c>
      <x:c r="D1472" s="17" t="str">
        <x:v>us:ipeds:171137:program:unclear:ipeds-discovery-signal-artificial-intelligence-cip-11-0102</x:v>
      </x:c>
      <x:c r="E1472" s="17" t="str"/>
      <x:c r="F1472" s="17" t="str">
        <x:v>discovery</x:v>
      </x:c>
      <x:c r="G1472" s="17" t="str">
        <x:v>Stage 2 recorded this row as a discovery candidate; it does not independently verify an exact current research program, eligibility, or funding.</x:v>
      </x:c>
      <x:c r="H1472" s="17" t="str">
        <x:v>Pass 2 Stage 2 candidate funnel</x:v>
      </x:c>
      <x:c r="I1472" s="17" t="str">
        <x:v>Graduate audit pipeline</x:v>
      </x:c>
      <x:c r="J1472" s="17" t="str">
        <x:v>derived</x:v>
      </x:c>
      <x:c r="K1472" s="17" t="str">
        <x:v>2026-09-11</x:v>
      </x:c>
      <x:c r="L1472" s="17" t="str">
        <x:v>Not cycle-specific</x:v>
      </x:c>
      <x:c r="M1472" s="17" t="str">
        <x:v>low</x:v>
      </x:c>
      <x:c r="N1472" s="17" t="str">
        <x:v>Discovery evidence only</x:v>
      </x:c>
      <x:c r="O1472" s="17" t="str">
        <x:v>Use the source_record_paths field to trace the underlying discovery inputs.</x:v>
      </x:c>
      <x:c r="P1472" s="18" t="e">
        <x:f>HYPERLINK("https://umdearborn.edu","Open source")</x:f>
        <x:v>HYPERLINK is not implemented. linkLocation=https://umdearborn.edu, friendlyName=Open source</x:v>
      </x:c>
    </x:row>
    <x:row r="1473" ht="46" customHeight="1">
      <x:c r="A1473" s="17" t="str">
        <x:v>stage3src:494b428ba6ba3b0c6666</x:v>
      </x:c>
      <x:c r="B1473" s="17" t="str">
        <x:v>program</x:v>
      </x:c>
      <x:c r="C1473" s="17" t="str">
        <x:v>University of Michigan-Dearborn</x:v>
      </x:c>
      <x:c r="D1473" s="17" t="str">
        <x:v>us:ipeds:171137:program:unclear:ipeds-discovery-signal-computer-and-information-sciences-general-cip-11-0101</x:v>
      </x:c>
      <x:c r="E1473" s="17" t="str"/>
      <x:c r="F1473" s="17" t="str">
        <x:v>discovery</x:v>
      </x:c>
      <x:c r="G1473" s="17" t="str">
        <x:v>Stage 2 recorded this row as a discovery candidate; it does not independently verify an exact current research program, eligibility, or funding.</x:v>
      </x:c>
      <x:c r="H1473" s="17" t="str">
        <x:v>Pass 2 Stage 2 candidate funnel</x:v>
      </x:c>
      <x:c r="I1473" s="17" t="str">
        <x:v>Graduate audit pipeline</x:v>
      </x:c>
      <x:c r="J1473" s="17" t="str">
        <x:v>derived</x:v>
      </x:c>
      <x:c r="K1473" s="17" t="str">
        <x:v>2026-09-11</x:v>
      </x:c>
      <x:c r="L1473" s="17" t="str">
        <x:v>Not cycle-specific</x:v>
      </x:c>
      <x:c r="M1473" s="17" t="str">
        <x:v>low</x:v>
      </x:c>
      <x:c r="N1473" s="17" t="str">
        <x:v>Discovery evidence only</x:v>
      </x:c>
      <x:c r="O1473" s="17" t="str">
        <x:v>Use the source_record_paths field to trace the underlying discovery inputs.</x:v>
      </x:c>
      <x:c r="P1473" s="18" t="e">
        <x:f>HYPERLINK("https://umdearborn.edu","Open source")</x:f>
        <x:v>HYPERLINK is not implemented. linkLocation=https://umdearborn.edu, friendlyName=Open source</x:v>
      </x:c>
    </x:row>
    <x:row r="1474" ht="46" customHeight="1">
      <x:c r="A1474" s="17" t="str">
        <x:v>stage3src:2a145fca9f46243fc5b2</x:v>
      </x:c>
      <x:c r="B1474" s="17" t="str">
        <x:v>program</x:v>
      </x:c>
      <x:c r="C1474" s="17" t="str">
        <x:v>University of Michigan-Dearborn</x:v>
      </x:c>
      <x:c r="D1474" s="17" t="str">
        <x:v>us:ipeds:171137:program:unclear:ipeds-discovery-signal-computer-and-information-systems-security-auditing-information-assurance-cip-11-1003</x:v>
      </x:c>
      <x:c r="E1474" s="17" t="str"/>
      <x:c r="F1474" s="17" t="str">
        <x:v>discovery</x:v>
      </x:c>
      <x:c r="G1474" s="17" t="str">
        <x:v>Stage 2 recorded this row as a discovery candidate; it does not independently verify an exact current research program, eligibility, or funding.</x:v>
      </x:c>
      <x:c r="H1474" s="17" t="str">
        <x:v>Pass 2 Stage 2 candidate funnel</x:v>
      </x:c>
      <x:c r="I1474" s="17" t="str">
        <x:v>Graduate audit pipeline</x:v>
      </x:c>
      <x:c r="J1474" s="17" t="str">
        <x:v>derived</x:v>
      </x:c>
      <x:c r="K1474" s="17" t="str">
        <x:v>2026-09-11</x:v>
      </x:c>
      <x:c r="L1474" s="17" t="str">
        <x:v>Not cycle-specific</x:v>
      </x:c>
      <x:c r="M1474" s="17" t="str">
        <x:v>low</x:v>
      </x:c>
      <x:c r="N1474" s="17" t="str">
        <x:v>Discovery evidence only</x:v>
      </x:c>
      <x:c r="O1474" s="17" t="str">
        <x:v>Use the source_record_paths field to trace the underlying discovery inputs.</x:v>
      </x:c>
      <x:c r="P1474" s="18" t="e">
        <x:f>HYPERLINK("https://umdearborn.edu","Open source")</x:f>
        <x:v>HYPERLINK is not implemented. linkLocation=https://umdearborn.edu, friendlyName=Open source</x:v>
      </x:c>
    </x:row>
    <x:row r="1475" ht="46" customHeight="1">
      <x:c r="A1475" s="17" t="str">
        <x:v>stage3src:ba76723ea67db1c2e2b3</x:v>
      </x:c>
      <x:c r="B1475" s="17" t="str">
        <x:v>program</x:v>
      </x:c>
      <x:c r="C1475" s="17" t="str">
        <x:v>University of Michigan-Dearborn</x:v>
      </x:c>
      <x:c r="D1475" s="17" t="str">
        <x:v>us:ipeds:171137:program:unclear:ipeds-discovery-signal-computer-engineering-general-cip-14-0901</x:v>
      </x:c>
      <x:c r="E1475" s="17" t="str"/>
      <x:c r="F1475" s="17" t="str">
        <x:v>discovery</x:v>
      </x:c>
      <x:c r="G1475" s="17" t="str">
        <x:v>Stage 2 recorded this row as a discovery candidate; it does not independently verify an exact current research program, eligibility, or funding.</x:v>
      </x:c>
      <x:c r="H1475" s="17" t="str">
        <x:v>Pass 2 Stage 2 candidate funnel</x:v>
      </x:c>
      <x:c r="I1475" s="17" t="str">
        <x:v>Graduate audit pipeline</x:v>
      </x:c>
      <x:c r="J1475" s="17" t="str">
        <x:v>derived</x:v>
      </x:c>
      <x:c r="K1475" s="17" t="str">
        <x:v>2026-09-11</x:v>
      </x:c>
      <x:c r="L1475" s="17" t="str">
        <x:v>Not cycle-specific</x:v>
      </x:c>
      <x:c r="M1475" s="17" t="str">
        <x:v>low</x:v>
      </x:c>
      <x:c r="N1475" s="17" t="str">
        <x:v>Discovery evidence only</x:v>
      </x:c>
      <x:c r="O1475" s="17" t="str">
        <x:v>Use the source_record_paths field to trace the underlying discovery inputs.</x:v>
      </x:c>
      <x:c r="P1475" s="18" t="e">
        <x:f>HYPERLINK("https://umdearborn.edu","Open source")</x:f>
        <x:v>HYPERLINK is not implemented. linkLocation=https://umdearborn.edu, friendlyName=Open source</x:v>
      </x:c>
    </x:row>
    <x:row r="1476" ht="46" customHeight="1">
      <x:c r="A1476" s="17" t="str">
        <x:v>stage3src:fd78def99f026b8ef811</x:v>
      </x:c>
      <x:c r="B1476" s="17" t="str">
        <x:v>program</x:v>
      </x:c>
      <x:c r="C1476" s="17" t="str">
        <x:v>University of Michigan-Dearborn</x:v>
      </x:c>
      <x:c r="D1476" s="17" t="str">
        <x:v>us:ipeds:171137:program:unclear:ipeds-discovery-signal-computer-engineering-other-cip-14-0999</x:v>
      </x:c>
      <x:c r="E1476" s="17" t="str"/>
      <x:c r="F1476" s="17" t="str">
        <x:v>discovery</x:v>
      </x:c>
      <x:c r="G1476" s="17" t="str">
        <x:v>Stage 2 recorded this row as a discovery candidate; it does not independently verify an exact current research program, eligibility, or funding.</x:v>
      </x:c>
      <x:c r="H1476" s="17" t="str">
        <x:v>Pass 2 Stage 2 candidate funnel</x:v>
      </x:c>
      <x:c r="I1476" s="17" t="str">
        <x:v>Graduate audit pipeline</x:v>
      </x:c>
      <x:c r="J1476" s="17" t="str">
        <x:v>derived</x:v>
      </x:c>
      <x:c r="K1476" s="17" t="str">
        <x:v>2026-09-11</x:v>
      </x:c>
      <x:c r="L1476" s="17" t="str">
        <x:v>Not cycle-specific</x:v>
      </x:c>
      <x:c r="M1476" s="17" t="str">
        <x:v>low</x:v>
      </x:c>
      <x:c r="N1476" s="17" t="str">
        <x:v>Discovery evidence only</x:v>
      </x:c>
      <x:c r="O1476" s="17" t="str">
        <x:v>Use the source_record_paths field to trace the underlying discovery inputs.</x:v>
      </x:c>
      <x:c r="P1476" s="18" t="e">
        <x:f>HYPERLINK("https://umdearborn.edu","Open source")</x:f>
        <x:v>HYPERLINK is not implemented. linkLocation=https://umdearborn.edu, friendlyName=Open source</x:v>
      </x:c>
    </x:row>
    <x:row r="1477" ht="46" customHeight="1">
      <x:c r="A1477" s="17" t="str">
        <x:v>stage3src:34175111cf579218440b</x:v>
      </x:c>
      <x:c r="B1477" s="17" t="str">
        <x:v>program</x:v>
      </x:c>
      <x:c r="C1477" s="17" t="str">
        <x:v>University of Michigan-Dearborn</x:v>
      </x:c>
      <x:c r="D1477" s="17" t="str">
        <x:v>us:ipeds:171137:program:unclear:ipeds-discovery-signal-electrical-and-electronics-engineering-cip-14-1001</x:v>
      </x:c>
      <x:c r="E1477" s="17" t="str"/>
      <x:c r="F1477" s="17" t="str">
        <x:v>discovery</x:v>
      </x:c>
      <x:c r="G1477" s="17" t="str">
        <x:v>Stage 2 recorded this row as a discovery candidate; it does not independently verify an exact current research program, eligibility, or funding.</x:v>
      </x:c>
      <x:c r="H1477" s="17" t="str">
        <x:v>Pass 2 Stage 2 candidate funnel</x:v>
      </x:c>
      <x:c r="I1477" s="17" t="str">
        <x:v>Graduate audit pipeline</x:v>
      </x:c>
      <x:c r="J1477" s="17" t="str">
        <x:v>derived</x:v>
      </x:c>
      <x:c r="K1477" s="17" t="str">
        <x:v>2026-09-11</x:v>
      </x:c>
      <x:c r="L1477" s="17" t="str">
        <x:v>Not cycle-specific</x:v>
      </x:c>
      <x:c r="M1477" s="17" t="str">
        <x:v>low</x:v>
      </x:c>
      <x:c r="N1477" s="17" t="str">
        <x:v>Discovery evidence only</x:v>
      </x:c>
      <x:c r="O1477" s="17" t="str">
        <x:v>Use the source_record_paths field to trace the underlying discovery inputs.</x:v>
      </x:c>
      <x:c r="P1477" s="18" t="e">
        <x:f>HYPERLINK("https://umdearborn.edu","Open source")</x:f>
        <x:v>HYPERLINK is not implemented. linkLocation=https://umdearborn.edu, friendlyName=Open source</x:v>
      </x:c>
    </x:row>
    <x:row r="1478" ht="46" customHeight="1">
      <x:c r="A1478" s="17" t="str">
        <x:v>stage3src:79fd90d4755ae2fe12fe</x:v>
      </x:c>
      <x:c r="B1478" s="17" t="str">
        <x:v>program</x:v>
      </x:c>
      <x:c r="C1478" s="17" t="str">
        <x:v>University of Michigan-Dearborn</x:v>
      </x:c>
      <x:c r="D1478" s="17" t="str">
        <x:v>us:ipeds:171137:program:unclear:ipeds-discovery-signal-information-science-studies-cip-11-0401</x:v>
      </x:c>
      <x:c r="E1478" s="17" t="str"/>
      <x:c r="F1478" s="17" t="str">
        <x:v>discovery</x:v>
      </x:c>
      <x:c r="G1478" s="17" t="str">
        <x:v>Stage 2 recorded this row as a discovery candidate; it does not independently verify an exact current research program, eligibility, or funding.</x:v>
      </x:c>
      <x:c r="H1478" s="17" t="str">
        <x:v>Pass 2 Stage 2 candidate funnel</x:v>
      </x:c>
      <x:c r="I1478" s="17" t="str">
        <x:v>Graduate audit pipeline</x:v>
      </x:c>
      <x:c r="J1478" s="17" t="str">
        <x:v>derived</x:v>
      </x:c>
      <x:c r="K1478" s="17" t="str">
        <x:v>2026-09-11</x:v>
      </x:c>
      <x:c r="L1478" s="17" t="str">
        <x:v>Not cycle-specific</x:v>
      </x:c>
      <x:c r="M1478" s="17" t="str">
        <x:v>low</x:v>
      </x:c>
      <x:c r="N1478" s="17" t="str">
        <x:v>Discovery evidence only</x:v>
      </x:c>
      <x:c r="O1478" s="17" t="str">
        <x:v>Use the source_record_paths field to trace the underlying discovery inputs.</x:v>
      </x:c>
      <x:c r="P1478" s="18" t="e">
        <x:f>HYPERLINK("https://umdearborn.edu","Open source")</x:f>
        <x:v>HYPERLINK is not implemented. linkLocation=https://umdearborn.edu, friendlyName=Open source</x:v>
      </x:c>
    </x:row>
    <x:row r="1479" ht="46" customHeight="1">
      <x:c r="A1479" s="17" t="str">
        <x:v>stage3src:881a5681aae28754bb8e</x:v>
      </x:c>
      <x:c r="B1479" s="17" t="str">
        <x:v>program</x:v>
      </x:c>
      <x:c r="C1479" s="17" t="str">
        <x:v>University of Michigan-Dearborn</x:v>
      </x:c>
      <x:c r="D1479" s="17" t="str">
        <x:v>us:ipeds:171137:program:unclear:ipeds-discovery-signal-information-technology-cip-11-0103</x:v>
      </x:c>
      <x:c r="E1479" s="17" t="str"/>
      <x:c r="F1479" s="17" t="str">
        <x:v>discovery</x:v>
      </x:c>
      <x:c r="G1479" s="17" t="str">
        <x:v>Stage 2 recorded this row as a discovery candidate; it does not independently verify an exact current research program, eligibility, or funding.</x:v>
      </x:c>
      <x:c r="H1479" s="17" t="str">
        <x:v>Pass 2 Stage 2 candidate funnel</x:v>
      </x:c>
      <x:c r="I1479" s="17" t="str">
        <x:v>Graduate audit pipeline</x:v>
      </x:c>
      <x:c r="J1479" s="17" t="str">
        <x:v>derived</x:v>
      </x:c>
      <x:c r="K1479" s="17" t="str">
        <x:v>2026-09-11</x:v>
      </x:c>
      <x:c r="L1479" s="17" t="str">
        <x:v>Not cycle-specific</x:v>
      </x:c>
      <x:c r="M1479" s="17" t="str">
        <x:v>low</x:v>
      </x:c>
      <x:c r="N1479" s="17" t="str">
        <x:v>Discovery evidence only</x:v>
      </x:c>
      <x:c r="O1479" s="17" t="str">
        <x:v>Use the source_record_paths field to trace the underlying discovery inputs.</x:v>
      </x:c>
      <x:c r="P1479" s="18" t="e">
        <x:f>HYPERLINK("https://umdearborn.edu","Open source")</x:f>
        <x:v>HYPERLINK is not implemented. linkLocation=https://umdearborn.edu, friendlyName=Open source</x:v>
      </x:c>
    </x:row>
    <x:row r="1480" ht="46" customHeight="1">
      <x:c r="A1480" s="17" t="str">
        <x:v>stage3src:4b3e43739de1e7d62bb5</x:v>
      </x:c>
      <x:c r="B1480" s="17" t="str">
        <x:v>program</x:v>
      </x:c>
      <x:c r="C1480" s="17" t="str">
        <x:v>University of Michigan-Dearborn</x:v>
      </x:c>
      <x:c r="D1480" s="17" t="str">
        <x:v>us:ipeds:171137:program:unclear:ipeds-discovery-signal-mechatronics-robotics-and-automation-engineering-cip-14-4201</x:v>
      </x:c>
      <x:c r="E1480" s="17" t="str"/>
      <x:c r="F1480" s="17" t="str">
        <x:v>discovery</x:v>
      </x:c>
      <x:c r="G1480" s="17" t="str">
        <x:v>Stage 2 recorded this row as a discovery candidate; it does not independently verify an exact current research program, eligibility, or funding.</x:v>
      </x:c>
      <x:c r="H1480" s="17" t="str">
        <x:v>Pass 2 Stage 2 candidate funnel</x:v>
      </x:c>
      <x:c r="I1480" s="17" t="str">
        <x:v>Graduate audit pipeline</x:v>
      </x:c>
      <x:c r="J1480" s="17" t="str">
        <x:v>derived</x:v>
      </x:c>
      <x:c r="K1480" s="17" t="str">
        <x:v>2026-09-11</x:v>
      </x:c>
      <x:c r="L1480" s="17" t="str">
        <x:v>Not cycle-specific</x:v>
      </x:c>
      <x:c r="M1480" s="17" t="str">
        <x:v>low</x:v>
      </x:c>
      <x:c r="N1480" s="17" t="str">
        <x:v>Discovery evidence only</x:v>
      </x:c>
      <x:c r="O1480" s="17" t="str">
        <x:v>Use the source_record_paths field to trace the underlying discovery inputs.</x:v>
      </x:c>
      <x:c r="P1480" s="18" t="e">
        <x:f>HYPERLINK("https://umdearborn.edu","Open source")</x:f>
        <x:v>HYPERLINK is not implemented. linkLocation=https://umdearborn.edu, friendlyName=Open source</x:v>
      </x:c>
    </x:row>
    <x:row r="1481" ht="46" customHeight="1">
      <x:c r="A1481" s="17" t="str">
        <x:v>stage3src:6d51f21e0fdd42dfa878</x:v>
      </x:c>
      <x:c r="B1481" s="17" t="str">
        <x:v>program</x:v>
      </x:c>
      <x:c r="C1481" s="17" t="str">
        <x:v>University of Michigan-Flint</x:v>
      </x:c>
      <x:c r="D1481" s="17" t="str">
        <x:v>us:ipeds:171146:program:unclear:ipeds-discovery-signal-computer-and-information-sciences-general-cip-11-0101</x:v>
      </x:c>
      <x:c r="E1481" s="17" t="str"/>
      <x:c r="F1481" s="17" t="str">
        <x:v>discovery</x:v>
      </x:c>
      <x:c r="G1481" s="17" t="str">
        <x:v>Stage 2 recorded this row as a discovery candidate; it does not independently verify an exact current research program, eligibility, or funding.</x:v>
      </x:c>
      <x:c r="H1481" s="17" t="str">
        <x:v>Pass 2 Stage 2 candidate funnel</x:v>
      </x:c>
      <x:c r="I1481" s="17" t="str">
        <x:v>Graduate audit pipeline</x:v>
      </x:c>
      <x:c r="J1481" s="17" t="str">
        <x:v>derived</x:v>
      </x:c>
      <x:c r="K1481" s="17" t="str">
        <x:v>2026-09-11</x:v>
      </x:c>
      <x:c r="L1481" s="17" t="str">
        <x:v>Not cycle-specific</x:v>
      </x:c>
      <x:c r="M1481" s="17" t="str">
        <x:v>low</x:v>
      </x:c>
      <x:c r="N1481" s="17" t="str">
        <x:v>Discovery evidence only</x:v>
      </x:c>
      <x:c r="O1481" s="17" t="str">
        <x:v>Use the source_record_paths field to trace the underlying discovery inputs.</x:v>
      </x:c>
      <x:c r="P1481" s="18" t="e">
        <x:f>HYPERLINK("https://www.umflint.edu","Open source")</x:f>
        <x:v>HYPERLINK is not implemented. linkLocation=https://www.umflint.edu, friendlyName=Open source</x:v>
      </x:c>
    </x:row>
    <x:row r="1482" ht="46" customHeight="1">
      <x:c r="A1482" s="17" t="str">
        <x:v>stage3src:85d221a1a47310540c0f</x:v>
      </x:c>
      <x:c r="B1482" s="17" t="str">
        <x:v>program</x:v>
      </x:c>
      <x:c r="C1482" s="17" t="str">
        <x:v>Northern Michigan University</x:v>
      </x:c>
      <x:c r="D1482" s="17" t="str">
        <x:v>us:ipeds:171456:program:unclear:ipeds-discovery-signal-computer-and-information-sciences-general-cip-11-0101</x:v>
      </x:c>
      <x:c r="E1482" s="17" t="str"/>
      <x:c r="F1482" s="17" t="str">
        <x:v>discovery</x:v>
      </x:c>
      <x:c r="G1482" s="17" t="str">
        <x:v>Stage 2 recorded this row as a discovery candidate; it does not independently verify an exact current research program, eligibility, or funding.</x:v>
      </x:c>
      <x:c r="H1482" s="17" t="str">
        <x:v>Pass 2 Stage 2 candidate funnel</x:v>
      </x:c>
      <x:c r="I1482" s="17" t="str">
        <x:v>Graduate audit pipeline</x:v>
      </x:c>
      <x:c r="J1482" s="17" t="str">
        <x:v>derived</x:v>
      </x:c>
      <x:c r="K1482" s="17" t="str">
        <x:v>2026-09-11</x:v>
      </x:c>
      <x:c r="L1482" s="17" t="str">
        <x:v>Not cycle-specific</x:v>
      </x:c>
      <x:c r="M1482" s="17" t="str">
        <x:v>low</x:v>
      </x:c>
      <x:c r="N1482" s="17" t="str">
        <x:v>Discovery evidence only</x:v>
      </x:c>
      <x:c r="O1482" s="17" t="str">
        <x:v>Use the source_record_paths field to trace the underlying discovery inputs.</x:v>
      </x:c>
      <x:c r="P1482" s="18" t="e">
        <x:f>HYPERLINK("https://www.nmu.edu","Open source")</x:f>
        <x:v>HYPERLINK is not implemented. linkLocation=https://www.nmu.edu, friendlyName=Open source</x:v>
      </x:c>
    </x:row>
    <x:row r="1483" ht="46" customHeight="1">
      <x:c r="A1483" s="17" t="str">
        <x:v>stage3src:2fb6a3abeb94555a83dc</x:v>
      </x:c>
      <x:c r="B1483" s="17" t="str">
        <x:v>program</x:v>
      </x:c>
      <x:c r="C1483" s="17" t="str">
        <x:v>Oakland University</x:v>
      </x:c>
      <x:c r="D1483" s="17" t="str">
        <x:v>us:ipeds:171571:program:phd:doctor-of-philosophy-in-computer-science-and-informatics</x:v>
      </x:c>
      <x:c r="E1483" s="17" t="str"/>
      <x:c r="F1483" s="17" t="str">
        <x:v>funding|research|conditions</x:v>
      </x:c>
      <x:c r="G1483" s="17" t="str">
        <x:v>SECS publishes funded doctoral openings but does not establish a universal Fall 2027 package for every admitted CSI PhD student.</x:v>
      </x:c>
      <x:c r="H1483" s="17" t="str">
        <x:v>Graduate Resources</x:v>
      </x:c>
      <x:c r="I1483" s="17" t="str">
        <x:v>Oakland University</x:v>
      </x:c>
      <x:c r="J1483" s="17" t="str">
        <x:v>official</x:v>
      </x:c>
      <x:c r="K1483" s="17" t="str">
        <x:v>2026-09-11</x:v>
      </x:c>
      <x:c r="L1483" s="17" t="str">
        <x:v>Current position page checked 2026-09-11; Fall 2027 package not published</x:v>
      </x:c>
      <x:c r="M1483" s="17" t="str">
        <x:v>high</x:v>
      </x:c>
      <x:c r="N1483" s="17" t="str">
        <x:v>official page checked</x:v>
      </x:c>
      <x:c r="O1483" s="17" t="str"/>
      <x:c r="P1483" s="18" t="e">
        <x:f>HYPERLINK("https://www.oakland.edu/secs/student-resources/graduate-resources/","Open source")</x:f>
        <x:v>HYPERLINK is not implemented. linkLocation=https://www.oakland.edu/secs/student-resources/graduate-resources/, friendlyName=Open source</x:v>
      </x:c>
    </x:row>
    <x:row r="1484" ht="46" customHeight="1">
      <x:c r="A1484" s="17" t="str">
        <x:v>stage3src:7b9b564977d73ca36308</x:v>
      </x:c>
      <x:c r="B1484" s="17" t="str">
        <x:v>program</x:v>
      </x:c>
      <x:c r="C1484" s="17" t="str">
        <x:v>Oakland University</x:v>
      </x:c>
      <x:c r="D1484" s="17" t="str">
        <x:v>us:ipeds:171571:program:phd:doctor-of-philosophy-in-computer-science-and-informatics</x:v>
      </x:c>
      <x:c r="E1484" s="17" t="str"/>
      <x:c r="F1484" s="17" t="str">
        <x:v>program|research|faculty</x:v>
      </x:c>
      <x:c r="G1484" s="17" t="str">
        <x:v>Current Computer Science and Informatics doctorate, Computer Science and Software/IT specializations, research fields, and program coordinator.</x:v>
      </x:c>
      <x:c r="H1484" s="17" t="str">
        <x:v>Doctoral Programs</x:v>
      </x:c>
      <x:c r="I1484" s="17" t="str">
        <x:v>Oakland University</x:v>
      </x:c>
      <x:c r="J1484" s="17" t="str">
        <x:v>official</x:v>
      </x:c>
      <x:c r="K1484" s="17" t="str">
        <x:v>2026-09-11</x:v>
      </x:c>
      <x:c r="L1484" s="17" t="str">
        <x:v>Current page checked 2026-09-11</x:v>
      </x:c>
      <x:c r="M1484" s="17" t="str">
        <x:v>high</x:v>
      </x:c>
      <x:c r="N1484" s="17" t="str">
        <x:v>official page checked</x:v>
      </x:c>
      <x:c r="O1484" s="17" t="str"/>
      <x:c r="P1484" s="18" t="e">
        <x:f>HYPERLINK("https://www.oakland.edu/secs/doctoral-programs/","Open source")</x:f>
        <x:v>HYPERLINK is not implemented. linkLocation=https://www.oakland.edu/secs/doctoral-programs/, friendlyName=Open source</x:v>
      </x:c>
    </x:row>
    <x:row r="1485" ht="46" customHeight="1">
      <x:c r="A1485" s="17" t="str">
        <x:v>stage3src:aed65370c7f7e206ca9b</x:v>
      </x:c>
      <x:c r="B1485" s="17" t="str">
        <x:v>program</x:v>
      </x:c>
      <x:c r="C1485" s="17" t="str">
        <x:v>Oakland University</x:v>
      </x:c>
      <x:c r="D1485" s="17" t="str">
        <x:v>us:ipeds:171571:program:phd:doctor-of-philosophy-in-computer-science-and-informatics</x:v>
      </x:c>
      <x:c r="E1485" s="17" t="str"/>
      <x:c r="F1485" s="17" t="str">
        <x:v>program|research|admissions|eligibility|gpa|deadline|faculty|funding</x:v>
      </x:c>
      <x:c r="G1485" s="17" t="str">
        <x:v>Current PhD structure, normal master's requirement, discretionary outstanding-bachelor exception, deadlines, faculty alignment, and assistantship good-standing conditions.</x:v>
      </x:c>
      <x:c r="H1485" s="17" t="str">
        <x:v>Computer Science and Informatics Program Requirements</x:v>
      </x:c>
      <x:c r="I1485" s="17" t="str">
        <x:v>Oakland University Graduate Catalog</x:v>
      </x:c>
      <x:c r="J1485" s="17" t="str">
        <x:v>official</x:v>
      </x:c>
      <x:c r="K1485" s="17" t="str">
        <x:v>2026-09-11</x:v>
      </x:c>
      <x:c r="L1485" s="17" t="str">
        <x:v>Current catalog checked 2026-09-11</x:v>
      </x:c>
      <x:c r="M1485" s="17" t="str">
        <x:v>high</x:v>
      </x:c>
      <x:c r="N1485" s="17" t="str">
        <x:v>official page checked</x:v>
      </x:c>
      <x:c r="O1485" s="17" t="str"/>
      <x:c r="P1485" s="18" t="e">
        <x:f>HYPERLINK("https://graduatecatalog.oakland.edu/programs/RiD4RoYOIfoKUJ6fRCKU/requirements-QhMWt","Open source")</x:f>
        <x:v>HYPERLINK is not implemented. linkLocation=https://graduatecatalog.oakland.edu/programs/RiD4RoYOIfoKUJ6fRCKU/requirements-QhMWt, friendlyName=Open source</x:v>
      </x:c>
    </x:row>
    <x:row r="1486" ht="46" customHeight="1">
      <x:c r="A1486" s="17" t="str">
        <x:v>stage3src:58ed3ecd6a6d77abe8d0</x:v>
      </x:c>
      <x:c r="B1486" s="17" t="str">
        <x:v>program</x:v>
      </x:c>
      <x:c r="C1486" s="17" t="str">
        <x:v>Oakland University</x:v>
      </x:c>
      <x:c r="D1486" s="17" t="str">
        <x:v>us:ipeds:171571:program:unclear:ipeds-discovery-signal-artificial-intelligence-cip-11-0102</x:v>
      </x:c>
      <x:c r="E1486" s="17" t="str"/>
      <x:c r="F1486" s="17" t="str">
        <x:v>discovery</x:v>
      </x:c>
      <x:c r="G1486" s="17" t="str">
        <x:v>Stage 2 recorded this row as a discovery candidate; it does not independently verify an exact current research program, eligibility, or funding.</x:v>
      </x:c>
      <x:c r="H1486" s="17" t="str">
        <x:v>Pass 2 Stage 2 candidate funnel</x:v>
      </x:c>
      <x:c r="I1486" s="17" t="str">
        <x:v>Graduate audit pipeline</x:v>
      </x:c>
      <x:c r="J1486" s="17" t="str">
        <x:v>derived</x:v>
      </x:c>
      <x:c r="K1486" s="17" t="str">
        <x:v>2026-09-11</x:v>
      </x:c>
      <x:c r="L1486" s="17" t="str">
        <x:v>Not cycle-specific</x:v>
      </x:c>
      <x:c r="M1486" s="17" t="str">
        <x:v>low</x:v>
      </x:c>
      <x:c r="N1486" s="17" t="str">
        <x:v>Discovery evidence only</x:v>
      </x:c>
      <x:c r="O1486" s="17" t="str">
        <x:v>Use the source_record_paths field to trace the underlying discovery inputs.</x:v>
      </x:c>
      <x:c r="P1486" s="18" t="e">
        <x:f>HYPERLINK("https://www.oakland.edu","Open source")</x:f>
        <x:v>HYPERLINK is not implemented. linkLocation=https://www.oakland.edu, friendlyName=Open source</x:v>
      </x:c>
    </x:row>
    <x:row r="1487" ht="46" customHeight="1">
      <x:c r="A1487" s="17" t="str">
        <x:v>stage3src:8fc3f35eb9ad83f6fa79</x:v>
      </x:c>
      <x:c r="B1487" s="17" t="str">
        <x:v>program</x:v>
      </x:c>
      <x:c r="C1487" s="17" t="str">
        <x:v>Oakland University</x:v>
      </x:c>
      <x:c r="D1487" s="17" t="str">
        <x:v>us:ipeds:171571:program:unclear:ipeds-discovery-signal-computer-and-information-sciences-general-cip-11-0101</x:v>
      </x:c>
      <x:c r="E1487" s="17" t="str"/>
      <x:c r="F1487" s="17" t="str">
        <x:v>discovery</x:v>
      </x:c>
      <x:c r="G1487" s="17" t="str">
        <x:v>Stage 2 recorded this row as a discovery candidate; it does not independently verify an exact current research program, eligibility, or funding.</x:v>
      </x:c>
      <x:c r="H1487" s="17" t="str">
        <x:v>Pass 2 Stage 2 candidate funnel</x:v>
      </x:c>
      <x:c r="I1487" s="17" t="str">
        <x:v>Graduate audit pipeline</x:v>
      </x:c>
      <x:c r="J1487" s="17" t="str">
        <x:v>derived</x:v>
      </x:c>
      <x:c r="K1487" s="17" t="str">
        <x:v>2026-09-11</x:v>
      </x:c>
      <x:c r="L1487" s="17" t="str">
        <x:v>Not cycle-specific</x:v>
      </x:c>
      <x:c r="M1487" s="17" t="str">
        <x:v>low</x:v>
      </x:c>
      <x:c r="N1487" s="17" t="str">
        <x:v>Discovery evidence only</x:v>
      </x:c>
      <x:c r="O1487" s="17" t="str">
        <x:v>Use the source_record_paths field to trace the underlying discovery inputs.</x:v>
      </x:c>
      <x:c r="P1487" s="18" t="e">
        <x:f>HYPERLINK("https://www.oakland.edu","Open source")</x:f>
        <x:v>HYPERLINK is not implemented. linkLocation=https://www.oakland.edu, friendlyName=Open source</x:v>
      </x:c>
    </x:row>
    <x:row r="1488" ht="46" customHeight="1">
      <x:c r="A1488" s="17" t="str">
        <x:v>stage3src:0eea1e836654e2a99f6e</x:v>
      </x:c>
      <x:c r="B1488" s="17" t="str">
        <x:v>program</x:v>
      </x:c>
      <x:c r="C1488" s="17" t="str">
        <x:v>Oakland University</x:v>
      </x:c>
      <x:c r="D1488" s="17" t="str">
        <x:v>us:ipeds:171571:program:unclear:ipeds-discovery-signal-computer-hardware-engineering-cip-14-0902</x:v>
      </x:c>
      <x:c r="E1488" s="17" t="str"/>
      <x:c r="F1488" s="17" t="str">
        <x:v>discovery</x:v>
      </x:c>
      <x:c r="G1488" s="17" t="str">
        <x:v>Stage 2 recorded this row as a discovery candidate; it does not independently verify an exact current research program, eligibility, or funding.</x:v>
      </x:c>
      <x:c r="H1488" s="17" t="str">
        <x:v>Pass 2 Stage 2 candidate funnel</x:v>
      </x:c>
      <x:c r="I1488" s="17" t="str">
        <x:v>Graduate audit pipeline</x:v>
      </x:c>
      <x:c r="J1488" s="17" t="str">
        <x:v>derived</x:v>
      </x:c>
      <x:c r="K1488" s="17" t="str">
        <x:v>2026-09-11</x:v>
      </x:c>
      <x:c r="L1488" s="17" t="str">
        <x:v>Not cycle-specific</x:v>
      </x:c>
      <x:c r="M1488" s="17" t="str">
        <x:v>low</x:v>
      </x:c>
      <x:c r="N1488" s="17" t="str">
        <x:v>Discovery evidence only</x:v>
      </x:c>
      <x:c r="O1488" s="17" t="str">
        <x:v>Use the source_record_paths field to trace the underlying discovery inputs.</x:v>
      </x:c>
      <x:c r="P1488" s="18" t="e">
        <x:f>HYPERLINK("https://www.oakland.edu","Open source")</x:f>
        <x:v>HYPERLINK is not implemented. linkLocation=https://www.oakland.edu, friendlyName=Open source</x:v>
      </x:c>
    </x:row>
    <x:row r="1489" ht="46" customHeight="1">
      <x:c r="A1489" s="17" t="str">
        <x:v>stage3src:73d0f2547949a5c65da2</x:v>
      </x:c>
      <x:c r="B1489" s="17" t="str">
        <x:v>program</x:v>
      </x:c>
      <x:c r="C1489" s="17" t="str">
        <x:v>Oakland University</x:v>
      </x:c>
      <x:c r="D1489" s="17" t="str">
        <x:v>us:ipeds:171571:program:unclear:ipeds-discovery-signal-electrical-and-electronics-engineering-cip-14-1001</x:v>
      </x:c>
      <x:c r="E1489" s="17" t="str"/>
      <x:c r="F1489" s="17" t="str">
        <x:v>discovery</x:v>
      </x:c>
      <x:c r="G1489" s="17" t="str">
        <x:v>Stage 2 recorded this row as a discovery candidate; it does not independently verify an exact current research program, eligibility, or funding.</x:v>
      </x:c>
      <x:c r="H1489" s="17" t="str">
        <x:v>Pass 2 Stage 2 candidate funnel</x:v>
      </x:c>
      <x:c r="I1489" s="17" t="str">
        <x:v>Graduate audit pipeline</x:v>
      </x:c>
      <x:c r="J1489" s="17" t="str">
        <x:v>derived</x:v>
      </x:c>
      <x:c r="K1489" s="17" t="str">
        <x:v>2026-09-11</x:v>
      </x:c>
      <x:c r="L1489" s="17" t="str">
        <x:v>Not cycle-specific</x:v>
      </x:c>
      <x:c r="M1489" s="17" t="str">
        <x:v>low</x:v>
      </x:c>
      <x:c r="N1489" s="17" t="str">
        <x:v>Discovery evidence only</x:v>
      </x:c>
      <x:c r="O1489" s="17" t="str">
        <x:v>Use the source_record_paths field to trace the underlying discovery inputs.</x:v>
      </x:c>
      <x:c r="P1489" s="18" t="e">
        <x:f>HYPERLINK("https://www.oakland.edu","Open source")</x:f>
        <x:v>HYPERLINK is not implemented. linkLocation=https://www.oakland.edu, friendlyName=Open source</x:v>
      </x:c>
    </x:row>
    <x:row r="1490" ht="46" customHeight="1">
      <x:c r="A1490" s="17" t="str">
        <x:v>stage3src:460bc962b1548b0efaaf</x:v>
      </x:c>
      <x:c r="B1490" s="17" t="str">
        <x:v>program</x:v>
      </x:c>
      <x:c r="C1490" s="17" t="str">
        <x:v>Oakland University</x:v>
      </x:c>
      <x:c r="D1490" s="17" t="str">
        <x:v>us:ipeds:171571:program:unclear:ipeds-discovery-signal-information-technology-cip-11-0103</x:v>
      </x:c>
      <x:c r="E1490" s="17" t="str"/>
      <x:c r="F1490" s="17" t="str">
        <x:v>discovery</x:v>
      </x:c>
      <x:c r="G1490" s="17" t="str">
        <x:v>Stage 2 recorded this row as a discovery candidate; it does not independently verify an exact current research program, eligibility, or funding.</x:v>
      </x:c>
      <x:c r="H1490" s="17" t="str">
        <x:v>Pass 2 Stage 2 candidate funnel</x:v>
      </x:c>
      <x:c r="I1490" s="17" t="str">
        <x:v>Graduate audit pipeline</x:v>
      </x:c>
      <x:c r="J1490" s="17" t="str">
        <x:v>derived</x:v>
      </x:c>
      <x:c r="K1490" s="17" t="str">
        <x:v>2026-09-11</x:v>
      </x:c>
      <x:c r="L1490" s="17" t="str">
        <x:v>Not cycle-specific</x:v>
      </x:c>
      <x:c r="M1490" s="17" t="str">
        <x:v>low</x:v>
      </x:c>
      <x:c r="N1490" s="17" t="str">
        <x:v>Discovery evidence only</x:v>
      </x:c>
      <x:c r="O1490" s="17" t="str">
        <x:v>Use the source_record_paths field to trace the underlying discovery inputs.</x:v>
      </x:c>
      <x:c r="P1490" s="18" t="e">
        <x:f>HYPERLINK("https://www.oakland.edu","Open source")</x:f>
        <x:v>HYPERLINK is not implemented. linkLocation=https://www.oakland.edu, friendlyName=Open source</x:v>
      </x:c>
    </x:row>
    <x:row r="1491" ht="46" customHeight="1">
      <x:c r="A1491" s="17" t="str">
        <x:v>stage3src:4efc292a035007844b40</x:v>
      </x:c>
      <x:c r="B1491" s="17" t="str">
        <x:v>program</x:v>
      </x:c>
      <x:c r="C1491" s="17" t="str">
        <x:v>Oakland University</x:v>
      </x:c>
      <x:c r="D1491" s="17" t="str">
        <x:v>us:ipeds:171571:program:unclear:ipeds-discovery-signal-mechatronics-robotics-and-automation-engineering-cip-14-4201</x:v>
      </x:c>
      <x:c r="E1491" s="17" t="str"/>
      <x:c r="F1491" s="17" t="str">
        <x:v>discovery</x:v>
      </x:c>
      <x:c r="G1491" s="17" t="str">
        <x:v>Stage 2 recorded this row as a discovery candidate; it does not independently verify an exact current research program, eligibility, or funding.</x:v>
      </x:c>
      <x:c r="H1491" s="17" t="str">
        <x:v>Pass 2 Stage 2 candidate funnel</x:v>
      </x:c>
      <x:c r="I1491" s="17" t="str">
        <x:v>Graduate audit pipeline</x:v>
      </x:c>
      <x:c r="J1491" s="17" t="str">
        <x:v>derived</x:v>
      </x:c>
      <x:c r="K1491" s="17" t="str">
        <x:v>2026-09-11</x:v>
      </x:c>
      <x:c r="L1491" s="17" t="str">
        <x:v>Not cycle-specific</x:v>
      </x:c>
      <x:c r="M1491" s="17" t="str">
        <x:v>low</x:v>
      </x:c>
      <x:c r="N1491" s="17" t="str">
        <x:v>Discovery evidence only</x:v>
      </x:c>
      <x:c r="O1491" s="17" t="str">
        <x:v>Use the source_record_paths field to trace the underlying discovery inputs.</x:v>
      </x:c>
      <x:c r="P1491" s="18" t="e">
        <x:f>HYPERLINK("https://www.oakland.edu","Open source")</x:f>
        <x:v>HYPERLINK is not implemented. linkLocation=https://www.oakland.edu, friendlyName=Open source</x:v>
      </x:c>
    </x:row>
    <x:row r="1492" ht="46" customHeight="1">
      <x:c r="A1492" s="17" t="str">
        <x:v>stage3src:5169c2499a41d394bcc8</x:v>
      </x:c>
      <x:c r="B1492" s="17" t="str">
        <x:v>program</x:v>
      </x:c>
      <x:c r="C1492" s="17" t="str">
        <x:v>Saginaw Valley State University</x:v>
      </x:c>
      <x:c r="D1492" s="17" t="str">
        <x:v>us:ipeds:172051:program:unclear:ipeds-discovery-signal-computer-and-information-sciences-general-cip-11-0101</x:v>
      </x:c>
      <x:c r="E1492" s="17" t="str"/>
      <x:c r="F1492" s="17" t="str">
        <x:v>discovery</x:v>
      </x:c>
      <x:c r="G1492" s="17" t="str">
        <x:v>Stage 2 recorded this row as a discovery candidate; it does not independently verify an exact current research program, eligibility, or funding.</x:v>
      </x:c>
      <x:c r="H1492" s="17" t="str">
        <x:v>Pass 2 Stage 2 candidate funnel</x:v>
      </x:c>
      <x:c r="I1492" s="17" t="str">
        <x:v>Graduate audit pipeline</x:v>
      </x:c>
      <x:c r="J1492" s="17" t="str">
        <x:v>derived</x:v>
      </x:c>
      <x:c r="K1492" s="17" t="str">
        <x:v>2026-09-11</x:v>
      </x:c>
      <x:c r="L1492" s="17" t="str">
        <x:v>Not cycle-specific</x:v>
      </x:c>
      <x:c r="M1492" s="17" t="str">
        <x:v>low</x:v>
      </x:c>
      <x:c r="N1492" s="17" t="str">
        <x:v>Discovery evidence only</x:v>
      </x:c>
      <x:c r="O1492" s="17" t="str">
        <x:v>Use the source_record_paths field to trace the underlying discovery inputs.</x:v>
      </x:c>
      <x:c r="P1492" s="18" t="e">
        <x:f>HYPERLINK("https://www.svsu.edu","Open source")</x:f>
        <x:v>HYPERLINK is not implemented. linkLocation=https://www.svsu.edu, friendlyName=Open source</x:v>
      </x:c>
    </x:row>
    <x:row r="1493" ht="46" customHeight="1">
      <x:c r="A1493" s="17" t="str">
        <x:v>stage3src:9888aed8fe6b0c6ea074</x:v>
      </x:c>
      <x:c r="B1493" s="17" t="str">
        <x:v>program</x:v>
      </x:c>
      <x:c r="C1493" s="17" t="str">
        <x:v>Walsh College</x:v>
      </x:c>
      <x:c r="D1493" s="17" t="str">
        <x:v>us:ipeds:172608:program:unclear:ipeds-discovery-signal-data-analytics-general-cip-30-7101</x:v>
      </x:c>
      <x:c r="E1493" s="17" t="str"/>
      <x:c r="F1493" s="17" t="str">
        <x:v>discovery</x:v>
      </x:c>
      <x:c r="G1493" s="17" t="str">
        <x:v>Stage 2 recorded this row as a discovery candidate; it does not independently verify an exact current research program, eligibility, or funding.</x:v>
      </x:c>
      <x:c r="H1493" s="17" t="str">
        <x:v>Pass 2 Stage 2 candidate funnel</x:v>
      </x:c>
      <x:c r="I1493" s="17" t="str">
        <x:v>Graduate audit pipeline</x:v>
      </x:c>
      <x:c r="J1493" s="17" t="str">
        <x:v>derived</x:v>
      </x:c>
      <x:c r="K1493" s="17" t="str">
        <x:v>2026-09-11</x:v>
      </x:c>
      <x:c r="L1493" s="17" t="str">
        <x:v>Not cycle-specific</x:v>
      </x:c>
      <x:c r="M1493" s="17" t="str">
        <x:v>low</x:v>
      </x:c>
      <x:c r="N1493" s="17" t="str">
        <x:v>Discovery evidence only</x:v>
      </x:c>
      <x:c r="O1493" s="17" t="str">
        <x:v>Use the source_record_paths field to trace the underlying discovery inputs.</x:v>
      </x:c>
      <x:c r="P1493" s="18" t="e">
        <x:f>HYPERLINK("https://walshcollege.edu","Open source")</x:f>
        <x:v>HYPERLINK is not implemented. linkLocation=https://walshcollege.edu, friendlyName=Open source</x:v>
      </x:c>
    </x:row>
    <x:row r="1494" ht="46" customHeight="1">
      <x:c r="A1494" s="17" t="str">
        <x:v>stage3src:8bda8f8dff56258aa2f7</x:v>
      </x:c>
      <x:c r="B1494" s="17" t="str">
        <x:v>program</x:v>
      </x:c>
      <x:c r="C1494" s="17" t="str">
        <x:v>Walsh College</x:v>
      </x:c>
      <x:c r="D1494" s="17" t="str">
        <x:v>us:ipeds:172608:program:unclear:ipeds-discovery-signal-information-science-studies-cip-11-0401</x:v>
      </x:c>
      <x:c r="E1494" s="17" t="str"/>
      <x:c r="F1494" s="17" t="str">
        <x:v>discovery</x:v>
      </x:c>
      <x:c r="G1494" s="17" t="str">
        <x:v>Stage 2 recorded this row as a discovery candidate; it does not independently verify an exact current research program, eligibility, or funding.</x:v>
      </x:c>
      <x:c r="H1494" s="17" t="str">
        <x:v>Pass 2 Stage 2 candidate funnel</x:v>
      </x:c>
      <x:c r="I1494" s="17" t="str">
        <x:v>Graduate audit pipeline</x:v>
      </x:c>
      <x:c r="J1494" s="17" t="str">
        <x:v>derived</x:v>
      </x:c>
      <x:c r="K1494" s="17" t="str">
        <x:v>2026-09-11</x:v>
      </x:c>
      <x:c r="L1494" s="17" t="str">
        <x:v>Not cycle-specific</x:v>
      </x:c>
      <x:c r="M1494" s="17" t="str">
        <x:v>low</x:v>
      </x:c>
      <x:c r="N1494" s="17" t="str">
        <x:v>Discovery evidence only</x:v>
      </x:c>
      <x:c r="O1494" s="17" t="str">
        <x:v>Use the source_record_paths field to trace the underlying discovery inputs.</x:v>
      </x:c>
      <x:c r="P1494" s="18" t="e">
        <x:f>HYPERLINK("https://walshcollege.edu","Open source")</x:f>
        <x:v>HYPERLINK is not implemented. linkLocation=https://walshcollege.edu, friendlyName=Open source</x:v>
      </x:c>
    </x:row>
    <x:row r="1495" ht="46" customHeight="1">
      <x:c r="A1495" s="17" t="str">
        <x:v>stage3src:981b7fc51629f4045d1b</x:v>
      </x:c>
      <x:c r="B1495" s="17" t="str">
        <x:v>program</x:v>
      </x:c>
      <x:c r="C1495" s="17" t="str">
        <x:v>Walsh College</x:v>
      </x:c>
      <x:c r="D1495" s="17" t="str">
        <x:v>us:ipeds:172608:program:unclear:ipeds-discovery-signal-information-technology-cip-11-0103</x:v>
      </x:c>
      <x:c r="E1495" s="17" t="str"/>
      <x:c r="F1495" s="17" t="str">
        <x:v>discovery</x:v>
      </x:c>
      <x:c r="G1495" s="17" t="str">
        <x:v>Stage 2 recorded this row as a discovery candidate; it does not independently verify an exact current research program, eligibility, or funding.</x:v>
      </x:c>
      <x:c r="H1495" s="17" t="str">
        <x:v>Pass 2 Stage 2 candidate funnel</x:v>
      </x:c>
      <x:c r="I1495" s="17" t="str">
        <x:v>Graduate audit pipeline</x:v>
      </x:c>
      <x:c r="J1495" s="17" t="str">
        <x:v>derived</x:v>
      </x:c>
      <x:c r="K1495" s="17" t="str">
        <x:v>2026-09-11</x:v>
      </x:c>
      <x:c r="L1495" s="17" t="str">
        <x:v>Not cycle-specific</x:v>
      </x:c>
      <x:c r="M1495" s="17" t="str">
        <x:v>low</x:v>
      </x:c>
      <x:c r="N1495" s="17" t="str">
        <x:v>Discovery evidence only</x:v>
      </x:c>
      <x:c r="O1495" s="17" t="str">
        <x:v>Use the source_record_paths field to trace the underlying discovery inputs.</x:v>
      </x:c>
      <x:c r="P1495" s="18" t="e">
        <x:f>HYPERLINK("https://walshcollege.edu","Open source")</x:f>
        <x:v>HYPERLINK is not implemented. linkLocation=https://walshcollege.edu, friendlyName=Open source</x:v>
      </x:c>
    </x:row>
    <x:row r="1496" ht="46" customHeight="1">
      <x:c r="A1496" s="17" t="str">
        <x:v>stage3src:57e4b559a0ff5d9c5e50</x:v>
      </x:c>
      <x:c r="B1496" s="17" t="str">
        <x:v>program</x:v>
      </x:c>
      <x:c r="C1496" s="17" t="str">
        <x:v>Wayne State University</x:v>
      </x:c>
      <x:c r="D1496" s="17" t="str">
        <x:v>us:ipeds:172644:program:phd:computer-science-ph-d</x:v>
      </x:c>
      <x:c r="E1496" s="17" t="str"/>
      <x:c r="F1496" s="17" t="str">
        <x:v>program|research</x:v>
      </x:c>
      <x:c r="G1496" s="17" t="str">
        <x:v>Official repository confirms current Computer Science dissertation activity; it is not evidence of funding or adviser capacity.</x:v>
      </x:c>
      <x:c r="H1496" s="17" t="str">
        <x:v>Computer Science Dissertations</x:v>
      </x:c>
      <x:c r="I1496" s="17" t="str">
        <x:v>Wayne State University Digital Commons</x:v>
      </x:c>
      <x:c r="J1496" s="17" t="str">
        <x:v>official</x:v>
      </x:c>
      <x:c r="K1496" s="17" t="str">
        <x:v>2026-09-11</x:v>
      </x:c>
      <x:c r="L1496" s="17" t="str">
        <x:v>Current repository checked 2026-09-11</x:v>
      </x:c>
      <x:c r="M1496" s="17" t="str">
        <x:v>high</x:v>
      </x:c>
      <x:c r="N1496" s="17" t="str">
        <x:v>official page checked</x:v>
      </x:c>
      <x:c r="O1496" s="17" t="str"/>
      <x:c r="P1496" s="18" t="e">
        <x:f>HYPERLINK("https://digitalcommons.wayne.edu/compsci_diss/","Open source")</x:f>
        <x:v>HYPERLINK is not implemented. linkLocation=https://digitalcommons.wayne.edu/compsci_diss/, friendlyName=Open source</x:v>
      </x:c>
    </x:row>
    <x:row r="1497" ht="46" customHeight="1">
      <x:c r="A1497" s="17" t="str">
        <x:v>stage3src:97dcf15e82f84989999f</x:v>
      </x:c>
      <x:c r="B1497" s="17" t="str">
        <x:v>program</x:v>
      </x:c>
      <x:c r="C1497" s="17" t="str">
        <x:v>Wayne State University</x:v>
      </x:c>
      <x:c r="D1497" s="17" t="str">
        <x:v>us:ipeds:172644:program:phd:computer-science-ph-d</x:v>
      </x:c>
      <x:c r="E1497" s="17" t="str"/>
      <x:c r="F1497" s="17" t="str">
        <x:v>admissions|deadline|fees</x:v>
      </x:c>
      <x:c r="G1497" s="17" t="str">
        <x:v>Current official graduate application entry point; program-specific fee and deadline details were not established.</x:v>
      </x:c>
      <x:c r="H1497" s="17" t="str">
        <x:v>Graduate Application</x:v>
      </x:c>
      <x:c r="I1497" s="17" t="str">
        <x:v>Wayne State University</x:v>
      </x:c>
      <x:c r="J1497" s="17" t="str">
        <x:v>official</x:v>
      </x:c>
      <x:c r="K1497" s="17" t="str">
        <x:v>2026-09-11</x:v>
      </x:c>
      <x:c r="L1497" s="17" t="str">
        <x:v>Current application checked 2026-09-11</x:v>
      </x:c>
      <x:c r="M1497" s="17" t="str">
        <x:v>high</x:v>
      </x:c>
      <x:c r="N1497" s="17" t="str">
        <x:v>official page checked</x:v>
      </x:c>
      <x:c r="O1497" s="17" t="str"/>
      <x:c r="P1497" s="18" t="e">
        <x:f>HYPERLINK("https://gradslate.wayne.edu/apply/","Open source")</x:f>
        <x:v>HYPERLINK is not implemented. linkLocation=https://gradslate.wayne.edu/apply/, friendlyName=Open source</x:v>
      </x:c>
    </x:row>
    <x:row r="1498" ht="46" customHeight="1">
      <x:c r="A1498" s="17" t="str">
        <x:v>stage3src:e4e22d6880973ffc0af9</x:v>
      </x:c>
      <x:c r="B1498" s="17" t="str">
        <x:v>program</x:v>
      </x:c>
      <x:c r="C1498" s="17" t="str">
        <x:v>Wayne State University</x:v>
      </x:c>
      <x:c r="D1498" s="17" t="str">
        <x:v>us:ipeds:172644:program:phd:computer-science-ph-d</x:v>
      </x:c>
      <x:c r="E1498" s="17" t="str"/>
      <x:c r="F1498" s="17" t="str">
        <x:v>program|research|eligibility|admissions</x:v>
      </x:c>
      <x:c r="G1498" s="17" t="str">
        <x:v>Current Computer Science PhD, bachelor's entry, expected 3.3 GPA, preparation, adviser timing, GRE, and dissertation requirements.</x:v>
      </x:c>
      <x:c r="H1498" s="17" t="str">
        <x:v>Computer Science, PhD</x:v>
      </x:c>
      <x:c r="I1498" s="17" t="str">
        <x:v>Wayne State University Graduate Bulletin</x:v>
      </x:c>
      <x:c r="J1498" s="17" t="str">
        <x:v>official</x:v>
      </x:c>
      <x:c r="K1498" s="17" t="str">
        <x:v>2026-09-11</x:v>
      </x:c>
      <x:c r="L1498" s="17" t="str">
        <x:v>Current bulletin checked 2026-09-11</x:v>
      </x:c>
      <x:c r="M1498" s="17" t="str">
        <x:v>high</x:v>
      </x:c>
      <x:c r="N1498" s="17" t="str">
        <x:v>official page checked</x:v>
      </x:c>
      <x:c r="O1498" s="17" t="str"/>
      <x:c r="P1498" s="18" t="e">
        <x:f>HYPERLINK("https://bulletins.wayne.edu/graduate/college-engineering/computer-science/computer-science-phd/index.html","Open source")</x:f>
        <x:v>HYPERLINK is not implemented. linkLocation=https://bulletins.wayne.edu/graduate/college-engineering/computer-science/computer-science-phd/index.html, friendlyName=Open source</x:v>
      </x:c>
    </x:row>
    <x:row r="1499" ht="46" customHeight="1">
      <x:c r="A1499" s="17" t="str">
        <x:v>stage3src:e5c2efc11e69d50e19da</x:v>
      </x:c>
      <x:c r="B1499" s="17" t="str">
        <x:v>program</x:v>
      </x:c>
      <x:c r="C1499" s="17" t="str">
        <x:v>Wayne State University</x:v>
      </x:c>
      <x:c r="D1499" s="17" t="str">
        <x:v>us:ipeds:172644:program:phd:computer-science-ph-d</x:v>
      </x:c>
      <x:c r="E1499" s="17" t="str"/>
      <x:c r="F1499" s="17" t="str">
        <x:v>funding|tuition|fees</x:v>
      </x:c>
      <x:c r="G1499" s="17" t="str">
        <x:v>University-wide scholarships and employment are possible but supplement rather than establish a Computer Science funding commitment.</x:v>
      </x:c>
      <x:c r="H1499" s="17" t="str">
        <x:v>Financial Aid</x:v>
      </x:c>
      <x:c r="I1499" s="17" t="str">
        <x:v>Wayne State University Graduate Bulletin</x:v>
      </x:c>
      <x:c r="J1499" s="17" t="str">
        <x:v>official</x:v>
      </x:c>
      <x:c r="K1499" s="17" t="str">
        <x:v>2026-09-11</x:v>
      </x:c>
      <x:c r="L1499" s="17" t="str">
        <x:v>2026-27 bulletin checked 2026-09-11</x:v>
      </x:c>
      <x:c r="M1499" s="17" t="str">
        <x:v>high</x:v>
      </x:c>
      <x:c r="N1499" s="17" t="str">
        <x:v>official page checked</x:v>
      </x:c>
      <x:c r="O1499" s="17" t="str"/>
      <x:c r="P1499" s="18" t="e">
        <x:f>HYPERLINK("https://bulletins.wayne.edu/graduate/general-information/financial-aid/","Open source")</x:f>
        <x:v>HYPERLINK is not implemented. linkLocation=https://bulletins.wayne.edu/graduate/general-information/financial-aid/, friendlyName=Open source</x:v>
      </x:c>
    </x:row>
    <x:row r="1500" ht="46" customHeight="1">
      <x:c r="A1500" s="17" t="str">
        <x:v>stage3src:37f72fecf125b2070d1d</x:v>
      </x:c>
      <x:c r="B1500" s="17" t="str">
        <x:v>program</x:v>
      </x:c>
      <x:c r="C1500" s="17" t="str">
        <x:v>Wayne State University</x:v>
      </x:c>
      <x:c r="D1500" s="17" t="str">
        <x:v>us:ipeds:172644:program:unclear:ipeds-discovery-signal-computer-and-information-sciences-general-cip-11-0101</x:v>
      </x:c>
      <x:c r="E1500" s="17" t="str"/>
      <x:c r="F1500" s="17" t="str">
        <x:v>discovery</x:v>
      </x:c>
      <x:c r="G1500" s="17" t="str">
        <x:v>Stage 2 recorded this row as a discovery candidate; it does not independently verify an exact current research program, eligibility, or funding.</x:v>
      </x:c>
      <x:c r="H1500" s="17" t="str">
        <x:v>Pass 2 Stage 2 candidate funnel</x:v>
      </x:c>
      <x:c r="I1500" s="17" t="str">
        <x:v>Graduate audit pipeline</x:v>
      </x:c>
      <x:c r="J1500" s="17" t="str">
        <x:v>derived</x:v>
      </x:c>
      <x:c r="K1500" s="17" t="str">
        <x:v>2026-09-11</x:v>
      </x:c>
      <x:c r="L1500" s="17" t="str">
        <x:v>Not cycle-specific</x:v>
      </x:c>
      <x:c r="M1500" s="17" t="str">
        <x:v>low</x:v>
      </x:c>
      <x:c r="N1500" s="17" t="str">
        <x:v>Discovery evidence only</x:v>
      </x:c>
      <x:c r="O1500" s="17" t="str">
        <x:v>Use the source_record_paths field to trace the underlying discovery inputs.</x:v>
      </x:c>
      <x:c r="P1500" s="18" t="e">
        <x:f>HYPERLINK("https://wayne.edu","Open source")</x:f>
        <x:v>HYPERLINK is not implemented. linkLocation=https://wayne.edu, friendlyName=Open source</x:v>
      </x:c>
    </x:row>
    <x:row r="1501" ht="46" customHeight="1">
      <x:c r="A1501" s="17" t="str">
        <x:v>stage3src:ab5cfeb3be8094a2bfa9</x:v>
      </x:c>
      <x:c r="B1501" s="17" t="str">
        <x:v>program</x:v>
      </x:c>
      <x:c r="C1501" s="17" t="str">
        <x:v>Wayne State University</x:v>
      </x:c>
      <x:c r="D1501" s="17" t="str">
        <x:v>us:ipeds:172644:program:unclear:ipeds-discovery-signal-computer-engineering-general-cip-14-0901</x:v>
      </x:c>
      <x:c r="E1501" s="17" t="str"/>
      <x:c r="F1501" s="17" t="str">
        <x:v>discovery</x:v>
      </x:c>
      <x:c r="G1501" s="17" t="str">
        <x:v>Stage 2 recorded this row as a discovery candidate; it does not independently verify an exact current research program, eligibility, or funding.</x:v>
      </x:c>
      <x:c r="H1501" s="17" t="str">
        <x:v>Pass 2 Stage 2 candidate funnel</x:v>
      </x:c>
      <x:c r="I1501" s="17" t="str">
        <x:v>Graduate audit pipeline</x:v>
      </x:c>
      <x:c r="J1501" s="17" t="str">
        <x:v>derived</x:v>
      </x:c>
      <x:c r="K1501" s="17" t="str">
        <x:v>2026-09-11</x:v>
      </x:c>
      <x:c r="L1501" s="17" t="str">
        <x:v>Not cycle-specific</x:v>
      </x:c>
      <x:c r="M1501" s="17" t="str">
        <x:v>low</x:v>
      </x:c>
      <x:c r="N1501" s="17" t="str">
        <x:v>Discovery evidence only</x:v>
      </x:c>
      <x:c r="O1501" s="17" t="str">
        <x:v>Use the source_record_paths field to trace the underlying discovery inputs.</x:v>
      </x:c>
      <x:c r="P1501" s="18" t="e">
        <x:f>HYPERLINK("https://wayne.edu","Open source")</x:f>
        <x:v>HYPERLINK is not implemented. linkLocation=https://wayne.edu, friendlyName=Open source</x:v>
      </x:c>
    </x:row>
    <x:row r="1502" ht="46" customHeight="1">
      <x:c r="A1502" s="17" t="str">
        <x:v>stage3src:7e897b38b16451cdcf11</x:v>
      </x:c>
      <x:c r="B1502" s="17" t="str">
        <x:v>program</x:v>
      </x:c>
      <x:c r="C1502" s="17" t="str">
        <x:v>Wayne State University</x:v>
      </x:c>
      <x:c r="D1502" s="17" t="str">
        <x:v>us:ipeds:172644:program:unclear:ipeds-discovery-signal-electrical-and-electronics-engineering-cip-14-1001</x:v>
      </x:c>
      <x:c r="E1502" s="17" t="str"/>
      <x:c r="F1502" s="17" t="str">
        <x:v>discovery</x:v>
      </x:c>
      <x:c r="G1502" s="17" t="str">
        <x:v>Stage 2 recorded this row as a discovery candidate; it does not independently verify an exact current research program, eligibility, or funding.</x:v>
      </x:c>
      <x:c r="H1502" s="17" t="str">
        <x:v>Pass 2 Stage 2 candidate funnel</x:v>
      </x:c>
      <x:c r="I1502" s="17" t="str">
        <x:v>Graduate audit pipeline</x:v>
      </x:c>
      <x:c r="J1502" s="17" t="str">
        <x:v>derived</x:v>
      </x:c>
      <x:c r="K1502" s="17" t="str">
        <x:v>2026-09-11</x:v>
      </x:c>
      <x:c r="L1502" s="17" t="str">
        <x:v>Not cycle-specific</x:v>
      </x:c>
      <x:c r="M1502" s="17" t="str">
        <x:v>low</x:v>
      </x:c>
      <x:c r="N1502" s="17" t="str">
        <x:v>Discovery evidence only</x:v>
      </x:c>
      <x:c r="O1502" s="17" t="str">
        <x:v>Use the source_record_paths field to trace the underlying discovery inputs.</x:v>
      </x:c>
      <x:c r="P1502" s="18" t="e">
        <x:f>HYPERLINK("https://wayne.edu","Open source")</x:f>
        <x:v>HYPERLINK is not implemented. linkLocation=https://wayne.edu, friendlyName=Open source</x:v>
      </x:c>
    </x:row>
    <x:row r="1503" ht="46" customHeight="1">
      <x:c r="A1503" s="17" t="str">
        <x:v>stage3src:89c39cd5edfcff7678e1</x:v>
      </x:c>
      <x:c r="B1503" s="17" t="str">
        <x:v>program</x:v>
      </x:c>
      <x:c r="C1503" s="17" t="str">
        <x:v>Wayne State University</x:v>
      </x:c>
      <x:c r="D1503" s="17" t="str">
        <x:v>us:ipeds:172644:program:unclear:ipeds-discovery-signal-information-science-studies-cip-11-0401</x:v>
      </x:c>
      <x:c r="E1503" s="17" t="str"/>
      <x:c r="F1503" s="17" t="str">
        <x:v>discovery</x:v>
      </x:c>
      <x:c r="G1503" s="17" t="str">
        <x:v>Stage 2 recorded this row as a discovery candidate; it does not independently verify an exact current research program, eligibility, or funding.</x:v>
      </x:c>
      <x:c r="H1503" s="17" t="str">
        <x:v>Pass 2 Stage 2 candidate funnel</x:v>
      </x:c>
      <x:c r="I1503" s="17" t="str">
        <x:v>Graduate audit pipeline</x:v>
      </x:c>
      <x:c r="J1503" s="17" t="str">
        <x:v>derived</x:v>
      </x:c>
      <x:c r="K1503" s="17" t="str">
        <x:v>2026-09-11</x:v>
      </x:c>
      <x:c r="L1503" s="17" t="str">
        <x:v>Not cycle-specific</x:v>
      </x:c>
      <x:c r="M1503" s="17" t="str">
        <x:v>low</x:v>
      </x:c>
      <x:c r="N1503" s="17" t="str">
        <x:v>Discovery evidence only</x:v>
      </x:c>
      <x:c r="O1503" s="17" t="str">
        <x:v>Use the source_record_paths field to trace the underlying discovery inputs.</x:v>
      </x:c>
      <x:c r="P1503" s="18" t="e">
        <x:f>HYPERLINK("https://wayne.edu","Open source")</x:f>
        <x:v>HYPERLINK is not implemented. linkLocation=https://wayne.edu, friendlyName=Open source</x:v>
      </x:c>
    </x:row>
    <x:row r="1504" ht="46" customHeight="1">
      <x:c r="A1504" s="17" t="str">
        <x:v>stage3src:672cc824a6cb58b58408</x:v>
      </x:c>
      <x:c r="B1504" s="17" t="str">
        <x:v>program</x:v>
      </x:c>
      <x:c r="C1504" s="17" t="str">
        <x:v>Western Michigan University</x:v>
      </x:c>
      <x:c r="D1504" s="17" t="str">
        <x:v>us:ipeds:172699:program:unclear:ipeds-discovery-signal-computer-and-information-systems-security-auditing-information-assurance-cip-11-1003</x:v>
      </x:c>
      <x:c r="E1504" s="17" t="str"/>
      <x:c r="F1504" s="17" t="str">
        <x:v>discovery</x:v>
      </x:c>
      <x:c r="G1504" s="17" t="str">
        <x:v>Stage 2 recorded this row as a discovery candidate; it does not independently verify an exact current research program, eligibility, or funding.</x:v>
      </x:c>
      <x:c r="H1504" s="17" t="str">
        <x:v>Pass 2 Stage 2 candidate funnel</x:v>
      </x:c>
      <x:c r="I1504" s="17" t="str">
        <x:v>Graduate audit pipeline</x:v>
      </x:c>
      <x:c r="J1504" s="17" t="str">
        <x:v>derived</x:v>
      </x:c>
      <x:c r="K1504" s="17" t="str">
        <x:v>2026-09-11</x:v>
      </x:c>
      <x:c r="L1504" s="17" t="str">
        <x:v>Not cycle-specific</x:v>
      </x:c>
      <x:c r="M1504" s="17" t="str">
        <x:v>low</x:v>
      </x:c>
      <x:c r="N1504" s="17" t="str">
        <x:v>Discovery evidence only</x:v>
      </x:c>
      <x:c r="O1504" s="17" t="str">
        <x:v>Use the source_record_paths field to trace the underlying discovery inputs.</x:v>
      </x:c>
      <x:c r="P1504" s="18" t="e">
        <x:f>HYPERLINK("https://wmich.edu","Open source")</x:f>
        <x:v>HYPERLINK is not implemented. linkLocation=https://wmich.edu, friendlyName=Open source</x:v>
      </x:c>
    </x:row>
    <x:row r="1505" ht="46" customHeight="1">
      <x:c r="A1505" s="17" t="str">
        <x:v>stage3src:bb66c680b03b1b11376a</x:v>
      </x:c>
      <x:c r="B1505" s="17" t="str">
        <x:v>program</x:v>
      </x:c>
      <x:c r="C1505" s="17" t="str">
        <x:v>Western Michigan University</x:v>
      </x:c>
      <x:c r="D1505" s="17" t="str">
        <x:v>us:ipeds:172699:program:unclear:ipeds-discovery-signal-computer-engineering-general-cip-14-0901</x:v>
      </x:c>
      <x:c r="E1505" s="17" t="str"/>
      <x:c r="F1505" s="17" t="str">
        <x:v>discovery</x:v>
      </x:c>
      <x:c r="G1505" s="17" t="str">
        <x:v>Stage 2 recorded this row as a discovery candidate; it does not independently verify an exact current research program, eligibility, or funding.</x:v>
      </x:c>
      <x:c r="H1505" s="17" t="str">
        <x:v>Pass 2 Stage 2 candidate funnel</x:v>
      </x:c>
      <x:c r="I1505" s="17" t="str">
        <x:v>Graduate audit pipeline</x:v>
      </x:c>
      <x:c r="J1505" s="17" t="str">
        <x:v>derived</x:v>
      </x:c>
      <x:c r="K1505" s="17" t="str">
        <x:v>2026-09-11</x:v>
      </x:c>
      <x:c r="L1505" s="17" t="str">
        <x:v>Not cycle-specific</x:v>
      </x:c>
      <x:c r="M1505" s="17" t="str">
        <x:v>low</x:v>
      </x:c>
      <x:c r="N1505" s="17" t="str">
        <x:v>Discovery evidence only</x:v>
      </x:c>
      <x:c r="O1505" s="17" t="str">
        <x:v>Use the source_record_paths field to trace the underlying discovery inputs.</x:v>
      </x:c>
      <x:c r="P1505" s="18" t="e">
        <x:f>HYPERLINK("https://wmich.edu","Open source")</x:f>
        <x:v>HYPERLINK is not implemented. linkLocation=https://wmich.edu, friendlyName=Open source</x:v>
      </x:c>
    </x:row>
    <x:row r="1506" ht="46" customHeight="1">
      <x:c r="A1506" s="17" t="str">
        <x:v>stage3src:2a2ce21d3c7548a0eb8f</x:v>
      </x:c>
      <x:c r="B1506" s="17" t="str">
        <x:v>program</x:v>
      </x:c>
      <x:c r="C1506" s="17" t="str">
        <x:v>Western Michigan University</x:v>
      </x:c>
      <x:c r="D1506" s="17" t="str">
        <x:v>us:ipeds:172699:program:unclear:ipeds-discovery-signal-computer-science-cip-11-0701</x:v>
      </x:c>
      <x:c r="E1506" s="17" t="str"/>
      <x:c r="F1506" s="17" t="str">
        <x:v>discovery</x:v>
      </x:c>
      <x:c r="G1506" s="17" t="str">
        <x:v>Stage 2 recorded this row as a discovery candidate; it does not independently verify an exact current research program, eligibility, or funding.</x:v>
      </x:c>
      <x:c r="H1506" s="17" t="str">
        <x:v>Pass 2 Stage 2 candidate funnel</x:v>
      </x:c>
      <x:c r="I1506" s="17" t="str">
        <x:v>Graduate audit pipeline</x:v>
      </x:c>
      <x:c r="J1506" s="17" t="str">
        <x:v>derived</x:v>
      </x:c>
      <x:c r="K1506" s="17" t="str">
        <x:v>2026-09-11</x:v>
      </x:c>
      <x:c r="L1506" s="17" t="str">
        <x:v>Not cycle-specific</x:v>
      </x:c>
      <x:c r="M1506" s="17" t="str">
        <x:v>low</x:v>
      </x:c>
      <x:c r="N1506" s="17" t="str">
        <x:v>Discovery evidence only</x:v>
      </x:c>
      <x:c r="O1506" s="17" t="str">
        <x:v>Use the source_record_paths field to trace the underlying discovery inputs.</x:v>
      </x:c>
      <x:c r="P1506" s="18" t="e">
        <x:f>HYPERLINK("https://wmich.edu","Open source")</x:f>
        <x:v>HYPERLINK is not implemented. linkLocation=https://wmich.edu, friendlyName=Open source</x:v>
      </x:c>
    </x:row>
    <x:row r="1507" ht="46" customHeight="1">
      <x:c r="A1507" s="17" t="str">
        <x:v>stage3src:751cf2d20fd061f9df2a</x:v>
      </x:c>
      <x:c r="B1507" s="17" t="str">
        <x:v>program</x:v>
      </x:c>
      <x:c r="C1507" s="17" t="str">
        <x:v>Western Michigan University</x:v>
      </x:c>
      <x:c r="D1507" s="17" t="str">
        <x:v>us:ipeds:172699:program:unclear:ipeds-discovery-signal-electrical-and-electronics-engineering-cip-14-1001</x:v>
      </x:c>
      <x:c r="E1507" s="17" t="str"/>
      <x:c r="F1507" s="17" t="str">
        <x:v>discovery</x:v>
      </x:c>
      <x:c r="G1507" s="17" t="str">
        <x:v>Stage 2 recorded this row as a discovery candidate; it does not independently verify an exact current research program, eligibility, or funding.</x:v>
      </x:c>
      <x:c r="H1507" s="17" t="str">
        <x:v>Pass 2 Stage 2 candidate funnel</x:v>
      </x:c>
      <x:c r="I1507" s="17" t="str">
        <x:v>Graduate audit pipeline</x:v>
      </x:c>
      <x:c r="J1507" s="17" t="str">
        <x:v>derived</x:v>
      </x:c>
      <x:c r="K1507" s="17" t="str">
        <x:v>2026-09-11</x:v>
      </x:c>
      <x:c r="L1507" s="17" t="str">
        <x:v>Not cycle-specific</x:v>
      </x:c>
      <x:c r="M1507" s="17" t="str">
        <x:v>low</x:v>
      </x:c>
      <x:c r="N1507" s="17" t="str">
        <x:v>Discovery evidence only</x:v>
      </x:c>
      <x:c r="O1507" s="17" t="str">
        <x:v>Use the source_record_paths field to trace the underlying discovery inputs.</x:v>
      </x:c>
      <x:c r="P1507" s="18" t="e">
        <x:f>HYPERLINK("https://wmich.edu","Open source")</x:f>
        <x:v>HYPERLINK is not implemented. linkLocation=https://wmich.edu, friendlyName=Open source</x:v>
      </x:c>
    </x:row>
    <x:row r="1508" ht="46" customHeight="1">
      <x:c r="A1508" s="17" t="str">
        <x:v>stage3src:10d8ba03dfa6f756949a</x:v>
      </x:c>
      <x:c r="B1508" s="17" t="str">
        <x:v>program</x:v>
      </x:c>
      <x:c r="C1508" s="17" t="str">
        <x:v>Concordia University-Saint Paul</x:v>
      </x:c>
      <x:c r="D1508" s="17" t="str">
        <x:v>us:ipeds:173328:program:unclear:ipeds-discovery-signal-computer-and-information-systems-security-auditing-information-assurance-cip-11-1003</x:v>
      </x:c>
      <x:c r="E1508" s="17" t="str"/>
      <x:c r="F1508" s="17" t="str">
        <x:v>discovery</x:v>
      </x:c>
      <x:c r="G1508" s="17" t="str">
        <x:v>Stage 2 recorded this row as a discovery candidate; it does not independently verify an exact current research program, eligibility, or funding.</x:v>
      </x:c>
      <x:c r="H1508" s="17" t="str">
        <x:v>Pass 2 Stage 2 candidate funnel</x:v>
      </x:c>
      <x:c r="I1508" s="17" t="str">
        <x:v>Graduate audit pipeline</x:v>
      </x:c>
      <x:c r="J1508" s="17" t="str">
        <x:v>derived</x:v>
      </x:c>
      <x:c r="K1508" s="17" t="str">
        <x:v>2026-09-11</x:v>
      </x:c>
      <x:c r="L1508" s="17" t="str">
        <x:v>Not cycle-specific</x:v>
      </x:c>
      <x:c r="M1508" s="17" t="str">
        <x:v>low</x:v>
      </x:c>
      <x:c r="N1508" s="17" t="str">
        <x:v>Discovery evidence only</x:v>
      </x:c>
      <x:c r="O1508" s="17" t="str">
        <x:v>Use the source_record_paths field to trace the underlying discovery inputs.</x:v>
      </x:c>
      <x:c r="P1508" s="18" t="e">
        <x:f>HYPERLINK("https://www.csp.edu","Open source")</x:f>
        <x:v>HYPERLINK is not implemented. linkLocation=https://www.csp.edu, friendlyName=Open source</x:v>
      </x:c>
    </x:row>
    <x:row r="1509" ht="46" customHeight="1">
      <x:c r="A1509" s="17" t="str">
        <x:v>stage3src:fe92134a02211c6897f5</x:v>
      </x:c>
      <x:c r="B1509" s="17" t="str">
        <x:v>program</x:v>
      </x:c>
      <x:c r="C1509" s="17" t="str">
        <x:v>Concordia University-Saint Paul</x:v>
      </x:c>
      <x:c r="D1509" s="17" t="str">
        <x:v>us:ipeds:173328:program:unclear:ipeds-discovery-signal-data-analytics-general-cip-30-7101</x:v>
      </x:c>
      <x:c r="E1509" s="17" t="str"/>
      <x:c r="F1509" s="17" t="str">
        <x:v>discovery</x:v>
      </x:c>
      <x:c r="G1509" s="17" t="str">
        <x:v>Stage 2 recorded this row as a discovery candidate; it does not independently verify an exact current research program, eligibility, or funding.</x:v>
      </x:c>
      <x:c r="H1509" s="17" t="str">
        <x:v>Pass 2 Stage 2 candidate funnel</x:v>
      </x:c>
      <x:c r="I1509" s="17" t="str">
        <x:v>Graduate audit pipeline</x:v>
      </x:c>
      <x:c r="J1509" s="17" t="str">
        <x:v>derived</x:v>
      </x:c>
      <x:c r="K1509" s="17" t="str">
        <x:v>2026-09-11</x:v>
      </x:c>
      <x:c r="L1509" s="17" t="str">
        <x:v>Not cycle-specific</x:v>
      </x:c>
      <x:c r="M1509" s="17" t="str">
        <x:v>low</x:v>
      </x:c>
      <x:c r="N1509" s="17" t="str">
        <x:v>Discovery evidence only</x:v>
      </x:c>
      <x:c r="O1509" s="17" t="str">
        <x:v>Use the source_record_paths field to trace the underlying discovery inputs.</x:v>
      </x:c>
      <x:c r="P1509" s="18" t="e">
        <x:f>HYPERLINK("https://www.csp.edu","Open source")</x:f>
        <x:v>HYPERLINK is not implemented. linkLocation=https://www.csp.edu, friendlyName=Open source</x:v>
      </x:c>
    </x:row>
    <x:row r="1510" ht="46" customHeight="1">
      <x:c r="A1510" s="17" t="str">
        <x:v>stage3src:ba07c2407b331d3596fa</x:v>
      </x:c>
      <x:c r="B1510" s="17" t="str">
        <x:v>program</x:v>
      </x:c>
      <x:c r="C1510" s="17" t="str">
        <x:v>Minnesota State University-Mankato</x:v>
      </x:c>
      <x:c r="D1510" s="17" t="str">
        <x:v>us:ipeds:173920:program:unclear:ipeds-discovery-signal-computer-and-information-systems-security-auditing-information-assurance-cip-11-1003</x:v>
      </x:c>
      <x:c r="E1510" s="17" t="str"/>
      <x:c r="F1510" s="17" t="str">
        <x:v>discovery</x:v>
      </x:c>
      <x:c r="G1510" s="17" t="str">
        <x:v>Stage 2 recorded this row as a discovery candidate; it does not independently verify an exact current research program, eligibility, or funding.</x:v>
      </x:c>
      <x:c r="H1510" s="17" t="str">
        <x:v>Pass 2 Stage 2 candidate funnel</x:v>
      </x:c>
      <x:c r="I1510" s="17" t="str">
        <x:v>Graduate audit pipeline</x:v>
      </x:c>
      <x:c r="J1510" s="17" t="str">
        <x:v>derived</x:v>
      </x:c>
      <x:c r="K1510" s="17" t="str">
        <x:v>2026-09-11</x:v>
      </x:c>
      <x:c r="L1510" s="17" t="str">
        <x:v>Not cycle-specific</x:v>
      </x:c>
      <x:c r="M1510" s="17" t="str">
        <x:v>low</x:v>
      </x:c>
      <x:c r="N1510" s="17" t="str">
        <x:v>Discovery evidence only</x:v>
      </x:c>
      <x:c r="O1510" s="17" t="str">
        <x:v>Use the source_record_paths field to trace the underlying discovery inputs.</x:v>
      </x:c>
      <x:c r="P1510" s="18" t="e">
        <x:f>HYPERLINK("https://mnsu.edu","Open source")</x:f>
        <x:v>HYPERLINK is not implemented. linkLocation=https://mnsu.edu, friendlyName=Open source</x:v>
      </x:c>
    </x:row>
    <x:row r="1511" ht="46" customHeight="1">
      <x:c r="A1511" s="17" t="str">
        <x:v>stage3src:fca081300fdd725b5667</x:v>
      </x:c>
      <x:c r="B1511" s="17" t="str">
        <x:v>program</x:v>
      </x:c>
      <x:c r="C1511" s="17" t="str">
        <x:v>Minnesota State University-Mankato</x:v>
      </x:c>
      <x:c r="D1511" s="17" t="str">
        <x:v>us:ipeds:173920:program:unclear:ipeds-discovery-signal-electrical-and-electronics-engineering-cip-14-1001</x:v>
      </x:c>
      <x:c r="E1511" s="17" t="str"/>
      <x:c r="F1511" s="17" t="str">
        <x:v>discovery</x:v>
      </x:c>
      <x:c r="G1511" s="17" t="str">
        <x:v>Stage 2 recorded this row as a discovery candidate; it does not independently verify an exact current research program, eligibility, or funding.</x:v>
      </x:c>
      <x:c r="H1511" s="17" t="str">
        <x:v>Pass 2 Stage 2 candidate funnel</x:v>
      </x:c>
      <x:c r="I1511" s="17" t="str">
        <x:v>Graduate audit pipeline</x:v>
      </x:c>
      <x:c r="J1511" s="17" t="str">
        <x:v>derived</x:v>
      </x:c>
      <x:c r="K1511" s="17" t="str">
        <x:v>2026-09-11</x:v>
      </x:c>
      <x:c r="L1511" s="17" t="str">
        <x:v>Not cycle-specific</x:v>
      </x:c>
      <x:c r="M1511" s="17" t="str">
        <x:v>low</x:v>
      </x:c>
      <x:c r="N1511" s="17" t="str">
        <x:v>Discovery evidence only</x:v>
      </x:c>
      <x:c r="O1511" s="17" t="str">
        <x:v>Use the source_record_paths field to trace the underlying discovery inputs.</x:v>
      </x:c>
      <x:c r="P1511" s="18" t="e">
        <x:f>HYPERLINK("https://mnsu.edu","Open source")</x:f>
        <x:v>HYPERLINK is not implemented. linkLocation=https://mnsu.edu, friendlyName=Open source</x:v>
      </x:c>
    </x:row>
    <x:row r="1512" ht="46" customHeight="1">
      <x:c r="A1512" s="17" t="str">
        <x:v>stage3src:dbf842f5a79ce0e9b6ee</x:v>
      </x:c>
      <x:c r="B1512" s="17" t="str">
        <x:v>program</x:v>
      </x:c>
      <x:c r="C1512" s="17" t="str">
        <x:v>Minnesota State University-Mankato</x:v>
      </x:c>
      <x:c r="D1512" s="17" t="str">
        <x:v>us:ipeds:173920:program:unclear:ipeds-discovery-signal-information-technology-cip-11-0103</x:v>
      </x:c>
      <x:c r="E1512" s="17" t="str"/>
      <x:c r="F1512" s="17" t="str">
        <x:v>discovery</x:v>
      </x:c>
      <x:c r="G1512" s="17" t="str">
        <x:v>Stage 2 recorded this row as a discovery candidate; it does not independently verify an exact current research program, eligibility, or funding.</x:v>
      </x:c>
      <x:c r="H1512" s="17" t="str">
        <x:v>Pass 2 Stage 2 candidate funnel</x:v>
      </x:c>
      <x:c r="I1512" s="17" t="str">
        <x:v>Graduate audit pipeline</x:v>
      </x:c>
      <x:c r="J1512" s="17" t="str">
        <x:v>derived</x:v>
      </x:c>
      <x:c r="K1512" s="17" t="str">
        <x:v>2026-09-11</x:v>
      </x:c>
      <x:c r="L1512" s="17" t="str">
        <x:v>Not cycle-specific</x:v>
      </x:c>
      <x:c r="M1512" s="17" t="str">
        <x:v>low</x:v>
      </x:c>
      <x:c r="N1512" s="17" t="str">
        <x:v>Discovery evidence only</x:v>
      </x:c>
      <x:c r="O1512" s="17" t="str">
        <x:v>Use the source_record_paths field to trace the underlying discovery inputs.</x:v>
      </x:c>
      <x:c r="P1512" s="18" t="e">
        <x:f>HYPERLINK("https://mnsu.edu","Open source")</x:f>
        <x:v>HYPERLINK is not implemented. linkLocation=https://mnsu.edu, friendlyName=Open source</x:v>
      </x:c>
    </x:row>
    <x:row r="1513" ht="46" customHeight="1">
      <x:c r="A1513" s="17" t="str">
        <x:v>stage3src:40c9cac940064164ea3c</x:v>
      </x:c>
      <x:c r="B1513" s="17" t="str">
        <x:v>program</x:v>
      </x:c>
      <x:c r="C1513" s="17" t="str">
        <x:v>Metropolitan State University</x:v>
      </x:c>
      <x:c r="D1513" s="17" t="str">
        <x:v>us:ipeds:174020:program:unclear:ipeds-discovery-signal-computer-and-information-systems-security-auditing-information-assurance-cip-11-1003</x:v>
      </x:c>
      <x:c r="E1513" s="17" t="str"/>
      <x:c r="F1513" s="17" t="str">
        <x:v>discovery</x:v>
      </x:c>
      <x:c r="G1513" s="17" t="str">
        <x:v>Stage 2 recorded this row as a discovery candidate; it does not independently verify an exact current research program, eligibility, or funding.</x:v>
      </x:c>
      <x:c r="H1513" s="17" t="str">
        <x:v>Pass 2 Stage 2 candidate funnel</x:v>
      </x:c>
      <x:c r="I1513" s="17" t="str">
        <x:v>Graduate audit pipeline</x:v>
      </x:c>
      <x:c r="J1513" s="17" t="str">
        <x:v>derived</x:v>
      </x:c>
      <x:c r="K1513" s="17" t="str">
        <x:v>2026-09-11</x:v>
      </x:c>
      <x:c r="L1513" s="17" t="str">
        <x:v>Not cycle-specific</x:v>
      </x:c>
      <x:c r="M1513" s="17" t="str">
        <x:v>low</x:v>
      </x:c>
      <x:c r="N1513" s="17" t="str">
        <x:v>Discovery evidence only</x:v>
      </x:c>
      <x:c r="O1513" s="17" t="str">
        <x:v>Use the source_record_paths field to trace the underlying discovery inputs.</x:v>
      </x:c>
      <x:c r="P1513" s="18" t="e">
        <x:f>HYPERLINK("https://www.metrostate.edu","Open source")</x:f>
        <x:v>HYPERLINK is not implemented. linkLocation=https://www.metrostate.edu, friendlyName=Open source</x:v>
      </x:c>
    </x:row>
    <x:row r="1514" ht="46" customHeight="1">
      <x:c r="A1514" s="17" t="str">
        <x:v>stage3src:5c86c7f09c7f3a011f01</x:v>
      </x:c>
      <x:c r="B1514" s="17" t="str">
        <x:v>program</x:v>
      </x:c>
      <x:c r="C1514" s="17" t="str">
        <x:v>Metropolitan State University</x:v>
      </x:c>
      <x:c r="D1514" s="17" t="str">
        <x:v>us:ipeds:174020:program:unclear:ipeds-discovery-signal-computer-science-cip-11-0701</x:v>
      </x:c>
      <x:c r="E1514" s="17" t="str"/>
      <x:c r="F1514" s="17" t="str">
        <x:v>discovery</x:v>
      </x:c>
      <x:c r="G1514" s="17" t="str">
        <x:v>Stage 2 recorded this row as a discovery candidate; it does not independently verify an exact current research program, eligibility, or funding.</x:v>
      </x:c>
      <x:c r="H1514" s="17" t="str">
        <x:v>Pass 2 Stage 2 candidate funnel</x:v>
      </x:c>
      <x:c r="I1514" s="17" t="str">
        <x:v>Graduate audit pipeline</x:v>
      </x:c>
      <x:c r="J1514" s="17" t="str">
        <x:v>derived</x:v>
      </x:c>
      <x:c r="K1514" s="17" t="str">
        <x:v>2026-09-11</x:v>
      </x:c>
      <x:c r="L1514" s="17" t="str">
        <x:v>Not cycle-specific</x:v>
      </x:c>
      <x:c r="M1514" s="17" t="str">
        <x:v>low</x:v>
      </x:c>
      <x:c r="N1514" s="17" t="str">
        <x:v>Discovery evidence only</x:v>
      </x:c>
      <x:c r="O1514" s="17" t="str">
        <x:v>Use the source_record_paths field to trace the underlying discovery inputs.</x:v>
      </x:c>
      <x:c r="P1514" s="18" t="e">
        <x:f>HYPERLINK("https://www.metrostate.edu","Open source")</x:f>
        <x:v>HYPERLINK is not implemented. linkLocation=https://www.metrostate.edu, friendlyName=Open source</x:v>
      </x:c>
    </x:row>
    <x:row r="1515" ht="46" customHeight="1">
      <x:c r="A1515" s="17" t="str">
        <x:v>stage3src:b6e5c19b2126f4f80c72</x:v>
      </x:c>
      <x:c r="B1515" s="17" t="str">
        <x:v>program</x:v>
      </x:c>
      <x:c r="C1515" s="17" t="str">
        <x:v>Metropolitan State University</x:v>
      </x:c>
      <x:c r="D1515" s="17" t="str">
        <x:v>us:ipeds:174020:program:unclear:ipeds-discovery-signal-information-technology-cip-11-0103</x:v>
      </x:c>
      <x:c r="E1515" s="17" t="str"/>
      <x:c r="F1515" s="17" t="str">
        <x:v>discovery</x:v>
      </x:c>
      <x:c r="G1515" s="17" t="str">
        <x:v>Stage 2 recorded this row as a discovery candidate; it does not independently verify an exact current research program, eligibility, or funding.</x:v>
      </x:c>
      <x:c r="H1515" s="17" t="str">
        <x:v>Pass 2 Stage 2 candidate funnel</x:v>
      </x:c>
      <x:c r="I1515" s="17" t="str">
        <x:v>Graduate audit pipeline</x:v>
      </x:c>
      <x:c r="J1515" s="17" t="str">
        <x:v>derived</x:v>
      </x:c>
      <x:c r="K1515" s="17" t="str">
        <x:v>2026-09-11</x:v>
      </x:c>
      <x:c r="L1515" s="17" t="str">
        <x:v>Not cycle-specific</x:v>
      </x:c>
      <x:c r="M1515" s="17" t="str">
        <x:v>low</x:v>
      </x:c>
      <x:c r="N1515" s="17" t="str">
        <x:v>Discovery evidence only</x:v>
      </x:c>
      <x:c r="O1515" s="17" t="str">
        <x:v>Use the source_record_paths field to trace the underlying discovery inputs.</x:v>
      </x:c>
      <x:c r="P1515" s="18" t="e">
        <x:f>HYPERLINK("https://www.metrostate.edu","Open source")</x:f>
        <x:v>HYPERLINK is not implemented. linkLocation=https://www.metrostate.edu, friendlyName=Open source</x:v>
      </x:c>
    </x:row>
    <x:row r="1516" ht="46" customHeight="1">
      <x:c r="A1516" s="17" t="str">
        <x:v>stage3src:8ae4e14e33b8400153c3</x:v>
      </x:c>
      <x:c r="B1516" s="17" t="str">
        <x:v>program</x:v>
      </x:c>
      <x:c r="C1516" s="17" t="str">
        <x:v>University of Minnesota-Twin Cities</x:v>
      </x:c>
      <x:c r="D1516" s="17" t="str">
        <x:v>us:ipeds:174066:program:phd:computer-science-phd</x:v>
      </x:c>
      <x:c r="E1516" s="17" t="str"/>
      <x:c r="F1516" s="17" t="str">
        <x:v>program|admissions|eligibility|language|deadline</x:v>
      </x:c>
      <x:c r="G1516" s="17" t="str">
        <x:v>Bachelor-equivalent entry, no master's requirement, GPA benchmark, English conditions, and December 15/January 5 deadlines.</x:v>
      </x:c>
      <x:c r="H1516" s="17" t="str">
        <x:v>Ph.D. Admissions</x:v>
      </x:c>
      <x:c r="I1516" s="17" t="str">
        <x:v>University of Minnesota Department of Computer Science and Engineering</x:v>
      </x:c>
      <x:c r="J1516" s="17" t="str">
        <x:v>official</x:v>
      </x:c>
      <x:c r="K1516" s="17" t="str">
        <x:v>2026-09-10</x:v>
      </x:c>
      <x:c r="L1516" s="17" t="str">
        <x:v>Latest current page; years not printed</x:v>
      </x:c>
      <x:c r="M1516" s="17" t="str">
        <x:v>high</x:v>
      </x:c>
      <x:c r="N1516" s="17" t="str">
        <x:v>official page checked</x:v>
      </x:c>
      <x:c r="O1516" s="17" t="str"/>
      <x:c r="P1516" s="18" t="e">
        <x:f>HYPERLINK("https://cse.umn.edu/cs/phd-admissions","Open source")</x:f>
        <x:v>HYPERLINK is not implemented. linkLocation=https://cse.umn.edu/cs/phd-admissions, friendlyName=Open source</x:v>
      </x:c>
    </x:row>
    <x:row r="1517" ht="46" customHeight="1">
      <x:c r="A1517" s="17" t="str">
        <x:v>stage3src:e2a6011466308a8ea205</x:v>
      </x:c>
      <x:c r="B1517" s="17" t="str">
        <x:v>program</x:v>
      </x:c>
      <x:c r="C1517" s="17" t="str">
        <x:v>University of Minnesota-Twin Cities</x:v>
      </x:c>
      <x:c r="D1517" s="17" t="str">
        <x:v>us:ipeds:174066:program:phd:computer-science-phd</x:v>
      </x:c>
      <x:c r="E1517" s="17" t="str"/>
      <x:c r="F1517" s="17" t="str">
        <x:v>fees|admissions</x:v>
      </x:c>
      <x:c r="G1517" s="17" t="str">
        <x:v>International graduate application fee is USD 95 per program and cannot be waived or deferred.</x:v>
      </x:c>
      <x:c r="H1517" s="17" t="str">
        <x:v>Application Fees for Graduate Admission</x:v>
      </x:c>
      <x:c r="I1517" s="17" t="str">
        <x:v>University of Minnesota Graduate School</x:v>
      </x:c>
      <x:c r="J1517" s="17" t="str">
        <x:v>official</x:v>
      </x:c>
      <x:c r="K1517" s="17" t="str">
        <x:v>2026-09-10</x:v>
      </x:c>
      <x:c r="L1517" s="17" t="str">
        <x:v>Current page checked 2026-09-10</x:v>
      </x:c>
      <x:c r="M1517" s="17" t="str">
        <x:v>high</x:v>
      </x:c>
      <x:c r="N1517" s="17" t="str">
        <x:v>official page checked</x:v>
      </x:c>
      <x:c r="O1517" s="17" t="str"/>
      <x:c r="P1517" s="18" t="e">
        <x:f>HYPERLINK("https://grad.umn.edu/admissions/application-instructions/application-fees","Open source")</x:f>
        <x:v>HYPERLINK is not implemented. linkLocation=https://grad.umn.edu/admissions/application-instructions/application-fees, friendlyName=Open source</x:v>
      </x:c>
    </x:row>
    <x:row r="1518" ht="46" customHeight="1">
      <x:c r="A1518" s="17" t="str">
        <x:v>stage3src:e6a9acacafc5855719d7</x:v>
      </x:c>
      <x:c r="B1518" s="17" t="str">
        <x:v>program</x:v>
      </x:c>
      <x:c r="C1518" s="17" t="str">
        <x:v>University of Minnesota-Twin Cities</x:v>
      </x:c>
      <x:c r="D1518" s="17" t="str">
        <x:v>us:ipeds:174066:program:phd:computer-science-phd</x:v>
      </x:c>
      <x:c r="E1518" s="17" t="str"/>
      <x:c r="F1518" s="17" t="str">
        <x:v>funding|fees</x:v>
      </x:c>
      <x:c r="G1518" s="17" t="str">
        <x:v>All CS PhD admits receive funding from day one through the doctoral experience while progressing, with tuition, most health-insurance costs, and stipend.</x:v>
      </x:c>
      <x:c r="H1518" s="17" t="str">
        <x:v>Graduate Admissions Overview</x:v>
      </x:c>
      <x:c r="I1518" s="17" t="str">
        <x:v>University of Minnesota Department of Computer Science and Engineering</x:v>
      </x:c>
      <x:c r="J1518" s="17" t="str">
        <x:v>official</x:v>
      </x:c>
      <x:c r="K1518" s="17" t="str">
        <x:v>2026-09-10</x:v>
      </x:c>
      <x:c r="L1518" s="17" t="str">
        <x:v>Current page checked 2026-09-10</x:v>
      </x:c>
      <x:c r="M1518" s="17" t="str">
        <x:v>high</x:v>
      </x:c>
      <x:c r="N1518" s="17" t="str">
        <x:v>official page checked</x:v>
      </x:c>
      <x:c r="O1518" s="17" t="str"/>
      <x:c r="P1518" s="18" t="e">
        <x:f>HYPERLINK("https://cse.umn.edu/cs/graduate-admissions-overview","Open source")</x:f>
        <x:v>HYPERLINK is not implemented. linkLocation=https://cse.umn.edu/cs/graduate-admissions-overview, friendlyName=Open source</x:v>
      </x:c>
    </x:row>
    <x:row r="1519" ht="46" customHeight="1">
      <x:c r="A1519" s="17" t="str">
        <x:v>stage3src:925d5c955cf4566b5d14</x:v>
      </x:c>
      <x:c r="B1519" s="17" t="str">
        <x:v>program</x:v>
      </x:c>
      <x:c r="C1519" s="17" t="str">
        <x:v>University of Minnesota-Twin Cities</x:v>
      </x:c>
      <x:c r="D1519" s="17" t="str">
        <x:v>us:ipeds:174066:program:unclear:ipeds-discovery-signal-computer-science-cip-11-0701</x:v>
      </x:c>
      <x:c r="E1519" s="17" t="str"/>
      <x:c r="F1519" s="17" t="str">
        <x:v>discovery</x:v>
      </x:c>
      <x:c r="G1519" s="17" t="str">
        <x:v>Stage 2 recorded this row as a discovery candidate; it does not independently verify an exact current research program, eligibility, or funding.</x:v>
      </x:c>
      <x:c r="H1519" s="17" t="str">
        <x:v>Pass 2 Stage 2 candidate funnel</x:v>
      </x:c>
      <x:c r="I1519" s="17" t="str">
        <x:v>Graduate audit pipeline</x:v>
      </x:c>
      <x:c r="J1519" s="17" t="str">
        <x:v>derived</x:v>
      </x:c>
      <x:c r="K1519" s="17" t="str">
        <x:v>2026-09-11</x:v>
      </x:c>
      <x:c r="L1519" s="17" t="str">
        <x:v>Not cycle-specific</x:v>
      </x:c>
      <x:c r="M1519" s="17" t="str">
        <x:v>low</x:v>
      </x:c>
      <x:c r="N1519" s="17" t="str">
        <x:v>Discovery evidence only</x:v>
      </x:c>
      <x:c r="O1519" s="17" t="str">
        <x:v>Use the source_record_paths field to trace the underlying discovery inputs.</x:v>
      </x:c>
      <x:c r="P1519" s="18" t="e">
        <x:f>HYPERLINK("https://twin-cities.umn.edu","Open source")</x:f>
        <x:v>HYPERLINK is not implemented. linkLocation=https://twin-cities.umn.edu, friendlyName=Open source</x:v>
      </x:c>
    </x:row>
    <x:row r="1520" ht="46" customHeight="1">
      <x:c r="A1520" s="17" t="str">
        <x:v>stage3src:678a5ef15b071dcbf3ec</x:v>
      </x:c>
      <x:c r="B1520" s="17" t="str">
        <x:v>program</x:v>
      </x:c>
      <x:c r="C1520" s="17" t="str">
        <x:v>University of Minnesota-Twin Cities</x:v>
      </x:c>
      <x:c r="D1520" s="17" t="str">
        <x:v>us:ipeds:174066:program:unclear:ipeds-discovery-signal-computer-software-engineering-cip-14-0903</x:v>
      </x:c>
      <x:c r="E1520" s="17" t="str"/>
      <x:c r="F1520" s="17" t="str">
        <x:v>discovery</x:v>
      </x:c>
      <x:c r="G1520" s="17" t="str">
        <x:v>Stage 2 recorded this row as a discovery candidate; it does not independently verify an exact current research program, eligibility, or funding.</x:v>
      </x:c>
      <x:c r="H1520" s="17" t="str">
        <x:v>Pass 2 Stage 2 candidate funnel</x:v>
      </x:c>
      <x:c r="I1520" s="17" t="str">
        <x:v>Graduate audit pipeline</x:v>
      </x:c>
      <x:c r="J1520" s="17" t="str">
        <x:v>derived</x:v>
      </x:c>
      <x:c r="K1520" s="17" t="str">
        <x:v>2026-09-11</x:v>
      </x:c>
      <x:c r="L1520" s="17" t="str">
        <x:v>Not cycle-specific</x:v>
      </x:c>
      <x:c r="M1520" s="17" t="str">
        <x:v>low</x:v>
      </x:c>
      <x:c r="N1520" s="17" t="str">
        <x:v>Discovery evidence only</x:v>
      </x:c>
      <x:c r="O1520" s="17" t="str">
        <x:v>Use the source_record_paths field to trace the underlying discovery inputs.</x:v>
      </x:c>
      <x:c r="P1520" s="18" t="e">
        <x:f>HYPERLINK("https://twin-cities.umn.edu","Open source")</x:f>
        <x:v>HYPERLINK is not implemented. linkLocation=https://twin-cities.umn.edu, friendlyName=Open source</x:v>
      </x:c>
    </x:row>
    <x:row r="1521" ht="46" customHeight="1">
      <x:c r="A1521" s="17" t="str">
        <x:v>stage3src:ea908887ab02d90fd2ad</x:v>
      </x:c>
      <x:c r="B1521" s="17" t="str">
        <x:v>program</x:v>
      </x:c>
      <x:c r="C1521" s="17" t="str">
        <x:v>University of Minnesota-Twin Cities</x:v>
      </x:c>
      <x:c r="D1521" s="17" t="str">
        <x:v>us:ipeds:174066:program:unclear:ipeds-discovery-signal-data-science-general-cip-30-7001</x:v>
      </x:c>
      <x:c r="E1521" s="17" t="str"/>
      <x:c r="F1521" s="17" t="str">
        <x:v>discovery</x:v>
      </x:c>
      <x:c r="G1521" s="17" t="str">
        <x:v>Stage 2 recorded this row as a discovery candidate; it does not independently verify an exact current research program, eligibility, or funding.</x:v>
      </x:c>
      <x:c r="H1521" s="17" t="str">
        <x:v>Pass 2 Stage 2 candidate funnel</x:v>
      </x:c>
      <x:c r="I1521" s="17" t="str">
        <x:v>Graduate audit pipeline</x:v>
      </x:c>
      <x:c r="J1521" s="17" t="str">
        <x:v>derived</x:v>
      </x:c>
      <x:c r="K1521" s="17" t="str">
        <x:v>2026-09-11</x:v>
      </x:c>
      <x:c r="L1521" s="17" t="str">
        <x:v>Not cycle-specific</x:v>
      </x:c>
      <x:c r="M1521" s="17" t="str">
        <x:v>low</x:v>
      </x:c>
      <x:c r="N1521" s="17" t="str">
        <x:v>Discovery evidence only</x:v>
      </x:c>
      <x:c r="O1521" s="17" t="str">
        <x:v>Use the source_record_paths field to trace the underlying discovery inputs.</x:v>
      </x:c>
      <x:c r="P1521" s="18" t="e">
        <x:f>HYPERLINK("https://twin-cities.umn.edu","Open source")</x:f>
        <x:v>HYPERLINK is not implemented. linkLocation=https://twin-cities.umn.edu, friendlyName=Open source</x:v>
      </x:c>
    </x:row>
    <x:row r="1522" ht="46" customHeight="1">
      <x:c r="A1522" s="17" t="str">
        <x:v>stage3src:454733f45a5b39689064</x:v>
      </x:c>
      <x:c r="B1522" s="17" t="str">
        <x:v>program</x:v>
      </x:c>
      <x:c r="C1522" s="17" t="str">
        <x:v>University of Minnesota-Twin Cities</x:v>
      </x:c>
      <x:c r="D1522" s="17" t="str">
        <x:v>us:ipeds:174066:program:unclear:ipeds-discovery-signal-electrical-and-electronics-engineering-cip-14-1001</x:v>
      </x:c>
      <x:c r="E1522" s="17" t="str"/>
      <x:c r="F1522" s="17" t="str">
        <x:v>discovery</x:v>
      </x:c>
      <x:c r="G1522" s="17" t="str">
        <x:v>Stage 2 recorded this row as a discovery candidate; it does not independently verify an exact current research program, eligibility, or funding.</x:v>
      </x:c>
      <x:c r="H1522" s="17" t="str">
        <x:v>Pass 2 Stage 2 candidate funnel</x:v>
      </x:c>
      <x:c r="I1522" s="17" t="str">
        <x:v>Graduate audit pipeline</x:v>
      </x:c>
      <x:c r="J1522" s="17" t="str">
        <x:v>derived</x:v>
      </x:c>
      <x:c r="K1522" s="17" t="str">
        <x:v>2026-09-11</x:v>
      </x:c>
      <x:c r="L1522" s="17" t="str">
        <x:v>Not cycle-specific</x:v>
      </x:c>
      <x:c r="M1522" s="17" t="str">
        <x:v>low</x:v>
      </x:c>
      <x:c r="N1522" s="17" t="str">
        <x:v>Discovery evidence only</x:v>
      </x:c>
      <x:c r="O1522" s="17" t="str">
        <x:v>Use the source_record_paths field to trace the underlying discovery inputs.</x:v>
      </x:c>
      <x:c r="P1522" s="18" t="e">
        <x:f>HYPERLINK("https://twin-cities.umn.edu","Open source")</x:f>
        <x:v>HYPERLINK is not implemented. linkLocation=https://twin-cities.umn.edu, friendlyName=Open source</x:v>
      </x:c>
    </x:row>
    <x:row r="1523" ht="46" customHeight="1">
      <x:c r="A1523" s="17" t="str">
        <x:v>stage3src:ae7c7f5bea7bc139f72a</x:v>
      </x:c>
      <x:c r="B1523" s="17" t="str">
        <x:v>program</x:v>
      </x:c>
      <x:c r="C1523" s="17" t="str">
        <x:v>University of Minnesota-Duluth</x:v>
      </x:c>
      <x:c r="D1523" s="17" t="str">
        <x:v>us:ipeds:174233:program:unclear:ipeds-discovery-signal-computer-science-cip-11-0701</x:v>
      </x:c>
      <x:c r="E1523" s="17" t="str"/>
      <x:c r="F1523" s="17" t="str">
        <x:v>discovery</x:v>
      </x:c>
      <x:c r="G1523" s="17" t="str">
        <x:v>Stage 2 recorded this row as a discovery candidate; it does not independently verify an exact current research program, eligibility, or funding.</x:v>
      </x:c>
      <x:c r="H1523" s="17" t="str">
        <x:v>Pass 2 Stage 2 candidate funnel</x:v>
      </x:c>
      <x:c r="I1523" s="17" t="str">
        <x:v>Graduate audit pipeline</x:v>
      </x:c>
      <x:c r="J1523" s="17" t="str">
        <x:v>derived</x:v>
      </x:c>
      <x:c r="K1523" s="17" t="str">
        <x:v>2026-09-11</x:v>
      </x:c>
      <x:c r="L1523" s="17" t="str">
        <x:v>Not cycle-specific</x:v>
      </x:c>
      <x:c r="M1523" s="17" t="str">
        <x:v>low</x:v>
      </x:c>
      <x:c r="N1523" s="17" t="str">
        <x:v>Discovery evidence only</x:v>
      </x:c>
      <x:c r="O1523" s="17" t="str">
        <x:v>Use the source_record_paths field to trace the underlying discovery inputs.</x:v>
      </x:c>
      <x:c r="P1523" s="18" t="e">
        <x:f>HYPERLINK("https://d.umn.edu","Open source")</x:f>
        <x:v>HYPERLINK is not implemented. linkLocation=https://d.umn.edu, friendlyName=Open source</x:v>
      </x:c>
    </x:row>
    <x:row r="1524" ht="46" customHeight="1">
      <x:c r="A1524" s="17" t="str">
        <x:v>stage3src:5dc98a90db499848752e</x:v>
      </x:c>
      <x:c r="B1524" s="17" t="str">
        <x:v>program</x:v>
      </x:c>
      <x:c r="C1524" s="17" t="str">
        <x:v>University of Minnesota-Duluth</x:v>
      </x:c>
      <x:c r="D1524" s="17" t="str">
        <x:v>us:ipeds:174233:program:unclear:ipeds-discovery-signal-electrical-and-electronics-engineering-cip-14-1001</x:v>
      </x:c>
      <x:c r="E1524" s="17" t="str"/>
      <x:c r="F1524" s="17" t="str">
        <x:v>discovery</x:v>
      </x:c>
      <x:c r="G1524" s="17" t="str">
        <x:v>Stage 2 recorded this row as a discovery candidate; it does not independently verify an exact current research program, eligibility, or funding.</x:v>
      </x:c>
      <x:c r="H1524" s="17" t="str">
        <x:v>Pass 2 Stage 2 candidate funnel</x:v>
      </x:c>
      <x:c r="I1524" s="17" t="str">
        <x:v>Graduate audit pipeline</x:v>
      </x:c>
      <x:c r="J1524" s="17" t="str">
        <x:v>derived</x:v>
      </x:c>
      <x:c r="K1524" s="17" t="str">
        <x:v>2026-09-11</x:v>
      </x:c>
      <x:c r="L1524" s="17" t="str">
        <x:v>Not cycle-specific</x:v>
      </x:c>
      <x:c r="M1524" s="17" t="str">
        <x:v>low</x:v>
      </x:c>
      <x:c r="N1524" s="17" t="str">
        <x:v>Discovery evidence only</x:v>
      </x:c>
      <x:c r="O1524" s="17" t="str">
        <x:v>Use the source_record_paths field to trace the underlying discovery inputs.</x:v>
      </x:c>
      <x:c r="P1524" s="18" t="e">
        <x:f>HYPERLINK("https://d.umn.edu","Open source")</x:f>
        <x:v>HYPERLINK is not implemented. linkLocation=https://d.umn.edu, friendlyName=Open source</x:v>
      </x:c>
    </x:row>
    <x:row r="1525" ht="46" customHeight="1">
      <x:c r="A1525" s="17" t="str">
        <x:v>stage3src:338903e6725abbc0e1a3</x:v>
      </x:c>
      <x:c r="B1525" s="17" t="str">
        <x:v>program</x:v>
      </x:c>
      <x:c r="C1525" s="17" t="str">
        <x:v>Saint Cloud State University</x:v>
      </x:c>
      <x:c r="D1525" s="17" t="str">
        <x:v>us:ipeds:174783:program:unclear:ipeds-discovery-signal-computer-and-information-systems-security-auditing-information-assurance-cip-11-1003</x:v>
      </x:c>
      <x:c r="E1525" s="17" t="str"/>
      <x:c r="F1525" s="17" t="str">
        <x:v>discovery</x:v>
      </x:c>
      <x:c r="G1525" s="17" t="str">
        <x:v>Stage 2 recorded this row as a discovery candidate; it does not independently verify an exact current research program, eligibility, or funding.</x:v>
      </x:c>
      <x:c r="H1525" s="17" t="str">
        <x:v>Pass 2 Stage 2 candidate funnel</x:v>
      </x:c>
      <x:c r="I1525" s="17" t="str">
        <x:v>Graduate audit pipeline</x:v>
      </x:c>
      <x:c r="J1525" s="17" t="str">
        <x:v>derived</x:v>
      </x:c>
      <x:c r="K1525" s="17" t="str">
        <x:v>2026-09-11</x:v>
      </x:c>
      <x:c r="L1525" s="17" t="str">
        <x:v>Not cycle-specific</x:v>
      </x:c>
      <x:c r="M1525" s="17" t="str">
        <x:v>low</x:v>
      </x:c>
      <x:c r="N1525" s="17" t="str">
        <x:v>Discovery evidence only</x:v>
      </x:c>
      <x:c r="O1525" s="17" t="str">
        <x:v>Use the source_record_paths field to trace the underlying discovery inputs.</x:v>
      </x:c>
      <x:c r="P1525" s="18" t="e">
        <x:f>HYPERLINK("https://www.stcloudstate.edu","Open source")</x:f>
        <x:v>HYPERLINK is not implemented. linkLocation=https://www.stcloudstate.edu, friendlyName=Open source</x:v>
      </x:c>
    </x:row>
    <x:row r="1526" ht="46" customHeight="1">
      <x:c r="A1526" s="17" t="str">
        <x:v>stage3src:3f86df6d24ddb6a3406e</x:v>
      </x:c>
      <x:c r="B1526" s="17" t="str">
        <x:v>program</x:v>
      </x:c>
      <x:c r="C1526" s="17" t="str">
        <x:v>Saint Cloud State University</x:v>
      </x:c>
      <x:c r="D1526" s="17" t="str">
        <x:v>us:ipeds:174783:program:unclear:ipeds-discovery-signal-computer-science-cip-11-0701</x:v>
      </x:c>
      <x:c r="E1526" s="17" t="str"/>
      <x:c r="F1526" s="17" t="str">
        <x:v>discovery</x:v>
      </x:c>
      <x:c r="G1526" s="17" t="str">
        <x:v>Stage 2 recorded this row as a discovery candidate; it does not independently verify an exact current research program, eligibility, or funding.</x:v>
      </x:c>
      <x:c r="H1526" s="17" t="str">
        <x:v>Pass 2 Stage 2 candidate funnel</x:v>
      </x:c>
      <x:c r="I1526" s="17" t="str">
        <x:v>Graduate audit pipeline</x:v>
      </x:c>
      <x:c r="J1526" s="17" t="str">
        <x:v>derived</x:v>
      </x:c>
      <x:c r="K1526" s="17" t="str">
        <x:v>2026-09-11</x:v>
      </x:c>
      <x:c r="L1526" s="17" t="str">
        <x:v>Not cycle-specific</x:v>
      </x:c>
      <x:c r="M1526" s="17" t="str">
        <x:v>low</x:v>
      </x:c>
      <x:c r="N1526" s="17" t="str">
        <x:v>Discovery evidence only</x:v>
      </x:c>
      <x:c r="O1526" s="17" t="str">
        <x:v>Use the source_record_paths field to trace the underlying discovery inputs.</x:v>
      </x:c>
      <x:c r="P1526" s="18" t="e">
        <x:f>HYPERLINK("https://www.stcloudstate.edu","Open source")</x:f>
        <x:v>HYPERLINK is not implemented. linkLocation=https://www.stcloudstate.edu, friendlyName=Open source</x:v>
      </x:c>
    </x:row>
    <x:row r="1527" ht="46" customHeight="1">
      <x:c r="A1527" s="17" t="str">
        <x:v>stage3src:f5e1daba713aea01938a</x:v>
      </x:c>
      <x:c r="B1527" s="17" t="str">
        <x:v>program</x:v>
      </x:c>
      <x:c r="C1527" s="17" t="str">
        <x:v>Saint Cloud State University</x:v>
      </x:c>
      <x:c r="D1527" s="17" t="str">
        <x:v>us:ipeds:174783:program:unclear:ipeds-discovery-signal-computer-software-engineering-cip-14-0903</x:v>
      </x:c>
      <x:c r="E1527" s="17" t="str"/>
      <x:c r="F1527" s="17" t="str">
        <x:v>discovery</x:v>
      </x:c>
      <x:c r="G1527" s="17" t="str">
        <x:v>Stage 2 recorded this row as a discovery candidate; it does not independently verify an exact current research program, eligibility, or funding.</x:v>
      </x:c>
      <x:c r="H1527" s="17" t="str">
        <x:v>Pass 2 Stage 2 candidate funnel</x:v>
      </x:c>
      <x:c r="I1527" s="17" t="str">
        <x:v>Graduate audit pipeline</x:v>
      </x:c>
      <x:c r="J1527" s="17" t="str">
        <x:v>derived</x:v>
      </x:c>
      <x:c r="K1527" s="17" t="str">
        <x:v>2026-09-11</x:v>
      </x:c>
      <x:c r="L1527" s="17" t="str">
        <x:v>Not cycle-specific</x:v>
      </x:c>
      <x:c r="M1527" s="17" t="str">
        <x:v>low</x:v>
      </x:c>
      <x:c r="N1527" s="17" t="str">
        <x:v>Discovery evidence only</x:v>
      </x:c>
      <x:c r="O1527" s="17" t="str">
        <x:v>Use the source_record_paths field to trace the underlying discovery inputs.</x:v>
      </x:c>
      <x:c r="P1527" s="18" t="e">
        <x:f>HYPERLINK("https://www.stcloudstate.edu","Open source")</x:f>
        <x:v>HYPERLINK is not implemented. linkLocation=https://www.stcloudstate.edu, friendlyName=Open source</x:v>
      </x:c>
    </x:row>
    <x:row r="1528" ht="46" customHeight="1">
      <x:c r="A1528" s="17" t="str">
        <x:v>stage3src:ca5fc0bc37d751b543a9</x:v>
      </x:c>
      <x:c r="B1528" s="17" t="str">
        <x:v>program</x:v>
      </x:c>
      <x:c r="C1528" s="17" t="str">
        <x:v>Saint Cloud State University</x:v>
      </x:c>
      <x:c r="D1528" s="17" t="str">
        <x:v>us:ipeds:174783:program:unclear:ipeds-discovery-signal-electrical-and-electronics-engineering-cip-14-1001</x:v>
      </x:c>
      <x:c r="E1528" s="17" t="str"/>
      <x:c r="F1528" s="17" t="str">
        <x:v>discovery</x:v>
      </x:c>
      <x:c r="G1528" s="17" t="str">
        <x:v>Stage 2 recorded this row as a discovery candidate; it does not independently verify an exact current research program, eligibility, or funding.</x:v>
      </x:c>
      <x:c r="H1528" s="17" t="str">
        <x:v>Pass 2 Stage 2 candidate funnel</x:v>
      </x:c>
      <x:c r="I1528" s="17" t="str">
        <x:v>Graduate audit pipeline</x:v>
      </x:c>
      <x:c r="J1528" s="17" t="str">
        <x:v>derived</x:v>
      </x:c>
      <x:c r="K1528" s="17" t="str">
        <x:v>2026-09-11</x:v>
      </x:c>
      <x:c r="L1528" s="17" t="str">
        <x:v>Not cycle-specific</x:v>
      </x:c>
      <x:c r="M1528" s="17" t="str">
        <x:v>low</x:v>
      </x:c>
      <x:c r="N1528" s="17" t="str">
        <x:v>Discovery evidence only</x:v>
      </x:c>
      <x:c r="O1528" s="17" t="str">
        <x:v>Use the source_record_paths field to trace the underlying discovery inputs.</x:v>
      </x:c>
      <x:c r="P1528" s="18" t="e">
        <x:f>HYPERLINK("https://www.stcloudstate.edu","Open source")</x:f>
        <x:v>HYPERLINK is not implemented. linkLocation=https://www.stcloudstate.edu, friendlyName=Open source</x:v>
      </x:c>
    </x:row>
    <x:row r="1529" ht="46" customHeight="1">
      <x:c r="A1529" s="17" t="str">
        <x:v>stage3src:8909446ee714a21322da</x:v>
      </x:c>
      <x:c r="B1529" s="17" t="str">
        <x:v>program</x:v>
      </x:c>
      <x:c r="C1529" s="17" t="str">
        <x:v>Saint Mary's University of Minnesota</x:v>
      </x:c>
      <x:c r="D1529" s="17" t="str">
        <x:v>us:ipeds:174817:program:unclear:ipeds-discovery-signal-computer-and-information-systems-security-auditing-information-assurance-cip-11-1003</x:v>
      </x:c>
      <x:c r="E1529" s="17" t="str"/>
      <x:c r="F1529" s="17" t="str">
        <x:v>discovery</x:v>
      </x:c>
      <x:c r="G1529" s="17" t="str">
        <x:v>Stage 2 recorded this row as a discovery candidate; it does not independently verify an exact current research program, eligibility, or funding.</x:v>
      </x:c>
      <x:c r="H1529" s="17" t="str">
        <x:v>Pass 2 Stage 2 candidate funnel</x:v>
      </x:c>
      <x:c r="I1529" s="17" t="str">
        <x:v>Graduate audit pipeline</x:v>
      </x:c>
      <x:c r="J1529" s="17" t="str">
        <x:v>derived</x:v>
      </x:c>
      <x:c r="K1529" s="17" t="str">
        <x:v>2026-09-11</x:v>
      </x:c>
      <x:c r="L1529" s="17" t="str">
        <x:v>Not cycle-specific</x:v>
      </x:c>
      <x:c r="M1529" s="17" t="str">
        <x:v>low</x:v>
      </x:c>
      <x:c r="N1529" s="17" t="str">
        <x:v>Discovery evidence only</x:v>
      </x:c>
      <x:c r="O1529" s="17" t="str">
        <x:v>Use the source_record_paths field to trace the underlying discovery inputs.</x:v>
      </x:c>
      <x:c r="P1529" s="18" t="e">
        <x:f>HYPERLINK("https://www.smumn.edu","Open source")</x:f>
        <x:v>HYPERLINK is not implemented. linkLocation=https://www.smumn.edu, friendlyName=Open source</x:v>
      </x:c>
    </x:row>
    <x:row r="1530" ht="46" customHeight="1">
      <x:c r="A1530" s="17" t="str">
        <x:v>stage3src:08218dfff076acbeea86</x:v>
      </x:c>
      <x:c r="B1530" s="17" t="str">
        <x:v>program</x:v>
      </x:c>
      <x:c r="C1530" s="17" t="str">
        <x:v>University of St Thomas</x:v>
      </x:c>
      <x:c r="D1530" s="17" t="str">
        <x:v>us:ipeds:174914:program:unclear:ipeds-discovery-signal-electrical-and-electronics-engineering-cip-14-1001</x:v>
      </x:c>
      <x:c r="E1530" s="17" t="str"/>
      <x:c r="F1530" s="17" t="str">
        <x:v>discovery</x:v>
      </x:c>
      <x:c r="G1530" s="17" t="str">
        <x:v>Stage 2 recorded this row as a discovery candidate; it does not independently verify an exact current research program, eligibility, or funding.</x:v>
      </x:c>
      <x:c r="H1530" s="17" t="str">
        <x:v>Pass 2 Stage 2 candidate funnel</x:v>
      </x:c>
      <x:c r="I1530" s="17" t="str">
        <x:v>Graduate audit pipeline</x:v>
      </x:c>
      <x:c r="J1530" s="17" t="str">
        <x:v>derived</x:v>
      </x:c>
      <x:c r="K1530" s="17" t="str">
        <x:v>2026-09-11</x:v>
      </x:c>
      <x:c r="L1530" s="17" t="str">
        <x:v>Not cycle-specific</x:v>
      </x:c>
      <x:c r="M1530" s="17" t="str">
        <x:v>low</x:v>
      </x:c>
      <x:c r="N1530" s="17" t="str">
        <x:v>Discovery evidence only</x:v>
      </x:c>
      <x:c r="O1530" s="17" t="str">
        <x:v>Use the source_record_paths field to trace the underlying discovery inputs.</x:v>
      </x:c>
      <x:c r="P1530" s="18" t="e">
        <x:f>HYPERLINK("https://www.stthomas.edu","Open source")</x:f>
        <x:v>HYPERLINK is not implemented. linkLocation=https://www.stthomas.edu, friendlyName=Open source</x:v>
      </x:c>
    </x:row>
    <x:row r="1531" ht="46" customHeight="1">
      <x:c r="A1531" s="17" t="str">
        <x:v>stage3src:81d417dd6a3f0b76dd57</x:v>
      </x:c>
      <x:c r="B1531" s="17" t="str">
        <x:v>program</x:v>
      </x:c>
      <x:c r="C1531" s="17" t="str">
        <x:v>University of St Thomas</x:v>
      </x:c>
      <x:c r="D1531" s="17" t="str">
        <x:v>us:ipeds:174914:program:unclear:ipeds-discovery-signal-information-technology-cip-11-0103</x:v>
      </x:c>
      <x:c r="E1531" s="17" t="str"/>
      <x:c r="F1531" s="17" t="str">
        <x:v>discovery</x:v>
      </x:c>
      <x:c r="G1531" s="17" t="str">
        <x:v>Stage 2 recorded this row as a discovery candidate; it does not independently verify an exact current research program, eligibility, or funding.</x:v>
      </x:c>
      <x:c r="H1531" s="17" t="str">
        <x:v>Pass 2 Stage 2 candidate funnel</x:v>
      </x:c>
      <x:c r="I1531" s="17" t="str">
        <x:v>Graduate audit pipeline</x:v>
      </x:c>
      <x:c r="J1531" s="17" t="str">
        <x:v>derived</x:v>
      </x:c>
      <x:c r="K1531" s="17" t="str">
        <x:v>2026-09-11</x:v>
      </x:c>
      <x:c r="L1531" s="17" t="str">
        <x:v>Not cycle-specific</x:v>
      </x:c>
      <x:c r="M1531" s="17" t="str">
        <x:v>low</x:v>
      </x:c>
      <x:c r="N1531" s="17" t="str">
        <x:v>Discovery evidence only</x:v>
      </x:c>
      <x:c r="O1531" s="17" t="str">
        <x:v>Use the source_record_paths field to trace the underlying discovery inputs.</x:v>
      </x:c>
      <x:c r="P1531" s="18" t="e">
        <x:f>HYPERLINK("https://www.stthomas.edu","Open source")</x:f>
        <x:v>HYPERLINK is not implemented. linkLocation=https://www.stthomas.edu, friendlyName=Open source</x:v>
      </x:c>
    </x:row>
    <x:row r="1532" ht="46" customHeight="1">
      <x:c r="A1532" s="17" t="str">
        <x:v>stage3src:0d1c0d413607b7850cfc</x:v>
      </x:c>
      <x:c r="B1532" s="17" t="str">
        <x:v>program</x:v>
      </x:c>
      <x:c r="C1532" s="17" t="str">
        <x:v>Alcorn State University</x:v>
      </x:c>
      <x:c r="D1532" s="17" t="str">
        <x:v>us:ipeds:175342:program:unclear:ipeds-discovery-signal-computer-and-information-sciences-general-cip-11-0101</x:v>
      </x:c>
      <x:c r="E1532" s="17" t="str"/>
      <x:c r="F1532" s="17" t="str">
        <x:v>discovery</x:v>
      </x:c>
      <x:c r="G1532" s="17" t="str">
        <x:v>Stage 2 recorded this row as a discovery candidate; it does not independently verify an exact current research program, eligibility, or funding.</x:v>
      </x:c>
      <x:c r="H1532" s="17" t="str">
        <x:v>Pass 2 Stage 2 candidate funnel</x:v>
      </x:c>
      <x:c r="I1532" s="17" t="str">
        <x:v>Graduate audit pipeline</x:v>
      </x:c>
      <x:c r="J1532" s="17" t="str">
        <x:v>derived</x:v>
      </x:c>
      <x:c r="K1532" s="17" t="str">
        <x:v>2026-09-11</x:v>
      </x:c>
      <x:c r="L1532" s="17" t="str">
        <x:v>Not cycle-specific</x:v>
      </x:c>
      <x:c r="M1532" s="17" t="str">
        <x:v>low</x:v>
      </x:c>
      <x:c r="N1532" s="17" t="str">
        <x:v>Discovery evidence only</x:v>
      </x:c>
      <x:c r="O1532" s="17" t="str">
        <x:v>Use the source_record_paths field to trace the underlying discovery inputs.</x:v>
      </x:c>
      <x:c r="P1532" s="18" t="e">
        <x:f>HYPERLINK("https://www.alcorn.edu","Open source")</x:f>
        <x:v>HYPERLINK is not implemented. linkLocation=https://www.alcorn.edu, friendlyName=Open source</x:v>
      </x:c>
    </x:row>
    <x:row r="1533" ht="46" customHeight="1">
      <x:c r="A1533" s="17" t="str">
        <x:v>stage3src:9759e65937629a4b630b</x:v>
      </x:c>
      <x:c r="B1533" s="17" t="str">
        <x:v>program</x:v>
      </x:c>
      <x:c r="C1533" s="17" t="str">
        <x:v>Belhaven University</x:v>
      </x:c>
      <x:c r="D1533" s="17" t="str">
        <x:v>us:ipeds:175421:program:unclear:ipeds-discovery-signal-information-technology-cip-11-0103</x:v>
      </x:c>
      <x:c r="E1533" s="17" t="str"/>
      <x:c r="F1533" s="17" t="str">
        <x:v>discovery</x:v>
      </x:c>
      <x:c r="G1533" s="17" t="str">
        <x:v>Stage 2 recorded this row as a discovery candidate; it does not independently verify an exact current research program, eligibility, or funding.</x:v>
      </x:c>
      <x:c r="H1533" s="17" t="str">
        <x:v>Pass 2 Stage 2 candidate funnel</x:v>
      </x:c>
      <x:c r="I1533" s="17" t="str">
        <x:v>Graduate audit pipeline</x:v>
      </x:c>
      <x:c r="J1533" s="17" t="str">
        <x:v>derived</x:v>
      </x:c>
      <x:c r="K1533" s="17" t="str">
        <x:v>2026-09-11</x:v>
      </x:c>
      <x:c r="L1533" s="17" t="str">
        <x:v>Not cycle-specific</x:v>
      </x:c>
      <x:c r="M1533" s="17" t="str">
        <x:v>low</x:v>
      </x:c>
      <x:c r="N1533" s="17" t="str">
        <x:v>Discovery evidence only</x:v>
      </x:c>
      <x:c r="O1533" s="17" t="str">
        <x:v>Use the source_record_paths field to trace the underlying discovery inputs.</x:v>
      </x:c>
      <x:c r="P1533" s="18" t="e">
        <x:f>HYPERLINK("https://www.belhaven.edu","Open source")</x:f>
        <x:v>HYPERLINK is not implemented. linkLocation=https://www.belhaven.edu, friendlyName=Open source</x:v>
      </x:c>
    </x:row>
    <x:row r="1534" ht="46" customHeight="1">
      <x:c r="A1534" s="17" t="str">
        <x:v>stage3src:6d022b4f32b5a97969b2</x:v>
      </x:c>
      <x:c r="B1534" s="17" t="str">
        <x:v>program</x:v>
      </x:c>
      <x:c r="C1534" s="17" t="str">
        <x:v>Jackson State University</x:v>
      </x:c>
      <x:c r="D1534" s="17" t="str">
        <x:v>us:ipeds:175856:program:unclear:ipeds-discovery-signal-computer-and-information-sciences-general-cip-11-0101</x:v>
      </x:c>
      <x:c r="E1534" s="17" t="str"/>
      <x:c r="F1534" s="17" t="str">
        <x:v>discovery</x:v>
      </x:c>
      <x:c r="G1534" s="17" t="str">
        <x:v>Stage 2 recorded this row as a discovery candidate; it does not independently verify an exact current research program, eligibility, or funding.</x:v>
      </x:c>
      <x:c r="H1534" s="17" t="str">
        <x:v>Pass 2 Stage 2 candidate funnel</x:v>
      </x:c>
      <x:c r="I1534" s="17" t="str">
        <x:v>Graduate audit pipeline</x:v>
      </x:c>
      <x:c r="J1534" s="17" t="str">
        <x:v>derived</x:v>
      </x:c>
      <x:c r="K1534" s="17" t="str">
        <x:v>2026-09-11</x:v>
      </x:c>
      <x:c r="L1534" s="17" t="str">
        <x:v>Not cycle-specific</x:v>
      </x:c>
      <x:c r="M1534" s="17" t="str">
        <x:v>low</x:v>
      </x:c>
      <x:c r="N1534" s="17" t="str">
        <x:v>Discovery evidence only</x:v>
      </x:c>
      <x:c r="O1534" s="17" t="str">
        <x:v>Use the source_record_paths field to trace the underlying discovery inputs.</x:v>
      </x:c>
      <x:c r="P1534" s="18" t="e">
        <x:f>HYPERLINK("https://www.jsums.edu","Open source")</x:f>
        <x:v>HYPERLINK is not implemented. linkLocation=https://www.jsums.edu, friendlyName=Open source</x:v>
      </x:c>
    </x:row>
    <x:row r="1535" ht="46" customHeight="1">
      <x:c r="A1535" s="17" t="str">
        <x:v>stage3src:f1209f2fdf8556577b24</x:v>
      </x:c>
      <x:c r="B1535" s="17" t="str">
        <x:v>program</x:v>
      </x:c>
      <x:c r="C1535" s="17" t="str">
        <x:v>Jackson State University</x:v>
      </x:c>
      <x:c r="D1535" s="17" t="str">
        <x:v>us:ipeds:175856:program:unclear:ipeds-discovery-signal-computer-science-cip-11-0701</x:v>
      </x:c>
      <x:c r="E1535" s="17" t="str"/>
      <x:c r="F1535" s="17" t="str">
        <x:v>discovery</x:v>
      </x:c>
      <x:c r="G1535" s="17" t="str">
        <x:v>Stage 2 recorded this row as a discovery candidate; it does not independently verify an exact current research program, eligibility, or funding.</x:v>
      </x:c>
      <x:c r="H1535" s="17" t="str">
        <x:v>Pass 2 Stage 2 candidate funnel</x:v>
      </x:c>
      <x:c r="I1535" s="17" t="str">
        <x:v>Graduate audit pipeline</x:v>
      </x:c>
      <x:c r="J1535" s="17" t="str">
        <x:v>derived</x:v>
      </x:c>
      <x:c r="K1535" s="17" t="str">
        <x:v>2026-09-11</x:v>
      </x:c>
      <x:c r="L1535" s="17" t="str">
        <x:v>Not cycle-specific</x:v>
      </x:c>
      <x:c r="M1535" s="17" t="str">
        <x:v>low</x:v>
      </x:c>
      <x:c r="N1535" s="17" t="str">
        <x:v>Discovery evidence only</x:v>
      </x:c>
      <x:c r="O1535" s="17" t="str">
        <x:v>Use the source_record_paths field to trace the underlying discovery inputs.</x:v>
      </x:c>
      <x:c r="P1535" s="18" t="e">
        <x:f>HYPERLINK("https://www.jsums.edu","Open source")</x:f>
        <x:v>HYPERLINK is not implemented. linkLocation=https://www.jsums.edu, friendlyName=Open source</x:v>
      </x:c>
    </x:row>
    <x:row r="1536" ht="46" customHeight="1">
      <x:c r="A1536" s="17" t="str">
        <x:v>stage3src:24c0ff3f2e4413dea640</x:v>
      </x:c>
      <x:c r="B1536" s="17" t="str">
        <x:v>program</x:v>
      </x:c>
      <x:c r="C1536" s="17" t="str">
        <x:v>University of Mississippi</x:v>
      </x:c>
      <x:c r="D1536" s="17" t="str">
        <x:v>us:ipeds:176017:program:unclear:ipeds-discovery-signal-data-analytics-general-cip-30-7101</x:v>
      </x:c>
      <x:c r="E1536" s="17" t="str"/>
      <x:c r="F1536" s="17" t="str">
        <x:v>discovery</x:v>
      </x:c>
      <x:c r="G1536" s="17" t="str">
        <x:v>Stage 2 recorded this row as a discovery candidate; it does not independently verify an exact current research program, eligibility, or funding.</x:v>
      </x:c>
      <x:c r="H1536" s="17" t="str">
        <x:v>Pass 2 Stage 2 candidate funnel</x:v>
      </x:c>
      <x:c r="I1536" s="17" t="str">
        <x:v>Graduate audit pipeline</x:v>
      </x:c>
      <x:c r="J1536" s="17" t="str">
        <x:v>derived</x:v>
      </x:c>
      <x:c r="K1536" s="17" t="str">
        <x:v>2026-09-11</x:v>
      </x:c>
      <x:c r="L1536" s="17" t="str">
        <x:v>Not cycle-specific</x:v>
      </x:c>
      <x:c r="M1536" s="17" t="str">
        <x:v>low</x:v>
      </x:c>
      <x:c r="N1536" s="17" t="str">
        <x:v>Discovery evidence only</x:v>
      </x:c>
      <x:c r="O1536" s="17" t="str">
        <x:v>Use the source_record_paths field to trace the underlying discovery inputs.</x:v>
      </x:c>
      <x:c r="P1536" s="18" t="e">
        <x:f>HYPERLINK("https://www.olemiss.edu","Open source")</x:f>
        <x:v>HYPERLINK is not implemented. linkLocation=https://www.olemiss.edu, friendlyName=Open source</x:v>
      </x:c>
    </x:row>
    <x:row r="1537" ht="46" customHeight="1">
      <x:c r="A1537" s="17" t="str">
        <x:v>stage3src:11c507358a11a39994b5</x:v>
      </x:c>
      <x:c r="B1537" s="17" t="str">
        <x:v>program</x:v>
      </x:c>
      <x:c r="C1537" s="17" t="str">
        <x:v>Mississippi College</x:v>
      </x:c>
      <x:c r="D1537" s="17" t="str">
        <x:v>us:ipeds:176053:program:unclear:ipeds-discovery-signal-computer-science-cip-11-0701</x:v>
      </x:c>
      <x:c r="E1537" s="17" t="str"/>
      <x:c r="F1537" s="17" t="str">
        <x:v>discovery</x:v>
      </x:c>
      <x:c r="G1537" s="17" t="str">
        <x:v>Stage 2 recorded this row as a discovery candidate; it does not independently verify an exact current research program, eligibility, or funding.</x:v>
      </x:c>
      <x:c r="H1537" s="17" t="str">
        <x:v>Pass 2 Stage 2 candidate funnel</x:v>
      </x:c>
      <x:c r="I1537" s="17" t="str">
        <x:v>Graduate audit pipeline</x:v>
      </x:c>
      <x:c r="J1537" s="17" t="str">
        <x:v>derived</x:v>
      </x:c>
      <x:c r="K1537" s="17" t="str">
        <x:v>2026-09-11</x:v>
      </x:c>
      <x:c r="L1537" s="17" t="str">
        <x:v>Not cycle-specific</x:v>
      </x:c>
      <x:c r="M1537" s="17" t="str">
        <x:v>low</x:v>
      </x:c>
      <x:c r="N1537" s="17" t="str">
        <x:v>Discovery evidence only</x:v>
      </x:c>
      <x:c r="O1537" s="17" t="str">
        <x:v>Use the source_record_paths field to trace the underlying discovery inputs.</x:v>
      </x:c>
      <x:c r="P1537" s="18" t="e">
        <x:f>HYPERLINK("https://www.mc.edu","Open source")</x:f>
        <x:v>HYPERLINK is not implemented. linkLocation=https://www.mc.edu, friendlyName=Open source</x:v>
      </x:c>
    </x:row>
    <x:row r="1538" ht="46" customHeight="1">
      <x:c r="A1538" s="17" t="str">
        <x:v>stage3src:ad57a1bcc7775301ff9a</x:v>
      </x:c>
      <x:c r="B1538" s="17" t="str">
        <x:v>program</x:v>
      </x:c>
      <x:c r="C1538" s="17" t="str">
        <x:v>Mississippi College</x:v>
      </x:c>
      <x:c r="D1538" s="17" t="str">
        <x:v>us:ipeds:176053:program:unclear:ipeds-discovery-signal-cyber-computer-forensics-and-counterterrorism-cip-43-0403</x:v>
      </x:c>
      <x:c r="E1538" s="17" t="str"/>
      <x:c r="F1538" s="17" t="str">
        <x:v>discovery</x:v>
      </x:c>
      <x:c r="G1538" s="17" t="str">
        <x:v>Stage 2 recorded this row as a discovery candidate; it does not independently verify an exact current research program, eligibility, or funding.</x:v>
      </x:c>
      <x:c r="H1538" s="17" t="str">
        <x:v>Pass 2 Stage 2 candidate funnel</x:v>
      </x:c>
      <x:c r="I1538" s="17" t="str">
        <x:v>Graduate audit pipeline</x:v>
      </x:c>
      <x:c r="J1538" s="17" t="str">
        <x:v>derived</x:v>
      </x:c>
      <x:c r="K1538" s="17" t="str">
        <x:v>2026-09-11</x:v>
      </x:c>
      <x:c r="L1538" s="17" t="str">
        <x:v>Not cycle-specific</x:v>
      </x:c>
      <x:c r="M1538" s="17" t="str">
        <x:v>low</x:v>
      </x:c>
      <x:c r="N1538" s="17" t="str">
        <x:v>Discovery evidence only</x:v>
      </x:c>
      <x:c r="O1538" s="17" t="str">
        <x:v>Use the source_record_paths field to trace the underlying discovery inputs.</x:v>
      </x:c>
      <x:c r="P1538" s="18" t="e">
        <x:f>HYPERLINK("https://www.mc.edu","Open source")</x:f>
        <x:v>HYPERLINK is not implemented. linkLocation=https://www.mc.edu, friendlyName=Open source</x:v>
      </x:c>
    </x:row>
    <x:row r="1539" ht="46" customHeight="1">
      <x:c r="A1539" s="17" t="str">
        <x:v>stage3src:8ea3a99dc87b630dcf45</x:v>
      </x:c>
      <x:c r="B1539" s="17" t="str">
        <x:v>program</x:v>
      </x:c>
      <x:c r="C1539" s="17" t="str">
        <x:v>Mississippi State University</x:v>
      </x:c>
      <x:c r="D1539" s="17" t="str">
        <x:v>us:ipeds:176080:program:phd:phd-in-computer-science</x:v>
      </x:c>
      <x:c r="E1539" s="17" t="str"/>
      <x:c r="F1539" s="17" t="str">
        <x:v>admissions|fees</x:v>
      </x:c>
      <x:c r="G1539" s="17" t="str">
        <x:v>USD 80 international application fee and a fee for each submitted application.</x:v>
      </x:c>
      <x:c r="H1539" s="17" t="str">
        <x:v>Admissions and Graduate School FAQs</x:v>
      </x:c>
      <x:c r="I1539" s="17" t="str">
        <x:v>Mississippi State University Graduate School</x:v>
      </x:c>
      <x:c r="J1539" s="17" t="str">
        <x:v>official</x:v>
      </x:c>
      <x:c r="K1539" s="17" t="str">
        <x:v>2026-09-11</x:v>
      </x:c>
      <x:c r="L1539" s="17" t="str">
        <x:v>Current page checked 2026-09-11</x:v>
      </x:c>
      <x:c r="M1539" s="17" t="str">
        <x:v>high</x:v>
      </x:c>
      <x:c r="N1539" s="17" t="str">
        <x:v>official page checked</x:v>
      </x:c>
      <x:c r="O1539" s="17" t="str"/>
      <x:c r="P1539" s="18" t="e">
        <x:f>HYPERLINK("https://www.grad.msstate.edu/students/admissions","Open source")</x:f>
        <x:v>HYPERLINK is not implemented. linkLocation=https://www.grad.msstate.edu/students/admissions, friendlyName=Open source</x:v>
      </x:c>
    </x:row>
    <x:row r="1540" ht="46" customHeight="1">
      <x:c r="A1540" s="17" t="str">
        <x:v>stage3src:9163f63ec05fabed0601</x:v>
      </x:c>
      <x:c r="B1540" s="17" t="str">
        <x:v>program</x:v>
      </x:c>
      <x:c r="C1540" s="17" t="str">
        <x:v>Mississippi State University</x:v>
      </x:c>
      <x:c r="D1540" s="17" t="str">
        <x:v>us:ipeds:176080:program:phd:phd-in-computer-science</x:v>
      </x:c>
      <x:c r="E1540" s="17" t="str"/>
      <x:c r="F1540" s="17" t="str">
        <x:v>funding|fees|deadline</x:v>
      </x:c>
      <x:c r="G1540" s="17" t="str">
        <x:v>Competitive TA and RA process, first-year scarcity, TA tuition-and-fee coverage, renewal limits, and funding-review timing.</x:v>
      </x:c>
      <x:c r="H1540" s="17" t="str">
        <x:v>Assistantships</x:v>
      </x:c>
      <x:c r="I1540" s="17" t="str">
        <x:v>Mississippi State University Department of Computer Science and Engineering</x:v>
      </x:c>
      <x:c r="J1540" s="17" t="str">
        <x:v>official</x:v>
      </x:c>
      <x:c r="K1540" s="17" t="str">
        <x:v>2026-09-11</x:v>
      </x:c>
      <x:c r="L1540" s="17" t="str">
        <x:v>Current page checked 2026-09-11</x:v>
      </x:c>
      <x:c r="M1540" s="17" t="str">
        <x:v>high</x:v>
      </x:c>
      <x:c r="N1540" s="17" t="str">
        <x:v>official page checked</x:v>
      </x:c>
      <x:c r="O1540" s="17" t="str"/>
      <x:c r="P1540" s="18" t="e">
        <x:f>HYPERLINK("https://www.cse.msstate.edu/assistantships/","Open source")</x:f>
        <x:v>HYPERLINK is not implemented. linkLocation=https://www.cse.msstate.edu/assistantships/, friendlyName=Open source</x:v>
      </x:c>
    </x:row>
    <x:row r="1541" ht="46" customHeight="1">
      <x:c r="A1541" s="17" t="str">
        <x:v>stage3src:9a3a3f25652d37a43685</x:v>
      </x:c>
      <x:c r="B1541" s="17" t="str">
        <x:v>program</x:v>
      </x:c>
      <x:c r="C1541" s="17" t="str">
        <x:v>Mississippi State University</x:v>
      </x:c>
      <x:c r="D1541" s="17" t="str">
        <x:v>us:ipeds:176080:program:phd:phd-in-computer-science</x:v>
      </x:c>
      <x:c r="E1541" s="17" t="str"/>
      <x:c r="F1541" s="17" t="str">
        <x:v>admissions|eligibility|language|deadline</x:v>
      </x:c>
      <x:c r="G1541" s="17" t="str">
        <x:v>Expected 3.5 bachelor's-entry GPA, discretionary lower-GPA route, prerequisites, recurring deadlines, and optional GRE treatment.</x:v>
      </x:c>
      <x:c r="H1541" s="17" t="str">
        <x:v>Graduate Admission</x:v>
      </x:c>
      <x:c r="I1541" s="17" t="str">
        <x:v>Mississippi State University Department of Computer Science and Engineering</x:v>
      </x:c>
      <x:c r="J1541" s="17" t="str">
        <x:v>official</x:v>
      </x:c>
      <x:c r="K1541" s="17" t="str">
        <x:v>2026-09-11</x:v>
      </x:c>
      <x:c r="L1541" s="17" t="str">
        <x:v>Current recurring dates checked 2026-09-11</x:v>
      </x:c>
      <x:c r="M1541" s="17" t="str">
        <x:v>high</x:v>
      </x:c>
      <x:c r="N1541" s="17" t="str">
        <x:v>official page checked</x:v>
      </x:c>
      <x:c r="O1541" s="17" t="str"/>
      <x:c r="P1541" s="18" t="e">
        <x:f>HYPERLINK("https://www.cse.msstate.edu/grad/admission/","Open source")</x:f>
        <x:v>HYPERLINK is not implemented. linkLocation=https://www.cse.msstate.edu/grad/admission/, friendlyName=Open source</x:v>
      </x:c>
    </x:row>
    <x:row r="1542" ht="46" customHeight="1">
      <x:c r="A1542" s="17" t="str">
        <x:v>stage3src:a788445d3439b9c28452</x:v>
      </x:c>
      <x:c r="B1542" s="17" t="str">
        <x:v>program</x:v>
      </x:c>
      <x:c r="C1542" s="17" t="str">
        <x:v>Mississippi State University</x:v>
      </x:c>
      <x:c r="D1542" s="17" t="str">
        <x:v>us:ipeds:176080:program:phd:phd-in-computer-science</x:v>
      </x:c>
      <x:c r="E1542" s="17" t="str"/>
      <x:c r="F1542" s="17" t="str">
        <x:v>program</x:v>
      </x:c>
      <x:c r="G1542" s="17" t="str">
        <x:v>Current direct-bachelor's Computer Science PhD with dissertation research.</x:v>
      </x:c>
      <x:c r="H1542" s="17" t="str">
        <x:v>Ph.D. in Computer Science</x:v>
      </x:c>
      <x:c r="I1542" s="17" t="str">
        <x:v>Mississippi State University Department of Computer Science and Engineering</x:v>
      </x:c>
      <x:c r="J1542" s="17" t="str">
        <x:v>official</x:v>
      </x:c>
      <x:c r="K1542" s="17" t="str">
        <x:v>2026-09-11</x:v>
      </x:c>
      <x:c r="L1542" s="17" t="str">
        <x:v>Current page checked 2026-09-11</x:v>
      </x:c>
      <x:c r="M1542" s="17" t="str">
        <x:v>high</x:v>
      </x:c>
      <x:c r="N1542" s="17" t="str">
        <x:v>official page checked</x:v>
      </x:c>
      <x:c r="O1542" s="17" t="str"/>
      <x:c r="P1542" s="18" t="e">
        <x:f>HYPERLINK("https://www.cse.msstate.edu/grad/phd-cs/","Open source")</x:f>
        <x:v>HYPERLINK is not implemented. linkLocation=https://www.cse.msstate.edu/grad/phd-cs/, friendlyName=Open source</x:v>
      </x:c>
    </x:row>
    <x:row r="1543" ht="46" customHeight="1">
      <x:c r="A1543" s="17" t="str">
        <x:v>stage3src:814de0e0c8169083eb0b</x:v>
      </x:c>
      <x:c r="B1543" s="17" t="str">
        <x:v>program</x:v>
      </x:c>
      <x:c r="C1543" s="17" t="str">
        <x:v>Mississippi State University</x:v>
      </x:c>
      <x:c r="D1543" s="17" t="str">
        <x:v>us:ipeds:176080:program:unclear:ipeds-discovery-signal-computer-and-information-sciences-general-cip-11-0101</x:v>
      </x:c>
      <x:c r="E1543" s="17" t="str"/>
      <x:c r="F1543" s="17" t="str">
        <x:v>discovery</x:v>
      </x:c>
      <x:c r="G1543" s="17" t="str">
        <x:v>Stage 2 recorded this row as a discovery candidate; it does not independently verify an exact current research program, eligibility, or funding.</x:v>
      </x:c>
      <x:c r="H1543" s="17" t="str">
        <x:v>Pass 2 Stage 2 candidate funnel</x:v>
      </x:c>
      <x:c r="I1543" s="17" t="str">
        <x:v>Graduate audit pipeline</x:v>
      </x:c>
      <x:c r="J1543" s="17" t="str">
        <x:v>derived</x:v>
      </x:c>
      <x:c r="K1543" s="17" t="str">
        <x:v>2026-09-11</x:v>
      </x:c>
      <x:c r="L1543" s="17" t="str">
        <x:v>Not cycle-specific</x:v>
      </x:c>
      <x:c r="M1543" s="17" t="str">
        <x:v>low</x:v>
      </x:c>
      <x:c r="N1543" s="17" t="str">
        <x:v>Discovery evidence only</x:v>
      </x:c>
      <x:c r="O1543" s="17" t="str">
        <x:v>Use the source_record_paths field to trace the underlying discovery inputs.</x:v>
      </x:c>
      <x:c r="P1543" s="18" t="e">
        <x:f>HYPERLINK("https://www.msstate.edu","Open source")</x:f>
        <x:v>HYPERLINK is not implemented. linkLocation=https://www.msstate.edu, friendlyName=Open source</x:v>
      </x:c>
    </x:row>
    <x:row r="1544" ht="46" customHeight="1">
      <x:c r="A1544" s="17" t="str">
        <x:v>stage3src:db7f5ea46389e1811d98</x:v>
      </x:c>
      <x:c r="B1544" s="17" t="str">
        <x:v>program</x:v>
      </x:c>
      <x:c r="C1544" s="17" t="str">
        <x:v>Mississippi State University</x:v>
      </x:c>
      <x:c r="D1544" s="17" t="str">
        <x:v>us:ipeds:176080:program:unclear:ipeds-discovery-signal-computer-and-information-systems-security-auditing-information-assurance-cip-11-1003</x:v>
      </x:c>
      <x:c r="E1544" s="17" t="str"/>
      <x:c r="F1544" s="17" t="str">
        <x:v>discovery</x:v>
      </x:c>
      <x:c r="G1544" s="17" t="str">
        <x:v>Stage 2 recorded this row as a discovery candidate; it does not independently verify an exact current research program, eligibility, or funding.</x:v>
      </x:c>
      <x:c r="H1544" s="17" t="str">
        <x:v>Pass 2 Stage 2 candidate funnel</x:v>
      </x:c>
      <x:c r="I1544" s="17" t="str">
        <x:v>Graduate audit pipeline</x:v>
      </x:c>
      <x:c r="J1544" s="17" t="str">
        <x:v>derived</x:v>
      </x:c>
      <x:c r="K1544" s="17" t="str">
        <x:v>2026-09-11</x:v>
      </x:c>
      <x:c r="L1544" s="17" t="str">
        <x:v>Not cycle-specific</x:v>
      </x:c>
      <x:c r="M1544" s="17" t="str">
        <x:v>low</x:v>
      </x:c>
      <x:c r="N1544" s="17" t="str">
        <x:v>Discovery evidence only</x:v>
      </x:c>
      <x:c r="O1544" s="17" t="str">
        <x:v>Use the source_record_paths field to trace the underlying discovery inputs.</x:v>
      </x:c>
      <x:c r="P1544" s="18" t="e">
        <x:f>HYPERLINK("https://www.msstate.edu","Open source")</x:f>
        <x:v>HYPERLINK is not implemented. linkLocation=https://www.msstate.edu, friendlyName=Open source</x:v>
      </x:c>
    </x:row>
    <x:row r="1545" ht="46" customHeight="1">
      <x:c r="A1545" s="17" t="str">
        <x:v>stage3src:9e4da88a690b1db3322c</x:v>
      </x:c>
      <x:c r="B1545" s="17" t="str">
        <x:v>program</x:v>
      </x:c>
      <x:c r="C1545" s="17" t="str">
        <x:v>Mississippi State University</x:v>
      </x:c>
      <x:c r="D1545" s="17" t="str">
        <x:v>us:ipeds:176080:program:unclear:ipeds-discovery-signal-electrical-and-electronics-engineering-cip-14-1001</x:v>
      </x:c>
      <x:c r="E1545" s="17" t="str"/>
      <x:c r="F1545" s="17" t="str">
        <x:v>discovery</x:v>
      </x:c>
      <x:c r="G1545" s="17" t="str">
        <x:v>Stage 2 recorded this row as a discovery candidate; it does not independently verify an exact current research program, eligibility, or funding.</x:v>
      </x:c>
      <x:c r="H1545" s="17" t="str">
        <x:v>Pass 2 Stage 2 candidate funnel</x:v>
      </x:c>
      <x:c r="I1545" s="17" t="str">
        <x:v>Graduate audit pipeline</x:v>
      </x:c>
      <x:c r="J1545" s="17" t="str">
        <x:v>derived</x:v>
      </x:c>
      <x:c r="K1545" s="17" t="str">
        <x:v>2026-09-11</x:v>
      </x:c>
      <x:c r="L1545" s="17" t="str">
        <x:v>Not cycle-specific</x:v>
      </x:c>
      <x:c r="M1545" s="17" t="str">
        <x:v>low</x:v>
      </x:c>
      <x:c r="N1545" s="17" t="str">
        <x:v>Discovery evidence only</x:v>
      </x:c>
      <x:c r="O1545" s="17" t="str">
        <x:v>Use the source_record_paths field to trace the underlying discovery inputs.</x:v>
      </x:c>
      <x:c r="P1545" s="18" t="e">
        <x:f>HYPERLINK("https://www.msstate.edu","Open source")</x:f>
        <x:v>HYPERLINK is not implemented. linkLocation=https://www.msstate.edu, friendlyName=Open source</x:v>
      </x:c>
    </x:row>
    <x:row r="1546" ht="46" customHeight="1">
      <x:c r="A1546" s="17" t="str">
        <x:v>stage3src:a2e78f30287152421907</x:v>
      </x:c>
      <x:c r="B1546" s="17" t="str">
        <x:v>program</x:v>
      </x:c>
      <x:c r="C1546" s="17" t="str">
        <x:v>University of Southern Mississippi</x:v>
      </x:c>
      <x:c r="D1546" s="17" t="str">
        <x:v>us:ipeds:176372:program:unclear:ipeds-discovery-signal-computer-and-information-sciences-general-cip-11-0101</x:v>
      </x:c>
      <x:c r="E1546" s="17" t="str"/>
      <x:c r="F1546" s="17" t="str">
        <x:v>discovery</x:v>
      </x:c>
      <x:c r="G1546" s="17" t="str">
        <x:v>Stage 2 recorded this row as a discovery candidate; it does not independently verify an exact current research program, eligibility, or funding.</x:v>
      </x:c>
      <x:c r="H1546" s="17" t="str">
        <x:v>Pass 2 Stage 2 candidate funnel</x:v>
      </x:c>
      <x:c r="I1546" s="17" t="str">
        <x:v>Graduate audit pipeline</x:v>
      </x:c>
      <x:c r="J1546" s="17" t="str">
        <x:v>derived</x:v>
      </x:c>
      <x:c r="K1546" s="17" t="str">
        <x:v>2026-09-11</x:v>
      </x:c>
      <x:c r="L1546" s="17" t="str">
        <x:v>Not cycle-specific</x:v>
      </x:c>
      <x:c r="M1546" s="17" t="str">
        <x:v>low</x:v>
      </x:c>
      <x:c r="N1546" s="17" t="str">
        <x:v>Discovery evidence only</x:v>
      </x:c>
      <x:c r="O1546" s="17" t="str">
        <x:v>Use the source_record_paths field to trace the underlying discovery inputs.</x:v>
      </x:c>
      <x:c r="P1546" s="18" t="e">
        <x:f>HYPERLINK("https://www.usm.edu","Open source")</x:f>
        <x:v>HYPERLINK is not implemented. linkLocation=https://www.usm.edu, friendlyName=Open source</x:v>
      </x:c>
    </x:row>
    <x:row r="1547" ht="46" customHeight="1">
      <x:c r="A1547" s="17" t="str">
        <x:v>stage3src:60047f021fe81d176d37</x:v>
      </x:c>
      <x:c r="B1547" s="17" t="str">
        <x:v>program</x:v>
      </x:c>
      <x:c r="C1547" s="17" t="str">
        <x:v>University of Central Missouri</x:v>
      </x:c>
      <x:c r="D1547" s="17" t="str">
        <x:v>us:ipeds:176965:program:unclear:ipeds-discovery-signal-computer-and-information-systems-security-auditing-information-assurance-cip-11-1003</x:v>
      </x:c>
      <x:c r="E1547" s="17" t="str"/>
      <x:c r="F1547" s="17" t="str">
        <x:v>discovery</x:v>
      </x:c>
      <x:c r="G1547" s="17" t="str">
        <x:v>Stage 2 recorded this row as a discovery candidate; it does not independently verify an exact current research program, eligibility, or funding.</x:v>
      </x:c>
      <x:c r="H1547" s="17" t="str">
        <x:v>Pass 2 Stage 2 candidate funnel</x:v>
      </x:c>
      <x:c r="I1547" s="17" t="str">
        <x:v>Graduate audit pipeline</x:v>
      </x:c>
      <x:c r="J1547" s="17" t="str">
        <x:v>derived</x:v>
      </x:c>
      <x:c r="K1547" s="17" t="str">
        <x:v>2026-09-11</x:v>
      </x:c>
      <x:c r="L1547" s="17" t="str">
        <x:v>Not cycle-specific</x:v>
      </x:c>
      <x:c r="M1547" s="17" t="str">
        <x:v>low</x:v>
      </x:c>
      <x:c r="N1547" s="17" t="str">
        <x:v>Discovery evidence only</x:v>
      </x:c>
      <x:c r="O1547" s="17" t="str">
        <x:v>Use the source_record_paths field to trace the underlying discovery inputs.</x:v>
      </x:c>
      <x:c r="P1547" s="18" t="e">
        <x:f>HYPERLINK("https://www.ucmo.edu","Open source")</x:f>
        <x:v>HYPERLINK is not implemented. linkLocation=https://www.ucmo.edu, friendlyName=Open source</x:v>
      </x:c>
    </x:row>
    <x:row r="1548" ht="46" customHeight="1">
      <x:c r="A1548" s="17" t="str">
        <x:v>stage3src:0794cd6f6b3b82dd7391</x:v>
      </x:c>
      <x:c r="B1548" s="17" t="str">
        <x:v>program</x:v>
      </x:c>
      <x:c r="C1548" s="17" t="str">
        <x:v>University of Central Missouri</x:v>
      </x:c>
      <x:c r="D1548" s="17" t="str">
        <x:v>us:ipeds:176965:program:unclear:ipeds-discovery-signal-computer-science-cip-11-0701</x:v>
      </x:c>
      <x:c r="E1548" s="17" t="str"/>
      <x:c r="F1548" s="17" t="str">
        <x:v>discovery</x:v>
      </x:c>
      <x:c r="G1548" s="17" t="str">
        <x:v>Stage 2 recorded this row as a discovery candidate; it does not independently verify an exact current research program, eligibility, or funding.</x:v>
      </x:c>
      <x:c r="H1548" s="17" t="str">
        <x:v>Pass 2 Stage 2 candidate funnel</x:v>
      </x:c>
      <x:c r="I1548" s="17" t="str">
        <x:v>Graduate audit pipeline</x:v>
      </x:c>
      <x:c r="J1548" s="17" t="str">
        <x:v>derived</x:v>
      </x:c>
      <x:c r="K1548" s="17" t="str">
        <x:v>2026-09-11</x:v>
      </x:c>
      <x:c r="L1548" s="17" t="str">
        <x:v>Not cycle-specific</x:v>
      </x:c>
      <x:c r="M1548" s="17" t="str">
        <x:v>low</x:v>
      </x:c>
      <x:c r="N1548" s="17" t="str">
        <x:v>Discovery evidence only</x:v>
      </x:c>
      <x:c r="O1548" s="17" t="str">
        <x:v>Use the source_record_paths field to trace the underlying discovery inputs.</x:v>
      </x:c>
      <x:c r="P1548" s="18" t="e">
        <x:f>HYPERLINK("https://www.ucmo.edu","Open source")</x:f>
        <x:v>HYPERLINK is not implemented. linkLocation=https://www.ucmo.edu, friendlyName=Open source</x:v>
      </x:c>
    </x:row>
    <x:row r="1549" ht="46" customHeight="1">
      <x:c r="A1549" s="17" t="str">
        <x:v>stage3src:a86d1160dd8c2694adb9</x:v>
      </x:c>
      <x:c r="B1549" s="17" t="str">
        <x:v>program</x:v>
      </x:c>
      <x:c r="C1549" s="17" t="str">
        <x:v>University of Central Missouri</x:v>
      </x:c>
      <x:c r="D1549" s="17" t="str">
        <x:v>us:ipeds:176965:program:unclear:ipeds-discovery-signal-information-technology-cip-11-0103</x:v>
      </x:c>
      <x:c r="E1549" s="17" t="str"/>
      <x:c r="F1549" s="17" t="str">
        <x:v>discovery</x:v>
      </x:c>
      <x:c r="G1549" s="17" t="str">
        <x:v>Stage 2 recorded this row as a discovery candidate; it does not independently verify an exact current research program, eligibility, or funding.</x:v>
      </x:c>
      <x:c r="H1549" s="17" t="str">
        <x:v>Pass 2 Stage 2 candidate funnel</x:v>
      </x:c>
      <x:c r="I1549" s="17" t="str">
        <x:v>Graduate audit pipeline</x:v>
      </x:c>
      <x:c r="J1549" s="17" t="str">
        <x:v>derived</x:v>
      </x:c>
      <x:c r="K1549" s="17" t="str">
        <x:v>2026-09-11</x:v>
      </x:c>
      <x:c r="L1549" s="17" t="str">
        <x:v>Not cycle-specific</x:v>
      </x:c>
      <x:c r="M1549" s="17" t="str">
        <x:v>low</x:v>
      </x:c>
      <x:c r="N1549" s="17" t="str">
        <x:v>Discovery evidence only</x:v>
      </x:c>
      <x:c r="O1549" s="17" t="str">
        <x:v>Use the source_record_paths field to trace the underlying discovery inputs.</x:v>
      </x:c>
      <x:c r="P1549" s="18" t="e">
        <x:f>HYPERLINK("https://www.ucmo.edu","Open source")</x:f>
        <x:v>HYPERLINK is not implemented. linkLocation=https://www.ucmo.edu, friendlyName=Open source</x:v>
      </x:c>
    </x:row>
    <x:row r="1550" ht="46" customHeight="1">
      <x:c r="A1550" s="17" t="str">
        <x:v>stage3src:4a64944c6a7314b90642</x:v>
      </x:c>
      <x:c r="B1550" s="17" t="str">
        <x:v>program</x:v>
      </x:c>
      <x:c r="C1550" s="17" t="str">
        <x:v>Fontbonne University</x:v>
      </x:c>
      <x:c r="D1550" s="17" t="str">
        <x:v>us:ipeds:177418:program:unclear:ipeds-discovery-signal-computer-and-information-sciences-general-cip-11-0101</x:v>
      </x:c>
      <x:c r="E1550" s="17" t="str"/>
      <x:c r="F1550" s="17" t="str">
        <x:v>discovery</x:v>
      </x:c>
      <x:c r="G1550" s="17" t="str">
        <x:v>Stage 2 recorded this row as a discovery candidate; it does not independently verify an exact current research program, eligibility, or funding.</x:v>
      </x:c>
      <x:c r="H1550" s="17" t="str">
        <x:v>Pass 2 Stage 2 candidate funnel</x:v>
      </x:c>
      <x:c r="I1550" s="17" t="str">
        <x:v>Graduate audit pipeline</x:v>
      </x:c>
      <x:c r="J1550" s="17" t="str">
        <x:v>derived</x:v>
      </x:c>
      <x:c r="K1550" s="17" t="str">
        <x:v>2026-09-11</x:v>
      </x:c>
      <x:c r="L1550" s="17" t="str">
        <x:v>Not cycle-specific</x:v>
      </x:c>
      <x:c r="M1550" s="17" t="str">
        <x:v>low</x:v>
      </x:c>
      <x:c r="N1550" s="17" t="str">
        <x:v>Discovery evidence only</x:v>
      </x:c>
      <x:c r="O1550" s="17" t="str">
        <x:v>Use the source_record_paths field to trace the underlying discovery inputs.</x:v>
      </x:c>
      <x:c r="P1550" s="18" t="e">
        <x:f>HYPERLINK("https://www.fontbonne.edu","Open source")</x:f>
        <x:v>HYPERLINK is not implemented. linkLocation=https://www.fontbonne.edu, friendlyName=Open source</x:v>
      </x:c>
    </x:row>
    <x:row r="1551" ht="46" customHeight="1">
      <x:c r="A1551" s="17" t="str">
        <x:v>stage3src:ec10ac2737bf1b0d0789</x:v>
      </x:c>
      <x:c r="B1551" s="17" t="str">
        <x:v>program</x:v>
      </x:c>
      <x:c r="C1551" s="17" t="str">
        <x:v>Fontbonne University</x:v>
      </x:c>
      <x:c r="D1551" s="17" t="str">
        <x:v>us:ipeds:177418:program:unclear:ipeds-discovery-signal-computer-and-information-systems-security-auditing-information-assurance-cip-11-1003</x:v>
      </x:c>
      <x:c r="E1551" s="17" t="str"/>
      <x:c r="F1551" s="17" t="str">
        <x:v>discovery</x:v>
      </x:c>
      <x:c r="G1551" s="17" t="str">
        <x:v>Stage 2 recorded this row as a discovery candidate; it does not independently verify an exact current research program, eligibility, or funding.</x:v>
      </x:c>
      <x:c r="H1551" s="17" t="str">
        <x:v>Pass 2 Stage 2 candidate funnel</x:v>
      </x:c>
      <x:c r="I1551" s="17" t="str">
        <x:v>Graduate audit pipeline</x:v>
      </x:c>
      <x:c r="J1551" s="17" t="str">
        <x:v>derived</x:v>
      </x:c>
      <x:c r="K1551" s="17" t="str">
        <x:v>2026-09-11</x:v>
      </x:c>
      <x:c r="L1551" s="17" t="str">
        <x:v>Not cycle-specific</x:v>
      </x:c>
      <x:c r="M1551" s="17" t="str">
        <x:v>low</x:v>
      </x:c>
      <x:c r="N1551" s="17" t="str">
        <x:v>Discovery evidence only</x:v>
      </x:c>
      <x:c r="O1551" s="17" t="str">
        <x:v>Use the source_record_paths field to trace the underlying discovery inputs.</x:v>
      </x:c>
      <x:c r="P1551" s="18" t="e">
        <x:f>HYPERLINK("https://www.fontbonne.edu","Open source")</x:f>
        <x:v>HYPERLINK is not implemented. linkLocation=https://www.fontbonne.edu, friendlyName=Open source</x:v>
      </x:c>
    </x:row>
    <x:row r="1552" ht="46" customHeight="1">
      <x:c r="A1552" s="17" t="str">
        <x:v>stage3src:aac3f507f35e41bb9b1f</x:v>
      </x:c>
      <x:c r="B1552" s="17" t="str">
        <x:v>program</x:v>
      </x:c>
      <x:c r="C1552" s="17" t="str">
        <x:v>Lindenwood University</x:v>
      </x:c>
      <x:c r="D1552" s="17" t="str">
        <x:v>us:ipeds:177968:program:unclear:ipeds-discovery-signal-computer-and-information-systems-security-auditing-information-assurance-cip-11-1003</x:v>
      </x:c>
      <x:c r="E1552" s="17" t="str"/>
      <x:c r="F1552" s="17" t="str">
        <x:v>discovery</x:v>
      </x:c>
      <x:c r="G1552" s="17" t="str">
        <x:v>Stage 2 recorded this row as a discovery candidate; it does not independently verify an exact current research program, eligibility, or funding.</x:v>
      </x:c>
      <x:c r="H1552" s="17" t="str">
        <x:v>Pass 2 Stage 2 candidate funnel</x:v>
      </x:c>
      <x:c r="I1552" s="17" t="str">
        <x:v>Graduate audit pipeline</x:v>
      </x:c>
      <x:c r="J1552" s="17" t="str">
        <x:v>derived</x:v>
      </x:c>
      <x:c r="K1552" s="17" t="str">
        <x:v>2026-09-11</x:v>
      </x:c>
      <x:c r="L1552" s="17" t="str">
        <x:v>Not cycle-specific</x:v>
      </x:c>
      <x:c r="M1552" s="17" t="str">
        <x:v>low</x:v>
      </x:c>
      <x:c r="N1552" s="17" t="str">
        <x:v>Discovery evidence only</x:v>
      </x:c>
      <x:c r="O1552" s="17" t="str">
        <x:v>Use the source_record_paths field to trace the underlying discovery inputs.</x:v>
      </x:c>
      <x:c r="P1552" s="18" t="e">
        <x:f>HYPERLINK("https://www.lindenwood.edu","Open source")</x:f>
        <x:v>HYPERLINK is not implemented. linkLocation=https://www.lindenwood.edu, friendlyName=Open source</x:v>
      </x:c>
    </x:row>
    <x:row r="1553" ht="46" customHeight="1">
      <x:c r="A1553" s="17" t="str">
        <x:v>stage3src:c5ee1b729fda7a3bdfcd</x:v>
      </x:c>
      <x:c r="B1553" s="17" t="str">
        <x:v>program</x:v>
      </x:c>
      <x:c r="C1553" s="17" t="str">
        <x:v>Lindenwood University</x:v>
      </x:c>
      <x:c r="D1553" s="17" t="str">
        <x:v>us:ipeds:177968:program:unclear:ipeds-discovery-signal-information-technology-cip-11-0103</x:v>
      </x:c>
      <x:c r="E1553" s="17" t="str"/>
      <x:c r="F1553" s="17" t="str">
        <x:v>discovery</x:v>
      </x:c>
      <x:c r="G1553" s="17" t="str">
        <x:v>Stage 2 recorded this row as a discovery candidate; it does not independently verify an exact current research program, eligibility, or funding.</x:v>
      </x:c>
      <x:c r="H1553" s="17" t="str">
        <x:v>Pass 2 Stage 2 candidate funnel</x:v>
      </x:c>
      <x:c r="I1553" s="17" t="str">
        <x:v>Graduate audit pipeline</x:v>
      </x:c>
      <x:c r="J1553" s="17" t="str">
        <x:v>derived</x:v>
      </x:c>
      <x:c r="K1553" s="17" t="str">
        <x:v>2026-09-11</x:v>
      </x:c>
      <x:c r="L1553" s="17" t="str">
        <x:v>Not cycle-specific</x:v>
      </x:c>
      <x:c r="M1553" s="17" t="str">
        <x:v>low</x:v>
      </x:c>
      <x:c r="N1553" s="17" t="str">
        <x:v>Discovery evidence only</x:v>
      </x:c>
      <x:c r="O1553" s="17" t="str">
        <x:v>Use the source_record_paths field to trace the underlying discovery inputs.</x:v>
      </x:c>
      <x:c r="P1553" s="18" t="e">
        <x:f>HYPERLINK("https://www.lindenwood.edu","Open source")</x:f>
        <x:v>HYPERLINK is not implemented. linkLocation=https://www.lindenwood.edu, friendlyName=Open source</x:v>
      </x:c>
    </x:row>
    <x:row r="1554" ht="46" customHeight="1">
      <x:c r="A1554" s="17" t="str">
        <x:v>stage3src:103625435bb4f9f30fe0</x:v>
      </x:c>
      <x:c r="B1554" s="17" t="str">
        <x:v>program</x:v>
      </x:c>
      <x:c r="C1554" s="17" t="str">
        <x:v>Maryville University of Saint Louis</x:v>
      </x:c>
      <x:c r="D1554" s="17" t="str">
        <x:v>us:ipeds:178059:program:unclear:ipeds-discovery-signal-artificial-intelligence-cip-11-0102</x:v>
      </x:c>
      <x:c r="E1554" s="17" t="str"/>
      <x:c r="F1554" s="17" t="str">
        <x:v>discovery</x:v>
      </x:c>
      <x:c r="G1554" s="17" t="str">
        <x:v>Stage 2 recorded this row as a discovery candidate; it does not independently verify an exact current research program, eligibility, or funding.</x:v>
      </x:c>
      <x:c r="H1554" s="17" t="str">
        <x:v>Pass 2 Stage 2 candidate funnel</x:v>
      </x:c>
      <x:c r="I1554" s="17" t="str">
        <x:v>Graduate audit pipeline</x:v>
      </x:c>
      <x:c r="J1554" s="17" t="str">
        <x:v>derived</x:v>
      </x:c>
      <x:c r="K1554" s="17" t="str">
        <x:v>2026-09-11</x:v>
      </x:c>
      <x:c r="L1554" s="17" t="str">
        <x:v>Not cycle-specific</x:v>
      </x:c>
      <x:c r="M1554" s="17" t="str">
        <x:v>low</x:v>
      </x:c>
      <x:c r="N1554" s="17" t="str">
        <x:v>Discovery evidence only</x:v>
      </x:c>
      <x:c r="O1554" s="17" t="str">
        <x:v>Use the source_record_paths field to trace the underlying discovery inputs.</x:v>
      </x:c>
      <x:c r="P1554" s="18" t="e">
        <x:f>HYPERLINK("https://www.maryville.edu","Open source")</x:f>
        <x:v>HYPERLINK is not implemented. linkLocation=https://www.maryville.edu, friendlyName=Open source</x:v>
      </x:c>
    </x:row>
    <x:row r="1555" ht="46" customHeight="1">
      <x:c r="A1555" s="17" t="str">
        <x:v>stage3src:a1e5108229243ca59412</x:v>
      </x:c>
      <x:c r="B1555" s="17" t="str">
        <x:v>program</x:v>
      </x:c>
      <x:c r="C1555" s="17" t="str">
        <x:v>Maryville University of Saint Louis</x:v>
      </x:c>
      <x:c r="D1555" s="17" t="str">
        <x:v>us:ipeds:178059:program:unclear:ipeds-discovery-signal-data-analytics-general-cip-30-7101</x:v>
      </x:c>
      <x:c r="E1555" s="17" t="str"/>
      <x:c r="F1555" s="17" t="str">
        <x:v>discovery</x:v>
      </x:c>
      <x:c r="G1555" s="17" t="str">
        <x:v>Stage 2 recorded this row as a discovery candidate; it does not independently verify an exact current research program, eligibility, or funding.</x:v>
      </x:c>
      <x:c r="H1555" s="17" t="str">
        <x:v>Pass 2 Stage 2 candidate funnel</x:v>
      </x:c>
      <x:c r="I1555" s="17" t="str">
        <x:v>Graduate audit pipeline</x:v>
      </x:c>
      <x:c r="J1555" s="17" t="str">
        <x:v>derived</x:v>
      </x:c>
      <x:c r="K1555" s="17" t="str">
        <x:v>2026-09-11</x:v>
      </x:c>
      <x:c r="L1555" s="17" t="str">
        <x:v>Not cycle-specific</x:v>
      </x:c>
      <x:c r="M1555" s="17" t="str">
        <x:v>low</x:v>
      </x:c>
      <x:c r="N1555" s="17" t="str">
        <x:v>Discovery evidence only</x:v>
      </x:c>
      <x:c r="O1555" s="17" t="str">
        <x:v>Use the source_record_paths field to trace the underlying discovery inputs.</x:v>
      </x:c>
      <x:c r="P1555" s="18" t="e">
        <x:f>HYPERLINK("https://www.maryville.edu","Open source")</x:f>
        <x:v>HYPERLINK is not implemented. linkLocation=https://www.maryville.edu, friendlyName=Open source</x:v>
      </x:c>
    </x:row>
    <x:row r="1556" ht="46" customHeight="1">
      <x:c r="A1556" s="17" t="str">
        <x:v>stage3src:25874bca311dd1103182</x:v>
      </x:c>
      <x:c r="B1556" s="17" t="str">
        <x:v>program</x:v>
      </x:c>
      <x:c r="C1556" s="17" t="str">
        <x:v>Maryville University of Saint Louis</x:v>
      </x:c>
      <x:c r="D1556" s="17" t="str">
        <x:v>us:ipeds:178059:program:unclear:ipeds-discovery-signal-data-science-general-cip-30-7001</x:v>
      </x:c>
      <x:c r="E1556" s="17" t="str"/>
      <x:c r="F1556" s="17" t="str">
        <x:v>discovery</x:v>
      </x:c>
      <x:c r="G1556" s="17" t="str">
        <x:v>Stage 2 recorded this row as a discovery candidate; it does not independently verify an exact current research program, eligibility, or funding.</x:v>
      </x:c>
      <x:c r="H1556" s="17" t="str">
        <x:v>Pass 2 Stage 2 candidate funnel</x:v>
      </x:c>
      <x:c r="I1556" s="17" t="str">
        <x:v>Graduate audit pipeline</x:v>
      </x:c>
      <x:c r="J1556" s="17" t="str">
        <x:v>derived</x:v>
      </x:c>
      <x:c r="K1556" s="17" t="str">
        <x:v>2026-09-11</x:v>
      </x:c>
      <x:c r="L1556" s="17" t="str">
        <x:v>Not cycle-specific</x:v>
      </x:c>
      <x:c r="M1556" s="17" t="str">
        <x:v>low</x:v>
      </x:c>
      <x:c r="N1556" s="17" t="str">
        <x:v>Discovery evidence only</x:v>
      </x:c>
      <x:c r="O1556" s="17" t="str">
        <x:v>Use the source_record_paths field to trace the underlying discovery inputs.</x:v>
      </x:c>
      <x:c r="P1556" s="18" t="e">
        <x:f>HYPERLINK("https://www.maryville.edu","Open source")</x:f>
        <x:v>HYPERLINK is not implemented. linkLocation=https://www.maryville.edu, friendlyName=Open source</x:v>
      </x:c>
    </x:row>
    <x:row r="1557" ht="46" customHeight="1">
      <x:c r="A1557" s="17" t="str">
        <x:v>stage3src:e24ebf349bd67ae5ad0a</x:v>
      </x:c>
      <x:c r="B1557" s="17" t="str">
        <x:v>program</x:v>
      </x:c>
      <x:c r="C1557" s="17" t="str">
        <x:v>Missouri Western State University</x:v>
      </x:c>
      <x:c r="D1557" s="17" t="str">
        <x:v>us:ipeds:178387:program:unclear:ipeds-discovery-signal-computer-and-information-systems-security-auditing-information-assurance-cip-11-1003</x:v>
      </x:c>
      <x:c r="E1557" s="17" t="str"/>
      <x:c r="F1557" s="17" t="str">
        <x:v>discovery</x:v>
      </x:c>
      <x:c r="G1557" s="17" t="str">
        <x:v>Stage 2 recorded this row as a discovery candidate; it does not independently verify an exact current research program, eligibility, or funding.</x:v>
      </x:c>
      <x:c r="H1557" s="17" t="str">
        <x:v>Pass 2 Stage 2 candidate funnel</x:v>
      </x:c>
      <x:c r="I1557" s="17" t="str">
        <x:v>Graduate audit pipeline</x:v>
      </x:c>
      <x:c r="J1557" s="17" t="str">
        <x:v>derived</x:v>
      </x:c>
      <x:c r="K1557" s="17" t="str">
        <x:v>2026-09-11</x:v>
      </x:c>
      <x:c r="L1557" s="17" t="str">
        <x:v>Not cycle-specific</x:v>
      </x:c>
      <x:c r="M1557" s="17" t="str">
        <x:v>low</x:v>
      </x:c>
      <x:c r="N1557" s="17" t="str">
        <x:v>Discovery evidence only</x:v>
      </x:c>
      <x:c r="O1557" s="17" t="str">
        <x:v>Use the source_record_paths field to trace the underlying discovery inputs.</x:v>
      </x:c>
      <x:c r="P1557" s="18" t="e">
        <x:f>HYPERLINK("https://www.missouriwestern.edu","Open source")</x:f>
        <x:v>HYPERLINK is not implemented. linkLocation=https://www.missouriwestern.edu, friendlyName=Open source</x:v>
      </x:c>
    </x:row>
    <x:row r="1558" ht="46" customHeight="1">
      <x:c r="A1558" s="17" t="str">
        <x:v>stage3src:815271fb52614a9bd1fe</x:v>
      </x:c>
      <x:c r="B1558" s="17" t="str">
        <x:v>program</x:v>
      </x:c>
      <x:c r="C1558" s="17" t="str">
        <x:v>University of Missouri-Columbia</x:v>
      </x:c>
      <x:c r="D1558" s="17" t="str">
        <x:v>us:ipeds:178396:program:phd:phd-in-computer-science</x:v>
      </x:c>
      <x:c r="E1558" s="17" t="str"/>
      <x:c r="F1558" s="17" t="str">
        <x:v>research|faculty</x:v>
      </x:c>
      <x:c r="G1558" s="17" t="str">
        <x:v>Current software engineering, programming languages, formal-methods, cybersecurity, cloud, and open-source research breadth.</x:v>
      </x:c>
      <x:c r="H1558" s="17" t="str">
        <x:v>Computer Science Research at Mizzou Engineering</x:v>
      </x:c>
      <x:c r="I1558" s="17" t="str">
        <x:v>University of Missouri College of Engineering</x:v>
      </x:c>
      <x:c r="J1558" s="17" t="str">
        <x:v>official</x:v>
      </x:c>
      <x:c r="K1558" s="17" t="str">
        <x:v>2026-09-11</x:v>
      </x:c>
      <x:c r="L1558" s="17" t="str">
        <x:v>Current research page checked 2026-09-11</x:v>
      </x:c>
      <x:c r="M1558" s="17" t="str">
        <x:v>high</x:v>
      </x:c>
      <x:c r="N1558" s="17" t="str">
        <x:v>official page checked</x:v>
      </x:c>
      <x:c r="O1558" s="17" t="str"/>
      <x:c r="P1558" s="18" t="e">
        <x:f>HYPERLINK("https://engineering.missouri.edu/departments/eecs/eecs-research/","Open source")</x:f>
        <x:v>HYPERLINK is not implemented. linkLocation=https://engineering.missouri.edu/departments/eecs/eecs-research/, friendlyName=Open source</x:v>
      </x:c>
    </x:row>
    <x:row r="1559" ht="46" customHeight="1">
      <x:c r="A1559" s="17" t="str">
        <x:v>stage3src:f3af282002e310037f4f</x:v>
      </x:c>
      <x:c r="B1559" s="17" t="str">
        <x:v>program</x:v>
      </x:c>
      <x:c r="C1559" s="17" t="str">
        <x:v>University of Missouri-Columbia</x:v>
      </x:c>
      <x:c r="D1559" s="17" t="str">
        <x:v>us:ipeds:178396:program:phd:phd-in-computer-science</x:v>
      </x:c>
      <x:c r="E1559" s="17" t="str"/>
      <x:c r="F1559" s="17" t="str">
        <x:v>program|research|admissions|eligibility|funding</x:v>
      </x:c>
      <x:c r="G1559" s="17" t="str">
        <x:v>Current Computer Science PhD, computing research breadth, and department TA/faculty RA availability especially at doctoral level.</x:v>
      </x:c>
      <x:c r="H1559" s="17" t="str">
        <x:v>Computer Science</x:v>
      </x:c>
      <x:c r="I1559" s="17" t="str">
        <x:v>University of Missouri Academic Catalog</x:v>
      </x:c>
      <x:c r="J1559" s="17" t="str">
        <x:v>official</x:v>
      </x:c>
      <x:c r="K1559" s="17" t="str">
        <x:v>2026-09-11</x:v>
      </x:c>
      <x:c r="L1559" s="17" t="str">
        <x:v>Current catalog checked 2026-09-11</x:v>
      </x:c>
      <x:c r="M1559" s="17" t="str">
        <x:v>high</x:v>
      </x:c>
      <x:c r="N1559" s="17" t="str">
        <x:v>official page checked</x:v>
      </x:c>
      <x:c r="O1559" s="17" t="str"/>
      <x:c r="P1559" s="18" t="e">
        <x:f>HYPERLINK("https://catalog.missouri.edu/collegeofengineering/computerscience/","Open source")</x:f>
        <x:v>HYPERLINK is not implemented. linkLocation=https://catalog.missouri.edu/collegeofengineering/computerscience/, friendlyName=Open source</x:v>
      </x:c>
    </x:row>
    <x:row r="1560" ht="46" customHeight="1">
      <x:c r="A1560" s="17" t="str">
        <x:v>stage3src:9c29bfce00b998d050fb</x:v>
      </x:c>
      <x:c r="B1560" s="17" t="str">
        <x:v>program</x:v>
      </x:c>
      <x:c r="C1560" s="17" t="str">
        <x:v>University of Missouri-Columbia</x:v>
      </x:c>
      <x:c r="D1560" s="17" t="str">
        <x:v>us:ipeds:178396:program:unclear:ipeds-discovery-signal-computer-and-information-sciences-general-cip-11-0101</x:v>
      </x:c>
      <x:c r="E1560" s="17" t="str"/>
      <x:c r="F1560" s="17" t="str">
        <x:v>discovery</x:v>
      </x:c>
      <x:c r="G1560" s="17" t="str">
        <x:v>Stage 2 recorded this row as a discovery candidate; it does not independently verify an exact current research program, eligibility, or funding.</x:v>
      </x:c>
      <x:c r="H1560" s="17" t="str">
        <x:v>Pass 2 Stage 2 candidate funnel</x:v>
      </x:c>
      <x:c r="I1560" s="17" t="str">
        <x:v>Graduate audit pipeline</x:v>
      </x:c>
      <x:c r="J1560" s="17" t="str">
        <x:v>derived</x:v>
      </x:c>
      <x:c r="K1560" s="17" t="str">
        <x:v>2026-09-11</x:v>
      </x:c>
      <x:c r="L1560" s="17" t="str">
        <x:v>Not cycle-specific</x:v>
      </x:c>
      <x:c r="M1560" s="17" t="str">
        <x:v>low</x:v>
      </x:c>
      <x:c r="N1560" s="17" t="str">
        <x:v>Discovery evidence only</x:v>
      </x:c>
      <x:c r="O1560" s="17" t="str">
        <x:v>Use the source_record_paths field to trace the underlying discovery inputs.</x:v>
      </x:c>
      <x:c r="P1560" s="18" t="e">
        <x:f>HYPERLINK("https://missouri.edu","Open source")</x:f>
        <x:v>HYPERLINK is not implemented. linkLocation=https://missouri.edu, friendlyName=Open source</x:v>
      </x:c>
    </x:row>
    <x:row r="1561" ht="46" customHeight="1">
      <x:c r="A1561" s="17" t="str">
        <x:v>stage3src:dae569005a24f7a82764</x:v>
      </x:c>
      <x:c r="B1561" s="17" t="str">
        <x:v>program</x:v>
      </x:c>
      <x:c r="C1561" s="17" t="str">
        <x:v>University of Missouri-Columbia</x:v>
      </x:c>
      <x:c r="D1561" s="17" t="str">
        <x:v>us:ipeds:178396:program:unclear:ipeds-discovery-signal-computer-and-information-sciences-other-cip-11-0199</x:v>
      </x:c>
      <x:c r="E1561" s="17" t="str"/>
      <x:c r="F1561" s="17" t="str">
        <x:v>discovery</x:v>
      </x:c>
      <x:c r="G1561" s="17" t="str">
        <x:v>Stage 2 recorded this row as a discovery candidate; it does not independently verify an exact current research program, eligibility, or funding.</x:v>
      </x:c>
      <x:c r="H1561" s="17" t="str">
        <x:v>Pass 2 Stage 2 candidate funnel</x:v>
      </x:c>
      <x:c r="I1561" s="17" t="str">
        <x:v>Graduate audit pipeline</x:v>
      </x:c>
      <x:c r="J1561" s="17" t="str">
        <x:v>derived</x:v>
      </x:c>
      <x:c r="K1561" s="17" t="str">
        <x:v>2026-09-11</x:v>
      </x:c>
      <x:c r="L1561" s="17" t="str">
        <x:v>Not cycle-specific</x:v>
      </x:c>
      <x:c r="M1561" s="17" t="str">
        <x:v>low</x:v>
      </x:c>
      <x:c r="N1561" s="17" t="str">
        <x:v>Discovery evidence only</x:v>
      </x:c>
      <x:c r="O1561" s="17" t="str">
        <x:v>Use the source_record_paths field to trace the underlying discovery inputs.</x:v>
      </x:c>
      <x:c r="P1561" s="18" t="e">
        <x:f>HYPERLINK("https://missouri.edu","Open source")</x:f>
        <x:v>HYPERLINK is not implemented. linkLocation=https://missouri.edu, friendlyName=Open source</x:v>
      </x:c>
    </x:row>
    <x:row r="1562" ht="46" customHeight="1">
      <x:c r="A1562" s="17" t="str">
        <x:v>stage3src:296ae8baed2dfff8b2f9</x:v>
      </x:c>
      <x:c r="B1562" s="17" t="str">
        <x:v>program</x:v>
      </x:c>
      <x:c r="C1562" s="17" t="str">
        <x:v>University of Missouri-Columbia</x:v>
      </x:c>
      <x:c r="D1562" s="17" t="str">
        <x:v>us:ipeds:178396:program:unclear:ipeds-discovery-signal-computer-engineering-general-cip-14-0901</x:v>
      </x:c>
      <x:c r="E1562" s="17" t="str"/>
      <x:c r="F1562" s="17" t="str">
        <x:v>discovery</x:v>
      </x:c>
      <x:c r="G1562" s="17" t="str">
        <x:v>Stage 2 recorded this row as a discovery candidate; it does not independently verify an exact current research program, eligibility, or funding.</x:v>
      </x:c>
      <x:c r="H1562" s="17" t="str">
        <x:v>Pass 2 Stage 2 candidate funnel</x:v>
      </x:c>
      <x:c r="I1562" s="17" t="str">
        <x:v>Graduate audit pipeline</x:v>
      </x:c>
      <x:c r="J1562" s="17" t="str">
        <x:v>derived</x:v>
      </x:c>
      <x:c r="K1562" s="17" t="str">
        <x:v>2026-09-11</x:v>
      </x:c>
      <x:c r="L1562" s="17" t="str">
        <x:v>Not cycle-specific</x:v>
      </x:c>
      <x:c r="M1562" s="17" t="str">
        <x:v>low</x:v>
      </x:c>
      <x:c r="N1562" s="17" t="str">
        <x:v>Discovery evidence only</x:v>
      </x:c>
      <x:c r="O1562" s="17" t="str">
        <x:v>Use the source_record_paths field to trace the underlying discovery inputs.</x:v>
      </x:c>
      <x:c r="P1562" s="18" t="e">
        <x:f>HYPERLINK("https://missouri.edu","Open source")</x:f>
        <x:v>HYPERLINK is not implemented. linkLocation=https://missouri.edu, friendlyName=Open source</x:v>
      </x:c>
    </x:row>
    <x:row r="1563" ht="46" customHeight="1">
      <x:c r="A1563" s="17" t="str">
        <x:v>stage3src:678fcc4d9d1e7753c49c</x:v>
      </x:c>
      <x:c r="B1563" s="17" t="str">
        <x:v>program</x:v>
      </x:c>
      <x:c r="C1563" s="17" t="str">
        <x:v>University of Missouri-Columbia</x:v>
      </x:c>
      <x:c r="D1563" s="17" t="str">
        <x:v>us:ipeds:178396:program:unclear:ipeds-discovery-signal-electrical-and-electronics-engineering-cip-14-1001</x:v>
      </x:c>
      <x:c r="E1563" s="17" t="str"/>
      <x:c r="F1563" s="17" t="str">
        <x:v>discovery</x:v>
      </x:c>
      <x:c r="G1563" s="17" t="str">
        <x:v>Stage 2 recorded this row as a discovery candidate; it does not independently verify an exact current research program, eligibility, or funding.</x:v>
      </x:c>
      <x:c r="H1563" s="17" t="str">
        <x:v>Pass 2 Stage 2 candidate funnel</x:v>
      </x:c>
      <x:c r="I1563" s="17" t="str">
        <x:v>Graduate audit pipeline</x:v>
      </x:c>
      <x:c r="J1563" s="17" t="str">
        <x:v>derived</x:v>
      </x:c>
      <x:c r="K1563" s="17" t="str">
        <x:v>2026-09-11</x:v>
      </x:c>
      <x:c r="L1563" s="17" t="str">
        <x:v>Not cycle-specific</x:v>
      </x:c>
      <x:c r="M1563" s="17" t="str">
        <x:v>low</x:v>
      </x:c>
      <x:c r="N1563" s="17" t="str">
        <x:v>Discovery evidence only</x:v>
      </x:c>
      <x:c r="O1563" s="17" t="str">
        <x:v>Use the source_record_paths field to trace the underlying discovery inputs.</x:v>
      </x:c>
      <x:c r="P1563" s="18" t="e">
        <x:f>HYPERLINK("https://missouri.edu","Open source")</x:f>
        <x:v>HYPERLINK is not implemented. linkLocation=https://missouri.edu, friendlyName=Open source</x:v>
      </x:c>
    </x:row>
    <x:row r="1564" ht="46" customHeight="1">
      <x:c r="A1564" s="17" t="str">
        <x:v>stage3src:a3695dab828a67f80f4b</x:v>
      </x:c>
      <x:c r="B1564" s="17" t="str">
        <x:v>program</x:v>
      </x:c>
      <x:c r="C1564" s="17" t="str">
        <x:v>University of Missouri-Kansas City</x:v>
      </x:c>
      <x:c r="D1564" s="17" t="str">
        <x:v>us:ipeds:178402:program:unclear:ipeds-discovery-signal-computer-science-cip-11-0701</x:v>
      </x:c>
      <x:c r="E1564" s="17" t="str"/>
      <x:c r="F1564" s="17" t="str">
        <x:v>discovery</x:v>
      </x:c>
      <x:c r="G1564" s="17" t="str">
        <x:v>Stage 2 recorded this row as a discovery candidate; it does not independently verify an exact current research program, eligibility, or funding.</x:v>
      </x:c>
      <x:c r="H1564" s="17" t="str">
        <x:v>Pass 2 Stage 2 candidate funnel</x:v>
      </x:c>
      <x:c r="I1564" s="17" t="str">
        <x:v>Graduate audit pipeline</x:v>
      </x:c>
      <x:c r="J1564" s="17" t="str">
        <x:v>derived</x:v>
      </x:c>
      <x:c r="K1564" s="17" t="str">
        <x:v>2026-09-11</x:v>
      </x:c>
      <x:c r="L1564" s="17" t="str">
        <x:v>Not cycle-specific</x:v>
      </x:c>
      <x:c r="M1564" s="17" t="str">
        <x:v>low</x:v>
      </x:c>
      <x:c r="N1564" s="17" t="str">
        <x:v>Discovery evidence only</x:v>
      </x:c>
      <x:c r="O1564" s="17" t="str">
        <x:v>Use the source_record_paths field to trace the underlying discovery inputs.</x:v>
      </x:c>
      <x:c r="P1564" s="18" t="e">
        <x:f>HYPERLINK("https://www.umkc.edu","Open source")</x:f>
        <x:v>HYPERLINK is not implemented. linkLocation=https://www.umkc.edu, friendlyName=Open source</x:v>
      </x:c>
    </x:row>
    <x:row r="1565" ht="46" customHeight="1">
      <x:c r="A1565" s="17" t="str">
        <x:v>stage3src:6a318b0b855c2ac390d7</x:v>
      </x:c>
      <x:c r="B1565" s="17" t="str">
        <x:v>program</x:v>
      </x:c>
      <x:c r="C1565" s="17" t="str">
        <x:v>University of Missouri-Kansas City</x:v>
      </x:c>
      <x:c r="D1565" s="17" t="str">
        <x:v>us:ipeds:178402:program:unclear:ipeds-discovery-signal-data-science-general-cip-30-7001</x:v>
      </x:c>
      <x:c r="E1565" s="17" t="str"/>
      <x:c r="F1565" s="17" t="str">
        <x:v>discovery</x:v>
      </x:c>
      <x:c r="G1565" s="17" t="str">
        <x:v>Stage 2 recorded this row as a discovery candidate; it does not independently verify an exact current research program, eligibility, or funding.</x:v>
      </x:c>
      <x:c r="H1565" s="17" t="str">
        <x:v>Pass 2 Stage 2 candidate funnel</x:v>
      </x:c>
      <x:c r="I1565" s="17" t="str">
        <x:v>Graduate audit pipeline</x:v>
      </x:c>
      <x:c r="J1565" s="17" t="str">
        <x:v>derived</x:v>
      </x:c>
      <x:c r="K1565" s="17" t="str">
        <x:v>2026-09-11</x:v>
      </x:c>
      <x:c r="L1565" s="17" t="str">
        <x:v>Not cycle-specific</x:v>
      </x:c>
      <x:c r="M1565" s="17" t="str">
        <x:v>low</x:v>
      </x:c>
      <x:c r="N1565" s="17" t="str">
        <x:v>Discovery evidence only</x:v>
      </x:c>
      <x:c r="O1565" s="17" t="str">
        <x:v>Use the source_record_paths field to trace the underlying discovery inputs.</x:v>
      </x:c>
      <x:c r="P1565" s="18" t="e">
        <x:f>HYPERLINK("https://www.umkc.edu","Open source")</x:f>
        <x:v>HYPERLINK is not implemented. linkLocation=https://www.umkc.edu, friendlyName=Open source</x:v>
      </x:c>
    </x:row>
    <x:row r="1566" ht="46" customHeight="1">
      <x:c r="A1566" s="17" t="str">
        <x:v>stage3src:52a74812a5e33e56d3b4</x:v>
      </x:c>
      <x:c r="B1566" s="17" t="str">
        <x:v>program</x:v>
      </x:c>
      <x:c r="C1566" s="17" t="str">
        <x:v>Missouri University of Science and Technology</x:v>
      </x:c>
      <x:c r="D1566" s="17" t="str">
        <x:v>us:ipeds:178411:program:phd:doctor-of-philosophy-in-computer-science</x:v>
      </x:c>
      <x:c r="E1566" s="17" t="str"/>
      <x:c r="F1566" s="17" t="str">
        <x:v>admissions|eligibility|language|fees|funding|tuition</x:v>
      </x:c>
      <x:c r="G1566" s="17" t="str">
        <x:v>English tests, advisor-first model, direct-PhD conversion risk, assistantship types, first-semester GTA exclusion, approximate stipend, and tuition-waiver threshold.</x:v>
      </x:c>
      <x:c r="H1566" s="17" t="str">
        <x:v>Computer Science Graduate FAQ</x:v>
      </x:c>
      <x:c r="I1566" s="17" t="str">
        <x:v>Missouri University of Science and Technology</x:v>
      </x:c>
      <x:c r="J1566" s="17" t="str">
        <x:v>official</x:v>
      </x:c>
      <x:c r="K1566" s="17" t="str">
        <x:v>2026-09-10</x:v>
      </x:c>
      <x:c r="L1566" s="17" t="str">
        <x:v>Current guidance checked 2026-09-10</x:v>
      </x:c>
      <x:c r="M1566" s="17" t="str">
        <x:v>high</x:v>
      </x:c>
      <x:c r="N1566" s="17" t="str">
        <x:v>official page checked</x:v>
      </x:c>
      <x:c r="O1566" s="17" t="str"/>
      <x:c r="P1566" s="18" t="e">
        <x:f>HYPERLINK("https://cs.mst.edu/graduate-degrees/graduatefaq/","Open source")</x:f>
        <x:v>HYPERLINK is not implemented. linkLocation=https://cs.mst.edu/graduate-degrees/graduatefaq/, friendlyName=Open source</x:v>
      </x:c>
    </x:row>
    <x:row r="1567" ht="46" customHeight="1">
      <x:c r="A1567" s="17" t="str">
        <x:v>stage3src:b3bc9e70d5961e8443fb</x:v>
      </x:c>
      <x:c r="B1567" s="17" t="str">
        <x:v>program</x:v>
      </x:c>
      <x:c r="C1567" s="17" t="str">
        <x:v>Missouri University of Science and Technology</x:v>
      </x:c>
      <x:c r="D1567" s="17" t="str">
        <x:v>us:ipeds:178411:program:phd:doctor-of-philosophy-in-computer-science</x:v>
      </x:c>
      <x:c r="E1567" s="17" t="str"/>
      <x:c r="F1567" s="17" t="str">
        <x:v>admissions|fees|eligibility</x:v>
      </x:c>
      <x:c r="G1567" s="17" t="str">
        <x:v>USD 75 international graduate application fee and event-based waiver boundary.</x:v>
      </x:c>
      <x:c r="H1567" s="17" t="str">
        <x:v>Graduate Students On Campus</x:v>
      </x:c>
      <x:c r="I1567" s="17" t="str">
        <x:v>Missouri University of Science and Technology</x:v>
      </x:c>
      <x:c r="J1567" s="17" t="str">
        <x:v>official</x:v>
      </x:c>
      <x:c r="K1567" s="17" t="str">
        <x:v>2026-09-10</x:v>
      </x:c>
      <x:c r="L1567" s="17" t="str">
        <x:v>Current fee guidance checked 2026-09-10</x:v>
      </x:c>
      <x:c r="M1567" s="17" t="str">
        <x:v>high</x:v>
      </x:c>
      <x:c r="N1567" s="17" t="str">
        <x:v>official page checked</x:v>
      </x:c>
      <x:c r="O1567" s="17" t="str"/>
      <x:c r="P1567" s="18" t="e">
        <x:f>HYPERLINK("https://futurestudents.mst.edu/admissions/graduate/","Open source")</x:f>
        <x:v>HYPERLINK is not implemented. linkLocation=https://futurestudents.mst.edu/admissions/graduate/, friendlyName=Open source</x:v>
      </x:c>
    </x:row>
    <x:row r="1568" ht="46" customHeight="1">
      <x:c r="A1568" s="17" t="str">
        <x:v>stage3src:ce5a5f64e63022574389</x:v>
      </x:c>
      <x:c r="B1568" s="17" t="str">
        <x:v>program</x:v>
      </x:c>
      <x:c r="C1568" s="17" t="str">
        <x:v>Missouri University of Science and Technology</x:v>
      </x:c>
      <x:c r="D1568" s="17" t="str">
        <x:v>us:ipeds:178411:program:phd:doctor-of-philosophy-in-computer-science</x:v>
      </x:c>
      <x:c r="E1568" s="17" t="str"/>
      <x:c r="F1568" s="17" t="str">
        <x:v>program|research|admissions|eligibility</x:v>
      </x:c>
      <x:c r="G1568" s="17" t="str">
        <x:v>Current PhD, dissertation and publication requirements, prerequisite knowledge, supervisory-interest gate, and discretionary bachelor's entry.</x:v>
      </x:c>
      <x:c r="H1568" s="17" t="str">
        <x:v>Doctor of Philosophy in Computer Science</x:v>
      </x:c>
      <x:c r="I1568" s="17" t="str">
        <x:v>Missouri University of Science and Technology</x:v>
      </x:c>
      <x:c r="J1568" s="17" t="str">
        <x:v>official</x:v>
      </x:c>
      <x:c r="K1568" s="17" t="str">
        <x:v>2026-09-10</x:v>
      </x:c>
      <x:c r="L1568" s="17" t="str">
        <x:v>Current page checked 2026-09-10</x:v>
      </x:c>
      <x:c r="M1568" s="17" t="str">
        <x:v>high</x:v>
      </x:c>
      <x:c r="N1568" s="17" t="str">
        <x:v>official page checked</x:v>
      </x:c>
      <x:c r="O1568" s="17" t="str"/>
      <x:c r="P1568" s="18" t="e">
        <x:f>HYPERLINK("https://cs.mst.edu/graduate-degrees/phd/","Open source")</x:f>
        <x:v>HYPERLINK is not implemented. linkLocation=https://cs.mst.edu/graduate-degrees/phd/, friendlyName=Open source</x:v>
      </x:c>
    </x:row>
    <x:row r="1569" ht="46" customHeight="1">
      <x:c r="A1569" s="17" t="str">
        <x:v>stage3src:e1602bc63812acd87a1e</x:v>
      </x:c>
      <x:c r="B1569" s="17" t="str">
        <x:v>program</x:v>
      </x:c>
      <x:c r="C1569" s="17" t="str">
        <x:v>Missouri University of Science and Technology</x:v>
      </x:c>
      <x:c r="D1569" s="17" t="str">
        <x:v>us:ipeds:178411:program:unclear:ipeds-discovery-signal-computer-and-information-sciences-general-cip-11-0101</x:v>
      </x:c>
      <x:c r="E1569" s="17" t="str"/>
      <x:c r="F1569" s="17" t="str">
        <x:v>discovery</x:v>
      </x:c>
      <x:c r="G1569" s="17" t="str">
        <x:v>Stage 2 recorded this row as a discovery candidate; it does not independently verify an exact current research program, eligibility, or funding.</x:v>
      </x:c>
      <x:c r="H1569" s="17" t="str">
        <x:v>Pass 2 Stage 2 candidate funnel</x:v>
      </x:c>
      <x:c r="I1569" s="17" t="str">
        <x:v>Graduate audit pipeline</x:v>
      </x:c>
      <x:c r="J1569" s="17" t="str">
        <x:v>derived</x:v>
      </x:c>
      <x:c r="K1569" s="17" t="str">
        <x:v>2026-09-11</x:v>
      </x:c>
      <x:c r="L1569" s="17" t="str">
        <x:v>Not cycle-specific</x:v>
      </x:c>
      <x:c r="M1569" s="17" t="str">
        <x:v>low</x:v>
      </x:c>
      <x:c r="N1569" s="17" t="str">
        <x:v>Discovery evidence only</x:v>
      </x:c>
      <x:c r="O1569" s="17" t="str">
        <x:v>Use the source_record_paths field to trace the underlying discovery inputs.</x:v>
      </x:c>
      <x:c r="P1569" s="18" t="e">
        <x:f>HYPERLINK("https://www.mst.edu","Open source")</x:f>
        <x:v>HYPERLINK is not implemented. linkLocation=https://www.mst.edu, friendlyName=Open source</x:v>
      </x:c>
    </x:row>
    <x:row r="1570" ht="46" customHeight="1">
      <x:c r="A1570" s="17" t="str">
        <x:v>stage3src:99f672b119fa4cdd7145</x:v>
      </x:c>
      <x:c r="B1570" s="17" t="str">
        <x:v>program</x:v>
      </x:c>
      <x:c r="C1570" s="17" t="str">
        <x:v>Missouri University of Science and Technology</x:v>
      </x:c>
      <x:c r="D1570" s="17" t="str">
        <x:v>us:ipeds:178411:program:unclear:ipeds-discovery-signal-computer-engineering-general-cip-14-0901</x:v>
      </x:c>
      <x:c r="E1570" s="17" t="str"/>
      <x:c r="F1570" s="17" t="str">
        <x:v>discovery</x:v>
      </x:c>
      <x:c r="G1570" s="17" t="str">
        <x:v>Stage 2 recorded this row as a discovery candidate; it does not independently verify an exact current research program, eligibility, or funding.</x:v>
      </x:c>
      <x:c r="H1570" s="17" t="str">
        <x:v>Pass 2 Stage 2 candidate funnel</x:v>
      </x:c>
      <x:c r="I1570" s="17" t="str">
        <x:v>Graduate audit pipeline</x:v>
      </x:c>
      <x:c r="J1570" s="17" t="str">
        <x:v>derived</x:v>
      </x:c>
      <x:c r="K1570" s="17" t="str">
        <x:v>2026-09-11</x:v>
      </x:c>
      <x:c r="L1570" s="17" t="str">
        <x:v>Not cycle-specific</x:v>
      </x:c>
      <x:c r="M1570" s="17" t="str">
        <x:v>low</x:v>
      </x:c>
      <x:c r="N1570" s="17" t="str">
        <x:v>Discovery evidence only</x:v>
      </x:c>
      <x:c r="O1570" s="17" t="str">
        <x:v>Use the source_record_paths field to trace the underlying discovery inputs.</x:v>
      </x:c>
      <x:c r="P1570" s="18" t="e">
        <x:f>HYPERLINK("https://www.mst.edu","Open source")</x:f>
        <x:v>HYPERLINK is not implemented. linkLocation=https://www.mst.edu, friendlyName=Open source</x:v>
      </x:c>
    </x:row>
    <x:row r="1571" ht="46" customHeight="1">
      <x:c r="A1571" s="17" t="str">
        <x:v>stage3src:d3b0cd64eb2032a9d389</x:v>
      </x:c>
      <x:c r="B1571" s="17" t="str">
        <x:v>program</x:v>
      </x:c>
      <x:c r="C1571" s="17" t="str">
        <x:v>Missouri University of Science and Technology</x:v>
      </x:c>
      <x:c r="D1571" s="17" t="str">
        <x:v>us:ipeds:178411:program:unclear:ipeds-discovery-signal-electrical-and-electronics-engineering-cip-14-1001</x:v>
      </x:c>
      <x:c r="E1571" s="17" t="str"/>
      <x:c r="F1571" s="17" t="str">
        <x:v>discovery</x:v>
      </x:c>
      <x:c r="G1571" s="17" t="str">
        <x:v>Stage 2 recorded this row as a discovery candidate; it does not independently verify an exact current research program, eligibility, or funding.</x:v>
      </x:c>
      <x:c r="H1571" s="17" t="str">
        <x:v>Pass 2 Stage 2 candidate funnel</x:v>
      </x:c>
      <x:c r="I1571" s="17" t="str">
        <x:v>Graduate audit pipeline</x:v>
      </x:c>
      <x:c r="J1571" s="17" t="str">
        <x:v>derived</x:v>
      </x:c>
      <x:c r="K1571" s="17" t="str">
        <x:v>2026-09-11</x:v>
      </x:c>
      <x:c r="L1571" s="17" t="str">
        <x:v>Not cycle-specific</x:v>
      </x:c>
      <x:c r="M1571" s="17" t="str">
        <x:v>low</x:v>
      </x:c>
      <x:c r="N1571" s="17" t="str">
        <x:v>Discovery evidence only</x:v>
      </x:c>
      <x:c r="O1571" s="17" t="str">
        <x:v>Use the source_record_paths field to trace the underlying discovery inputs.</x:v>
      </x:c>
      <x:c r="P1571" s="18" t="e">
        <x:f>HYPERLINK("https://www.mst.edu","Open source")</x:f>
        <x:v>HYPERLINK is not implemented. linkLocation=https://www.mst.edu, friendlyName=Open source</x:v>
      </x:c>
    </x:row>
    <x:row r="1572" ht="46" customHeight="1">
      <x:c r="A1572" s="17" t="str">
        <x:v>stage3src:1bdc098dfce94a25d475</x:v>
      </x:c>
      <x:c r="B1572" s="17" t="str">
        <x:v>program</x:v>
      </x:c>
      <x:c r="C1572" s="17" t="str">
        <x:v>Missouri University of Science and Technology</x:v>
      </x:c>
      <x:c r="D1572" s="17" t="str">
        <x:v>us:ipeds:178411:program:unclear:ipeds-discovery-signal-information-science-studies-cip-11-0401</x:v>
      </x:c>
      <x:c r="E1572" s="17" t="str"/>
      <x:c r="F1572" s="17" t="str">
        <x:v>discovery</x:v>
      </x:c>
      <x:c r="G1572" s="17" t="str">
        <x:v>Stage 2 recorded this row as a discovery candidate; it does not independently verify an exact current research program, eligibility, or funding.</x:v>
      </x:c>
      <x:c r="H1572" s="17" t="str">
        <x:v>Pass 2 Stage 2 candidate funnel</x:v>
      </x:c>
      <x:c r="I1572" s="17" t="str">
        <x:v>Graduate audit pipeline</x:v>
      </x:c>
      <x:c r="J1572" s="17" t="str">
        <x:v>derived</x:v>
      </x:c>
      <x:c r="K1572" s="17" t="str">
        <x:v>2026-09-11</x:v>
      </x:c>
      <x:c r="L1572" s="17" t="str">
        <x:v>Not cycle-specific</x:v>
      </x:c>
      <x:c r="M1572" s="17" t="str">
        <x:v>low</x:v>
      </x:c>
      <x:c r="N1572" s="17" t="str">
        <x:v>Discovery evidence only</x:v>
      </x:c>
      <x:c r="O1572" s="17" t="str">
        <x:v>Use the source_record_paths field to trace the underlying discovery inputs.</x:v>
      </x:c>
      <x:c r="P1572" s="18" t="e">
        <x:f>HYPERLINK("https://www.mst.edu","Open source")</x:f>
        <x:v>HYPERLINK is not implemented. linkLocation=https://www.mst.edu, friendlyName=Open source</x:v>
      </x:c>
    </x:row>
    <x:row r="1573" ht="46" customHeight="1">
      <x:c r="A1573" s="17" t="str">
        <x:v>stage3src:61146f4bed1db6bca10b</x:v>
      </x:c>
      <x:c r="B1573" s="17" t="str">
        <x:v>program</x:v>
      </x:c>
      <x:c r="C1573" s="17" t="str">
        <x:v>University of Missouri-St Louis</x:v>
      </x:c>
      <x:c r="D1573" s="17" t="str">
        <x:v>us:ipeds:178420:program:unclear:ipeds-discovery-signal-computer-and-information-systems-security-auditing-information-assurance-cip-11-1003</x:v>
      </x:c>
      <x:c r="E1573" s="17" t="str"/>
      <x:c r="F1573" s="17" t="str">
        <x:v>discovery</x:v>
      </x:c>
      <x:c r="G1573" s="17" t="str">
        <x:v>Stage 2 recorded this row as a discovery candidate; it does not independently verify an exact current research program, eligibility, or funding.</x:v>
      </x:c>
      <x:c r="H1573" s="17" t="str">
        <x:v>Pass 2 Stage 2 candidate funnel</x:v>
      </x:c>
      <x:c r="I1573" s="17" t="str">
        <x:v>Graduate audit pipeline</x:v>
      </x:c>
      <x:c r="J1573" s="17" t="str">
        <x:v>derived</x:v>
      </x:c>
      <x:c r="K1573" s="17" t="str">
        <x:v>2026-09-11</x:v>
      </x:c>
      <x:c r="L1573" s="17" t="str">
        <x:v>Not cycle-specific</x:v>
      </x:c>
      <x:c r="M1573" s="17" t="str">
        <x:v>low</x:v>
      </x:c>
      <x:c r="N1573" s="17" t="str">
        <x:v>Discovery evidence only</x:v>
      </x:c>
      <x:c r="O1573" s="17" t="str">
        <x:v>Use the source_record_paths field to trace the underlying discovery inputs.</x:v>
      </x:c>
      <x:c r="P1573" s="18" t="e">
        <x:f>HYPERLINK("https://www.umsl.edu","Open source")</x:f>
        <x:v>HYPERLINK is not implemented. linkLocation=https://www.umsl.edu, friendlyName=Open source</x:v>
      </x:c>
    </x:row>
    <x:row r="1574" ht="46" customHeight="1">
      <x:c r="A1574" s="17" t="str">
        <x:v>stage3src:79fee3f8a86a856ef465</x:v>
      </x:c>
      <x:c r="B1574" s="17" t="str">
        <x:v>program</x:v>
      </x:c>
      <x:c r="C1574" s="17" t="str">
        <x:v>University of Missouri-St Louis</x:v>
      </x:c>
      <x:c r="D1574" s="17" t="str">
        <x:v>us:ipeds:178420:program:unclear:ipeds-discovery-signal-computer-science-cip-11-0701</x:v>
      </x:c>
      <x:c r="E1574" s="17" t="str"/>
      <x:c r="F1574" s="17" t="str">
        <x:v>discovery</x:v>
      </x:c>
      <x:c r="G1574" s="17" t="str">
        <x:v>Stage 2 recorded this row as a discovery candidate; it does not independently verify an exact current research program, eligibility, or funding.</x:v>
      </x:c>
      <x:c r="H1574" s="17" t="str">
        <x:v>Pass 2 Stage 2 candidate funnel</x:v>
      </x:c>
      <x:c r="I1574" s="17" t="str">
        <x:v>Graduate audit pipeline</x:v>
      </x:c>
      <x:c r="J1574" s="17" t="str">
        <x:v>derived</x:v>
      </x:c>
      <x:c r="K1574" s="17" t="str">
        <x:v>2026-09-11</x:v>
      </x:c>
      <x:c r="L1574" s="17" t="str">
        <x:v>Not cycle-specific</x:v>
      </x:c>
      <x:c r="M1574" s="17" t="str">
        <x:v>low</x:v>
      </x:c>
      <x:c r="N1574" s="17" t="str">
        <x:v>Discovery evidence only</x:v>
      </x:c>
      <x:c r="O1574" s="17" t="str">
        <x:v>Use the source_record_paths field to trace the underlying discovery inputs.</x:v>
      </x:c>
      <x:c r="P1574" s="18" t="e">
        <x:f>HYPERLINK("https://www.umsl.edu","Open source")</x:f>
        <x:v>HYPERLINK is not implemented. linkLocation=https://www.umsl.edu, friendlyName=Open source</x:v>
      </x:c>
    </x:row>
    <x:row r="1575" ht="46" customHeight="1">
      <x:c r="A1575" s="17" t="str">
        <x:v>stage3src:8f300823db88e36fd73e</x:v>
      </x:c>
      <x:c r="B1575" s="17" t="str">
        <x:v>program</x:v>
      </x:c>
      <x:c r="C1575" s="17" t="str">
        <x:v>University of Missouri-St Louis</x:v>
      </x:c>
      <x:c r="D1575" s="17" t="str">
        <x:v>us:ipeds:178420:program:unclear:ipeds-discovery-signal-information-technology-cip-11-0103</x:v>
      </x:c>
      <x:c r="E1575" s="17" t="str"/>
      <x:c r="F1575" s="17" t="str">
        <x:v>discovery</x:v>
      </x:c>
      <x:c r="G1575" s="17" t="str">
        <x:v>Stage 2 recorded this row as a discovery candidate; it does not independently verify an exact current research program, eligibility, or funding.</x:v>
      </x:c>
      <x:c r="H1575" s="17" t="str">
        <x:v>Pass 2 Stage 2 candidate funnel</x:v>
      </x:c>
      <x:c r="I1575" s="17" t="str">
        <x:v>Graduate audit pipeline</x:v>
      </x:c>
      <x:c r="J1575" s="17" t="str">
        <x:v>derived</x:v>
      </x:c>
      <x:c r="K1575" s="17" t="str">
        <x:v>2026-09-11</x:v>
      </x:c>
      <x:c r="L1575" s="17" t="str">
        <x:v>Not cycle-specific</x:v>
      </x:c>
      <x:c r="M1575" s="17" t="str">
        <x:v>low</x:v>
      </x:c>
      <x:c r="N1575" s="17" t="str">
        <x:v>Discovery evidence only</x:v>
      </x:c>
      <x:c r="O1575" s="17" t="str">
        <x:v>Use the source_record_paths field to trace the underlying discovery inputs.</x:v>
      </x:c>
      <x:c r="P1575" s="18" t="e">
        <x:f>HYPERLINK("https://www.umsl.edu","Open source")</x:f>
        <x:v>HYPERLINK is not implemented. linkLocation=https://www.umsl.edu, friendlyName=Open source</x:v>
      </x:c>
    </x:row>
    <x:row r="1576" ht="46" customHeight="1">
      <x:c r="A1576" s="17" t="str">
        <x:v>stage3src:209dbb990ed7625e8f67</x:v>
      </x:c>
      <x:c r="B1576" s="17" t="str">
        <x:v>program</x:v>
      </x:c>
      <x:c r="C1576" s="17" t="str">
        <x:v>Truman State University</x:v>
      </x:c>
      <x:c r="D1576" s="17" t="str">
        <x:v>us:ipeds:178615:program:unclear:ipeds-discovery-signal-data-science-general-cip-30-7001</x:v>
      </x:c>
      <x:c r="E1576" s="17" t="str"/>
      <x:c r="F1576" s="17" t="str">
        <x:v>discovery</x:v>
      </x:c>
      <x:c r="G1576" s="17" t="str">
        <x:v>Stage 2 recorded this row as a discovery candidate; it does not independently verify an exact current research program, eligibility, or funding.</x:v>
      </x:c>
      <x:c r="H1576" s="17" t="str">
        <x:v>Pass 2 Stage 2 candidate funnel</x:v>
      </x:c>
      <x:c r="I1576" s="17" t="str">
        <x:v>Graduate audit pipeline</x:v>
      </x:c>
      <x:c r="J1576" s="17" t="str">
        <x:v>derived</x:v>
      </x:c>
      <x:c r="K1576" s="17" t="str">
        <x:v>2026-09-11</x:v>
      </x:c>
      <x:c r="L1576" s="17" t="str">
        <x:v>Not cycle-specific</x:v>
      </x:c>
      <x:c r="M1576" s="17" t="str">
        <x:v>low</x:v>
      </x:c>
      <x:c r="N1576" s="17" t="str">
        <x:v>Discovery evidence only</x:v>
      </x:c>
      <x:c r="O1576" s="17" t="str">
        <x:v>Use the source_record_paths field to trace the underlying discovery inputs.</x:v>
      </x:c>
      <x:c r="P1576" s="18" t="e">
        <x:f>HYPERLINK("https://www.truman.edu","Open source")</x:f>
        <x:v>HYPERLINK is not implemented. linkLocation=https://www.truman.edu, friendlyName=Open source</x:v>
      </x:c>
    </x:row>
    <x:row r="1577" ht="46" customHeight="1">
      <x:c r="A1577" s="17" t="str">
        <x:v>stage3src:4208b84e47cc0a6bec7e</x:v>
      </x:c>
      <x:c r="B1577" s="17" t="str">
        <x:v>program</x:v>
      </x:c>
      <x:c r="C1577" s="17" t="str">
        <x:v>Northwest Missouri State University</x:v>
      </x:c>
      <x:c r="D1577" s="17" t="str">
        <x:v>us:ipeds:178624:program:unclear:ipeds-discovery-signal-computer-and-information-sciences-general-cip-11-0101</x:v>
      </x:c>
      <x:c r="E1577" s="17" t="str"/>
      <x:c r="F1577" s="17" t="str">
        <x:v>discovery</x:v>
      </x:c>
      <x:c r="G1577" s="17" t="str">
        <x:v>Stage 2 recorded this row as a discovery candidate; it does not independently verify an exact current research program, eligibility, or funding.</x:v>
      </x:c>
      <x:c r="H1577" s="17" t="str">
        <x:v>Pass 2 Stage 2 candidate funnel</x:v>
      </x:c>
      <x:c r="I1577" s="17" t="str">
        <x:v>Graduate audit pipeline</x:v>
      </x:c>
      <x:c r="J1577" s="17" t="str">
        <x:v>derived</x:v>
      </x:c>
      <x:c r="K1577" s="17" t="str">
        <x:v>2026-09-11</x:v>
      </x:c>
      <x:c r="L1577" s="17" t="str">
        <x:v>Not cycle-specific</x:v>
      </x:c>
      <x:c r="M1577" s="17" t="str">
        <x:v>low</x:v>
      </x:c>
      <x:c r="N1577" s="17" t="str">
        <x:v>Discovery evidence only</x:v>
      </x:c>
      <x:c r="O1577" s="17" t="str">
        <x:v>Use the source_record_paths field to trace the underlying discovery inputs.</x:v>
      </x:c>
      <x:c r="P1577" s="18" t="e">
        <x:f>HYPERLINK("https://www.nwmissouri.edu","Open source")</x:f>
        <x:v>HYPERLINK is not implemented. linkLocation=https://www.nwmissouri.edu, friendlyName=Open source</x:v>
      </x:c>
    </x:row>
    <x:row r="1578" ht="46" customHeight="1">
      <x:c r="A1578" s="17" t="str">
        <x:v>stage3src:42d790c415e50df49748</x:v>
      </x:c>
      <x:c r="B1578" s="17" t="str">
        <x:v>program</x:v>
      </x:c>
      <x:c r="C1578" s="17" t="str">
        <x:v>Northwest Missouri State University</x:v>
      </x:c>
      <x:c r="D1578" s="17" t="str">
        <x:v>us:ipeds:178624:program:unclear:ipeds-discovery-signal-computer-and-information-sciences-other-cip-11-0199</x:v>
      </x:c>
      <x:c r="E1578" s="17" t="str"/>
      <x:c r="F1578" s="17" t="str">
        <x:v>discovery</x:v>
      </x:c>
      <x:c r="G1578" s="17" t="str">
        <x:v>Stage 2 recorded this row as a discovery candidate; it does not independently verify an exact current research program, eligibility, or funding.</x:v>
      </x:c>
      <x:c r="H1578" s="17" t="str">
        <x:v>Pass 2 Stage 2 candidate funnel</x:v>
      </x:c>
      <x:c r="I1578" s="17" t="str">
        <x:v>Graduate audit pipeline</x:v>
      </x:c>
      <x:c r="J1578" s="17" t="str">
        <x:v>derived</x:v>
      </x:c>
      <x:c r="K1578" s="17" t="str">
        <x:v>2026-09-11</x:v>
      </x:c>
      <x:c r="L1578" s="17" t="str">
        <x:v>Not cycle-specific</x:v>
      </x:c>
      <x:c r="M1578" s="17" t="str">
        <x:v>low</x:v>
      </x:c>
      <x:c r="N1578" s="17" t="str">
        <x:v>Discovery evidence only</x:v>
      </x:c>
      <x:c r="O1578" s="17" t="str">
        <x:v>Use the source_record_paths field to trace the underlying discovery inputs.</x:v>
      </x:c>
      <x:c r="P1578" s="18" t="e">
        <x:f>HYPERLINK("https://www.nwmissouri.edu","Open source")</x:f>
        <x:v>HYPERLINK is not implemented. linkLocation=https://www.nwmissouri.edu, friendlyName=Open source</x:v>
      </x:c>
    </x:row>
    <x:row r="1579" ht="46" customHeight="1">
      <x:c r="A1579" s="17" t="str">
        <x:v>stage3src:b54635d061a702479d6d</x:v>
      </x:c>
      <x:c r="B1579" s="17" t="str">
        <x:v>program</x:v>
      </x:c>
      <x:c r="C1579" s="17" t="str">
        <x:v>Northwest Missouri State University</x:v>
      </x:c>
      <x:c r="D1579" s="17" t="str">
        <x:v>us:ipeds:178624:program:unclear:ipeds-discovery-signal-computer-science-cip-11-0701</x:v>
      </x:c>
      <x:c r="E1579" s="17" t="str"/>
      <x:c r="F1579" s="17" t="str">
        <x:v>discovery</x:v>
      </x:c>
      <x:c r="G1579" s="17" t="str">
        <x:v>Stage 2 recorded this row as a discovery candidate; it does not independently verify an exact current research program, eligibility, or funding.</x:v>
      </x:c>
      <x:c r="H1579" s="17" t="str">
        <x:v>Pass 2 Stage 2 candidate funnel</x:v>
      </x:c>
      <x:c r="I1579" s="17" t="str">
        <x:v>Graduate audit pipeline</x:v>
      </x:c>
      <x:c r="J1579" s="17" t="str">
        <x:v>derived</x:v>
      </x:c>
      <x:c r="K1579" s="17" t="str">
        <x:v>2026-09-11</x:v>
      </x:c>
      <x:c r="L1579" s="17" t="str">
        <x:v>Not cycle-specific</x:v>
      </x:c>
      <x:c r="M1579" s="17" t="str">
        <x:v>low</x:v>
      </x:c>
      <x:c r="N1579" s="17" t="str">
        <x:v>Discovery evidence only</x:v>
      </x:c>
      <x:c r="O1579" s="17" t="str">
        <x:v>Use the source_record_paths field to trace the underlying discovery inputs.</x:v>
      </x:c>
      <x:c r="P1579" s="18" t="e">
        <x:f>HYPERLINK("https://www.nwmissouri.edu","Open source")</x:f>
        <x:v>HYPERLINK is not implemented. linkLocation=https://www.nwmissouri.edu, friendlyName=Open source</x:v>
      </x:c>
    </x:row>
    <x:row r="1580" ht="46" customHeight="1">
      <x:c r="A1580" s="17" t="str">
        <x:v>stage3src:69e167226f5e5fcf64d2</x:v>
      </x:c>
      <x:c r="B1580" s="17" t="str">
        <x:v>program</x:v>
      </x:c>
      <x:c r="C1580" s="17" t="str">
        <x:v>Park University</x:v>
      </x:c>
      <x:c r="D1580" s="17" t="str">
        <x:v>us:ipeds:178721:program:unclear:ipeds-discovery-signal-information-technology-cip-11-0103</x:v>
      </x:c>
      <x:c r="E1580" s="17" t="str"/>
      <x:c r="F1580" s="17" t="str">
        <x:v>discovery</x:v>
      </x:c>
      <x:c r="G1580" s="17" t="str">
        <x:v>Stage 2 recorded this row as a discovery candidate; it does not independently verify an exact current research program, eligibility, or funding.</x:v>
      </x:c>
      <x:c r="H1580" s="17" t="str">
        <x:v>Pass 2 Stage 2 candidate funnel</x:v>
      </x:c>
      <x:c r="I1580" s="17" t="str">
        <x:v>Graduate audit pipeline</x:v>
      </x:c>
      <x:c r="J1580" s="17" t="str">
        <x:v>derived</x:v>
      </x:c>
      <x:c r="K1580" s="17" t="str">
        <x:v>2026-09-11</x:v>
      </x:c>
      <x:c r="L1580" s="17" t="str">
        <x:v>Not cycle-specific</x:v>
      </x:c>
      <x:c r="M1580" s="17" t="str">
        <x:v>low</x:v>
      </x:c>
      <x:c r="N1580" s="17" t="str">
        <x:v>Discovery evidence only</x:v>
      </x:c>
      <x:c r="O1580" s="17" t="str">
        <x:v>Use the source_record_paths field to trace the underlying discovery inputs.</x:v>
      </x:c>
      <x:c r="P1580" s="18" t="e">
        <x:f>HYPERLINK("https://www.park.edu","Open source")</x:f>
        <x:v>HYPERLINK is not implemented. linkLocation=https://www.park.edu, friendlyName=Open source</x:v>
      </x:c>
    </x:row>
    <x:row r="1581" ht="46" customHeight="1">
      <x:c r="A1581" s="17" t="str">
        <x:v>stage3src:0c0e13faf43a80e8c276</x:v>
      </x:c>
      <x:c r="B1581" s="17" t="str">
        <x:v>program</x:v>
      </x:c>
      <x:c r="C1581" s="17" t="str">
        <x:v>Saint Louis University</x:v>
      </x:c>
      <x:c r="D1581" s="17" t="str">
        <x:v>us:ipeds:179159:program:unclear:ipeds-discovery-signal-artificial-intelligence-cip-11-0102</x:v>
      </x:c>
      <x:c r="E1581" s="17" t="str"/>
      <x:c r="F1581" s="17" t="str">
        <x:v>discovery</x:v>
      </x:c>
      <x:c r="G1581" s="17" t="str">
        <x:v>Stage 2 recorded this row as a discovery candidate; it does not independently verify an exact current research program, eligibility, or funding.</x:v>
      </x:c>
      <x:c r="H1581" s="17" t="str">
        <x:v>Pass 2 Stage 2 candidate funnel</x:v>
      </x:c>
      <x:c r="I1581" s="17" t="str">
        <x:v>Graduate audit pipeline</x:v>
      </x:c>
      <x:c r="J1581" s="17" t="str">
        <x:v>derived</x:v>
      </x:c>
      <x:c r="K1581" s="17" t="str">
        <x:v>2026-09-11</x:v>
      </x:c>
      <x:c r="L1581" s="17" t="str">
        <x:v>Not cycle-specific</x:v>
      </x:c>
      <x:c r="M1581" s="17" t="str">
        <x:v>low</x:v>
      </x:c>
      <x:c r="N1581" s="17" t="str">
        <x:v>Discovery evidence only</x:v>
      </x:c>
      <x:c r="O1581" s="17" t="str">
        <x:v>Use the source_record_paths field to trace the underlying discovery inputs.</x:v>
      </x:c>
      <x:c r="P1581" s="18" t="e">
        <x:f>HYPERLINK("https://www.slu.edu","Open source")</x:f>
        <x:v>HYPERLINK is not implemented. linkLocation=https://www.slu.edu, friendlyName=Open source</x:v>
      </x:c>
    </x:row>
    <x:row r="1582" ht="46" customHeight="1">
      <x:c r="A1582" s="17" t="str">
        <x:v>stage3src:9cc1e32f019c20ce8928</x:v>
      </x:c>
      <x:c r="B1582" s="17" t="str">
        <x:v>program</x:v>
      </x:c>
      <x:c r="C1582" s="17" t="str">
        <x:v>Saint Louis University</x:v>
      </x:c>
      <x:c r="D1582" s="17" t="str">
        <x:v>us:ipeds:179159:program:unclear:ipeds-discovery-signal-computer-and-information-sciences-general-cip-11-0101</x:v>
      </x:c>
      <x:c r="E1582" s="17" t="str"/>
      <x:c r="F1582" s="17" t="str">
        <x:v>discovery</x:v>
      </x:c>
      <x:c r="G1582" s="17" t="str">
        <x:v>Stage 2 recorded this row as a discovery candidate; it does not independently verify an exact current research program, eligibility, or funding.</x:v>
      </x:c>
      <x:c r="H1582" s="17" t="str">
        <x:v>Pass 2 Stage 2 candidate funnel</x:v>
      </x:c>
      <x:c r="I1582" s="17" t="str">
        <x:v>Graduate audit pipeline</x:v>
      </x:c>
      <x:c r="J1582" s="17" t="str">
        <x:v>derived</x:v>
      </x:c>
      <x:c r="K1582" s="17" t="str">
        <x:v>2026-09-11</x:v>
      </x:c>
      <x:c r="L1582" s="17" t="str">
        <x:v>Not cycle-specific</x:v>
      </x:c>
      <x:c r="M1582" s="17" t="str">
        <x:v>low</x:v>
      </x:c>
      <x:c r="N1582" s="17" t="str">
        <x:v>Discovery evidence only</x:v>
      </x:c>
      <x:c r="O1582" s="17" t="str">
        <x:v>Use the source_record_paths field to trace the underlying discovery inputs.</x:v>
      </x:c>
      <x:c r="P1582" s="18" t="e">
        <x:f>HYPERLINK("https://www.slu.edu","Open source")</x:f>
        <x:v>HYPERLINK is not implemented. linkLocation=https://www.slu.edu, friendlyName=Open source</x:v>
      </x:c>
    </x:row>
    <x:row r="1583" ht="46" customHeight="1">
      <x:c r="A1583" s="17" t="str">
        <x:v>stage3src:a3586ed0e385fe2462b9</x:v>
      </x:c>
      <x:c r="B1583" s="17" t="str">
        <x:v>program</x:v>
      </x:c>
      <x:c r="C1583" s="17" t="str">
        <x:v>Saint Louis University</x:v>
      </x:c>
      <x:c r="D1583" s="17" t="str">
        <x:v>us:ipeds:179159:program:unclear:ipeds-discovery-signal-computer-science-cip-11-0701</x:v>
      </x:c>
      <x:c r="E1583" s="17" t="str"/>
      <x:c r="F1583" s="17" t="str">
        <x:v>discovery</x:v>
      </x:c>
      <x:c r="G1583" s="17" t="str">
        <x:v>Stage 2 recorded this row as a discovery candidate; it does not independently verify an exact current research program, eligibility, or funding.</x:v>
      </x:c>
      <x:c r="H1583" s="17" t="str">
        <x:v>Pass 2 Stage 2 candidate funnel</x:v>
      </x:c>
      <x:c r="I1583" s="17" t="str">
        <x:v>Graduate audit pipeline</x:v>
      </x:c>
      <x:c r="J1583" s="17" t="str">
        <x:v>derived</x:v>
      </x:c>
      <x:c r="K1583" s="17" t="str">
        <x:v>2026-09-11</x:v>
      </x:c>
      <x:c r="L1583" s="17" t="str">
        <x:v>Not cycle-specific</x:v>
      </x:c>
      <x:c r="M1583" s="17" t="str">
        <x:v>low</x:v>
      </x:c>
      <x:c r="N1583" s="17" t="str">
        <x:v>Discovery evidence only</x:v>
      </x:c>
      <x:c r="O1583" s="17" t="str">
        <x:v>Use the source_record_paths field to trace the underlying discovery inputs.</x:v>
      </x:c>
      <x:c r="P1583" s="18" t="e">
        <x:f>HYPERLINK("https://www.slu.edu","Open source")</x:f>
        <x:v>HYPERLINK is not implemented. linkLocation=https://www.slu.edu, friendlyName=Open source</x:v>
      </x:c>
    </x:row>
    <x:row r="1584" ht="46" customHeight="1">
      <x:c r="A1584" s="17" t="str">
        <x:v>stage3src:68c4fbcc6c32324dd245</x:v>
      </x:c>
      <x:c r="B1584" s="17" t="str">
        <x:v>program</x:v>
      </x:c>
      <x:c r="C1584" s="17" t="str">
        <x:v>Saint Louis University</x:v>
      </x:c>
      <x:c r="D1584" s="17" t="str">
        <x:v>us:ipeds:179159:program:unclear:ipeds-discovery-signal-computer-software-engineering-cip-14-0903</x:v>
      </x:c>
      <x:c r="E1584" s="17" t="str"/>
      <x:c r="F1584" s="17" t="str">
        <x:v>discovery</x:v>
      </x:c>
      <x:c r="G1584" s="17" t="str">
        <x:v>Stage 2 recorded this row as a discovery candidate; it does not independently verify an exact current research program, eligibility, or funding.</x:v>
      </x:c>
      <x:c r="H1584" s="17" t="str">
        <x:v>Pass 2 Stage 2 candidate funnel</x:v>
      </x:c>
      <x:c r="I1584" s="17" t="str">
        <x:v>Graduate audit pipeline</x:v>
      </x:c>
      <x:c r="J1584" s="17" t="str">
        <x:v>derived</x:v>
      </x:c>
      <x:c r="K1584" s="17" t="str">
        <x:v>2026-09-11</x:v>
      </x:c>
      <x:c r="L1584" s="17" t="str">
        <x:v>Not cycle-specific</x:v>
      </x:c>
      <x:c r="M1584" s="17" t="str">
        <x:v>low</x:v>
      </x:c>
      <x:c r="N1584" s="17" t="str">
        <x:v>Discovery evidence only</x:v>
      </x:c>
      <x:c r="O1584" s="17" t="str">
        <x:v>Use the source_record_paths field to trace the underlying discovery inputs.</x:v>
      </x:c>
      <x:c r="P1584" s="18" t="e">
        <x:f>HYPERLINK("https://www.slu.edu","Open source")</x:f>
        <x:v>HYPERLINK is not implemented. linkLocation=https://www.slu.edu, friendlyName=Open source</x:v>
      </x:c>
    </x:row>
    <x:row r="1585" ht="46" customHeight="1">
      <x:c r="A1585" s="17" t="str">
        <x:v>stage3src:11dfd12cc2d938e8ed9f</x:v>
      </x:c>
      <x:c r="B1585" s="17" t="str">
        <x:v>program</x:v>
      </x:c>
      <x:c r="C1585" s="17" t="str">
        <x:v>Saint Louis University</x:v>
      </x:c>
      <x:c r="D1585" s="17" t="str">
        <x:v>us:ipeds:179159:program:unclear:ipeds-discovery-signal-informatics-cip-11-0104</x:v>
      </x:c>
      <x:c r="E1585" s="17" t="str"/>
      <x:c r="F1585" s="17" t="str">
        <x:v>discovery</x:v>
      </x:c>
      <x:c r="G1585" s="17" t="str">
        <x:v>Stage 2 recorded this row as a discovery candidate; it does not independently verify an exact current research program, eligibility, or funding.</x:v>
      </x:c>
      <x:c r="H1585" s="17" t="str">
        <x:v>Pass 2 Stage 2 candidate funnel</x:v>
      </x:c>
      <x:c r="I1585" s="17" t="str">
        <x:v>Graduate audit pipeline</x:v>
      </x:c>
      <x:c r="J1585" s="17" t="str">
        <x:v>derived</x:v>
      </x:c>
      <x:c r="K1585" s="17" t="str">
        <x:v>2026-09-11</x:v>
      </x:c>
      <x:c r="L1585" s="17" t="str">
        <x:v>Not cycle-specific</x:v>
      </x:c>
      <x:c r="M1585" s="17" t="str">
        <x:v>low</x:v>
      </x:c>
      <x:c r="N1585" s="17" t="str">
        <x:v>Discovery evidence only</x:v>
      </x:c>
      <x:c r="O1585" s="17" t="str">
        <x:v>Use the source_record_paths field to trace the underlying discovery inputs.</x:v>
      </x:c>
      <x:c r="P1585" s="18" t="e">
        <x:f>HYPERLINK("https://www.slu.edu","Open source")</x:f>
        <x:v>HYPERLINK is not implemented. linkLocation=https://www.slu.edu, friendlyName=Open source</x:v>
      </x:c>
    </x:row>
    <x:row r="1586" ht="46" customHeight="1">
      <x:c r="A1586" s="17" t="str">
        <x:v>stage3src:a1a8eb08276934a09888</x:v>
      </x:c>
      <x:c r="B1586" s="17" t="str">
        <x:v>program</x:v>
      </x:c>
      <x:c r="C1586" s="17" t="str">
        <x:v>Southeast Missouri State University</x:v>
      </x:c>
      <x:c r="D1586" s="17" t="str">
        <x:v>us:ipeds:179557:program:unclear:ipeds-discovery-signal-computer-and-information-sciences-general-cip-11-0101</x:v>
      </x:c>
      <x:c r="E1586" s="17" t="str"/>
      <x:c r="F1586" s="17" t="str">
        <x:v>discovery</x:v>
      </x:c>
      <x:c r="G1586" s="17" t="str">
        <x:v>Stage 2 recorded this row as a discovery candidate; it does not independently verify an exact current research program, eligibility, or funding.</x:v>
      </x:c>
      <x:c r="H1586" s="17" t="str">
        <x:v>Pass 2 Stage 2 candidate funnel</x:v>
      </x:c>
      <x:c r="I1586" s="17" t="str">
        <x:v>Graduate audit pipeline</x:v>
      </x:c>
      <x:c r="J1586" s="17" t="str">
        <x:v>derived</x:v>
      </x:c>
      <x:c r="K1586" s="17" t="str">
        <x:v>2026-09-11</x:v>
      </x:c>
      <x:c r="L1586" s="17" t="str">
        <x:v>Not cycle-specific</x:v>
      </x:c>
      <x:c r="M1586" s="17" t="str">
        <x:v>low</x:v>
      </x:c>
      <x:c r="N1586" s="17" t="str">
        <x:v>Discovery evidence only</x:v>
      </x:c>
      <x:c r="O1586" s="17" t="str">
        <x:v>Use the source_record_paths field to trace the underlying discovery inputs.</x:v>
      </x:c>
      <x:c r="P1586" s="18" t="e">
        <x:f>HYPERLINK("https://www.semo.edu","Open source")</x:f>
        <x:v>HYPERLINK is not implemented. linkLocation=https://www.semo.edu, friendlyName=Open source</x:v>
      </x:c>
    </x:row>
    <x:row r="1587" ht="46" customHeight="1">
      <x:c r="A1587" s="17" t="str">
        <x:v>stage3src:7129777f4b17b589d1c3</x:v>
      </x:c>
      <x:c r="B1587" s="17" t="str">
        <x:v>program</x:v>
      </x:c>
      <x:c r="C1587" s="17" t="str">
        <x:v>Southeast Missouri State University</x:v>
      </x:c>
      <x:c r="D1587" s="17" t="str">
        <x:v>us:ipeds:179557:program:unclear:ipeds-discovery-signal-computer-and-information-systems-security-auditing-information-assurance-cip-11-1003</x:v>
      </x:c>
      <x:c r="E1587" s="17" t="str"/>
      <x:c r="F1587" s="17" t="str">
        <x:v>discovery</x:v>
      </x:c>
      <x:c r="G1587" s="17" t="str">
        <x:v>Stage 2 recorded this row as a discovery candidate; it does not independently verify an exact current research program, eligibility, or funding.</x:v>
      </x:c>
      <x:c r="H1587" s="17" t="str">
        <x:v>Pass 2 Stage 2 candidate funnel</x:v>
      </x:c>
      <x:c r="I1587" s="17" t="str">
        <x:v>Graduate audit pipeline</x:v>
      </x:c>
      <x:c r="J1587" s="17" t="str">
        <x:v>derived</x:v>
      </x:c>
      <x:c r="K1587" s="17" t="str">
        <x:v>2026-09-11</x:v>
      </x:c>
      <x:c r="L1587" s="17" t="str">
        <x:v>Not cycle-specific</x:v>
      </x:c>
      <x:c r="M1587" s="17" t="str">
        <x:v>low</x:v>
      </x:c>
      <x:c r="N1587" s="17" t="str">
        <x:v>Discovery evidence only</x:v>
      </x:c>
      <x:c r="O1587" s="17" t="str">
        <x:v>Use the source_record_paths field to trace the underlying discovery inputs.</x:v>
      </x:c>
      <x:c r="P1587" s="18" t="e">
        <x:f>HYPERLINK("https://www.semo.edu","Open source")</x:f>
        <x:v>HYPERLINK is not implemented. linkLocation=https://www.semo.edu, friendlyName=Open source</x:v>
      </x:c>
    </x:row>
    <x:row r="1588" ht="46" customHeight="1">
      <x:c r="A1588" s="17" t="str">
        <x:v>stage3src:958980ef5f8199936246</x:v>
      </x:c>
      <x:c r="B1588" s="17" t="str">
        <x:v>program</x:v>
      </x:c>
      <x:c r="C1588" s="17" t="str">
        <x:v>Missouri State University-Springfield</x:v>
      </x:c>
      <x:c r="D1588" s="17" t="str">
        <x:v>us:ipeds:179566:program:unclear:ipeds-discovery-signal-computer-and-information-systems-security-auditing-information-assurance-cip-11-1003</x:v>
      </x:c>
      <x:c r="E1588" s="17" t="str"/>
      <x:c r="F1588" s="17" t="str">
        <x:v>discovery</x:v>
      </x:c>
      <x:c r="G1588" s="17" t="str">
        <x:v>Stage 2 recorded this row as a discovery candidate; it does not independently verify an exact current research program, eligibility, or funding.</x:v>
      </x:c>
      <x:c r="H1588" s="17" t="str">
        <x:v>Pass 2 Stage 2 candidate funnel</x:v>
      </x:c>
      <x:c r="I1588" s="17" t="str">
        <x:v>Graduate audit pipeline</x:v>
      </x:c>
      <x:c r="J1588" s="17" t="str">
        <x:v>derived</x:v>
      </x:c>
      <x:c r="K1588" s="17" t="str">
        <x:v>2026-09-11</x:v>
      </x:c>
      <x:c r="L1588" s="17" t="str">
        <x:v>Not cycle-specific</x:v>
      </x:c>
      <x:c r="M1588" s="17" t="str">
        <x:v>low</x:v>
      </x:c>
      <x:c r="N1588" s="17" t="str">
        <x:v>Discovery evidence only</x:v>
      </x:c>
      <x:c r="O1588" s="17" t="str">
        <x:v>Use the source_record_paths field to trace the underlying discovery inputs.</x:v>
      </x:c>
      <x:c r="P1588" s="18" t="e">
        <x:f>HYPERLINK("https://www.missouristate.edu","Open source")</x:f>
        <x:v>HYPERLINK is not implemented. linkLocation=https://www.missouristate.edu, friendlyName=Open source</x:v>
      </x:c>
    </x:row>
    <x:row r="1589" ht="46" customHeight="1">
      <x:c r="A1589" s="17" t="str">
        <x:v>stage3src:ac4113d12580e6b2f01c</x:v>
      </x:c>
      <x:c r="B1589" s="17" t="str">
        <x:v>program</x:v>
      </x:c>
      <x:c r="C1589" s="17" t="str">
        <x:v>Missouri State University-Springfield</x:v>
      </x:c>
      <x:c r="D1589" s="17" t="str">
        <x:v>us:ipeds:179566:program:unclear:ipeds-discovery-signal-computer-science-cip-11-0701</x:v>
      </x:c>
      <x:c r="E1589" s="17" t="str"/>
      <x:c r="F1589" s="17" t="str">
        <x:v>discovery</x:v>
      </x:c>
      <x:c r="G1589" s="17" t="str">
        <x:v>Stage 2 recorded this row as a discovery candidate; it does not independently verify an exact current research program, eligibility, or funding.</x:v>
      </x:c>
      <x:c r="H1589" s="17" t="str">
        <x:v>Pass 2 Stage 2 candidate funnel</x:v>
      </x:c>
      <x:c r="I1589" s="17" t="str">
        <x:v>Graduate audit pipeline</x:v>
      </x:c>
      <x:c r="J1589" s="17" t="str">
        <x:v>derived</x:v>
      </x:c>
      <x:c r="K1589" s="17" t="str">
        <x:v>2026-09-11</x:v>
      </x:c>
      <x:c r="L1589" s="17" t="str">
        <x:v>Not cycle-specific</x:v>
      </x:c>
      <x:c r="M1589" s="17" t="str">
        <x:v>low</x:v>
      </x:c>
      <x:c r="N1589" s="17" t="str">
        <x:v>Discovery evidence only</x:v>
      </x:c>
      <x:c r="O1589" s="17" t="str">
        <x:v>Use the source_record_paths field to trace the underlying discovery inputs.</x:v>
      </x:c>
      <x:c r="P1589" s="18" t="e">
        <x:f>HYPERLINK("https://www.missouristate.edu","Open source")</x:f>
        <x:v>HYPERLINK is not implemented. linkLocation=https://www.missouristate.edu, friendlyName=Open source</x:v>
      </x:c>
    </x:row>
    <x:row r="1590" ht="46" customHeight="1">
      <x:c r="A1590" s="17" t="str">
        <x:v>stage3src:00e27b218dbd84763d78</x:v>
      </x:c>
      <x:c r="B1590" s="17" t="str">
        <x:v>program</x:v>
      </x:c>
      <x:c r="C1590" s="17" t="str">
        <x:v>Missouri State University-Springfield</x:v>
      </x:c>
      <x:c r="D1590" s="17" t="str">
        <x:v>us:ipeds:179566:program:unclear:ipeds-discovery-signal-information-technology-cip-11-0103</x:v>
      </x:c>
      <x:c r="E1590" s="17" t="str"/>
      <x:c r="F1590" s="17" t="str">
        <x:v>discovery</x:v>
      </x:c>
      <x:c r="G1590" s="17" t="str">
        <x:v>Stage 2 recorded this row as a discovery candidate; it does not independently verify an exact current research program, eligibility, or funding.</x:v>
      </x:c>
      <x:c r="H1590" s="17" t="str">
        <x:v>Pass 2 Stage 2 candidate funnel</x:v>
      </x:c>
      <x:c r="I1590" s="17" t="str">
        <x:v>Graduate audit pipeline</x:v>
      </x:c>
      <x:c r="J1590" s="17" t="str">
        <x:v>derived</x:v>
      </x:c>
      <x:c r="K1590" s="17" t="str">
        <x:v>2026-09-11</x:v>
      </x:c>
      <x:c r="L1590" s="17" t="str">
        <x:v>Not cycle-specific</x:v>
      </x:c>
      <x:c r="M1590" s="17" t="str">
        <x:v>low</x:v>
      </x:c>
      <x:c r="N1590" s="17" t="str">
        <x:v>Discovery evidence only</x:v>
      </x:c>
      <x:c r="O1590" s="17" t="str">
        <x:v>Use the source_record_paths field to trace the underlying discovery inputs.</x:v>
      </x:c>
      <x:c r="P1590" s="18" t="e">
        <x:f>HYPERLINK("https://www.missouristate.edu","Open source")</x:f>
        <x:v>HYPERLINK is not implemented. linkLocation=https://www.missouristate.edu, friendlyName=Open source</x:v>
      </x:c>
    </x:row>
    <x:row r="1591" ht="46" customHeight="1">
      <x:c r="A1591" s="17" t="str">
        <x:v>stage3src:1216268966cb16dd5f87</x:v>
      </x:c>
      <x:c r="B1591" s="17" t="str">
        <x:v>program</x:v>
      </x:c>
      <x:c r="C1591" s="17" t="str">
        <x:v>Washington University in St Louis</x:v>
      </x:c>
      <x:c r="D1591" s="17" t="str">
        <x:v>us:ipeds:179867:program:phd:computer-science-phd</x:v>
      </x:c>
      <x:c r="E1591" s="17" t="str"/>
      <x:c r="F1591" s="17" t="str">
        <x:v>funding|program</x:v>
      </x:c>
      <x:c r="G1591" s="17" t="str">
        <x:v>Active CS PhD and full tuition/health doctoral funding</x:v>
      </x:c>
      <x:c r="H1591" s="17" t="str">
        <x:v>Graduate Admissions</x:v>
      </x:c>
      <x:c r="I1591" s="17" t="str">
        <x:v>Washington University in St Louis</x:v>
      </x:c>
      <x:c r="J1591" s="17" t="str">
        <x:v>Official</x:v>
      </x:c>
      <x:c r="K1591" s="17" t="str">
        <x:v>2026-09-09</x:v>
      </x:c>
      <x:c r="L1591" s="17" t="str">
        <x:v>Current</x:v>
      </x:c>
      <x:c r="M1591" s="17" t="str">
        <x:v>High</x:v>
      </x:c>
      <x:c r="N1591" s="17" t="str">
        <x:v>Verified</x:v>
      </x:c>
      <x:c r="O1591" s="17" t="str"/>
      <x:c r="P1591" s="18" t="e">
        <x:f>HYPERLINK("https://admin.aprc.wustl.edu/academics/graduate-admissions/index.html","Open source")</x:f>
        <x:v>HYPERLINK is not implemented. linkLocation=https://admin.aprc.wustl.edu/academics/graduate-admissions/index.html, friendlyName=Open source</x:v>
      </x:c>
    </x:row>
    <x:row r="1592" ht="46" customHeight="1">
      <x:c r="A1592" s="17" t="str">
        <x:v>stage3src:5636251ab9471b4d4092</x:v>
      </x:c>
      <x:c r="B1592" s="17" t="str">
        <x:v>program</x:v>
      </x:c>
      <x:c r="C1592" s="17" t="str">
        <x:v>Washington University in St Louis</x:v>
      </x:c>
      <x:c r="D1592" s="17" t="str">
        <x:v>us:ipeds:179867:program:phd:computer-science-phd</x:v>
      </x:c>
      <x:c r="E1592" s="17" t="str"/>
      <x:c r="F1592" s="17" t="str">
        <x:v>fees</x:v>
      </x:c>
      <x:c r="G1592" s="17" t="str">
        <x:v>Fall 2027 CSE information session and automatic fee waiver for indicated graduate interest</x:v>
      </x:c>
      <x:c r="H1592" s="17" t="str">
        <x:v>CSE PhD Virtual Information Session</x:v>
      </x:c>
      <x:c r="I1592" s="17" t="str">
        <x:v>Washington University in St Louis</x:v>
      </x:c>
      <x:c r="J1592" s="17" t="str">
        <x:v>Official</x:v>
      </x:c>
      <x:c r="K1592" s="17" t="str">
        <x:v>2026-09-09</x:v>
      </x:c>
      <x:c r="L1592" s="17" t="str">
        <x:v>Fall 2027</x:v>
      </x:c>
      <x:c r="M1592" s="17" t="str">
        <x:v>High</x:v>
      </x:c>
      <x:c r="N1592" s="17" t="str">
        <x:v>Verified</x:v>
      </x:c>
      <x:c r="O1592" s="17" t="str"/>
      <x:c r="P1592" s="18" t="e">
        <x:f>HYPERLINK("https://gradadmit.wustl.edu/register/?id=a12c466a-dd5c-4938-9b45-b852d6de86b4","Open source")</x:f>
        <x:v>HYPERLINK is not implemented. linkLocation=https://gradadmit.wustl.edu/register/?id=a12c466a-dd5c-4938-9b45-b852d6de86b4, friendlyName=Open source</x:v>
      </x:c>
    </x:row>
    <x:row r="1593" ht="46" customHeight="1">
      <x:c r="A1593" s="17" t="str">
        <x:v>stage3src:98e07953cd3078105123</x:v>
      </x:c>
      <x:c r="B1593" s="17" t="str">
        <x:v>program</x:v>
      </x:c>
      <x:c r="C1593" s="17" t="str">
        <x:v>Washington University in St Louis</x:v>
      </x:c>
      <x:c r="D1593" s="17" t="str">
        <x:v>us:ipeds:179867:program:phd:computer-science-phd</x:v>
      </x:c>
      <x:c r="E1593" s="17" t="str"/>
      <x:c r="F1593" s="17" t="str">
        <x:v>deadline|program</x:v>
      </x:c>
      <x:c r="G1593" s="17" t="str">
        <x:v>Current December 1 fall PhD deadline</x:v>
      </x:c>
      <x:c r="H1593" s="17" t="str">
        <x:v>Application Deadlines</x:v>
      </x:c>
      <x:c r="I1593" s="17" t="str">
        <x:v>Washington University in St Louis</x:v>
      </x:c>
      <x:c r="J1593" s="17" t="str">
        <x:v>Official</x:v>
      </x:c>
      <x:c r="K1593" s="17" t="str">
        <x:v>2026-09-09</x:v>
      </x:c>
      <x:c r="L1593" s="17" t="str">
        <x:v>Current; cycle not labeled</x:v>
      </x:c>
      <x:c r="M1593" s="17" t="str">
        <x:v>High</x:v>
      </x:c>
      <x:c r="N1593" s="17" t="str">
        <x:v>Verified</x:v>
      </x:c>
      <x:c r="O1593" s="17" t="str"/>
      <x:c r="P1593" s="18" t="e">
        <x:f>HYPERLINK("https://admin.aprc.wustl.edu/academics/graduate-admissions/deadlines.html","Open source")</x:f>
        <x:v>HYPERLINK is not implemented. linkLocation=https://admin.aprc.wustl.edu/academics/graduate-admissions/deadlines.html, friendlyName=Open source</x:v>
      </x:c>
    </x:row>
    <x:row r="1594" ht="46" customHeight="1">
      <x:c r="A1594" s="17" t="str">
        <x:v>stage3src:dde572cab7b299d156fc</x:v>
      </x:c>
      <x:c r="B1594" s="17" t="str">
        <x:v>program</x:v>
      </x:c>
      <x:c r="C1594" s="17" t="str">
        <x:v>Washington University in St Louis</x:v>
      </x:c>
      <x:c r="D1594" s="17" t="str">
        <x:v>us:ipeds:179867:program:unclear:ipeds-discovery-signal-computer-and-information-systems-security-auditing-information-assurance-cip-11-1003</x:v>
      </x:c>
      <x:c r="E1594" s="17" t="str"/>
      <x:c r="F1594" s="17" t="str">
        <x:v>discovery</x:v>
      </x:c>
      <x:c r="G1594" s="17" t="str">
        <x:v>Stage 2 recorded this row as a discovery candidate; it does not independently verify an exact current research program, eligibility, or funding.</x:v>
      </x:c>
      <x:c r="H1594" s="17" t="str">
        <x:v>Pass 2 Stage 2 candidate funnel</x:v>
      </x:c>
      <x:c r="I1594" s="17" t="str">
        <x:v>Graduate audit pipeline</x:v>
      </x:c>
      <x:c r="J1594" s="17" t="str">
        <x:v>derived</x:v>
      </x:c>
      <x:c r="K1594" s="17" t="str">
        <x:v>2026-09-11</x:v>
      </x:c>
      <x:c r="L1594" s="17" t="str">
        <x:v>Not cycle-specific</x:v>
      </x:c>
      <x:c r="M1594" s="17" t="str">
        <x:v>low</x:v>
      </x:c>
      <x:c r="N1594" s="17" t="str">
        <x:v>Discovery evidence only</x:v>
      </x:c>
      <x:c r="O1594" s="17" t="str">
        <x:v>Use the source_record_paths field to trace the underlying discovery inputs.</x:v>
      </x:c>
      <x:c r="P1594" s="18" t="e">
        <x:f>HYPERLINK("https://washu.edu","Open source")</x:f>
        <x:v>HYPERLINK is not implemented. linkLocation=https://washu.edu, friendlyName=Open source</x:v>
      </x:c>
    </x:row>
    <x:row r="1595" ht="46" customHeight="1">
      <x:c r="A1595" s="17" t="str">
        <x:v>stage3src:6d971e688a441e7a992e</x:v>
      </x:c>
      <x:c r="B1595" s="17" t="str">
        <x:v>program</x:v>
      </x:c>
      <x:c r="C1595" s="17" t="str">
        <x:v>Washington University in St Louis</x:v>
      </x:c>
      <x:c r="D1595" s="17" t="str">
        <x:v>us:ipeds:179867:program:unclear:ipeds-discovery-signal-computer-engineering-general-cip-14-0901</x:v>
      </x:c>
      <x:c r="E1595" s="17" t="str"/>
      <x:c r="F1595" s="17" t="str">
        <x:v>discovery</x:v>
      </x:c>
      <x:c r="G1595" s="17" t="str">
        <x:v>Stage 2 recorded this row as a discovery candidate; it does not independently verify an exact current research program, eligibility, or funding.</x:v>
      </x:c>
      <x:c r="H1595" s="17" t="str">
        <x:v>Pass 2 Stage 2 candidate funnel</x:v>
      </x:c>
      <x:c r="I1595" s="17" t="str">
        <x:v>Graduate audit pipeline</x:v>
      </x:c>
      <x:c r="J1595" s="17" t="str">
        <x:v>derived</x:v>
      </x:c>
      <x:c r="K1595" s="17" t="str">
        <x:v>2026-09-11</x:v>
      </x:c>
      <x:c r="L1595" s="17" t="str">
        <x:v>Not cycle-specific</x:v>
      </x:c>
      <x:c r="M1595" s="17" t="str">
        <x:v>low</x:v>
      </x:c>
      <x:c r="N1595" s="17" t="str">
        <x:v>Discovery evidence only</x:v>
      </x:c>
      <x:c r="O1595" s="17" t="str">
        <x:v>Use the source_record_paths field to trace the underlying discovery inputs.</x:v>
      </x:c>
      <x:c r="P1595" s="18" t="e">
        <x:f>HYPERLINK("https://washu.edu","Open source")</x:f>
        <x:v>HYPERLINK is not implemented. linkLocation=https://washu.edu, friendlyName=Open source</x:v>
      </x:c>
    </x:row>
    <x:row r="1596" ht="46" customHeight="1">
      <x:c r="A1596" s="17" t="str">
        <x:v>stage3src:1fdab9cdf50847a9c3a1</x:v>
      </x:c>
      <x:c r="B1596" s="17" t="str">
        <x:v>program</x:v>
      </x:c>
      <x:c r="C1596" s="17" t="str">
        <x:v>Washington University in St Louis</x:v>
      </x:c>
      <x:c r="D1596" s="17" t="str">
        <x:v>us:ipeds:179867:program:unclear:ipeds-discovery-signal-computer-science-cip-11-0701</x:v>
      </x:c>
      <x:c r="E1596" s="17" t="str"/>
      <x:c r="F1596" s="17" t="str">
        <x:v>discovery</x:v>
      </x:c>
      <x:c r="G1596" s="17" t="str">
        <x:v>Stage 2 recorded this row as a discovery candidate; it does not independently verify an exact current research program, eligibility, or funding.</x:v>
      </x:c>
      <x:c r="H1596" s="17" t="str">
        <x:v>Pass 2 Stage 2 candidate funnel</x:v>
      </x:c>
      <x:c r="I1596" s="17" t="str">
        <x:v>Graduate audit pipeline</x:v>
      </x:c>
      <x:c r="J1596" s="17" t="str">
        <x:v>derived</x:v>
      </x:c>
      <x:c r="K1596" s="17" t="str">
        <x:v>2026-09-11</x:v>
      </x:c>
      <x:c r="L1596" s="17" t="str">
        <x:v>Not cycle-specific</x:v>
      </x:c>
      <x:c r="M1596" s="17" t="str">
        <x:v>low</x:v>
      </x:c>
      <x:c r="N1596" s="17" t="str">
        <x:v>Discovery evidence only</x:v>
      </x:c>
      <x:c r="O1596" s="17" t="str">
        <x:v>Use the source_record_paths field to trace the underlying discovery inputs.</x:v>
      </x:c>
      <x:c r="P1596" s="18" t="e">
        <x:f>HYPERLINK("https://washu.edu","Open source")</x:f>
        <x:v>HYPERLINK is not implemented. linkLocation=https://washu.edu, friendlyName=Open source</x:v>
      </x:c>
    </x:row>
    <x:row r="1597" ht="46" customHeight="1">
      <x:c r="A1597" s="17" t="str">
        <x:v>stage3src:5fb24153da177863dfba</x:v>
      </x:c>
      <x:c r="B1597" s="17" t="str">
        <x:v>program</x:v>
      </x:c>
      <x:c r="C1597" s="17" t="str">
        <x:v>Washington University in St Louis</x:v>
      </x:c>
      <x:c r="D1597" s="17" t="str">
        <x:v>us:ipeds:179867:program:unclear:ipeds-discovery-signal-electrical-and-electronics-engineering-cip-14-1001</x:v>
      </x:c>
      <x:c r="E1597" s="17" t="str"/>
      <x:c r="F1597" s="17" t="str">
        <x:v>discovery</x:v>
      </x:c>
      <x:c r="G1597" s="17" t="str">
        <x:v>Stage 2 recorded this row as a discovery candidate; it does not independently verify an exact current research program, eligibility, or funding.</x:v>
      </x:c>
      <x:c r="H1597" s="17" t="str">
        <x:v>Pass 2 Stage 2 candidate funnel</x:v>
      </x:c>
      <x:c r="I1597" s="17" t="str">
        <x:v>Graduate audit pipeline</x:v>
      </x:c>
      <x:c r="J1597" s="17" t="str">
        <x:v>derived</x:v>
      </x:c>
      <x:c r="K1597" s="17" t="str">
        <x:v>2026-09-11</x:v>
      </x:c>
      <x:c r="L1597" s="17" t="str">
        <x:v>Not cycle-specific</x:v>
      </x:c>
      <x:c r="M1597" s="17" t="str">
        <x:v>low</x:v>
      </x:c>
      <x:c r="N1597" s="17" t="str">
        <x:v>Discovery evidence only</x:v>
      </x:c>
      <x:c r="O1597" s="17" t="str">
        <x:v>Use the source_record_paths field to trace the underlying discovery inputs.</x:v>
      </x:c>
      <x:c r="P1597" s="18" t="e">
        <x:f>HYPERLINK("https://washu.edu","Open source")</x:f>
        <x:v>HYPERLINK is not implemented. linkLocation=https://washu.edu, friendlyName=Open source</x:v>
      </x:c>
    </x:row>
    <x:row r="1598" ht="46" customHeight="1">
      <x:c r="A1598" s="17" t="str">
        <x:v>stage3src:b4d1daf353525a895d81</x:v>
      </x:c>
      <x:c r="B1598" s="17" t="str">
        <x:v>program</x:v>
      </x:c>
      <x:c r="C1598" s="17" t="str">
        <x:v>Webster University</x:v>
      </x:c>
      <x:c r="D1598" s="17" t="str">
        <x:v>us:ipeds:179894:program:unclear:ipeds-discovery-signal-mechatronics-robotics-and-automation-engineering-cip-14-4201</x:v>
      </x:c>
      <x:c r="E1598" s="17" t="str"/>
      <x:c r="F1598" s="17" t="str">
        <x:v>discovery</x:v>
      </x:c>
      <x:c r="G1598" s="17" t="str">
        <x:v>Stage 2 recorded this row as a discovery candidate; it does not independently verify an exact current research program, eligibility, or funding.</x:v>
      </x:c>
      <x:c r="H1598" s="17" t="str">
        <x:v>Pass 2 Stage 2 candidate funnel</x:v>
      </x:c>
      <x:c r="I1598" s="17" t="str">
        <x:v>Graduate audit pipeline</x:v>
      </x:c>
      <x:c r="J1598" s="17" t="str">
        <x:v>derived</x:v>
      </x:c>
      <x:c r="K1598" s="17" t="str">
        <x:v>2026-09-11</x:v>
      </x:c>
      <x:c r="L1598" s="17" t="str">
        <x:v>Not cycle-specific</x:v>
      </x:c>
      <x:c r="M1598" s="17" t="str">
        <x:v>low</x:v>
      </x:c>
      <x:c r="N1598" s="17" t="str">
        <x:v>Discovery evidence only</x:v>
      </x:c>
      <x:c r="O1598" s="17" t="str">
        <x:v>Use the source_record_paths field to trace the underlying discovery inputs.</x:v>
      </x:c>
      <x:c r="P1598" s="18" t="e">
        <x:f>HYPERLINK("https://www.webster.edu","Open source")</x:f>
        <x:v>HYPERLINK is not implemented. linkLocation=https://www.webster.edu, friendlyName=Open source</x:v>
      </x:c>
    </x:row>
    <x:row r="1599" ht="46" customHeight="1">
      <x:c r="A1599" s="17" t="str">
        <x:v>stage3src:bf28ab2e2342b9dc6e99</x:v>
      </x:c>
      <x:c r="B1599" s="17" t="str">
        <x:v>program</x:v>
      </x:c>
      <x:c r="C1599" s="17" t="str">
        <x:v>Montana Technological University</x:v>
      </x:c>
      <x:c r="D1599" s="17" t="str">
        <x:v>us:ipeds:180416:program:unclear:ipeds-discovery-signal-electrical-and-electronics-engineering-cip-14-1001</x:v>
      </x:c>
      <x:c r="E1599" s="17" t="str"/>
      <x:c r="F1599" s="17" t="str">
        <x:v>discovery</x:v>
      </x:c>
      <x:c r="G1599" s="17" t="str">
        <x:v>Stage 2 recorded this row as a discovery candidate; it does not independently verify an exact current research program, eligibility, or funding.</x:v>
      </x:c>
      <x:c r="H1599" s="17" t="str">
        <x:v>Pass 2 Stage 2 candidate funnel</x:v>
      </x:c>
      <x:c r="I1599" s="17" t="str">
        <x:v>Graduate audit pipeline</x:v>
      </x:c>
      <x:c r="J1599" s="17" t="str">
        <x:v>derived</x:v>
      </x:c>
      <x:c r="K1599" s="17" t="str">
        <x:v>2026-09-11</x:v>
      </x:c>
      <x:c r="L1599" s="17" t="str">
        <x:v>Not cycle-specific</x:v>
      </x:c>
      <x:c r="M1599" s="17" t="str">
        <x:v>low</x:v>
      </x:c>
      <x:c r="N1599" s="17" t="str">
        <x:v>Discovery evidence only</x:v>
      </x:c>
      <x:c r="O1599" s="17" t="str">
        <x:v>Use the source_record_paths field to trace the underlying discovery inputs.</x:v>
      </x:c>
      <x:c r="P1599" s="18" t="e">
        <x:f>HYPERLINK("https://www.mtech.edu","Open source")</x:f>
        <x:v>HYPERLINK is not implemented. linkLocation=https://www.mtech.edu, friendlyName=Open source</x:v>
      </x:c>
    </x:row>
    <x:row r="1600" ht="46" customHeight="1">
      <x:c r="A1600" s="17" t="str">
        <x:v>stage3src:35f7fe65ba7d266af4b0</x:v>
      </x:c>
      <x:c r="B1600" s="17" t="str">
        <x:v>program</x:v>
      </x:c>
      <x:c r="C1600" s="17" t="str">
        <x:v>Montana State University</x:v>
      </x:c>
      <x:c r="D1600" s="17" t="str">
        <x:v>us:ipeds:180461:program:phd:computer-science-phd</x:v>
      </x:c>
      <x:c r="E1600" s="17" t="str"/>
      <x:c r="F1600" s="17" t="str">
        <x:v>admissions|eligibility|language|funding|tuition</x:v>
      </x:c>
      <x:c r="G1600" s="17" t="str">
        <x:v>Bachelor's entry, recent-coursework GPA, English thresholds, faculty endorsement, and draft-labeled universal funding claims.</x:v>
      </x:c>
      <x:c r="H1600" s="17" t="str">
        <x:v>[DRAFT] Graduate Degree Admission Requirements</x:v>
      </x:c>
      <x:c r="I1600" s="17" t="str">
        <x:v>Montana State University Gianforte School of Computing</x:v>
      </x:c>
      <x:c r="J1600" s="17" t="str">
        <x:v>official</x:v>
      </x:c>
      <x:c r="K1600" s="17" t="str">
        <x:v>2026-09-11</x:v>
      </x:c>
      <x:c r="L1600" s="17" t="str">
        <x:v>Current draft page checked 2026-09-11</x:v>
      </x:c>
      <x:c r="M1600" s="17" t="str">
        <x:v>medium</x:v>
      </x:c>
      <x:c r="N1600" s="17" t="str">
        <x:v>official page checked</x:v>
      </x:c>
      <x:c r="O1600" s="17" t="str">
        <x:v>The official page title explicitly labels the content draft; funding claims require offer-level confirmation.</x:v>
      </x:c>
      <x:c r="P1600" s="18" t="e">
        <x:f>HYPERLINK("https://www.cs.montana.edu/graduate-admissions.html","Open source")</x:f>
        <x:v>HYPERLINK is not implemented. linkLocation=https://www.cs.montana.edu/graduate-admissions.html, friendlyName=Open source</x:v>
      </x:c>
    </x:row>
    <x:row r="1601" ht="46" customHeight="1">
      <x:c r="A1601" s="17" t="str">
        <x:v>stage3src:53ccb1358317214cca8e</x:v>
      </x:c>
      <x:c r="B1601" s="17" t="str">
        <x:v>program</x:v>
      </x:c>
      <x:c r="C1601" s="17" t="str">
        <x:v>Montana State University</x:v>
      </x:c>
      <x:c r="D1601" s="17" t="str">
        <x:v>us:ipeds:180461:program:phd:computer-science-phd</x:v>
      </x:c>
      <x:c r="E1601" s="17" t="str"/>
      <x:c r="F1601" s="17" t="str">
        <x:v>program|deadline|funding</x:v>
      </x:c>
      <x:c r="G1601" s="17" t="str">
        <x:v>Current fall priority and final deadlines plus qualified graduate funding description.</x:v>
      </x:c>
      <x:c r="H1601" s="17" t="str">
        <x:v>Graduate Program</x:v>
      </x:c>
      <x:c r="I1601" s="17" t="str">
        <x:v>Montana State University Gianforte School of Computing</x:v>
      </x:c>
      <x:c r="J1601" s="17" t="str">
        <x:v>official</x:v>
      </x:c>
      <x:c r="K1601" s="17" t="str">
        <x:v>2026-09-11</x:v>
      </x:c>
      <x:c r="L1601" s="17" t="str">
        <x:v>Current page checked 2026-09-11</x:v>
      </x:c>
      <x:c r="M1601" s="17" t="str">
        <x:v>high</x:v>
      </x:c>
      <x:c r="N1601" s="17" t="str">
        <x:v>official page checked</x:v>
      </x:c>
      <x:c r="O1601" s="17" t="str"/>
      <x:c r="P1601" s="18" t="e">
        <x:f>HYPERLINK("https://www.cs.montana.edu/grad/","Open source")</x:f>
        <x:v>HYPERLINK is not implemented. linkLocation=https://www.cs.montana.edu/grad/, friendlyName=Open source</x:v>
      </x:c>
    </x:row>
    <x:row r="1602" ht="46" customHeight="1">
      <x:c r="A1602" s="17" t="str">
        <x:v>stage3src:7a5a1c8b77a3b1f107b3</x:v>
      </x:c>
      <x:c r="B1602" s="17" t="str">
        <x:v>program</x:v>
      </x:c>
      <x:c r="C1602" s="17" t="str">
        <x:v>Montana State University</x:v>
      </x:c>
      <x:c r="D1602" s="17" t="str">
        <x:v>us:ipeds:180461:program:phd:computer-science-phd</x:v>
      </x:c>
      <x:c r="E1602" s="17" t="str"/>
      <x:c r="F1602" s="17" t="str">
        <x:v>program|research</x:v>
      </x:c>
      <x:c r="G1602" s="17" t="str">
        <x:v>Current Computer Science PhD and dissertation-based degree structure.</x:v>
      </x:c>
      <x:c r="H1602" s="17" t="str">
        <x:v>PhD Degree</x:v>
      </x:c>
      <x:c r="I1602" s="17" t="str">
        <x:v>Montana State University Gianforte School of Computing</x:v>
      </x:c>
      <x:c r="J1602" s="17" t="str">
        <x:v>official</x:v>
      </x:c>
      <x:c r="K1602" s="17" t="str">
        <x:v>2026-09-11</x:v>
      </x:c>
      <x:c r="L1602" s="17" t="str">
        <x:v>Current page checked 2026-09-11</x:v>
      </x:c>
      <x:c r="M1602" s="17" t="str">
        <x:v>high</x:v>
      </x:c>
      <x:c r="N1602" s="17" t="str">
        <x:v>official page checked</x:v>
      </x:c>
      <x:c r="O1602" s="17" t="str"/>
      <x:c r="P1602" s="18" t="e">
        <x:f>HYPERLINK("https://www.cs.montana.edu/phd-degree.html","Open source")</x:f>
        <x:v>HYPERLINK is not implemented. linkLocation=https://www.cs.montana.edu/phd-degree.html, friendlyName=Open source</x:v>
      </x:c>
    </x:row>
    <x:row r="1603" ht="46" customHeight="1">
      <x:c r="A1603" s="17" t="str">
        <x:v>stage3src:455e535312ea98352895</x:v>
      </x:c>
      <x:c r="B1603" s="17" t="str">
        <x:v>program</x:v>
      </x:c>
      <x:c r="C1603" s="17" t="str">
        <x:v>Montana State University</x:v>
      </x:c>
      <x:c r="D1603" s="17" t="str">
        <x:v>us:ipeds:180461:program:unclear:ipeds-discovery-signal-computer-science-cip-11-0701</x:v>
      </x:c>
      <x:c r="E1603" s="17" t="str"/>
      <x:c r="F1603" s="17" t="str">
        <x:v>discovery</x:v>
      </x:c>
      <x:c r="G1603" s="17" t="str">
        <x:v>Stage 2 recorded this row as a discovery candidate; it does not independently verify an exact current research program, eligibility, or funding.</x:v>
      </x:c>
      <x:c r="H1603" s="17" t="str">
        <x:v>Pass 2 Stage 2 candidate funnel</x:v>
      </x:c>
      <x:c r="I1603" s="17" t="str">
        <x:v>Graduate audit pipeline</x:v>
      </x:c>
      <x:c r="J1603" s="17" t="str">
        <x:v>derived</x:v>
      </x:c>
      <x:c r="K1603" s="17" t="str">
        <x:v>2026-09-11</x:v>
      </x:c>
      <x:c r="L1603" s="17" t="str">
        <x:v>Not cycle-specific</x:v>
      </x:c>
      <x:c r="M1603" s="17" t="str">
        <x:v>low</x:v>
      </x:c>
      <x:c r="N1603" s="17" t="str">
        <x:v>Discovery evidence only</x:v>
      </x:c>
      <x:c r="O1603" s="17" t="str">
        <x:v>Use the source_record_paths field to trace the underlying discovery inputs.</x:v>
      </x:c>
      <x:c r="P1603" s="18" t="e">
        <x:f>HYPERLINK("https://www.montana.edu","Open source")</x:f>
        <x:v>HYPERLINK is not implemented. linkLocation=https://www.montana.edu, friendlyName=Open source</x:v>
      </x:c>
    </x:row>
    <x:row r="1604" ht="46" customHeight="1">
      <x:c r="A1604" s="17" t="str">
        <x:v>stage3src:35cbd9e58031e2ca243e</x:v>
      </x:c>
      <x:c r="B1604" s="17" t="str">
        <x:v>program</x:v>
      </x:c>
      <x:c r="C1604" s="17" t="str">
        <x:v>Montana State University</x:v>
      </x:c>
      <x:c r="D1604" s="17" t="str">
        <x:v>us:ipeds:180461:program:unclear:ipeds-discovery-signal-electrical-and-electronics-engineering-cip-14-1001</x:v>
      </x:c>
      <x:c r="E1604" s="17" t="str"/>
      <x:c r="F1604" s="17" t="str">
        <x:v>discovery</x:v>
      </x:c>
      <x:c r="G1604" s="17" t="str">
        <x:v>Stage 2 recorded this row as a discovery candidate; it does not independently verify an exact current research program, eligibility, or funding.</x:v>
      </x:c>
      <x:c r="H1604" s="17" t="str">
        <x:v>Pass 2 Stage 2 candidate funnel</x:v>
      </x:c>
      <x:c r="I1604" s="17" t="str">
        <x:v>Graduate audit pipeline</x:v>
      </x:c>
      <x:c r="J1604" s="17" t="str">
        <x:v>derived</x:v>
      </x:c>
      <x:c r="K1604" s="17" t="str">
        <x:v>2026-09-11</x:v>
      </x:c>
      <x:c r="L1604" s="17" t="str">
        <x:v>Not cycle-specific</x:v>
      </x:c>
      <x:c r="M1604" s="17" t="str">
        <x:v>low</x:v>
      </x:c>
      <x:c r="N1604" s="17" t="str">
        <x:v>Discovery evidence only</x:v>
      </x:c>
      <x:c r="O1604" s="17" t="str">
        <x:v>Use the source_record_paths field to trace the underlying discovery inputs.</x:v>
      </x:c>
      <x:c r="P1604" s="18" t="e">
        <x:f>HYPERLINK("https://www.montana.edu","Open source")</x:f>
        <x:v>HYPERLINK is not implemented. linkLocation=https://www.montana.edu, friendlyName=Open source</x:v>
      </x:c>
    </x:row>
    <x:row r="1605" ht="46" customHeight="1">
      <x:c r="A1605" s="17" t="str">
        <x:v>stage3src:b4b2c891af94604f356b</x:v>
      </x:c>
      <x:c r="B1605" s="17" t="str">
        <x:v>program</x:v>
      </x:c>
      <x:c r="C1605" s="17" t="str">
        <x:v>The University of Montana</x:v>
      </x:c>
      <x:c r="D1605" s="17" t="str">
        <x:v>us:ipeds:180489:program:unclear:ipeds-discovery-signal-computer-science-cip-11-0701</x:v>
      </x:c>
      <x:c r="E1605" s="17" t="str"/>
      <x:c r="F1605" s="17" t="str">
        <x:v>discovery</x:v>
      </x:c>
      <x:c r="G1605" s="17" t="str">
        <x:v>Stage 2 recorded this row as a discovery candidate; it does not independently verify an exact current research program, eligibility, or funding.</x:v>
      </x:c>
      <x:c r="H1605" s="17" t="str">
        <x:v>Pass 2 Stage 2 candidate funnel</x:v>
      </x:c>
      <x:c r="I1605" s="17" t="str">
        <x:v>Graduate audit pipeline</x:v>
      </x:c>
      <x:c r="J1605" s="17" t="str">
        <x:v>derived</x:v>
      </x:c>
      <x:c r="K1605" s="17" t="str">
        <x:v>2026-09-11</x:v>
      </x:c>
      <x:c r="L1605" s="17" t="str">
        <x:v>Not cycle-specific</x:v>
      </x:c>
      <x:c r="M1605" s="17" t="str">
        <x:v>low</x:v>
      </x:c>
      <x:c r="N1605" s="17" t="str">
        <x:v>Discovery evidence only</x:v>
      </x:c>
      <x:c r="O1605" s="17" t="str">
        <x:v>Use the source_record_paths field to trace the underlying discovery inputs.</x:v>
      </x:c>
      <x:c r="P1605" s="18" t="e">
        <x:f>HYPERLINK("https://www.umt.edu","Open source")</x:f>
        <x:v>HYPERLINK is not implemented. linkLocation=https://www.umt.edu, friendlyName=Open source</x:v>
      </x:c>
    </x:row>
    <x:row r="1606" ht="46" customHeight="1">
      <x:c r="A1606" s="17" t="str">
        <x:v>stage3src:b2ef8c92138365be53ab</x:v>
      </x:c>
      <x:c r="B1606" s="17" t="str">
        <x:v>program</x:v>
      </x:c>
      <x:c r="C1606" s="17" t="str">
        <x:v>Bellevue University</x:v>
      </x:c>
      <x:c r="D1606" s="17" t="str">
        <x:v>us:ipeds:180814:program:unclear:ipeds-discovery-signal-computer-and-information-sciences-general-cip-11-0101</x:v>
      </x:c>
      <x:c r="E1606" s="17" t="str"/>
      <x:c r="F1606" s="17" t="str">
        <x:v>discovery</x:v>
      </x:c>
      <x:c r="G1606" s="17" t="str">
        <x:v>Stage 2 recorded this row as a discovery candidate; it does not independently verify an exact current research program, eligibility, or funding.</x:v>
      </x:c>
      <x:c r="H1606" s="17" t="str">
        <x:v>Pass 2 Stage 2 candidate funnel</x:v>
      </x:c>
      <x:c r="I1606" s="17" t="str">
        <x:v>Graduate audit pipeline</x:v>
      </x:c>
      <x:c r="J1606" s="17" t="str">
        <x:v>derived</x:v>
      </x:c>
      <x:c r="K1606" s="17" t="str">
        <x:v>2026-09-11</x:v>
      </x:c>
      <x:c r="L1606" s="17" t="str">
        <x:v>Not cycle-specific</x:v>
      </x:c>
      <x:c r="M1606" s="17" t="str">
        <x:v>low</x:v>
      </x:c>
      <x:c r="N1606" s="17" t="str">
        <x:v>Discovery evidence only</x:v>
      </x:c>
      <x:c r="O1606" s="17" t="str">
        <x:v>Use the source_record_paths field to trace the underlying discovery inputs.</x:v>
      </x:c>
      <x:c r="P1606" s="18" t="e">
        <x:f>HYPERLINK("https://www.bellevue.edu","Open source")</x:f>
        <x:v>HYPERLINK is not implemented. linkLocation=https://www.bellevue.edu, friendlyName=Open source</x:v>
      </x:c>
    </x:row>
    <x:row r="1607" ht="46" customHeight="1">
      <x:c r="A1607" s="17" t="str">
        <x:v>stage3src:b84d7679b0832fb96599</x:v>
      </x:c>
      <x:c r="B1607" s="17" t="str">
        <x:v>program</x:v>
      </x:c>
      <x:c r="C1607" s="17" t="str">
        <x:v>Bellevue University</x:v>
      </x:c>
      <x:c r="D1607" s="17" t="str">
        <x:v>us:ipeds:180814:program:unclear:ipeds-discovery-signal-computer-and-information-systems-security-auditing-information-assurance-cip-11-1003</x:v>
      </x:c>
      <x:c r="E1607" s="17" t="str"/>
      <x:c r="F1607" s="17" t="str">
        <x:v>discovery</x:v>
      </x:c>
      <x:c r="G1607" s="17" t="str">
        <x:v>Stage 2 recorded this row as a discovery candidate; it does not independently verify an exact current research program, eligibility, or funding.</x:v>
      </x:c>
      <x:c r="H1607" s="17" t="str">
        <x:v>Pass 2 Stage 2 candidate funnel</x:v>
      </x:c>
      <x:c r="I1607" s="17" t="str">
        <x:v>Graduate audit pipeline</x:v>
      </x:c>
      <x:c r="J1607" s="17" t="str">
        <x:v>derived</x:v>
      </x:c>
      <x:c r="K1607" s="17" t="str">
        <x:v>2026-09-11</x:v>
      </x:c>
      <x:c r="L1607" s="17" t="str">
        <x:v>Not cycle-specific</x:v>
      </x:c>
      <x:c r="M1607" s="17" t="str">
        <x:v>low</x:v>
      </x:c>
      <x:c r="N1607" s="17" t="str">
        <x:v>Discovery evidence only</x:v>
      </x:c>
      <x:c r="O1607" s="17" t="str">
        <x:v>Use the source_record_paths field to trace the underlying discovery inputs.</x:v>
      </x:c>
      <x:c r="P1607" s="18" t="e">
        <x:f>HYPERLINK("https://www.bellevue.edu","Open source")</x:f>
        <x:v>HYPERLINK is not implemented. linkLocation=https://www.bellevue.edu, friendlyName=Open source</x:v>
      </x:c>
    </x:row>
    <x:row r="1608" ht="46" customHeight="1">
      <x:c r="A1608" s="17" t="str">
        <x:v>stage3src:e38261557b7a718d903c</x:v>
      </x:c>
      <x:c r="B1608" s="17" t="str">
        <x:v>program</x:v>
      </x:c>
      <x:c r="C1608" s="17" t="str">
        <x:v>Bellevue University</x:v>
      </x:c>
      <x:c r="D1608" s="17" t="str">
        <x:v>us:ipeds:180814:program:unclear:ipeds-discovery-signal-data-science-general-cip-30-7001</x:v>
      </x:c>
      <x:c r="E1608" s="17" t="str"/>
      <x:c r="F1608" s="17" t="str">
        <x:v>discovery</x:v>
      </x:c>
      <x:c r="G1608" s="17" t="str">
        <x:v>Stage 2 recorded this row as a discovery candidate; it does not independently verify an exact current research program, eligibility, or funding.</x:v>
      </x:c>
      <x:c r="H1608" s="17" t="str">
        <x:v>Pass 2 Stage 2 candidate funnel</x:v>
      </x:c>
      <x:c r="I1608" s="17" t="str">
        <x:v>Graduate audit pipeline</x:v>
      </x:c>
      <x:c r="J1608" s="17" t="str">
        <x:v>derived</x:v>
      </x:c>
      <x:c r="K1608" s="17" t="str">
        <x:v>2026-09-11</x:v>
      </x:c>
      <x:c r="L1608" s="17" t="str">
        <x:v>Not cycle-specific</x:v>
      </x:c>
      <x:c r="M1608" s="17" t="str">
        <x:v>low</x:v>
      </x:c>
      <x:c r="N1608" s="17" t="str">
        <x:v>Discovery evidence only</x:v>
      </x:c>
      <x:c r="O1608" s="17" t="str">
        <x:v>Use the source_record_paths field to trace the underlying discovery inputs.</x:v>
      </x:c>
      <x:c r="P1608" s="18" t="e">
        <x:f>HYPERLINK("https://www.bellevue.edu","Open source")</x:f>
        <x:v>HYPERLINK is not implemented. linkLocation=https://www.bellevue.edu, friendlyName=Open source</x:v>
      </x:c>
    </x:row>
    <x:row r="1609" ht="46" customHeight="1">
      <x:c r="A1609" s="17" t="str">
        <x:v>stage3src:2844aa37a289ce6dbc01</x:v>
      </x:c>
      <x:c r="B1609" s="17" t="str">
        <x:v>program</x:v>
      </x:c>
      <x:c r="C1609" s="17" t="str">
        <x:v>Bellevue University</x:v>
      </x:c>
      <x:c r="D1609" s="17" t="str">
        <x:v>us:ipeds:180814:program:unclear:ipeds-discovery-signal-information-science-studies-cip-11-0401</x:v>
      </x:c>
      <x:c r="E1609" s="17" t="str"/>
      <x:c r="F1609" s="17" t="str">
        <x:v>discovery</x:v>
      </x:c>
      <x:c r="G1609" s="17" t="str">
        <x:v>Stage 2 recorded this row as a discovery candidate; it does not independently verify an exact current research program, eligibility, or funding.</x:v>
      </x:c>
      <x:c r="H1609" s="17" t="str">
        <x:v>Pass 2 Stage 2 candidate funnel</x:v>
      </x:c>
      <x:c r="I1609" s="17" t="str">
        <x:v>Graduate audit pipeline</x:v>
      </x:c>
      <x:c r="J1609" s="17" t="str">
        <x:v>derived</x:v>
      </x:c>
      <x:c r="K1609" s="17" t="str">
        <x:v>2026-09-11</x:v>
      </x:c>
      <x:c r="L1609" s="17" t="str">
        <x:v>Not cycle-specific</x:v>
      </x:c>
      <x:c r="M1609" s="17" t="str">
        <x:v>low</x:v>
      </x:c>
      <x:c r="N1609" s="17" t="str">
        <x:v>Discovery evidence only</x:v>
      </x:c>
      <x:c r="O1609" s="17" t="str">
        <x:v>Use the source_record_paths field to trace the underlying discovery inputs.</x:v>
      </x:c>
      <x:c r="P1609" s="18" t="e">
        <x:f>HYPERLINK("https://www.bellevue.edu","Open source")</x:f>
        <x:v>HYPERLINK is not implemented. linkLocation=https://www.bellevue.edu, friendlyName=Open source</x:v>
      </x:c>
    </x:row>
    <x:row r="1610" ht="46" customHeight="1">
      <x:c r="A1610" s="17" t="str">
        <x:v>stage3src:7fa077600406f9d63789</x:v>
      </x:c>
      <x:c r="B1610" s="17" t="str">
        <x:v>program</x:v>
      </x:c>
      <x:c r="C1610" s="17" t="str">
        <x:v>Bellevue University</x:v>
      </x:c>
      <x:c r="D1610" s="17" t="str">
        <x:v>us:ipeds:180814:program:unclear:ipeds-discovery-signal-information-technology-cip-11-0103</x:v>
      </x:c>
      <x:c r="E1610" s="17" t="str"/>
      <x:c r="F1610" s="17" t="str">
        <x:v>discovery</x:v>
      </x:c>
      <x:c r="G1610" s="17" t="str">
        <x:v>Stage 2 recorded this row as a discovery candidate; it does not independently verify an exact current research program, eligibility, or funding.</x:v>
      </x:c>
      <x:c r="H1610" s="17" t="str">
        <x:v>Pass 2 Stage 2 candidate funnel</x:v>
      </x:c>
      <x:c r="I1610" s="17" t="str">
        <x:v>Graduate audit pipeline</x:v>
      </x:c>
      <x:c r="J1610" s="17" t="str">
        <x:v>derived</x:v>
      </x:c>
      <x:c r="K1610" s="17" t="str">
        <x:v>2026-09-11</x:v>
      </x:c>
      <x:c r="L1610" s="17" t="str">
        <x:v>Not cycle-specific</x:v>
      </x:c>
      <x:c r="M1610" s="17" t="str">
        <x:v>low</x:v>
      </x:c>
      <x:c r="N1610" s="17" t="str">
        <x:v>Discovery evidence only</x:v>
      </x:c>
      <x:c r="O1610" s="17" t="str">
        <x:v>Use the source_record_paths field to trace the underlying discovery inputs.</x:v>
      </x:c>
      <x:c r="P1610" s="18" t="e">
        <x:f>HYPERLINK("https://www.bellevue.edu","Open source")</x:f>
        <x:v>HYPERLINK is not implemented. linkLocation=https://www.bellevue.edu, friendlyName=Open source</x:v>
      </x:c>
    </x:row>
    <x:row r="1611" ht="46" customHeight="1">
      <x:c r="A1611" s="17" t="str">
        <x:v>stage3src:387ef6ed77c1b11f4b3a</x:v>
      </x:c>
      <x:c r="B1611" s="17" t="str">
        <x:v>program</x:v>
      </x:c>
      <x:c r="C1611" s="17" t="str">
        <x:v>University of Nebraska at Omaha</x:v>
      </x:c>
      <x:c r="D1611" s="17" t="str">
        <x:v>us:ipeds:181394:program:phd:computing-information-science-ph-d</x:v>
      </x:c>
      <x:c r="E1611" s="17" t="str"/>
      <x:c r="F1611" s="17" t="str">
        <x:v>program|research|admissions|eligibility|deadline</x:v>
      </x:c>
      <x:c r="G1611" s="17" t="str">
        <x:v>Ninety-credit structure, admissions materials, GRE language, and Fall 2027 funding and admission deadlines.</x:v>
      </x:c>
      <x:c r="H1611" s="17" t="str">
        <x:v>Computing and Information Science, PhD</x:v>
      </x:c>
      <x:c r="I1611" s="17" t="str">
        <x:v>UNO Graduate Catalog</x:v>
      </x:c>
      <x:c r="J1611" s="17" t="str">
        <x:v>official</x:v>
      </x:c>
      <x:c r="K1611" s="17" t="str">
        <x:v>2026-09-11</x:v>
      </x:c>
      <x:c r="L1611" s="17" t="str">
        <x:v>Fall 2027 dates checked 2026-09-11</x:v>
      </x:c>
      <x:c r="M1611" s="17" t="str">
        <x:v>high</x:v>
      </x:c>
      <x:c r="N1611" s="17" t="str">
        <x:v>official page checked</x:v>
      </x:c>
      <x:c r="O1611" s="17" t="str"/>
      <x:c r="P1611" s="18" t="e">
        <x:f>HYPERLINK("https://catalog.unomaha.edu/graduate/degree-programs-certificates-minors/information-technology/information-technology-phd/","Open source")</x:f>
        <x:v>HYPERLINK is not implemented. linkLocation=https://catalog.unomaha.edu/graduate/degree-programs-certificates-minors/information-technology/information-technology-phd/, friendlyName=Open source</x:v>
      </x:c>
    </x:row>
    <x:row r="1612" ht="46" customHeight="1">
      <x:c r="A1612" s="17" t="str">
        <x:v>stage3src:964cefe2af0cf8cf716f</x:v>
      </x:c>
      <x:c r="B1612" s="17" t="str">
        <x:v>program</x:v>
      </x:c>
      <x:c r="C1612" s="17" t="str">
        <x:v>University of Nebraska at Omaha</x:v>
      </x:c>
      <x:c r="D1612" s="17" t="str">
        <x:v>us:ipeds:181394:program:phd:computing-information-science-ph-d</x:v>
      </x:c>
      <x:c r="E1612" s="17" t="str"/>
      <x:c r="F1612" s="17" t="str">
        <x:v>program|research|eligibility</x:v>
      </x:c>
      <x:c r="G1612" s="17" t="str">
        <x:v>Current research-intensive Computing and Information Science PhD and computing-related bachelor's entry route.</x:v>
      </x:c>
      <x:c r="H1612" s="17" t="str">
        <x:v>Computing &amp; Information Science, Ph.D.</x:v>
      </x:c>
      <x:c r="I1612" s="17" t="str">
        <x:v>University of Nebraska at Omaha</x:v>
      </x:c>
      <x:c r="J1612" s="17" t="str">
        <x:v>official</x:v>
      </x:c>
      <x:c r="K1612" s="17" t="str">
        <x:v>2026-09-11</x:v>
      </x:c>
      <x:c r="L1612" s="17" t="str">
        <x:v>Current page checked 2026-09-11</x:v>
      </x:c>
      <x:c r="M1612" s="17" t="str">
        <x:v>high</x:v>
      </x:c>
      <x:c r="N1612" s="17" t="str">
        <x:v>official page checked</x:v>
      </x:c>
      <x:c r="O1612" s="17" t="str"/>
      <x:c r="P1612" s="18" t="e">
        <x:f>HYPERLINK("https://www.unomaha.edu/college-of-information-science-and-technology/academics/computing_and_information_science_phd.php","Open source")</x:f>
        <x:v>HYPERLINK is not implemented. linkLocation=https://www.unomaha.edu/college-of-information-science-and-technology/academics/computing_and_information_science_phd.php, friendlyName=Open source</x:v>
      </x:c>
    </x:row>
    <x:row r="1613" ht="46" customHeight="1">
      <x:c r="A1613" s="17" t="str">
        <x:v>stage3src:f4a510fbbc6d0810a825</x:v>
      </x:c>
      <x:c r="B1613" s="17" t="str">
        <x:v>program</x:v>
      </x:c>
      <x:c r="C1613" s="17" t="str">
        <x:v>University of Nebraska at Omaha</x:v>
      </x:c>
      <x:c r="D1613" s="17" t="str">
        <x:v>us:ipeds:181394:program:phd:computing-information-science-ph-d</x:v>
      </x:c>
      <x:c r="E1613" s="17" t="str"/>
      <x:c r="F1613" s="17" t="str">
        <x:v>funding|tuition|fees</x:v>
      </x:c>
      <x:c r="G1613" s="17" t="str">
        <x:v>Competitive automatic assistantship consideration, nine-credit tuition support, monthly stipend, typical fall/spring term, and renewal conditions.</x:v>
      </x:c>
      <x:c r="H1613" s="17" t="str">
        <x:v>Financial Aid</x:v>
      </x:c>
      <x:c r="I1613" s="17" t="str">
        <x:v>University of Nebraska at Omaha College of IS&amp;T</x:v>
      </x:c>
      <x:c r="J1613" s="17" t="str">
        <x:v>official</x:v>
      </x:c>
      <x:c r="K1613" s="17" t="str">
        <x:v>2026-09-11</x:v>
      </x:c>
      <x:c r="L1613" s="17" t="str">
        <x:v>Current page checked 2026-09-11</x:v>
      </x:c>
      <x:c r="M1613" s="17" t="str">
        <x:v>high</x:v>
      </x:c>
      <x:c r="N1613" s="17" t="str">
        <x:v>official page checked</x:v>
      </x:c>
      <x:c r="O1613" s="17" t="str"/>
      <x:c r="P1613" s="18" t="e">
        <x:f>HYPERLINK("https://www.unomaha.edu/college-of-information-science-and-technology/phd-it/prospective-students/financial-aid.php","Open source")</x:f>
        <x:v>HYPERLINK is not implemented. linkLocation=https://www.unomaha.edu/college-of-information-science-and-technology/phd-it/prospective-students/financial-aid.php, friendlyName=Open source</x:v>
      </x:c>
    </x:row>
    <x:row r="1614" ht="46" customHeight="1">
      <x:c r="A1614" s="17" t="str">
        <x:v>stage3src:fdc9dec6d65577582590</x:v>
      </x:c>
      <x:c r="B1614" s="17" t="str">
        <x:v>program</x:v>
      </x:c>
      <x:c r="C1614" s="17" t="str">
        <x:v>University of Nebraska at Omaha</x:v>
      </x:c>
      <x:c r="D1614" s="17" t="str">
        <x:v>us:ipeds:181394:program:unclear:ipeds-discovery-signal-computer-and-information-sciences-general-cip-11-0101</x:v>
      </x:c>
      <x:c r="E1614" s="17" t="str"/>
      <x:c r="F1614" s="17" t="str">
        <x:v>discovery</x:v>
      </x:c>
      <x:c r="G1614" s="17" t="str">
        <x:v>Stage 2 recorded this row as a discovery candidate; it does not independently verify an exact current research program, eligibility, or funding.</x:v>
      </x:c>
      <x:c r="H1614" s="17" t="str">
        <x:v>Pass 2 Stage 2 candidate funnel</x:v>
      </x:c>
      <x:c r="I1614" s="17" t="str">
        <x:v>Graduate audit pipeline</x:v>
      </x:c>
      <x:c r="J1614" s="17" t="str">
        <x:v>derived</x:v>
      </x:c>
      <x:c r="K1614" s="17" t="str">
        <x:v>2026-09-11</x:v>
      </x:c>
      <x:c r="L1614" s="17" t="str">
        <x:v>Not cycle-specific</x:v>
      </x:c>
      <x:c r="M1614" s="17" t="str">
        <x:v>low</x:v>
      </x:c>
      <x:c r="N1614" s="17" t="str">
        <x:v>Discovery evidence only</x:v>
      </x:c>
      <x:c r="O1614" s="17" t="str">
        <x:v>Use the source_record_paths field to trace the underlying discovery inputs.</x:v>
      </x:c>
      <x:c r="P1614" s="18" t="e">
        <x:f>HYPERLINK("https://www.unomaha.edu","Open source")</x:f>
        <x:v>HYPERLINK is not implemented. linkLocation=https://www.unomaha.edu, friendlyName=Open source</x:v>
      </x:c>
    </x:row>
    <x:row r="1615" ht="46" customHeight="1">
      <x:c r="A1615" s="17" t="str">
        <x:v>stage3src:bd5c2198613d20962570</x:v>
      </x:c>
      <x:c r="B1615" s="17" t="str">
        <x:v>program</x:v>
      </x:c>
      <x:c r="C1615" s="17" t="str">
        <x:v>University of Nebraska at Omaha</x:v>
      </x:c>
      <x:c r="D1615" s="17" t="str">
        <x:v>us:ipeds:181394:program:unclear:ipeds-discovery-signal-computer-and-information-sciences-other-cip-11-0199</x:v>
      </x:c>
      <x:c r="E1615" s="17" t="str"/>
      <x:c r="F1615" s="17" t="str">
        <x:v>discovery</x:v>
      </x:c>
      <x:c r="G1615" s="17" t="str">
        <x:v>Stage 2 recorded this row as a discovery candidate; it does not independently verify an exact current research program, eligibility, or funding.</x:v>
      </x:c>
      <x:c r="H1615" s="17" t="str">
        <x:v>Pass 2 Stage 2 candidate funnel</x:v>
      </x:c>
      <x:c r="I1615" s="17" t="str">
        <x:v>Graduate audit pipeline</x:v>
      </x:c>
      <x:c r="J1615" s="17" t="str">
        <x:v>derived</x:v>
      </x:c>
      <x:c r="K1615" s="17" t="str">
        <x:v>2026-09-11</x:v>
      </x:c>
      <x:c r="L1615" s="17" t="str">
        <x:v>Not cycle-specific</x:v>
      </x:c>
      <x:c r="M1615" s="17" t="str">
        <x:v>low</x:v>
      </x:c>
      <x:c r="N1615" s="17" t="str">
        <x:v>Discovery evidence only</x:v>
      </x:c>
      <x:c r="O1615" s="17" t="str">
        <x:v>Use the source_record_paths field to trace the underlying discovery inputs.</x:v>
      </x:c>
      <x:c r="P1615" s="18" t="e">
        <x:f>HYPERLINK("https://www.unomaha.edu","Open source")</x:f>
        <x:v>HYPERLINK is not implemented. linkLocation=https://www.unomaha.edu, friendlyName=Open source</x:v>
      </x:c>
    </x:row>
    <x:row r="1616" ht="46" customHeight="1">
      <x:c r="A1616" s="17" t="str">
        <x:v>stage3src:32ed37258fc32648d3f3</x:v>
      </x:c>
      <x:c r="B1616" s="17" t="str">
        <x:v>program</x:v>
      </x:c>
      <x:c r="C1616" s="17" t="str">
        <x:v>University of Nebraska at Omaha</x:v>
      </x:c>
      <x:c r="D1616" s="17" t="str">
        <x:v>us:ipeds:181394:program:unclear:ipeds-discovery-signal-computer-and-information-systems-security-auditing-information-assurance-cip-11-1003</x:v>
      </x:c>
      <x:c r="E1616" s="17" t="str"/>
      <x:c r="F1616" s="17" t="str">
        <x:v>discovery</x:v>
      </x:c>
      <x:c r="G1616" s="17" t="str">
        <x:v>Stage 2 recorded this row as a discovery candidate; it does not independently verify an exact current research program, eligibility, or funding.</x:v>
      </x:c>
      <x:c r="H1616" s="17" t="str">
        <x:v>Pass 2 Stage 2 candidate funnel</x:v>
      </x:c>
      <x:c r="I1616" s="17" t="str">
        <x:v>Graduate audit pipeline</x:v>
      </x:c>
      <x:c r="J1616" s="17" t="str">
        <x:v>derived</x:v>
      </x:c>
      <x:c r="K1616" s="17" t="str">
        <x:v>2026-09-11</x:v>
      </x:c>
      <x:c r="L1616" s="17" t="str">
        <x:v>Not cycle-specific</x:v>
      </x:c>
      <x:c r="M1616" s="17" t="str">
        <x:v>low</x:v>
      </x:c>
      <x:c r="N1616" s="17" t="str">
        <x:v>Discovery evidence only</x:v>
      </x:c>
      <x:c r="O1616" s="17" t="str">
        <x:v>Use the source_record_paths field to trace the underlying discovery inputs.</x:v>
      </x:c>
      <x:c r="P1616" s="18" t="e">
        <x:f>HYPERLINK("https://www.unomaha.edu","Open source")</x:f>
        <x:v>HYPERLINK is not implemented. linkLocation=https://www.unomaha.edu, friendlyName=Open source</x:v>
      </x:c>
    </x:row>
    <x:row r="1617" ht="46" customHeight="1">
      <x:c r="A1617" s="17" t="str">
        <x:v>stage3src:ac3b521d11fda62c742c</x:v>
      </x:c>
      <x:c r="B1617" s="17" t="str">
        <x:v>program</x:v>
      </x:c>
      <x:c r="C1617" s="17" t="str">
        <x:v>University of Nebraska at Omaha</x:v>
      </x:c>
      <x:c r="D1617" s="17" t="str">
        <x:v>us:ipeds:181394:program:unclear:ipeds-discovery-signal-computer-science-cip-11-0701</x:v>
      </x:c>
      <x:c r="E1617" s="17" t="str"/>
      <x:c r="F1617" s="17" t="str">
        <x:v>discovery</x:v>
      </x:c>
      <x:c r="G1617" s="17" t="str">
        <x:v>Stage 2 recorded this row as a discovery candidate; it does not independently verify an exact current research program, eligibility, or funding.</x:v>
      </x:c>
      <x:c r="H1617" s="17" t="str">
        <x:v>Pass 2 Stage 2 candidate funnel</x:v>
      </x:c>
      <x:c r="I1617" s="17" t="str">
        <x:v>Graduate audit pipeline</x:v>
      </x:c>
      <x:c r="J1617" s="17" t="str">
        <x:v>derived</x:v>
      </x:c>
      <x:c r="K1617" s="17" t="str">
        <x:v>2026-09-11</x:v>
      </x:c>
      <x:c r="L1617" s="17" t="str">
        <x:v>Not cycle-specific</x:v>
      </x:c>
      <x:c r="M1617" s="17" t="str">
        <x:v>low</x:v>
      </x:c>
      <x:c r="N1617" s="17" t="str">
        <x:v>Discovery evidence only</x:v>
      </x:c>
      <x:c r="O1617" s="17" t="str">
        <x:v>Use the source_record_paths field to trace the underlying discovery inputs.</x:v>
      </x:c>
      <x:c r="P1617" s="18" t="e">
        <x:f>HYPERLINK("https://www.unomaha.edu","Open source")</x:f>
        <x:v>HYPERLINK is not implemented. linkLocation=https://www.unomaha.edu, friendlyName=Open source</x:v>
      </x:c>
    </x:row>
    <x:row r="1618" ht="46" customHeight="1">
      <x:c r="A1618" s="17" t="str">
        <x:v>stage3src:0ed11b0eb83e2c556a3e</x:v>
      </x:c>
      <x:c r="B1618" s="17" t="str">
        <x:v>program</x:v>
      </x:c>
      <x:c r="C1618" s="17" t="str">
        <x:v>University of Nebraska at Omaha</x:v>
      </x:c>
      <x:c r="D1618" s="17" t="str">
        <x:v>us:ipeds:181394:program:unclear:ipeds-discovery-signal-informatics-cip-11-0104</x:v>
      </x:c>
      <x:c r="E1618" s="17" t="str"/>
      <x:c r="F1618" s="17" t="str">
        <x:v>discovery</x:v>
      </x:c>
      <x:c r="G1618" s="17" t="str">
        <x:v>Stage 2 recorded this row as a discovery candidate; it does not independently verify an exact current research program, eligibility, or funding.</x:v>
      </x:c>
      <x:c r="H1618" s="17" t="str">
        <x:v>Pass 2 Stage 2 candidate funnel</x:v>
      </x:c>
      <x:c r="I1618" s="17" t="str">
        <x:v>Graduate audit pipeline</x:v>
      </x:c>
      <x:c r="J1618" s="17" t="str">
        <x:v>derived</x:v>
      </x:c>
      <x:c r="K1618" s="17" t="str">
        <x:v>2026-09-11</x:v>
      </x:c>
      <x:c r="L1618" s="17" t="str">
        <x:v>Not cycle-specific</x:v>
      </x:c>
      <x:c r="M1618" s="17" t="str">
        <x:v>low</x:v>
      </x:c>
      <x:c r="N1618" s="17" t="str">
        <x:v>Discovery evidence only</x:v>
      </x:c>
      <x:c r="O1618" s="17" t="str">
        <x:v>Use the source_record_paths field to trace the underlying discovery inputs.</x:v>
      </x:c>
      <x:c r="P1618" s="18" t="e">
        <x:f>HYPERLINK("https://www.unomaha.edu","Open source")</x:f>
        <x:v>HYPERLINK is not implemented. linkLocation=https://www.unomaha.edu, friendlyName=Open source</x:v>
      </x:c>
    </x:row>
    <x:row r="1619" ht="46" customHeight="1">
      <x:c r="A1619" s="17" t="str">
        <x:v>stage3src:cfc8b5605cc333b845a5</x:v>
      </x:c>
      <x:c r="B1619" s="17" t="str">
        <x:v>program</x:v>
      </x:c>
      <x:c r="C1619" s="17" t="str">
        <x:v>University of Nebraska at Omaha</x:v>
      </x:c>
      <x:c r="D1619" s="17" t="str">
        <x:v>us:ipeds:181394:program:unclear:ipeds-discovery-signal-information-science-studies-cip-11-0401</x:v>
      </x:c>
      <x:c r="E1619" s="17" t="str"/>
      <x:c r="F1619" s="17" t="str">
        <x:v>discovery</x:v>
      </x:c>
      <x:c r="G1619" s="17" t="str">
        <x:v>Stage 2 recorded this row as a discovery candidate; it does not independently verify an exact current research program, eligibility, or funding.</x:v>
      </x:c>
      <x:c r="H1619" s="17" t="str">
        <x:v>Pass 2 Stage 2 candidate funnel</x:v>
      </x:c>
      <x:c r="I1619" s="17" t="str">
        <x:v>Graduate audit pipeline</x:v>
      </x:c>
      <x:c r="J1619" s="17" t="str">
        <x:v>derived</x:v>
      </x:c>
      <x:c r="K1619" s="17" t="str">
        <x:v>2026-09-11</x:v>
      </x:c>
      <x:c r="L1619" s="17" t="str">
        <x:v>Not cycle-specific</x:v>
      </x:c>
      <x:c r="M1619" s="17" t="str">
        <x:v>low</x:v>
      </x:c>
      <x:c r="N1619" s="17" t="str">
        <x:v>Discovery evidence only</x:v>
      </x:c>
      <x:c r="O1619" s="17" t="str">
        <x:v>Use the source_record_paths field to trace the underlying discovery inputs.</x:v>
      </x:c>
      <x:c r="P1619" s="18" t="e">
        <x:f>HYPERLINK("https://www.unomaha.edu","Open source")</x:f>
        <x:v>HYPERLINK is not implemented. linkLocation=https://www.unomaha.edu, friendlyName=Open source</x:v>
      </x:c>
    </x:row>
    <x:row r="1620" ht="46" customHeight="1">
      <x:c r="A1620" s="17" t="str">
        <x:v>stage3src:04ef59950d859f59d544</x:v>
      </x:c>
      <x:c r="B1620" s="17" t="str">
        <x:v>program</x:v>
      </x:c>
      <x:c r="C1620" s="17" t="str">
        <x:v>University of Nebraska at Omaha</x:v>
      </x:c>
      <x:c r="D1620" s="17" t="str">
        <x:v>us:ipeds:181394:program:unclear:ipeds-discovery-signal-information-technology-cip-11-0103</x:v>
      </x:c>
      <x:c r="E1620" s="17" t="str"/>
      <x:c r="F1620" s="17" t="str">
        <x:v>discovery</x:v>
      </x:c>
      <x:c r="G1620" s="17" t="str">
        <x:v>Stage 2 recorded this row as a discovery candidate; it does not independently verify an exact current research program, eligibility, or funding.</x:v>
      </x:c>
      <x:c r="H1620" s="17" t="str">
        <x:v>Pass 2 Stage 2 candidate funnel</x:v>
      </x:c>
      <x:c r="I1620" s="17" t="str">
        <x:v>Graduate audit pipeline</x:v>
      </x:c>
      <x:c r="J1620" s="17" t="str">
        <x:v>derived</x:v>
      </x:c>
      <x:c r="K1620" s="17" t="str">
        <x:v>2026-09-11</x:v>
      </x:c>
      <x:c r="L1620" s="17" t="str">
        <x:v>Not cycle-specific</x:v>
      </x:c>
      <x:c r="M1620" s="17" t="str">
        <x:v>low</x:v>
      </x:c>
      <x:c r="N1620" s="17" t="str">
        <x:v>Discovery evidence only</x:v>
      </x:c>
      <x:c r="O1620" s="17" t="str">
        <x:v>Use the source_record_paths field to trace the underlying discovery inputs.</x:v>
      </x:c>
      <x:c r="P1620" s="18" t="e">
        <x:f>HYPERLINK("https://www.unomaha.edu","Open source")</x:f>
        <x:v>HYPERLINK is not implemented. linkLocation=https://www.unomaha.edu, friendlyName=Open source</x:v>
      </x:c>
    </x:row>
    <x:row r="1621" ht="46" customHeight="1">
      <x:c r="A1621" s="17" t="str">
        <x:v>stage3src:8df4c7816d0a39ccb930</x:v>
      </x:c>
      <x:c r="B1621" s="17" t="str">
        <x:v>program</x:v>
      </x:c>
      <x:c r="C1621" s="17" t="str">
        <x:v>University of Nebraska-Lincoln</x:v>
      </x:c>
      <x:c r="D1621" s="17" t="str">
        <x:v>us:ipeds:181464:program:phd:computer-science-phd</x:v>
      </x:c>
      <x:c r="E1621" s="17" t="str"/>
      <x:c r="F1621" s="17" t="str">
        <x:v>fees|admissions</x:v>
      </x:c>
      <x:c r="G1621" s="17" t="str">
        <x:v>Separate $50 fees for multiple applications</x:v>
      </x:c>
      <x:c r="H1621" s="17" t="str">
        <x:v>Application Requirements — Additional Details</x:v>
      </x:c>
      <x:c r="I1621" s="17" t="str">
        <x:v>University of Nebraska-Lincoln</x:v>
      </x:c>
      <x:c r="J1621" s="17" t="str">
        <x:v>Official</x:v>
      </x:c>
      <x:c r="K1621" s="17" t="str">
        <x:v>2026-09-09</x:v>
      </x:c>
      <x:c r="L1621" s="17" t="str">
        <x:v>Current</x:v>
      </x:c>
      <x:c r="M1621" s="17" t="str">
        <x:v>High</x:v>
      </x:c>
      <x:c r="N1621" s="17" t="str">
        <x:v>Verified</x:v>
      </x:c>
      <x:c r="O1621" s="17" t="str"/>
      <x:c r="P1621" s="18" t="e">
        <x:f>HYPERLINK("https://graduate.unl.edu/application-requirements-additional-details/","Open source")</x:f>
        <x:v>HYPERLINK is not implemented. linkLocation=https://graduate.unl.edu/application-requirements-additional-details/, friendlyName=Open source</x:v>
      </x:c>
    </x:row>
    <x:row r="1622" ht="46" customHeight="1">
      <x:c r="A1622" s="17" t="str">
        <x:v>stage3src:e69494e973c85f1a8f19</x:v>
      </x:c>
      <x:c r="B1622" s="17" t="str">
        <x:v>program</x:v>
      </x:c>
      <x:c r="C1622" s="17" t="str">
        <x:v>University of Nebraska-Lincoln</x:v>
      </x:c>
      <x:c r="D1622" s="17" t="str">
        <x:v>us:ipeds:181464:program:phd:computer-science-phd</x:v>
      </x:c>
      <x:c r="E1622" s="17" t="str"/>
      <x:c r="F1622" s="17" t="str">
        <x:v>fees|deadline|language|admissions|program</x:v>
      </x:c>
      <x:c r="G1622" s="17" t="str">
        <x:v>Active PhD, fee, current deadlines, English, GRE, advisor-interest prompt, and contacts</x:v>
      </x:c>
      <x:c r="H1622" s="17" t="str">
        <x:v>Computer Science PhD</x:v>
      </x:c>
      <x:c r="I1622" s="17" t="str">
        <x:v>University of Nebraska-Lincoln</x:v>
      </x:c>
      <x:c r="J1622" s="17" t="str">
        <x:v>Official</x:v>
      </x:c>
      <x:c r="K1622" s="17" t="str">
        <x:v>2026-09-09</x:v>
      </x:c>
      <x:c r="L1622" s="17" t="str">
        <x:v>Current; cycle not labeled</x:v>
      </x:c>
      <x:c r="M1622" s="17" t="str">
        <x:v>High</x:v>
      </x:c>
      <x:c r="N1622" s="17" t="str">
        <x:v>Verified</x:v>
      </x:c>
      <x:c r="O1622" s="17" t="str"/>
      <x:c r="P1622" s="18" t="e">
        <x:f>HYPERLINK("https://graduate.unl.edu/academics/programs/COMP-PHD/","Open source")</x:f>
        <x:v>HYPERLINK is not implemented. linkLocation=https://graduate.unl.edu/academics/programs/COMP-PHD/, friendlyName=Open source</x:v>
      </x:c>
    </x:row>
    <x:row r="1623" ht="46" customHeight="1">
      <x:c r="A1623" s="17" t="str">
        <x:v>stage3src:a52e7f22af7c2a537998</x:v>
      </x:c>
      <x:c r="B1623" s="17" t="str">
        <x:v>program</x:v>
      </x:c>
      <x:c r="C1623" s="17" t="str">
        <x:v>University of Nebraska-Lincoln</x:v>
      </x:c>
      <x:c r="D1623" s="17" t="str">
        <x:v>us:ipeds:181464:program:unclear:ipeds-discovery-signal-computer-and-information-sciences-general-cip-11-0101</x:v>
      </x:c>
      <x:c r="E1623" s="17" t="str"/>
      <x:c r="F1623" s="17" t="str">
        <x:v>discovery</x:v>
      </x:c>
      <x:c r="G1623" s="17" t="str">
        <x:v>Stage 2 recorded this row as a discovery candidate; it does not independently verify an exact current research program, eligibility, or funding.</x:v>
      </x:c>
      <x:c r="H1623" s="17" t="str">
        <x:v>Pass 2 Stage 2 candidate funnel</x:v>
      </x:c>
      <x:c r="I1623" s="17" t="str">
        <x:v>Graduate audit pipeline</x:v>
      </x:c>
      <x:c r="J1623" s="17" t="str">
        <x:v>derived</x:v>
      </x:c>
      <x:c r="K1623" s="17" t="str">
        <x:v>2026-09-11</x:v>
      </x:c>
      <x:c r="L1623" s="17" t="str">
        <x:v>Not cycle-specific</x:v>
      </x:c>
      <x:c r="M1623" s="17" t="str">
        <x:v>low</x:v>
      </x:c>
      <x:c r="N1623" s="17" t="str">
        <x:v>Discovery evidence only</x:v>
      </x:c>
      <x:c r="O1623" s="17" t="str">
        <x:v>Use the source_record_paths field to trace the underlying discovery inputs.</x:v>
      </x:c>
      <x:c r="P1623" s="18" t="e">
        <x:f>HYPERLINK("https://www.unl.edu","Open source")</x:f>
        <x:v>HYPERLINK is not implemented. linkLocation=https://www.unl.edu, friendlyName=Open source</x:v>
      </x:c>
    </x:row>
    <x:row r="1624" ht="46" customHeight="1">
      <x:c r="A1624" s="17" t="str">
        <x:v>stage3src:cb2b91bba68178ff1c25</x:v>
      </x:c>
      <x:c r="B1624" s="17" t="str">
        <x:v>program</x:v>
      </x:c>
      <x:c r="C1624" s="17" t="str">
        <x:v>University of Nebraska-Lincoln</x:v>
      </x:c>
      <x:c r="D1624" s="17" t="str">
        <x:v>us:ipeds:181464:program:unclear:ipeds-discovery-signal-computer-science-cip-11-0701</x:v>
      </x:c>
      <x:c r="E1624" s="17" t="str"/>
      <x:c r="F1624" s="17" t="str">
        <x:v>discovery</x:v>
      </x:c>
      <x:c r="G1624" s="17" t="str">
        <x:v>Stage 2 recorded this row as a discovery candidate; it does not independently verify an exact current research program, eligibility, or funding.</x:v>
      </x:c>
      <x:c r="H1624" s="17" t="str">
        <x:v>Pass 2 Stage 2 candidate funnel</x:v>
      </x:c>
      <x:c r="I1624" s="17" t="str">
        <x:v>Graduate audit pipeline</x:v>
      </x:c>
      <x:c r="J1624" s="17" t="str">
        <x:v>derived</x:v>
      </x:c>
      <x:c r="K1624" s="17" t="str">
        <x:v>2026-09-11</x:v>
      </x:c>
      <x:c r="L1624" s="17" t="str">
        <x:v>Not cycle-specific</x:v>
      </x:c>
      <x:c r="M1624" s="17" t="str">
        <x:v>low</x:v>
      </x:c>
      <x:c r="N1624" s="17" t="str">
        <x:v>Discovery evidence only</x:v>
      </x:c>
      <x:c r="O1624" s="17" t="str">
        <x:v>Use the source_record_paths field to trace the underlying discovery inputs.</x:v>
      </x:c>
      <x:c r="P1624" s="18" t="e">
        <x:f>HYPERLINK("https://www.unl.edu","Open source")</x:f>
        <x:v>HYPERLINK is not implemented. linkLocation=https://www.unl.edu, friendlyName=Open source</x:v>
      </x:c>
    </x:row>
    <x:row r="1625" ht="46" customHeight="1">
      <x:c r="A1625" s="17" t="str">
        <x:v>stage3src:3231c369007003dc6e7b</x:v>
      </x:c>
      <x:c r="B1625" s="17" t="str">
        <x:v>program</x:v>
      </x:c>
      <x:c r="C1625" s="17" t="str">
        <x:v>University of Nebraska-Lincoln</x:v>
      </x:c>
      <x:c r="D1625" s="17" t="str">
        <x:v>us:ipeds:181464:program:unclear:ipeds-discovery-signal-electrical-and-electronics-engineering-cip-14-1001</x:v>
      </x:c>
      <x:c r="E1625" s="17" t="str"/>
      <x:c r="F1625" s="17" t="str">
        <x:v>discovery</x:v>
      </x:c>
      <x:c r="G1625" s="17" t="str">
        <x:v>Stage 2 recorded this row as a discovery candidate; it does not independently verify an exact current research program, eligibility, or funding.</x:v>
      </x:c>
      <x:c r="H1625" s="17" t="str">
        <x:v>Pass 2 Stage 2 candidate funnel</x:v>
      </x:c>
      <x:c r="I1625" s="17" t="str">
        <x:v>Graduate audit pipeline</x:v>
      </x:c>
      <x:c r="J1625" s="17" t="str">
        <x:v>derived</x:v>
      </x:c>
      <x:c r="K1625" s="17" t="str">
        <x:v>2026-09-11</x:v>
      </x:c>
      <x:c r="L1625" s="17" t="str">
        <x:v>Not cycle-specific</x:v>
      </x:c>
      <x:c r="M1625" s="17" t="str">
        <x:v>low</x:v>
      </x:c>
      <x:c r="N1625" s="17" t="str">
        <x:v>Discovery evidence only</x:v>
      </x:c>
      <x:c r="O1625" s="17" t="str">
        <x:v>Use the source_record_paths field to trace the underlying discovery inputs.</x:v>
      </x:c>
      <x:c r="P1625" s="18" t="e">
        <x:f>HYPERLINK("https://www.unl.edu","Open source")</x:f>
        <x:v>HYPERLINK is not implemented. linkLocation=https://www.unl.edu, friendlyName=Open source</x:v>
      </x:c>
    </x:row>
    <x:row r="1626" ht="46" customHeight="1">
      <x:c r="A1626" s="17" t="str">
        <x:v>stage3src:121f7235080a82a494f0</x:v>
      </x:c>
      <x:c r="B1626" s="17" t="str">
        <x:v>program</x:v>
      </x:c>
      <x:c r="C1626" s="17" t="str">
        <x:v>University of Nevada-Las Vegas</x:v>
      </x:c>
      <x:c r="D1626" s="17" t="str">
        <x:v>us:ipeds:182281:program:phd:doctor-of-philosophy-computer-science</x:v>
      </x:c>
      <x:c r="E1626" s="17" t="str"/>
      <x:c r="F1626" s="17" t="str">
        <x:v>funding|tuition|fees</x:v>
      </x:c>
      <x:c r="G1626" s="17" t="str">
        <x:v>Competitive Computer Science graduate-assistantship mechanism without a universal funding commitment.</x:v>
      </x:c>
      <x:c r="H1626" s="17" t="str">
        <x:v>Graduate Assistantships</x:v>
      </x:c>
      <x:c r="I1626" s="17" t="str">
        <x:v>UNLV Department of Computer Science</x:v>
      </x:c>
      <x:c r="J1626" s="17" t="str">
        <x:v>official</x:v>
      </x:c>
      <x:c r="K1626" s="17" t="str">
        <x:v>2026-09-11</x:v>
      </x:c>
      <x:c r="L1626" s="17" t="str">
        <x:v>Current page checked 2026-09-11</x:v>
      </x:c>
      <x:c r="M1626" s="17" t="str">
        <x:v>high</x:v>
      </x:c>
      <x:c r="N1626" s="17" t="str">
        <x:v>official page checked</x:v>
      </x:c>
      <x:c r="O1626" s="17" t="str"/>
      <x:c r="P1626" s="18" t="e">
        <x:f>HYPERLINK("https://www.unlv.edu/cs/graduate-assistantships","Open source")</x:f>
        <x:v>HYPERLINK is not implemented. linkLocation=https://www.unlv.edu/cs/graduate-assistantships, friendlyName=Open source</x:v>
      </x:c>
    </x:row>
    <x:row r="1627" ht="46" customHeight="1">
      <x:c r="A1627" s="17" t="str">
        <x:v>stage3src:57fee12ccd14117c2de1</x:v>
      </x:c>
      <x:c r="B1627" s="17" t="str">
        <x:v>program</x:v>
      </x:c>
      <x:c r="C1627" s="17" t="str">
        <x:v>University of Nevada-Las Vegas</x:v>
      </x:c>
      <x:c r="D1627" s="17" t="str">
        <x:v>us:ipeds:182281:program:phd:doctor-of-philosophy-computer-science</x:v>
      </x:c>
      <x:c r="E1627" s="17" t="str"/>
      <x:c r="F1627" s="17" t="str">
        <x:v>program|research|eligibility</x:v>
      </x:c>
      <x:c r="G1627" s="17" t="str">
        <x:v>Current Computer Science PhD, post-bachelor track, dissertation structure, and current degree worksheets.</x:v>
      </x:c>
      <x:c r="H1627" s="17" t="str">
        <x:v>Doctor of Philosophy - Computer Science</x:v>
      </x:c>
      <x:c r="I1627" s="17" t="str">
        <x:v>University of Nevada, Las Vegas</x:v>
      </x:c>
      <x:c r="J1627" s="17" t="str">
        <x:v>official</x:v>
      </x:c>
      <x:c r="K1627" s="17" t="str">
        <x:v>2026-09-11</x:v>
      </x:c>
      <x:c r="L1627" s="17" t="str">
        <x:v>2026-27 materials checked 2026-09-11</x:v>
      </x:c>
      <x:c r="M1627" s="17" t="str">
        <x:v>high</x:v>
      </x:c>
      <x:c r="N1627" s="17" t="str">
        <x:v>official page checked</x:v>
      </x:c>
      <x:c r="O1627" s="17" t="str"/>
      <x:c r="P1627" s="18" t="e">
        <x:f>HYPERLINK("https://www.unlv.edu/degree/phd-computer-science","Open source")</x:f>
        <x:v>HYPERLINK is not implemented. linkLocation=https://www.unlv.edu/degree/phd-computer-science, friendlyName=Open source</x:v>
      </x:c>
    </x:row>
    <x:row r="1628" ht="46" customHeight="1">
      <x:c r="A1628" s="17" t="str">
        <x:v>stage3src:67515318d9ff6c3e5c56</x:v>
      </x:c>
      <x:c r="B1628" s="17" t="str">
        <x:v>program</x:v>
      </x:c>
      <x:c r="C1628" s="17" t="str">
        <x:v>University of Nevada-Las Vegas</x:v>
      </x:c>
      <x:c r="D1628" s="17" t="str">
        <x:v>us:ipeds:182281:program:phd:doctor-of-philosophy-computer-science</x:v>
      </x:c>
      <x:c r="E1628" s="17" t="str"/>
      <x:c r="F1628" s="17" t="str">
        <x:v>admissions|eligibility|deadline|fees|language</x:v>
      </x:c>
      <x:c r="G1628" s="17" t="str">
        <x:v>Rare direct-bachelor pathway, GPA references, program deadlines, international application fee, and graduate English framework.</x:v>
      </x:c>
      <x:c r="H1628" s="17" t="str">
        <x:v>Computer Science Graduate Admissions</x:v>
      </x:c>
      <x:c r="I1628" s="17" t="str">
        <x:v>UNLV Department of Computer Science</x:v>
      </x:c>
      <x:c r="J1628" s="17" t="str">
        <x:v>official</x:v>
      </x:c>
      <x:c r="K1628" s="17" t="str">
        <x:v>2026-09-11</x:v>
      </x:c>
      <x:c r="L1628" s="17" t="str">
        <x:v>Current page checked 2026-09-11</x:v>
      </x:c>
      <x:c r="M1628" s="17" t="str">
        <x:v>high</x:v>
      </x:c>
      <x:c r="N1628" s="17" t="str">
        <x:v>official page checked</x:v>
      </x:c>
      <x:c r="O1628" s="17" t="str"/>
      <x:c r="P1628" s="18" t="e">
        <x:f>HYPERLINK("https://www.unlv.edu/cs/admissions","Open source")</x:f>
        <x:v>HYPERLINK is not implemented. linkLocation=https://www.unlv.edu/cs/admissions, friendlyName=Open source</x:v>
      </x:c>
    </x:row>
    <x:row r="1629" ht="46" customHeight="1">
      <x:c r="A1629" s="17" t="str">
        <x:v>stage3src:2588536144c4f75ce345</x:v>
      </x:c>
      <x:c r="B1629" s="17" t="str">
        <x:v>program</x:v>
      </x:c>
      <x:c r="C1629" s="17" t="str">
        <x:v>University of Nevada-Las Vegas</x:v>
      </x:c>
      <x:c r="D1629" s="17" t="str">
        <x:v>us:ipeds:182281:program:unclear:ipeds-discovery-signal-computer-and-information-systems-security-auditing-information-assurance-cip-11-1003</x:v>
      </x:c>
      <x:c r="E1629" s="17" t="str"/>
      <x:c r="F1629" s="17" t="str">
        <x:v>discovery</x:v>
      </x:c>
      <x:c r="G1629" s="17" t="str">
        <x:v>Stage 2 recorded this row as a discovery candidate; it does not independently verify an exact current research program, eligibility, or funding.</x:v>
      </x:c>
      <x:c r="H1629" s="17" t="str">
        <x:v>Pass 2 Stage 2 candidate funnel</x:v>
      </x:c>
      <x:c r="I1629" s="17" t="str">
        <x:v>Graduate audit pipeline</x:v>
      </x:c>
      <x:c r="J1629" s="17" t="str">
        <x:v>derived</x:v>
      </x:c>
      <x:c r="K1629" s="17" t="str">
        <x:v>2026-09-11</x:v>
      </x:c>
      <x:c r="L1629" s="17" t="str">
        <x:v>Not cycle-specific</x:v>
      </x:c>
      <x:c r="M1629" s="17" t="str">
        <x:v>low</x:v>
      </x:c>
      <x:c r="N1629" s="17" t="str">
        <x:v>Discovery evidence only</x:v>
      </x:c>
      <x:c r="O1629" s="17" t="str">
        <x:v>Use the source_record_paths field to trace the underlying discovery inputs.</x:v>
      </x:c>
      <x:c r="P1629" s="18" t="e">
        <x:f>HYPERLINK("https://www.unlv.edu","Open source")</x:f>
        <x:v>HYPERLINK is not implemented. linkLocation=https://www.unlv.edu, friendlyName=Open source</x:v>
      </x:c>
    </x:row>
    <x:row r="1630" ht="46" customHeight="1">
      <x:c r="A1630" s="17" t="str">
        <x:v>stage3src:7e601dccd2c399884d68</x:v>
      </x:c>
      <x:c r="B1630" s="17" t="str">
        <x:v>program</x:v>
      </x:c>
      <x:c r="C1630" s="17" t="str">
        <x:v>University of Nevada-Las Vegas</x:v>
      </x:c>
      <x:c r="D1630" s="17" t="str">
        <x:v>us:ipeds:182281:program:unclear:ipeds-discovery-signal-computer-science-cip-11-0701</x:v>
      </x:c>
      <x:c r="E1630" s="17" t="str"/>
      <x:c r="F1630" s="17" t="str">
        <x:v>discovery</x:v>
      </x:c>
      <x:c r="G1630" s="17" t="str">
        <x:v>Stage 2 recorded this row as a discovery candidate; it does not independently verify an exact current research program, eligibility, or funding.</x:v>
      </x:c>
      <x:c r="H1630" s="17" t="str">
        <x:v>Pass 2 Stage 2 candidate funnel</x:v>
      </x:c>
      <x:c r="I1630" s="17" t="str">
        <x:v>Graduate audit pipeline</x:v>
      </x:c>
      <x:c r="J1630" s="17" t="str">
        <x:v>derived</x:v>
      </x:c>
      <x:c r="K1630" s="17" t="str">
        <x:v>2026-09-11</x:v>
      </x:c>
      <x:c r="L1630" s="17" t="str">
        <x:v>Not cycle-specific</x:v>
      </x:c>
      <x:c r="M1630" s="17" t="str">
        <x:v>low</x:v>
      </x:c>
      <x:c r="N1630" s="17" t="str">
        <x:v>Discovery evidence only</x:v>
      </x:c>
      <x:c r="O1630" s="17" t="str">
        <x:v>Use the source_record_paths field to trace the underlying discovery inputs.</x:v>
      </x:c>
      <x:c r="P1630" s="18" t="e">
        <x:f>HYPERLINK("https://www.unlv.edu","Open source")</x:f>
        <x:v>HYPERLINK is not implemented. linkLocation=https://www.unlv.edu, friendlyName=Open source</x:v>
      </x:c>
    </x:row>
    <x:row r="1631" ht="46" customHeight="1">
      <x:c r="A1631" s="17" t="str">
        <x:v>stage3src:1070832b95db76d83ccb</x:v>
      </x:c>
      <x:c r="B1631" s="17" t="str">
        <x:v>program</x:v>
      </x:c>
      <x:c r="C1631" s="17" t="str">
        <x:v>University of Nevada-Las Vegas</x:v>
      </x:c>
      <x:c r="D1631" s="17" t="str">
        <x:v>us:ipeds:182281:program:unclear:ipeds-discovery-signal-data-analytics-general-cip-30-7101</x:v>
      </x:c>
      <x:c r="E1631" s="17" t="str"/>
      <x:c r="F1631" s="17" t="str">
        <x:v>discovery</x:v>
      </x:c>
      <x:c r="G1631" s="17" t="str">
        <x:v>Stage 2 recorded this row as a discovery candidate; it does not independently verify an exact current research program, eligibility, or funding.</x:v>
      </x:c>
      <x:c r="H1631" s="17" t="str">
        <x:v>Pass 2 Stage 2 candidate funnel</x:v>
      </x:c>
      <x:c r="I1631" s="17" t="str">
        <x:v>Graduate audit pipeline</x:v>
      </x:c>
      <x:c r="J1631" s="17" t="str">
        <x:v>derived</x:v>
      </x:c>
      <x:c r="K1631" s="17" t="str">
        <x:v>2026-09-11</x:v>
      </x:c>
      <x:c r="L1631" s="17" t="str">
        <x:v>Not cycle-specific</x:v>
      </x:c>
      <x:c r="M1631" s="17" t="str">
        <x:v>low</x:v>
      </x:c>
      <x:c r="N1631" s="17" t="str">
        <x:v>Discovery evidence only</x:v>
      </x:c>
      <x:c r="O1631" s="17" t="str">
        <x:v>Use the source_record_paths field to trace the underlying discovery inputs.</x:v>
      </x:c>
      <x:c r="P1631" s="18" t="e">
        <x:f>HYPERLINK("https://www.unlv.edu","Open source")</x:f>
        <x:v>HYPERLINK is not implemented. linkLocation=https://www.unlv.edu, friendlyName=Open source</x:v>
      </x:c>
    </x:row>
    <x:row r="1632" ht="46" customHeight="1">
      <x:c r="A1632" s="17" t="str">
        <x:v>stage3src:fbf57061e97da9713e32</x:v>
      </x:c>
      <x:c r="B1632" s="17" t="str">
        <x:v>program</x:v>
      </x:c>
      <x:c r="C1632" s="17" t="str">
        <x:v>University of Nevada-Las Vegas</x:v>
      </x:c>
      <x:c r="D1632" s="17" t="str">
        <x:v>us:ipeds:182281:program:unclear:ipeds-discovery-signal-electrical-and-electronics-engineering-cip-14-1001</x:v>
      </x:c>
      <x:c r="E1632" s="17" t="str"/>
      <x:c r="F1632" s="17" t="str">
        <x:v>discovery</x:v>
      </x:c>
      <x:c r="G1632" s="17" t="str">
        <x:v>Stage 2 recorded this row as a discovery candidate; it does not independently verify an exact current research program, eligibility, or funding.</x:v>
      </x:c>
      <x:c r="H1632" s="17" t="str">
        <x:v>Pass 2 Stage 2 candidate funnel</x:v>
      </x:c>
      <x:c r="I1632" s="17" t="str">
        <x:v>Graduate audit pipeline</x:v>
      </x:c>
      <x:c r="J1632" s="17" t="str">
        <x:v>derived</x:v>
      </x:c>
      <x:c r="K1632" s="17" t="str">
        <x:v>2026-09-11</x:v>
      </x:c>
      <x:c r="L1632" s="17" t="str">
        <x:v>Not cycle-specific</x:v>
      </x:c>
      <x:c r="M1632" s="17" t="str">
        <x:v>low</x:v>
      </x:c>
      <x:c r="N1632" s="17" t="str">
        <x:v>Discovery evidence only</x:v>
      </x:c>
      <x:c r="O1632" s="17" t="str">
        <x:v>Use the source_record_paths field to trace the underlying discovery inputs.</x:v>
      </x:c>
      <x:c r="P1632" s="18" t="e">
        <x:f>HYPERLINK("https://www.unlv.edu","Open source")</x:f>
        <x:v>HYPERLINK is not implemented. linkLocation=https://www.unlv.edu, friendlyName=Open source</x:v>
      </x:c>
    </x:row>
    <x:row r="1633" ht="46" customHeight="1">
      <x:c r="A1633" s="17" t="str">
        <x:v>stage3src:21aa7a1170ee26eb0e01</x:v>
      </x:c>
      <x:c r="B1633" s="17" t="str">
        <x:v>program</x:v>
      </x:c>
      <x:c r="C1633" s="17" t="str">
        <x:v>University of Nevada-Reno</x:v>
      </x:c>
      <x:c r="D1633" s="17" t="str">
        <x:v>us:ipeds:182290:program:phd:ph-d-in-computer-science-and-engineering</x:v>
      </x:c>
      <x:c r="E1633" s="17" t="str"/>
      <x:c r="F1633" s="17" t="str">
        <x:v>program|research|eligibility|admissions|language|deadline|fees</x:v>
      </x:c>
      <x:c r="G1633" s="17" t="str">
        <x:v>Current CSE PhD, direct-entry GPA, preparation, language, preferred deadlines, and no-waiver statement.</x:v>
      </x:c>
      <x:c r="H1633" s="17" t="str">
        <x:v>MS and PhD Program</x:v>
      </x:c>
      <x:c r="I1633" s="17" t="str">
        <x:v>University of Nevada, Reno</x:v>
      </x:c>
      <x:c r="J1633" s="17" t="str">
        <x:v>official</x:v>
      </x:c>
      <x:c r="K1633" s="17" t="str">
        <x:v>2026-09-11</x:v>
      </x:c>
      <x:c r="L1633" s="17" t="str">
        <x:v>Current recurring cycle checked 2026-09-11</x:v>
      </x:c>
      <x:c r="M1633" s="17" t="str">
        <x:v>high</x:v>
      </x:c>
      <x:c r="N1633" s="17" t="str">
        <x:v>official page checked</x:v>
      </x:c>
      <x:c r="O1633" s="17" t="str"/>
      <x:c r="P1633" s="18" t="e">
        <x:f>HYPERLINK("https://www.unr.edu/cse/graduate-program","Open source")</x:f>
        <x:v>HYPERLINK is not implemented. linkLocation=https://www.unr.edu/cse/graduate-program, friendlyName=Open source</x:v>
      </x:c>
    </x:row>
    <x:row r="1634" ht="46" customHeight="1">
      <x:c r="A1634" s="17" t="str">
        <x:v>stage3src:9c20e8ee57b4285d6ec3</x:v>
      </x:c>
      <x:c r="B1634" s="17" t="str">
        <x:v>program</x:v>
      </x:c>
      <x:c r="C1634" s="17" t="str">
        <x:v>University of Nevada-Reno</x:v>
      </x:c>
      <x:c r="D1634" s="17" t="str">
        <x:v>us:ipeds:182290:program:phd:ph-d-in-computer-science-and-engineering</x:v>
      </x:c>
      <x:c r="E1634" s="17" t="str"/>
      <x:c r="F1634" s="17" t="str">
        <x:v>fees|tuition|health insurance</x:v>
      </x:c>
      <x:c r="G1634" s="17" t="str">
        <x:v>2026-27 international application fee, tuition, mandatory fees, insurance, and non-assistantship cost baseline.</x:v>
      </x:c>
      <x:c r="H1634" s="17" t="str">
        <x:v>International Cost without a Graduate Assistantship</x:v>
      </x:c>
      <x:c r="I1634" s="17" t="str">
        <x:v>University of Nevada, Reno</x:v>
      </x:c>
      <x:c r="J1634" s="17" t="str">
        <x:v>official</x:v>
      </x:c>
      <x:c r="K1634" s="17" t="str">
        <x:v>2026-09-11</x:v>
      </x:c>
      <x:c r="L1634" s="17" t="str">
        <x:v>2026-27 costs checked 2026-09-11</x:v>
      </x:c>
      <x:c r="M1634" s="17" t="str">
        <x:v>high</x:v>
      </x:c>
      <x:c r="N1634" s="17" t="str">
        <x:v>official page checked</x:v>
      </x:c>
      <x:c r="O1634" s="17" t="str"/>
      <x:c r="P1634" s="18" t="e">
        <x:f>HYPERLINK("https://www.unr.edu/grad/funding/tuition-and-fees/international-cost-no-ga","Open source")</x:f>
        <x:v>HYPERLINK is not implemented. linkLocation=https://www.unr.edu/grad/funding/tuition-and-fees/international-cost-no-ga, friendlyName=Open source</x:v>
      </x:c>
    </x:row>
    <x:row r="1635" ht="46" customHeight="1">
      <x:c r="A1635" s="17" t="str">
        <x:v>stage3src:9e233eccb7cc3718fd15</x:v>
      </x:c>
      <x:c r="B1635" s="17" t="str">
        <x:v>program</x:v>
      </x:c>
      <x:c r="C1635" s="17" t="str">
        <x:v>University of Nevada-Reno</x:v>
      </x:c>
      <x:c r="D1635" s="17" t="str">
        <x:v>us:ipeds:182290:program:phd:ph-d-in-computer-science-and-engineering</x:v>
      </x:c>
      <x:c r="E1635" s="17" t="str"/>
      <x:c r="F1635" s="17" t="str">
        <x:v>funding|tuition|fees|health insurance|summer</x:v>
      </x:c>
      <x:c r="G1635" s="17" t="str">
        <x:v>Department award authority, contingency, stipend, insurance, tuition benefits, student-paid fees, and maximum state-funded duration.</x:v>
      </x:c>
      <x:c r="H1635" s="17" t="str">
        <x:v>Graduate Assistantships</x:v>
      </x:c>
      <x:c r="I1635" s="17" t="str">
        <x:v>University of Nevada, Reno</x:v>
      </x:c>
      <x:c r="J1635" s="17" t="str">
        <x:v>official</x:v>
      </x:c>
      <x:c r="K1635" s="17" t="str">
        <x:v>2026-09-11</x:v>
      </x:c>
      <x:c r="L1635" s="17" t="str">
        <x:v>Current 2026 policy checked 2026-09-11</x:v>
      </x:c>
      <x:c r="M1635" s="17" t="str">
        <x:v>high</x:v>
      </x:c>
      <x:c r="N1635" s="17" t="str">
        <x:v>official page checked</x:v>
      </x:c>
      <x:c r="O1635" s="17" t="str"/>
      <x:c r="P1635" s="18" t="e">
        <x:f>HYPERLINK("https://www.unr.edu/grad/funding/assistantships","Open source")</x:f>
        <x:v>HYPERLINK is not implemented. linkLocation=https://www.unr.edu/grad/funding/assistantships, friendlyName=Open source</x:v>
      </x:c>
    </x:row>
    <x:row r="1636" ht="46" customHeight="1">
      <x:c r="A1636" s="17" t="str">
        <x:v>stage3src:5a54692a631eed12c0d1</x:v>
      </x:c>
      <x:c r="B1636" s="17" t="str">
        <x:v>program</x:v>
      </x:c>
      <x:c r="C1636" s="17" t="str">
        <x:v>University of Nevada-Reno</x:v>
      </x:c>
      <x:c r="D1636" s="17" t="str">
        <x:v>us:ipeds:182290:program:unclear:ipeds-discovery-signal-computer-and-information-sciences-general-cip-11-0101</x:v>
      </x:c>
      <x:c r="E1636" s="17" t="str"/>
      <x:c r="F1636" s="17" t="str">
        <x:v>discovery</x:v>
      </x:c>
      <x:c r="G1636" s="17" t="str">
        <x:v>Stage 2 recorded this row as a discovery candidate; it does not independently verify an exact current research program, eligibility, or funding.</x:v>
      </x:c>
      <x:c r="H1636" s="17" t="str">
        <x:v>Pass 2 Stage 2 candidate funnel</x:v>
      </x:c>
      <x:c r="I1636" s="17" t="str">
        <x:v>Graduate audit pipeline</x:v>
      </x:c>
      <x:c r="J1636" s="17" t="str">
        <x:v>derived</x:v>
      </x:c>
      <x:c r="K1636" s="17" t="str">
        <x:v>2026-09-11</x:v>
      </x:c>
      <x:c r="L1636" s="17" t="str">
        <x:v>Not cycle-specific</x:v>
      </x:c>
      <x:c r="M1636" s="17" t="str">
        <x:v>low</x:v>
      </x:c>
      <x:c r="N1636" s="17" t="str">
        <x:v>Discovery evidence only</x:v>
      </x:c>
      <x:c r="O1636" s="17" t="str">
        <x:v>Use the source_record_paths field to trace the underlying discovery inputs.</x:v>
      </x:c>
      <x:c r="P1636" s="18" t="e">
        <x:f>HYPERLINK("https://www.unr.edu","Open source")</x:f>
        <x:v>HYPERLINK is not implemented. linkLocation=https://www.unr.edu, friendlyName=Open source</x:v>
      </x:c>
    </x:row>
    <x:row r="1637" ht="46" customHeight="1">
      <x:c r="A1637" s="17" t="str">
        <x:v>stage3src:0e73c25990f4bd0ea8ab</x:v>
      </x:c>
      <x:c r="B1637" s="17" t="str">
        <x:v>program</x:v>
      </x:c>
      <x:c r="C1637" s="17" t="str">
        <x:v>University of Nevada-Reno</x:v>
      </x:c>
      <x:c r="D1637" s="17" t="str">
        <x:v>us:ipeds:182290:program:unclear:ipeds-discovery-signal-computer-engineering-general-cip-14-0901</x:v>
      </x:c>
      <x:c r="E1637" s="17" t="str"/>
      <x:c r="F1637" s="17" t="str">
        <x:v>discovery</x:v>
      </x:c>
      <x:c r="G1637" s="17" t="str">
        <x:v>Stage 2 recorded this row as a discovery candidate; it does not independently verify an exact current research program, eligibility, or funding.</x:v>
      </x:c>
      <x:c r="H1637" s="17" t="str">
        <x:v>Pass 2 Stage 2 candidate funnel</x:v>
      </x:c>
      <x:c r="I1637" s="17" t="str">
        <x:v>Graduate audit pipeline</x:v>
      </x:c>
      <x:c r="J1637" s="17" t="str">
        <x:v>derived</x:v>
      </x:c>
      <x:c r="K1637" s="17" t="str">
        <x:v>2026-09-11</x:v>
      </x:c>
      <x:c r="L1637" s="17" t="str">
        <x:v>Not cycle-specific</x:v>
      </x:c>
      <x:c r="M1637" s="17" t="str">
        <x:v>low</x:v>
      </x:c>
      <x:c r="N1637" s="17" t="str">
        <x:v>Discovery evidence only</x:v>
      </x:c>
      <x:c r="O1637" s="17" t="str">
        <x:v>Use the source_record_paths field to trace the underlying discovery inputs.</x:v>
      </x:c>
      <x:c r="P1637" s="18" t="e">
        <x:f>HYPERLINK("https://www.unr.edu","Open source")</x:f>
        <x:v>HYPERLINK is not implemented. linkLocation=https://www.unr.edu, friendlyName=Open source</x:v>
      </x:c>
    </x:row>
    <x:row r="1638" ht="46" customHeight="1">
      <x:c r="A1638" s="17" t="str">
        <x:v>stage3src:938ad502f411bab6d912</x:v>
      </x:c>
      <x:c r="B1638" s="17" t="str">
        <x:v>program</x:v>
      </x:c>
      <x:c r="C1638" s="17" t="str">
        <x:v>University of Nevada-Reno</x:v>
      </x:c>
      <x:c r="D1638" s="17" t="str">
        <x:v>us:ipeds:182290:program:unclear:ipeds-discovery-signal-computer-science-cip-11-0701</x:v>
      </x:c>
      <x:c r="E1638" s="17" t="str"/>
      <x:c r="F1638" s="17" t="str">
        <x:v>discovery</x:v>
      </x:c>
      <x:c r="G1638" s="17" t="str">
        <x:v>Stage 2 recorded this row as a discovery candidate; it does not independently verify an exact current research program, eligibility, or funding.</x:v>
      </x:c>
      <x:c r="H1638" s="17" t="str">
        <x:v>Pass 2 Stage 2 candidate funnel</x:v>
      </x:c>
      <x:c r="I1638" s="17" t="str">
        <x:v>Graduate audit pipeline</x:v>
      </x:c>
      <x:c r="J1638" s="17" t="str">
        <x:v>derived</x:v>
      </x:c>
      <x:c r="K1638" s="17" t="str">
        <x:v>2026-09-11</x:v>
      </x:c>
      <x:c r="L1638" s="17" t="str">
        <x:v>Not cycle-specific</x:v>
      </x:c>
      <x:c r="M1638" s="17" t="str">
        <x:v>low</x:v>
      </x:c>
      <x:c r="N1638" s="17" t="str">
        <x:v>Discovery evidence only</x:v>
      </x:c>
      <x:c r="O1638" s="17" t="str">
        <x:v>Use the source_record_paths field to trace the underlying discovery inputs.</x:v>
      </x:c>
      <x:c r="P1638" s="18" t="e">
        <x:f>HYPERLINK("https://www.unr.edu","Open source")</x:f>
        <x:v>HYPERLINK is not implemented. linkLocation=https://www.unr.edu, friendlyName=Open source</x:v>
      </x:c>
    </x:row>
    <x:row r="1639" ht="46" customHeight="1">
      <x:c r="A1639" s="17" t="str">
        <x:v>stage3src:780ee5f7937eeb085baf</x:v>
      </x:c>
      <x:c r="B1639" s="17" t="str">
        <x:v>program</x:v>
      </x:c>
      <x:c r="C1639" s="17" t="str">
        <x:v>University of Nevada-Reno</x:v>
      </x:c>
      <x:c r="D1639" s="17" t="str">
        <x:v>us:ipeds:182290:program:unclear:ipeds-discovery-signal-electrical-and-electronics-engineering-cip-14-1001</x:v>
      </x:c>
      <x:c r="E1639" s="17" t="str"/>
      <x:c r="F1639" s="17" t="str">
        <x:v>discovery</x:v>
      </x:c>
      <x:c r="G1639" s="17" t="str">
        <x:v>Stage 2 recorded this row as a discovery candidate; it does not independently verify an exact current research program, eligibility, or funding.</x:v>
      </x:c>
      <x:c r="H1639" s="17" t="str">
        <x:v>Pass 2 Stage 2 candidate funnel</x:v>
      </x:c>
      <x:c r="I1639" s="17" t="str">
        <x:v>Graduate audit pipeline</x:v>
      </x:c>
      <x:c r="J1639" s="17" t="str">
        <x:v>derived</x:v>
      </x:c>
      <x:c r="K1639" s="17" t="str">
        <x:v>2026-09-11</x:v>
      </x:c>
      <x:c r="L1639" s="17" t="str">
        <x:v>Not cycle-specific</x:v>
      </x:c>
      <x:c r="M1639" s="17" t="str">
        <x:v>low</x:v>
      </x:c>
      <x:c r="N1639" s="17" t="str">
        <x:v>Discovery evidence only</x:v>
      </x:c>
      <x:c r="O1639" s="17" t="str">
        <x:v>Use the source_record_paths field to trace the underlying discovery inputs.</x:v>
      </x:c>
      <x:c r="P1639" s="18" t="e">
        <x:f>HYPERLINK("https://www.unr.edu","Open source")</x:f>
        <x:v>HYPERLINK is not implemented. linkLocation=https://www.unr.edu, friendlyName=Open source</x:v>
      </x:c>
    </x:row>
    <x:row r="1640" ht="46" customHeight="1">
      <x:c r="A1640" s="17" t="str">
        <x:v>stage3src:53fc173c35687490dc13</x:v>
      </x:c>
      <x:c r="B1640" s="17" t="str">
        <x:v>program</x:v>
      </x:c>
      <x:c r="C1640" s="17" t="str">
        <x:v>Dartmouth College</x:v>
      </x:c>
      <x:c r="D1640" s="17" t="str">
        <x:v>us:ipeds:182670:program:unclear:ipeds-discovery-signal-computer-science-cip-11-0701</x:v>
      </x:c>
      <x:c r="E1640" s="17" t="str"/>
      <x:c r="F1640" s="17" t="str">
        <x:v>discovery</x:v>
      </x:c>
      <x:c r="G1640" s="17" t="str">
        <x:v>Stage 2 recorded this row as a discovery candidate; it does not independently verify an exact current research program, eligibility, or funding.</x:v>
      </x:c>
      <x:c r="H1640" s="17" t="str">
        <x:v>Pass 2 Stage 2 candidate funnel</x:v>
      </x:c>
      <x:c r="I1640" s="17" t="str">
        <x:v>Graduate audit pipeline</x:v>
      </x:c>
      <x:c r="J1640" s="17" t="str">
        <x:v>derived</x:v>
      </x:c>
      <x:c r="K1640" s="17" t="str">
        <x:v>2026-09-11</x:v>
      </x:c>
      <x:c r="L1640" s="17" t="str">
        <x:v>Not cycle-specific</x:v>
      </x:c>
      <x:c r="M1640" s="17" t="str">
        <x:v>low</x:v>
      </x:c>
      <x:c r="N1640" s="17" t="str">
        <x:v>Discovery evidence only</x:v>
      </x:c>
      <x:c r="O1640" s="17" t="str">
        <x:v>Use the source_record_paths field to trace the underlying discovery inputs.</x:v>
      </x:c>
      <x:c r="P1640" s="18" t="e">
        <x:f>HYPERLINK("https://dartmouth.edu","Open source")</x:f>
        <x:v>HYPERLINK is not implemented. linkLocation=https://dartmouth.edu, friendlyName=Open source</x:v>
      </x:c>
    </x:row>
    <x:row r="1641" ht="46" customHeight="1">
      <x:c r="A1641" s="17" t="str">
        <x:v>stage3src:2d25e57118e479aa3503</x:v>
      </x:c>
      <x:c r="B1641" s="17" t="str">
        <x:v>program</x:v>
      </x:c>
      <x:c r="C1641" s="17" t="str">
        <x:v>New England College</x:v>
      </x:c>
      <x:c r="D1641" s="17" t="str">
        <x:v>us:ipeds:182980:program:unclear:ipeds-discovery-signal-computer-and-information-sciences-general-cip-11-0101</x:v>
      </x:c>
      <x:c r="E1641" s="17" t="str"/>
      <x:c r="F1641" s="17" t="str">
        <x:v>discovery</x:v>
      </x:c>
      <x:c r="G1641" s="17" t="str">
        <x:v>Stage 2 recorded this row as a discovery candidate; it does not independently verify an exact current research program, eligibility, or funding.</x:v>
      </x:c>
      <x:c r="H1641" s="17" t="str">
        <x:v>Pass 2 Stage 2 candidate funnel</x:v>
      </x:c>
      <x:c r="I1641" s="17" t="str">
        <x:v>Graduate audit pipeline</x:v>
      </x:c>
      <x:c r="J1641" s="17" t="str">
        <x:v>derived</x:v>
      </x:c>
      <x:c r="K1641" s="17" t="str">
        <x:v>2026-09-11</x:v>
      </x:c>
      <x:c r="L1641" s="17" t="str">
        <x:v>Not cycle-specific</x:v>
      </x:c>
      <x:c r="M1641" s="17" t="str">
        <x:v>low</x:v>
      </x:c>
      <x:c r="N1641" s="17" t="str">
        <x:v>Discovery evidence only</x:v>
      </x:c>
      <x:c r="O1641" s="17" t="str">
        <x:v>Use the source_record_paths field to trace the underlying discovery inputs.</x:v>
      </x:c>
      <x:c r="P1641" s="18" t="e">
        <x:f>HYPERLINK("https://www.nec.edu","Open source")</x:f>
        <x:v>HYPERLINK is not implemented. linkLocation=https://www.nec.edu, friendlyName=Open source</x:v>
      </x:c>
    </x:row>
    <x:row r="1642" ht="46" customHeight="1">
      <x:c r="A1642" s="17" t="str">
        <x:v>stage3src:670ac434e71dc4631463</x:v>
      </x:c>
      <x:c r="B1642" s="17" t="str">
        <x:v>program</x:v>
      </x:c>
      <x:c r="C1642" s="17" t="str">
        <x:v>New England College</x:v>
      </x:c>
      <x:c r="D1642" s="17" t="str">
        <x:v>us:ipeds:182980:program:unclear:ipeds-discovery-signal-computer-and-information-systems-security-auditing-information-assurance-cip-11-1003</x:v>
      </x:c>
      <x:c r="E1642" s="17" t="str"/>
      <x:c r="F1642" s="17" t="str">
        <x:v>discovery</x:v>
      </x:c>
      <x:c r="G1642" s="17" t="str">
        <x:v>Stage 2 recorded this row as a discovery candidate; it does not independently verify an exact current research program, eligibility, or funding.</x:v>
      </x:c>
      <x:c r="H1642" s="17" t="str">
        <x:v>Pass 2 Stage 2 candidate funnel</x:v>
      </x:c>
      <x:c r="I1642" s="17" t="str">
        <x:v>Graduate audit pipeline</x:v>
      </x:c>
      <x:c r="J1642" s="17" t="str">
        <x:v>derived</x:v>
      </x:c>
      <x:c r="K1642" s="17" t="str">
        <x:v>2026-09-11</x:v>
      </x:c>
      <x:c r="L1642" s="17" t="str">
        <x:v>Not cycle-specific</x:v>
      </x:c>
      <x:c r="M1642" s="17" t="str">
        <x:v>low</x:v>
      </x:c>
      <x:c r="N1642" s="17" t="str">
        <x:v>Discovery evidence only</x:v>
      </x:c>
      <x:c r="O1642" s="17" t="str">
        <x:v>Use the source_record_paths field to trace the underlying discovery inputs.</x:v>
      </x:c>
      <x:c r="P1642" s="18" t="e">
        <x:f>HYPERLINK("https://www.nec.edu","Open source")</x:f>
        <x:v>HYPERLINK is not implemented. linkLocation=https://www.nec.edu, friendlyName=Open source</x:v>
      </x:c>
    </x:row>
    <x:row r="1643" ht="46" customHeight="1">
      <x:c r="A1643" s="17" t="str">
        <x:v>stage3src:96d4af3f2a2819df4198</x:v>
      </x:c>
      <x:c r="B1643" s="17" t="str">
        <x:v>program</x:v>
      </x:c>
      <x:c r="C1643" s="17" t="str">
        <x:v>Southern New Hampshire University</x:v>
      </x:c>
      <x:c r="D1643" s="17" t="str">
        <x:v>us:ipeds:183026:program:unclear:ipeds-discovery-signal-computer-and-information-sciences-general-cip-11-0101</x:v>
      </x:c>
      <x:c r="E1643" s="17" t="str"/>
      <x:c r="F1643" s="17" t="str">
        <x:v>discovery</x:v>
      </x:c>
      <x:c r="G1643" s="17" t="str">
        <x:v>Stage 2 recorded this row as a discovery candidate; it does not independently verify an exact current research program, eligibility, or funding.</x:v>
      </x:c>
      <x:c r="H1643" s="17" t="str">
        <x:v>Pass 2 Stage 2 candidate funnel</x:v>
      </x:c>
      <x:c r="I1643" s="17" t="str">
        <x:v>Graduate audit pipeline</x:v>
      </x:c>
      <x:c r="J1643" s="17" t="str">
        <x:v>derived</x:v>
      </x:c>
      <x:c r="K1643" s="17" t="str">
        <x:v>2026-09-11</x:v>
      </x:c>
      <x:c r="L1643" s="17" t="str">
        <x:v>Not cycle-specific</x:v>
      </x:c>
      <x:c r="M1643" s="17" t="str">
        <x:v>low</x:v>
      </x:c>
      <x:c r="N1643" s="17" t="str">
        <x:v>Discovery evidence only</x:v>
      </x:c>
      <x:c r="O1643" s="17" t="str">
        <x:v>Use the source_record_paths field to trace the underlying discovery inputs.</x:v>
      </x:c>
      <x:c r="P1643" s="18" t="e">
        <x:f>HYPERLINK("https://www.snhu.edu","Open source")</x:f>
        <x:v>HYPERLINK is not implemented. linkLocation=https://www.snhu.edu, friendlyName=Open source</x:v>
      </x:c>
    </x:row>
    <x:row r="1644" ht="46" customHeight="1">
      <x:c r="A1644" s="17" t="str">
        <x:v>stage3src:2b11d7a6ea321aea953b</x:v>
      </x:c>
      <x:c r="B1644" s="17" t="str">
        <x:v>program</x:v>
      </x:c>
      <x:c r="C1644" s="17" t="str">
        <x:v>Southern New Hampshire University</x:v>
      </x:c>
      <x:c r="D1644" s="17" t="str">
        <x:v>us:ipeds:183026:program:unclear:ipeds-discovery-signal-computer-and-information-systems-security-auditing-information-assurance-cip-11-1003</x:v>
      </x:c>
      <x:c r="E1644" s="17" t="str"/>
      <x:c r="F1644" s="17" t="str">
        <x:v>discovery</x:v>
      </x:c>
      <x:c r="G1644" s="17" t="str">
        <x:v>Stage 2 recorded this row as a discovery candidate; it does not independently verify an exact current research program, eligibility, or funding.</x:v>
      </x:c>
      <x:c r="H1644" s="17" t="str">
        <x:v>Pass 2 Stage 2 candidate funnel</x:v>
      </x:c>
      <x:c r="I1644" s="17" t="str">
        <x:v>Graduate audit pipeline</x:v>
      </x:c>
      <x:c r="J1644" s="17" t="str">
        <x:v>derived</x:v>
      </x:c>
      <x:c r="K1644" s="17" t="str">
        <x:v>2026-09-11</x:v>
      </x:c>
      <x:c r="L1644" s="17" t="str">
        <x:v>Not cycle-specific</x:v>
      </x:c>
      <x:c r="M1644" s="17" t="str">
        <x:v>low</x:v>
      </x:c>
      <x:c r="N1644" s="17" t="str">
        <x:v>Discovery evidence only</x:v>
      </x:c>
      <x:c r="O1644" s="17" t="str">
        <x:v>Use the source_record_paths field to trace the underlying discovery inputs.</x:v>
      </x:c>
      <x:c r="P1644" s="18" t="e">
        <x:f>HYPERLINK("https://www.snhu.edu","Open source")</x:f>
        <x:v>HYPERLINK is not implemented. linkLocation=https://www.snhu.edu, friendlyName=Open source</x:v>
      </x:c>
    </x:row>
    <x:row r="1645" ht="46" customHeight="1">
      <x:c r="A1645" s="17" t="str">
        <x:v>stage3src:88e8a9ccb667b43562e5</x:v>
      </x:c>
      <x:c r="B1645" s="17" t="str">
        <x:v>program</x:v>
      </x:c>
      <x:c r="C1645" s="17" t="str">
        <x:v>University of New Hampshire-Main Campus</x:v>
      </x:c>
      <x:c r="D1645" s="17" t="str">
        <x:v>us:ipeds:183044:program:phd:computer-science-ph-d</x:v>
      </x:c>
      <x:c r="E1645" s="17" t="str"/>
      <x:c r="F1645" s="17" t="str">
        <x:v>program|research|admissions|eligibility|language|deadline|funding</x:v>
      </x:c>
      <x:c r="G1645" s="17" t="str">
        <x:v>Current Computer Science PhD, bachelor's-entry pathway, faculty-mentored dissertation research, topic breadth, and recurring funding consideration deadlines.</x:v>
      </x:c>
      <x:c r="H1645" s="17" t="str">
        <x:v>Computer Science, Ph.D.</x:v>
      </x:c>
      <x:c r="I1645" s="17" t="str">
        <x:v>University of New Hampshire</x:v>
      </x:c>
      <x:c r="J1645" s="17" t="str">
        <x:v>official</x:v>
      </x:c>
      <x:c r="K1645" s="17" t="str">
        <x:v>2026-09-11</x:v>
      </x:c>
      <x:c r="L1645" s="17" t="str">
        <x:v>Current recurring dates checked 2026-09-11; Fall 2027 requires confirmation</x:v>
      </x:c>
      <x:c r="M1645" s="17" t="str">
        <x:v>high</x:v>
      </x:c>
      <x:c r="N1645" s="17" t="str">
        <x:v>official page checked</x:v>
      </x:c>
      <x:c r="O1645" s="17" t="str"/>
      <x:c r="P1645" s="18" t="e">
        <x:f>HYPERLINK("https://www.unh.edu/program/doctor-philosophy/computer-science","Open source")</x:f>
        <x:v>HYPERLINK is not implemented. linkLocation=https://www.unh.edu/program/doctor-philosophy/computer-science, friendlyName=Open source</x:v>
      </x:c>
    </x:row>
    <x:row r="1646" ht="46" customHeight="1">
      <x:c r="A1646" s="17" t="str">
        <x:v>stage3src:e32c56e6b68f3cde8593</x:v>
      </x:c>
      <x:c r="B1646" s="17" t="str">
        <x:v>program</x:v>
      </x:c>
      <x:c r="C1646" s="17" t="str">
        <x:v>University of New Hampshire-Main Campus</x:v>
      </x:c>
      <x:c r="D1646" s="17" t="str">
        <x:v>us:ipeds:183044:program:phd:computer-science-ph-d</x:v>
      </x:c>
      <x:c r="E1646" s="17" t="str"/>
      <x:c r="F1646" s="17" t="str">
        <x:v>research|faculty</x:v>
      </x:c>
      <x:c r="G1646" s="17" t="str">
        <x:v>Current program-analysis, software-testing, software-security, and model-checking research adjacency.</x:v>
      </x:c>
      <x:c r="H1646" s="17" t="str">
        <x:v>Dongpeng Xu</x:v>
      </x:c>
      <x:c r="I1646" s="17" t="str">
        <x:v>University of New Hampshire</x:v>
      </x:c>
      <x:c r="J1646" s="17" t="str">
        <x:v>official</x:v>
      </x:c>
      <x:c r="K1646" s="17" t="str">
        <x:v>2026-09-11</x:v>
      </x:c>
      <x:c r="L1646" s="17" t="str">
        <x:v>Current faculty page checked 2026-09-11</x:v>
      </x:c>
      <x:c r="M1646" s="17" t="str">
        <x:v>high</x:v>
      </x:c>
      <x:c r="N1646" s="17" t="str">
        <x:v>official page checked</x:v>
      </x:c>
      <x:c r="O1646" s="17" t="str"/>
      <x:c r="P1646" s="18" t="e">
        <x:f>HYPERLINK("https://ceps.unh.edu/person/dongpeng-xu","Open source")</x:f>
        <x:v>HYPERLINK is not implemented. linkLocation=https://ceps.unh.edu/person/dongpeng-xu, friendlyName=Open source</x:v>
      </x:c>
    </x:row>
    <x:row r="1647" ht="46" customHeight="1">
      <x:c r="A1647" s="17" t="str">
        <x:v>stage3src:5caeb7f7e85ad6a903b3</x:v>
      </x:c>
      <x:c r="B1647" s="17" t="str">
        <x:v>program</x:v>
      </x:c>
      <x:c r="C1647" s="17" t="str">
        <x:v>University of New Hampshire-Main Campus</x:v>
      </x:c>
      <x:c r="D1647" s="17" t="str">
        <x:v>us:ipeds:183044:program:unclear:ipeds-discovery-signal-computer-and-information-sciences-general-cip-11-0101</x:v>
      </x:c>
      <x:c r="E1647" s="17" t="str"/>
      <x:c r="F1647" s="17" t="str">
        <x:v>discovery</x:v>
      </x:c>
      <x:c r="G1647" s="17" t="str">
        <x:v>Stage 2 recorded this row as a discovery candidate; it does not independently verify an exact current research program, eligibility, or funding.</x:v>
      </x:c>
      <x:c r="H1647" s="17" t="str">
        <x:v>Pass 2 Stage 2 candidate funnel</x:v>
      </x:c>
      <x:c r="I1647" s="17" t="str">
        <x:v>Graduate audit pipeline</x:v>
      </x:c>
      <x:c r="J1647" s="17" t="str">
        <x:v>derived</x:v>
      </x:c>
      <x:c r="K1647" s="17" t="str">
        <x:v>2026-09-11</x:v>
      </x:c>
      <x:c r="L1647" s="17" t="str">
        <x:v>Not cycle-specific</x:v>
      </x:c>
      <x:c r="M1647" s="17" t="str">
        <x:v>low</x:v>
      </x:c>
      <x:c r="N1647" s="17" t="str">
        <x:v>Discovery evidence only</x:v>
      </x:c>
      <x:c r="O1647" s="17" t="str">
        <x:v>Use the source_record_paths field to trace the underlying discovery inputs.</x:v>
      </x:c>
      <x:c r="P1647" s="18" t="e">
        <x:f>HYPERLINK("https://www.unh.edu","Open source")</x:f>
        <x:v>HYPERLINK is not implemented. linkLocation=https://www.unh.edu, friendlyName=Open source</x:v>
      </x:c>
    </x:row>
    <x:row r="1648" ht="46" customHeight="1">
      <x:c r="A1648" s="17" t="str">
        <x:v>stage3src:1b4390c4df0c14668875</x:v>
      </x:c>
      <x:c r="B1648" s="17" t="str">
        <x:v>program</x:v>
      </x:c>
      <x:c r="C1648" s="17" t="str">
        <x:v>University of New Hampshire-Main Campus</x:v>
      </x:c>
      <x:c r="D1648" s="17" t="str">
        <x:v>us:ipeds:183044:program:unclear:ipeds-discovery-signal-computer-and-information-systems-security-auditing-information-assurance-cip-11-1003</x:v>
      </x:c>
      <x:c r="E1648" s="17" t="str"/>
      <x:c r="F1648" s="17" t="str">
        <x:v>discovery</x:v>
      </x:c>
      <x:c r="G1648" s="17" t="str">
        <x:v>Stage 2 recorded this row as a discovery candidate; it does not independently verify an exact current research program, eligibility, or funding.</x:v>
      </x:c>
      <x:c r="H1648" s="17" t="str">
        <x:v>Pass 2 Stage 2 candidate funnel</x:v>
      </x:c>
      <x:c r="I1648" s="17" t="str">
        <x:v>Graduate audit pipeline</x:v>
      </x:c>
      <x:c r="J1648" s="17" t="str">
        <x:v>derived</x:v>
      </x:c>
      <x:c r="K1648" s="17" t="str">
        <x:v>2026-09-11</x:v>
      </x:c>
      <x:c r="L1648" s="17" t="str">
        <x:v>Not cycle-specific</x:v>
      </x:c>
      <x:c r="M1648" s="17" t="str">
        <x:v>low</x:v>
      </x:c>
      <x:c r="N1648" s="17" t="str">
        <x:v>Discovery evidence only</x:v>
      </x:c>
      <x:c r="O1648" s="17" t="str">
        <x:v>Use the source_record_paths field to trace the underlying discovery inputs.</x:v>
      </x:c>
      <x:c r="P1648" s="18" t="e">
        <x:f>HYPERLINK("https://www.unh.edu","Open source")</x:f>
        <x:v>HYPERLINK is not implemented. linkLocation=https://www.unh.edu, friendlyName=Open source</x:v>
      </x:c>
    </x:row>
    <x:row r="1649" ht="46" customHeight="1">
      <x:c r="A1649" s="17" t="str">
        <x:v>stage3src:a1d9fb3c5dc778a0e098</x:v>
      </x:c>
      <x:c r="B1649" s="17" t="str">
        <x:v>program</x:v>
      </x:c>
      <x:c r="C1649" s="17" t="str">
        <x:v>University of New Hampshire-Main Campus</x:v>
      </x:c>
      <x:c r="D1649" s="17" t="str">
        <x:v>us:ipeds:183044:program:unclear:ipeds-discovery-signal-electrical-and-electronics-engineering-cip-14-1001</x:v>
      </x:c>
      <x:c r="E1649" s="17" t="str"/>
      <x:c r="F1649" s="17" t="str">
        <x:v>discovery</x:v>
      </x:c>
      <x:c r="G1649" s="17" t="str">
        <x:v>Stage 2 recorded this row as a discovery candidate; it does not independently verify an exact current research program, eligibility, or funding.</x:v>
      </x:c>
      <x:c r="H1649" s="17" t="str">
        <x:v>Pass 2 Stage 2 candidate funnel</x:v>
      </x:c>
      <x:c r="I1649" s="17" t="str">
        <x:v>Graduate audit pipeline</x:v>
      </x:c>
      <x:c r="J1649" s="17" t="str">
        <x:v>derived</x:v>
      </x:c>
      <x:c r="K1649" s="17" t="str">
        <x:v>2026-09-11</x:v>
      </x:c>
      <x:c r="L1649" s="17" t="str">
        <x:v>Not cycle-specific</x:v>
      </x:c>
      <x:c r="M1649" s="17" t="str">
        <x:v>low</x:v>
      </x:c>
      <x:c r="N1649" s="17" t="str">
        <x:v>Discovery evidence only</x:v>
      </x:c>
      <x:c r="O1649" s="17" t="str">
        <x:v>Use the source_record_paths field to trace the underlying discovery inputs.</x:v>
      </x:c>
      <x:c r="P1649" s="18" t="e">
        <x:f>HYPERLINK("https://www.unh.edu","Open source")</x:f>
        <x:v>HYPERLINK is not implemented. linkLocation=https://www.unh.edu, friendlyName=Open source</x:v>
      </x:c>
    </x:row>
    <x:row r="1650" ht="46" customHeight="1">
      <x:c r="A1650" s="17" t="str">
        <x:v>stage3src:21dd0136aec991774afb</x:v>
      </x:c>
      <x:c r="B1650" s="17" t="str">
        <x:v>program</x:v>
      </x:c>
      <x:c r="C1650" s="17" t="str">
        <x:v>University of New Hampshire-Main Campus</x:v>
      </x:c>
      <x:c r="D1650" s="17" t="str">
        <x:v>us:ipeds:183044:program:unclear:ipeds-discovery-signal-information-technology-cip-11-0103</x:v>
      </x:c>
      <x:c r="E1650" s="17" t="str"/>
      <x:c r="F1650" s="17" t="str">
        <x:v>discovery</x:v>
      </x:c>
      <x:c r="G1650" s="17" t="str">
        <x:v>Stage 2 recorded this row as a discovery candidate; it does not independently verify an exact current research program, eligibility, or funding.</x:v>
      </x:c>
      <x:c r="H1650" s="17" t="str">
        <x:v>Pass 2 Stage 2 candidate funnel</x:v>
      </x:c>
      <x:c r="I1650" s="17" t="str">
        <x:v>Graduate audit pipeline</x:v>
      </x:c>
      <x:c r="J1650" s="17" t="str">
        <x:v>derived</x:v>
      </x:c>
      <x:c r="K1650" s="17" t="str">
        <x:v>2026-09-11</x:v>
      </x:c>
      <x:c r="L1650" s="17" t="str">
        <x:v>Not cycle-specific</x:v>
      </x:c>
      <x:c r="M1650" s="17" t="str">
        <x:v>low</x:v>
      </x:c>
      <x:c r="N1650" s="17" t="str">
        <x:v>Discovery evidence only</x:v>
      </x:c>
      <x:c r="O1650" s="17" t="str">
        <x:v>Use the source_record_paths field to trace the underlying discovery inputs.</x:v>
      </x:c>
      <x:c r="P1650" s="18" t="e">
        <x:f>HYPERLINK("https://www.unh.edu","Open source")</x:f>
        <x:v>HYPERLINK is not implemented. linkLocation=https://www.unh.edu, friendlyName=Open source</x:v>
      </x:c>
    </x:row>
    <x:row r="1651" ht="46" customHeight="1">
      <x:c r="A1651" s="17" t="str">
        <x:v>stage3src:d644557faa90cd5389fd</x:v>
      </x:c>
      <x:c r="B1651" s="17" t="str">
        <x:v>program</x:v>
      </x:c>
      <x:c r="C1651" s="17" t="str">
        <x:v>University of New Hampshire at Manchester</x:v>
      </x:c>
      <x:c r="D1651" s="17" t="str">
        <x:v>us:ipeds:183071:program:unclear:ipeds-discovery-signal-computer-and-information-systems-security-auditing-information-assurance-cip-11-1003</x:v>
      </x:c>
      <x:c r="E1651" s="17" t="str"/>
      <x:c r="F1651" s="17" t="str">
        <x:v>discovery</x:v>
      </x:c>
      <x:c r="G1651" s="17" t="str">
        <x:v>Stage 2 recorded this row as a discovery candidate; it does not independently verify an exact current research program, eligibility, or funding.</x:v>
      </x:c>
      <x:c r="H1651" s="17" t="str">
        <x:v>Pass 2 Stage 2 candidate funnel</x:v>
      </x:c>
      <x:c r="I1651" s="17" t="str">
        <x:v>Graduate audit pipeline</x:v>
      </x:c>
      <x:c r="J1651" s="17" t="str">
        <x:v>derived</x:v>
      </x:c>
      <x:c r="K1651" s="17" t="str">
        <x:v>2026-09-11</x:v>
      </x:c>
      <x:c r="L1651" s="17" t="str">
        <x:v>Not cycle-specific</x:v>
      </x:c>
      <x:c r="M1651" s="17" t="str">
        <x:v>low</x:v>
      </x:c>
      <x:c r="N1651" s="17" t="str">
        <x:v>Discovery evidence only</x:v>
      </x:c>
      <x:c r="O1651" s="17" t="str">
        <x:v>Use the source_record_paths field to trace the underlying discovery inputs.</x:v>
      </x:c>
      <x:c r="P1651" s="18" t="e">
        <x:f>HYPERLINK("https://manchester.unh.edu","Open source")</x:f>
        <x:v>HYPERLINK is not implemented. linkLocation=https://manchester.unh.edu, friendlyName=Open source</x:v>
      </x:c>
    </x:row>
    <x:row r="1652" ht="46" customHeight="1">
      <x:c r="A1652" s="17" t="str">
        <x:v>stage3src:41eb9fd0d8da24ae9b83</x:v>
      </x:c>
      <x:c r="B1652" s="17" t="str">
        <x:v>program</x:v>
      </x:c>
      <x:c r="C1652" s="17" t="str">
        <x:v>University of New Hampshire at Manchester</x:v>
      </x:c>
      <x:c r="D1652" s="17" t="str">
        <x:v>us:ipeds:183071:program:unclear:ipeds-discovery-signal-information-technology-cip-11-0103</x:v>
      </x:c>
      <x:c r="E1652" s="17" t="str"/>
      <x:c r="F1652" s="17" t="str">
        <x:v>discovery</x:v>
      </x:c>
      <x:c r="G1652" s="17" t="str">
        <x:v>Stage 2 recorded this row as a discovery candidate; it does not independently verify an exact current research program, eligibility, or funding.</x:v>
      </x:c>
      <x:c r="H1652" s="17" t="str">
        <x:v>Pass 2 Stage 2 candidate funnel</x:v>
      </x:c>
      <x:c r="I1652" s="17" t="str">
        <x:v>Graduate audit pipeline</x:v>
      </x:c>
      <x:c r="J1652" s="17" t="str">
        <x:v>derived</x:v>
      </x:c>
      <x:c r="K1652" s="17" t="str">
        <x:v>2026-09-11</x:v>
      </x:c>
      <x:c r="L1652" s="17" t="str">
        <x:v>Not cycle-specific</x:v>
      </x:c>
      <x:c r="M1652" s="17" t="str">
        <x:v>low</x:v>
      </x:c>
      <x:c r="N1652" s="17" t="str">
        <x:v>Discovery evidence only</x:v>
      </x:c>
      <x:c r="O1652" s="17" t="str">
        <x:v>Use the source_record_paths field to trace the underlying discovery inputs.</x:v>
      </x:c>
      <x:c r="P1652" s="18" t="e">
        <x:f>HYPERLINK("https://manchester.unh.edu","Open source")</x:f>
        <x:v>HYPERLINK is not implemented. linkLocation=https://manchester.unh.edu, friendlyName=Open source</x:v>
      </x:c>
    </x:row>
    <x:row r="1653" ht="46" customHeight="1">
      <x:c r="A1653" s="17" t="str">
        <x:v>stage3src:f6067c3508591d81b978</x:v>
      </x:c>
      <x:c r="B1653" s="17" t="str">
        <x:v>program</x:v>
      </x:c>
      <x:c r="C1653" s="17" t="str">
        <x:v>Rivier University</x:v>
      </x:c>
      <x:c r="D1653" s="17" t="str">
        <x:v>us:ipeds:183211:program:unclear:ipeds-discovery-signal-computer-and-information-sciences-general-cip-11-0101</x:v>
      </x:c>
      <x:c r="E1653" s="17" t="str"/>
      <x:c r="F1653" s="17" t="str">
        <x:v>discovery</x:v>
      </x:c>
      <x:c r="G1653" s="17" t="str">
        <x:v>Stage 2 recorded this row as a discovery candidate; it does not independently verify an exact current research program, eligibility, or funding.</x:v>
      </x:c>
      <x:c r="H1653" s="17" t="str">
        <x:v>Pass 2 Stage 2 candidate funnel</x:v>
      </x:c>
      <x:c r="I1653" s="17" t="str">
        <x:v>Graduate audit pipeline</x:v>
      </x:c>
      <x:c r="J1653" s="17" t="str">
        <x:v>derived</x:v>
      </x:c>
      <x:c r="K1653" s="17" t="str">
        <x:v>2026-09-11</x:v>
      </x:c>
      <x:c r="L1653" s="17" t="str">
        <x:v>Not cycle-specific</x:v>
      </x:c>
      <x:c r="M1653" s="17" t="str">
        <x:v>low</x:v>
      </x:c>
      <x:c r="N1653" s="17" t="str">
        <x:v>Discovery evidence only</x:v>
      </x:c>
      <x:c r="O1653" s="17" t="str">
        <x:v>Use the source_record_paths field to trace the underlying discovery inputs.</x:v>
      </x:c>
      <x:c r="P1653" s="18" t="e">
        <x:f>HYPERLINK("https://www.rivier.edu","Open source")</x:f>
        <x:v>HYPERLINK is not implemented. linkLocation=https://www.rivier.edu, friendlyName=Open source</x:v>
      </x:c>
    </x:row>
    <x:row r="1654" ht="46" customHeight="1">
      <x:c r="A1654" s="17" t="str">
        <x:v>stage3src:f922c3f8911e5512ddc1</x:v>
      </x:c>
      <x:c r="B1654" s="17" t="str">
        <x:v>program</x:v>
      </x:c>
      <x:c r="C1654" s="17" t="str">
        <x:v>Rivier University</x:v>
      </x:c>
      <x:c r="D1654" s="17" t="str">
        <x:v>us:ipeds:183211:program:unclear:ipeds-discovery-signal-computer-science-cip-11-0701</x:v>
      </x:c>
      <x:c r="E1654" s="17" t="str"/>
      <x:c r="F1654" s="17" t="str">
        <x:v>discovery</x:v>
      </x:c>
      <x:c r="G1654" s="17" t="str">
        <x:v>Stage 2 recorded this row as a discovery candidate; it does not independently verify an exact current research program, eligibility, or funding.</x:v>
      </x:c>
      <x:c r="H1654" s="17" t="str">
        <x:v>Pass 2 Stage 2 candidate funnel</x:v>
      </x:c>
      <x:c r="I1654" s="17" t="str">
        <x:v>Graduate audit pipeline</x:v>
      </x:c>
      <x:c r="J1654" s="17" t="str">
        <x:v>derived</x:v>
      </x:c>
      <x:c r="K1654" s="17" t="str">
        <x:v>2026-09-11</x:v>
      </x:c>
      <x:c r="L1654" s="17" t="str">
        <x:v>Not cycle-specific</x:v>
      </x:c>
      <x:c r="M1654" s="17" t="str">
        <x:v>low</x:v>
      </x:c>
      <x:c r="N1654" s="17" t="str">
        <x:v>Discovery evidence only</x:v>
      </x:c>
      <x:c r="O1654" s="17" t="str">
        <x:v>Use the source_record_paths field to trace the underlying discovery inputs.</x:v>
      </x:c>
      <x:c r="P1654" s="18" t="e">
        <x:f>HYPERLINK("https://www.rivier.edu","Open source")</x:f>
        <x:v>HYPERLINK is not implemented. linkLocation=https://www.rivier.edu, friendlyName=Open source</x:v>
      </x:c>
    </x:row>
    <x:row r="1655" ht="46" customHeight="1">
      <x:c r="A1655" s="17" t="str">
        <x:v>stage3src:6110ad56aa41fd6b611a</x:v>
      </x:c>
      <x:c r="B1655" s="17" t="str">
        <x:v>program</x:v>
      </x:c>
      <x:c r="C1655" s="17" t="str">
        <x:v>Fairleigh Dickinson University-Metropolitan Campus</x:v>
      </x:c>
      <x:c r="D1655" s="17" t="str">
        <x:v>us:ipeds:184603:program:unclear:ipeds-discovery-signal-computer-and-information-systems-security-auditing-information-assurance-cip-11-1003</x:v>
      </x:c>
      <x:c r="E1655" s="17" t="str"/>
      <x:c r="F1655" s="17" t="str">
        <x:v>discovery</x:v>
      </x:c>
      <x:c r="G1655" s="17" t="str">
        <x:v>Stage 2 recorded this row as a discovery candidate; it does not independently verify an exact current research program, eligibility, or funding.</x:v>
      </x:c>
      <x:c r="H1655" s="17" t="str">
        <x:v>Pass 2 Stage 2 candidate funnel</x:v>
      </x:c>
      <x:c r="I1655" s="17" t="str">
        <x:v>Graduate audit pipeline</x:v>
      </x:c>
      <x:c r="J1655" s="17" t="str">
        <x:v>derived</x:v>
      </x:c>
      <x:c r="K1655" s="17" t="str">
        <x:v>2026-09-11</x:v>
      </x:c>
      <x:c r="L1655" s="17" t="str">
        <x:v>Not cycle-specific</x:v>
      </x:c>
      <x:c r="M1655" s="17" t="str">
        <x:v>low</x:v>
      </x:c>
      <x:c r="N1655" s="17" t="str">
        <x:v>Discovery evidence only</x:v>
      </x:c>
      <x:c r="O1655" s="17" t="str">
        <x:v>Use the source_record_paths field to trace the underlying discovery inputs.</x:v>
      </x:c>
      <x:c r="P1655" s="18" t="e">
        <x:f>HYPERLINK("https://www.fdu.edu","Open source")</x:f>
        <x:v>HYPERLINK is not implemented. linkLocation=https://www.fdu.edu, friendlyName=Open source</x:v>
      </x:c>
    </x:row>
    <x:row r="1656" ht="46" customHeight="1">
      <x:c r="A1656" s="17" t="str">
        <x:v>stage3src:0081b832973a737751ae</x:v>
      </x:c>
      <x:c r="B1656" s="17" t="str">
        <x:v>program</x:v>
      </x:c>
      <x:c r="C1656" s="17" t="str">
        <x:v>Fairleigh Dickinson University-Metropolitan Campus</x:v>
      </x:c>
      <x:c r="D1656" s="17" t="str">
        <x:v>us:ipeds:184603:program:unclear:ipeds-discovery-signal-computer-engineering-general-cip-14-0901</x:v>
      </x:c>
      <x:c r="E1656" s="17" t="str"/>
      <x:c r="F1656" s="17" t="str">
        <x:v>discovery</x:v>
      </x:c>
      <x:c r="G1656" s="17" t="str">
        <x:v>Stage 2 recorded this row as a discovery candidate; it does not independently verify an exact current research program, eligibility, or funding.</x:v>
      </x:c>
      <x:c r="H1656" s="17" t="str">
        <x:v>Pass 2 Stage 2 candidate funnel</x:v>
      </x:c>
      <x:c r="I1656" s="17" t="str">
        <x:v>Graduate audit pipeline</x:v>
      </x:c>
      <x:c r="J1656" s="17" t="str">
        <x:v>derived</x:v>
      </x:c>
      <x:c r="K1656" s="17" t="str">
        <x:v>2026-09-11</x:v>
      </x:c>
      <x:c r="L1656" s="17" t="str">
        <x:v>Not cycle-specific</x:v>
      </x:c>
      <x:c r="M1656" s="17" t="str">
        <x:v>low</x:v>
      </x:c>
      <x:c r="N1656" s="17" t="str">
        <x:v>Discovery evidence only</x:v>
      </x:c>
      <x:c r="O1656" s="17" t="str">
        <x:v>Use the source_record_paths field to trace the underlying discovery inputs.</x:v>
      </x:c>
      <x:c r="P1656" s="18" t="e">
        <x:f>HYPERLINK("https://www.fdu.edu","Open source")</x:f>
        <x:v>HYPERLINK is not implemented. linkLocation=https://www.fdu.edu, friendlyName=Open source</x:v>
      </x:c>
    </x:row>
    <x:row r="1657" ht="46" customHeight="1">
      <x:c r="A1657" s="17" t="str">
        <x:v>stage3src:c5ba2f37e31deb7208ef</x:v>
      </x:c>
      <x:c r="B1657" s="17" t="str">
        <x:v>program</x:v>
      </x:c>
      <x:c r="C1657" s="17" t="str">
        <x:v>Fairleigh Dickinson University-Metropolitan Campus</x:v>
      </x:c>
      <x:c r="D1657" s="17" t="str">
        <x:v>us:ipeds:184603:program:unclear:ipeds-discovery-signal-computer-science-cip-11-0701</x:v>
      </x:c>
      <x:c r="E1657" s="17" t="str"/>
      <x:c r="F1657" s="17" t="str">
        <x:v>discovery</x:v>
      </x:c>
      <x:c r="G1657" s="17" t="str">
        <x:v>Stage 2 recorded this row as a discovery candidate; it does not independently verify an exact current research program, eligibility, or funding.</x:v>
      </x:c>
      <x:c r="H1657" s="17" t="str">
        <x:v>Pass 2 Stage 2 candidate funnel</x:v>
      </x:c>
      <x:c r="I1657" s="17" t="str">
        <x:v>Graduate audit pipeline</x:v>
      </x:c>
      <x:c r="J1657" s="17" t="str">
        <x:v>derived</x:v>
      </x:c>
      <x:c r="K1657" s="17" t="str">
        <x:v>2026-09-11</x:v>
      </x:c>
      <x:c r="L1657" s="17" t="str">
        <x:v>Not cycle-specific</x:v>
      </x:c>
      <x:c r="M1657" s="17" t="str">
        <x:v>low</x:v>
      </x:c>
      <x:c r="N1657" s="17" t="str">
        <x:v>Discovery evidence only</x:v>
      </x:c>
      <x:c r="O1657" s="17" t="str">
        <x:v>Use the source_record_paths field to trace the underlying discovery inputs.</x:v>
      </x:c>
      <x:c r="P1657" s="18" t="e">
        <x:f>HYPERLINK("https://www.fdu.edu","Open source")</x:f>
        <x:v>HYPERLINK is not implemented. linkLocation=https://www.fdu.edu, friendlyName=Open source</x:v>
      </x:c>
    </x:row>
    <x:row r="1658" ht="46" customHeight="1">
      <x:c r="A1658" s="17" t="str">
        <x:v>stage3src:dd1e8d2090ed0e88bbb3</x:v>
      </x:c>
      <x:c r="B1658" s="17" t="str">
        <x:v>program</x:v>
      </x:c>
      <x:c r="C1658" s="17" t="str">
        <x:v>Fairleigh Dickinson University-Metropolitan Campus</x:v>
      </x:c>
      <x:c r="D1658" s="17" t="str">
        <x:v>us:ipeds:184603:program:unclear:ipeds-discovery-signal-electrical-and-electronics-engineering-cip-14-1001</x:v>
      </x:c>
      <x:c r="E1658" s="17" t="str"/>
      <x:c r="F1658" s="17" t="str">
        <x:v>discovery</x:v>
      </x:c>
      <x:c r="G1658" s="17" t="str">
        <x:v>Stage 2 recorded this row as a discovery candidate; it does not independently verify an exact current research program, eligibility, or funding.</x:v>
      </x:c>
      <x:c r="H1658" s="17" t="str">
        <x:v>Pass 2 Stage 2 candidate funnel</x:v>
      </x:c>
      <x:c r="I1658" s="17" t="str">
        <x:v>Graduate audit pipeline</x:v>
      </x:c>
      <x:c r="J1658" s="17" t="str">
        <x:v>derived</x:v>
      </x:c>
      <x:c r="K1658" s="17" t="str">
        <x:v>2026-09-11</x:v>
      </x:c>
      <x:c r="L1658" s="17" t="str">
        <x:v>Not cycle-specific</x:v>
      </x:c>
      <x:c r="M1658" s="17" t="str">
        <x:v>low</x:v>
      </x:c>
      <x:c r="N1658" s="17" t="str">
        <x:v>Discovery evidence only</x:v>
      </x:c>
      <x:c r="O1658" s="17" t="str">
        <x:v>Use the source_record_paths field to trace the underlying discovery inputs.</x:v>
      </x:c>
      <x:c r="P1658" s="18" t="e">
        <x:f>HYPERLINK("https://www.fdu.edu","Open source")</x:f>
        <x:v>HYPERLINK is not implemented. linkLocation=https://www.fdu.edu, friendlyName=Open source</x:v>
      </x:c>
    </x:row>
    <x:row r="1659" ht="46" customHeight="1">
      <x:c r="A1659" s="17" t="str">
        <x:v>stage3src:4a4a566277f18172fb18</x:v>
      </x:c>
      <x:c r="B1659" s="17" t="str">
        <x:v>program</x:v>
      </x:c>
      <x:c r="C1659" s="17" t="str">
        <x:v>Fairleigh Dickinson University-Metropolitan Campus</x:v>
      </x:c>
      <x:c r="D1659" s="17" t="str">
        <x:v>us:ipeds:184603:program:unclear:ipeds-discovery-signal-information-science-studies-cip-11-0401</x:v>
      </x:c>
      <x:c r="E1659" s="17" t="str"/>
      <x:c r="F1659" s="17" t="str">
        <x:v>discovery</x:v>
      </x:c>
      <x:c r="G1659" s="17" t="str">
        <x:v>Stage 2 recorded this row as a discovery candidate; it does not independently verify an exact current research program, eligibility, or funding.</x:v>
      </x:c>
      <x:c r="H1659" s="17" t="str">
        <x:v>Pass 2 Stage 2 candidate funnel</x:v>
      </x:c>
      <x:c r="I1659" s="17" t="str">
        <x:v>Graduate audit pipeline</x:v>
      </x:c>
      <x:c r="J1659" s="17" t="str">
        <x:v>derived</x:v>
      </x:c>
      <x:c r="K1659" s="17" t="str">
        <x:v>2026-09-11</x:v>
      </x:c>
      <x:c r="L1659" s="17" t="str">
        <x:v>Not cycle-specific</x:v>
      </x:c>
      <x:c r="M1659" s="17" t="str">
        <x:v>low</x:v>
      </x:c>
      <x:c r="N1659" s="17" t="str">
        <x:v>Discovery evidence only</x:v>
      </x:c>
      <x:c r="O1659" s="17" t="str">
        <x:v>Use the source_record_paths field to trace the underlying discovery inputs.</x:v>
      </x:c>
      <x:c r="P1659" s="18" t="e">
        <x:f>HYPERLINK("https://www.fdu.edu","Open source")</x:f>
        <x:v>HYPERLINK is not implemented. linkLocation=https://www.fdu.edu, friendlyName=Open source</x:v>
      </x:c>
    </x:row>
    <x:row r="1660" ht="46" customHeight="1">
      <x:c r="A1660" s="17" t="str">
        <x:v>stage3src:73c484031b56cefeaca0</x:v>
      </x:c>
      <x:c r="B1660" s="17" t="str">
        <x:v>program</x:v>
      </x:c>
      <x:c r="C1660" s="17" t="str">
        <x:v>Felician University</x:v>
      </x:c>
      <x:c r="D1660" s="17" t="str">
        <x:v>us:ipeds:184612:program:unclear:ipeds-discovery-signal-computer-science-cip-11-0701</x:v>
      </x:c>
      <x:c r="E1660" s="17" t="str"/>
      <x:c r="F1660" s="17" t="str">
        <x:v>discovery</x:v>
      </x:c>
      <x:c r="G1660" s="17" t="str">
        <x:v>Stage 2 recorded this row as a discovery candidate; it does not independently verify an exact current research program, eligibility, or funding.</x:v>
      </x:c>
      <x:c r="H1660" s="17" t="str">
        <x:v>Pass 2 Stage 2 candidate funnel</x:v>
      </x:c>
      <x:c r="I1660" s="17" t="str">
        <x:v>Graduate audit pipeline</x:v>
      </x:c>
      <x:c r="J1660" s="17" t="str">
        <x:v>derived</x:v>
      </x:c>
      <x:c r="K1660" s="17" t="str">
        <x:v>2026-09-11</x:v>
      </x:c>
      <x:c r="L1660" s="17" t="str">
        <x:v>Not cycle-specific</x:v>
      </x:c>
      <x:c r="M1660" s="17" t="str">
        <x:v>low</x:v>
      </x:c>
      <x:c r="N1660" s="17" t="str">
        <x:v>Discovery evidence only</x:v>
      </x:c>
      <x:c r="O1660" s="17" t="str">
        <x:v>Use the source_record_paths field to trace the underlying discovery inputs.</x:v>
      </x:c>
      <x:c r="P1660" s="18" t="e">
        <x:f>HYPERLINK("https://www.felician.edu","Open source")</x:f>
        <x:v>HYPERLINK is not implemented. linkLocation=https://www.felician.edu, friendlyName=Open source</x:v>
      </x:c>
    </x:row>
    <x:row r="1661" ht="46" customHeight="1">
      <x:c r="A1661" s="17" t="str">
        <x:v>stage3src:38cb14a8fe9923c28417</x:v>
      </x:c>
      <x:c r="B1661" s="17" t="str">
        <x:v>program</x:v>
      </x:c>
      <x:c r="C1661" s="17" t="str">
        <x:v>Fairleigh Dickinson University-Florham Campus</x:v>
      </x:c>
      <x:c r="D1661" s="17" t="str">
        <x:v>us:ipeds:184694:program:unclear:ipeds-discovery-signal-computer-science-cip-11-0701</x:v>
      </x:c>
      <x:c r="E1661" s="17" t="str"/>
      <x:c r="F1661" s="17" t="str">
        <x:v>discovery</x:v>
      </x:c>
      <x:c r="G1661" s="17" t="str">
        <x:v>Stage 2 recorded this row as a discovery candidate; it does not independently verify an exact current research program, eligibility, or funding.</x:v>
      </x:c>
      <x:c r="H1661" s="17" t="str">
        <x:v>Pass 2 Stage 2 candidate funnel</x:v>
      </x:c>
      <x:c r="I1661" s="17" t="str">
        <x:v>Graduate audit pipeline</x:v>
      </x:c>
      <x:c r="J1661" s="17" t="str">
        <x:v>derived</x:v>
      </x:c>
      <x:c r="K1661" s="17" t="str">
        <x:v>2026-09-11</x:v>
      </x:c>
      <x:c r="L1661" s="17" t="str">
        <x:v>Not cycle-specific</x:v>
      </x:c>
      <x:c r="M1661" s="17" t="str">
        <x:v>low</x:v>
      </x:c>
      <x:c r="N1661" s="17" t="str">
        <x:v>Discovery evidence only</x:v>
      </x:c>
      <x:c r="O1661" s="17" t="str">
        <x:v>Use the source_record_paths field to trace the underlying discovery inputs.</x:v>
      </x:c>
      <x:c r="P1661" s="18" t="e">
        <x:f>HYPERLINK("https://www.fdu.edu","Open source")</x:f>
        <x:v>HYPERLINK is not implemented. linkLocation=https://www.fdu.edu, friendlyName=Open source</x:v>
      </x:c>
    </x:row>
    <x:row r="1662" ht="46" customHeight="1">
      <x:c r="A1662" s="17" t="str">
        <x:v>stage3src:7bfb856d596e490ce663</x:v>
      </x:c>
      <x:c r="B1662" s="17" t="str">
        <x:v>program</x:v>
      </x:c>
      <x:c r="C1662" s="17" t="str">
        <x:v>Rowan University</x:v>
      </x:c>
      <x:c r="D1662" s="17" t="str">
        <x:v>us:ipeds:184782:program:unclear:ipeds-discovery-signal-computer-and-information-sciences-general-cip-11-0101</x:v>
      </x:c>
      <x:c r="E1662" s="17" t="str"/>
      <x:c r="F1662" s="17" t="str">
        <x:v>discovery</x:v>
      </x:c>
      <x:c r="G1662" s="17" t="str">
        <x:v>Stage 2 recorded this row as a discovery candidate; it does not independently verify an exact current research program, eligibility, or funding.</x:v>
      </x:c>
      <x:c r="H1662" s="17" t="str">
        <x:v>Pass 2 Stage 2 candidate funnel</x:v>
      </x:c>
      <x:c r="I1662" s="17" t="str">
        <x:v>Graduate audit pipeline</x:v>
      </x:c>
      <x:c r="J1662" s="17" t="str">
        <x:v>derived</x:v>
      </x:c>
      <x:c r="K1662" s="17" t="str">
        <x:v>2026-09-11</x:v>
      </x:c>
      <x:c r="L1662" s="17" t="str">
        <x:v>Not cycle-specific</x:v>
      </x:c>
      <x:c r="M1662" s="17" t="str">
        <x:v>low</x:v>
      </x:c>
      <x:c r="N1662" s="17" t="str">
        <x:v>Discovery evidence only</x:v>
      </x:c>
      <x:c r="O1662" s="17" t="str">
        <x:v>Use the source_record_paths field to trace the underlying discovery inputs.</x:v>
      </x:c>
      <x:c r="P1662" s="18" t="e">
        <x:f>HYPERLINK("https://www.rowan.edu","Open source")</x:f>
        <x:v>HYPERLINK is not implemented. linkLocation=https://www.rowan.edu, friendlyName=Open source</x:v>
      </x:c>
    </x:row>
    <x:row r="1663" ht="46" customHeight="1">
      <x:c r="A1663" s="17" t="str">
        <x:v>stage3src:a2ce9b58dfe6ece27d2a</x:v>
      </x:c>
      <x:c r="B1663" s="17" t="str">
        <x:v>program</x:v>
      </x:c>
      <x:c r="C1663" s="17" t="str">
        <x:v>Rowan University</x:v>
      </x:c>
      <x:c r="D1663" s="17" t="str">
        <x:v>us:ipeds:184782:program:unclear:ipeds-discovery-signal-computer-and-information-systems-security-auditing-information-assurance-cip-11-1003</x:v>
      </x:c>
      <x:c r="E1663" s="17" t="str"/>
      <x:c r="F1663" s="17" t="str">
        <x:v>discovery</x:v>
      </x:c>
      <x:c r="G1663" s="17" t="str">
        <x:v>Stage 2 recorded this row as a discovery candidate; it does not independently verify an exact current research program, eligibility, or funding.</x:v>
      </x:c>
      <x:c r="H1663" s="17" t="str">
        <x:v>Pass 2 Stage 2 candidate funnel</x:v>
      </x:c>
      <x:c r="I1663" s="17" t="str">
        <x:v>Graduate audit pipeline</x:v>
      </x:c>
      <x:c r="J1663" s="17" t="str">
        <x:v>derived</x:v>
      </x:c>
      <x:c r="K1663" s="17" t="str">
        <x:v>2026-09-11</x:v>
      </x:c>
      <x:c r="L1663" s="17" t="str">
        <x:v>Not cycle-specific</x:v>
      </x:c>
      <x:c r="M1663" s="17" t="str">
        <x:v>low</x:v>
      </x:c>
      <x:c r="N1663" s="17" t="str">
        <x:v>Discovery evidence only</x:v>
      </x:c>
      <x:c r="O1663" s="17" t="str">
        <x:v>Use the source_record_paths field to trace the underlying discovery inputs.</x:v>
      </x:c>
      <x:c r="P1663" s="18" t="e">
        <x:f>HYPERLINK("https://www.rowan.edu","Open source")</x:f>
        <x:v>HYPERLINK is not implemented. linkLocation=https://www.rowan.edu, friendlyName=Open source</x:v>
      </x:c>
    </x:row>
    <x:row r="1664" ht="46" customHeight="1">
      <x:c r="A1664" s="17" t="str">
        <x:v>stage3src:29e8ad64a2084c5e9e91</x:v>
      </x:c>
      <x:c r="B1664" s="17" t="str">
        <x:v>program</x:v>
      </x:c>
      <x:c r="C1664" s="17" t="str">
        <x:v>Rowan University</x:v>
      </x:c>
      <x:c r="D1664" s="17" t="str">
        <x:v>us:ipeds:184782:program:unclear:ipeds-discovery-signal-computer-science-cip-11-0701</x:v>
      </x:c>
      <x:c r="E1664" s="17" t="str"/>
      <x:c r="F1664" s="17" t="str">
        <x:v>discovery</x:v>
      </x:c>
      <x:c r="G1664" s="17" t="str">
        <x:v>Stage 2 recorded this row as a discovery candidate; it does not independently verify an exact current research program, eligibility, or funding.</x:v>
      </x:c>
      <x:c r="H1664" s="17" t="str">
        <x:v>Pass 2 Stage 2 candidate funnel</x:v>
      </x:c>
      <x:c r="I1664" s="17" t="str">
        <x:v>Graduate audit pipeline</x:v>
      </x:c>
      <x:c r="J1664" s="17" t="str">
        <x:v>derived</x:v>
      </x:c>
      <x:c r="K1664" s="17" t="str">
        <x:v>2026-09-11</x:v>
      </x:c>
      <x:c r="L1664" s="17" t="str">
        <x:v>Not cycle-specific</x:v>
      </x:c>
      <x:c r="M1664" s="17" t="str">
        <x:v>low</x:v>
      </x:c>
      <x:c r="N1664" s="17" t="str">
        <x:v>Discovery evidence only</x:v>
      </x:c>
      <x:c r="O1664" s="17" t="str">
        <x:v>Use the source_record_paths field to trace the underlying discovery inputs.</x:v>
      </x:c>
      <x:c r="P1664" s="18" t="e">
        <x:f>HYPERLINK("https://www.rowan.edu","Open source")</x:f>
        <x:v>HYPERLINK is not implemented. linkLocation=https://www.rowan.edu, friendlyName=Open source</x:v>
      </x:c>
    </x:row>
    <x:row r="1665" ht="46" customHeight="1">
      <x:c r="A1665" s="17" t="str">
        <x:v>stage3src:86e0249e54bdabc512f9</x:v>
      </x:c>
      <x:c r="B1665" s="17" t="str">
        <x:v>program</x:v>
      </x:c>
      <x:c r="C1665" s="17" t="str">
        <x:v>New Jersey City University</x:v>
      </x:c>
      <x:c r="D1665" s="17" t="str">
        <x:v>us:ipeds:185129:program:unclear:ipeds-discovery-signal-computer-and-information-systems-security-auditing-information-assurance-cip-11-1003</x:v>
      </x:c>
      <x:c r="E1665" s="17" t="str"/>
      <x:c r="F1665" s="17" t="str">
        <x:v>discovery</x:v>
      </x:c>
      <x:c r="G1665" s="17" t="str">
        <x:v>Stage 2 recorded this row as a discovery candidate; it does not independently verify an exact current research program, eligibility, or funding.</x:v>
      </x:c>
      <x:c r="H1665" s="17" t="str">
        <x:v>Pass 2 Stage 2 candidate funnel</x:v>
      </x:c>
      <x:c r="I1665" s="17" t="str">
        <x:v>Graduate audit pipeline</x:v>
      </x:c>
      <x:c r="J1665" s="17" t="str">
        <x:v>derived</x:v>
      </x:c>
      <x:c r="K1665" s="17" t="str">
        <x:v>2026-09-11</x:v>
      </x:c>
      <x:c r="L1665" s="17" t="str">
        <x:v>Not cycle-specific</x:v>
      </x:c>
      <x:c r="M1665" s="17" t="str">
        <x:v>low</x:v>
      </x:c>
      <x:c r="N1665" s="17" t="str">
        <x:v>Discovery evidence only</x:v>
      </x:c>
      <x:c r="O1665" s="17" t="str">
        <x:v>Use the source_record_paths field to trace the underlying discovery inputs.</x:v>
      </x:c>
      <x:c r="P1665" s="18" t="e">
        <x:f>HYPERLINK("https://www.njcu.edu","Open source")</x:f>
        <x:v>HYPERLINK is not implemented. linkLocation=https://www.njcu.edu, friendlyName=Open source</x:v>
      </x:c>
    </x:row>
    <x:row r="1666" ht="46" customHeight="1">
      <x:c r="A1666" s="17" t="str">
        <x:v>stage3src:bb675cf6f62eea8a04be</x:v>
      </x:c>
      <x:c r="B1666" s="17" t="str">
        <x:v>program</x:v>
      </x:c>
      <x:c r="C1666" s="17" t="str">
        <x:v>New Jersey City University</x:v>
      </x:c>
      <x:c r="D1666" s="17" t="str">
        <x:v>us:ipeds:185129:program:unclear:ipeds-discovery-signal-information-technology-cip-11-0103</x:v>
      </x:c>
      <x:c r="E1666" s="17" t="str"/>
      <x:c r="F1666" s="17" t="str">
        <x:v>discovery</x:v>
      </x:c>
      <x:c r="G1666" s="17" t="str">
        <x:v>Stage 2 recorded this row as a discovery candidate; it does not independently verify an exact current research program, eligibility, or funding.</x:v>
      </x:c>
      <x:c r="H1666" s="17" t="str">
        <x:v>Pass 2 Stage 2 candidate funnel</x:v>
      </x:c>
      <x:c r="I1666" s="17" t="str">
        <x:v>Graduate audit pipeline</x:v>
      </x:c>
      <x:c r="J1666" s="17" t="str">
        <x:v>derived</x:v>
      </x:c>
      <x:c r="K1666" s="17" t="str">
        <x:v>2026-09-11</x:v>
      </x:c>
      <x:c r="L1666" s="17" t="str">
        <x:v>Not cycle-specific</x:v>
      </x:c>
      <x:c r="M1666" s="17" t="str">
        <x:v>low</x:v>
      </x:c>
      <x:c r="N1666" s="17" t="str">
        <x:v>Discovery evidence only</x:v>
      </x:c>
      <x:c r="O1666" s="17" t="str">
        <x:v>Use the source_record_paths field to trace the underlying discovery inputs.</x:v>
      </x:c>
      <x:c r="P1666" s="18" t="e">
        <x:f>HYPERLINK("https://www.njcu.edu","Open source")</x:f>
        <x:v>HYPERLINK is not implemented. linkLocation=https://www.njcu.edu, friendlyName=Open source</x:v>
      </x:c>
    </x:row>
    <x:row r="1667" ht="46" customHeight="1">
      <x:c r="A1667" s="17" t="str">
        <x:v>stage3src:ae8e133fb098b8fe80e8</x:v>
      </x:c>
      <x:c r="B1667" s="17" t="str">
        <x:v>program</x:v>
      </x:c>
      <x:c r="C1667" s="17" t="str">
        <x:v>Kean University</x:v>
      </x:c>
      <x:c r="D1667" s="17" t="str">
        <x:v>us:ipeds:185262:program:unclear:ipeds-discovery-signal-computer-and-information-sciences-general-cip-11-0101</x:v>
      </x:c>
      <x:c r="E1667" s="17" t="str"/>
      <x:c r="F1667" s="17" t="str">
        <x:v>discovery</x:v>
      </x:c>
      <x:c r="G1667" s="17" t="str">
        <x:v>Stage 2 recorded this row as a discovery candidate; it does not independently verify an exact current research program, eligibility, or funding.</x:v>
      </x:c>
      <x:c r="H1667" s="17" t="str">
        <x:v>Pass 2 Stage 2 candidate funnel</x:v>
      </x:c>
      <x:c r="I1667" s="17" t="str">
        <x:v>Graduate audit pipeline</x:v>
      </x:c>
      <x:c r="J1667" s="17" t="str">
        <x:v>derived</x:v>
      </x:c>
      <x:c r="K1667" s="17" t="str">
        <x:v>2026-09-11</x:v>
      </x:c>
      <x:c r="L1667" s="17" t="str">
        <x:v>Not cycle-specific</x:v>
      </x:c>
      <x:c r="M1667" s="17" t="str">
        <x:v>low</x:v>
      </x:c>
      <x:c r="N1667" s="17" t="str">
        <x:v>Discovery evidence only</x:v>
      </x:c>
      <x:c r="O1667" s="17" t="str">
        <x:v>Use the source_record_paths field to trace the underlying discovery inputs.</x:v>
      </x:c>
      <x:c r="P1667" s="18" t="e">
        <x:f>HYPERLINK("https://www.kean.edu","Open source")</x:f>
        <x:v>HYPERLINK is not implemented. linkLocation=https://www.kean.edu, friendlyName=Open source</x:v>
      </x:c>
    </x:row>
    <x:row r="1668" ht="46" customHeight="1">
      <x:c r="A1668" s="17" t="str">
        <x:v>stage3src:7568634b18dce1fdacfc</x:v>
      </x:c>
      <x:c r="B1668" s="17" t="str">
        <x:v>program</x:v>
      </x:c>
      <x:c r="C1668" s="17" t="str">
        <x:v>Monmouth University</x:v>
      </x:c>
      <x:c r="D1668" s="17" t="str">
        <x:v>us:ipeds:185572:program:unclear:ipeds-discovery-signal-computer-and-information-sciences-general-cip-11-0101</x:v>
      </x:c>
      <x:c r="E1668" s="17" t="str"/>
      <x:c r="F1668" s="17" t="str">
        <x:v>discovery</x:v>
      </x:c>
      <x:c r="G1668" s="17" t="str">
        <x:v>Stage 2 recorded this row as a discovery candidate; it does not independently verify an exact current research program, eligibility, or funding.</x:v>
      </x:c>
      <x:c r="H1668" s="17" t="str">
        <x:v>Pass 2 Stage 2 candidate funnel</x:v>
      </x:c>
      <x:c r="I1668" s="17" t="str">
        <x:v>Graduate audit pipeline</x:v>
      </x:c>
      <x:c r="J1668" s="17" t="str">
        <x:v>derived</x:v>
      </x:c>
      <x:c r="K1668" s="17" t="str">
        <x:v>2026-09-11</x:v>
      </x:c>
      <x:c r="L1668" s="17" t="str">
        <x:v>Not cycle-specific</x:v>
      </x:c>
      <x:c r="M1668" s="17" t="str">
        <x:v>low</x:v>
      </x:c>
      <x:c r="N1668" s="17" t="str">
        <x:v>Discovery evidence only</x:v>
      </x:c>
      <x:c r="O1668" s="17" t="str">
        <x:v>Use the source_record_paths field to trace the underlying discovery inputs.</x:v>
      </x:c>
      <x:c r="P1668" s="18" t="e">
        <x:f>HYPERLINK("https://www.monmouth.edu","Open source")</x:f>
        <x:v>HYPERLINK is not implemented. linkLocation=https://www.monmouth.edu, friendlyName=Open source</x:v>
      </x:c>
    </x:row>
    <x:row r="1669" ht="46" customHeight="1">
      <x:c r="A1669" s="17" t="str">
        <x:v>stage3src:84e8652cf034eaff4e09</x:v>
      </x:c>
      <x:c r="B1669" s="17" t="str">
        <x:v>program</x:v>
      </x:c>
      <x:c r="C1669" s="17" t="str">
        <x:v>Monmouth University</x:v>
      </x:c>
      <x:c r="D1669" s="17" t="str">
        <x:v>us:ipeds:185572:program:unclear:ipeds-discovery-signal-computer-software-engineering-cip-14-0903</x:v>
      </x:c>
      <x:c r="E1669" s="17" t="str"/>
      <x:c r="F1669" s="17" t="str">
        <x:v>discovery</x:v>
      </x:c>
      <x:c r="G1669" s="17" t="str">
        <x:v>Stage 2 recorded this row as a discovery candidate; it does not independently verify an exact current research program, eligibility, or funding.</x:v>
      </x:c>
      <x:c r="H1669" s="17" t="str">
        <x:v>Pass 2 Stage 2 candidate funnel</x:v>
      </x:c>
      <x:c r="I1669" s="17" t="str">
        <x:v>Graduate audit pipeline</x:v>
      </x:c>
      <x:c r="J1669" s="17" t="str">
        <x:v>derived</x:v>
      </x:c>
      <x:c r="K1669" s="17" t="str">
        <x:v>2026-09-11</x:v>
      </x:c>
      <x:c r="L1669" s="17" t="str">
        <x:v>Not cycle-specific</x:v>
      </x:c>
      <x:c r="M1669" s="17" t="str">
        <x:v>low</x:v>
      </x:c>
      <x:c r="N1669" s="17" t="str">
        <x:v>Discovery evidence only</x:v>
      </x:c>
      <x:c r="O1669" s="17" t="str">
        <x:v>Use the source_record_paths field to trace the underlying discovery inputs.</x:v>
      </x:c>
      <x:c r="P1669" s="18" t="e">
        <x:f>HYPERLINK("https://www.monmouth.edu","Open source")</x:f>
        <x:v>HYPERLINK is not implemented. linkLocation=https://www.monmouth.edu, friendlyName=Open source</x:v>
      </x:c>
    </x:row>
    <x:row r="1670" ht="46" customHeight="1">
      <x:c r="A1670" s="17" t="str">
        <x:v>stage3src:e8e0e17038e15ce918f5</x:v>
      </x:c>
      <x:c r="B1670" s="17" t="str">
        <x:v>program</x:v>
      </x:c>
      <x:c r="C1670" s="17" t="str">
        <x:v>Monmouth University</x:v>
      </x:c>
      <x:c r="D1670" s="17" t="str">
        <x:v>us:ipeds:185572:program:unclear:ipeds-discovery-signal-data-science-general-cip-30-7001</x:v>
      </x:c>
      <x:c r="E1670" s="17" t="str"/>
      <x:c r="F1670" s="17" t="str">
        <x:v>discovery</x:v>
      </x:c>
      <x:c r="G1670" s="17" t="str">
        <x:v>Stage 2 recorded this row as a discovery candidate; it does not independently verify an exact current research program, eligibility, or funding.</x:v>
      </x:c>
      <x:c r="H1670" s="17" t="str">
        <x:v>Pass 2 Stage 2 candidate funnel</x:v>
      </x:c>
      <x:c r="I1670" s="17" t="str">
        <x:v>Graduate audit pipeline</x:v>
      </x:c>
      <x:c r="J1670" s="17" t="str">
        <x:v>derived</x:v>
      </x:c>
      <x:c r="K1670" s="17" t="str">
        <x:v>2026-09-11</x:v>
      </x:c>
      <x:c r="L1670" s="17" t="str">
        <x:v>Not cycle-specific</x:v>
      </x:c>
      <x:c r="M1670" s="17" t="str">
        <x:v>low</x:v>
      </x:c>
      <x:c r="N1670" s="17" t="str">
        <x:v>Discovery evidence only</x:v>
      </x:c>
      <x:c r="O1670" s="17" t="str">
        <x:v>Use the source_record_paths field to trace the underlying discovery inputs.</x:v>
      </x:c>
      <x:c r="P1670" s="18" t="e">
        <x:f>HYPERLINK("https://www.monmouth.edu","Open source")</x:f>
        <x:v>HYPERLINK is not implemented. linkLocation=https://www.monmouth.edu, friendlyName=Open source</x:v>
      </x:c>
    </x:row>
    <x:row r="1671" ht="46" customHeight="1">
      <x:c r="A1671" s="17" t="str">
        <x:v>stage3src:ce80590ce35b47a9c647</x:v>
      </x:c>
      <x:c r="B1671" s="17" t="str">
        <x:v>program</x:v>
      </x:c>
      <x:c r="C1671" s="17" t="str">
        <x:v>Montclair State University</x:v>
      </x:c>
      <x:c r="D1671" s="17" t="str">
        <x:v>us:ipeds:185590:program:unclear:ipeds-discovery-signal-artificial-intelligence-cip-11-0102</x:v>
      </x:c>
      <x:c r="E1671" s="17" t="str"/>
      <x:c r="F1671" s="17" t="str">
        <x:v>discovery</x:v>
      </x:c>
      <x:c r="G1671" s="17" t="str">
        <x:v>Stage 2 recorded this row as a discovery candidate; it does not independently verify an exact current research program, eligibility, or funding.</x:v>
      </x:c>
      <x:c r="H1671" s="17" t="str">
        <x:v>Pass 2 Stage 2 candidate funnel</x:v>
      </x:c>
      <x:c r="I1671" s="17" t="str">
        <x:v>Graduate audit pipeline</x:v>
      </x:c>
      <x:c r="J1671" s="17" t="str">
        <x:v>derived</x:v>
      </x:c>
      <x:c r="K1671" s="17" t="str">
        <x:v>2026-09-11</x:v>
      </x:c>
      <x:c r="L1671" s="17" t="str">
        <x:v>Not cycle-specific</x:v>
      </x:c>
      <x:c r="M1671" s="17" t="str">
        <x:v>low</x:v>
      </x:c>
      <x:c r="N1671" s="17" t="str">
        <x:v>Discovery evidence only</x:v>
      </x:c>
      <x:c r="O1671" s="17" t="str">
        <x:v>Use the source_record_paths field to trace the underlying discovery inputs.</x:v>
      </x:c>
      <x:c r="P1671" s="18" t="e">
        <x:f>HYPERLINK("https://www.montclair.edu","Open source")</x:f>
        <x:v>HYPERLINK is not implemented. linkLocation=https://www.montclair.edu, friendlyName=Open source</x:v>
      </x:c>
    </x:row>
    <x:row r="1672" ht="46" customHeight="1">
      <x:c r="A1672" s="17" t="str">
        <x:v>stage3src:4ee2a3d04fc9d2c41b26</x:v>
      </x:c>
      <x:c r="B1672" s="17" t="str">
        <x:v>program</x:v>
      </x:c>
      <x:c r="C1672" s="17" t="str">
        <x:v>Montclair State University</x:v>
      </x:c>
      <x:c r="D1672" s="17" t="str">
        <x:v>us:ipeds:185590:program:unclear:ipeds-discovery-signal-computer-and-information-sciences-general-cip-11-0101</x:v>
      </x:c>
      <x:c r="E1672" s="17" t="str"/>
      <x:c r="F1672" s="17" t="str">
        <x:v>discovery</x:v>
      </x:c>
      <x:c r="G1672" s="17" t="str">
        <x:v>Stage 2 recorded this row as a discovery candidate; it does not independently verify an exact current research program, eligibility, or funding.</x:v>
      </x:c>
      <x:c r="H1672" s="17" t="str">
        <x:v>Pass 2 Stage 2 candidate funnel</x:v>
      </x:c>
      <x:c r="I1672" s="17" t="str">
        <x:v>Graduate audit pipeline</x:v>
      </x:c>
      <x:c r="J1672" s="17" t="str">
        <x:v>derived</x:v>
      </x:c>
      <x:c r="K1672" s="17" t="str">
        <x:v>2026-09-11</x:v>
      </x:c>
      <x:c r="L1672" s="17" t="str">
        <x:v>Not cycle-specific</x:v>
      </x:c>
      <x:c r="M1672" s="17" t="str">
        <x:v>low</x:v>
      </x:c>
      <x:c r="N1672" s="17" t="str">
        <x:v>Discovery evidence only</x:v>
      </x:c>
      <x:c r="O1672" s="17" t="str">
        <x:v>Use the source_record_paths field to trace the underlying discovery inputs.</x:v>
      </x:c>
      <x:c r="P1672" s="18" t="e">
        <x:f>HYPERLINK("https://www.montclair.edu","Open source")</x:f>
        <x:v>HYPERLINK is not implemented. linkLocation=https://www.montclair.edu, friendlyName=Open source</x:v>
      </x:c>
    </x:row>
    <x:row r="1673" ht="46" customHeight="1">
      <x:c r="A1673" s="17" t="str">
        <x:v>stage3src:e62e05c90b88fd13153d</x:v>
      </x:c>
      <x:c r="B1673" s="17" t="str">
        <x:v>program</x:v>
      </x:c>
      <x:c r="C1673" s="17" t="str">
        <x:v>Montclair State University</x:v>
      </x:c>
      <x:c r="D1673" s="17" t="str">
        <x:v>us:ipeds:185590:program:unclear:ipeds-discovery-signal-computer-and-information-systems-security-auditing-information-assurance-cip-11-1003</x:v>
      </x:c>
      <x:c r="E1673" s="17" t="str"/>
      <x:c r="F1673" s="17" t="str">
        <x:v>discovery</x:v>
      </x:c>
      <x:c r="G1673" s="17" t="str">
        <x:v>Stage 2 recorded this row as a discovery candidate; it does not independently verify an exact current research program, eligibility, or funding.</x:v>
      </x:c>
      <x:c r="H1673" s="17" t="str">
        <x:v>Pass 2 Stage 2 candidate funnel</x:v>
      </x:c>
      <x:c r="I1673" s="17" t="str">
        <x:v>Graduate audit pipeline</x:v>
      </x:c>
      <x:c r="J1673" s="17" t="str">
        <x:v>derived</x:v>
      </x:c>
      <x:c r="K1673" s="17" t="str">
        <x:v>2026-09-11</x:v>
      </x:c>
      <x:c r="L1673" s="17" t="str">
        <x:v>Not cycle-specific</x:v>
      </x:c>
      <x:c r="M1673" s="17" t="str">
        <x:v>low</x:v>
      </x:c>
      <x:c r="N1673" s="17" t="str">
        <x:v>Discovery evidence only</x:v>
      </x:c>
      <x:c r="O1673" s="17" t="str">
        <x:v>Use the source_record_paths field to trace the underlying discovery inputs.</x:v>
      </x:c>
      <x:c r="P1673" s="18" t="e">
        <x:f>HYPERLINK("https://www.montclair.edu","Open source")</x:f>
        <x:v>HYPERLINK is not implemented. linkLocation=https://www.montclair.edu, friendlyName=Open source</x:v>
      </x:c>
    </x:row>
    <x:row r="1674" ht="46" customHeight="1">
      <x:c r="A1674" s="17" t="str">
        <x:v>stage3src:87a68ab038d45503d20c</x:v>
      </x:c>
      <x:c r="B1674" s="17" t="str">
        <x:v>program</x:v>
      </x:c>
      <x:c r="C1674" s="17" t="str">
        <x:v>Montclair State University</x:v>
      </x:c>
      <x:c r="D1674" s="17" t="str">
        <x:v>us:ipeds:185590:program:unclear:ipeds-discovery-signal-information-technology-cip-11-0103</x:v>
      </x:c>
      <x:c r="E1674" s="17" t="str"/>
      <x:c r="F1674" s="17" t="str">
        <x:v>discovery</x:v>
      </x:c>
      <x:c r="G1674" s="17" t="str">
        <x:v>Stage 2 recorded this row as a discovery candidate; it does not independently verify an exact current research program, eligibility, or funding.</x:v>
      </x:c>
      <x:c r="H1674" s="17" t="str">
        <x:v>Pass 2 Stage 2 candidate funnel</x:v>
      </x:c>
      <x:c r="I1674" s="17" t="str">
        <x:v>Graduate audit pipeline</x:v>
      </x:c>
      <x:c r="J1674" s="17" t="str">
        <x:v>derived</x:v>
      </x:c>
      <x:c r="K1674" s="17" t="str">
        <x:v>2026-09-11</x:v>
      </x:c>
      <x:c r="L1674" s="17" t="str">
        <x:v>Not cycle-specific</x:v>
      </x:c>
      <x:c r="M1674" s="17" t="str">
        <x:v>low</x:v>
      </x:c>
      <x:c r="N1674" s="17" t="str">
        <x:v>Discovery evidence only</x:v>
      </x:c>
      <x:c r="O1674" s="17" t="str">
        <x:v>Use the source_record_paths field to trace the underlying discovery inputs.</x:v>
      </x:c>
      <x:c r="P1674" s="18" t="e">
        <x:f>HYPERLINK("https://www.montclair.edu","Open source")</x:f>
        <x:v>HYPERLINK is not implemented. linkLocation=https://www.montclair.edu, friendlyName=Open source</x:v>
      </x:c>
    </x:row>
    <x:row r="1675" ht="46" customHeight="1">
      <x:c r="A1675" s="17" t="str">
        <x:v>stage3src:ccb9f08b14e470d16eff</x:v>
      </x:c>
      <x:c r="B1675" s="17" t="str">
        <x:v>program</x:v>
      </x:c>
      <x:c r="C1675" s="17" t="str">
        <x:v>New Jersey Institute of Technology</x:v>
      </x:c>
      <x:c r="D1675" s="17" t="str">
        <x:v>us:ipeds:185828:program:phd:ph-d-computer-science</x:v>
      </x:c>
      <x:c r="E1675" s="17" t="str"/>
      <x:c r="F1675" s="17" t="str">
        <x:v>admissions|eligibility|language|deadline|funding|tuition</x:v>
      </x:c>
      <x:c r="G1675" s="17" t="str">
        <x:v>Relevant bachelor's entry, English requirement, recurring funding deadline, and competitive TA/RA support for nearly all enrolled PhD students.</x:v>
      </x:c>
      <x:c r="H1675" s="17" t="str">
        <x:v>Admission Requirements and Financial Support for the PhD in Computer Science Program</x:v>
      </x:c>
      <x:c r="I1675" s="17" t="str">
        <x:v>New Jersey Institute of Technology Department of Computer Science</x:v>
      </x:c>
      <x:c r="J1675" s="17" t="str">
        <x:v>official</x:v>
      </x:c>
      <x:c r="K1675" s="17" t="str">
        <x:v>2026-09-11</x:v>
      </x:c>
      <x:c r="L1675" s="17" t="str">
        <x:v>Current page checked 2026-09-11; Fall 2027 date requires confirmation</x:v>
      </x:c>
      <x:c r="M1675" s="17" t="str">
        <x:v>high</x:v>
      </x:c>
      <x:c r="N1675" s="17" t="str">
        <x:v>official page checked</x:v>
      </x:c>
      <x:c r="O1675" s="17" t="str"/>
      <x:c r="P1675" s="18" t="e">
        <x:f>HYPERLINK("https://cs.njit.edu/admission-requirements-and-financial-support-phd-computer-science-program","Open source")</x:f>
        <x:v>HYPERLINK is not implemented. linkLocation=https://cs.njit.edu/admission-requirements-and-financial-support-phd-computer-science-program, friendlyName=Open source</x:v>
      </x:c>
    </x:row>
    <x:row r="1676" ht="46" customHeight="1">
      <x:c r="A1676" s="17" t="str">
        <x:v>stage3src:f3431faa468ee81c003d</x:v>
      </x:c>
      <x:c r="B1676" s="17" t="str">
        <x:v>program</x:v>
      </x:c>
      <x:c r="C1676" s="17" t="str">
        <x:v>New Jersey Institute of Technology</x:v>
      </x:c>
      <x:c r="D1676" s="17" t="str">
        <x:v>us:ipeds:185828:program:phd:ph-d-computer-science</x:v>
      </x:c>
      <x:c r="E1676" s="17" t="str"/>
      <x:c r="F1676" s="17" t="str">
        <x:v>program|research|admissions|funding</x:v>
      </x:c>
      <x:c r="G1676" s="17" t="str">
        <x:v>Current research PhD, dissertation milestones, cybersecurity and systems breadth, and near-universal full support among enrolled doctoral students.</x:v>
      </x:c>
      <x:c r="H1676" s="17" t="str">
        <x:v>Ph.D. Computer Science</x:v>
      </x:c>
      <x:c r="I1676" s="17" t="str">
        <x:v>New Jersey Institute of Technology</x:v>
      </x:c>
      <x:c r="J1676" s="17" t="str">
        <x:v>official</x:v>
      </x:c>
      <x:c r="K1676" s="17" t="str">
        <x:v>2026-09-11</x:v>
      </x:c>
      <x:c r="L1676" s="17" t="str">
        <x:v>Current degree page checked 2026-09-11</x:v>
      </x:c>
      <x:c r="M1676" s="17" t="str">
        <x:v>high</x:v>
      </x:c>
      <x:c r="N1676" s="17" t="str">
        <x:v>official page checked</x:v>
      </x:c>
      <x:c r="O1676" s="17" t="str"/>
      <x:c r="P1676" s="18" t="e">
        <x:f>HYPERLINK("https://www.njit.edu/academics/degree/phd-computer-science","Open source")</x:f>
        <x:v>HYPERLINK is not implemented. linkLocation=https://www.njit.edu/academics/degree/phd-computer-science, friendlyName=Open source</x:v>
      </x:c>
    </x:row>
    <x:row r="1677" ht="46" customHeight="1">
      <x:c r="A1677" s="17" t="str">
        <x:v>stage3src:fa99c8d43ee30fab5115</x:v>
      </x:c>
      <x:c r="B1677" s="17" t="str">
        <x:v>program</x:v>
      </x:c>
      <x:c r="C1677" s="17" t="str">
        <x:v>New Jersey Institute of Technology</x:v>
      </x:c>
      <x:c r="D1677" s="17" t="str">
        <x:v>us:ipeds:185828:program:unclear:ipeds-discovery-signal-artificial-intelligence-cip-11-0102</x:v>
      </x:c>
      <x:c r="E1677" s="17" t="str"/>
      <x:c r="F1677" s="17" t="str">
        <x:v>discovery</x:v>
      </x:c>
      <x:c r="G1677" s="17" t="str">
        <x:v>Stage 2 recorded this row as a discovery candidate; it does not independently verify an exact current research program, eligibility, or funding.</x:v>
      </x:c>
      <x:c r="H1677" s="17" t="str">
        <x:v>Pass 2 Stage 2 candidate funnel</x:v>
      </x:c>
      <x:c r="I1677" s="17" t="str">
        <x:v>Graduate audit pipeline</x:v>
      </x:c>
      <x:c r="J1677" s="17" t="str">
        <x:v>derived</x:v>
      </x:c>
      <x:c r="K1677" s="17" t="str">
        <x:v>2026-09-11</x:v>
      </x:c>
      <x:c r="L1677" s="17" t="str">
        <x:v>Not cycle-specific</x:v>
      </x:c>
      <x:c r="M1677" s="17" t="str">
        <x:v>low</x:v>
      </x:c>
      <x:c r="N1677" s="17" t="str">
        <x:v>Discovery evidence only</x:v>
      </x:c>
      <x:c r="O1677" s="17" t="str">
        <x:v>Use the source_record_paths field to trace the underlying discovery inputs.</x:v>
      </x:c>
      <x:c r="P1677" s="18" t="e">
        <x:f>HYPERLINK("https://www.njit.edu","Open source")</x:f>
        <x:v>HYPERLINK is not implemented. linkLocation=https://www.njit.edu, friendlyName=Open source</x:v>
      </x:c>
    </x:row>
    <x:row r="1678" ht="46" customHeight="1">
      <x:c r="A1678" s="17" t="str">
        <x:v>stage3src:5de1dccb432deeb56051</x:v>
      </x:c>
      <x:c r="B1678" s="17" t="str">
        <x:v>program</x:v>
      </x:c>
      <x:c r="C1678" s="17" t="str">
        <x:v>New Jersey Institute of Technology</x:v>
      </x:c>
      <x:c r="D1678" s="17" t="str">
        <x:v>us:ipeds:185828:program:unclear:ipeds-discovery-signal-computer-and-information-sciences-general-cip-11-0101</x:v>
      </x:c>
      <x:c r="E1678" s="17" t="str"/>
      <x:c r="F1678" s="17" t="str">
        <x:v>discovery</x:v>
      </x:c>
      <x:c r="G1678" s="17" t="str">
        <x:v>Stage 2 recorded this row as a discovery candidate; it does not independently verify an exact current research program, eligibility, or funding.</x:v>
      </x:c>
      <x:c r="H1678" s="17" t="str">
        <x:v>Pass 2 Stage 2 candidate funnel</x:v>
      </x:c>
      <x:c r="I1678" s="17" t="str">
        <x:v>Graduate audit pipeline</x:v>
      </x:c>
      <x:c r="J1678" s="17" t="str">
        <x:v>derived</x:v>
      </x:c>
      <x:c r="K1678" s="17" t="str">
        <x:v>2026-09-11</x:v>
      </x:c>
      <x:c r="L1678" s="17" t="str">
        <x:v>Not cycle-specific</x:v>
      </x:c>
      <x:c r="M1678" s="17" t="str">
        <x:v>low</x:v>
      </x:c>
      <x:c r="N1678" s="17" t="str">
        <x:v>Discovery evidence only</x:v>
      </x:c>
      <x:c r="O1678" s="17" t="str">
        <x:v>Use the source_record_paths field to trace the underlying discovery inputs.</x:v>
      </x:c>
      <x:c r="P1678" s="18" t="e">
        <x:f>HYPERLINK("https://www.njit.edu","Open source")</x:f>
        <x:v>HYPERLINK is not implemented. linkLocation=https://www.njit.edu, friendlyName=Open source</x:v>
      </x:c>
    </x:row>
    <x:row r="1679" ht="46" customHeight="1">
      <x:c r="A1679" s="17" t="str">
        <x:v>stage3src:cac8410614f1b1c52a3f</x:v>
      </x:c>
      <x:c r="B1679" s="17" t="str">
        <x:v>program</x:v>
      </x:c>
      <x:c r="C1679" s="17" t="str">
        <x:v>New Jersey Institute of Technology</x:v>
      </x:c>
      <x:c r="D1679" s="17" t="str">
        <x:v>us:ipeds:185828:program:unclear:ipeds-discovery-signal-computer-and-information-systems-security-auditing-information-assurance-cip-11-1003</x:v>
      </x:c>
      <x:c r="E1679" s="17" t="str"/>
      <x:c r="F1679" s="17" t="str">
        <x:v>discovery</x:v>
      </x:c>
      <x:c r="G1679" s="17" t="str">
        <x:v>Stage 2 recorded this row as a discovery candidate; it does not independently verify an exact current research program, eligibility, or funding.</x:v>
      </x:c>
      <x:c r="H1679" s="17" t="str">
        <x:v>Pass 2 Stage 2 candidate funnel</x:v>
      </x:c>
      <x:c r="I1679" s="17" t="str">
        <x:v>Graduate audit pipeline</x:v>
      </x:c>
      <x:c r="J1679" s="17" t="str">
        <x:v>derived</x:v>
      </x:c>
      <x:c r="K1679" s="17" t="str">
        <x:v>2026-09-11</x:v>
      </x:c>
      <x:c r="L1679" s="17" t="str">
        <x:v>Not cycle-specific</x:v>
      </x:c>
      <x:c r="M1679" s="17" t="str">
        <x:v>low</x:v>
      </x:c>
      <x:c r="N1679" s="17" t="str">
        <x:v>Discovery evidence only</x:v>
      </x:c>
      <x:c r="O1679" s="17" t="str">
        <x:v>Use the source_record_paths field to trace the underlying discovery inputs.</x:v>
      </x:c>
      <x:c r="P1679" s="18" t="e">
        <x:f>HYPERLINK("https://www.njit.edu","Open source")</x:f>
        <x:v>HYPERLINK is not implemented. linkLocation=https://www.njit.edu, friendlyName=Open source</x:v>
      </x:c>
    </x:row>
    <x:row r="1680" ht="46" customHeight="1">
      <x:c r="A1680" s="17" t="str">
        <x:v>stage3src:367ef3f8d9469eb04e6a</x:v>
      </x:c>
      <x:c r="B1680" s="17" t="str">
        <x:v>program</x:v>
      </x:c>
      <x:c r="C1680" s="17" t="str">
        <x:v>New Jersey Institute of Technology</x:v>
      </x:c>
      <x:c r="D1680" s="17" t="str">
        <x:v>us:ipeds:185828:program:unclear:ipeds-discovery-signal-computer-engineering-general-cip-14-0901</x:v>
      </x:c>
      <x:c r="E1680" s="17" t="str"/>
      <x:c r="F1680" s="17" t="str">
        <x:v>discovery</x:v>
      </x:c>
      <x:c r="G1680" s="17" t="str">
        <x:v>Stage 2 recorded this row as a discovery candidate; it does not independently verify an exact current research program, eligibility, or funding.</x:v>
      </x:c>
      <x:c r="H1680" s="17" t="str">
        <x:v>Pass 2 Stage 2 candidate funnel</x:v>
      </x:c>
      <x:c r="I1680" s="17" t="str">
        <x:v>Graduate audit pipeline</x:v>
      </x:c>
      <x:c r="J1680" s="17" t="str">
        <x:v>derived</x:v>
      </x:c>
      <x:c r="K1680" s="17" t="str">
        <x:v>2026-09-11</x:v>
      </x:c>
      <x:c r="L1680" s="17" t="str">
        <x:v>Not cycle-specific</x:v>
      </x:c>
      <x:c r="M1680" s="17" t="str">
        <x:v>low</x:v>
      </x:c>
      <x:c r="N1680" s="17" t="str">
        <x:v>Discovery evidence only</x:v>
      </x:c>
      <x:c r="O1680" s="17" t="str">
        <x:v>Use the source_record_paths field to trace the underlying discovery inputs.</x:v>
      </x:c>
      <x:c r="P1680" s="18" t="e">
        <x:f>HYPERLINK("https://www.njit.edu","Open source")</x:f>
        <x:v>HYPERLINK is not implemented. linkLocation=https://www.njit.edu, friendlyName=Open source</x:v>
      </x:c>
    </x:row>
    <x:row r="1681" ht="46" customHeight="1">
      <x:c r="A1681" s="17" t="str">
        <x:v>stage3src:d735411647053b347a34</x:v>
      </x:c>
      <x:c r="B1681" s="17" t="str">
        <x:v>program</x:v>
      </x:c>
      <x:c r="C1681" s="17" t="str">
        <x:v>New Jersey Institute of Technology</x:v>
      </x:c>
      <x:c r="D1681" s="17" t="str">
        <x:v>us:ipeds:185828:program:unclear:ipeds-discovery-signal-computer-science-cip-11-0701</x:v>
      </x:c>
      <x:c r="E1681" s="17" t="str"/>
      <x:c r="F1681" s="17" t="str">
        <x:v>discovery</x:v>
      </x:c>
      <x:c r="G1681" s="17" t="str">
        <x:v>Stage 2 recorded this row as a discovery candidate; it does not independently verify an exact current research program, eligibility, or funding.</x:v>
      </x:c>
      <x:c r="H1681" s="17" t="str">
        <x:v>Pass 2 Stage 2 candidate funnel</x:v>
      </x:c>
      <x:c r="I1681" s="17" t="str">
        <x:v>Graduate audit pipeline</x:v>
      </x:c>
      <x:c r="J1681" s="17" t="str">
        <x:v>derived</x:v>
      </x:c>
      <x:c r="K1681" s="17" t="str">
        <x:v>2026-09-11</x:v>
      </x:c>
      <x:c r="L1681" s="17" t="str">
        <x:v>Not cycle-specific</x:v>
      </x:c>
      <x:c r="M1681" s="17" t="str">
        <x:v>low</x:v>
      </x:c>
      <x:c r="N1681" s="17" t="str">
        <x:v>Discovery evidence only</x:v>
      </x:c>
      <x:c r="O1681" s="17" t="str">
        <x:v>Use the source_record_paths field to trace the underlying discovery inputs.</x:v>
      </x:c>
      <x:c r="P1681" s="18" t="e">
        <x:f>HYPERLINK("https://www.njit.edu","Open source")</x:f>
        <x:v>HYPERLINK is not implemented. linkLocation=https://www.njit.edu, friendlyName=Open source</x:v>
      </x:c>
    </x:row>
    <x:row r="1682" ht="46" customHeight="1">
      <x:c r="A1682" s="17" t="str">
        <x:v>stage3src:d087f3ec3a8c7d88bea9</x:v>
      </x:c>
      <x:c r="B1682" s="17" t="str">
        <x:v>program</x:v>
      </x:c>
      <x:c r="C1682" s="17" t="str">
        <x:v>New Jersey Institute of Technology</x:v>
      </x:c>
      <x:c r="D1682" s="17" t="str">
        <x:v>us:ipeds:185828:program:unclear:ipeds-discovery-signal-computer-software-engineering-cip-14-0903</x:v>
      </x:c>
      <x:c r="E1682" s="17" t="str"/>
      <x:c r="F1682" s="17" t="str">
        <x:v>discovery</x:v>
      </x:c>
      <x:c r="G1682" s="17" t="str">
        <x:v>Stage 2 recorded this row as a discovery candidate; it does not independently verify an exact current research program, eligibility, or funding.</x:v>
      </x:c>
      <x:c r="H1682" s="17" t="str">
        <x:v>Pass 2 Stage 2 candidate funnel</x:v>
      </x:c>
      <x:c r="I1682" s="17" t="str">
        <x:v>Graduate audit pipeline</x:v>
      </x:c>
      <x:c r="J1682" s="17" t="str">
        <x:v>derived</x:v>
      </x:c>
      <x:c r="K1682" s="17" t="str">
        <x:v>2026-09-11</x:v>
      </x:c>
      <x:c r="L1682" s="17" t="str">
        <x:v>Not cycle-specific</x:v>
      </x:c>
      <x:c r="M1682" s="17" t="str">
        <x:v>low</x:v>
      </x:c>
      <x:c r="N1682" s="17" t="str">
        <x:v>Discovery evidence only</x:v>
      </x:c>
      <x:c r="O1682" s="17" t="str">
        <x:v>Use the source_record_paths field to trace the underlying discovery inputs.</x:v>
      </x:c>
      <x:c r="P1682" s="18" t="e">
        <x:f>HYPERLINK("https://www.njit.edu","Open source")</x:f>
        <x:v>HYPERLINK is not implemented. linkLocation=https://www.njit.edu, friendlyName=Open source</x:v>
      </x:c>
    </x:row>
    <x:row r="1683" ht="46" customHeight="1">
      <x:c r="A1683" s="17" t="str">
        <x:v>stage3src:9561b8a02b4945073085</x:v>
      </x:c>
      <x:c r="B1683" s="17" t="str">
        <x:v>program</x:v>
      </x:c>
      <x:c r="C1683" s="17" t="str">
        <x:v>New Jersey Institute of Technology</x:v>
      </x:c>
      <x:c r="D1683" s="17" t="str">
        <x:v>us:ipeds:185828:program:unclear:ipeds-discovery-signal-computer-systems-networking-and-telecommunications-cip-11-0901</x:v>
      </x:c>
      <x:c r="E1683" s="17" t="str"/>
      <x:c r="F1683" s="17" t="str">
        <x:v>discovery</x:v>
      </x:c>
      <x:c r="G1683" s="17" t="str">
        <x:v>Stage 2 recorded this row as a discovery candidate; it does not independently verify an exact current research program, eligibility, or funding.</x:v>
      </x:c>
      <x:c r="H1683" s="17" t="str">
        <x:v>Pass 2 Stage 2 candidate funnel</x:v>
      </x:c>
      <x:c r="I1683" s="17" t="str">
        <x:v>Graduate audit pipeline</x:v>
      </x:c>
      <x:c r="J1683" s="17" t="str">
        <x:v>derived</x:v>
      </x:c>
      <x:c r="K1683" s="17" t="str">
        <x:v>2026-09-11</x:v>
      </x:c>
      <x:c r="L1683" s="17" t="str">
        <x:v>Not cycle-specific</x:v>
      </x:c>
      <x:c r="M1683" s="17" t="str">
        <x:v>low</x:v>
      </x:c>
      <x:c r="N1683" s="17" t="str">
        <x:v>Discovery evidence only</x:v>
      </x:c>
      <x:c r="O1683" s="17" t="str">
        <x:v>Use the source_record_paths field to trace the underlying discovery inputs.</x:v>
      </x:c>
      <x:c r="P1683" s="18" t="e">
        <x:f>HYPERLINK("https://www.njit.edu","Open source")</x:f>
        <x:v>HYPERLINK is not implemented. linkLocation=https://www.njit.edu, friendlyName=Open source</x:v>
      </x:c>
    </x:row>
    <x:row r="1684" ht="46" customHeight="1">
      <x:c r="A1684" s="17" t="str">
        <x:v>stage3src:3b440cee8c82fe51677a</x:v>
      </x:c>
      <x:c r="B1684" s="17" t="str">
        <x:v>program</x:v>
      </x:c>
      <x:c r="C1684" s="17" t="str">
        <x:v>New Jersey Institute of Technology</x:v>
      </x:c>
      <x:c r="D1684" s="17" t="str">
        <x:v>us:ipeds:185828:program:unclear:ipeds-discovery-signal-data-science-general-cip-30-7001</x:v>
      </x:c>
      <x:c r="E1684" s="17" t="str"/>
      <x:c r="F1684" s="17" t="str">
        <x:v>discovery</x:v>
      </x:c>
      <x:c r="G1684" s="17" t="str">
        <x:v>Stage 2 recorded this row as a discovery candidate; it does not independently verify an exact current research program, eligibility, or funding.</x:v>
      </x:c>
      <x:c r="H1684" s="17" t="str">
        <x:v>Pass 2 Stage 2 candidate funnel</x:v>
      </x:c>
      <x:c r="I1684" s="17" t="str">
        <x:v>Graduate audit pipeline</x:v>
      </x:c>
      <x:c r="J1684" s="17" t="str">
        <x:v>derived</x:v>
      </x:c>
      <x:c r="K1684" s="17" t="str">
        <x:v>2026-09-11</x:v>
      </x:c>
      <x:c r="L1684" s="17" t="str">
        <x:v>Not cycle-specific</x:v>
      </x:c>
      <x:c r="M1684" s="17" t="str">
        <x:v>low</x:v>
      </x:c>
      <x:c r="N1684" s="17" t="str">
        <x:v>Discovery evidence only</x:v>
      </x:c>
      <x:c r="O1684" s="17" t="str">
        <x:v>Use the source_record_paths field to trace the underlying discovery inputs.</x:v>
      </x:c>
      <x:c r="P1684" s="18" t="e">
        <x:f>HYPERLINK("https://www.njit.edu","Open source")</x:f>
        <x:v>HYPERLINK is not implemented. linkLocation=https://www.njit.edu, friendlyName=Open source</x:v>
      </x:c>
    </x:row>
    <x:row r="1685" ht="46" customHeight="1">
      <x:c r="A1685" s="17" t="str">
        <x:v>stage3src:38b94f894ff3d97e4b25</x:v>
      </x:c>
      <x:c r="B1685" s="17" t="str">
        <x:v>program</x:v>
      </x:c>
      <x:c r="C1685" s="17" t="str">
        <x:v>New Jersey Institute of Technology</x:v>
      </x:c>
      <x:c r="D1685" s="17" t="str">
        <x:v>us:ipeds:185828:program:unclear:ipeds-discovery-signal-electrical-and-electronics-engineering-cip-14-1001</x:v>
      </x:c>
      <x:c r="E1685" s="17" t="str"/>
      <x:c r="F1685" s="17" t="str">
        <x:v>discovery</x:v>
      </x:c>
      <x:c r="G1685" s="17" t="str">
        <x:v>Stage 2 recorded this row as a discovery candidate; it does not independently verify an exact current research program, eligibility, or funding.</x:v>
      </x:c>
      <x:c r="H1685" s="17" t="str">
        <x:v>Pass 2 Stage 2 candidate funnel</x:v>
      </x:c>
      <x:c r="I1685" s="17" t="str">
        <x:v>Graduate audit pipeline</x:v>
      </x:c>
      <x:c r="J1685" s="17" t="str">
        <x:v>derived</x:v>
      </x:c>
      <x:c r="K1685" s="17" t="str">
        <x:v>2026-09-11</x:v>
      </x:c>
      <x:c r="L1685" s="17" t="str">
        <x:v>Not cycle-specific</x:v>
      </x:c>
      <x:c r="M1685" s="17" t="str">
        <x:v>low</x:v>
      </x:c>
      <x:c r="N1685" s="17" t="str">
        <x:v>Discovery evidence only</x:v>
      </x:c>
      <x:c r="O1685" s="17" t="str">
        <x:v>Use the source_record_paths field to trace the underlying discovery inputs.</x:v>
      </x:c>
      <x:c r="P1685" s="18" t="e">
        <x:f>HYPERLINK("https://www.njit.edu","Open source")</x:f>
        <x:v>HYPERLINK is not implemented. linkLocation=https://www.njit.edu, friendlyName=Open source</x:v>
      </x:c>
    </x:row>
    <x:row r="1686" ht="46" customHeight="1">
      <x:c r="A1686" s="17" t="str">
        <x:v>stage3src:704bf037690d0f19dd79</x:v>
      </x:c>
      <x:c r="B1686" s="17" t="str">
        <x:v>program</x:v>
      </x:c>
      <x:c r="C1686" s="17" t="str">
        <x:v>New Jersey Institute of Technology</x:v>
      </x:c>
      <x:c r="D1686" s="17" t="str">
        <x:v>us:ipeds:185828:program:unclear:ipeds-discovery-signal-information-science-studies-cip-11-0401</x:v>
      </x:c>
      <x:c r="E1686" s="17" t="str"/>
      <x:c r="F1686" s="17" t="str">
        <x:v>discovery</x:v>
      </x:c>
      <x:c r="G1686" s="17" t="str">
        <x:v>Stage 2 recorded this row as a discovery candidate; it does not independently verify an exact current research program, eligibility, or funding.</x:v>
      </x:c>
      <x:c r="H1686" s="17" t="str">
        <x:v>Pass 2 Stage 2 candidate funnel</x:v>
      </x:c>
      <x:c r="I1686" s="17" t="str">
        <x:v>Graduate audit pipeline</x:v>
      </x:c>
      <x:c r="J1686" s="17" t="str">
        <x:v>derived</x:v>
      </x:c>
      <x:c r="K1686" s="17" t="str">
        <x:v>2026-09-11</x:v>
      </x:c>
      <x:c r="L1686" s="17" t="str">
        <x:v>Not cycle-specific</x:v>
      </x:c>
      <x:c r="M1686" s="17" t="str">
        <x:v>low</x:v>
      </x:c>
      <x:c r="N1686" s="17" t="str">
        <x:v>Discovery evidence only</x:v>
      </x:c>
      <x:c r="O1686" s="17" t="str">
        <x:v>Use the source_record_paths field to trace the underlying discovery inputs.</x:v>
      </x:c>
      <x:c r="P1686" s="18" t="e">
        <x:f>HYPERLINK("https://www.njit.edu","Open source")</x:f>
        <x:v>HYPERLINK is not implemented. linkLocation=https://www.njit.edu, friendlyName=Open source</x:v>
      </x:c>
    </x:row>
    <x:row r="1687" ht="46" customHeight="1">
      <x:c r="A1687" s="17" t="str">
        <x:v>stage3src:02e36f4f8927b265e490</x:v>
      </x:c>
      <x:c r="B1687" s="17" t="str">
        <x:v>program</x:v>
      </x:c>
      <x:c r="C1687" s="17" t="str">
        <x:v>New Jersey Institute of Technology</x:v>
      </x:c>
      <x:c r="D1687" s="17" t="str">
        <x:v>us:ipeds:185828:program:unclear:ipeds-discovery-signal-information-technology-cip-11-0103</x:v>
      </x:c>
      <x:c r="E1687" s="17" t="str"/>
      <x:c r="F1687" s="17" t="str">
        <x:v>discovery</x:v>
      </x:c>
      <x:c r="G1687" s="17" t="str">
        <x:v>Stage 2 recorded this row as a discovery candidate; it does not independently verify an exact current research program, eligibility, or funding.</x:v>
      </x:c>
      <x:c r="H1687" s="17" t="str">
        <x:v>Pass 2 Stage 2 candidate funnel</x:v>
      </x:c>
      <x:c r="I1687" s="17" t="str">
        <x:v>Graduate audit pipeline</x:v>
      </x:c>
      <x:c r="J1687" s="17" t="str">
        <x:v>derived</x:v>
      </x:c>
      <x:c r="K1687" s="17" t="str">
        <x:v>2026-09-11</x:v>
      </x:c>
      <x:c r="L1687" s="17" t="str">
        <x:v>Not cycle-specific</x:v>
      </x:c>
      <x:c r="M1687" s="17" t="str">
        <x:v>low</x:v>
      </x:c>
      <x:c r="N1687" s="17" t="str">
        <x:v>Discovery evidence only</x:v>
      </x:c>
      <x:c r="O1687" s="17" t="str">
        <x:v>Use the source_record_paths field to trace the underlying discovery inputs.</x:v>
      </x:c>
      <x:c r="P1687" s="18" t="e">
        <x:f>HYPERLINK("https://www.njit.edu","Open source")</x:f>
        <x:v>HYPERLINK is not implemented. linkLocation=https://www.njit.edu, friendlyName=Open source</x:v>
      </x:c>
    </x:row>
    <x:row r="1688" ht="46" customHeight="1">
      <x:c r="A1688" s="17" t="str">
        <x:v>stage3src:9cb6c23d3a4169be5fff</x:v>
      </x:c>
      <x:c r="B1688" s="17" t="str">
        <x:v>program</x:v>
      </x:c>
      <x:c r="C1688" s="17" t="str">
        <x:v>Princeton University</x:v>
      </x:c>
      <x:c r="D1688" s="17" t="str">
        <x:v>us:ipeds:186131:program:unclear:ipeds-discovery-signal-computer-science-cip-11-0701</x:v>
      </x:c>
      <x:c r="E1688" s="17" t="str"/>
      <x:c r="F1688" s="17" t="str">
        <x:v>discovery</x:v>
      </x:c>
      <x:c r="G1688" s="17" t="str">
        <x:v>Stage 2 recorded this row as a discovery candidate; it does not independently verify an exact current research program, eligibility, or funding.</x:v>
      </x:c>
      <x:c r="H1688" s="17" t="str">
        <x:v>Pass 2 Stage 2 candidate funnel</x:v>
      </x:c>
      <x:c r="I1688" s="17" t="str">
        <x:v>Graduate audit pipeline</x:v>
      </x:c>
      <x:c r="J1688" s="17" t="str">
        <x:v>derived</x:v>
      </x:c>
      <x:c r="K1688" s="17" t="str">
        <x:v>2026-09-11</x:v>
      </x:c>
      <x:c r="L1688" s="17" t="str">
        <x:v>Not cycle-specific</x:v>
      </x:c>
      <x:c r="M1688" s="17" t="str">
        <x:v>low</x:v>
      </x:c>
      <x:c r="N1688" s="17" t="str">
        <x:v>Discovery evidence only</x:v>
      </x:c>
      <x:c r="O1688" s="17" t="str">
        <x:v>Use the source_record_paths field to trace the underlying discovery inputs.</x:v>
      </x:c>
      <x:c r="P1688" s="18" t="e">
        <x:f>HYPERLINK("https://www.princeton.edu","Open source")</x:f>
        <x:v>HYPERLINK is not implemented. linkLocation=https://www.princeton.edu, friendlyName=Open source</x:v>
      </x:c>
    </x:row>
    <x:row r="1689" ht="46" customHeight="1">
      <x:c r="A1689" s="17" t="str">
        <x:v>stage3src:c1c4b39c634dc14a90a1</x:v>
      </x:c>
      <x:c r="B1689" s="17" t="str">
        <x:v>program</x:v>
      </x:c>
      <x:c r="C1689" s="17" t="str">
        <x:v>Princeton University</x:v>
      </x:c>
      <x:c r="D1689" s="17" t="str">
        <x:v>us:ipeds:186131:program:unclear:ipeds-discovery-signal-electrical-and-electronics-engineering-cip-14-1001</x:v>
      </x:c>
      <x:c r="E1689" s="17" t="str"/>
      <x:c r="F1689" s="17" t="str">
        <x:v>discovery</x:v>
      </x:c>
      <x:c r="G1689" s="17" t="str">
        <x:v>Stage 2 recorded this row as a discovery candidate; it does not independently verify an exact current research program, eligibility, or funding.</x:v>
      </x:c>
      <x:c r="H1689" s="17" t="str">
        <x:v>Pass 2 Stage 2 candidate funnel</x:v>
      </x:c>
      <x:c r="I1689" s="17" t="str">
        <x:v>Graduate audit pipeline</x:v>
      </x:c>
      <x:c r="J1689" s="17" t="str">
        <x:v>derived</x:v>
      </x:c>
      <x:c r="K1689" s="17" t="str">
        <x:v>2026-09-11</x:v>
      </x:c>
      <x:c r="L1689" s="17" t="str">
        <x:v>Not cycle-specific</x:v>
      </x:c>
      <x:c r="M1689" s="17" t="str">
        <x:v>low</x:v>
      </x:c>
      <x:c r="N1689" s="17" t="str">
        <x:v>Discovery evidence only</x:v>
      </x:c>
      <x:c r="O1689" s="17" t="str">
        <x:v>Use the source_record_paths field to trace the underlying discovery inputs.</x:v>
      </x:c>
      <x:c r="P1689" s="18" t="e">
        <x:f>HYPERLINK("https://www.princeton.edu","Open source")</x:f>
        <x:v>HYPERLINK is not implemented. linkLocation=https://www.princeton.edu, friendlyName=Open source</x:v>
      </x:c>
    </x:row>
    <x:row r="1690" ht="46" customHeight="1">
      <x:c r="A1690" s="17" t="str">
        <x:v>stage3src:610d3195ac958320f7e8</x:v>
      </x:c>
      <x:c r="B1690" s="17" t="str">
        <x:v>program</x:v>
      </x:c>
      <x:c r="C1690" s="17" t="str">
        <x:v>Ramapo College of New Jersey</x:v>
      </x:c>
      <x:c r="D1690" s="17" t="str">
        <x:v>us:ipeds:186201:program:unclear:ipeds-discovery-signal-computer-and-information-sciences-general-cip-11-0101</x:v>
      </x:c>
      <x:c r="E1690" s="17" t="str"/>
      <x:c r="F1690" s="17" t="str">
        <x:v>discovery</x:v>
      </x:c>
      <x:c r="G1690" s="17" t="str">
        <x:v>Stage 2 recorded this row as a discovery candidate; it does not independently verify an exact current research program, eligibility, or funding.</x:v>
      </x:c>
      <x:c r="H1690" s="17" t="str">
        <x:v>Pass 2 Stage 2 candidate funnel</x:v>
      </x:c>
      <x:c r="I1690" s="17" t="str">
        <x:v>Graduate audit pipeline</x:v>
      </x:c>
      <x:c r="J1690" s="17" t="str">
        <x:v>derived</x:v>
      </x:c>
      <x:c r="K1690" s="17" t="str">
        <x:v>2026-09-11</x:v>
      </x:c>
      <x:c r="L1690" s="17" t="str">
        <x:v>Not cycle-specific</x:v>
      </x:c>
      <x:c r="M1690" s="17" t="str">
        <x:v>low</x:v>
      </x:c>
      <x:c r="N1690" s="17" t="str">
        <x:v>Discovery evidence only</x:v>
      </x:c>
      <x:c r="O1690" s="17" t="str">
        <x:v>Use the source_record_paths field to trace the underlying discovery inputs.</x:v>
      </x:c>
      <x:c r="P1690" s="18" t="e">
        <x:f>HYPERLINK("https://www.ramapo.edu","Open source")</x:f>
        <x:v>HYPERLINK is not implemented. linkLocation=https://www.ramapo.edu, friendlyName=Open source</x:v>
      </x:c>
    </x:row>
    <x:row r="1691" ht="46" customHeight="1">
      <x:c r="A1691" s="17" t="str">
        <x:v>stage3src:4838c24a51169c17c19e</x:v>
      </x:c>
      <x:c r="B1691" s="17" t="str">
        <x:v>program</x:v>
      </x:c>
      <x:c r="C1691" s="17" t="str">
        <x:v>Ramapo College of New Jersey</x:v>
      </x:c>
      <x:c r="D1691" s="17" t="str">
        <x:v>us:ipeds:186201:program:unclear:ipeds-discovery-signal-data-science-general-cip-30-7001</x:v>
      </x:c>
      <x:c r="E1691" s="17" t="str"/>
      <x:c r="F1691" s="17" t="str">
        <x:v>discovery</x:v>
      </x:c>
      <x:c r="G1691" s="17" t="str">
        <x:v>Stage 2 recorded this row as a discovery candidate; it does not independently verify an exact current research program, eligibility, or funding.</x:v>
      </x:c>
      <x:c r="H1691" s="17" t="str">
        <x:v>Pass 2 Stage 2 candidate funnel</x:v>
      </x:c>
      <x:c r="I1691" s="17" t="str">
        <x:v>Graduate audit pipeline</x:v>
      </x:c>
      <x:c r="J1691" s="17" t="str">
        <x:v>derived</x:v>
      </x:c>
      <x:c r="K1691" s="17" t="str">
        <x:v>2026-09-11</x:v>
      </x:c>
      <x:c r="L1691" s="17" t="str">
        <x:v>Not cycle-specific</x:v>
      </x:c>
      <x:c r="M1691" s="17" t="str">
        <x:v>low</x:v>
      </x:c>
      <x:c r="N1691" s="17" t="str">
        <x:v>Discovery evidence only</x:v>
      </x:c>
      <x:c r="O1691" s="17" t="str">
        <x:v>Use the source_record_paths field to trace the underlying discovery inputs.</x:v>
      </x:c>
      <x:c r="P1691" s="18" t="e">
        <x:f>HYPERLINK("https://www.ramapo.edu","Open source")</x:f>
        <x:v>HYPERLINK is not implemented. linkLocation=https://www.ramapo.edu, friendlyName=Open source</x:v>
      </x:c>
    </x:row>
    <x:row r="1692" ht="46" customHeight="1">
      <x:c r="A1692" s="17" t="str">
        <x:v>stage3src:88f23400cec4a0a205fa</x:v>
      </x:c>
      <x:c r="B1692" s="17" t="str">
        <x:v>program</x:v>
      </x:c>
      <x:c r="C1692" s="17" t="str">
        <x:v>Rider University</x:v>
      </x:c>
      <x:c r="D1692" s="17" t="str">
        <x:v>us:ipeds:186283:program:unclear:ipeds-discovery-signal-computer-and-information-systems-security-auditing-information-assurance-cip-11-1003</x:v>
      </x:c>
      <x:c r="E1692" s="17" t="str"/>
      <x:c r="F1692" s="17" t="str">
        <x:v>discovery</x:v>
      </x:c>
      <x:c r="G1692" s="17" t="str">
        <x:v>Stage 2 recorded this row as a discovery candidate; it does not independently verify an exact current research program, eligibility, or funding.</x:v>
      </x:c>
      <x:c r="H1692" s="17" t="str">
        <x:v>Pass 2 Stage 2 candidate funnel</x:v>
      </x:c>
      <x:c r="I1692" s="17" t="str">
        <x:v>Graduate audit pipeline</x:v>
      </x:c>
      <x:c r="J1692" s="17" t="str">
        <x:v>derived</x:v>
      </x:c>
      <x:c r="K1692" s="17" t="str">
        <x:v>2026-09-11</x:v>
      </x:c>
      <x:c r="L1692" s="17" t="str">
        <x:v>Not cycle-specific</x:v>
      </x:c>
      <x:c r="M1692" s="17" t="str">
        <x:v>low</x:v>
      </x:c>
      <x:c r="N1692" s="17" t="str">
        <x:v>Discovery evidence only</x:v>
      </x:c>
      <x:c r="O1692" s="17" t="str">
        <x:v>Use the source_record_paths field to trace the underlying discovery inputs.</x:v>
      </x:c>
      <x:c r="P1692" s="18" t="e">
        <x:f>HYPERLINK("https://www.rider.edu","Open source")</x:f>
        <x:v>HYPERLINK is not implemented. linkLocation=https://www.rider.edu, friendlyName=Open source</x:v>
      </x:c>
    </x:row>
    <x:row r="1693" ht="46" customHeight="1">
      <x:c r="A1693" s="17" t="str">
        <x:v>stage3src:fa24e21dafbb23b6ad35</x:v>
      </x:c>
      <x:c r="B1693" s="17" t="str">
        <x:v>program</x:v>
      </x:c>
      <x:c r="C1693" s="17" t="str">
        <x:v>Rider University</x:v>
      </x:c>
      <x:c r="D1693" s="17" t="str">
        <x:v>us:ipeds:186283:program:unclear:ipeds-discovery-signal-cyber-computer-forensics-and-counterterrorism-cip-43-0403</x:v>
      </x:c>
      <x:c r="E1693" s="17" t="str"/>
      <x:c r="F1693" s="17" t="str">
        <x:v>discovery</x:v>
      </x:c>
      <x:c r="G1693" s="17" t="str">
        <x:v>Stage 2 recorded this row as a discovery candidate; it does not independently verify an exact current research program, eligibility, or funding.</x:v>
      </x:c>
      <x:c r="H1693" s="17" t="str">
        <x:v>Pass 2 Stage 2 candidate funnel</x:v>
      </x:c>
      <x:c r="I1693" s="17" t="str">
        <x:v>Graduate audit pipeline</x:v>
      </x:c>
      <x:c r="J1693" s="17" t="str">
        <x:v>derived</x:v>
      </x:c>
      <x:c r="K1693" s="17" t="str">
        <x:v>2026-09-11</x:v>
      </x:c>
      <x:c r="L1693" s="17" t="str">
        <x:v>Not cycle-specific</x:v>
      </x:c>
      <x:c r="M1693" s="17" t="str">
        <x:v>low</x:v>
      </x:c>
      <x:c r="N1693" s="17" t="str">
        <x:v>Discovery evidence only</x:v>
      </x:c>
      <x:c r="O1693" s="17" t="str">
        <x:v>Use the source_record_paths field to trace the underlying discovery inputs.</x:v>
      </x:c>
      <x:c r="P1693" s="18" t="e">
        <x:f>HYPERLINK("https://www.rider.edu","Open source")</x:f>
        <x:v>HYPERLINK is not implemented. linkLocation=https://www.rider.edu, friendlyName=Open source</x:v>
      </x:c>
    </x:row>
    <x:row r="1694" ht="46" customHeight="1">
      <x:c r="A1694" s="17" t="str">
        <x:v>stage3src:8225f5a490350d4d49ea</x:v>
      </x:c>
      <x:c r="B1694" s="17" t="str">
        <x:v>program</x:v>
      </x:c>
      <x:c r="C1694" s="17" t="str">
        <x:v>Rutgers University-Camden</x:v>
      </x:c>
      <x:c r="D1694" s="17" t="str">
        <x:v>us:ipeds:186371:program:unclear:ipeds-discovery-signal-computer-and-information-sciences-general-cip-11-0101</x:v>
      </x:c>
      <x:c r="E1694" s="17" t="str"/>
      <x:c r="F1694" s="17" t="str">
        <x:v>discovery</x:v>
      </x:c>
      <x:c r="G1694" s="17" t="str">
        <x:v>Stage 2 recorded this row as a discovery candidate; it does not independently verify an exact current research program, eligibility, or funding.</x:v>
      </x:c>
      <x:c r="H1694" s="17" t="str">
        <x:v>Pass 2 Stage 2 candidate funnel</x:v>
      </x:c>
      <x:c r="I1694" s="17" t="str">
        <x:v>Graduate audit pipeline</x:v>
      </x:c>
      <x:c r="J1694" s="17" t="str">
        <x:v>derived</x:v>
      </x:c>
      <x:c r="K1694" s="17" t="str">
        <x:v>2026-09-11</x:v>
      </x:c>
      <x:c r="L1694" s="17" t="str">
        <x:v>Not cycle-specific</x:v>
      </x:c>
      <x:c r="M1694" s="17" t="str">
        <x:v>low</x:v>
      </x:c>
      <x:c r="N1694" s="17" t="str">
        <x:v>Discovery evidence only</x:v>
      </x:c>
      <x:c r="O1694" s="17" t="str">
        <x:v>Use the source_record_paths field to trace the underlying discovery inputs.</x:v>
      </x:c>
      <x:c r="P1694" s="18" t="e">
        <x:f>HYPERLINK("https://camden.rutgers.edu","Open source")</x:f>
        <x:v>HYPERLINK is not implemented. linkLocation=https://camden.rutgers.edu, friendlyName=Open source</x:v>
      </x:c>
    </x:row>
    <x:row r="1695" ht="46" customHeight="1">
      <x:c r="A1695" s="17" t="str">
        <x:v>stage3src:d8fdabdf5a59d46e2a4c</x:v>
      </x:c>
      <x:c r="B1695" s="17" t="str">
        <x:v>program</x:v>
      </x:c>
      <x:c r="C1695" s="17" t="str">
        <x:v>Rutgers University-Camden</x:v>
      </x:c>
      <x:c r="D1695" s="17" t="str">
        <x:v>us:ipeds:186371:program:unclear:ipeds-discovery-signal-computer-and-information-sciences-other-cip-11-0199</x:v>
      </x:c>
      <x:c r="E1695" s="17" t="str"/>
      <x:c r="F1695" s="17" t="str">
        <x:v>discovery</x:v>
      </x:c>
      <x:c r="G1695" s="17" t="str">
        <x:v>Stage 2 recorded this row as a discovery candidate; it does not independently verify an exact current research program, eligibility, or funding.</x:v>
      </x:c>
      <x:c r="H1695" s="17" t="str">
        <x:v>Pass 2 Stage 2 candidate funnel</x:v>
      </x:c>
      <x:c r="I1695" s="17" t="str">
        <x:v>Graduate audit pipeline</x:v>
      </x:c>
      <x:c r="J1695" s="17" t="str">
        <x:v>derived</x:v>
      </x:c>
      <x:c r="K1695" s="17" t="str">
        <x:v>2026-09-11</x:v>
      </x:c>
      <x:c r="L1695" s="17" t="str">
        <x:v>Not cycle-specific</x:v>
      </x:c>
      <x:c r="M1695" s="17" t="str">
        <x:v>low</x:v>
      </x:c>
      <x:c r="N1695" s="17" t="str">
        <x:v>Discovery evidence only</x:v>
      </x:c>
      <x:c r="O1695" s="17" t="str">
        <x:v>Use the source_record_paths field to trace the underlying discovery inputs.</x:v>
      </x:c>
      <x:c r="P1695" s="18" t="e">
        <x:f>HYPERLINK("https://camden.rutgers.edu","Open source")</x:f>
        <x:v>HYPERLINK is not implemented. linkLocation=https://camden.rutgers.edu, friendlyName=Open source</x:v>
      </x:c>
    </x:row>
    <x:row r="1696" ht="46" customHeight="1">
      <x:c r="A1696" s="17" t="str">
        <x:v>stage3src:91058cca19e204615cdd</x:v>
      </x:c>
      <x:c r="B1696" s="17" t="str">
        <x:v>program</x:v>
      </x:c>
      <x:c r="C1696" s="17" t="str">
        <x:v>Rutgers University-New Brunswick</x:v>
      </x:c>
      <x:c r="D1696" s="17" t="str">
        <x:v>us:ipeds:186380:program:phd:computer-science-phd</x:v>
      </x:c>
      <x:c r="E1696" s="17" t="str"/>
      <x:c r="F1696" s="17" t="str">
        <x:v>admissions|fees</x:v>
      </x:c>
      <x:c r="G1696" s="17" t="str">
        <x:v>Application fee is USD 70, listed waiver groups are described, and additional program applications require a separate fee.</x:v>
      </x:c>
      <x:c r="H1696" s="17" t="str">
        <x:v>Application Guidelines</x:v>
      </x:c>
      <x:c r="I1696" s="17" t="str">
        <x:v>Rutgers Graduate and Professional Admissions</x:v>
      </x:c>
      <x:c r="J1696" s="17" t="str">
        <x:v>official</x:v>
      </x:c>
      <x:c r="K1696" s="17" t="str">
        <x:v>2026-09-10</x:v>
      </x:c>
      <x:c r="L1696" s="17" t="str">
        <x:v>Current page checked 2026-09-10</x:v>
      </x:c>
      <x:c r="M1696" s="17" t="str">
        <x:v>high</x:v>
      </x:c>
      <x:c r="N1696" s="17" t="str">
        <x:v>official page checked</x:v>
      </x:c>
      <x:c r="O1696" s="17" t="str"/>
      <x:c r="P1696" s="18" t="e">
        <x:f>HYPERLINK("https://gradstudy.rutgers.edu/apply/application-guidelines","Open source")</x:f>
        <x:v>HYPERLINK is not implemented. linkLocation=https://gradstudy.rutgers.edu/apply/application-guidelines, friendlyName=Open source</x:v>
      </x:c>
    </x:row>
    <x:row r="1697" ht="46" customHeight="1">
      <x:c r="A1697" s="17" t="str">
        <x:v>stage3src:a917eeac7c50810ebfcb</x:v>
      </x:c>
      <x:c r="B1697" s="17" t="str">
        <x:v>program</x:v>
      </x:c>
      <x:c r="C1697" s="17" t="str">
        <x:v>Rutgers University-New Brunswick</x:v>
      </x:c>
      <x:c r="D1697" s="17" t="str">
        <x:v>us:ipeds:186380:program:phd:computer-science-phd</x:v>
      </x:c>
      <x:c r="E1697" s="17" t="str"/>
      <x:c r="F1697" s="17" t="str">
        <x:v>program|admissions|deadline</x:v>
      </x:c>
      <x:c r="G1697" s="17" t="str">
        <x:v>Computer Science PhD is listed for New Brunswick with a January 1, 2027 deadline for U.S. and non-U.S. applicants.</x:v>
      </x:c>
      <x:c r="H1697" s="17" t="str">
        <x:v>Computer Science (PHD) New Brunswick</x:v>
      </x:c>
      <x:c r="I1697" s="17" t="str">
        <x:v>Rutgers Graduate and Professional Admissions</x:v>
      </x:c>
      <x:c r="J1697" s="17" t="str">
        <x:v>official</x:v>
      </x:c>
      <x:c r="K1697" s="17" t="str">
        <x:v>2026-09-10</x:v>
      </x:c>
      <x:c r="L1697" s="17" t="str">
        <x:v>Fall 2027</x:v>
      </x:c>
      <x:c r="M1697" s="17" t="str">
        <x:v>high</x:v>
      </x:c>
      <x:c r="N1697" s="17" t="str">
        <x:v>official page checked</x:v>
      </x:c>
      <x:c r="O1697" s="17" t="str"/>
      <x:c r="P1697" s="18" t="e">
        <x:f>HYPERLINK("https://grad.admissions.rutgers.edu/GraduateProgram/Detail.aspx?id=a501U0000004gNjQAI","Open source")</x:f>
        <x:v>HYPERLINK is not implemented. linkLocation=https://grad.admissions.rutgers.edu/GraduateProgram/Detail.aspx?id=a501U0000004gNjQAI, friendlyName=Open source</x:v>
      </x:c>
    </x:row>
    <x:row r="1698" ht="46" customHeight="1">
      <x:c r="A1698" s="17" t="str">
        <x:v>stage3src:ac686c19696fffb83c69</x:v>
      </x:c>
      <x:c r="B1698" s="17" t="str">
        <x:v>program</x:v>
      </x:c>
      <x:c r="C1698" s="17" t="str">
        <x:v>Rutgers University-New Brunswick</x:v>
      </x:c>
      <x:c r="D1698" s="17" t="str">
        <x:v>us:ipeds:186380:program:phd:computer-science-phd</x:v>
      </x:c>
      <x:c r="E1698" s="17" t="str"/>
      <x:c r="F1698" s="17" t="str">
        <x:v>program|admissions|eligibility|language|deadline</x:v>
      </x:c>
      <x:c r="G1698" s="17" t="str">
        <x:v>Current Computer Science PhD, baccalaureate entry, prerequisite and B+ criteria, English waiver, and January 1 deadline.</x:v>
      </x:c>
      <x:c r="H1698" s="17" t="str">
        <x:v>Ph.D. Admission Requirements</x:v>
      </x:c>
      <x:c r="I1698" s="17" t="str">
        <x:v>Rutgers Department of Computer Science</x:v>
      </x:c>
      <x:c r="J1698" s="17" t="str">
        <x:v>official</x:v>
      </x:c>
      <x:c r="K1698" s="17" t="str">
        <x:v>2026-09-10</x:v>
      </x:c>
      <x:c r="L1698" s="17" t="str">
        <x:v>Current page checked 2026-09-10</x:v>
      </x:c>
      <x:c r="M1698" s="17" t="str">
        <x:v>high</x:v>
      </x:c>
      <x:c r="N1698" s="17" t="str">
        <x:v>official page checked</x:v>
      </x:c>
      <x:c r="O1698" s="17" t="str"/>
      <x:c r="P1698" s="18" t="e">
        <x:f>HYPERLINK("https://www.cs.rutgers.edu/academics/graduate/ph-d-program/admission-requirements","Open source")</x:f>
        <x:v>HYPERLINK is not implemented. linkLocation=https://www.cs.rutgers.edu/academics/graduate/ph-d-program/admission-requirements, friendlyName=Open source</x:v>
      </x:c>
    </x:row>
    <x:row r="1699" ht="46" customHeight="1">
      <x:c r="A1699" s="17" t="str">
        <x:v>stage3src:ae20362214c1c685f268</x:v>
      </x:c>
      <x:c r="B1699" s="17" t="str">
        <x:v>program</x:v>
      </x:c>
      <x:c r="C1699" s="17" t="str">
        <x:v>Rutgers University-New Brunswick</x:v>
      </x:c>
      <x:c r="D1699" s="17" t="str">
        <x:v>us:ipeds:186380:program:phd:computer-science-phd</x:v>
      </x:c>
      <x:c r="E1699" s="17" t="str"/>
      <x:c r="F1699" s="17" t="str">
        <x:v>funding|fees</x:v>
      </x:c>
      <x:c r="G1699" s="17" t="str">
        <x:v>Typical PhD support includes stipend, health insurance, and tuition remission; two years are typically guaranteed and three additional years expected subject to good standing.</x:v>
      </x:c>
      <x:c r="H1699" s="17" t="str">
        <x:v>Ph.D. Program Financial Aid</x:v>
      </x:c>
      <x:c r="I1699" s="17" t="str">
        <x:v>Rutgers Department of Computer Science</x:v>
      </x:c>
      <x:c r="J1699" s="17" t="str">
        <x:v>official</x:v>
      </x:c>
      <x:c r="K1699" s="17" t="str">
        <x:v>2026-09-10</x:v>
      </x:c>
      <x:c r="L1699" s="17" t="str">
        <x:v>Current page checked 2026-09-10</x:v>
      </x:c>
      <x:c r="M1699" s="17" t="str">
        <x:v>high</x:v>
      </x:c>
      <x:c r="N1699" s="17" t="str">
        <x:v>official page checked</x:v>
      </x:c>
      <x:c r="O1699" s="17" t="str"/>
      <x:c r="P1699" s="18" t="e">
        <x:f>HYPERLINK("https://www.cs.rutgers.edu/academics/graduate/ph-d-program/financial-aid","Open source")</x:f>
        <x:v>HYPERLINK is not implemented. linkLocation=https://www.cs.rutgers.edu/academics/graduate/ph-d-program/financial-aid, friendlyName=Open source</x:v>
      </x:c>
    </x:row>
    <x:row r="1700" ht="46" customHeight="1">
      <x:c r="A1700" s="17" t="str">
        <x:v>stage3src:dc56f5c9097e085b6d88</x:v>
      </x:c>
      <x:c r="B1700" s="17" t="str">
        <x:v>program</x:v>
      </x:c>
      <x:c r="C1700" s="17" t="str">
        <x:v>Rutgers University-New Brunswick</x:v>
      </x:c>
      <x:c r="D1700" s="17" t="str">
        <x:v>us:ipeds:186380:program:unclear:ipeds-discovery-signal-computer-and-information-sciences-general-cip-11-0101</x:v>
      </x:c>
      <x:c r="E1700" s="17" t="str"/>
      <x:c r="F1700" s="17" t="str">
        <x:v>discovery</x:v>
      </x:c>
      <x:c r="G1700" s="17" t="str">
        <x:v>Stage 2 recorded this row as a discovery candidate; it does not independently verify an exact current research program, eligibility, or funding.</x:v>
      </x:c>
      <x:c r="H1700" s="17" t="str">
        <x:v>Pass 2 Stage 2 candidate funnel</x:v>
      </x:c>
      <x:c r="I1700" s="17" t="str">
        <x:v>Graduate audit pipeline</x:v>
      </x:c>
      <x:c r="J1700" s="17" t="str">
        <x:v>derived</x:v>
      </x:c>
      <x:c r="K1700" s="17" t="str">
        <x:v>2026-09-11</x:v>
      </x:c>
      <x:c r="L1700" s="17" t="str">
        <x:v>Not cycle-specific</x:v>
      </x:c>
      <x:c r="M1700" s="17" t="str">
        <x:v>low</x:v>
      </x:c>
      <x:c r="N1700" s="17" t="str">
        <x:v>Discovery evidence only</x:v>
      </x:c>
      <x:c r="O1700" s="17" t="str">
        <x:v>Use the source_record_paths field to trace the underlying discovery inputs.</x:v>
      </x:c>
      <x:c r="P1700" s="18" t="e">
        <x:f>HYPERLINK("https://newbrunswick.rutgers.edu","Open source")</x:f>
        <x:v>HYPERLINK is not implemented. linkLocation=https://newbrunswick.rutgers.edu, friendlyName=Open source</x:v>
      </x:c>
    </x:row>
    <x:row r="1701" ht="46" customHeight="1">
      <x:c r="A1701" s="17" t="str">
        <x:v>stage3src:4a66a6f6306f3069a395</x:v>
      </x:c>
      <x:c r="B1701" s="17" t="str">
        <x:v>program</x:v>
      </x:c>
      <x:c r="C1701" s="17" t="str">
        <x:v>Rutgers University-New Brunswick</x:v>
      </x:c>
      <x:c r="D1701" s="17" t="str">
        <x:v>us:ipeds:186380:program:unclear:ipeds-discovery-signal-computer-and-information-sciences-other-cip-11-0199</x:v>
      </x:c>
      <x:c r="E1701" s="17" t="str"/>
      <x:c r="F1701" s="17" t="str">
        <x:v>discovery</x:v>
      </x:c>
      <x:c r="G1701" s="17" t="str">
        <x:v>Stage 2 recorded this row as a discovery candidate; it does not independently verify an exact current research program, eligibility, or funding.</x:v>
      </x:c>
      <x:c r="H1701" s="17" t="str">
        <x:v>Pass 2 Stage 2 candidate funnel</x:v>
      </x:c>
      <x:c r="I1701" s="17" t="str">
        <x:v>Graduate audit pipeline</x:v>
      </x:c>
      <x:c r="J1701" s="17" t="str">
        <x:v>derived</x:v>
      </x:c>
      <x:c r="K1701" s="17" t="str">
        <x:v>2026-09-11</x:v>
      </x:c>
      <x:c r="L1701" s="17" t="str">
        <x:v>Not cycle-specific</x:v>
      </x:c>
      <x:c r="M1701" s="17" t="str">
        <x:v>low</x:v>
      </x:c>
      <x:c r="N1701" s="17" t="str">
        <x:v>Discovery evidence only</x:v>
      </x:c>
      <x:c r="O1701" s="17" t="str">
        <x:v>Use the source_record_paths field to trace the underlying discovery inputs.</x:v>
      </x:c>
      <x:c r="P1701" s="18" t="e">
        <x:f>HYPERLINK("https://newbrunswick.rutgers.edu","Open source")</x:f>
        <x:v>HYPERLINK is not implemented. linkLocation=https://newbrunswick.rutgers.edu, friendlyName=Open source</x:v>
      </x:c>
    </x:row>
    <x:row r="1702" ht="46" customHeight="1">
      <x:c r="A1702" s="17" t="str">
        <x:v>stage3src:0bcfa706394b1fe670c4</x:v>
      </x:c>
      <x:c r="B1702" s="17" t="str">
        <x:v>program</x:v>
      </x:c>
      <x:c r="C1702" s="17" t="str">
        <x:v>Rutgers University-New Brunswick</x:v>
      </x:c>
      <x:c r="D1702" s="17" t="str">
        <x:v>us:ipeds:186380:program:unclear:ipeds-discovery-signal-electrical-and-electronics-engineering-cip-14-1001</x:v>
      </x:c>
      <x:c r="E1702" s="17" t="str"/>
      <x:c r="F1702" s="17" t="str">
        <x:v>discovery</x:v>
      </x:c>
      <x:c r="G1702" s="17" t="str">
        <x:v>Stage 2 recorded this row as a discovery candidate; it does not independently verify an exact current research program, eligibility, or funding.</x:v>
      </x:c>
      <x:c r="H1702" s="17" t="str">
        <x:v>Pass 2 Stage 2 candidate funnel</x:v>
      </x:c>
      <x:c r="I1702" s="17" t="str">
        <x:v>Graduate audit pipeline</x:v>
      </x:c>
      <x:c r="J1702" s="17" t="str">
        <x:v>derived</x:v>
      </x:c>
      <x:c r="K1702" s="17" t="str">
        <x:v>2026-09-11</x:v>
      </x:c>
      <x:c r="L1702" s="17" t="str">
        <x:v>Not cycle-specific</x:v>
      </x:c>
      <x:c r="M1702" s="17" t="str">
        <x:v>low</x:v>
      </x:c>
      <x:c r="N1702" s="17" t="str">
        <x:v>Discovery evidence only</x:v>
      </x:c>
      <x:c r="O1702" s="17" t="str">
        <x:v>Use the source_record_paths field to trace the underlying discovery inputs.</x:v>
      </x:c>
      <x:c r="P1702" s="18" t="e">
        <x:f>HYPERLINK("https://newbrunswick.rutgers.edu","Open source")</x:f>
        <x:v>HYPERLINK is not implemented. linkLocation=https://newbrunswick.rutgers.edu, friendlyName=Open source</x:v>
      </x:c>
    </x:row>
    <x:row r="1703" ht="46" customHeight="1">
      <x:c r="A1703" s="17" t="str">
        <x:v>stage3src:b7dd6dcab36540d045e4</x:v>
      </x:c>
      <x:c r="B1703" s="17" t="str">
        <x:v>program</x:v>
      </x:c>
      <x:c r="C1703" s="17" t="str">
        <x:v>Rutgers University-New Brunswick</x:v>
      </x:c>
      <x:c r="D1703" s="17" t="str">
        <x:v>us:ipeds:186380:program:unclear:ipeds-discovery-signal-information-science-studies-cip-11-0401</x:v>
      </x:c>
      <x:c r="E1703" s="17" t="str"/>
      <x:c r="F1703" s="17" t="str">
        <x:v>discovery</x:v>
      </x:c>
      <x:c r="G1703" s="17" t="str">
        <x:v>Stage 2 recorded this row as a discovery candidate; it does not independently verify an exact current research program, eligibility, or funding.</x:v>
      </x:c>
      <x:c r="H1703" s="17" t="str">
        <x:v>Pass 2 Stage 2 candidate funnel</x:v>
      </x:c>
      <x:c r="I1703" s="17" t="str">
        <x:v>Graduate audit pipeline</x:v>
      </x:c>
      <x:c r="J1703" s="17" t="str">
        <x:v>derived</x:v>
      </x:c>
      <x:c r="K1703" s="17" t="str">
        <x:v>2026-09-11</x:v>
      </x:c>
      <x:c r="L1703" s="17" t="str">
        <x:v>Not cycle-specific</x:v>
      </x:c>
      <x:c r="M1703" s="17" t="str">
        <x:v>low</x:v>
      </x:c>
      <x:c r="N1703" s="17" t="str">
        <x:v>Discovery evidence only</x:v>
      </x:c>
      <x:c r="O1703" s="17" t="str">
        <x:v>Use the source_record_paths field to trace the underlying discovery inputs.</x:v>
      </x:c>
      <x:c r="P1703" s="18" t="e">
        <x:f>HYPERLINK("https://newbrunswick.rutgers.edu","Open source")</x:f>
        <x:v>HYPERLINK is not implemented. linkLocation=https://newbrunswick.rutgers.edu, friendlyName=Open source</x:v>
      </x:c>
    </x:row>
    <x:row r="1704" ht="46" customHeight="1">
      <x:c r="A1704" s="17" t="str">
        <x:v>stage3src:37f19be8c45728f4d50b</x:v>
      </x:c>
      <x:c r="B1704" s="17" t="str">
        <x:v>program</x:v>
      </x:c>
      <x:c r="C1704" s="17" t="str">
        <x:v>Rutgers University-Newark</x:v>
      </x:c>
      <x:c r="D1704" s="17" t="str">
        <x:v>us:ipeds:186399:program:unclear:ipeds-discovery-signal-information-technology-cip-11-0103</x:v>
      </x:c>
      <x:c r="E1704" s="17" t="str"/>
      <x:c r="F1704" s="17" t="str">
        <x:v>discovery</x:v>
      </x:c>
      <x:c r="G1704" s="17" t="str">
        <x:v>Stage 2 recorded this row as a discovery candidate; it does not independently verify an exact current research program, eligibility, or funding.</x:v>
      </x:c>
      <x:c r="H1704" s="17" t="str">
        <x:v>Pass 2 Stage 2 candidate funnel</x:v>
      </x:c>
      <x:c r="I1704" s="17" t="str">
        <x:v>Graduate audit pipeline</x:v>
      </x:c>
      <x:c r="J1704" s="17" t="str">
        <x:v>derived</x:v>
      </x:c>
      <x:c r="K1704" s="17" t="str">
        <x:v>2026-09-11</x:v>
      </x:c>
      <x:c r="L1704" s="17" t="str">
        <x:v>Not cycle-specific</x:v>
      </x:c>
      <x:c r="M1704" s="17" t="str">
        <x:v>low</x:v>
      </x:c>
      <x:c r="N1704" s="17" t="str">
        <x:v>Discovery evidence only</x:v>
      </x:c>
      <x:c r="O1704" s="17" t="str">
        <x:v>Use the source_record_paths field to trace the underlying discovery inputs.</x:v>
      </x:c>
      <x:c r="P1704" s="18" t="e">
        <x:f>HYPERLINK("https://www.newark.rutgers.edu","Open source")</x:f>
        <x:v>HYPERLINK is not implemented. linkLocation=https://www.newark.rutgers.edu, friendlyName=Open source</x:v>
      </x:c>
    </x:row>
    <x:row r="1705" ht="46" customHeight="1">
      <x:c r="A1705" s="17" t="str">
        <x:v>stage3src:316ef1d88ec372470e9e</x:v>
      </x:c>
      <x:c r="B1705" s="17" t="str">
        <x:v>program</x:v>
      </x:c>
      <x:c r="C1705" s="17" t="str">
        <x:v>Saint Peter's University</x:v>
      </x:c>
      <x:c r="D1705" s="17" t="str">
        <x:v>us:ipeds:186432:program:unclear:ipeds-discovery-signal-computer-and-information-systems-security-auditing-information-assurance-cip-11-1003</x:v>
      </x:c>
      <x:c r="E1705" s="17" t="str"/>
      <x:c r="F1705" s="17" t="str">
        <x:v>discovery</x:v>
      </x:c>
      <x:c r="G1705" s="17" t="str">
        <x:v>Stage 2 recorded this row as a discovery candidate; it does not independently verify an exact current research program, eligibility, or funding.</x:v>
      </x:c>
      <x:c r="H1705" s="17" t="str">
        <x:v>Pass 2 Stage 2 candidate funnel</x:v>
      </x:c>
      <x:c r="I1705" s="17" t="str">
        <x:v>Graduate audit pipeline</x:v>
      </x:c>
      <x:c r="J1705" s="17" t="str">
        <x:v>derived</x:v>
      </x:c>
      <x:c r="K1705" s="17" t="str">
        <x:v>2026-09-11</x:v>
      </x:c>
      <x:c r="L1705" s="17" t="str">
        <x:v>Not cycle-specific</x:v>
      </x:c>
      <x:c r="M1705" s="17" t="str">
        <x:v>low</x:v>
      </x:c>
      <x:c r="N1705" s="17" t="str">
        <x:v>Discovery evidence only</x:v>
      </x:c>
      <x:c r="O1705" s="17" t="str">
        <x:v>Use the source_record_paths field to trace the underlying discovery inputs.</x:v>
      </x:c>
      <x:c r="P1705" s="18" t="e">
        <x:f>HYPERLINK("https://www.saintpeters.edu","Open source")</x:f>
        <x:v>HYPERLINK is not implemented. linkLocation=https://www.saintpeters.edu, friendlyName=Open source</x:v>
      </x:c>
    </x:row>
    <x:row r="1706" ht="46" customHeight="1">
      <x:c r="A1706" s="17" t="str">
        <x:v>stage3src:444809d2ed39ace6395f</x:v>
      </x:c>
      <x:c r="B1706" s="17" t="str">
        <x:v>program</x:v>
      </x:c>
      <x:c r="C1706" s="17" t="str">
        <x:v>Saint Peter's University</x:v>
      </x:c>
      <x:c r="D1706" s="17" t="str">
        <x:v>us:ipeds:186432:program:unclear:ipeds-discovery-signal-data-science-general-cip-30-7001</x:v>
      </x:c>
      <x:c r="E1706" s="17" t="str"/>
      <x:c r="F1706" s="17" t="str">
        <x:v>discovery</x:v>
      </x:c>
      <x:c r="G1706" s="17" t="str">
        <x:v>Stage 2 recorded this row as a discovery candidate; it does not independently verify an exact current research program, eligibility, or funding.</x:v>
      </x:c>
      <x:c r="H1706" s="17" t="str">
        <x:v>Pass 2 Stage 2 candidate funnel</x:v>
      </x:c>
      <x:c r="I1706" s="17" t="str">
        <x:v>Graduate audit pipeline</x:v>
      </x:c>
      <x:c r="J1706" s="17" t="str">
        <x:v>derived</x:v>
      </x:c>
      <x:c r="K1706" s="17" t="str">
        <x:v>2026-09-11</x:v>
      </x:c>
      <x:c r="L1706" s="17" t="str">
        <x:v>Not cycle-specific</x:v>
      </x:c>
      <x:c r="M1706" s="17" t="str">
        <x:v>low</x:v>
      </x:c>
      <x:c r="N1706" s="17" t="str">
        <x:v>Discovery evidence only</x:v>
      </x:c>
      <x:c r="O1706" s="17" t="str">
        <x:v>Use the source_record_paths field to trace the underlying discovery inputs.</x:v>
      </x:c>
      <x:c r="P1706" s="18" t="e">
        <x:f>HYPERLINK("https://www.saintpeters.edu","Open source")</x:f>
        <x:v>HYPERLINK is not implemented. linkLocation=https://www.saintpeters.edu, friendlyName=Open source</x:v>
      </x:c>
    </x:row>
    <x:row r="1707" ht="46" customHeight="1">
      <x:c r="A1707" s="17" t="str">
        <x:v>stage3src:b0033cff5221db812aae</x:v>
      </x:c>
      <x:c r="B1707" s="17" t="str">
        <x:v>program</x:v>
      </x:c>
      <x:c r="C1707" s="17" t="str">
        <x:v>Saint Peter's University</x:v>
      </x:c>
      <x:c r="D1707" s="17" t="str">
        <x:v>us:ipeds:186432:program:unclear:ipeds-discovery-signal-information-technology-cip-11-0103</x:v>
      </x:c>
      <x:c r="E1707" s="17" t="str"/>
      <x:c r="F1707" s="17" t="str">
        <x:v>discovery</x:v>
      </x:c>
      <x:c r="G1707" s="17" t="str">
        <x:v>Stage 2 recorded this row as a discovery candidate; it does not independently verify an exact current research program, eligibility, or funding.</x:v>
      </x:c>
      <x:c r="H1707" s="17" t="str">
        <x:v>Pass 2 Stage 2 candidate funnel</x:v>
      </x:c>
      <x:c r="I1707" s="17" t="str">
        <x:v>Graduate audit pipeline</x:v>
      </x:c>
      <x:c r="J1707" s="17" t="str">
        <x:v>derived</x:v>
      </x:c>
      <x:c r="K1707" s="17" t="str">
        <x:v>2026-09-11</x:v>
      </x:c>
      <x:c r="L1707" s="17" t="str">
        <x:v>Not cycle-specific</x:v>
      </x:c>
      <x:c r="M1707" s="17" t="str">
        <x:v>low</x:v>
      </x:c>
      <x:c r="N1707" s="17" t="str">
        <x:v>Discovery evidence only</x:v>
      </x:c>
      <x:c r="O1707" s="17" t="str">
        <x:v>Use the source_record_paths field to trace the underlying discovery inputs.</x:v>
      </x:c>
      <x:c r="P1707" s="18" t="e">
        <x:f>HYPERLINK("https://www.saintpeters.edu","Open source")</x:f>
        <x:v>HYPERLINK is not implemented. linkLocation=https://www.saintpeters.edu, friendlyName=Open source</x:v>
      </x:c>
    </x:row>
    <x:row r="1708" ht="46" customHeight="1">
      <x:c r="A1708" s="17" t="str">
        <x:v>stage3src:87b75523ee938b154bff</x:v>
      </x:c>
      <x:c r="B1708" s="17" t="str">
        <x:v>program</x:v>
      </x:c>
      <x:c r="C1708" s="17" t="str">
        <x:v>Seton Hall University</x:v>
      </x:c>
      <x:c r="D1708" s="17" t="str">
        <x:v>us:ipeds:186584:program:unclear:ipeds-discovery-signal-computer-and-information-sciences-other-cip-11-0199</x:v>
      </x:c>
      <x:c r="E1708" s="17" t="str"/>
      <x:c r="F1708" s="17" t="str">
        <x:v>discovery</x:v>
      </x:c>
      <x:c r="G1708" s="17" t="str">
        <x:v>Stage 2 recorded this row as a discovery candidate; it does not independently verify an exact current research program, eligibility, or funding.</x:v>
      </x:c>
      <x:c r="H1708" s="17" t="str">
        <x:v>Pass 2 Stage 2 candidate funnel</x:v>
      </x:c>
      <x:c r="I1708" s="17" t="str">
        <x:v>Graduate audit pipeline</x:v>
      </x:c>
      <x:c r="J1708" s="17" t="str">
        <x:v>derived</x:v>
      </x:c>
      <x:c r="K1708" s="17" t="str">
        <x:v>2026-09-11</x:v>
      </x:c>
      <x:c r="L1708" s="17" t="str">
        <x:v>Not cycle-specific</x:v>
      </x:c>
      <x:c r="M1708" s="17" t="str">
        <x:v>low</x:v>
      </x:c>
      <x:c r="N1708" s="17" t="str">
        <x:v>Discovery evidence only</x:v>
      </x:c>
      <x:c r="O1708" s="17" t="str">
        <x:v>Use the source_record_paths field to trace the underlying discovery inputs.</x:v>
      </x:c>
      <x:c r="P1708" s="18" t="e">
        <x:f>HYPERLINK("https://www.shu.edu","Open source")</x:f>
        <x:v>HYPERLINK is not implemented. linkLocation=https://www.shu.edu, friendlyName=Open source</x:v>
      </x:c>
    </x:row>
    <x:row r="1709" ht="46" customHeight="1">
      <x:c r="A1709" s="17" t="str">
        <x:v>stage3src:0316301ebe4ce6b62aa7</x:v>
      </x:c>
      <x:c r="B1709" s="17" t="str">
        <x:v>program</x:v>
      </x:c>
      <x:c r="C1709" s="17" t="str">
        <x:v>Seton Hall University</x:v>
      </x:c>
      <x:c r="D1709" s="17" t="str">
        <x:v>us:ipeds:186584:program:unclear:ipeds-discovery-signal-data-science-general-cip-30-7001</x:v>
      </x:c>
      <x:c r="E1709" s="17" t="str"/>
      <x:c r="F1709" s="17" t="str">
        <x:v>discovery</x:v>
      </x:c>
      <x:c r="G1709" s="17" t="str">
        <x:v>Stage 2 recorded this row as a discovery candidate; it does not independently verify an exact current research program, eligibility, or funding.</x:v>
      </x:c>
      <x:c r="H1709" s="17" t="str">
        <x:v>Pass 2 Stage 2 candidate funnel</x:v>
      </x:c>
      <x:c r="I1709" s="17" t="str">
        <x:v>Graduate audit pipeline</x:v>
      </x:c>
      <x:c r="J1709" s="17" t="str">
        <x:v>derived</x:v>
      </x:c>
      <x:c r="K1709" s="17" t="str">
        <x:v>2026-09-11</x:v>
      </x:c>
      <x:c r="L1709" s="17" t="str">
        <x:v>Not cycle-specific</x:v>
      </x:c>
      <x:c r="M1709" s="17" t="str">
        <x:v>low</x:v>
      </x:c>
      <x:c r="N1709" s="17" t="str">
        <x:v>Discovery evidence only</x:v>
      </x:c>
      <x:c r="O1709" s="17" t="str">
        <x:v>Use the source_record_paths field to trace the underlying discovery inputs.</x:v>
      </x:c>
      <x:c r="P1709" s="18" t="e">
        <x:f>HYPERLINK("https://www.shu.edu","Open source")</x:f>
        <x:v>HYPERLINK is not implemented. linkLocation=https://www.shu.edu, friendlyName=Open source</x:v>
      </x:c>
    </x:row>
    <x:row r="1710" ht="46" customHeight="1">
      <x:c r="A1710" s="17" t="str">
        <x:v>stage3src:a8f8c1e5536fa500fff8</x:v>
      </x:c>
      <x:c r="B1710" s="17" t="str">
        <x:v>program</x:v>
      </x:c>
      <x:c r="C1710" s="17" t="str">
        <x:v>Seton Hall University</x:v>
      </x:c>
      <x:c r="D1710" s="17" t="str">
        <x:v>us:ipeds:186584:program:unclear:ipeds-discovery-signal-information-technology-cip-11-0103</x:v>
      </x:c>
      <x:c r="E1710" s="17" t="str"/>
      <x:c r="F1710" s="17" t="str">
        <x:v>discovery</x:v>
      </x:c>
      <x:c r="G1710" s="17" t="str">
        <x:v>Stage 2 recorded this row as a discovery candidate; it does not independently verify an exact current research program, eligibility, or funding.</x:v>
      </x:c>
      <x:c r="H1710" s="17" t="str">
        <x:v>Pass 2 Stage 2 candidate funnel</x:v>
      </x:c>
      <x:c r="I1710" s="17" t="str">
        <x:v>Graduate audit pipeline</x:v>
      </x:c>
      <x:c r="J1710" s="17" t="str">
        <x:v>derived</x:v>
      </x:c>
      <x:c r="K1710" s="17" t="str">
        <x:v>2026-09-11</x:v>
      </x:c>
      <x:c r="L1710" s="17" t="str">
        <x:v>Not cycle-specific</x:v>
      </x:c>
      <x:c r="M1710" s="17" t="str">
        <x:v>low</x:v>
      </x:c>
      <x:c r="N1710" s="17" t="str">
        <x:v>Discovery evidence only</x:v>
      </x:c>
      <x:c r="O1710" s="17" t="str">
        <x:v>Use the source_record_paths field to trace the underlying discovery inputs.</x:v>
      </x:c>
      <x:c r="P1710" s="18" t="e">
        <x:f>HYPERLINK("https://www.shu.edu","Open source")</x:f>
        <x:v>HYPERLINK is not implemented. linkLocation=https://www.shu.edu, friendlyName=Open source</x:v>
      </x:c>
    </x:row>
    <x:row r="1711" ht="46" customHeight="1">
      <x:c r="A1711" s="17" t="str">
        <x:v>stage3src:3aec0d5a0a9ddb7fbaac</x:v>
      </x:c>
      <x:c r="B1711" s="17" t="str">
        <x:v>program</x:v>
      </x:c>
      <x:c r="C1711" s="17" t="str">
        <x:v>Saint Elizabeth University</x:v>
      </x:c>
      <x:c r="D1711" s="17" t="str">
        <x:v>us:ipeds:186618:program:unclear:ipeds-discovery-signal-computer-and-information-sciences-general-cip-11-0101</x:v>
      </x:c>
      <x:c r="E1711" s="17" t="str"/>
      <x:c r="F1711" s="17" t="str">
        <x:v>discovery</x:v>
      </x:c>
      <x:c r="G1711" s="17" t="str">
        <x:v>Stage 2 recorded this row as a discovery candidate; it does not independently verify an exact current research program, eligibility, or funding.</x:v>
      </x:c>
      <x:c r="H1711" s="17" t="str">
        <x:v>Pass 2 Stage 2 candidate funnel</x:v>
      </x:c>
      <x:c r="I1711" s="17" t="str">
        <x:v>Graduate audit pipeline</x:v>
      </x:c>
      <x:c r="J1711" s="17" t="str">
        <x:v>derived</x:v>
      </x:c>
      <x:c r="K1711" s="17" t="str">
        <x:v>2026-09-11</x:v>
      </x:c>
      <x:c r="L1711" s="17" t="str">
        <x:v>Not cycle-specific</x:v>
      </x:c>
      <x:c r="M1711" s="17" t="str">
        <x:v>low</x:v>
      </x:c>
      <x:c r="N1711" s="17" t="str">
        <x:v>Discovery evidence only</x:v>
      </x:c>
      <x:c r="O1711" s="17" t="str">
        <x:v>Use the source_record_paths field to trace the underlying discovery inputs.</x:v>
      </x:c>
      <x:c r="P1711" s="18" t="e">
        <x:f>HYPERLINK("https://www.steu.edu","Open source")</x:f>
        <x:v>HYPERLINK is not implemented. linkLocation=https://www.steu.edu, friendlyName=Open source</x:v>
      </x:c>
    </x:row>
    <x:row r="1712" ht="46" customHeight="1">
      <x:c r="A1712" s="17" t="str">
        <x:v>stage3src:586992da46a00f282b34</x:v>
      </x:c>
      <x:c r="B1712" s="17" t="str">
        <x:v>program</x:v>
      </x:c>
      <x:c r="C1712" s="17" t="str">
        <x:v>Stevens Institute of Technology</x:v>
      </x:c>
      <x:c r="D1712" s="17" t="str">
        <x:v>us:ipeds:186867:program:phd:phd-in-computer-science</x:v>
      </x:c>
      <x:c r="E1712" s="17" t="str"/>
      <x:c r="F1712" s="17" t="str">
        <x:v>program|admissions|eligibility|funding|fees</x:v>
      </x:c>
      <x:c r="G1712" s="17" t="str">
        <x:v>Current CS PhD, bachelor's exception and GPA, USD 60 fee, research route, and support for all CS doctoral students.</x:v>
      </x:c>
      <x:c r="H1712" s="17" t="str">
        <x:v>Computer Science Doctoral Program</x:v>
      </x:c>
      <x:c r="I1712" s="17" t="str">
        <x:v>Stevens Institute of Technology</x:v>
      </x:c>
      <x:c r="J1712" s="17" t="str">
        <x:v>official</x:v>
      </x:c>
      <x:c r="K1712" s="17" t="str">
        <x:v>2026-09-10</x:v>
      </x:c>
      <x:c r="L1712" s="17" t="str">
        <x:v>Current page checked 2026-09-10</x:v>
      </x:c>
      <x:c r="M1712" s="17" t="str">
        <x:v>high</x:v>
      </x:c>
      <x:c r="N1712" s="17" t="str">
        <x:v>official page checked</x:v>
      </x:c>
      <x:c r="O1712" s="17" t="str"/>
      <x:c r="P1712" s="18" t="e">
        <x:f>HYPERLINK("https://www.stevens.edu/program/computer-science-doctoral-program","Open source")</x:f>
        <x:v>HYPERLINK is not implemented. linkLocation=https://www.stevens.edu/program/computer-science-doctoral-program, friendlyName=Open source</x:v>
      </x:c>
    </x:row>
    <x:row r="1713" ht="46" customHeight="1">
      <x:c r="A1713" s="17" t="str">
        <x:v>stage3src:d96e288cd39c25c5cf00</x:v>
      </x:c>
      <x:c r="B1713" s="17" t="str">
        <x:v>program</x:v>
      </x:c>
      <x:c r="C1713" s="17" t="str">
        <x:v>Stevens Institute of Technology</x:v>
      </x:c>
      <x:c r="D1713" s="17" t="str">
        <x:v>us:ipeds:186867:program:phd:phd-in-computer-science</x:v>
      </x:c>
      <x:c r="E1713" s="17" t="str"/>
      <x:c r="F1713" s="17" t="str">
        <x:v>admissions|language|deadline</x:v>
      </x:c>
      <x:c r="G1713" s="17" t="str">
        <x:v>Doctoral application process, English requirements, and latest published priority schedule.</x:v>
      </x:c>
      <x:c r="H1713" s="17" t="str">
        <x:v>PhD Application Process</x:v>
      </x:c>
      <x:c r="I1713" s="17" t="str">
        <x:v>Stevens Institute of Technology</x:v>
      </x:c>
      <x:c r="J1713" s="17" t="str">
        <x:v>official</x:v>
      </x:c>
      <x:c r="K1713" s="17" t="str">
        <x:v>2026-09-10</x:v>
      </x:c>
      <x:c r="L1713" s="17" t="str">
        <x:v>Latest published cycle checked 2026-09-10</x:v>
      </x:c>
      <x:c r="M1713" s="17" t="str">
        <x:v>high</x:v>
      </x:c>
      <x:c r="N1713" s="17" t="str">
        <x:v>official page checked</x:v>
      </x:c>
      <x:c r="O1713" s="17" t="str"/>
      <x:c r="P1713" s="18" t="e">
        <x:f>HYPERLINK("https://www.stevens.edu/academics/graduate-study/phd-application-process","Open source")</x:f>
        <x:v>HYPERLINK is not implemented. linkLocation=https://www.stevens.edu/academics/graduate-study/phd-application-process, friendlyName=Open source</x:v>
      </x:c>
    </x:row>
    <x:row r="1714" ht="46" customHeight="1">
      <x:c r="A1714" s="17" t="str">
        <x:v>stage3src:e4f1ce8cd5a681f501fa</x:v>
      </x:c>
      <x:c r="B1714" s="17" t="str">
        <x:v>program</x:v>
      </x:c>
      <x:c r="C1714" s="17" t="str">
        <x:v>Stevens Institute of Technology</x:v>
      </x:c>
      <x:c r="D1714" s="17" t="str">
        <x:v>us:ipeds:186867:program:unclear:ipeds-discovery-signal-computer-engineering-general-cip-14-0901</x:v>
      </x:c>
      <x:c r="E1714" s="17" t="str"/>
      <x:c r="F1714" s="17" t="str">
        <x:v>discovery</x:v>
      </x:c>
      <x:c r="G1714" s="17" t="str">
        <x:v>Stage 2 recorded this row as a discovery candidate; it does not independently verify an exact current research program, eligibility, or funding.</x:v>
      </x:c>
      <x:c r="H1714" s="17" t="str">
        <x:v>Pass 2 Stage 2 candidate funnel</x:v>
      </x:c>
      <x:c r="I1714" s="17" t="str">
        <x:v>Graduate audit pipeline</x:v>
      </x:c>
      <x:c r="J1714" s="17" t="str">
        <x:v>derived</x:v>
      </x:c>
      <x:c r="K1714" s="17" t="str">
        <x:v>2026-09-11</x:v>
      </x:c>
      <x:c r="L1714" s="17" t="str">
        <x:v>Not cycle-specific</x:v>
      </x:c>
      <x:c r="M1714" s="17" t="str">
        <x:v>low</x:v>
      </x:c>
      <x:c r="N1714" s="17" t="str">
        <x:v>Discovery evidence only</x:v>
      </x:c>
      <x:c r="O1714" s="17" t="str">
        <x:v>Use the source_record_paths field to trace the underlying discovery inputs.</x:v>
      </x:c>
      <x:c r="P1714" s="18" t="e">
        <x:f>HYPERLINK("https://www.stevens.edu","Open source")</x:f>
        <x:v>HYPERLINK is not implemented. linkLocation=https://www.stevens.edu, friendlyName=Open source</x:v>
      </x:c>
    </x:row>
    <x:row r="1715" ht="46" customHeight="1">
      <x:c r="A1715" s="17" t="str">
        <x:v>stage3src:ed327f832b75d91f5cbe</x:v>
      </x:c>
      <x:c r="B1715" s="17" t="str">
        <x:v>program</x:v>
      </x:c>
      <x:c r="C1715" s="17" t="str">
        <x:v>Stevens Institute of Technology</x:v>
      </x:c>
      <x:c r="D1715" s="17" t="str">
        <x:v>us:ipeds:186867:program:unclear:ipeds-discovery-signal-computer-science-cip-11-0701</x:v>
      </x:c>
      <x:c r="E1715" s="17" t="str"/>
      <x:c r="F1715" s="17" t="str">
        <x:v>discovery</x:v>
      </x:c>
      <x:c r="G1715" s="17" t="str">
        <x:v>Stage 2 recorded this row as a discovery candidate; it does not independently verify an exact current research program, eligibility, or funding.</x:v>
      </x:c>
      <x:c r="H1715" s="17" t="str">
        <x:v>Pass 2 Stage 2 candidate funnel</x:v>
      </x:c>
      <x:c r="I1715" s="17" t="str">
        <x:v>Graduate audit pipeline</x:v>
      </x:c>
      <x:c r="J1715" s="17" t="str">
        <x:v>derived</x:v>
      </x:c>
      <x:c r="K1715" s="17" t="str">
        <x:v>2026-09-11</x:v>
      </x:c>
      <x:c r="L1715" s="17" t="str">
        <x:v>Not cycle-specific</x:v>
      </x:c>
      <x:c r="M1715" s="17" t="str">
        <x:v>low</x:v>
      </x:c>
      <x:c r="N1715" s="17" t="str">
        <x:v>Discovery evidence only</x:v>
      </x:c>
      <x:c r="O1715" s="17" t="str">
        <x:v>Use the source_record_paths field to trace the underlying discovery inputs.</x:v>
      </x:c>
      <x:c r="P1715" s="18" t="e">
        <x:f>HYPERLINK("https://www.stevens.edu","Open source")</x:f>
        <x:v>HYPERLINK is not implemented. linkLocation=https://www.stevens.edu, friendlyName=Open source</x:v>
      </x:c>
    </x:row>
    <x:row r="1716" ht="46" customHeight="1">
      <x:c r="A1716" s="17" t="str">
        <x:v>stage3src:dc9fa8d7bf1e1697979d</x:v>
      </x:c>
      <x:c r="B1716" s="17" t="str">
        <x:v>program</x:v>
      </x:c>
      <x:c r="C1716" s="17" t="str">
        <x:v>Stevens Institute of Technology</x:v>
      </x:c>
      <x:c r="D1716" s="17" t="str">
        <x:v>us:ipeds:186867:program:unclear:ipeds-discovery-signal-computer-software-engineering-cip-14-0903</x:v>
      </x:c>
      <x:c r="E1716" s="17" t="str"/>
      <x:c r="F1716" s="17" t="str">
        <x:v>discovery</x:v>
      </x:c>
      <x:c r="G1716" s="17" t="str">
        <x:v>Stage 2 recorded this row as a discovery candidate; it does not independently verify an exact current research program, eligibility, or funding.</x:v>
      </x:c>
      <x:c r="H1716" s="17" t="str">
        <x:v>Pass 2 Stage 2 candidate funnel</x:v>
      </x:c>
      <x:c r="I1716" s="17" t="str">
        <x:v>Graduate audit pipeline</x:v>
      </x:c>
      <x:c r="J1716" s="17" t="str">
        <x:v>derived</x:v>
      </x:c>
      <x:c r="K1716" s="17" t="str">
        <x:v>2026-09-11</x:v>
      </x:c>
      <x:c r="L1716" s="17" t="str">
        <x:v>Not cycle-specific</x:v>
      </x:c>
      <x:c r="M1716" s="17" t="str">
        <x:v>low</x:v>
      </x:c>
      <x:c r="N1716" s="17" t="str">
        <x:v>Discovery evidence only</x:v>
      </x:c>
      <x:c r="O1716" s="17" t="str">
        <x:v>Use the source_record_paths field to trace the underlying discovery inputs.</x:v>
      </x:c>
      <x:c r="P1716" s="18" t="e">
        <x:f>HYPERLINK("https://www.stevens.edu","Open source")</x:f>
        <x:v>HYPERLINK is not implemented. linkLocation=https://www.stevens.edu, friendlyName=Open source</x:v>
      </x:c>
    </x:row>
    <x:row r="1717" ht="46" customHeight="1">
      <x:c r="A1717" s="17" t="str">
        <x:v>stage3src:09b8498033418ecdcc84</x:v>
      </x:c>
      <x:c r="B1717" s="17" t="str">
        <x:v>program</x:v>
      </x:c>
      <x:c r="C1717" s="17" t="str">
        <x:v>Stevens Institute of Technology</x:v>
      </x:c>
      <x:c r="D1717" s="17" t="str">
        <x:v>us:ipeds:186867:program:unclear:ipeds-discovery-signal-computer-systems-networking-and-telecommunications-cip-11-0901</x:v>
      </x:c>
      <x:c r="E1717" s="17" t="str"/>
      <x:c r="F1717" s="17" t="str">
        <x:v>discovery</x:v>
      </x:c>
      <x:c r="G1717" s="17" t="str">
        <x:v>Stage 2 recorded this row as a discovery candidate; it does not independently verify an exact current research program, eligibility, or funding.</x:v>
      </x:c>
      <x:c r="H1717" s="17" t="str">
        <x:v>Pass 2 Stage 2 candidate funnel</x:v>
      </x:c>
      <x:c r="I1717" s="17" t="str">
        <x:v>Graduate audit pipeline</x:v>
      </x:c>
      <x:c r="J1717" s="17" t="str">
        <x:v>derived</x:v>
      </x:c>
      <x:c r="K1717" s="17" t="str">
        <x:v>2026-09-11</x:v>
      </x:c>
      <x:c r="L1717" s="17" t="str">
        <x:v>Not cycle-specific</x:v>
      </x:c>
      <x:c r="M1717" s="17" t="str">
        <x:v>low</x:v>
      </x:c>
      <x:c r="N1717" s="17" t="str">
        <x:v>Discovery evidence only</x:v>
      </x:c>
      <x:c r="O1717" s="17" t="str">
        <x:v>Use the source_record_paths field to trace the underlying discovery inputs.</x:v>
      </x:c>
      <x:c r="P1717" s="18" t="e">
        <x:f>HYPERLINK("https://www.stevens.edu","Open source")</x:f>
        <x:v>HYPERLINK is not implemented. linkLocation=https://www.stevens.edu, friendlyName=Open source</x:v>
      </x:c>
    </x:row>
    <x:row r="1718" ht="46" customHeight="1">
      <x:c r="A1718" s="17" t="str">
        <x:v>stage3src:f3fa2292b387983053e4</x:v>
      </x:c>
      <x:c r="B1718" s="17" t="str">
        <x:v>program</x:v>
      </x:c>
      <x:c r="C1718" s="17" t="str">
        <x:v>Stevens Institute of Technology</x:v>
      </x:c>
      <x:c r="D1718" s="17" t="str">
        <x:v>us:ipeds:186867:program:unclear:ipeds-discovery-signal-electrical-and-electronics-engineering-cip-14-1001</x:v>
      </x:c>
      <x:c r="E1718" s="17" t="str"/>
      <x:c r="F1718" s="17" t="str">
        <x:v>discovery</x:v>
      </x:c>
      <x:c r="G1718" s="17" t="str">
        <x:v>Stage 2 recorded this row as a discovery candidate; it does not independently verify an exact current research program, eligibility, or funding.</x:v>
      </x:c>
      <x:c r="H1718" s="17" t="str">
        <x:v>Pass 2 Stage 2 candidate funnel</x:v>
      </x:c>
      <x:c r="I1718" s="17" t="str">
        <x:v>Graduate audit pipeline</x:v>
      </x:c>
      <x:c r="J1718" s="17" t="str">
        <x:v>derived</x:v>
      </x:c>
      <x:c r="K1718" s="17" t="str">
        <x:v>2026-09-11</x:v>
      </x:c>
      <x:c r="L1718" s="17" t="str">
        <x:v>Not cycle-specific</x:v>
      </x:c>
      <x:c r="M1718" s="17" t="str">
        <x:v>low</x:v>
      </x:c>
      <x:c r="N1718" s="17" t="str">
        <x:v>Discovery evidence only</x:v>
      </x:c>
      <x:c r="O1718" s="17" t="str">
        <x:v>Use the source_record_paths field to trace the underlying discovery inputs.</x:v>
      </x:c>
      <x:c r="P1718" s="18" t="e">
        <x:f>HYPERLINK("https://www.stevens.edu","Open source")</x:f>
        <x:v>HYPERLINK is not implemented. linkLocation=https://www.stevens.edu, friendlyName=Open source</x:v>
      </x:c>
    </x:row>
    <x:row r="1719" ht="46" customHeight="1">
      <x:c r="A1719" s="17" t="str">
        <x:v>stage3src:b23647798a0943fd0267</x:v>
      </x:c>
      <x:c r="B1719" s="17" t="str">
        <x:v>program</x:v>
      </x:c>
      <x:c r="C1719" s="17" t="str">
        <x:v>Stevens Institute of Technology</x:v>
      </x:c>
      <x:c r="D1719" s="17" t="str">
        <x:v>us:ipeds:186867:program:unclear:ipeds-discovery-signal-information-technology-cip-11-0103</x:v>
      </x:c>
      <x:c r="E1719" s="17" t="str"/>
      <x:c r="F1719" s="17" t="str">
        <x:v>discovery</x:v>
      </x:c>
      <x:c r="G1719" s="17" t="str">
        <x:v>Stage 2 recorded this row as a discovery candidate; it does not independently verify an exact current research program, eligibility, or funding.</x:v>
      </x:c>
      <x:c r="H1719" s="17" t="str">
        <x:v>Pass 2 Stage 2 candidate funnel</x:v>
      </x:c>
      <x:c r="I1719" s="17" t="str">
        <x:v>Graduate audit pipeline</x:v>
      </x:c>
      <x:c r="J1719" s="17" t="str">
        <x:v>derived</x:v>
      </x:c>
      <x:c r="K1719" s="17" t="str">
        <x:v>2026-09-11</x:v>
      </x:c>
      <x:c r="L1719" s="17" t="str">
        <x:v>Not cycle-specific</x:v>
      </x:c>
      <x:c r="M1719" s="17" t="str">
        <x:v>low</x:v>
      </x:c>
      <x:c r="N1719" s="17" t="str">
        <x:v>Discovery evidence only</x:v>
      </x:c>
      <x:c r="O1719" s="17" t="str">
        <x:v>Use the source_record_paths field to trace the underlying discovery inputs.</x:v>
      </x:c>
      <x:c r="P1719" s="18" t="e">
        <x:f>HYPERLINK("https://www.stevens.edu","Open source")</x:f>
        <x:v>HYPERLINK is not implemented. linkLocation=https://www.stevens.edu, friendlyName=Open source</x:v>
      </x:c>
    </x:row>
    <x:row r="1720" ht="46" customHeight="1">
      <x:c r="A1720" s="17" t="str">
        <x:v>stage3src:5fb0d26f401c6c8deb52</x:v>
      </x:c>
      <x:c r="B1720" s="17" t="str">
        <x:v>program</x:v>
      </x:c>
      <x:c r="C1720" s="17" t="str">
        <x:v>Stevens Institute of Technology</x:v>
      </x:c>
      <x:c r="D1720" s="17" t="str">
        <x:v>us:ipeds:186867:program:unclear:ipeds-discovery-signal-mechatronics-robotics-and-automation-engineering-cip-14-4201</x:v>
      </x:c>
      <x:c r="E1720" s="17" t="str"/>
      <x:c r="F1720" s="17" t="str">
        <x:v>discovery</x:v>
      </x:c>
      <x:c r="G1720" s="17" t="str">
        <x:v>Stage 2 recorded this row as a discovery candidate; it does not independently verify an exact current research program, eligibility, or funding.</x:v>
      </x:c>
      <x:c r="H1720" s="17" t="str">
        <x:v>Pass 2 Stage 2 candidate funnel</x:v>
      </x:c>
      <x:c r="I1720" s="17" t="str">
        <x:v>Graduate audit pipeline</x:v>
      </x:c>
      <x:c r="J1720" s="17" t="str">
        <x:v>derived</x:v>
      </x:c>
      <x:c r="K1720" s="17" t="str">
        <x:v>2026-09-11</x:v>
      </x:c>
      <x:c r="L1720" s="17" t="str">
        <x:v>Not cycle-specific</x:v>
      </x:c>
      <x:c r="M1720" s="17" t="str">
        <x:v>low</x:v>
      </x:c>
      <x:c r="N1720" s="17" t="str">
        <x:v>Discovery evidence only</x:v>
      </x:c>
      <x:c r="O1720" s="17" t="str">
        <x:v>Use the source_record_paths field to trace the underlying discovery inputs.</x:v>
      </x:c>
      <x:c r="P1720" s="18" t="e">
        <x:f>HYPERLINK("https://www.stevens.edu","Open source")</x:f>
        <x:v>HYPERLINK is not implemented. linkLocation=https://www.stevens.edu, friendlyName=Open source</x:v>
      </x:c>
    </x:row>
    <x:row r="1721" ht="46" customHeight="1">
      <x:c r="A1721" s="17" t="str">
        <x:v>stage3src:9039bbdea8d0290d57fc</x:v>
      </x:c>
      <x:c r="B1721" s="17" t="str">
        <x:v>program</x:v>
      </x:c>
      <x:c r="C1721" s="17" t="str">
        <x:v>Thomas Edison State University</x:v>
      </x:c>
      <x:c r="D1721" s="17" t="str">
        <x:v>us:ipeds:187046:program:unclear:ipeds-discovery-signal-computer-and-information-systems-security-auditing-information-assurance-cip-11-1003</x:v>
      </x:c>
      <x:c r="E1721" s="17" t="str"/>
      <x:c r="F1721" s="17" t="str">
        <x:v>discovery</x:v>
      </x:c>
      <x:c r="G1721" s="17" t="str">
        <x:v>Stage 2 recorded this row as a discovery candidate; it does not independently verify an exact current research program, eligibility, or funding.</x:v>
      </x:c>
      <x:c r="H1721" s="17" t="str">
        <x:v>Pass 2 Stage 2 candidate funnel</x:v>
      </x:c>
      <x:c r="I1721" s="17" t="str">
        <x:v>Graduate audit pipeline</x:v>
      </x:c>
      <x:c r="J1721" s="17" t="str">
        <x:v>derived</x:v>
      </x:c>
      <x:c r="K1721" s="17" t="str">
        <x:v>2026-09-11</x:v>
      </x:c>
      <x:c r="L1721" s="17" t="str">
        <x:v>Not cycle-specific</x:v>
      </x:c>
      <x:c r="M1721" s="17" t="str">
        <x:v>low</x:v>
      </x:c>
      <x:c r="N1721" s="17" t="str">
        <x:v>Discovery evidence only</x:v>
      </x:c>
      <x:c r="O1721" s="17" t="str">
        <x:v>Use the source_record_paths field to trace the underlying discovery inputs.</x:v>
      </x:c>
      <x:c r="P1721" s="18" t="e">
        <x:f>HYPERLINK("https://www.tesu.edu","Open source")</x:f>
        <x:v>HYPERLINK is not implemented. linkLocation=https://www.tesu.edu, friendlyName=Open source</x:v>
      </x:c>
    </x:row>
    <x:row r="1722" ht="46" customHeight="1">
      <x:c r="A1722" s="17" t="str">
        <x:v>stage3src:6870dd9a48b02f2095b3</x:v>
      </x:c>
      <x:c r="B1722" s="17" t="str">
        <x:v>program</x:v>
      </x:c>
      <x:c r="C1722" s="17" t="str">
        <x:v>Thomas Edison State University</x:v>
      </x:c>
      <x:c r="D1722" s="17" t="str">
        <x:v>us:ipeds:187046:program:unclear:ipeds-discovery-signal-cyber-computer-forensics-and-counterterrorism-cip-43-0403</x:v>
      </x:c>
      <x:c r="E1722" s="17" t="str"/>
      <x:c r="F1722" s="17" t="str">
        <x:v>discovery</x:v>
      </x:c>
      <x:c r="G1722" s="17" t="str">
        <x:v>Stage 2 recorded this row as a discovery candidate; it does not independently verify an exact current research program, eligibility, or funding.</x:v>
      </x:c>
      <x:c r="H1722" s="17" t="str">
        <x:v>Pass 2 Stage 2 candidate funnel</x:v>
      </x:c>
      <x:c r="I1722" s="17" t="str">
        <x:v>Graduate audit pipeline</x:v>
      </x:c>
      <x:c r="J1722" s="17" t="str">
        <x:v>derived</x:v>
      </x:c>
      <x:c r="K1722" s="17" t="str">
        <x:v>2026-09-11</x:v>
      </x:c>
      <x:c r="L1722" s="17" t="str">
        <x:v>Not cycle-specific</x:v>
      </x:c>
      <x:c r="M1722" s="17" t="str">
        <x:v>low</x:v>
      </x:c>
      <x:c r="N1722" s="17" t="str">
        <x:v>Discovery evidence only</x:v>
      </x:c>
      <x:c r="O1722" s="17" t="str">
        <x:v>Use the source_record_paths field to trace the underlying discovery inputs.</x:v>
      </x:c>
      <x:c r="P1722" s="18" t="e">
        <x:f>HYPERLINK("https://www.tesu.edu","Open source")</x:f>
        <x:v>HYPERLINK is not implemented. linkLocation=https://www.tesu.edu, friendlyName=Open source</x:v>
      </x:c>
    </x:row>
    <x:row r="1723" ht="46" customHeight="1">
      <x:c r="A1723" s="17" t="str">
        <x:v>stage3src:49f2e8789592b2a79615</x:v>
      </x:c>
      <x:c r="B1723" s="17" t="str">
        <x:v>program</x:v>
      </x:c>
      <x:c r="C1723" s="17" t="str">
        <x:v>Thomas Edison State University</x:v>
      </x:c>
      <x:c r="D1723" s="17" t="str">
        <x:v>us:ipeds:187046:program:unclear:ipeds-discovery-signal-information-technology-cip-11-0103</x:v>
      </x:c>
      <x:c r="E1723" s="17" t="str"/>
      <x:c r="F1723" s="17" t="str">
        <x:v>discovery</x:v>
      </x:c>
      <x:c r="G1723" s="17" t="str">
        <x:v>Stage 2 recorded this row as a discovery candidate; it does not independently verify an exact current research program, eligibility, or funding.</x:v>
      </x:c>
      <x:c r="H1723" s="17" t="str">
        <x:v>Pass 2 Stage 2 candidate funnel</x:v>
      </x:c>
      <x:c r="I1723" s="17" t="str">
        <x:v>Graduate audit pipeline</x:v>
      </x:c>
      <x:c r="J1723" s="17" t="str">
        <x:v>derived</x:v>
      </x:c>
      <x:c r="K1723" s="17" t="str">
        <x:v>2026-09-11</x:v>
      </x:c>
      <x:c r="L1723" s="17" t="str">
        <x:v>Not cycle-specific</x:v>
      </x:c>
      <x:c r="M1723" s="17" t="str">
        <x:v>low</x:v>
      </x:c>
      <x:c r="N1723" s="17" t="str">
        <x:v>Discovery evidence only</x:v>
      </x:c>
      <x:c r="O1723" s="17" t="str">
        <x:v>Use the source_record_paths field to trace the underlying discovery inputs.</x:v>
      </x:c>
      <x:c r="P1723" s="18" t="e">
        <x:f>HYPERLINK("https://www.tesu.edu","Open source")</x:f>
        <x:v>HYPERLINK is not implemented. linkLocation=https://www.tesu.edu, friendlyName=Open source</x:v>
      </x:c>
    </x:row>
    <x:row r="1724" ht="46" customHeight="1">
      <x:c r="A1724" s="17" t="str">
        <x:v>stage3src:77b0db74d08f5692a291</x:v>
      </x:c>
      <x:c r="B1724" s="17" t="str">
        <x:v>program</x:v>
      </x:c>
      <x:c r="C1724" s="17" t="str">
        <x:v>New Mexico Highlands University</x:v>
      </x:c>
      <x:c r="D1724" s="17" t="str">
        <x:v>us:ipeds:187897:program:unclear:ipeds-discovery-signal-information-science-studies-cip-11-0401</x:v>
      </x:c>
      <x:c r="E1724" s="17" t="str"/>
      <x:c r="F1724" s="17" t="str">
        <x:v>discovery</x:v>
      </x:c>
      <x:c r="G1724" s="17" t="str">
        <x:v>Stage 2 recorded this row as a discovery candidate; it does not independently verify an exact current research program, eligibility, or funding.</x:v>
      </x:c>
      <x:c r="H1724" s="17" t="str">
        <x:v>Pass 2 Stage 2 candidate funnel</x:v>
      </x:c>
      <x:c r="I1724" s="17" t="str">
        <x:v>Graduate audit pipeline</x:v>
      </x:c>
      <x:c r="J1724" s="17" t="str">
        <x:v>derived</x:v>
      </x:c>
      <x:c r="K1724" s="17" t="str">
        <x:v>2026-09-11</x:v>
      </x:c>
      <x:c r="L1724" s="17" t="str">
        <x:v>Not cycle-specific</x:v>
      </x:c>
      <x:c r="M1724" s="17" t="str">
        <x:v>low</x:v>
      </x:c>
      <x:c r="N1724" s="17" t="str">
        <x:v>Discovery evidence only</x:v>
      </x:c>
      <x:c r="O1724" s="17" t="str">
        <x:v>Use the source_record_paths field to trace the underlying discovery inputs.</x:v>
      </x:c>
      <x:c r="P1724" s="18" t="e">
        <x:f>HYPERLINK("https://www.nmhu.edu","Open source")</x:f>
        <x:v>HYPERLINK is not implemented. linkLocation=https://www.nmhu.edu, friendlyName=Open source</x:v>
      </x:c>
    </x:row>
    <x:row r="1725" ht="46" customHeight="1">
      <x:c r="A1725" s="17" t="str">
        <x:v>stage3src:033c103dc2a8f2b43e1f</x:v>
      </x:c>
      <x:c r="B1725" s="17" t="str">
        <x:v>program</x:v>
      </x:c>
      <x:c r="C1725" s="17" t="str">
        <x:v>New Mexico Institute of Mining and Technology</x:v>
      </x:c>
      <x:c r="D1725" s="17" t="str">
        <x:v>us:ipeds:187967:program:phd:doctor-of-philosophy-in-computer-science</x:v>
      </x:c>
      <x:c r="E1725" s="17" t="str"/>
      <x:c r="F1725" s="17" t="str">
        <x:v>admissions|eligibility|gpa|fee|deadline</x:v>
      </x:c>
      <x:c r="G1725" s="17" t="str">
        <x:v>Bachelor's preparation, 3.0 admission guideline, $60 application fee, rolling review, and January 15 full-assistantship consideration date.</x:v>
      </x:c>
      <x:c r="H1725" s="17" t="str">
        <x:v>Graduate Admissions</x:v>
      </x:c>
      <x:c r="I1725" s="17" t="str">
        <x:v>New Mexico Institute of Mining and Technology Graduate Studies</x:v>
      </x:c>
      <x:c r="J1725" s="17" t="str">
        <x:v>official</x:v>
      </x:c>
      <x:c r="K1725" s="17" t="str">
        <x:v>2026-09-11</x:v>
      </x:c>
      <x:c r="L1725" s="17" t="str">
        <x:v>Current requirements checked 2026-09-11; Fall 2027 not published</x:v>
      </x:c>
      <x:c r="M1725" s="17" t="str">
        <x:v>high</x:v>
      </x:c>
      <x:c r="N1725" s="17" t="str">
        <x:v>official page checked</x:v>
      </x:c>
      <x:c r="O1725" s="17" t="str"/>
      <x:c r="P1725" s="18" t="e">
        <x:f>HYPERLINK("https://www.nmt.edu/gradstudies/admissions.php","Open source")</x:f>
        <x:v>HYPERLINK is not implemented. linkLocation=https://www.nmt.edu/gradstudies/admissions.php, friendlyName=Open source</x:v>
      </x:c>
    </x:row>
    <x:row r="1726" ht="46" customHeight="1">
      <x:c r="A1726" s="17" t="str">
        <x:v>stage3src:5527b96165f9b1db4fc8</x:v>
      </x:c>
      <x:c r="B1726" s="17" t="str">
        <x:v>program</x:v>
      </x:c>
      <x:c r="C1726" s="17" t="str">
        <x:v>New Mexico Institute of Mining and Technology</x:v>
      </x:c>
      <x:c r="D1726" s="17" t="str">
        <x:v>us:ipeds:187967:program:phd:doctor-of-philosophy-in-computer-science</x:v>
      </x:c>
      <x:c r="E1726" s="17" t="str"/>
      <x:c r="F1726" s="17" t="str">
        <x:v>funding|tuition|conditions</x:v>
      </x:c>
      <x:c r="G1726" s="17" t="str">
        <x:v>Published tuition-remission fractions for 0.5 and 0.25 FTE appointments and a sample two-semester stipend and tuition value.</x:v>
      </x:c>
      <x:c r="H1726" s="17" t="str">
        <x:v>Tuition Remission</x:v>
      </x:c>
      <x:c r="I1726" s="17" t="str">
        <x:v>New Mexico Institute of Mining and Technology Graduate Studies</x:v>
      </x:c>
      <x:c r="J1726" s="17" t="str">
        <x:v>official</x:v>
      </x:c>
      <x:c r="K1726" s="17" t="str">
        <x:v>2026-09-11</x:v>
      </x:c>
      <x:c r="L1726" s="17" t="str">
        <x:v>Current policy page checked 2026-09-11</x:v>
      </x:c>
      <x:c r="M1726" s="17" t="str">
        <x:v>high</x:v>
      </x:c>
      <x:c r="N1726" s="17" t="str">
        <x:v>official page checked</x:v>
      </x:c>
      <x:c r="O1726" s="17" t="str"/>
      <x:c r="P1726" s="18" t="e">
        <x:f>HYPERLINK("https://www.nmt.edu/gradstudies/Tuition_Remission.php","Open source")</x:f>
        <x:v>HYPERLINK is not implemented. linkLocation=https://www.nmt.edu/gradstudies/Tuition_Remission.php, friendlyName=Open source</x:v>
      </x:c>
    </x:row>
    <x:row r="1727" ht="46" customHeight="1">
      <x:c r="A1727" s="17" t="str">
        <x:v>stage3src:7ef4c39f3da16a08514c</x:v>
      </x:c>
      <x:c r="B1727" s="17" t="str">
        <x:v>program</x:v>
      </x:c>
      <x:c r="C1727" s="17" t="str">
        <x:v>New Mexico Institute of Mining and Technology</x:v>
      </x:c>
      <x:c r="D1727" s="17" t="str">
        <x:v>us:ipeds:187967:program:phd:doctor-of-philosophy-in-computer-science</x:v>
      </x:c>
      <x:c r="E1727" s="17" t="str"/>
      <x:c r="F1727" s="17" t="str">
        <x:v>program|research|structure|eligibility</x:v>
      </x:c>
      <x:c r="G1727" s="17" t="str">
        <x:v>Current post-baccalaureate Computer Science PhD, 60-credit structure, dissertation, and research areas including software engineering, programming languages, security, cloud, and distributed computing.</x:v>
      </x:c>
      <x:c r="H1727" s="17" t="str">
        <x:v>Computer Science Graduate Program</x:v>
      </x:c>
      <x:c r="I1727" s="17" t="str">
        <x:v>New Mexico Institute of Mining and Technology</x:v>
      </x:c>
      <x:c r="J1727" s="17" t="str">
        <x:v>official</x:v>
      </x:c>
      <x:c r="K1727" s="17" t="str">
        <x:v>2026-09-11</x:v>
      </x:c>
      <x:c r="L1727" s="17" t="str">
        <x:v>Current program page checked 2026-09-11</x:v>
      </x:c>
      <x:c r="M1727" s="17" t="str">
        <x:v>high</x:v>
      </x:c>
      <x:c r="N1727" s="17" t="str">
        <x:v>official page checked</x:v>
      </x:c>
      <x:c r="O1727" s="17" t="str"/>
      <x:c r="P1727" s="18" t="e">
        <x:f>HYPERLINK("https://www.nmt.edu/academics/compsci/graduate.php","Open source")</x:f>
        <x:v>HYPERLINK is not implemented. linkLocation=https://www.nmt.edu/academics/compsci/graduate.php, friendlyName=Open source</x:v>
      </x:c>
    </x:row>
    <x:row r="1728" ht="46" customHeight="1">
      <x:c r="A1728" s="17" t="str">
        <x:v>stage3src:ea32f621000ecc206a13</x:v>
      </x:c>
      <x:c r="B1728" s="17" t="str">
        <x:v>program</x:v>
      </x:c>
      <x:c r="C1728" s="17" t="str">
        <x:v>New Mexico Institute of Mining and Technology</x:v>
      </x:c>
      <x:c r="D1728" s="17" t="str">
        <x:v>us:ipeds:187967:program:unclear:ipeds-discovery-signal-computer-science-cip-11-0701</x:v>
      </x:c>
      <x:c r="E1728" s="17" t="str"/>
      <x:c r="F1728" s="17" t="str">
        <x:v>discovery</x:v>
      </x:c>
      <x:c r="G1728" s="17" t="str">
        <x:v>Stage 2 recorded this row as a discovery candidate; it does not independently verify an exact current research program, eligibility, or funding.</x:v>
      </x:c>
      <x:c r="H1728" s="17" t="str">
        <x:v>Pass 2 Stage 2 candidate funnel</x:v>
      </x:c>
      <x:c r="I1728" s="17" t="str">
        <x:v>Graduate audit pipeline</x:v>
      </x:c>
      <x:c r="J1728" s="17" t="str">
        <x:v>derived</x:v>
      </x:c>
      <x:c r="K1728" s="17" t="str">
        <x:v>2026-09-11</x:v>
      </x:c>
      <x:c r="L1728" s="17" t="str">
        <x:v>Not cycle-specific</x:v>
      </x:c>
      <x:c r="M1728" s="17" t="str">
        <x:v>low</x:v>
      </x:c>
      <x:c r="N1728" s="17" t="str">
        <x:v>Discovery evidence only</x:v>
      </x:c>
      <x:c r="O1728" s="17" t="str">
        <x:v>Use the source_record_paths field to trace the underlying discovery inputs.</x:v>
      </x:c>
      <x:c r="P1728" s="18" t="e">
        <x:f>HYPERLINK("https://www.nmt.edu","Open source")</x:f>
        <x:v>HYPERLINK is not implemented. linkLocation=https://www.nmt.edu, friendlyName=Open source</x:v>
      </x:c>
    </x:row>
    <x:row r="1729" ht="46" customHeight="1">
      <x:c r="A1729" s="17" t="str">
        <x:v>stage3src:ae7c4596fc176bab3c09</x:v>
      </x:c>
      <x:c r="B1729" s="17" t="str">
        <x:v>program</x:v>
      </x:c>
      <x:c r="C1729" s="17" t="str">
        <x:v>New Mexico Institute of Mining and Technology</x:v>
      </x:c>
      <x:c r="D1729" s="17" t="str">
        <x:v>us:ipeds:187967:program:unclear:ipeds-discovery-signal-electrical-and-electronics-engineering-cip-14-1001</x:v>
      </x:c>
      <x:c r="E1729" s="17" t="str"/>
      <x:c r="F1729" s="17" t="str">
        <x:v>discovery</x:v>
      </x:c>
      <x:c r="G1729" s="17" t="str">
        <x:v>Stage 2 recorded this row as a discovery candidate; it does not independently verify an exact current research program, eligibility, or funding.</x:v>
      </x:c>
      <x:c r="H1729" s="17" t="str">
        <x:v>Pass 2 Stage 2 candidate funnel</x:v>
      </x:c>
      <x:c r="I1729" s="17" t="str">
        <x:v>Graduate audit pipeline</x:v>
      </x:c>
      <x:c r="J1729" s="17" t="str">
        <x:v>derived</x:v>
      </x:c>
      <x:c r="K1729" s="17" t="str">
        <x:v>2026-09-11</x:v>
      </x:c>
      <x:c r="L1729" s="17" t="str">
        <x:v>Not cycle-specific</x:v>
      </x:c>
      <x:c r="M1729" s="17" t="str">
        <x:v>low</x:v>
      </x:c>
      <x:c r="N1729" s="17" t="str">
        <x:v>Discovery evidence only</x:v>
      </x:c>
      <x:c r="O1729" s="17" t="str">
        <x:v>Use the source_record_paths field to trace the underlying discovery inputs.</x:v>
      </x:c>
      <x:c r="P1729" s="18" t="e">
        <x:f>HYPERLINK("https://www.nmt.edu","Open source")</x:f>
        <x:v>HYPERLINK is not implemented. linkLocation=https://www.nmt.edu, friendlyName=Open source</x:v>
      </x:c>
    </x:row>
    <x:row r="1730" ht="46" customHeight="1">
      <x:c r="A1730" s="17" t="str">
        <x:v>stage3src:03623db8d4cd68fbfea0</x:v>
      </x:c>
      <x:c r="B1730" s="17" t="str">
        <x:v>program</x:v>
      </x:c>
      <x:c r="C1730" s="17" t="str">
        <x:v>University of New Mexico-Main Campus</x:v>
      </x:c>
      <x:c r="D1730" s="17" t="str">
        <x:v>us:ipeds:187985:program:phd:phd-in-computer-science</x:v>
      </x:c>
      <x:c r="E1730" s="17" t="str"/>
      <x:c r="F1730" s="17" t="str">
        <x:v>funding|fees</x:v>
      </x:c>
      <x:c r="G1730" s="17" t="str">
        <x:v>Limited competitive TA and RA support, lack of support for all students, and tuition coverage.</x:v>
      </x:c>
      <x:c r="H1730" s="17" t="str">
        <x:v>Financial Aid</x:v>
      </x:c>
      <x:c r="I1730" s="17" t="str">
        <x:v>University of New Mexico Department of Computer Science</x:v>
      </x:c>
      <x:c r="J1730" s="17" t="str">
        <x:v>official</x:v>
      </x:c>
      <x:c r="K1730" s="17" t="str">
        <x:v>2026-09-10</x:v>
      </x:c>
      <x:c r="L1730" s="17" t="str">
        <x:v>Current page checked 2026-09-10</x:v>
      </x:c>
      <x:c r="M1730" s="17" t="str">
        <x:v>high</x:v>
      </x:c>
      <x:c r="N1730" s="17" t="str">
        <x:v>official page checked</x:v>
      </x:c>
      <x:c r="O1730" s="17" t="str"/>
      <x:c r="P1730" s="18" t="e">
        <x:f>HYPERLINK("https://www.cs.unm.edu/admissions/financial-aid.html","Open source")</x:f>
        <x:v>HYPERLINK is not implemented. linkLocation=https://www.cs.unm.edu/admissions/financial-aid.html, friendlyName=Open source</x:v>
      </x:c>
    </x:row>
    <x:row r="1731" ht="46" customHeight="1">
      <x:c r="A1731" s="17" t="str">
        <x:v>stage3src:19cde8a5153b985ac742</x:v>
      </x:c>
      <x:c r="B1731" s="17" t="str">
        <x:v>program</x:v>
      </x:c>
      <x:c r="C1731" s="17" t="str">
        <x:v>University of New Mexico-Main Campus</x:v>
      </x:c>
      <x:c r="D1731" s="17" t="str">
        <x:v>us:ipeds:187985:program:phd:phd-in-computer-science</x:v>
      </x:c>
      <x:c r="E1731" s="17" t="str"/>
      <x:c r="F1731" s="17" t="str">
        <x:v>program</x:v>
      </x:c>
      <x:c r="G1731" s="17" t="str">
        <x:v>Current dissertation-based Computer Science PhD.</x:v>
      </x:c>
      <x:c r="H1731" s="17" t="str">
        <x:v>Ph.D. Program</x:v>
      </x:c>
      <x:c r="I1731" s="17" t="str">
        <x:v>University of New Mexico Department of Computer Science</x:v>
      </x:c>
      <x:c r="J1731" s="17" t="str">
        <x:v>official</x:v>
      </x:c>
      <x:c r="K1731" s="17" t="str">
        <x:v>2026-09-10</x:v>
      </x:c>
      <x:c r="L1731" s="17" t="str">
        <x:v>Current page checked 2026-09-10</x:v>
      </x:c>
      <x:c r="M1731" s="17" t="str">
        <x:v>high</x:v>
      </x:c>
      <x:c r="N1731" s="17" t="str">
        <x:v>official page checked</x:v>
      </x:c>
      <x:c r="O1731" s="17" t="str"/>
      <x:c r="P1731" s="18" t="e">
        <x:f>HYPERLINK("https://www.cs.unm.edu/programs-and-degrees/ph.d./index.html","Open source")</x:f>
        <x:v>HYPERLINK is not implemented. linkLocation=https://www.cs.unm.edu/programs-and-degrees/ph.d./index.html, friendlyName=Open source</x:v>
      </x:c>
    </x:row>
    <x:row r="1732" ht="46" customHeight="1">
      <x:c r="A1732" s="17" t="str">
        <x:v>stage3src:f428dfbb710e6d58bafb</x:v>
      </x:c>
      <x:c r="B1732" s="17" t="str">
        <x:v>program</x:v>
      </x:c>
      <x:c r="C1732" s="17" t="str">
        <x:v>University of New Mexico-Main Campus</x:v>
      </x:c>
      <x:c r="D1732" s="17" t="str">
        <x:v>us:ipeds:187985:program:phd:phd-in-computer-science</x:v>
      </x:c>
      <x:c r="E1732" s="17" t="str"/>
      <x:c r="F1732" s="17" t="str">
        <x:v>admissions|eligibility|language|deadline</x:v>
      </x:c>
      <x:c r="G1732" s="17" t="str">
        <x:v>CS application requirements, research-interest fields, financial-aid request, and department deadlines.</x:v>
      </x:c>
      <x:c r="H1732" s="17" t="str">
        <x:v>Computer Science Application Instructions</x:v>
      </x:c>
      <x:c r="I1732" s="17" t="str">
        <x:v>University of New Mexico Graduate Studies</x:v>
      </x:c>
      <x:c r="J1732" s="17" t="str">
        <x:v>official</x:v>
      </x:c>
      <x:c r="K1732" s="17" t="str">
        <x:v>2026-09-10</x:v>
      </x:c>
      <x:c r="L1732" s="17" t="str">
        <x:v>Current page checked 2026-09-10</x:v>
      </x:c>
      <x:c r="M1732" s="17" t="str">
        <x:v>high</x:v>
      </x:c>
      <x:c r="N1732" s="17" t="str">
        <x:v>official page checked</x:v>
      </x:c>
      <x:c r="O1732" s="17" t="str"/>
      <x:c r="P1732" s="18" t="e">
        <x:f>HYPERLINK("https://grad.unm.edu/graduate-programs/application-instructions/computer-science.html","Open source")</x:f>
        <x:v>HYPERLINK is not implemented. linkLocation=https://grad.unm.edu/graduate-programs/application-instructions/computer-science.html, friendlyName=Open source</x:v>
      </x:c>
    </x:row>
    <x:row r="1733" ht="46" customHeight="1">
      <x:c r="A1733" s="17" t="str">
        <x:v>stage3src:fe13c56f05190f87992f</x:v>
      </x:c>
      <x:c r="B1733" s="17" t="str">
        <x:v>program</x:v>
      </x:c>
      <x:c r="C1733" s="17" t="str">
        <x:v>University of New Mexico-Main Campus</x:v>
      </x:c>
      <x:c r="D1733" s="17" t="str">
        <x:v>us:ipeds:187985:program:phd:phd-in-computer-science</x:v>
      </x:c>
      <x:c r="E1733" s="17" t="str"/>
      <x:c r="F1733" s="17" t="str">
        <x:v>admissions|language|deadline|fees</x:v>
      </x:c>
      <x:c r="G1733" s="17" t="str">
        <x:v>International Fall 2027 timeline and USD 70 application fee.</x:v>
      </x:c>
      <x:c r="H1733" s="17" t="str">
        <x:v>International Graduate Application Timeline and Steps</x:v>
      </x:c>
      <x:c r="I1733" s="17" t="str">
        <x:v>University of New Mexico Global Education Office</x:v>
      </x:c>
      <x:c r="J1733" s="17" t="str">
        <x:v>official</x:v>
      </x:c>
      <x:c r="K1733" s="17" t="str">
        <x:v>2026-09-10</x:v>
      </x:c>
      <x:c r="L1733" s="17" t="str">
        <x:v>Fall 2027</x:v>
      </x:c>
      <x:c r="M1733" s="17" t="str">
        <x:v>high</x:v>
      </x:c>
      <x:c r="N1733" s="17" t="str">
        <x:v>official page checked</x:v>
      </x:c>
      <x:c r="O1733" s="17" t="str"/>
      <x:c r="P1733" s="18" t="e">
        <x:f>HYPERLINK("https://international.unm.edu/graduate/application-timeline-and-steps.html","Open source")</x:f>
        <x:v>HYPERLINK is not implemented. linkLocation=https://international.unm.edu/graduate/application-timeline-and-steps.html, friendlyName=Open source</x:v>
      </x:c>
    </x:row>
    <x:row r="1734" ht="46" customHeight="1">
      <x:c r="A1734" s="17" t="str">
        <x:v>stage3src:c18117ba2d2bc3c796aa</x:v>
      </x:c>
      <x:c r="B1734" s="17" t="str">
        <x:v>program</x:v>
      </x:c>
      <x:c r="C1734" s="17" t="str">
        <x:v>University of New Mexico-Main Campus</x:v>
      </x:c>
      <x:c r="D1734" s="17" t="str">
        <x:v>us:ipeds:187985:program:unclear:ipeds-discovery-signal-computer-and-information-sciences-general-cip-11-0101</x:v>
      </x:c>
      <x:c r="E1734" s="17" t="str"/>
      <x:c r="F1734" s="17" t="str">
        <x:v>discovery</x:v>
      </x:c>
      <x:c r="G1734" s="17" t="str">
        <x:v>Stage 2 recorded this row as a discovery candidate; it does not independently verify an exact current research program, eligibility, or funding.</x:v>
      </x:c>
      <x:c r="H1734" s="17" t="str">
        <x:v>Pass 2 Stage 2 candidate funnel</x:v>
      </x:c>
      <x:c r="I1734" s="17" t="str">
        <x:v>Graduate audit pipeline</x:v>
      </x:c>
      <x:c r="J1734" s="17" t="str">
        <x:v>derived</x:v>
      </x:c>
      <x:c r="K1734" s="17" t="str">
        <x:v>2026-09-11</x:v>
      </x:c>
      <x:c r="L1734" s="17" t="str">
        <x:v>Not cycle-specific</x:v>
      </x:c>
      <x:c r="M1734" s="17" t="str">
        <x:v>low</x:v>
      </x:c>
      <x:c r="N1734" s="17" t="str">
        <x:v>Discovery evidence only</x:v>
      </x:c>
      <x:c r="O1734" s="17" t="str">
        <x:v>Use the source_record_paths field to trace the underlying discovery inputs.</x:v>
      </x:c>
      <x:c r="P1734" s="18" t="e">
        <x:f>HYPERLINK("https://www.unm.edu","Open source")</x:f>
        <x:v>HYPERLINK is not implemented. linkLocation=https://www.unm.edu, friendlyName=Open source</x:v>
      </x:c>
    </x:row>
    <x:row r="1735" ht="46" customHeight="1">
      <x:c r="A1735" s="17" t="str">
        <x:v>stage3src:55c6ddadb2abc7072a10</x:v>
      </x:c>
      <x:c r="B1735" s="17" t="str">
        <x:v>program</x:v>
      </x:c>
      <x:c r="C1735" s="17" t="str">
        <x:v>University of New Mexico-Main Campus</x:v>
      </x:c>
      <x:c r="D1735" s="17" t="str">
        <x:v>us:ipeds:187985:program:unclear:ipeds-discovery-signal-computer-and-information-systems-security-auditing-information-assurance-cip-11-1003</x:v>
      </x:c>
      <x:c r="E1735" s="17" t="str"/>
      <x:c r="F1735" s="17" t="str">
        <x:v>discovery</x:v>
      </x:c>
      <x:c r="G1735" s="17" t="str">
        <x:v>Stage 2 recorded this row as a discovery candidate; it does not independently verify an exact current research program, eligibility, or funding.</x:v>
      </x:c>
      <x:c r="H1735" s="17" t="str">
        <x:v>Pass 2 Stage 2 candidate funnel</x:v>
      </x:c>
      <x:c r="I1735" s="17" t="str">
        <x:v>Graduate audit pipeline</x:v>
      </x:c>
      <x:c r="J1735" s="17" t="str">
        <x:v>derived</x:v>
      </x:c>
      <x:c r="K1735" s="17" t="str">
        <x:v>2026-09-11</x:v>
      </x:c>
      <x:c r="L1735" s="17" t="str">
        <x:v>Not cycle-specific</x:v>
      </x:c>
      <x:c r="M1735" s="17" t="str">
        <x:v>low</x:v>
      </x:c>
      <x:c r="N1735" s="17" t="str">
        <x:v>Discovery evidence only</x:v>
      </x:c>
      <x:c r="O1735" s="17" t="str">
        <x:v>Use the source_record_paths field to trace the underlying discovery inputs.</x:v>
      </x:c>
      <x:c r="P1735" s="18" t="e">
        <x:f>HYPERLINK("https://www.unm.edu","Open source")</x:f>
        <x:v>HYPERLINK is not implemented. linkLocation=https://www.unm.edu, friendlyName=Open source</x:v>
      </x:c>
    </x:row>
    <x:row r="1736" ht="46" customHeight="1">
      <x:c r="A1736" s="17" t="str">
        <x:v>stage3src:486ec9213404d4d03df0</x:v>
      </x:c>
      <x:c r="B1736" s="17" t="str">
        <x:v>program</x:v>
      </x:c>
      <x:c r="C1736" s="17" t="str">
        <x:v>University of New Mexico-Main Campus</x:v>
      </x:c>
      <x:c r="D1736" s="17" t="str">
        <x:v>us:ipeds:187985:program:unclear:ipeds-discovery-signal-computer-engineering-general-cip-14-0901</x:v>
      </x:c>
      <x:c r="E1736" s="17" t="str"/>
      <x:c r="F1736" s="17" t="str">
        <x:v>discovery</x:v>
      </x:c>
      <x:c r="G1736" s="17" t="str">
        <x:v>Stage 2 recorded this row as a discovery candidate; it does not independently verify an exact current research program, eligibility, or funding.</x:v>
      </x:c>
      <x:c r="H1736" s="17" t="str">
        <x:v>Pass 2 Stage 2 candidate funnel</x:v>
      </x:c>
      <x:c r="I1736" s="17" t="str">
        <x:v>Graduate audit pipeline</x:v>
      </x:c>
      <x:c r="J1736" s="17" t="str">
        <x:v>derived</x:v>
      </x:c>
      <x:c r="K1736" s="17" t="str">
        <x:v>2026-09-11</x:v>
      </x:c>
      <x:c r="L1736" s="17" t="str">
        <x:v>Not cycle-specific</x:v>
      </x:c>
      <x:c r="M1736" s="17" t="str">
        <x:v>low</x:v>
      </x:c>
      <x:c r="N1736" s="17" t="str">
        <x:v>Discovery evidence only</x:v>
      </x:c>
      <x:c r="O1736" s="17" t="str">
        <x:v>Use the source_record_paths field to trace the underlying discovery inputs.</x:v>
      </x:c>
      <x:c r="P1736" s="18" t="e">
        <x:f>HYPERLINK("https://www.unm.edu","Open source")</x:f>
        <x:v>HYPERLINK is not implemented. linkLocation=https://www.unm.edu, friendlyName=Open source</x:v>
      </x:c>
    </x:row>
    <x:row r="1737" ht="46" customHeight="1">
      <x:c r="A1737" s="17" t="str">
        <x:v>stage3src:082ad2db8c8b7518b8bb</x:v>
      </x:c>
      <x:c r="B1737" s="17" t="str">
        <x:v>program</x:v>
      </x:c>
      <x:c r="C1737" s="17" t="str">
        <x:v>University of New Mexico-Main Campus</x:v>
      </x:c>
      <x:c r="D1737" s="17" t="str">
        <x:v>us:ipeds:187985:program:unclear:ipeds-discovery-signal-electrical-and-electronics-engineering-cip-14-1001</x:v>
      </x:c>
      <x:c r="E1737" s="17" t="str"/>
      <x:c r="F1737" s="17" t="str">
        <x:v>discovery</x:v>
      </x:c>
      <x:c r="G1737" s="17" t="str">
        <x:v>Stage 2 recorded this row as a discovery candidate; it does not independently verify an exact current research program, eligibility, or funding.</x:v>
      </x:c>
      <x:c r="H1737" s="17" t="str">
        <x:v>Pass 2 Stage 2 candidate funnel</x:v>
      </x:c>
      <x:c r="I1737" s="17" t="str">
        <x:v>Graduate audit pipeline</x:v>
      </x:c>
      <x:c r="J1737" s="17" t="str">
        <x:v>derived</x:v>
      </x:c>
      <x:c r="K1737" s="17" t="str">
        <x:v>2026-09-11</x:v>
      </x:c>
      <x:c r="L1737" s="17" t="str">
        <x:v>Not cycle-specific</x:v>
      </x:c>
      <x:c r="M1737" s="17" t="str">
        <x:v>low</x:v>
      </x:c>
      <x:c r="N1737" s="17" t="str">
        <x:v>Discovery evidence only</x:v>
      </x:c>
      <x:c r="O1737" s="17" t="str">
        <x:v>Use the source_record_paths field to trace the underlying discovery inputs.</x:v>
      </x:c>
      <x:c r="P1737" s="18" t="e">
        <x:f>HYPERLINK("https://www.unm.edu","Open source")</x:f>
        <x:v>HYPERLINK is not implemented. linkLocation=https://www.unm.edu, friendlyName=Open source</x:v>
      </x:c>
    </x:row>
    <x:row r="1738" ht="46" customHeight="1">
      <x:c r="A1738" s="17" t="str">
        <x:v>stage3src:1569877e8491b94acf50</x:v>
      </x:c>
      <x:c r="B1738" s="17" t="str">
        <x:v>program</x:v>
      </x:c>
      <x:c r="C1738" s="17" t="str">
        <x:v>New Mexico State University-Main Campus</x:v>
      </x:c>
      <x:c r="D1738" s="17" t="str">
        <x:v>us:ipeds:188030:program:phd:computer-science-ph-d</x:v>
      </x:c>
      <x:c r="E1738" s="17" t="str"/>
      <x:c r="F1738" s="17" t="str">
        <x:v>funding|admissions</x:v>
      </x:c>
      <x:c r="G1738" s="17" t="str">
        <x:v>Competitive limited TA and faculty-funded RA mechanisms, faculty-contact recommendation, and current capacity warning.</x:v>
      </x:c>
      <x:c r="H1738" s="17" t="str">
        <x:v>Prospective graduate students and financial aid</x:v>
      </x:c>
      <x:c r="I1738" s="17" t="str">
        <x:v>NMSU Department of Computer Science</x:v>
      </x:c>
      <x:c r="J1738" s="17" t="str">
        <x:v>official</x:v>
      </x:c>
      <x:c r="K1738" s="17" t="str">
        <x:v>2026-09-10</x:v>
      </x:c>
      <x:c r="L1738" s="17" t="str">
        <x:v>Spring 2026 notice checked 2026-09-11</x:v>
      </x:c>
      <x:c r="M1738" s="17" t="str">
        <x:v>high</x:v>
      </x:c>
      <x:c r="N1738" s="17" t="str">
        <x:v>official page checked</x:v>
      </x:c>
      <x:c r="O1738" s="17" t="str"/>
      <x:c r="P1738" s="18" t="e">
        <x:f>HYPERLINK("https://computerscience.nmsu.edu/grad-students/prospective-graduates.html","Open source")</x:f>
        <x:v>HYPERLINK is not implemented. linkLocation=https://computerscience.nmsu.edu/grad-students/prospective-graduates.html, friendlyName=Open source</x:v>
      </x:c>
    </x:row>
    <x:row r="1739" ht="46" customHeight="1">
      <x:c r="A1739" s="17" t="str">
        <x:v>stage3src:7250d7387f5678fd2c8a</x:v>
      </x:c>
      <x:c r="B1739" s="17" t="str">
        <x:v>program</x:v>
      </x:c>
      <x:c r="C1739" s="17" t="str">
        <x:v>New Mexico State University-Main Campus</x:v>
      </x:c>
      <x:c r="D1739" s="17" t="str">
        <x:v>us:ipeds:188030:program:phd:computer-science-ph-d</x:v>
      </x:c>
      <x:c r="E1739" s="17" t="str"/>
      <x:c r="F1739" s="17" t="str">
        <x:v>admissions|language|fees</x:v>
      </x:c>
      <x:c r="G1739" s="17" t="str">
        <x:v>International admission, doctoral English minima, and first-versus-subsequent application fees.</x:v>
      </x:c>
      <x:c r="H1739" s="17" t="str">
        <x:v>Graduate admission</x:v>
      </x:c>
      <x:c r="I1739" s="17" t="str">
        <x:v>New Mexico State University Graduate School</x:v>
      </x:c>
      <x:c r="J1739" s="17" t="str">
        <x:v>official</x:v>
      </x:c>
      <x:c r="K1739" s="17" t="str">
        <x:v>2026-09-10</x:v>
      </x:c>
      <x:c r="L1739" s="17" t="str">
        <x:v>Current page checked 2026-09-11</x:v>
      </x:c>
      <x:c r="M1739" s="17" t="str">
        <x:v>high</x:v>
      </x:c>
      <x:c r="N1739" s="17" t="str">
        <x:v>official page checked</x:v>
      </x:c>
      <x:c r="O1739" s="17" t="str"/>
      <x:c r="P1739" s="18" t="e">
        <x:f>HYPERLINK("https://gradschool.nmsu.edu/future-students/admission.html","Open source")</x:f>
        <x:v>HYPERLINK is not implemented. linkLocation=https://gradschool.nmsu.edu/future-students/admission.html, friendlyName=Open source</x:v>
      </x:c>
    </x:row>
    <x:row r="1740" ht="46" customHeight="1">
      <x:c r="A1740" s="17" t="str">
        <x:v>stage3src:8d8b42c20ad9d4744f1a</x:v>
      </x:c>
      <x:c r="B1740" s="17" t="str">
        <x:v>program</x:v>
      </x:c>
      <x:c r="C1740" s="17" t="str">
        <x:v>New Mexico State University-Main Campus</x:v>
      </x:c>
      <x:c r="D1740" s="17" t="str">
        <x:v>us:ipeds:188030:program:phd:computer-science-ph-d</x:v>
      </x:c>
      <x:c r="E1740" s="17" t="str"/>
      <x:c r="F1740" s="17" t="str">
        <x:v>program|research|eligibility|deadline</x:v>
      </x:c>
      <x:c r="G1740" s="17" t="str">
        <x:v>Current PhD route, research structure, 3.5 GPA minimum, bachelor's entry, and March 1 fall deadline.</x:v>
      </x:c>
      <x:c r="H1740" s="17" t="str">
        <x:v>Computer Science - Doctor of Philosophy</x:v>
      </x:c>
      <x:c r="I1740" s="17" t="str">
        <x:v>New Mexico State University</x:v>
      </x:c>
      <x:c r="J1740" s="17" t="str">
        <x:v>official</x:v>
      </x:c>
      <x:c r="K1740" s="17" t="str">
        <x:v>2026-09-10</x:v>
      </x:c>
      <x:c r="L1740" s="17" t="str">
        <x:v>Current page checked 2026-09-11</x:v>
      </x:c>
      <x:c r="M1740" s="17" t="str">
        <x:v>high</x:v>
      </x:c>
      <x:c r="N1740" s="17" t="str">
        <x:v>official page checked</x:v>
      </x:c>
      <x:c r="O1740" s="17" t="str"/>
      <x:c r="P1740" s="18" t="e">
        <x:f>HYPERLINK("https://nmsu.edu/degree-programs/graduate/doctoral/computer-science.html","Open source")</x:f>
        <x:v>HYPERLINK is not implemented. linkLocation=https://nmsu.edu/degree-programs/graduate/doctoral/computer-science.html, friendlyName=Open source</x:v>
      </x:c>
    </x:row>
    <x:row r="1741" ht="46" customHeight="1">
      <x:c r="A1741" s="17" t="str">
        <x:v>stage3src:be36816859f50f12d797</x:v>
      </x:c>
      <x:c r="B1741" s="17" t="str">
        <x:v>program</x:v>
      </x:c>
      <x:c r="C1741" s="17" t="str">
        <x:v>New Mexico State University-Main Campus</x:v>
      </x:c>
      <x:c r="D1741" s="17" t="str">
        <x:v>us:ipeds:188030:program:unclear:ipeds-discovery-signal-computer-and-information-sciences-general-cip-11-0101</x:v>
      </x:c>
      <x:c r="E1741" s="17" t="str"/>
      <x:c r="F1741" s="17" t="str">
        <x:v>discovery</x:v>
      </x:c>
      <x:c r="G1741" s="17" t="str">
        <x:v>Stage 2 recorded this row as a discovery candidate; it does not independently verify an exact current research program, eligibility, or funding.</x:v>
      </x:c>
      <x:c r="H1741" s="17" t="str">
        <x:v>Pass 2 Stage 2 candidate funnel</x:v>
      </x:c>
      <x:c r="I1741" s="17" t="str">
        <x:v>Graduate audit pipeline</x:v>
      </x:c>
      <x:c r="J1741" s="17" t="str">
        <x:v>derived</x:v>
      </x:c>
      <x:c r="K1741" s="17" t="str">
        <x:v>2026-09-11</x:v>
      </x:c>
      <x:c r="L1741" s="17" t="str">
        <x:v>Not cycle-specific</x:v>
      </x:c>
      <x:c r="M1741" s="17" t="str">
        <x:v>low</x:v>
      </x:c>
      <x:c r="N1741" s="17" t="str">
        <x:v>Discovery evidence only</x:v>
      </x:c>
      <x:c r="O1741" s="17" t="str">
        <x:v>Use the source_record_paths field to trace the underlying discovery inputs.</x:v>
      </x:c>
      <x:c r="P1741" s="18" t="e">
        <x:f>HYPERLINK("https://www.nmsu.edu","Open source")</x:f>
        <x:v>HYPERLINK is not implemented. linkLocation=https://www.nmsu.edu, friendlyName=Open source</x:v>
      </x:c>
    </x:row>
    <x:row r="1742" ht="46" customHeight="1">
      <x:c r="A1742" s="17" t="str">
        <x:v>stage3src:0eeb9355429b1917518d</x:v>
      </x:c>
      <x:c r="B1742" s="17" t="str">
        <x:v>program</x:v>
      </x:c>
      <x:c r="C1742" s="17" t="str">
        <x:v>New Mexico State University-Main Campus</x:v>
      </x:c>
      <x:c r="D1742" s="17" t="str">
        <x:v>us:ipeds:188030:program:unclear:ipeds-discovery-signal-computer-science-cip-11-0701</x:v>
      </x:c>
      <x:c r="E1742" s="17" t="str"/>
      <x:c r="F1742" s="17" t="str">
        <x:v>discovery</x:v>
      </x:c>
      <x:c r="G1742" s="17" t="str">
        <x:v>Stage 2 recorded this row as a discovery candidate; it does not independently verify an exact current research program, eligibility, or funding.</x:v>
      </x:c>
      <x:c r="H1742" s="17" t="str">
        <x:v>Pass 2 Stage 2 candidate funnel</x:v>
      </x:c>
      <x:c r="I1742" s="17" t="str">
        <x:v>Graduate audit pipeline</x:v>
      </x:c>
      <x:c r="J1742" s="17" t="str">
        <x:v>derived</x:v>
      </x:c>
      <x:c r="K1742" s="17" t="str">
        <x:v>2026-09-11</x:v>
      </x:c>
      <x:c r="L1742" s="17" t="str">
        <x:v>Not cycle-specific</x:v>
      </x:c>
      <x:c r="M1742" s="17" t="str">
        <x:v>low</x:v>
      </x:c>
      <x:c r="N1742" s="17" t="str">
        <x:v>Discovery evidence only</x:v>
      </x:c>
      <x:c r="O1742" s="17" t="str">
        <x:v>Use the source_record_paths field to trace the underlying discovery inputs.</x:v>
      </x:c>
      <x:c r="P1742" s="18" t="e">
        <x:f>HYPERLINK("https://www.nmsu.edu","Open source")</x:f>
        <x:v>HYPERLINK is not implemented. linkLocation=https://www.nmsu.edu, friendlyName=Open source</x:v>
      </x:c>
    </x:row>
    <x:row r="1743" ht="46" customHeight="1">
      <x:c r="A1743" s="17" t="str">
        <x:v>stage3src:9ba34c07dbc5d28f3933</x:v>
      </x:c>
      <x:c r="B1743" s="17" t="str">
        <x:v>program</x:v>
      </x:c>
      <x:c r="C1743" s="17" t="str">
        <x:v>New Mexico State University-Main Campus</x:v>
      </x:c>
      <x:c r="D1743" s="17" t="str">
        <x:v>us:ipeds:188030:program:unclear:ipeds-discovery-signal-electrical-and-electronics-engineering-cip-14-1001</x:v>
      </x:c>
      <x:c r="E1743" s="17" t="str"/>
      <x:c r="F1743" s="17" t="str">
        <x:v>discovery</x:v>
      </x:c>
      <x:c r="G1743" s="17" t="str">
        <x:v>Stage 2 recorded this row as a discovery candidate; it does not independently verify an exact current research program, eligibility, or funding.</x:v>
      </x:c>
      <x:c r="H1743" s="17" t="str">
        <x:v>Pass 2 Stage 2 candidate funnel</x:v>
      </x:c>
      <x:c r="I1743" s="17" t="str">
        <x:v>Graduate audit pipeline</x:v>
      </x:c>
      <x:c r="J1743" s="17" t="str">
        <x:v>derived</x:v>
      </x:c>
      <x:c r="K1743" s="17" t="str">
        <x:v>2026-09-11</x:v>
      </x:c>
      <x:c r="L1743" s="17" t="str">
        <x:v>Not cycle-specific</x:v>
      </x:c>
      <x:c r="M1743" s="17" t="str">
        <x:v>low</x:v>
      </x:c>
      <x:c r="N1743" s="17" t="str">
        <x:v>Discovery evidence only</x:v>
      </x:c>
      <x:c r="O1743" s="17" t="str">
        <x:v>Use the source_record_paths field to trace the underlying discovery inputs.</x:v>
      </x:c>
      <x:c r="P1743" s="18" t="e">
        <x:f>HYPERLINK("https://www.nmsu.edu","Open source")</x:f>
        <x:v>HYPERLINK is not implemented. linkLocation=https://www.nmsu.edu, friendlyName=Open source</x:v>
      </x:c>
    </x:row>
    <x:row r="1744" ht="46" customHeight="1">
      <x:c r="A1744" s="17" t="str">
        <x:v>stage3src:3fbd3cea6f97671d7ead</x:v>
      </x:c>
      <x:c r="B1744" s="17" t="str">
        <x:v>program</x:v>
      </x:c>
      <x:c r="C1744" s="17" t="str">
        <x:v>New Mexico State University-Main Campus</x:v>
      </x:c>
      <x:c r="D1744" s="17" t="str">
        <x:v>us:ipeds:188030:program:unclear:ipeds-discovery-signal-information-technology-cip-11-0103</x:v>
      </x:c>
      <x:c r="E1744" s="17" t="str"/>
      <x:c r="F1744" s="17" t="str">
        <x:v>discovery</x:v>
      </x:c>
      <x:c r="G1744" s="17" t="str">
        <x:v>Stage 2 recorded this row as a discovery candidate; it does not independently verify an exact current research program, eligibility, or funding.</x:v>
      </x:c>
      <x:c r="H1744" s="17" t="str">
        <x:v>Pass 2 Stage 2 candidate funnel</x:v>
      </x:c>
      <x:c r="I1744" s="17" t="str">
        <x:v>Graduate audit pipeline</x:v>
      </x:c>
      <x:c r="J1744" s="17" t="str">
        <x:v>derived</x:v>
      </x:c>
      <x:c r="K1744" s="17" t="str">
        <x:v>2026-09-11</x:v>
      </x:c>
      <x:c r="L1744" s="17" t="str">
        <x:v>Not cycle-specific</x:v>
      </x:c>
      <x:c r="M1744" s="17" t="str">
        <x:v>low</x:v>
      </x:c>
      <x:c r="N1744" s="17" t="str">
        <x:v>Discovery evidence only</x:v>
      </x:c>
      <x:c r="O1744" s="17" t="str">
        <x:v>Use the source_record_paths field to trace the underlying discovery inputs.</x:v>
      </x:c>
      <x:c r="P1744" s="18" t="e">
        <x:f>HYPERLINK("https://www.nmsu.edu","Open source")</x:f>
        <x:v>HYPERLINK is not implemented. linkLocation=https://www.nmsu.edu, friendlyName=Open source</x:v>
      </x:c>
    </x:row>
    <x:row r="1745" ht="46" customHeight="1">
      <x:c r="A1745" s="17" t="str">
        <x:v>stage3src:ad3550337a04bd5f623a</x:v>
      </x:c>
      <x:c r="B1745" s="17" t="str">
        <x:v>program</x:v>
      </x:c>
      <x:c r="C1745" s="17" t="str">
        <x:v>Adelphi University</x:v>
      </x:c>
      <x:c r="D1745" s="17" t="str">
        <x:v>us:ipeds:188429:program:unclear:ipeds-discovery-signal-computer-and-information-sciences-other-cip-11-0199</x:v>
      </x:c>
      <x:c r="E1745" s="17" t="str"/>
      <x:c r="F1745" s="17" t="str">
        <x:v>discovery</x:v>
      </x:c>
      <x:c r="G1745" s="17" t="str">
        <x:v>Stage 2 recorded this row as a discovery candidate; it does not independently verify an exact current research program, eligibility, or funding.</x:v>
      </x:c>
      <x:c r="H1745" s="17" t="str">
        <x:v>Pass 2 Stage 2 candidate funnel</x:v>
      </x:c>
      <x:c r="I1745" s="17" t="str">
        <x:v>Graduate audit pipeline</x:v>
      </x:c>
      <x:c r="J1745" s="17" t="str">
        <x:v>derived</x:v>
      </x:c>
      <x:c r="K1745" s="17" t="str">
        <x:v>2026-09-11</x:v>
      </x:c>
      <x:c r="L1745" s="17" t="str">
        <x:v>Not cycle-specific</x:v>
      </x:c>
      <x:c r="M1745" s="17" t="str">
        <x:v>low</x:v>
      </x:c>
      <x:c r="N1745" s="17" t="str">
        <x:v>Discovery evidence only</x:v>
      </x:c>
      <x:c r="O1745" s="17" t="str">
        <x:v>Use the source_record_paths field to trace the underlying discovery inputs.</x:v>
      </x:c>
      <x:c r="P1745" s="18" t="e">
        <x:f>HYPERLINK("https://www.adelphi.edu","Open source")</x:f>
        <x:v>HYPERLINK is not implemented. linkLocation=https://www.adelphi.edu, friendlyName=Open source</x:v>
      </x:c>
    </x:row>
    <x:row r="1746" ht="46" customHeight="1">
      <x:c r="A1746" s="17" t="str">
        <x:v>stage3src:2a70764ad19ff1b5b5a6</x:v>
      </x:c>
      <x:c r="B1746" s="17" t="str">
        <x:v>program</x:v>
      </x:c>
      <x:c r="C1746" s="17" t="str">
        <x:v>Alfred University</x:v>
      </x:c>
      <x:c r="D1746" s="17" t="str">
        <x:v>us:ipeds:188641:program:unclear:ipeds-discovery-signal-electrical-and-electronics-engineering-cip-14-1001</x:v>
      </x:c>
      <x:c r="E1746" s="17" t="str"/>
      <x:c r="F1746" s="17" t="str">
        <x:v>discovery</x:v>
      </x:c>
      <x:c r="G1746" s="17" t="str">
        <x:v>Stage 2 recorded this row as a discovery candidate; it does not independently verify an exact current research program, eligibility, or funding.</x:v>
      </x:c>
      <x:c r="H1746" s="17" t="str">
        <x:v>Pass 2 Stage 2 candidate funnel</x:v>
      </x:c>
      <x:c r="I1746" s="17" t="str">
        <x:v>Graduate audit pipeline</x:v>
      </x:c>
      <x:c r="J1746" s="17" t="str">
        <x:v>derived</x:v>
      </x:c>
      <x:c r="K1746" s="17" t="str">
        <x:v>2026-09-11</x:v>
      </x:c>
      <x:c r="L1746" s="17" t="str">
        <x:v>Not cycle-specific</x:v>
      </x:c>
      <x:c r="M1746" s="17" t="str">
        <x:v>low</x:v>
      </x:c>
      <x:c r="N1746" s="17" t="str">
        <x:v>Discovery evidence only</x:v>
      </x:c>
      <x:c r="O1746" s="17" t="str">
        <x:v>Use the source_record_paths field to trace the underlying discovery inputs.</x:v>
      </x:c>
      <x:c r="P1746" s="18" t="e">
        <x:f>HYPERLINK("https://www.alfred.edu","Open source")</x:f>
        <x:v>HYPERLINK is not implemented. linkLocation=https://www.alfred.edu, friendlyName=Open source</x:v>
      </x:c>
    </x:row>
    <x:row r="1747" ht="46" customHeight="1">
      <x:c r="A1747" s="17" t="str">
        <x:v>stage3src:45677c58fa1238880501</x:v>
      </x:c>
      <x:c r="B1747" s="17" t="str">
        <x:v>program</x:v>
      </x:c>
      <x:c r="C1747" s="17" t="str">
        <x:v>Clarkson University</x:v>
      </x:c>
      <x:c r="D1747" s="17" t="str">
        <x:v>us:ipeds:190044:program:phd:phd-in-computer-science</x:v>
      </x:c>
      <x:c r="E1747" s="17" t="str"/>
      <x:c r="F1747" s="17" t="str">
        <x:v>funding|tuition|fees</x:v>
      </x:c>
      <x:c r="G1747" s="17" t="str">
        <x:v>2025-26 minimum annual assistantship stipend, tuition scholarship limits, separate fee schedule, and distinct summer terms.</x:v>
      </x:c>
      <x:c r="H1747" s="17" t="str">
        <x:v>Graduate Assistantship Tuition Memo 2025-2026</x:v>
      </x:c>
      <x:c r="I1747" s="17" t="str">
        <x:v>Clarkson University</x:v>
      </x:c>
      <x:c r="J1747" s="17" t="str">
        <x:v>official</x:v>
      </x:c>
      <x:c r="K1747" s="17" t="str">
        <x:v>2026-09-11</x:v>
      </x:c>
      <x:c r="L1747" s="17" t="str">
        <x:v>2025-26 memo checked 2026-09-11</x:v>
      </x:c>
      <x:c r="M1747" s="17" t="str">
        <x:v>high</x:v>
      </x:c>
      <x:c r="N1747" s="17" t="str">
        <x:v>official page checked</x:v>
      </x:c>
      <x:c r="O1747" s="17" t="str"/>
      <x:c r="P1747" s="18" t="e">
        <x:f>HYPERLINK("https://sites.clarkson.edu/research-innovation/wp-content/uploads/sites/78/2024/11/Tuition-memo-2025-2026.pdf","Open source")</x:f>
        <x:v>HYPERLINK is not implemented. linkLocation=https://sites.clarkson.edu/research-innovation/wp-content/uploads/sites/78/2024/11/Tuition-memo-2025-2026.pdf, friendlyName=Open source</x:v>
      </x:c>
    </x:row>
    <x:row r="1748" ht="46" customHeight="1">
      <x:c r="A1748" s="17" t="str">
        <x:v>stage3src:5c9f089310bcd2f389ce</x:v>
      </x:c>
      <x:c r="B1748" s="17" t="str">
        <x:v>program</x:v>
      </x:c>
      <x:c r="C1748" s="17" t="str">
        <x:v>Clarkson University</x:v>
      </x:c>
      <x:c r="D1748" s="17" t="str">
        <x:v>us:ipeds:190044:program:phd:phd-in-computer-science</x:v>
      </x:c>
      <x:c r="E1748" s="17" t="str"/>
      <x:c r="F1748" s="17" t="str">
        <x:v>admissions|fees|funding|tuition</x:v>
      </x:c>
      <x:c r="G1748" s="17" t="str">
        <x:v>Current graduate cost-and-aid framework and official application guidance.</x:v>
      </x:c>
      <x:c r="H1748" s="17" t="str">
        <x:v>Graduate Cost and Aid</x:v>
      </x:c>
      <x:c r="I1748" s="17" t="str">
        <x:v>Clarkson University</x:v>
      </x:c>
      <x:c r="J1748" s="17" t="str">
        <x:v>official</x:v>
      </x:c>
      <x:c r="K1748" s="17" t="str">
        <x:v>2026-09-11</x:v>
      </x:c>
      <x:c r="L1748" s="17" t="str">
        <x:v>Current page checked 2026-09-11</x:v>
      </x:c>
      <x:c r="M1748" s="17" t="str">
        <x:v>high</x:v>
      </x:c>
      <x:c r="N1748" s="17" t="str">
        <x:v>official page checked</x:v>
      </x:c>
      <x:c r="O1748" s="17" t="str"/>
      <x:c r="P1748" s="18" t="e">
        <x:f>HYPERLINK("https://www.clarkson.edu/admissions-aid/graduate/cost-aid","Open source")</x:f>
        <x:v>HYPERLINK is not implemented. linkLocation=https://www.clarkson.edu/admissions-aid/graduate/cost-aid, friendlyName=Open source</x:v>
      </x:c>
    </x:row>
    <x:row r="1749" ht="46" customHeight="1">
      <x:c r="A1749" s="17" t="str">
        <x:v>stage3src:608ebfbc7bf297dce0c2</x:v>
      </x:c>
      <x:c r="B1749" s="17" t="str">
        <x:v>program</x:v>
      </x:c>
      <x:c r="C1749" s="17" t="str">
        <x:v>Clarkson University</x:v>
      </x:c>
      <x:c r="D1749" s="17" t="str">
        <x:v>us:ipeds:190044:program:phd:phd-in-computer-science</x:v>
      </x:c>
      <x:c r="E1749" s="17" t="str"/>
      <x:c r="F1749" s="17" t="str">
        <x:v>program|research|eligibility|admissions|language|funding</x:v>
      </x:c>
      <x:c r="G1749" s="17" t="str">
        <x:v>Current Computer Science PhD, bachelor's entry, admissions tests, English minima, research requirements, and full-funding eligibility statement.</x:v>
      </x:c>
      <x:c r="H1749" s="17" t="str">
        <x:v>PhD in Computer Science</x:v>
      </x:c>
      <x:c r="I1749" s="17" t="str">
        <x:v>Clarkson University</x:v>
      </x:c>
      <x:c r="J1749" s="17" t="str">
        <x:v>official</x:v>
      </x:c>
      <x:c r="K1749" s="17" t="str">
        <x:v>2026-09-11</x:v>
      </x:c>
      <x:c r="L1749" s="17" t="str">
        <x:v>Current page checked 2026-09-11</x:v>
      </x:c>
      <x:c r="M1749" s="17" t="str">
        <x:v>high</x:v>
      </x:c>
      <x:c r="N1749" s="17" t="str">
        <x:v>official page checked</x:v>
      </x:c>
      <x:c r="O1749" s="17" t="str"/>
      <x:c r="P1749" s="18" t="e">
        <x:f>HYPERLINK("https://www.clarkson.edu/academics/majors-minors/computer-science-phd","Open source")</x:f>
        <x:v>HYPERLINK is not implemented. linkLocation=https://www.clarkson.edu/academics/majors-minors/computer-science-phd, friendlyName=Open source</x:v>
      </x:c>
    </x:row>
    <x:row r="1750" ht="46" customHeight="1">
      <x:c r="A1750" s="17" t="str">
        <x:v>stage3src:da722ec8a20c6a535e91</x:v>
      </x:c>
      <x:c r="B1750" s="17" t="str">
        <x:v>program</x:v>
      </x:c>
      <x:c r="C1750" s="17" t="str">
        <x:v>Clarkson University</x:v>
      </x:c>
      <x:c r="D1750" s="17" t="str">
        <x:v>us:ipeds:190044:program:unclear:ipeds-discovery-signal-computer-science-cip-11-0701</x:v>
      </x:c>
      <x:c r="E1750" s="17" t="str"/>
      <x:c r="F1750" s="17" t="str">
        <x:v>discovery</x:v>
      </x:c>
      <x:c r="G1750" s="17" t="str">
        <x:v>Stage 2 recorded this row as a discovery candidate; it does not independently verify an exact current research program, eligibility, or funding.</x:v>
      </x:c>
      <x:c r="H1750" s="17" t="str">
        <x:v>Pass 2 Stage 2 candidate funnel</x:v>
      </x:c>
      <x:c r="I1750" s="17" t="str">
        <x:v>Graduate audit pipeline</x:v>
      </x:c>
      <x:c r="J1750" s="17" t="str">
        <x:v>derived</x:v>
      </x:c>
      <x:c r="K1750" s="17" t="str">
        <x:v>2026-09-11</x:v>
      </x:c>
      <x:c r="L1750" s="17" t="str">
        <x:v>Not cycle-specific</x:v>
      </x:c>
      <x:c r="M1750" s="17" t="str">
        <x:v>low</x:v>
      </x:c>
      <x:c r="N1750" s="17" t="str">
        <x:v>Discovery evidence only</x:v>
      </x:c>
      <x:c r="O1750" s="17" t="str">
        <x:v>Use the source_record_paths field to trace the underlying discovery inputs.</x:v>
      </x:c>
      <x:c r="P1750" s="18" t="e">
        <x:f>HYPERLINK("https://www.clarkson.edu","Open source")</x:f>
        <x:v>HYPERLINK is not implemented. linkLocation=https://www.clarkson.edu, friendlyName=Open source</x:v>
      </x:c>
    </x:row>
    <x:row r="1751" ht="46" customHeight="1">
      <x:c r="A1751" s="17" t="str">
        <x:v>stage3src:4ed71688394771a07fba</x:v>
      </x:c>
      <x:c r="B1751" s="17" t="str">
        <x:v>program</x:v>
      </x:c>
      <x:c r="C1751" s="17" t="str">
        <x:v>Clarkson University</x:v>
      </x:c>
      <x:c r="D1751" s="17" t="str">
        <x:v>us:ipeds:190044:program:unclear:ipeds-discovery-signal-data-analytics-general-cip-30-7101</x:v>
      </x:c>
      <x:c r="E1751" s="17" t="str"/>
      <x:c r="F1751" s="17" t="str">
        <x:v>discovery</x:v>
      </x:c>
      <x:c r="G1751" s="17" t="str">
        <x:v>Stage 2 recorded this row as a discovery candidate; it does not independently verify an exact current research program, eligibility, or funding.</x:v>
      </x:c>
      <x:c r="H1751" s="17" t="str">
        <x:v>Pass 2 Stage 2 candidate funnel</x:v>
      </x:c>
      <x:c r="I1751" s="17" t="str">
        <x:v>Graduate audit pipeline</x:v>
      </x:c>
      <x:c r="J1751" s="17" t="str">
        <x:v>derived</x:v>
      </x:c>
      <x:c r="K1751" s="17" t="str">
        <x:v>2026-09-11</x:v>
      </x:c>
      <x:c r="L1751" s="17" t="str">
        <x:v>Not cycle-specific</x:v>
      </x:c>
      <x:c r="M1751" s="17" t="str">
        <x:v>low</x:v>
      </x:c>
      <x:c r="N1751" s="17" t="str">
        <x:v>Discovery evidence only</x:v>
      </x:c>
      <x:c r="O1751" s="17" t="str">
        <x:v>Use the source_record_paths field to trace the underlying discovery inputs.</x:v>
      </x:c>
      <x:c r="P1751" s="18" t="e">
        <x:f>HYPERLINK("https://www.clarkson.edu","Open source")</x:f>
        <x:v>HYPERLINK is not implemented. linkLocation=https://www.clarkson.edu, friendlyName=Open source</x:v>
      </x:c>
    </x:row>
    <x:row r="1752" ht="46" customHeight="1">
      <x:c r="A1752" s="17" t="str">
        <x:v>stage3src:a93dc0111c88cf74262f</x:v>
      </x:c>
      <x:c r="B1752" s="17" t="str">
        <x:v>program</x:v>
      </x:c>
      <x:c r="C1752" s="17" t="str">
        <x:v>Clarkson University</x:v>
      </x:c>
      <x:c r="D1752" s="17" t="str">
        <x:v>us:ipeds:190044:program:unclear:ipeds-discovery-signal-data-science-general-cip-30-7001</x:v>
      </x:c>
      <x:c r="E1752" s="17" t="str"/>
      <x:c r="F1752" s="17" t="str">
        <x:v>discovery</x:v>
      </x:c>
      <x:c r="G1752" s="17" t="str">
        <x:v>Stage 2 recorded this row as a discovery candidate; it does not independently verify an exact current research program, eligibility, or funding.</x:v>
      </x:c>
      <x:c r="H1752" s="17" t="str">
        <x:v>Pass 2 Stage 2 candidate funnel</x:v>
      </x:c>
      <x:c r="I1752" s="17" t="str">
        <x:v>Graduate audit pipeline</x:v>
      </x:c>
      <x:c r="J1752" s="17" t="str">
        <x:v>derived</x:v>
      </x:c>
      <x:c r="K1752" s="17" t="str">
        <x:v>2026-09-11</x:v>
      </x:c>
      <x:c r="L1752" s="17" t="str">
        <x:v>Not cycle-specific</x:v>
      </x:c>
      <x:c r="M1752" s="17" t="str">
        <x:v>low</x:v>
      </x:c>
      <x:c r="N1752" s="17" t="str">
        <x:v>Discovery evidence only</x:v>
      </x:c>
      <x:c r="O1752" s="17" t="str">
        <x:v>Use the source_record_paths field to trace the underlying discovery inputs.</x:v>
      </x:c>
      <x:c r="P1752" s="18" t="e">
        <x:f>HYPERLINK("https://www.clarkson.edu","Open source")</x:f>
        <x:v>HYPERLINK is not implemented. linkLocation=https://www.clarkson.edu, friendlyName=Open source</x:v>
      </x:c>
    </x:row>
    <x:row r="1753" ht="46" customHeight="1">
      <x:c r="A1753" s="17" t="str">
        <x:v>stage3src:b98c2773e829255a9bcf</x:v>
      </x:c>
      <x:c r="B1753" s="17" t="str">
        <x:v>program</x:v>
      </x:c>
      <x:c r="C1753" s="17" t="str">
        <x:v>Clarkson University</x:v>
      </x:c>
      <x:c r="D1753" s="17" t="str">
        <x:v>us:ipeds:190044:program:unclear:ipeds-discovery-signal-electrical-and-electronics-engineering-cip-14-1001</x:v>
      </x:c>
      <x:c r="E1753" s="17" t="str"/>
      <x:c r="F1753" s="17" t="str">
        <x:v>discovery</x:v>
      </x:c>
      <x:c r="G1753" s="17" t="str">
        <x:v>Stage 2 recorded this row as a discovery candidate; it does not independently verify an exact current research program, eligibility, or funding.</x:v>
      </x:c>
      <x:c r="H1753" s="17" t="str">
        <x:v>Pass 2 Stage 2 candidate funnel</x:v>
      </x:c>
      <x:c r="I1753" s="17" t="str">
        <x:v>Graduate audit pipeline</x:v>
      </x:c>
      <x:c r="J1753" s="17" t="str">
        <x:v>derived</x:v>
      </x:c>
      <x:c r="K1753" s="17" t="str">
        <x:v>2026-09-11</x:v>
      </x:c>
      <x:c r="L1753" s="17" t="str">
        <x:v>Not cycle-specific</x:v>
      </x:c>
      <x:c r="M1753" s="17" t="str">
        <x:v>low</x:v>
      </x:c>
      <x:c r="N1753" s="17" t="str">
        <x:v>Discovery evidence only</x:v>
      </x:c>
      <x:c r="O1753" s="17" t="str">
        <x:v>Use the source_record_paths field to trace the underlying discovery inputs.</x:v>
      </x:c>
      <x:c r="P1753" s="18" t="e">
        <x:f>HYPERLINK("https://www.clarkson.edu","Open source")</x:f>
        <x:v>HYPERLINK is not implemented. linkLocation=https://www.clarkson.edu, friendlyName=Open source</x:v>
      </x:c>
    </x:row>
    <x:row r="1754" ht="46" customHeight="1">
      <x:c r="A1754" s="17" t="str">
        <x:v>stage3src:1221b03a22f1e36938c6</x:v>
      </x:c>
      <x:c r="B1754" s="17" t="str">
        <x:v>program</x:v>
      </x:c>
      <x:c r="C1754" s="17" t="str">
        <x:v>Columbia University in the City of New York</x:v>
      </x:c>
      <x:c r="D1754" s="17" t="str">
        <x:v>us:ipeds:190150:program:unclear:ipeds-discovery-signal-computer-and-information-sciences-general-cip-11-0101</x:v>
      </x:c>
      <x:c r="E1754" s="17" t="str"/>
      <x:c r="F1754" s="17" t="str">
        <x:v>discovery</x:v>
      </x:c>
      <x:c r="G1754" s="17" t="str">
        <x:v>Stage 2 recorded this row as a discovery candidate; it does not independently verify an exact current research program, eligibility, or funding.</x:v>
      </x:c>
      <x:c r="H1754" s="17" t="str">
        <x:v>Pass 2 Stage 2 candidate funnel</x:v>
      </x:c>
      <x:c r="I1754" s="17" t="str">
        <x:v>Graduate audit pipeline</x:v>
      </x:c>
      <x:c r="J1754" s="17" t="str">
        <x:v>derived</x:v>
      </x:c>
      <x:c r="K1754" s="17" t="str">
        <x:v>2026-09-11</x:v>
      </x:c>
      <x:c r="L1754" s="17" t="str">
        <x:v>Not cycle-specific</x:v>
      </x:c>
      <x:c r="M1754" s="17" t="str">
        <x:v>low</x:v>
      </x:c>
      <x:c r="N1754" s="17" t="str">
        <x:v>Discovery evidence only</x:v>
      </x:c>
      <x:c r="O1754" s="17" t="str">
        <x:v>Use the source_record_paths field to trace the underlying discovery inputs.</x:v>
      </x:c>
      <x:c r="P1754" s="18" t="e">
        <x:f>HYPERLINK("https://www.columbia.edu","Open source")</x:f>
        <x:v>HYPERLINK is not implemented. linkLocation=https://www.columbia.edu, friendlyName=Open source</x:v>
      </x:c>
    </x:row>
    <x:row r="1755" ht="46" customHeight="1">
      <x:c r="A1755" s="17" t="str">
        <x:v>stage3src:76f7f25e544eae4dadbd</x:v>
      </x:c>
      <x:c r="B1755" s="17" t="str">
        <x:v>program</x:v>
      </x:c>
      <x:c r="C1755" s="17" t="str">
        <x:v>Columbia University in the City of New York</x:v>
      </x:c>
      <x:c r="D1755" s="17" t="str">
        <x:v>us:ipeds:190150:program:unclear:ipeds-discovery-signal-computer-engineering-general-cip-14-0901</x:v>
      </x:c>
      <x:c r="E1755" s="17" t="str"/>
      <x:c r="F1755" s="17" t="str">
        <x:v>discovery</x:v>
      </x:c>
      <x:c r="G1755" s="17" t="str">
        <x:v>Stage 2 recorded this row as a discovery candidate; it does not independently verify an exact current research program, eligibility, or funding.</x:v>
      </x:c>
      <x:c r="H1755" s="17" t="str">
        <x:v>Pass 2 Stage 2 candidate funnel</x:v>
      </x:c>
      <x:c r="I1755" s="17" t="str">
        <x:v>Graduate audit pipeline</x:v>
      </x:c>
      <x:c r="J1755" s="17" t="str">
        <x:v>derived</x:v>
      </x:c>
      <x:c r="K1755" s="17" t="str">
        <x:v>2026-09-11</x:v>
      </x:c>
      <x:c r="L1755" s="17" t="str">
        <x:v>Not cycle-specific</x:v>
      </x:c>
      <x:c r="M1755" s="17" t="str">
        <x:v>low</x:v>
      </x:c>
      <x:c r="N1755" s="17" t="str">
        <x:v>Discovery evidence only</x:v>
      </x:c>
      <x:c r="O1755" s="17" t="str">
        <x:v>Use the source_record_paths field to trace the underlying discovery inputs.</x:v>
      </x:c>
      <x:c r="P1755" s="18" t="e">
        <x:f>HYPERLINK("https://www.columbia.edu","Open source")</x:f>
        <x:v>HYPERLINK is not implemented. linkLocation=https://www.columbia.edu, friendlyName=Open source</x:v>
      </x:c>
    </x:row>
    <x:row r="1756" ht="46" customHeight="1">
      <x:c r="A1756" s="17" t="str">
        <x:v>stage3src:e2458b5d3006423d45e7</x:v>
      </x:c>
      <x:c r="B1756" s="17" t="str">
        <x:v>program</x:v>
      </x:c>
      <x:c r="C1756" s="17" t="str">
        <x:v>Columbia University in the City of New York</x:v>
      </x:c>
      <x:c r="D1756" s="17" t="str">
        <x:v>us:ipeds:190150:program:unclear:ipeds-discovery-signal-computer-science-cip-11-0701</x:v>
      </x:c>
      <x:c r="E1756" s="17" t="str"/>
      <x:c r="F1756" s="17" t="str">
        <x:v>discovery</x:v>
      </x:c>
      <x:c r="G1756" s="17" t="str">
        <x:v>Stage 2 recorded this row as a discovery candidate; it does not independently verify an exact current research program, eligibility, or funding.</x:v>
      </x:c>
      <x:c r="H1756" s="17" t="str">
        <x:v>Pass 2 Stage 2 candidate funnel</x:v>
      </x:c>
      <x:c r="I1756" s="17" t="str">
        <x:v>Graduate audit pipeline</x:v>
      </x:c>
      <x:c r="J1756" s="17" t="str">
        <x:v>derived</x:v>
      </x:c>
      <x:c r="K1756" s="17" t="str">
        <x:v>2026-09-11</x:v>
      </x:c>
      <x:c r="L1756" s="17" t="str">
        <x:v>Not cycle-specific</x:v>
      </x:c>
      <x:c r="M1756" s="17" t="str">
        <x:v>low</x:v>
      </x:c>
      <x:c r="N1756" s="17" t="str">
        <x:v>Discovery evidence only</x:v>
      </x:c>
      <x:c r="O1756" s="17" t="str">
        <x:v>Use the source_record_paths field to trace the underlying discovery inputs.</x:v>
      </x:c>
      <x:c r="P1756" s="18" t="e">
        <x:f>HYPERLINK("https://www.columbia.edu","Open source")</x:f>
        <x:v>HYPERLINK is not implemented. linkLocation=https://www.columbia.edu, friendlyName=Open source</x:v>
      </x:c>
    </x:row>
    <x:row r="1757" ht="46" customHeight="1">
      <x:c r="A1757" s="17" t="str">
        <x:v>stage3src:1829e94be7287d7a67f2</x:v>
      </x:c>
      <x:c r="B1757" s="17" t="str">
        <x:v>program</x:v>
      </x:c>
      <x:c r="C1757" s="17" t="str">
        <x:v>Columbia University in the City of New York</x:v>
      </x:c>
      <x:c r="D1757" s="17" t="str">
        <x:v>us:ipeds:190150:program:unclear:ipeds-discovery-signal-data-science-general-cip-30-7001</x:v>
      </x:c>
      <x:c r="E1757" s="17" t="str"/>
      <x:c r="F1757" s="17" t="str">
        <x:v>discovery</x:v>
      </x:c>
      <x:c r="G1757" s="17" t="str">
        <x:v>Stage 2 recorded this row as a discovery candidate; it does not independently verify an exact current research program, eligibility, or funding.</x:v>
      </x:c>
      <x:c r="H1757" s="17" t="str">
        <x:v>Pass 2 Stage 2 candidate funnel</x:v>
      </x:c>
      <x:c r="I1757" s="17" t="str">
        <x:v>Graduate audit pipeline</x:v>
      </x:c>
      <x:c r="J1757" s="17" t="str">
        <x:v>derived</x:v>
      </x:c>
      <x:c r="K1757" s="17" t="str">
        <x:v>2026-09-11</x:v>
      </x:c>
      <x:c r="L1757" s="17" t="str">
        <x:v>Not cycle-specific</x:v>
      </x:c>
      <x:c r="M1757" s="17" t="str">
        <x:v>low</x:v>
      </x:c>
      <x:c r="N1757" s="17" t="str">
        <x:v>Discovery evidence only</x:v>
      </x:c>
      <x:c r="O1757" s="17" t="str">
        <x:v>Use the source_record_paths field to trace the underlying discovery inputs.</x:v>
      </x:c>
      <x:c r="P1757" s="18" t="e">
        <x:f>HYPERLINK("https://www.columbia.edu","Open source")</x:f>
        <x:v>HYPERLINK is not implemented. linkLocation=https://www.columbia.edu, friendlyName=Open source</x:v>
      </x:c>
    </x:row>
    <x:row r="1758" ht="46" customHeight="1">
      <x:c r="A1758" s="17" t="str">
        <x:v>stage3src:23d2578d6ff7222e49b0</x:v>
      </x:c>
      <x:c r="B1758" s="17" t="str">
        <x:v>program</x:v>
      </x:c>
      <x:c r="C1758" s="17" t="str">
        <x:v>Columbia University in the City of New York</x:v>
      </x:c>
      <x:c r="D1758" s="17" t="str">
        <x:v>us:ipeds:190150:program:unclear:ipeds-discovery-signal-electrical-and-electronics-engineering-cip-14-1001</x:v>
      </x:c>
      <x:c r="E1758" s="17" t="str"/>
      <x:c r="F1758" s="17" t="str">
        <x:v>discovery</x:v>
      </x:c>
      <x:c r="G1758" s="17" t="str">
        <x:v>Stage 2 recorded this row as a discovery candidate; it does not independently verify an exact current research program, eligibility, or funding.</x:v>
      </x:c>
      <x:c r="H1758" s="17" t="str">
        <x:v>Pass 2 Stage 2 candidate funnel</x:v>
      </x:c>
      <x:c r="I1758" s="17" t="str">
        <x:v>Graduate audit pipeline</x:v>
      </x:c>
      <x:c r="J1758" s="17" t="str">
        <x:v>derived</x:v>
      </x:c>
      <x:c r="K1758" s="17" t="str">
        <x:v>2026-09-11</x:v>
      </x:c>
      <x:c r="L1758" s="17" t="str">
        <x:v>Not cycle-specific</x:v>
      </x:c>
      <x:c r="M1758" s="17" t="str">
        <x:v>low</x:v>
      </x:c>
      <x:c r="N1758" s="17" t="str">
        <x:v>Discovery evidence only</x:v>
      </x:c>
      <x:c r="O1758" s="17" t="str">
        <x:v>Use the source_record_paths field to trace the underlying discovery inputs.</x:v>
      </x:c>
      <x:c r="P1758" s="18" t="e">
        <x:f>HYPERLINK("https://www.columbia.edu","Open source")</x:f>
        <x:v>HYPERLINK is not implemented. linkLocation=https://www.columbia.edu, friendlyName=Open source</x:v>
      </x:c>
    </x:row>
    <x:row r="1759" ht="46" customHeight="1">
      <x:c r="A1759" s="17" t="str">
        <x:v>stage3src:0743877b6c090ba12cf0</x:v>
      </x:c>
      <x:c r="B1759" s="17" t="str">
        <x:v>program</x:v>
      </x:c>
      <x:c r="C1759" s="17" t="str">
        <x:v>Columbia University in the City of New York</x:v>
      </x:c>
      <x:c r="D1759" s="17" t="str">
        <x:v>us:ipeds:190150:program:unclear:ipeds-discovery-signal-information-technology-cip-11-0103</x:v>
      </x:c>
      <x:c r="E1759" s="17" t="str"/>
      <x:c r="F1759" s="17" t="str">
        <x:v>discovery</x:v>
      </x:c>
      <x:c r="G1759" s="17" t="str">
        <x:v>Stage 2 recorded this row as a discovery candidate; it does not independently verify an exact current research program, eligibility, or funding.</x:v>
      </x:c>
      <x:c r="H1759" s="17" t="str">
        <x:v>Pass 2 Stage 2 candidate funnel</x:v>
      </x:c>
      <x:c r="I1759" s="17" t="str">
        <x:v>Graduate audit pipeline</x:v>
      </x:c>
      <x:c r="J1759" s="17" t="str">
        <x:v>derived</x:v>
      </x:c>
      <x:c r="K1759" s="17" t="str">
        <x:v>2026-09-11</x:v>
      </x:c>
      <x:c r="L1759" s="17" t="str">
        <x:v>Not cycle-specific</x:v>
      </x:c>
      <x:c r="M1759" s="17" t="str">
        <x:v>low</x:v>
      </x:c>
      <x:c r="N1759" s="17" t="str">
        <x:v>Discovery evidence only</x:v>
      </x:c>
      <x:c r="O1759" s="17" t="str">
        <x:v>Use the source_record_paths field to trace the underlying discovery inputs.</x:v>
      </x:c>
      <x:c r="P1759" s="18" t="e">
        <x:f>HYPERLINK("https://www.columbia.edu","Open source")</x:f>
        <x:v>HYPERLINK is not implemented. linkLocation=https://www.columbia.edu, friendlyName=Open source</x:v>
      </x:c>
    </x:row>
    <x:row r="1760" ht="46" customHeight="1">
      <x:c r="A1760" s="17" t="str">
        <x:v>stage3src:147bc2e419f3b00ec290</x:v>
      </x:c>
      <x:c r="B1760" s="17" t="str">
        <x:v>program</x:v>
      </x:c>
      <x:c r="C1760" s="17" t="str">
        <x:v>The Cooper Union for the Advancement of Science and Art</x:v>
      </x:c>
      <x:c r="D1760" s="17" t="str">
        <x:v>us:ipeds:190372:program:unclear:ipeds-discovery-signal-electrical-and-electronics-engineering-cip-14-1001</x:v>
      </x:c>
      <x:c r="E1760" s="17" t="str"/>
      <x:c r="F1760" s="17" t="str">
        <x:v>discovery</x:v>
      </x:c>
      <x:c r="G1760" s="17" t="str">
        <x:v>Stage 2 recorded this row as a discovery candidate; it does not independently verify an exact current research program, eligibility, or funding.</x:v>
      </x:c>
      <x:c r="H1760" s="17" t="str">
        <x:v>Pass 2 Stage 2 candidate funnel</x:v>
      </x:c>
      <x:c r="I1760" s="17" t="str">
        <x:v>Graduate audit pipeline</x:v>
      </x:c>
      <x:c r="J1760" s="17" t="str">
        <x:v>derived</x:v>
      </x:c>
      <x:c r="K1760" s="17" t="str">
        <x:v>2026-09-11</x:v>
      </x:c>
      <x:c r="L1760" s="17" t="str">
        <x:v>Not cycle-specific</x:v>
      </x:c>
      <x:c r="M1760" s="17" t="str">
        <x:v>low</x:v>
      </x:c>
      <x:c r="N1760" s="17" t="str">
        <x:v>Discovery evidence only</x:v>
      </x:c>
      <x:c r="O1760" s="17" t="str">
        <x:v>Use the source_record_paths field to trace the underlying discovery inputs.</x:v>
      </x:c>
      <x:c r="P1760" s="18" t="e">
        <x:f>HYPERLINK("https://www.cooper.edu","Open source")</x:f>
        <x:v>HYPERLINK is not implemented. linkLocation=https://www.cooper.edu, friendlyName=Open source</x:v>
      </x:c>
    </x:row>
    <x:row r="1761" ht="46" customHeight="1">
      <x:c r="A1761" s="17" t="str">
        <x:v>stage3src:8830a6cecf9e7bf4785b</x:v>
      </x:c>
      <x:c r="B1761" s="17" t="str">
        <x:v>program</x:v>
      </x:c>
      <x:c r="C1761" s="17" t="str">
        <x:v>Cornell University</x:v>
      </x:c>
      <x:c r="D1761" s="17" t="str">
        <x:v>us:ipeds:190415:program:unclear:ipeds-discovery-signal-computer-science-cip-11-0701</x:v>
      </x:c>
      <x:c r="E1761" s="17" t="str"/>
      <x:c r="F1761" s="17" t="str">
        <x:v>discovery</x:v>
      </x:c>
      <x:c r="G1761" s="17" t="str">
        <x:v>Stage 2 recorded this row as a discovery candidate; it does not independently verify an exact current research program, eligibility, or funding.</x:v>
      </x:c>
      <x:c r="H1761" s="17" t="str">
        <x:v>Pass 2 Stage 2 candidate funnel</x:v>
      </x:c>
      <x:c r="I1761" s="17" t="str">
        <x:v>Graduate audit pipeline</x:v>
      </x:c>
      <x:c r="J1761" s="17" t="str">
        <x:v>derived</x:v>
      </x:c>
      <x:c r="K1761" s="17" t="str">
        <x:v>2026-09-11</x:v>
      </x:c>
      <x:c r="L1761" s="17" t="str">
        <x:v>Not cycle-specific</x:v>
      </x:c>
      <x:c r="M1761" s="17" t="str">
        <x:v>low</x:v>
      </x:c>
      <x:c r="N1761" s="17" t="str">
        <x:v>Discovery evidence only</x:v>
      </x:c>
      <x:c r="O1761" s="17" t="str">
        <x:v>Use the source_record_paths field to trace the underlying discovery inputs.</x:v>
      </x:c>
      <x:c r="P1761" s="18" t="e">
        <x:f>HYPERLINK("https://www.cornell.edu","Open source")</x:f>
        <x:v>HYPERLINK is not implemented. linkLocation=https://www.cornell.edu, friendlyName=Open source</x:v>
      </x:c>
    </x:row>
    <x:row r="1762" ht="46" customHeight="1">
      <x:c r="A1762" s="17" t="str">
        <x:v>stage3src:3cf7df2c1bfe646ac48a</x:v>
      </x:c>
      <x:c r="B1762" s="17" t="str">
        <x:v>program</x:v>
      </x:c>
      <x:c r="C1762" s="17" t="str">
        <x:v>Cornell University</x:v>
      </x:c>
      <x:c r="D1762" s="17" t="str">
        <x:v>us:ipeds:190415:program:unclear:ipeds-discovery-signal-electrical-and-electronics-engineering-cip-14-1001</x:v>
      </x:c>
      <x:c r="E1762" s="17" t="str"/>
      <x:c r="F1762" s="17" t="str">
        <x:v>discovery</x:v>
      </x:c>
      <x:c r="G1762" s="17" t="str">
        <x:v>Stage 2 recorded this row as a discovery candidate; it does not independently verify an exact current research program, eligibility, or funding.</x:v>
      </x:c>
      <x:c r="H1762" s="17" t="str">
        <x:v>Pass 2 Stage 2 candidate funnel</x:v>
      </x:c>
      <x:c r="I1762" s="17" t="str">
        <x:v>Graduate audit pipeline</x:v>
      </x:c>
      <x:c r="J1762" s="17" t="str">
        <x:v>derived</x:v>
      </x:c>
      <x:c r="K1762" s="17" t="str">
        <x:v>2026-09-11</x:v>
      </x:c>
      <x:c r="L1762" s="17" t="str">
        <x:v>Not cycle-specific</x:v>
      </x:c>
      <x:c r="M1762" s="17" t="str">
        <x:v>low</x:v>
      </x:c>
      <x:c r="N1762" s="17" t="str">
        <x:v>Discovery evidence only</x:v>
      </x:c>
      <x:c r="O1762" s="17" t="str">
        <x:v>Use the source_record_paths field to trace the underlying discovery inputs.</x:v>
      </x:c>
      <x:c r="P1762" s="18" t="e">
        <x:f>HYPERLINK("https://www.cornell.edu","Open source")</x:f>
        <x:v>HYPERLINK is not implemented. linkLocation=https://www.cornell.edu, friendlyName=Open source</x:v>
      </x:c>
    </x:row>
    <x:row r="1763" ht="46" customHeight="1">
      <x:c r="A1763" s="17" t="str">
        <x:v>stage3src:634dfee460e76a1af08f</x:v>
      </x:c>
      <x:c r="B1763" s="17" t="str">
        <x:v>program</x:v>
      </x:c>
      <x:c r="C1763" s="17" t="str">
        <x:v>Cornell University</x:v>
      </x:c>
      <x:c r="D1763" s="17" t="str">
        <x:v>us:ipeds:190415:program:unclear:ipeds-discovery-signal-information-technology-cip-11-0103</x:v>
      </x:c>
      <x:c r="E1763" s="17" t="str"/>
      <x:c r="F1763" s="17" t="str">
        <x:v>discovery</x:v>
      </x:c>
      <x:c r="G1763" s="17" t="str">
        <x:v>Stage 2 recorded this row as a discovery candidate; it does not independently verify an exact current research program, eligibility, or funding.</x:v>
      </x:c>
      <x:c r="H1763" s="17" t="str">
        <x:v>Pass 2 Stage 2 candidate funnel</x:v>
      </x:c>
      <x:c r="I1763" s="17" t="str">
        <x:v>Graduate audit pipeline</x:v>
      </x:c>
      <x:c r="J1763" s="17" t="str">
        <x:v>derived</x:v>
      </x:c>
      <x:c r="K1763" s="17" t="str">
        <x:v>2026-09-11</x:v>
      </x:c>
      <x:c r="L1763" s="17" t="str">
        <x:v>Not cycle-specific</x:v>
      </x:c>
      <x:c r="M1763" s="17" t="str">
        <x:v>low</x:v>
      </x:c>
      <x:c r="N1763" s="17" t="str">
        <x:v>Discovery evidence only</x:v>
      </x:c>
      <x:c r="O1763" s="17" t="str">
        <x:v>Use the source_record_paths field to trace the underlying discovery inputs.</x:v>
      </x:c>
      <x:c r="P1763" s="18" t="e">
        <x:f>HYPERLINK("https://www.cornell.edu","Open source")</x:f>
        <x:v>HYPERLINK is not implemented. linkLocation=https://www.cornell.edu, friendlyName=Open source</x:v>
      </x:c>
    </x:row>
    <x:row r="1764" ht="46" customHeight="1">
      <x:c r="A1764" s="17" t="str">
        <x:v>stage3src:5fe5c32622642e5022a7</x:v>
      </x:c>
      <x:c r="B1764" s="17" t="str">
        <x:v>program</x:v>
      </x:c>
      <x:c r="C1764" s="17" t="str">
        <x:v>CUNY Bernard M Baruch College</x:v>
      </x:c>
      <x:c r="D1764" s="17" t="str">
        <x:v>us:ipeds:190512:program:unclear:ipeds-discovery-signal-information-technology-cip-11-0103</x:v>
      </x:c>
      <x:c r="E1764" s="17" t="str"/>
      <x:c r="F1764" s="17" t="str">
        <x:v>discovery</x:v>
      </x:c>
      <x:c r="G1764" s="17" t="str">
        <x:v>Stage 2 recorded this row as a discovery candidate; it does not independently verify an exact current research program, eligibility, or funding.</x:v>
      </x:c>
      <x:c r="H1764" s="17" t="str">
        <x:v>Pass 2 Stage 2 candidate funnel</x:v>
      </x:c>
      <x:c r="I1764" s="17" t="str">
        <x:v>Graduate audit pipeline</x:v>
      </x:c>
      <x:c r="J1764" s="17" t="str">
        <x:v>derived</x:v>
      </x:c>
      <x:c r="K1764" s="17" t="str">
        <x:v>2026-09-11</x:v>
      </x:c>
      <x:c r="L1764" s="17" t="str">
        <x:v>Not cycle-specific</x:v>
      </x:c>
      <x:c r="M1764" s="17" t="str">
        <x:v>low</x:v>
      </x:c>
      <x:c r="N1764" s="17" t="str">
        <x:v>Discovery evidence only</x:v>
      </x:c>
      <x:c r="O1764" s="17" t="str">
        <x:v>Use the source_record_paths field to trace the underlying discovery inputs.</x:v>
      </x:c>
      <x:c r="P1764" s="18" t="e">
        <x:f>HYPERLINK("https://www.baruch.cuny.edu","Open source")</x:f>
        <x:v>HYPERLINK is not implemented. linkLocation=https://www.baruch.cuny.edu, friendlyName=Open source</x:v>
      </x:c>
    </x:row>
    <x:row r="1765" ht="46" customHeight="1">
      <x:c r="A1765" s="17" t="str">
        <x:v>stage3src:aaab3ec99735fba9144a</x:v>
      </x:c>
      <x:c r="B1765" s="17" t="str">
        <x:v>program</x:v>
      </x:c>
      <x:c r="C1765" s="17" t="str">
        <x:v>CUNY Brooklyn College</x:v>
      </x:c>
      <x:c r="D1765" s="17" t="str">
        <x:v>us:ipeds:190549:program:unclear:ipeds-discovery-signal-computer-science-cip-11-0701</x:v>
      </x:c>
      <x:c r="E1765" s="17" t="str"/>
      <x:c r="F1765" s="17" t="str">
        <x:v>discovery</x:v>
      </x:c>
      <x:c r="G1765" s="17" t="str">
        <x:v>Stage 2 recorded this row as a discovery candidate; it does not independently verify an exact current research program, eligibility, or funding.</x:v>
      </x:c>
      <x:c r="H1765" s="17" t="str">
        <x:v>Pass 2 Stage 2 candidate funnel</x:v>
      </x:c>
      <x:c r="I1765" s="17" t="str">
        <x:v>Graduate audit pipeline</x:v>
      </x:c>
      <x:c r="J1765" s="17" t="str">
        <x:v>derived</x:v>
      </x:c>
      <x:c r="K1765" s="17" t="str">
        <x:v>2026-09-11</x:v>
      </x:c>
      <x:c r="L1765" s="17" t="str">
        <x:v>Not cycle-specific</x:v>
      </x:c>
      <x:c r="M1765" s="17" t="str">
        <x:v>low</x:v>
      </x:c>
      <x:c r="N1765" s="17" t="str">
        <x:v>Discovery evidence only</x:v>
      </x:c>
      <x:c r="O1765" s="17" t="str">
        <x:v>Use the source_record_paths field to trace the underlying discovery inputs.</x:v>
      </x:c>
      <x:c r="P1765" s="18" t="e">
        <x:f>HYPERLINK("https://www.brooklyn.edu","Open source")</x:f>
        <x:v>HYPERLINK is not implemented. linkLocation=https://www.brooklyn.edu, friendlyName=Open source</x:v>
      </x:c>
    </x:row>
    <x:row r="1766" ht="46" customHeight="1">
      <x:c r="A1766" s="17" t="str">
        <x:v>stage3src:60beac29affa8e9b0a68</x:v>
      </x:c>
      <x:c r="B1766" s="17" t="str">
        <x:v>program</x:v>
      </x:c>
      <x:c r="C1766" s="17" t="str">
        <x:v>CUNY Brooklyn College</x:v>
      </x:c>
      <x:c r="D1766" s="17" t="str">
        <x:v>us:ipeds:190549:program:unclear:ipeds-discovery-signal-information-science-studies-cip-11-0401</x:v>
      </x:c>
      <x:c r="E1766" s="17" t="str"/>
      <x:c r="F1766" s="17" t="str">
        <x:v>discovery</x:v>
      </x:c>
      <x:c r="G1766" s="17" t="str">
        <x:v>Stage 2 recorded this row as a discovery candidate; it does not independently verify an exact current research program, eligibility, or funding.</x:v>
      </x:c>
      <x:c r="H1766" s="17" t="str">
        <x:v>Pass 2 Stage 2 candidate funnel</x:v>
      </x:c>
      <x:c r="I1766" s="17" t="str">
        <x:v>Graduate audit pipeline</x:v>
      </x:c>
      <x:c r="J1766" s="17" t="str">
        <x:v>derived</x:v>
      </x:c>
      <x:c r="K1766" s="17" t="str">
        <x:v>2026-09-11</x:v>
      </x:c>
      <x:c r="L1766" s="17" t="str">
        <x:v>Not cycle-specific</x:v>
      </x:c>
      <x:c r="M1766" s="17" t="str">
        <x:v>low</x:v>
      </x:c>
      <x:c r="N1766" s="17" t="str">
        <x:v>Discovery evidence only</x:v>
      </x:c>
      <x:c r="O1766" s="17" t="str">
        <x:v>Use the source_record_paths field to trace the underlying discovery inputs.</x:v>
      </x:c>
      <x:c r="P1766" s="18" t="e">
        <x:f>HYPERLINK("https://www.brooklyn.edu","Open source")</x:f>
        <x:v>HYPERLINK is not implemented. linkLocation=https://www.brooklyn.edu, friendlyName=Open source</x:v>
      </x:c>
    </x:row>
    <x:row r="1767" ht="46" customHeight="1">
      <x:c r="A1767" s="17" t="str">
        <x:v>stage3src:207f104660554d998c74</x:v>
      </x:c>
      <x:c r="B1767" s="17" t="str">
        <x:v>program</x:v>
      </x:c>
      <x:c r="C1767" s="17" t="str">
        <x:v>College of Staten Island CUNY</x:v>
      </x:c>
      <x:c r="D1767" s="17" t="str">
        <x:v>us:ipeds:190558:program:unclear:ipeds-discovery-signal-computer-science-cip-11-0701</x:v>
      </x:c>
      <x:c r="E1767" s="17" t="str"/>
      <x:c r="F1767" s="17" t="str">
        <x:v>discovery</x:v>
      </x:c>
      <x:c r="G1767" s="17" t="str">
        <x:v>Stage 2 recorded this row as a discovery candidate; it does not independently verify an exact current research program, eligibility, or funding.</x:v>
      </x:c>
      <x:c r="H1767" s="17" t="str">
        <x:v>Pass 2 Stage 2 candidate funnel</x:v>
      </x:c>
      <x:c r="I1767" s="17" t="str">
        <x:v>Graduate audit pipeline</x:v>
      </x:c>
      <x:c r="J1767" s="17" t="str">
        <x:v>derived</x:v>
      </x:c>
      <x:c r="K1767" s="17" t="str">
        <x:v>2026-09-11</x:v>
      </x:c>
      <x:c r="L1767" s="17" t="str">
        <x:v>Not cycle-specific</x:v>
      </x:c>
      <x:c r="M1767" s="17" t="str">
        <x:v>low</x:v>
      </x:c>
      <x:c r="N1767" s="17" t="str">
        <x:v>Discovery evidence only</x:v>
      </x:c>
      <x:c r="O1767" s="17" t="str">
        <x:v>Use the source_record_paths field to trace the underlying discovery inputs.</x:v>
      </x:c>
      <x:c r="P1767" s="18" t="e">
        <x:f>HYPERLINK("https://www.csi.cuny.edu","Open source")</x:f>
        <x:v>HYPERLINK is not implemented. linkLocation=https://www.csi.cuny.edu, friendlyName=Open source</x:v>
      </x:c>
    </x:row>
    <x:row r="1768" ht="46" customHeight="1">
      <x:c r="A1768" s="17" t="str">
        <x:v>stage3src:18096cc6bc1cf1473bb1</x:v>
      </x:c>
      <x:c r="B1768" s="17" t="str">
        <x:v>program</x:v>
      </x:c>
      <x:c r="C1768" s="17" t="str">
        <x:v>College of Staten Island CUNY</x:v>
      </x:c>
      <x:c r="D1768" s="17" t="str">
        <x:v>us:ipeds:190558:program:unclear:ipeds-discovery-signal-electrical-and-electronics-engineering-cip-14-1001</x:v>
      </x:c>
      <x:c r="E1768" s="17" t="str"/>
      <x:c r="F1768" s="17" t="str">
        <x:v>discovery</x:v>
      </x:c>
      <x:c r="G1768" s="17" t="str">
        <x:v>Stage 2 recorded this row as a discovery candidate; it does not independently verify an exact current research program, eligibility, or funding.</x:v>
      </x:c>
      <x:c r="H1768" s="17" t="str">
        <x:v>Pass 2 Stage 2 candidate funnel</x:v>
      </x:c>
      <x:c r="I1768" s="17" t="str">
        <x:v>Graduate audit pipeline</x:v>
      </x:c>
      <x:c r="J1768" s="17" t="str">
        <x:v>derived</x:v>
      </x:c>
      <x:c r="K1768" s="17" t="str">
        <x:v>2026-09-11</x:v>
      </x:c>
      <x:c r="L1768" s="17" t="str">
        <x:v>Not cycle-specific</x:v>
      </x:c>
      <x:c r="M1768" s="17" t="str">
        <x:v>low</x:v>
      </x:c>
      <x:c r="N1768" s="17" t="str">
        <x:v>Discovery evidence only</x:v>
      </x:c>
      <x:c r="O1768" s="17" t="str">
        <x:v>Use the source_record_paths field to trace the underlying discovery inputs.</x:v>
      </x:c>
      <x:c r="P1768" s="18" t="e">
        <x:f>HYPERLINK("https://www.csi.cuny.edu","Open source")</x:f>
        <x:v>HYPERLINK is not implemented. linkLocation=https://www.csi.cuny.edu, friendlyName=Open source</x:v>
      </x:c>
    </x:row>
    <x:row r="1769" ht="46" customHeight="1">
      <x:c r="A1769" s="17" t="str">
        <x:v>stage3src:b48c16e55a6cfbe78bb7</x:v>
      </x:c>
      <x:c r="B1769" s="17" t="str">
        <x:v>program</x:v>
      </x:c>
      <x:c r="C1769" s="17" t="str">
        <x:v>CUNY City College</x:v>
      </x:c>
      <x:c r="D1769" s="17" t="str">
        <x:v>us:ipeds:190567:program:unclear:ipeds-discovery-signal-computer-and-information-systems-security-auditing-information-assurance-cip-11-1003</x:v>
      </x:c>
      <x:c r="E1769" s="17" t="str"/>
      <x:c r="F1769" s="17" t="str">
        <x:v>discovery</x:v>
      </x:c>
      <x:c r="G1769" s="17" t="str">
        <x:v>Stage 2 recorded this row as a discovery candidate; it does not independently verify an exact current research program, eligibility, or funding.</x:v>
      </x:c>
      <x:c r="H1769" s="17" t="str">
        <x:v>Pass 2 Stage 2 candidate funnel</x:v>
      </x:c>
      <x:c r="I1769" s="17" t="str">
        <x:v>Graduate audit pipeline</x:v>
      </x:c>
      <x:c r="J1769" s="17" t="str">
        <x:v>derived</x:v>
      </x:c>
      <x:c r="K1769" s="17" t="str">
        <x:v>2026-09-11</x:v>
      </x:c>
      <x:c r="L1769" s="17" t="str">
        <x:v>Not cycle-specific</x:v>
      </x:c>
      <x:c r="M1769" s="17" t="str">
        <x:v>low</x:v>
      </x:c>
      <x:c r="N1769" s="17" t="str">
        <x:v>Discovery evidence only</x:v>
      </x:c>
      <x:c r="O1769" s="17" t="str">
        <x:v>Use the source_record_paths field to trace the underlying discovery inputs.</x:v>
      </x:c>
      <x:c r="P1769" s="18" t="e">
        <x:f>HYPERLINK("https://www.ccny.cuny.edu","Open source")</x:f>
        <x:v>HYPERLINK is not implemented. linkLocation=https://www.ccny.cuny.edu, friendlyName=Open source</x:v>
      </x:c>
    </x:row>
    <x:row r="1770" ht="46" customHeight="1">
      <x:c r="A1770" s="17" t="str">
        <x:v>stage3src:0fb61e7f12530f42e336</x:v>
      </x:c>
      <x:c r="B1770" s="17" t="str">
        <x:v>program</x:v>
      </x:c>
      <x:c r="C1770" s="17" t="str">
        <x:v>CUNY City College</x:v>
      </x:c>
      <x:c r="D1770" s="17" t="str">
        <x:v>us:ipeds:190567:program:unclear:ipeds-discovery-signal-computer-engineering-general-cip-14-0901</x:v>
      </x:c>
      <x:c r="E1770" s="17" t="str"/>
      <x:c r="F1770" s="17" t="str">
        <x:v>discovery</x:v>
      </x:c>
      <x:c r="G1770" s="17" t="str">
        <x:v>Stage 2 recorded this row as a discovery candidate; it does not independently verify an exact current research program, eligibility, or funding.</x:v>
      </x:c>
      <x:c r="H1770" s="17" t="str">
        <x:v>Pass 2 Stage 2 candidate funnel</x:v>
      </x:c>
      <x:c r="I1770" s="17" t="str">
        <x:v>Graduate audit pipeline</x:v>
      </x:c>
      <x:c r="J1770" s="17" t="str">
        <x:v>derived</x:v>
      </x:c>
      <x:c r="K1770" s="17" t="str">
        <x:v>2026-09-11</x:v>
      </x:c>
      <x:c r="L1770" s="17" t="str">
        <x:v>Not cycle-specific</x:v>
      </x:c>
      <x:c r="M1770" s="17" t="str">
        <x:v>low</x:v>
      </x:c>
      <x:c r="N1770" s="17" t="str">
        <x:v>Discovery evidence only</x:v>
      </x:c>
      <x:c r="O1770" s="17" t="str">
        <x:v>Use the source_record_paths field to trace the underlying discovery inputs.</x:v>
      </x:c>
      <x:c r="P1770" s="18" t="e">
        <x:f>HYPERLINK("https://www.ccny.cuny.edu","Open source")</x:f>
        <x:v>HYPERLINK is not implemented. linkLocation=https://www.ccny.cuny.edu, friendlyName=Open source</x:v>
      </x:c>
    </x:row>
    <x:row r="1771" ht="46" customHeight="1">
      <x:c r="A1771" s="17" t="str">
        <x:v>stage3src:ab9219cb6923b7a76770</x:v>
      </x:c>
      <x:c r="B1771" s="17" t="str">
        <x:v>program</x:v>
      </x:c>
      <x:c r="C1771" s="17" t="str">
        <x:v>CUNY City College</x:v>
      </x:c>
      <x:c r="D1771" s="17" t="str">
        <x:v>us:ipeds:190567:program:unclear:ipeds-discovery-signal-computer-science-cip-11-0701</x:v>
      </x:c>
      <x:c r="E1771" s="17" t="str"/>
      <x:c r="F1771" s="17" t="str">
        <x:v>discovery</x:v>
      </x:c>
      <x:c r="G1771" s="17" t="str">
        <x:v>Stage 2 recorded this row as a discovery candidate; it does not independently verify an exact current research program, eligibility, or funding.</x:v>
      </x:c>
      <x:c r="H1771" s="17" t="str">
        <x:v>Pass 2 Stage 2 candidate funnel</x:v>
      </x:c>
      <x:c r="I1771" s="17" t="str">
        <x:v>Graduate audit pipeline</x:v>
      </x:c>
      <x:c r="J1771" s="17" t="str">
        <x:v>derived</x:v>
      </x:c>
      <x:c r="K1771" s="17" t="str">
        <x:v>2026-09-11</x:v>
      </x:c>
      <x:c r="L1771" s="17" t="str">
        <x:v>Not cycle-specific</x:v>
      </x:c>
      <x:c r="M1771" s="17" t="str">
        <x:v>low</x:v>
      </x:c>
      <x:c r="N1771" s="17" t="str">
        <x:v>Discovery evidence only</x:v>
      </x:c>
      <x:c r="O1771" s="17" t="str">
        <x:v>Use the source_record_paths field to trace the underlying discovery inputs.</x:v>
      </x:c>
      <x:c r="P1771" s="18" t="e">
        <x:f>HYPERLINK("https://www.ccny.cuny.edu","Open source")</x:f>
        <x:v>HYPERLINK is not implemented. linkLocation=https://www.ccny.cuny.edu, friendlyName=Open source</x:v>
      </x:c>
    </x:row>
    <x:row r="1772" ht="46" customHeight="1">
      <x:c r="A1772" s="17" t="str">
        <x:v>stage3src:5d6b5798aeae9e8bb9b6</x:v>
      </x:c>
      <x:c r="B1772" s="17" t="str">
        <x:v>program</x:v>
      </x:c>
      <x:c r="C1772" s="17" t="str">
        <x:v>CUNY City College</x:v>
      </x:c>
      <x:c r="D1772" s="17" t="str">
        <x:v>us:ipeds:190567:program:unclear:ipeds-discovery-signal-electrical-and-electronics-engineering-cip-14-1001</x:v>
      </x:c>
      <x:c r="E1772" s="17" t="str"/>
      <x:c r="F1772" s="17" t="str">
        <x:v>discovery</x:v>
      </x:c>
      <x:c r="G1772" s="17" t="str">
        <x:v>Stage 2 recorded this row as a discovery candidate; it does not independently verify an exact current research program, eligibility, or funding.</x:v>
      </x:c>
      <x:c r="H1772" s="17" t="str">
        <x:v>Pass 2 Stage 2 candidate funnel</x:v>
      </x:c>
      <x:c r="I1772" s="17" t="str">
        <x:v>Graduate audit pipeline</x:v>
      </x:c>
      <x:c r="J1772" s="17" t="str">
        <x:v>derived</x:v>
      </x:c>
      <x:c r="K1772" s="17" t="str">
        <x:v>2026-09-11</x:v>
      </x:c>
      <x:c r="L1772" s="17" t="str">
        <x:v>Not cycle-specific</x:v>
      </x:c>
      <x:c r="M1772" s="17" t="str">
        <x:v>low</x:v>
      </x:c>
      <x:c r="N1772" s="17" t="str">
        <x:v>Discovery evidence only</x:v>
      </x:c>
      <x:c r="O1772" s="17" t="str">
        <x:v>Use the source_record_paths field to trace the underlying discovery inputs.</x:v>
      </x:c>
      <x:c r="P1772" s="18" t="e">
        <x:f>HYPERLINK("https://www.ccny.cuny.edu","Open source")</x:f>
        <x:v>HYPERLINK is not implemented. linkLocation=https://www.ccny.cuny.edu, friendlyName=Open source</x:v>
      </x:c>
    </x:row>
    <x:row r="1773" ht="46" customHeight="1">
      <x:c r="A1773" s="17" t="str">
        <x:v>stage3src:ae91f7f812f4f34e5605</x:v>
      </x:c>
      <x:c r="B1773" s="17" t="str">
        <x:v>program</x:v>
      </x:c>
      <x:c r="C1773" s="17" t="str">
        <x:v>CUNY City College</x:v>
      </x:c>
      <x:c r="D1773" s="17" t="str">
        <x:v>us:ipeds:190567:program:unclear:ipeds-discovery-signal-information-science-studies-cip-11-0401</x:v>
      </x:c>
      <x:c r="E1773" s="17" t="str"/>
      <x:c r="F1773" s="17" t="str">
        <x:v>discovery</x:v>
      </x:c>
      <x:c r="G1773" s="17" t="str">
        <x:v>Stage 2 recorded this row as a discovery candidate; it does not independently verify an exact current research program, eligibility, or funding.</x:v>
      </x:c>
      <x:c r="H1773" s="17" t="str">
        <x:v>Pass 2 Stage 2 candidate funnel</x:v>
      </x:c>
      <x:c r="I1773" s="17" t="str">
        <x:v>Graduate audit pipeline</x:v>
      </x:c>
      <x:c r="J1773" s="17" t="str">
        <x:v>derived</x:v>
      </x:c>
      <x:c r="K1773" s="17" t="str">
        <x:v>2026-09-11</x:v>
      </x:c>
      <x:c r="L1773" s="17" t="str">
        <x:v>Not cycle-specific</x:v>
      </x:c>
      <x:c r="M1773" s="17" t="str">
        <x:v>low</x:v>
      </x:c>
      <x:c r="N1773" s="17" t="str">
        <x:v>Discovery evidence only</x:v>
      </x:c>
      <x:c r="O1773" s="17" t="str">
        <x:v>Use the source_record_paths field to trace the underlying discovery inputs.</x:v>
      </x:c>
      <x:c r="P1773" s="18" t="e">
        <x:f>HYPERLINK("https://www.ccny.cuny.edu","Open source")</x:f>
        <x:v>HYPERLINK is not implemented. linkLocation=https://www.ccny.cuny.edu, friendlyName=Open source</x:v>
      </x:c>
    </x:row>
    <x:row r="1774" ht="46" customHeight="1">
      <x:c r="A1774" s="17" t="str">
        <x:v>stage3src:e3f39f7c3fa669ad800b</x:v>
      </x:c>
      <x:c r="B1774" s="17" t="str">
        <x:v>program</x:v>
      </x:c>
      <x:c r="C1774" s="17" t="str">
        <x:v>CUNY Graduate School and University Center</x:v>
      </x:c>
      <x:c r="D1774" s="17" t="str">
        <x:v>us:ipeds:190576:program:unclear:ipeds-discovery-signal-computer-and-information-sciences-general-cip-11-0101</x:v>
      </x:c>
      <x:c r="E1774" s="17" t="str"/>
      <x:c r="F1774" s="17" t="str">
        <x:v>discovery</x:v>
      </x:c>
      <x:c r="G1774" s="17" t="str">
        <x:v>Stage 2 recorded this row as a discovery candidate; it does not independently verify an exact current research program, eligibility, or funding.</x:v>
      </x:c>
      <x:c r="H1774" s="17" t="str">
        <x:v>Pass 2 Stage 2 candidate funnel</x:v>
      </x:c>
      <x:c r="I1774" s="17" t="str">
        <x:v>Graduate audit pipeline</x:v>
      </x:c>
      <x:c r="J1774" s="17" t="str">
        <x:v>derived</x:v>
      </x:c>
      <x:c r="K1774" s="17" t="str">
        <x:v>2026-09-11</x:v>
      </x:c>
      <x:c r="L1774" s="17" t="str">
        <x:v>Not cycle-specific</x:v>
      </x:c>
      <x:c r="M1774" s="17" t="str">
        <x:v>low</x:v>
      </x:c>
      <x:c r="N1774" s="17" t="str">
        <x:v>Discovery evidence only</x:v>
      </x:c>
      <x:c r="O1774" s="17" t="str">
        <x:v>Use the source_record_paths field to trace the underlying discovery inputs.</x:v>
      </x:c>
      <x:c r="P1774" s="18" t="e">
        <x:f>HYPERLINK("https://www.gc.cuny.edu","Open source")</x:f>
        <x:v>HYPERLINK is not implemented. linkLocation=https://www.gc.cuny.edu, friendlyName=Open source</x:v>
      </x:c>
    </x:row>
    <x:row r="1775" ht="46" customHeight="1">
      <x:c r="A1775" s="17" t="str">
        <x:v>stage3src:4f0573ec36a88dd099ac</x:v>
      </x:c>
      <x:c r="B1775" s="17" t="str">
        <x:v>program</x:v>
      </x:c>
      <x:c r="C1775" s="17" t="str">
        <x:v>CUNY Graduate School and University Center</x:v>
      </x:c>
      <x:c r="D1775" s="17" t="str">
        <x:v>us:ipeds:190576:program:unclear:ipeds-discovery-signal-computer-science-cip-11-0701</x:v>
      </x:c>
      <x:c r="E1775" s="17" t="str"/>
      <x:c r="F1775" s="17" t="str">
        <x:v>discovery</x:v>
      </x:c>
      <x:c r="G1775" s="17" t="str">
        <x:v>Stage 2 recorded this row as a discovery candidate; it does not independently verify an exact current research program, eligibility, or funding.</x:v>
      </x:c>
      <x:c r="H1775" s="17" t="str">
        <x:v>Pass 2 Stage 2 candidate funnel</x:v>
      </x:c>
      <x:c r="I1775" s="17" t="str">
        <x:v>Graduate audit pipeline</x:v>
      </x:c>
      <x:c r="J1775" s="17" t="str">
        <x:v>derived</x:v>
      </x:c>
      <x:c r="K1775" s="17" t="str">
        <x:v>2026-09-11</x:v>
      </x:c>
      <x:c r="L1775" s="17" t="str">
        <x:v>Not cycle-specific</x:v>
      </x:c>
      <x:c r="M1775" s="17" t="str">
        <x:v>low</x:v>
      </x:c>
      <x:c r="N1775" s="17" t="str">
        <x:v>Discovery evidence only</x:v>
      </x:c>
      <x:c r="O1775" s="17" t="str">
        <x:v>Use the source_record_paths field to trace the underlying discovery inputs.</x:v>
      </x:c>
      <x:c r="P1775" s="18" t="e">
        <x:f>HYPERLINK("https://www.gc.cuny.edu","Open source")</x:f>
        <x:v>HYPERLINK is not implemented. linkLocation=https://www.gc.cuny.edu, friendlyName=Open source</x:v>
      </x:c>
    </x:row>
    <x:row r="1776" ht="46" customHeight="1">
      <x:c r="A1776" s="17" t="str">
        <x:v>stage3src:6738677609e909b9d7df</x:v>
      </x:c>
      <x:c r="B1776" s="17" t="str">
        <x:v>program</x:v>
      </x:c>
      <x:c r="C1776" s="17" t="str">
        <x:v>CUNY Hunter College</x:v>
      </x:c>
      <x:c r="D1776" s="17" t="str">
        <x:v>us:ipeds:190594:program:unclear:ipeds-discovery-signal-computer-science-cip-11-0701</x:v>
      </x:c>
      <x:c r="E1776" s="17" t="str"/>
      <x:c r="F1776" s="17" t="str">
        <x:v>discovery</x:v>
      </x:c>
      <x:c r="G1776" s="17" t="str">
        <x:v>Stage 2 recorded this row as a discovery candidate; it does not independently verify an exact current research program, eligibility, or funding.</x:v>
      </x:c>
      <x:c r="H1776" s="17" t="str">
        <x:v>Pass 2 Stage 2 candidate funnel</x:v>
      </x:c>
      <x:c r="I1776" s="17" t="str">
        <x:v>Graduate audit pipeline</x:v>
      </x:c>
      <x:c r="J1776" s="17" t="str">
        <x:v>derived</x:v>
      </x:c>
      <x:c r="K1776" s="17" t="str">
        <x:v>2026-09-11</x:v>
      </x:c>
      <x:c r="L1776" s="17" t="str">
        <x:v>Not cycle-specific</x:v>
      </x:c>
      <x:c r="M1776" s="17" t="str">
        <x:v>low</x:v>
      </x:c>
      <x:c r="N1776" s="17" t="str">
        <x:v>Discovery evidence only</x:v>
      </x:c>
      <x:c r="O1776" s="17" t="str">
        <x:v>Use the source_record_paths field to trace the underlying discovery inputs.</x:v>
      </x:c>
      <x:c r="P1776" s="18" t="e">
        <x:f>HYPERLINK("https://www.hunter.cuny.edu","Open source")</x:f>
        <x:v>HYPERLINK is not implemented. linkLocation=https://www.hunter.cuny.edu, friendlyName=Open source</x:v>
      </x:c>
    </x:row>
    <x:row r="1777" ht="46" customHeight="1">
      <x:c r="A1777" s="17" t="str">
        <x:v>stage3src:211f532f193044019c37</x:v>
      </x:c>
      <x:c r="B1777" s="17" t="str">
        <x:v>program</x:v>
      </x:c>
      <x:c r="C1777" s="17" t="str">
        <x:v>CUNY John Jay College of Criminal Justice</x:v>
      </x:c>
      <x:c r="D1777" s="17" t="str">
        <x:v>us:ipeds:190600:program:unclear:ipeds-discovery-signal-cyber-computer-forensics-and-counterterrorism-cip-43-0403</x:v>
      </x:c>
      <x:c r="E1777" s="17" t="str"/>
      <x:c r="F1777" s="17" t="str">
        <x:v>discovery</x:v>
      </x:c>
      <x:c r="G1777" s="17" t="str">
        <x:v>Stage 2 recorded this row as a discovery candidate; it does not independently verify an exact current research program, eligibility, or funding.</x:v>
      </x:c>
      <x:c r="H1777" s="17" t="str">
        <x:v>Pass 2 Stage 2 candidate funnel</x:v>
      </x:c>
      <x:c r="I1777" s="17" t="str">
        <x:v>Graduate audit pipeline</x:v>
      </x:c>
      <x:c r="J1777" s="17" t="str">
        <x:v>derived</x:v>
      </x:c>
      <x:c r="K1777" s="17" t="str">
        <x:v>2026-09-11</x:v>
      </x:c>
      <x:c r="L1777" s="17" t="str">
        <x:v>Not cycle-specific</x:v>
      </x:c>
      <x:c r="M1777" s="17" t="str">
        <x:v>low</x:v>
      </x:c>
      <x:c r="N1777" s="17" t="str">
        <x:v>Discovery evidence only</x:v>
      </x:c>
      <x:c r="O1777" s="17" t="str">
        <x:v>Use the source_record_paths field to trace the underlying discovery inputs.</x:v>
      </x:c>
      <x:c r="P1777" s="18" t="e">
        <x:f>HYPERLINK("https://www.jjay.cuny.edu","Open source")</x:f>
        <x:v>HYPERLINK is not implemented. linkLocation=https://www.jjay.cuny.edu, friendlyName=Open source</x:v>
      </x:c>
    </x:row>
    <x:row r="1778" ht="46" customHeight="1">
      <x:c r="A1778" s="17" t="str">
        <x:v>stage3src:8f681649d914d913acf5</x:v>
      </x:c>
      <x:c r="B1778" s="17" t="str">
        <x:v>program</x:v>
      </x:c>
      <x:c r="C1778" s="17" t="str">
        <x:v>CUNY Lehman College</x:v>
      </x:c>
      <x:c r="D1778" s="17" t="str">
        <x:v>us:ipeds:190637:program:unclear:ipeds-discovery-signal-computer-science-cip-11-0701</x:v>
      </x:c>
      <x:c r="E1778" s="17" t="str"/>
      <x:c r="F1778" s="17" t="str">
        <x:v>discovery</x:v>
      </x:c>
      <x:c r="G1778" s="17" t="str">
        <x:v>Stage 2 recorded this row as a discovery candidate; it does not independently verify an exact current research program, eligibility, or funding.</x:v>
      </x:c>
      <x:c r="H1778" s="17" t="str">
        <x:v>Pass 2 Stage 2 candidate funnel</x:v>
      </x:c>
      <x:c r="I1778" s="17" t="str">
        <x:v>Graduate audit pipeline</x:v>
      </x:c>
      <x:c r="J1778" s="17" t="str">
        <x:v>derived</x:v>
      </x:c>
      <x:c r="K1778" s="17" t="str">
        <x:v>2026-09-11</x:v>
      </x:c>
      <x:c r="L1778" s="17" t="str">
        <x:v>Not cycle-specific</x:v>
      </x:c>
      <x:c r="M1778" s="17" t="str">
        <x:v>low</x:v>
      </x:c>
      <x:c r="N1778" s="17" t="str">
        <x:v>Discovery evidence only</x:v>
      </x:c>
      <x:c r="O1778" s="17" t="str">
        <x:v>Use the source_record_paths field to trace the underlying discovery inputs.</x:v>
      </x:c>
      <x:c r="P1778" s="18" t="e">
        <x:f>HYPERLINK("https://www.lehman.edu","Open source")</x:f>
        <x:v>HYPERLINK is not implemented. linkLocation=https://www.lehman.edu, friendlyName=Open source</x:v>
      </x:c>
    </x:row>
    <x:row r="1779" ht="46" customHeight="1">
      <x:c r="A1779" s="17" t="str">
        <x:v>stage3src:2c946444d74e96a105f1</x:v>
      </x:c>
      <x:c r="B1779" s="17" t="str">
        <x:v>program</x:v>
      </x:c>
      <x:c r="C1779" s="17" t="str">
        <x:v>CUNY Queens College</x:v>
      </x:c>
      <x:c r="D1779" s="17" t="str">
        <x:v>us:ipeds:190664:program:unclear:ipeds-discovery-signal-computer-science-cip-11-0701</x:v>
      </x:c>
      <x:c r="E1779" s="17" t="str"/>
      <x:c r="F1779" s="17" t="str">
        <x:v>discovery</x:v>
      </x:c>
      <x:c r="G1779" s="17" t="str">
        <x:v>Stage 2 recorded this row as a discovery candidate; it does not independently verify an exact current research program, eligibility, or funding.</x:v>
      </x:c>
      <x:c r="H1779" s="17" t="str">
        <x:v>Pass 2 Stage 2 candidate funnel</x:v>
      </x:c>
      <x:c r="I1779" s="17" t="str">
        <x:v>Graduate audit pipeline</x:v>
      </x:c>
      <x:c r="J1779" s="17" t="str">
        <x:v>derived</x:v>
      </x:c>
      <x:c r="K1779" s="17" t="str">
        <x:v>2026-09-11</x:v>
      </x:c>
      <x:c r="L1779" s="17" t="str">
        <x:v>Not cycle-specific</x:v>
      </x:c>
      <x:c r="M1779" s="17" t="str">
        <x:v>low</x:v>
      </x:c>
      <x:c r="N1779" s="17" t="str">
        <x:v>Discovery evidence only</x:v>
      </x:c>
      <x:c r="O1779" s="17" t="str">
        <x:v>Use the source_record_paths field to trace the underlying discovery inputs.</x:v>
      </x:c>
      <x:c r="P1779" s="18" t="e">
        <x:f>HYPERLINK("https://www.qc.cuny.edu","Open source")</x:f>
        <x:v>HYPERLINK is not implemented. linkLocation=https://www.qc.cuny.edu, friendlyName=Open source</x:v>
      </x:c>
    </x:row>
    <x:row r="1780" ht="46" customHeight="1">
      <x:c r="A1780" s="17" t="str">
        <x:v>stage3src:cbf36ff8789a512834d2</x:v>
      </x:c>
      <x:c r="B1780" s="17" t="str">
        <x:v>program</x:v>
      </x:c>
      <x:c r="C1780" s="17" t="str">
        <x:v>Fordham University</x:v>
      </x:c>
      <x:c r="D1780" s="17" t="str">
        <x:v>us:ipeds:191241:program:unclear:ipeds-discovery-signal-computer-and-information-sciences-general-cip-11-0101</x:v>
      </x:c>
      <x:c r="E1780" s="17" t="str"/>
      <x:c r="F1780" s="17" t="str">
        <x:v>discovery</x:v>
      </x:c>
      <x:c r="G1780" s="17" t="str">
        <x:v>Stage 2 recorded this row as a discovery candidate; it does not independently verify an exact current research program, eligibility, or funding.</x:v>
      </x:c>
      <x:c r="H1780" s="17" t="str">
        <x:v>Pass 2 Stage 2 candidate funnel</x:v>
      </x:c>
      <x:c r="I1780" s="17" t="str">
        <x:v>Graduate audit pipeline</x:v>
      </x:c>
      <x:c r="J1780" s="17" t="str">
        <x:v>derived</x:v>
      </x:c>
      <x:c r="K1780" s="17" t="str">
        <x:v>2026-09-11</x:v>
      </x:c>
      <x:c r="L1780" s="17" t="str">
        <x:v>Not cycle-specific</x:v>
      </x:c>
      <x:c r="M1780" s="17" t="str">
        <x:v>low</x:v>
      </x:c>
      <x:c r="N1780" s="17" t="str">
        <x:v>Discovery evidence only</x:v>
      </x:c>
      <x:c r="O1780" s="17" t="str">
        <x:v>Use the source_record_paths field to trace the underlying discovery inputs.</x:v>
      </x:c>
      <x:c r="P1780" s="18" t="e">
        <x:f>HYPERLINK("https://www.fordham.edu","Open source")</x:f>
        <x:v>HYPERLINK is not implemented. linkLocation=https://www.fordham.edu, friendlyName=Open source</x:v>
      </x:c>
    </x:row>
    <x:row r="1781" ht="46" customHeight="1">
      <x:c r="A1781" s="17" t="str">
        <x:v>stage3src:da051c19a4b56de1827b</x:v>
      </x:c>
      <x:c r="B1781" s="17" t="str">
        <x:v>program</x:v>
      </x:c>
      <x:c r="C1781" s="17" t="str">
        <x:v>Fordham University</x:v>
      </x:c>
      <x:c r="D1781" s="17" t="str">
        <x:v>us:ipeds:191241:program:unclear:ipeds-discovery-signal-computer-and-information-systems-security-auditing-information-assurance-cip-11-1003</x:v>
      </x:c>
      <x:c r="E1781" s="17" t="str"/>
      <x:c r="F1781" s="17" t="str">
        <x:v>discovery</x:v>
      </x:c>
      <x:c r="G1781" s="17" t="str">
        <x:v>Stage 2 recorded this row as a discovery candidate; it does not independently verify an exact current research program, eligibility, or funding.</x:v>
      </x:c>
      <x:c r="H1781" s="17" t="str">
        <x:v>Pass 2 Stage 2 candidate funnel</x:v>
      </x:c>
      <x:c r="I1781" s="17" t="str">
        <x:v>Graduate audit pipeline</x:v>
      </x:c>
      <x:c r="J1781" s="17" t="str">
        <x:v>derived</x:v>
      </x:c>
      <x:c r="K1781" s="17" t="str">
        <x:v>2026-09-11</x:v>
      </x:c>
      <x:c r="L1781" s="17" t="str">
        <x:v>Not cycle-specific</x:v>
      </x:c>
      <x:c r="M1781" s="17" t="str">
        <x:v>low</x:v>
      </x:c>
      <x:c r="N1781" s="17" t="str">
        <x:v>Discovery evidence only</x:v>
      </x:c>
      <x:c r="O1781" s="17" t="str">
        <x:v>Use the source_record_paths field to trace the underlying discovery inputs.</x:v>
      </x:c>
      <x:c r="P1781" s="18" t="e">
        <x:f>HYPERLINK("https://www.fordham.edu","Open source")</x:f>
        <x:v>HYPERLINK is not implemented. linkLocation=https://www.fordham.edu, friendlyName=Open source</x:v>
      </x:c>
    </x:row>
    <x:row r="1782" ht="46" customHeight="1">
      <x:c r="A1782" s="17" t="str">
        <x:v>stage3src:45cd417be3e83983572a</x:v>
      </x:c>
      <x:c r="B1782" s="17" t="str">
        <x:v>program</x:v>
      </x:c>
      <x:c r="C1782" s="17" t="str">
        <x:v>Fordham University</x:v>
      </x:c>
      <x:c r="D1782" s="17" t="str">
        <x:v>us:ipeds:191241:program:unclear:ipeds-discovery-signal-data-science-general-cip-30-7001</x:v>
      </x:c>
      <x:c r="E1782" s="17" t="str"/>
      <x:c r="F1782" s="17" t="str">
        <x:v>discovery</x:v>
      </x:c>
      <x:c r="G1782" s="17" t="str">
        <x:v>Stage 2 recorded this row as a discovery candidate; it does not independently verify an exact current research program, eligibility, or funding.</x:v>
      </x:c>
      <x:c r="H1782" s="17" t="str">
        <x:v>Pass 2 Stage 2 candidate funnel</x:v>
      </x:c>
      <x:c r="I1782" s="17" t="str">
        <x:v>Graduate audit pipeline</x:v>
      </x:c>
      <x:c r="J1782" s="17" t="str">
        <x:v>derived</x:v>
      </x:c>
      <x:c r="K1782" s="17" t="str">
        <x:v>2026-09-11</x:v>
      </x:c>
      <x:c r="L1782" s="17" t="str">
        <x:v>Not cycle-specific</x:v>
      </x:c>
      <x:c r="M1782" s="17" t="str">
        <x:v>low</x:v>
      </x:c>
      <x:c r="N1782" s="17" t="str">
        <x:v>Discovery evidence only</x:v>
      </x:c>
      <x:c r="O1782" s="17" t="str">
        <x:v>Use the source_record_paths field to trace the underlying discovery inputs.</x:v>
      </x:c>
      <x:c r="P1782" s="18" t="e">
        <x:f>HYPERLINK("https://www.fordham.edu","Open source")</x:f>
        <x:v>HYPERLINK is not implemented. linkLocation=https://www.fordham.edu, friendlyName=Open source</x:v>
      </x:c>
    </x:row>
    <x:row r="1783" ht="46" customHeight="1">
      <x:c r="A1783" s="17" t="str">
        <x:v>stage3src:8ff0c0ccce9ab87db1fa</x:v>
      </x:c>
      <x:c r="B1783" s="17" t="str">
        <x:v>program</x:v>
      </x:c>
      <x:c r="C1783" s="17" t="str">
        <x:v>Fordham University</x:v>
      </x:c>
      <x:c r="D1783" s="17" t="str">
        <x:v>us:ipeds:191241:program:unclear:ipeds-discovery-signal-information-technology-cip-11-0103</x:v>
      </x:c>
      <x:c r="E1783" s="17" t="str"/>
      <x:c r="F1783" s="17" t="str">
        <x:v>discovery</x:v>
      </x:c>
      <x:c r="G1783" s="17" t="str">
        <x:v>Stage 2 recorded this row as a discovery candidate; it does not independently verify an exact current research program, eligibility, or funding.</x:v>
      </x:c>
      <x:c r="H1783" s="17" t="str">
        <x:v>Pass 2 Stage 2 candidate funnel</x:v>
      </x:c>
      <x:c r="I1783" s="17" t="str">
        <x:v>Graduate audit pipeline</x:v>
      </x:c>
      <x:c r="J1783" s="17" t="str">
        <x:v>derived</x:v>
      </x:c>
      <x:c r="K1783" s="17" t="str">
        <x:v>2026-09-11</x:v>
      </x:c>
      <x:c r="L1783" s="17" t="str">
        <x:v>Not cycle-specific</x:v>
      </x:c>
      <x:c r="M1783" s="17" t="str">
        <x:v>low</x:v>
      </x:c>
      <x:c r="N1783" s="17" t="str">
        <x:v>Discovery evidence only</x:v>
      </x:c>
      <x:c r="O1783" s="17" t="str">
        <x:v>Use the source_record_paths field to trace the underlying discovery inputs.</x:v>
      </x:c>
      <x:c r="P1783" s="18" t="e">
        <x:f>HYPERLINK("https://www.fordham.edu","Open source")</x:f>
        <x:v>HYPERLINK is not implemented. linkLocation=https://www.fordham.edu, friendlyName=Open source</x:v>
      </x:c>
    </x:row>
    <x:row r="1784" ht="46" customHeight="1">
      <x:c r="A1784" s="17" t="str">
        <x:v>stage3src:e38cfcbc4112dc808646</x:v>
      </x:c>
      <x:c r="B1784" s="17" t="str">
        <x:v>program</x:v>
      </x:c>
      <x:c r="C1784" s="17" t="str">
        <x:v>Hofstra University</x:v>
      </x:c>
      <x:c r="D1784" s="17" t="str">
        <x:v>us:ipeds:191649:program:unclear:ipeds-discovery-signal-computer-and-information-systems-security-auditing-information-assurance-cip-11-1003</x:v>
      </x:c>
      <x:c r="E1784" s="17" t="str"/>
      <x:c r="F1784" s="17" t="str">
        <x:v>discovery</x:v>
      </x:c>
      <x:c r="G1784" s="17" t="str">
        <x:v>Stage 2 recorded this row as a discovery candidate; it does not independently verify an exact current research program, eligibility, or funding.</x:v>
      </x:c>
      <x:c r="H1784" s="17" t="str">
        <x:v>Pass 2 Stage 2 candidate funnel</x:v>
      </x:c>
      <x:c r="I1784" s="17" t="str">
        <x:v>Graduate audit pipeline</x:v>
      </x:c>
      <x:c r="J1784" s="17" t="str">
        <x:v>derived</x:v>
      </x:c>
      <x:c r="K1784" s="17" t="str">
        <x:v>2026-09-11</x:v>
      </x:c>
      <x:c r="L1784" s="17" t="str">
        <x:v>Not cycle-specific</x:v>
      </x:c>
      <x:c r="M1784" s="17" t="str">
        <x:v>low</x:v>
      </x:c>
      <x:c r="N1784" s="17" t="str">
        <x:v>Discovery evidence only</x:v>
      </x:c>
      <x:c r="O1784" s="17" t="str">
        <x:v>Use the source_record_paths field to trace the underlying discovery inputs.</x:v>
      </x:c>
      <x:c r="P1784" s="18" t="e">
        <x:f>HYPERLINK("https://www.hofstra.edu","Open source")</x:f>
        <x:v>HYPERLINK is not implemented. linkLocation=https://www.hofstra.edu, friendlyName=Open source</x:v>
      </x:c>
    </x:row>
    <x:row r="1785" ht="46" customHeight="1">
      <x:c r="A1785" s="17" t="str">
        <x:v>stage3src:38a8b90859b7dc14862f</x:v>
      </x:c>
      <x:c r="B1785" s="17" t="str">
        <x:v>program</x:v>
      </x:c>
      <x:c r="C1785" s="17" t="str">
        <x:v>Hofstra University</x:v>
      </x:c>
      <x:c r="D1785" s="17" t="str">
        <x:v>us:ipeds:191649:program:unclear:ipeds-discovery-signal-computer-science-cip-11-0701</x:v>
      </x:c>
      <x:c r="E1785" s="17" t="str"/>
      <x:c r="F1785" s="17" t="str">
        <x:v>discovery</x:v>
      </x:c>
      <x:c r="G1785" s="17" t="str">
        <x:v>Stage 2 recorded this row as a discovery candidate; it does not independently verify an exact current research program, eligibility, or funding.</x:v>
      </x:c>
      <x:c r="H1785" s="17" t="str">
        <x:v>Pass 2 Stage 2 candidate funnel</x:v>
      </x:c>
      <x:c r="I1785" s="17" t="str">
        <x:v>Graduate audit pipeline</x:v>
      </x:c>
      <x:c r="J1785" s="17" t="str">
        <x:v>derived</x:v>
      </x:c>
      <x:c r="K1785" s="17" t="str">
        <x:v>2026-09-11</x:v>
      </x:c>
      <x:c r="L1785" s="17" t="str">
        <x:v>Not cycle-specific</x:v>
      </x:c>
      <x:c r="M1785" s="17" t="str">
        <x:v>low</x:v>
      </x:c>
      <x:c r="N1785" s="17" t="str">
        <x:v>Discovery evidence only</x:v>
      </x:c>
      <x:c r="O1785" s="17" t="str">
        <x:v>Use the source_record_paths field to trace the underlying discovery inputs.</x:v>
      </x:c>
      <x:c r="P1785" s="18" t="e">
        <x:f>HYPERLINK("https://www.hofstra.edu","Open source")</x:f>
        <x:v>HYPERLINK is not implemented. linkLocation=https://www.hofstra.edu, friendlyName=Open source</x:v>
      </x:c>
    </x:row>
    <x:row r="1786" ht="46" customHeight="1">
      <x:c r="A1786" s="17" t="str">
        <x:v>stage3src:54ec8812f0bffc3e9a0b</x:v>
      </x:c>
      <x:c r="B1786" s="17" t="str">
        <x:v>program</x:v>
      </x:c>
      <x:c r="C1786" s="17" t="str">
        <x:v>Iona University</x:v>
      </x:c>
      <x:c r="D1786" s="17" t="str">
        <x:v>us:ipeds:191931:program:unclear:ipeds-discovery-signal-computer-science-cip-11-0701</x:v>
      </x:c>
      <x:c r="E1786" s="17" t="str"/>
      <x:c r="F1786" s="17" t="str">
        <x:v>discovery</x:v>
      </x:c>
      <x:c r="G1786" s="17" t="str">
        <x:v>Stage 2 recorded this row as a discovery candidate; it does not independently verify an exact current research program, eligibility, or funding.</x:v>
      </x:c>
      <x:c r="H1786" s="17" t="str">
        <x:v>Pass 2 Stage 2 candidate funnel</x:v>
      </x:c>
      <x:c r="I1786" s="17" t="str">
        <x:v>Graduate audit pipeline</x:v>
      </x:c>
      <x:c r="J1786" s="17" t="str">
        <x:v>derived</x:v>
      </x:c>
      <x:c r="K1786" s="17" t="str">
        <x:v>2026-09-11</x:v>
      </x:c>
      <x:c r="L1786" s="17" t="str">
        <x:v>Not cycle-specific</x:v>
      </x:c>
      <x:c r="M1786" s="17" t="str">
        <x:v>low</x:v>
      </x:c>
      <x:c r="N1786" s="17" t="str">
        <x:v>Discovery evidence only</x:v>
      </x:c>
      <x:c r="O1786" s="17" t="str">
        <x:v>Use the source_record_paths field to trace the underlying discovery inputs.</x:v>
      </x:c>
      <x:c r="P1786" s="18" t="e">
        <x:f>HYPERLINK("https://www.iona.edu","Open source")</x:f>
        <x:v>HYPERLINK is not implemented. linkLocation=https://www.iona.edu, friendlyName=Open source</x:v>
      </x:c>
    </x:row>
    <x:row r="1787" ht="46" customHeight="1">
      <x:c r="A1787" s="17" t="str">
        <x:v>stage3src:1ac5ff39ac7fa0698248</x:v>
      </x:c>
      <x:c r="B1787" s="17" t="str">
        <x:v>program</x:v>
      </x:c>
      <x:c r="C1787" s="17" t="str">
        <x:v>Le Moyne College</x:v>
      </x:c>
      <x:c r="D1787" s="17" t="str">
        <x:v>us:ipeds:192323:program:unclear:ipeds-discovery-signal-information-science-studies-cip-11-0401</x:v>
      </x:c>
      <x:c r="E1787" s="17" t="str"/>
      <x:c r="F1787" s="17" t="str">
        <x:v>discovery</x:v>
      </x:c>
      <x:c r="G1787" s="17" t="str">
        <x:v>Stage 2 recorded this row as a discovery candidate; it does not independently verify an exact current research program, eligibility, or funding.</x:v>
      </x:c>
      <x:c r="H1787" s="17" t="str">
        <x:v>Pass 2 Stage 2 candidate funnel</x:v>
      </x:c>
      <x:c r="I1787" s="17" t="str">
        <x:v>Graduate audit pipeline</x:v>
      </x:c>
      <x:c r="J1787" s="17" t="str">
        <x:v>derived</x:v>
      </x:c>
      <x:c r="K1787" s="17" t="str">
        <x:v>2026-09-11</x:v>
      </x:c>
      <x:c r="L1787" s="17" t="str">
        <x:v>Not cycle-specific</x:v>
      </x:c>
      <x:c r="M1787" s="17" t="str">
        <x:v>low</x:v>
      </x:c>
      <x:c r="N1787" s="17" t="str">
        <x:v>Discovery evidence only</x:v>
      </x:c>
      <x:c r="O1787" s="17" t="str">
        <x:v>Use the source_record_paths field to trace the underlying discovery inputs.</x:v>
      </x:c>
      <x:c r="P1787" s="18" t="e">
        <x:f>HYPERLINK("https://www.lemoyne.edu","Open source")</x:f>
        <x:v>HYPERLINK is not implemented. linkLocation=https://www.lemoyne.edu, friendlyName=Open source</x:v>
      </x:c>
    </x:row>
    <x:row r="1788" ht="46" customHeight="1">
      <x:c r="A1788" s="17" t="str">
        <x:v>stage3src:6d554fedc4aeea9b3d1d</x:v>
      </x:c>
      <x:c r="B1788" s="17" t="str">
        <x:v>program</x:v>
      </x:c>
      <x:c r="C1788" s="17" t="str">
        <x:v>Long Island University</x:v>
      </x:c>
      <x:c r="D1788" s="17" t="str">
        <x:v>us:ipeds:192448:program:unclear:ipeds-discovery-signal-artificial-intelligence-cip-11-0102</x:v>
      </x:c>
      <x:c r="E1788" s="17" t="str"/>
      <x:c r="F1788" s="17" t="str">
        <x:v>discovery</x:v>
      </x:c>
      <x:c r="G1788" s="17" t="str">
        <x:v>Stage 2 recorded this row as a discovery candidate; it does not independently verify an exact current research program, eligibility, or funding.</x:v>
      </x:c>
      <x:c r="H1788" s="17" t="str">
        <x:v>Pass 2 Stage 2 candidate funnel</x:v>
      </x:c>
      <x:c r="I1788" s="17" t="str">
        <x:v>Graduate audit pipeline</x:v>
      </x:c>
      <x:c r="J1788" s="17" t="str">
        <x:v>derived</x:v>
      </x:c>
      <x:c r="K1788" s="17" t="str">
        <x:v>2026-09-11</x:v>
      </x:c>
      <x:c r="L1788" s="17" t="str">
        <x:v>Not cycle-specific</x:v>
      </x:c>
      <x:c r="M1788" s="17" t="str">
        <x:v>low</x:v>
      </x:c>
      <x:c r="N1788" s="17" t="str">
        <x:v>Discovery evidence only</x:v>
      </x:c>
      <x:c r="O1788" s="17" t="str">
        <x:v>Use the source_record_paths field to trace the underlying discovery inputs.</x:v>
      </x:c>
      <x:c r="P1788" s="18" t="e">
        <x:f>HYPERLINK("https://www.liu.edu","Open source")</x:f>
        <x:v>HYPERLINK is not implemented. linkLocation=https://www.liu.edu, friendlyName=Open source</x:v>
      </x:c>
    </x:row>
    <x:row r="1789" ht="46" customHeight="1">
      <x:c r="A1789" s="17" t="str">
        <x:v>stage3src:a00d5eee47bee7b932bf</x:v>
      </x:c>
      <x:c r="B1789" s="17" t="str">
        <x:v>program</x:v>
      </x:c>
      <x:c r="C1789" s="17" t="str">
        <x:v>Long Island University</x:v>
      </x:c>
      <x:c r="D1789" s="17" t="str">
        <x:v>us:ipeds:192448:program:unclear:ipeds-discovery-signal-computer-and-information-sciences-general-cip-11-0101</x:v>
      </x:c>
      <x:c r="E1789" s="17" t="str"/>
      <x:c r="F1789" s="17" t="str">
        <x:v>discovery</x:v>
      </x:c>
      <x:c r="G1789" s="17" t="str">
        <x:v>Stage 2 recorded this row as a discovery candidate; it does not independently verify an exact current research program, eligibility, or funding.</x:v>
      </x:c>
      <x:c r="H1789" s="17" t="str">
        <x:v>Pass 2 Stage 2 candidate funnel</x:v>
      </x:c>
      <x:c r="I1789" s="17" t="str">
        <x:v>Graduate audit pipeline</x:v>
      </x:c>
      <x:c r="J1789" s="17" t="str">
        <x:v>derived</x:v>
      </x:c>
      <x:c r="K1789" s="17" t="str">
        <x:v>2026-09-11</x:v>
      </x:c>
      <x:c r="L1789" s="17" t="str">
        <x:v>Not cycle-specific</x:v>
      </x:c>
      <x:c r="M1789" s="17" t="str">
        <x:v>low</x:v>
      </x:c>
      <x:c r="N1789" s="17" t="str">
        <x:v>Discovery evidence only</x:v>
      </x:c>
      <x:c r="O1789" s="17" t="str">
        <x:v>Use the source_record_paths field to trace the underlying discovery inputs.</x:v>
      </x:c>
      <x:c r="P1789" s="18" t="e">
        <x:f>HYPERLINK("https://www.liu.edu","Open source")</x:f>
        <x:v>HYPERLINK is not implemented. linkLocation=https://www.liu.edu, friendlyName=Open source</x:v>
      </x:c>
    </x:row>
    <x:row r="1790" ht="46" customHeight="1">
      <x:c r="A1790" s="17" t="str">
        <x:v>stage3src:578a7764057a33dae427</x:v>
      </x:c>
      <x:c r="B1790" s="17" t="str">
        <x:v>program</x:v>
      </x:c>
      <x:c r="C1790" s="17" t="str">
        <x:v>Long Island University</x:v>
      </x:c>
      <x:c r="D1790" s="17" t="str">
        <x:v>us:ipeds:192448:program:unclear:ipeds-discovery-signal-data-analytics-general-cip-30-7101</x:v>
      </x:c>
      <x:c r="E1790" s="17" t="str"/>
      <x:c r="F1790" s="17" t="str">
        <x:v>discovery</x:v>
      </x:c>
      <x:c r="G1790" s="17" t="str">
        <x:v>Stage 2 recorded this row as a discovery candidate; it does not independently verify an exact current research program, eligibility, or funding.</x:v>
      </x:c>
      <x:c r="H1790" s="17" t="str">
        <x:v>Pass 2 Stage 2 candidate funnel</x:v>
      </x:c>
      <x:c r="I1790" s="17" t="str">
        <x:v>Graduate audit pipeline</x:v>
      </x:c>
      <x:c r="J1790" s="17" t="str">
        <x:v>derived</x:v>
      </x:c>
      <x:c r="K1790" s="17" t="str">
        <x:v>2026-09-11</x:v>
      </x:c>
      <x:c r="L1790" s="17" t="str">
        <x:v>Not cycle-specific</x:v>
      </x:c>
      <x:c r="M1790" s="17" t="str">
        <x:v>low</x:v>
      </x:c>
      <x:c r="N1790" s="17" t="str">
        <x:v>Discovery evidence only</x:v>
      </x:c>
      <x:c r="O1790" s="17" t="str">
        <x:v>Use the source_record_paths field to trace the underlying discovery inputs.</x:v>
      </x:c>
      <x:c r="P1790" s="18" t="e">
        <x:f>HYPERLINK("https://www.liu.edu","Open source")</x:f>
        <x:v>HYPERLINK is not implemented. linkLocation=https://www.liu.edu, friendlyName=Open source</x:v>
      </x:c>
    </x:row>
    <x:row r="1791" ht="46" customHeight="1">
      <x:c r="A1791" s="17" t="str">
        <x:v>stage3src:e5b28aaf10fe1c90f493</x:v>
      </x:c>
      <x:c r="B1791" s="17" t="str">
        <x:v>program</x:v>
      </x:c>
      <x:c r="C1791" s="17" t="str">
        <x:v>Long Island University</x:v>
      </x:c>
      <x:c r="D1791" s="17" t="str">
        <x:v>us:ipeds:192448:program:unclear:ipeds-discovery-signal-information-science-studies-cip-11-0401</x:v>
      </x:c>
      <x:c r="E1791" s="17" t="str"/>
      <x:c r="F1791" s="17" t="str">
        <x:v>discovery</x:v>
      </x:c>
      <x:c r="G1791" s="17" t="str">
        <x:v>Stage 2 recorded this row as a discovery candidate; it does not independently verify an exact current research program, eligibility, or funding.</x:v>
      </x:c>
      <x:c r="H1791" s="17" t="str">
        <x:v>Pass 2 Stage 2 candidate funnel</x:v>
      </x:c>
      <x:c r="I1791" s="17" t="str">
        <x:v>Graduate audit pipeline</x:v>
      </x:c>
      <x:c r="J1791" s="17" t="str">
        <x:v>derived</x:v>
      </x:c>
      <x:c r="K1791" s="17" t="str">
        <x:v>2026-09-11</x:v>
      </x:c>
      <x:c r="L1791" s="17" t="str">
        <x:v>Not cycle-specific</x:v>
      </x:c>
      <x:c r="M1791" s="17" t="str">
        <x:v>low</x:v>
      </x:c>
      <x:c r="N1791" s="17" t="str">
        <x:v>Discovery evidence only</x:v>
      </x:c>
      <x:c r="O1791" s="17" t="str">
        <x:v>Use the source_record_paths field to trace the underlying discovery inputs.</x:v>
      </x:c>
      <x:c r="P1791" s="18" t="e">
        <x:f>HYPERLINK("https://www.liu.edu","Open source")</x:f>
        <x:v>HYPERLINK is not implemented. linkLocation=https://www.liu.edu, friendlyName=Open source</x:v>
      </x:c>
    </x:row>
    <x:row r="1792" ht="46" customHeight="1">
      <x:c r="A1792" s="17" t="str">
        <x:v>stage3src:2a397b661e16f2c07cb3</x:v>
      </x:c>
      <x:c r="B1792" s="17" t="str">
        <x:v>program</x:v>
      </x:c>
      <x:c r="C1792" s="17" t="str">
        <x:v>Manhattan University</x:v>
      </x:c>
      <x:c r="D1792" s="17" t="str">
        <x:v>us:ipeds:192703:program:unclear:ipeds-discovery-signal-computer-and-information-sciences-general-cip-11-0101</x:v>
      </x:c>
      <x:c r="E1792" s="17" t="str"/>
      <x:c r="F1792" s="17" t="str">
        <x:v>discovery</x:v>
      </x:c>
      <x:c r="G1792" s="17" t="str">
        <x:v>Stage 2 recorded this row as a discovery candidate; it does not independently verify an exact current research program, eligibility, or funding.</x:v>
      </x:c>
      <x:c r="H1792" s="17" t="str">
        <x:v>Pass 2 Stage 2 candidate funnel</x:v>
      </x:c>
      <x:c r="I1792" s="17" t="str">
        <x:v>Graduate audit pipeline</x:v>
      </x:c>
      <x:c r="J1792" s="17" t="str">
        <x:v>derived</x:v>
      </x:c>
      <x:c r="K1792" s="17" t="str">
        <x:v>2026-09-11</x:v>
      </x:c>
      <x:c r="L1792" s="17" t="str">
        <x:v>Not cycle-specific</x:v>
      </x:c>
      <x:c r="M1792" s="17" t="str">
        <x:v>low</x:v>
      </x:c>
      <x:c r="N1792" s="17" t="str">
        <x:v>Discovery evidence only</x:v>
      </x:c>
      <x:c r="O1792" s="17" t="str">
        <x:v>Use the source_record_paths field to trace the underlying discovery inputs.</x:v>
      </x:c>
      <x:c r="P1792" s="18" t="e">
        <x:f>HYPERLINK("https://www.manhattan.edu","Open source")</x:f>
        <x:v>HYPERLINK is not implemented. linkLocation=https://www.manhattan.edu, friendlyName=Open source</x:v>
      </x:c>
    </x:row>
    <x:row r="1793" ht="46" customHeight="1">
      <x:c r="A1793" s="17" t="str">
        <x:v>stage3src:ea7e1ae00aff19ae9cd2</x:v>
      </x:c>
      <x:c r="B1793" s="17" t="str">
        <x:v>program</x:v>
      </x:c>
      <x:c r="C1793" s="17" t="str">
        <x:v>Manhattan University</x:v>
      </x:c>
      <x:c r="D1793" s="17" t="str">
        <x:v>us:ipeds:192703:program:unclear:ipeds-discovery-signal-computer-engineering-general-cip-14-0901</x:v>
      </x:c>
      <x:c r="E1793" s="17" t="str"/>
      <x:c r="F1793" s="17" t="str">
        <x:v>discovery</x:v>
      </x:c>
      <x:c r="G1793" s="17" t="str">
        <x:v>Stage 2 recorded this row as a discovery candidate; it does not independently verify an exact current research program, eligibility, or funding.</x:v>
      </x:c>
      <x:c r="H1793" s="17" t="str">
        <x:v>Pass 2 Stage 2 candidate funnel</x:v>
      </x:c>
      <x:c r="I1793" s="17" t="str">
        <x:v>Graduate audit pipeline</x:v>
      </x:c>
      <x:c r="J1793" s="17" t="str">
        <x:v>derived</x:v>
      </x:c>
      <x:c r="K1793" s="17" t="str">
        <x:v>2026-09-11</x:v>
      </x:c>
      <x:c r="L1793" s="17" t="str">
        <x:v>Not cycle-specific</x:v>
      </x:c>
      <x:c r="M1793" s="17" t="str">
        <x:v>low</x:v>
      </x:c>
      <x:c r="N1793" s="17" t="str">
        <x:v>Discovery evidence only</x:v>
      </x:c>
      <x:c r="O1793" s="17" t="str">
        <x:v>Use the source_record_paths field to trace the underlying discovery inputs.</x:v>
      </x:c>
      <x:c r="P1793" s="18" t="e">
        <x:f>HYPERLINK("https://www.manhattan.edu","Open source")</x:f>
        <x:v>HYPERLINK is not implemented. linkLocation=https://www.manhattan.edu, friendlyName=Open source</x:v>
      </x:c>
    </x:row>
    <x:row r="1794" ht="46" customHeight="1">
      <x:c r="A1794" s="17" t="str">
        <x:v>stage3src:45e43537ba4a6a95ed55</x:v>
      </x:c>
      <x:c r="B1794" s="17" t="str">
        <x:v>program</x:v>
      </x:c>
      <x:c r="C1794" s="17" t="str">
        <x:v>Manhattan University</x:v>
      </x:c>
      <x:c r="D1794" s="17" t="str">
        <x:v>us:ipeds:192703:program:unclear:ipeds-discovery-signal-electrical-and-electronics-engineering-cip-14-1001</x:v>
      </x:c>
      <x:c r="E1794" s="17" t="str"/>
      <x:c r="F1794" s="17" t="str">
        <x:v>discovery</x:v>
      </x:c>
      <x:c r="G1794" s="17" t="str">
        <x:v>Stage 2 recorded this row as a discovery candidate; it does not independently verify an exact current research program, eligibility, or funding.</x:v>
      </x:c>
      <x:c r="H1794" s="17" t="str">
        <x:v>Pass 2 Stage 2 candidate funnel</x:v>
      </x:c>
      <x:c r="I1794" s="17" t="str">
        <x:v>Graduate audit pipeline</x:v>
      </x:c>
      <x:c r="J1794" s="17" t="str">
        <x:v>derived</x:v>
      </x:c>
      <x:c r="K1794" s="17" t="str">
        <x:v>2026-09-11</x:v>
      </x:c>
      <x:c r="L1794" s="17" t="str">
        <x:v>Not cycle-specific</x:v>
      </x:c>
      <x:c r="M1794" s="17" t="str">
        <x:v>low</x:v>
      </x:c>
      <x:c r="N1794" s="17" t="str">
        <x:v>Discovery evidence only</x:v>
      </x:c>
      <x:c r="O1794" s="17" t="str">
        <x:v>Use the source_record_paths field to trace the underlying discovery inputs.</x:v>
      </x:c>
      <x:c r="P1794" s="18" t="e">
        <x:f>HYPERLINK("https://www.manhattan.edu","Open source")</x:f>
        <x:v>HYPERLINK is not implemented. linkLocation=https://www.manhattan.edu, friendlyName=Open source</x:v>
      </x:c>
    </x:row>
    <x:row r="1795" ht="46" customHeight="1">
      <x:c r="A1795" s="17" t="str">
        <x:v>stage3src:999cafa75f796a1fd03f</x:v>
      </x:c>
      <x:c r="B1795" s="17" t="str">
        <x:v>program</x:v>
      </x:c>
      <x:c r="C1795" s="17" t="str">
        <x:v>Marist University</x:v>
      </x:c>
      <x:c r="D1795" s="17" t="str">
        <x:v>us:ipeds:192819:program:unclear:ipeds-discovery-signal-computer-and-information-sciences-general-cip-11-0101</x:v>
      </x:c>
      <x:c r="E1795" s="17" t="str"/>
      <x:c r="F1795" s="17" t="str">
        <x:v>discovery</x:v>
      </x:c>
      <x:c r="G1795" s="17" t="str">
        <x:v>Stage 2 recorded this row as a discovery candidate; it does not independently verify an exact current research program, eligibility, or funding.</x:v>
      </x:c>
      <x:c r="H1795" s="17" t="str">
        <x:v>Pass 2 Stage 2 candidate funnel</x:v>
      </x:c>
      <x:c r="I1795" s="17" t="str">
        <x:v>Graduate audit pipeline</x:v>
      </x:c>
      <x:c r="J1795" s="17" t="str">
        <x:v>derived</x:v>
      </x:c>
      <x:c r="K1795" s="17" t="str">
        <x:v>2026-09-11</x:v>
      </x:c>
      <x:c r="L1795" s="17" t="str">
        <x:v>Not cycle-specific</x:v>
      </x:c>
      <x:c r="M1795" s="17" t="str">
        <x:v>low</x:v>
      </x:c>
      <x:c r="N1795" s="17" t="str">
        <x:v>Discovery evidence only</x:v>
      </x:c>
      <x:c r="O1795" s="17" t="str">
        <x:v>Use the source_record_paths field to trace the underlying discovery inputs.</x:v>
      </x:c>
      <x:c r="P1795" s="18" t="e">
        <x:f>HYPERLINK("https://www.marist.edu","Open source")</x:f>
        <x:v>HYPERLINK is not implemented. linkLocation=https://www.marist.edu, friendlyName=Open source</x:v>
      </x:c>
    </x:row>
    <x:row r="1796" ht="46" customHeight="1">
      <x:c r="A1796" s="17" t="str">
        <x:v>stage3src:a744a4ef5efd688d97e0</x:v>
      </x:c>
      <x:c r="B1796" s="17" t="str">
        <x:v>program</x:v>
      </x:c>
      <x:c r="C1796" s="17" t="str">
        <x:v>Mercy University</x:v>
      </x:c>
      <x:c r="D1796" s="17" t="str">
        <x:v>us:ipeds:193016:program:unclear:ipeds-discovery-signal-computer-and-information-systems-security-auditing-information-assurance-cip-11-1003</x:v>
      </x:c>
      <x:c r="E1796" s="17" t="str"/>
      <x:c r="F1796" s="17" t="str">
        <x:v>discovery</x:v>
      </x:c>
      <x:c r="G1796" s="17" t="str">
        <x:v>Stage 2 recorded this row as a discovery candidate; it does not independently verify an exact current research program, eligibility, or funding.</x:v>
      </x:c>
      <x:c r="H1796" s="17" t="str">
        <x:v>Pass 2 Stage 2 candidate funnel</x:v>
      </x:c>
      <x:c r="I1796" s="17" t="str">
        <x:v>Graduate audit pipeline</x:v>
      </x:c>
      <x:c r="J1796" s="17" t="str">
        <x:v>derived</x:v>
      </x:c>
      <x:c r="K1796" s="17" t="str">
        <x:v>2026-09-11</x:v>
      </x:c>
      <x:c r="L1796" s="17" t="str">
        <x:v>Not cycle-specific</x:v>
      </x:c>
      <x:c r="M1796" s="17" t="str">
        <x:v>low</x:v>
      </x:c>
      <x:c r="N1796" s="17" t="str">
        <x:v>Discovery evidence only</x:v>
      </x:c>
      <x:c r="O1796" s="17" t="str">
        <x:v>Use the source_record_paths field to trace the underlying discovery inputs.</x:v>
      </x:c>
      <x:c r="P1796" s="18" t="e">
        <x:f>HYPERLINK("https://www.mercy.edu","Open source")</x:f>
        <x:v>HYPERLINK is not implemented. linkLocation=https://www.mercy.edu, friendlyName=Open source</x:v>
      </x:c>
    </x:row>
    <x:row r="1797" ht="46" customHeight="1">
      <x:c r="A1797" s="17" t="str">
        <x:v>stage3src:096b9d904b9ad0637d20</x:v>
      </x:c>
      <x:c r="B1797" s="17" t="str">
        <x:v>program</x:v>
      </x:c>
      <x:c r="C1797" s="17" t="str">
        <x:v>Mercy University</x:v>
      </x:c>
      <x:c r="D1797" s="17" t="str">
        <x:v>us:ipeds:193016:program:unclear:ipeds-discovery-signal-computer-science-cip-11-0701</x:v>
      </x:c>
      <x:c r="E1797" s="17" t="str"/>
      <x:c r="F1797" s="17" t="str">
        <x:v>discovery</x:v>
      </x:c>
      <x:c r="G1797" s="17" t="str">
        <x:v>Stage 2 recorded this row as a discovery candidate; it does not independently verify an exact current research program, eligibility, or funding.</x:v>
      </x:c>
      <x:c r="H1797" s="17" t="str">
        <x:v>Pass 2 Stage 2 candidate funnel</x:v>
      </x:c>
      <x:c r="I1797" s="17" t="str">
        <x:v>Graduate audit pipeline</x:v>
      </x:c>
      <x:c r="J1797" s="17" t="str">
        <x:v>derived</x:v>
      </x:c>
      <x:c r="K1797" s="17" t="str">
        <x:v>2026-09-11</x:v>
      </x:c>
      <x:c r="L1797" s="17" t="str">
        <x:v>Not cycle-specific</x:v>
      </x:c>
      <x:c r="M1797" s="17" t="str">
        <x:v>low</x:v>
      </x:c>
      <x:c r="N1797" s="17" t="str">
        <x:v>Discovery evidence only</x:v>
      </x:c>
      <x:c r="O1797" s="17" t="str">
        <x:v>Use the source_record_paths field to trace the underlying discovery inputs.</x:v>
      </x:c>
      <x:c r="P1797" s="18" t="e">
        <x:f>HYPERLINK("https://www.mercy.edu","Open source")</x:f>
        <x:v>HYPERLINK is not implemented. linkLocation=https://www.mercy.edu, friendlyName=Open source</x:v>
      </x:c>
    </x:row>
    <x:row r="1798" ht="46" customHeight="1">
      <x:c r="A1798" s="17" t="str">
        <x:v>stage3src:6c3be6c02f5d611638e8</x:v>
      </x:c>
      <x:c r="B1798" s="17" t="str">
        <x:v>program</x:v>
      </x:c>
      <x:c r="C1798" s="17" t="str">
        <x:v>Monroe University</x:v>
      </x:c>
      <x:c r="D1798" s="17" t="str">
        <x:v>us:ipeds:193308:program:unclear:ipeds-discovery-signal-computer-science-cip-11-0701</x:v>
      </x:c>
      <x:c r="E1798" s="17" t="str"/>
      <x:c r="F1798" s="17" t="str">
        <x:v>discovery</x:v>
      </x:c>
      <x:c r="G1798" s="17" t="str">
        <x:v>Stage 2 recorded this row as a discovery candidate; it does not independently verify an exact current research program, eligibility, or funding.</x:v>
      </x:c>
      <x:c r="H1798" s="17" t="str">
        <x:v>Pass 2 Stage 2 candidate funnel</x:v>
      </x:c>
      <x:c r="I1798" s="17" t="str">
        <x:v>Graduate audit pipeline</x:v>
      </x:c>
      <x:c r="J1798" s="17" t="str">
        <x:v>derived</x:v>
      </x:c>
      <x:c r="K1798" s="17" t="str">
        <x:v>2026-09-11</x:v>
      </x:c>
      <x:c r="L1798" s="17" t="str">
        <x:v>Not cycle-specific</x:v>
      </x:c>
      <x:c r="M1798" s="17" t="str">
        <x:v>low</x:v>
      </x:c>
      <x:c r="N1798" s="17" t="str">
        <x:v>Discovery evidence only</x:v>
      </x:c>
      <x:c r="O1798" s="17" t="str">
        <x:v>Use the source_record_paths field to trace the underlying discovery inputs.</x:v>
      </x:c>
      <x:c r="P1798" s="18" t="e">
        <x:f>HYPERLINK("https://www.monroecollege.edu","Open source")</x:f>
        <x:v>HYPERLINK is not implemented. linkLocation=https://www.monroecollege.edu, friendlyName=Open source</x:v>
      </x:c>
    </x:row>
    <x:row r="1799" ht="46" customHeight="1">
      <x:c r="A1799" s="17" t="str">
        <x:v>stage3src:2ec8980d750dee7b4699</x:v>
      </x:c>
      <x:c r="B1799" s="17" t="str">
        <x:v>program</x:v>
      </x:c>
      <x:c r="C1799" s="17" t="str">
        <x:v>Monroe University</x:v>
      </x:c>
      <x:c r="D1799" s="17" t="str">
        <x:v>us:ipeds:193308:program:unclear:ipeds-discovery-signal-data-science-general-cip-30-7001</x:v>
      </x:c>
      <x:c r="E1799" s="17" t="str"/>
      <x:c r="F1799" s="17" t="str">
        <x:v>discovery</x:v>
      </x:c>
      <x:c r="G1799" s="17" t="str">
        <x:v>Stage 2 recorded this row as a discovery candidate; it does not independently verify an exact current research program, eligibility, or funding.</x:v>
      </x:c>
      <x:c r="H1799" s="17" t="str">
        <x:v>Pass 2 Stage 2 candidate funnel</x:v>
      </x:c>
      <x:c r="I1799" s="17" t="str">
        <x:v>Graduate audit pipeline</x:v>
      </x:c>
      <x:c r="J1799" s="17" t="str">
        <x:v>derived</x:v>
      </x:c>
      <x:c r="K1799" s="17" t="str">
        <x:v>2026-09-11</x:v>
      </x:c>
      <x:c r="L1799" s="17" t="str">
        <x:v>Not cycle-specific</x:v>
      </x:c>
      <x:c r="M1799" s="17" t="str">
        <x:v>low</x:v>
      </x:c>
      <x:c r="N1799" s="17" t="str">
        <x:v>Discovery evidence only</x:v>
      </x:c>
      <x:c r="O1799" s="17" t="str">
        <x:v>Use the source_record_paths field to trace the underlying discovery inputs.</x:v>
      </x:c>
      <x:c r="P1799" s="18" t="e">
        <x:f>HYPERLINK("https://www.monroecollege.edu","Open source")</x:f>
        <x:v>HYPERLINK is not implemented. linkLocation=https://www.monroecollege.edu, friendlyName=Open source</x:v>
      </x:c>
    </x:row>
    <x:row r="1800" ht="46" customHeight="1">
      <x:c r="A1800" s="17" t="str">
        <x:v>stage3src:6cbc6c885400c8aba7f3</x:v>
      </x:c>
      <x:c r="B1800" s="17" t="str">
        <x:v>program</x:v>
      </x:c>
      <x:c r="C1800" s="17" t="str">
        <x:v>New York University</x:v>
      </x:c>
      <x:c r="D1800" s="17" t="str">
        <x:v>us:ipeds:193900:program:unclear:ipeds-discovery-signal-computer-and-information-sciences-general-cip-11-0101</x:v>
      </x:c>
      <x:c r="E1800" s="17" t="str"/>
      <x:c r="F1800" s="17" t="str">
        <x:v>discovery</x:v>
      </x:c>
      <x:c r="G1800" s="17" t="str">
        <x:v>Stage 2 recorded this row as a discovery candidate; it does not independently verify an exact current research program, eligibility, or funding.</x:v>
      </x:c>
      <x:c r="H1800" s="17" t="str">
        <x:v>Pass 2 Stage 2 candidate funnel</x:v>
      </x:c>
      <x:c r="I1800" s="17" t="str">
        <x:v>Graduate audit pipeline</x:v>
      </x:c>
      <x:c r="J1800" s="17" t="str">
        <x:v>derived</x:v>
      </x:c>
      <x:c r="K1800" s="17" t="str">
        <x:v>2026-09-11</x:v>
      </x:c>
      <x:c r="L1800" s="17" t="str">
        <x:v>Not cycle-specific</x:v>
      </x:c>
      <x:c r="M1800" s="17" t="str">
        <x:v>low</x:v>
      </x:c>
      <x:c r="N1800" s="17" t="str">
        <x:v>Discovery evidence only</x:v>
      </x:c>
      <x:c r="O1800" s="17" t="str">
        <x:v>Use the source_record_paths field to trace the underlying discovery inputs.</x:v>
      </x:c>
      <x:c r="P1800" s="18" t="e">
        <x:f>HYPERLINK("https://www.nyu.edu","Open source")</x:f>
        <x:v>HYPERLINK is not implemented. linkLocation=https://www.nyu.edu, friendlyName=Open source</x:v>
      </x:c>
    </x:row>
    <x:row r="1801" ht="46" customHeight="1">
      <x:c r="A1801" s="17" t="str">
        <x:v>stage3src:c36e03930ed1444275b0</x:v>
      </x:c>
      <x:c r="B1801" s="17" t="str">
        <x:v>program</x:v>
      </x:c>
      <x:c r="C1801" s="17" t="str">
        <x:v>New York University</x:v>
      </x:c>
      <x:c r="D1801" s="17" t="str">
        <x:v>us:ipeds:193900:program:unclear:ipeds-discovery-signal-computer-and-information-systems-security-auditing-information-assurance-cip-11-1003</x:v>
      </x:c>
      <x:c r="E1801" s="17" t="str"/>
      <x:c r="F1801" s="17" t="str">
        <x:v>discovery</x:v>
      </x:c>
      <x:c r="G1801" s="17" t="str">
        <x:v>Stage 2 recorded this row as a discovery candidate; it does not independently verify an exact current research program, eligibility, or funding.</x:v>
      </x:c>
      <x:c r="H1801" s="17" t="str">
        <x:v>Pass 2 Stage 2 candidate funnel</x:v>
      </x:c>
      <x:c r="I1801" s="17" t="str">
        <x:v>Graduate audit pipeline</x:v>
      </x:c>
      <x:c r="J1801" s="17" t="str">
        <x:v>derived</x:v>
      </x:c>
      <x:c r="K1801" s="17" t="str">
        <x:v>2026-09-11</x:v>
      </x:c>
      <x:c r="L1801" s="17" t="str">
        <x:v>Not cycle-specific</x:v>
      </x:c>
      <x:c r="M1801" s="17" t="str">
        <x:v>low</x:v>
      </x:c>
      <x:c r="N1801" s="17" t="str">
        <x:v>Discovery evidence only</x:v>
      </x:c>
      <x:c r="O1801" s="17" t="str">
        <x:v>Use the source_record_paths field to trace the underlying discovery inputs.</x:v>
      </x:c>
      <x:c r="P1801" s="18" t="e">
        <x:f>HYPERLINK("https://www.nyu.edu","Open source")</x:f>
        <x:v>HYPERLINK is not implemented. linkLocation=https://www.nyu.edu, friendlyName=Open source</x:v>
      </x:c>
    </x:row>
    <x:row r="1802" ht="46" customHeight="1">
      <x:c r="A1802" s="17" t="str">
        <x:v>stage3src:47335ad4ed8bfaa11707</x:v>
      </x:c>
      <x:c r="B1802" s="17" t="str">
        <x:v>program</x:v>
      </x:c>
      <x:c r="C1802" s="17" t="str">
        <x:v>New York University</x:v>
      </x:c>
      <x:c r="D1802" s="17" t="str">
        <x:v>us:ipeds:193900:program:unclear:ipeds-discovery-signal-computer-engineering-general-cip-14-0901</x:v>
      </x:c>
      <x:c r="E1802" s="17" t="str"/>
      <x:c r="F1802" s="17" t="str">
        <x:v>discovery</x:v>
      </x:c>
      <x:c r="G1802" s="17" t="str">
        <x:v>Stage 2 recorded this row as a discovery candidate; it does not independently verify an exact current research program, eligibility, or funding.</x:v>
      </x:c>
      <x:c r="H1802" s="17" t="str">
        <x:v>Pass 2 Stage 2 candidate funnel</x:v>
      </x:c>
      <x:c r="I1802" s="17" t="str">
        <x:v>Graduate audit pipeline</x:v>
      </x:c>
      <x:c r="J1802" s="17" t="str">
        <x:v>derived</x:v>
      </x:c>
      <x:c r="K1802" s="17" t="str">
        <x:v>2026-09-11</x:v>
      </x:c>
      <x:c r="L1802" s="17" t="str">
        <x:v>Not cycle-specific</x:v>
      </x:c>
      <x:c r="M1802" s="17" t="str">
        <x:v>low</x:v>
      </x:c>
      <x:c r="N1802" s="17" t="str">
        <x:v>Discovery evidence only</x:v>
      </x:c>
      <x:c r="O1802" s="17" t="str">
        <x:v>Use the source_record_paths field to trace the underlying discovery inputs.</x:v>
      </x:c>
      <x:c r="P1802" s="18" t="e">
        <x:f>HYPERLINK("https://www.nyu.edu","Open source")</x:f>
        <x:v>HYPERLINK is not implemented. linkLocation=https://www.nyu.edu, friendlyName=Open source</x:v>
      </x:c>
    </x:row>
    <x:row r="1803" ht="46" customHeight="1">
      <x:c r="A1803" s="17" t="str">
        <x:v>stage3src:888acdfada0b2c508190</x:v>
      </x:c>
      <x:c r="B1803" s="17" t="str">
        <x:v>program</x:v>
      </x:c>
      <x:c r="C1803" s="17" t="str">
        <x:v>New York University</x:v>
      </x:c>
      <x:c r="D1803" s="17" t="str">
        <x:v>us:ipeds:193900:program:unclear:ipeds-discovery-signal-data-science-general-cip-30-7001</x:v>
      </x:c>
      <x:c r="E1803" s="17" t="str"/>
      <x:c r="F1803" s="17" t="str">
        <x:v>discovery</x:v>
      </x:c>
      <x:c r="G1803" s="17" t="str">
        <x:v>Stage 2 recorded this row as a discovery candidate; it does not independently verify an exact current research program, eligibility, or funding.</x:v>
      </x:c>
      <x:c r="H1803" s="17" t="str">
        <x:v>Pass 2 Stage 2 candidate funnel</x:v>
      </x:c>
      <x:c r="I1803" s="17" t="str">
        <x:v>Graduate audit pipeline</x:v>
      </x:c>
      <x:c r="J1803" s="17" t="str">
        <x:v>derived</x:v>
      </x:c>
      <x:c r="K1803" s="17" t="str">
        <x:v>2026-09-11</x:v>
      </x:c>
      <x:c r="L1803" s="17" t="str">
        <x:v>Not cycle-specific</x:v>
      </x:c>
      <x:c r="M1803" s="17" t="str">
        <x:v>low</x:v>
      </x:c>
      <x:c r="N1803" s="17" t="str">
        <x:v>Discovery evidence only</x:v>
      </x:c>
      <x:c r="O1803" s="17" t="str">
        <x:v>Use the source_record_paths field to trace the underlying discovery inputs.</x:v>
      </x:c>
      <x:c r="P1803" s="18" t="e">
        <x:f>HYPERLINK("https://www.nyu.edu","Open source")</x:f>
        <x:v>HYPERLINK is not implemented. linkLocation=https://www.nyu.edu, friendlyName=Open source</x:v>
      </x:c>
    </x:row>
    <x:row r="1804" ht="46" customHeight="1">
      <x:c r="A1804" s="17" t="str">
        <x:v>stage3src:07939c6daf929d33be5d</x:v>
      </x:c>
      <x:c r="B1804" s="17" t="str">
        <x:v>program</x:v>
      </x:c>
      <x:c r="C1804" s="17" t="str">
        <x:v>New York University</x:v>
      </x:c>
      <x:c r="D1804" s="17" t="str">
        <x:v>us:ipeds:193900:program:unclear:ipeds-discovery-signal-electrical-and-electronics-engineering-cip-14-1001</x:v>
      </x:c>
      <x:c r="E1804" s="17" t="str"/>
      <x:c r="F1804" s="17" t="str">
        <x:v>discovery</x:v>
      </x:c>
      <x:c r="G1804" s="17" t="str">
        <x:v>Stage 2 recorded this row as a discovery candidate; it does not independently verify an exact current research program, eligibility, or funding.</x:v>
      </x:c>
      <x:c r="H1804" s="17" t="str">
        <x:v>Pass 2 Stage 2 candidate funnel</x:v>
      </x:c>
      <x:c r="I1804" s="17" t="str">
        <x:v>Graduate audit pipeline</x:v>
      </x:c>
      <x:c r="J1804" s="17" t="str">
        <x:v>derived</x:v>
      </x:c>
      <x:c r="K1804" s="17" t="str">
        <x:v>2026-09-11</x:v>
      </x:c>
      <x:c r="L1804" s="17" t="str">
        <x:v>Not cycle-specific</x:v>
      </x:c>
      <x:c r="M1804" s="17" t="str">
        <x:v>low</x:v>
      </x:c>
      <x:c r="N1804" s="17" t="str">
        <x:v>Discovery evidence only</x:v>
      </x:c>
      <x:c r="O1804" s="17" t="str">
        <x:v>Use the source_record_paths field to trace the underlying discovery inputs.</x:v>
      </x:c>
      <x:c r="P1804" s="18" t="e">
        <x:f>HYPERLINK("https://www.nyu.edu","Open source")</x:f>
        <x:v>HYPERLINK is not implemented. linkLocation=https://www.nyu.edu, friendlyName=Open source</x:v>
      </x:c>
    </x:row>
    <x:row r="1805" ht="46" customHeight="1">
      <x:c r="A1805" s="17" t="str">
        <x:v>stage3src:be1ba32c68eef984d333</x:v>
      </x:c>
      <x:c r="B1805" s="17" t="str">
        <x:v>program</x:v>
      </x:c>
      <x:c r="C1805" s="17" t="str">
        <x:v>New York University</x:v>
      </x:c>
      <x:c r="D1805" s="17" t="str">
        <x:v>us:ipeds:193900:program:unclear:ipeds-discovery-signal-informatics-cip-11-0104</x:v>
      </x:c>
      <x:c r="E1805" s="17" t="str"/>
      <x:c r="F1805" s="17" t="str">
        <x:v>discovery</x:v>
      </x:c>
      <x:c r="G1805" s="17" t="str">
        <x:v>Stage 2 recorded this row as a discovery candidate; it does not independently verify an exact current research program, eligibility, or funding.</x:v>
      </x:c>
      <x:c r="H1805" s="17" t="str">
        <x:v>Pass 2 Stage 2 candidate funnel</x:v>
      </x:c>
      <x:c r="I1805" s="17" t="str">
        <x:v>Graduate audit pipeline</x:v>
      </x:c>
      <x:c r="J1805" s="17" t="str">
        <x:v>derived</x:v>
      </x:c>
      <x:c r="K1805" s="17" t="str">
        <x:v>2026-09-11</x:v>
      </x:c>
      <x:c r="L1805" s="17" t="str">
        <x:v>Not cycle-specific</x:v>
      </x:c>
      <x:c r="M1805" s="17" t="str">
        <x:v>low</x:v>
      </x:c>
      <x:c r="N1805" s="17" t="str">
        <x:v>Discovery evidence only</x:v>
      </x:c>
      <x:c r="O1805" s="17" t="str">
        <x:v>Use the source_record_paths field to trace the underlying discovery inputs.</x:v>
      </x:c>
      <x:c r="P1805" s="18" t="e">
        <x:f>HYPERLINK("https://www.nyu.edu","Open source")</x:f>
        <x:v>HYPERLINK is not implemented. linkLocation=https://www.nyu.edu, friendlyName=Open source</x:v>
      </x:c>
    </x:row>
    <x:row r="1806" ht="46" customHeight="1">
      <x:c r="A1806" s="17" t="str">
        <x:v>stage3src:f444d8efbc9e2f354d84</x:v>
      </x:c>
      <x:c r="B1806" s="17" t="str">
        <x:v>program</x:v>
      </x:c>
      <x:c r="C1806" s="17" t="str">
        <x:v>New York University</x:v>
      </x:c>
      <x:c r="D1806" s="17" t="str">
        <x:v>us:ipeds:193900:program:unclear:ipeds-discovery-signal-information-science-studies-cip-11-0401</x:v>
      </x:c>
      <x:c r="E1806" s="17" t="str"/>
      <x:c r="F1806" s="17" t="str">
        <x:v>discovery</x:v>
      </x:c>
      <x:c r="G1806" s="17" t="str">
        <x:v>Stage 2 recorded this row as a discovery candidate; it does not independently verify an exact current research program, eligibility, or funding.</x:v>
      </x:c>
      <x:c r="H1806" s="17" t="str">
        <x:v>Pass 2 Stage 2 candidate funnel</x:v>
      </x:c>
      <x:c r="I1806" s="17" t="str">
        <x:v>Graduate audit pipeline</x:v>
      </x:c>
      <x:c r="J1806" s="17" t="str">
        <x:v>derived</x:v>
      </x:c>
      <x:c r="K1806" s="17" t="str">
        <x:v>2026-09-11</x:v>
      </x:c>
      <x:c r="L1806" s="17" t="str">
        <x:v>Not cycle-specific</x:v>
      </x:c>
      <x:c r="M1806" s="17" t="str">
        <x:v>low</x:v>
      </x:c>
      <x:c r="N1806" s="17" t="str">
        <x:v>Discovery evidence only</x:v>
      </x:c>
      <x:c r="O1806" s="17" t="str">
        <x:v>Use the source_record_paths field to trace the underlying discovery inputs.</x:v>
      </x:c>
      <x:c r="P1806" s="18" t="e">
        <x:f>HYPERLINK("https://www.nyu.edu","Open source")</x:f>
        <x:v>HYPERLINK is not implemented. linkLocation=https://www.nyu.edu, friendlyName=Open source</x:v>
      </x:c>
    </x:row>
    <x:row r="1807" ht="46" customHeight="1">
      <x:c r="A1807" s="17" t="str">
        <x:v>stage3src:733a5d041a8bc63108be</x:v>
      </x:c>
      <x:c r="B1807" s="17" t="str">
        <x:v>program</x:v>
      </x:c>
      <x:c r="C1807" s="17" t="str">
        <x:v>New York University</x:v>
      </x:c>
      <x:c r="D1807" s="17" t="str">
        <x:v>us:ipeds:193900:program:unclear:ipeds-discovery-signal-information-technology-cip-11-0103</x:v>
      </x:c>
      <x:c r="E1807" s="17" t="str"/>
      <x:c r="F1807" s="17" t="str">
        <x:v>discovery</x:v>
      </x:c>
      <x:c r="G1807" s="17" t="str">
        <x:v>Stage 2 recorded this row as a discovery candidate; it does not independently verify an exact current research program, eligibility, or funding.</x:v>
      </x:c>
      <x:c r="H1807" s="17" t="str">
        <x:v>Pass 2 Stage 2 candidate funnel</x:v>
      </x:c>
      <x:c r="I1807" s="17" t="str">
        <x:v>Graduate audit pipeline</x:v>
      </x:c>
      <x:c r="J1807" s="17" t="str">
        <x:v>derived</x:v>
      </x:c>
      <x:c r="K1807" s="17" t="str">
        <x:v>2026-09-11</x:v>
      </x:c>
      <x:c r="L1807" s="17" t="str">
        <x:v>Not cycle-specific</x:v>
      </x:c>
      <x:c r="M1807" s="17" t="str">
        <x:v>low</x:v>
      </x:c>
      <x:c r="N1807" s="17" t="str">
        <x:v>Discovery evidence only</x:v>
      </x:c>
      <x:c r="O1807" s="17" t="str">
        <x:v>Use the source_record_paths field to trace the underlying discovery inputs.</x:v>
      </x:c>
      <x:c r="P1807" s="18" t="e">
        <x:f>HYPERLINK("https://www.nyu.edu","Open source")</x:f>
        <x:v>HYPERLINK is not implemented. linkLocation=https://www.nyu.edu, friendlyName=Open source</x:v>
      </x:c>
    </x:row>
    <x:row r="1808" ht="46" customHeight="1">
      <x:c r="A1808" s="17" t="str">
        <x:v>stage3src:9b0947a226f86d93cd8a</x:v>
      </x:c>
      <x:c r="B1808" s="17" t="str">
        <x:v>program</x:v>
      </x:c>
      <x:c r="C1808" s="17" t="str">
        <x:v>New York University</x:v>
      </x:c>
      <x:c r="D1808" s="17" t="str">
        <x:v>us:ipeds:193900:program:unclear:ipeds-discovery-signal-mechatronics-robotics-and-automation-engineering-cip-14-4201</x:v>
      </x:c>
      <x:c r="E1808" s="17" t="str"/>
      <x:c r="F1808" s="17" t="str">
        <x:v>discovery</x:v>
      </x:c>
      <x:c r="G1808" s="17" t="str">
        <x:v>Stage 2 recorded this row as a discovery candidate; it does not independently verify an exact current research program, eligibility, or funding.</x:v>
      </x:c>
      <x:c r="H1808" s="17" t="str">
        <x:v>Pass 2 Stage 2 candidate funnel</x:v>
      </x:c>
      <x:c r="I1808" s="17" t="str">
        <x:v>Graduate audit pipeline</x:v>
      </x:c>
      <x:c r="J1808" s="17" t="str">
        <x:v>derived</x:v>
      </x:c>
      <x:c r="K1808" s="17" t="str">
        <x:v>2026-09-11</x:v>
      </x:c>
      <x:c r="L1808" s="17" t="str">
        <x:v>Not cycle-specific</x:v>
      </x:c>
      <x:c r="M1808" s="17" t="str">
        <x:v>low</x:v>
      </x:c>
      <x:c r="N1808" s="17" t="str">
        <x:v>Discovery evidence only</x:v>
      </x:c>
      <x:c r="O1808" s="17" t="str">
        <x:v>Use the source_record_paths field to trace the underlying discovery inputs.</x:v>
      </x:c>
      <x:c r="P1808" s="18" t="e">
        <x:f>HYPERLINK("https://www.nyu.edu","Open source")</x:f>
        <x:v>HYPERLINK is not implemented. linkLocation=https://www.nyu.edu, friendlyName=Open source</x:v>
      </x:c>
    </x:row>
    <x:row r="1809" ht="46" customHeight="1">
      <x:c r="A1809" s="17" t="str">
        <x:v>stage3src:858c42024c2efc7c001f</x:v>
      </x:c>
      <x:c r="B1809" s="17" t="str">
        <x:v>program</x:v>
      </x:c>
      <x:c r="C1809" s="17" t="str">
        <x:v>Niagara University</x:v>
      </x:c>
      <x:c r="D1809" s="17" t="str">
        <x:v>us:ipeds:193973:program:unclear:ipeds-discovery-signal-computer-and-information-systems-security-auditing-information-assurance-cip-11-1003</x:v>
      </x:c>
      <x:c r="E1809" s="17" t="str"/>
      <x:c r="F1809" s="17" t="str">
        <x:v>discovery</x:v>
      </x:c>
      <x:c r="G1809" s="17" t="str">
        <x:v>Stage 2 recorded this row as a discovery candidate; it does not independently verify an exact current research program, eligibility, or funding.</x:v>
      </x:c>
      <x:c r="H1809" s="17" t="str">
        <x:v>Pass 2 Stage 2 candidate funnel</x:v>
      </x:c>
      <x:c r="I1809" s="17" t="str">
        <x:v>Graduate audit pipeline</x:v>
      </x:c>
      <x:c r="J1809" s="17" t="str">
        <x:v>derived</x:v>
      </x:c>
      <x:c r="K1809" s="17" t="str">
        <x:v>2026-09-11</x:v>
      </x:c>
      <x:c r="L1809" s="17" t="str">
        <x:v>Not cycle-specific</x:v>
      </x:c>
      <x:c r="M1809" s="17" t="str">
        <x:v>low</x:v>
      </x:c>
      <x:c r="N1809" s="17" t="str">
        <x:v>Discovery evidence only</x:v>
      </x:c>
      <x:c r="O1809" s="17" t="str">
        <x:v>Use the source_record_paths field to trace the underlying discovery inputs.</x:v>
      </x:c>
      <x:c r="P1809" s="18" t="e">
        <x:f>HYPERLINK("https://www.niagara.edu","Open source")</x:f>
        <x:v>HYPERLINK is not implemented. linkLocation=https://www.niagara.edu, friendlyName=Open source</x:v>
      </x:c>
    </x:row>
    <x:row r="1810" ht="46" customHeight="1">
      <x:c r="A1810" s="17" t="str">
        <x:v>stage3src:2d6b03dd97ebe181029c</x:v>
      </x:c>
      <x:c r="B1810" s="17" t="str">
        <x:v>program</x:v>
      </x:c>
      <x:c r="C1810" s="17" t="str">
        <x:v>New York Institute of Technology</x:v>
      </x:c>
      <x:c r="D1810" s="17" t="str">
        <x:v>us:ipeds:194091:program:unclear:ipeds-discovery-signal-computer-and-information-sciences-general-cip-11-0101</x:v>
      </x:c>
      <x:c r="E1810" s="17" t="str"/>
      <x:c r="F1810" s="17" t="str">
        <x:v>discovery</x:v>
      </x:c>
      <x:c r="G1810" s="17" t="str">
        <x:v>Stage 2 recorded this row as a discovery candidate; it does not independently verify an exact current research program, eligibility, or funding.</x:v>
      </x:c>
      <x:c r="H1810" s="17" t="str">
        <x:v>Pass 2 Stage 2 candidate funnel</x:v>
      </x:c>
      <x:c r="I1810" s="17" t="str">
        <x:v>Graduate audit pipeline</x:v>
      </x:c>
      <x:c r="J1810" s="17" t="str">
        <x:v>derived</x:v>
      </x:c>
      <x:c r="K1810" s="17" t="str">
        <x:v>2026-09-11</x:v>
      </x:c>
      <x:c r="L1810" s="17" t="str">
        <x:v>Not cycle-specific</x:v>
      </x:c>
      <x:c r="M1810" s="17" t="str">
        <x:v>low</x:v>
      </x:c>
      <x:c r="N1810" s="17" t="str">
        <x:v>Discovery evidence only</x:v>
      </x:c>
      <x:c r="O1810" s="17" t="str">
        <x:v>Use the source_record_paths field to trace the underlying discovery inputs.</x:v>
      </x:c>
      <x:c r="P1810" s="18" t="e">
        <x:f>HYPERLINK("https://www.nyit.edu","Open source")</x:f>
        <x:v>HYPERLINK is not implemented. linkLocation=https://www.nyit.edu, friendlyName=Open source</x:v>
      </x:c>
    </x:row>
    <x:row r="1811" ht="46" customHeight="1">
      <x:c r="A1811" s="17" t="str">
        <x:v>stage3src:ed89b84711679b157cb9</x:v>
      </x:c>
      <x:c r="B1811" s="17" t="str">
        <x:v>program</x:v>
      </x:c>
      <x:c r="C1811" s="17" t="str">
        <x:v>New York Institute of Technology</x:v>
      </x:c>
      <x:c r="D1811" s="17" t="str">
        <x:v>us:ipeds:194091:program:unclear:ipeds-discovery-signal-computer-and-information-sciences-other-cip-11-0199</x:v>
      </x:c>
      <x:c r="E1811" s="17" t="str"/>
      <x:c r="F1811" s="17" t="str">
        <x:v>discovery</x:v>
      </x:c>
      <x:c r="G1811" s="17" t="str">
        <x:v>Stage 2 recorded this row as a discovery candidate; it does not independently verify an exact current research program, eligibility, or funding.</x:v>
      </x:c>
      <x:c r="H1811" s="17" t="str">
        <x:v>Pass 2 Stage 2 candidate funnel</x:v>
      </x:c>
      <x:c r="I1811" s="17" t="str">
        <x:v>Graduate audit pipeline</x:v>
      </x:c>
      <x:c r="J1811" s="17" t="str">
        <x:v>derived</x:v>
      </x:c>
      <x:c r="K1811" s="17" t="str">
        <x:v>2026-09-11</x:v>
      </x:c>
      <x:c r="L1811" s="17" t="str">
        <x:v>Not cycle-specific</x:v>
      </x:c>
      <x:c r="M1811" s="17" t="str">
        <x:v>low</x:v>
      </x:c>
      <x:c r="N1811" s="17" t="str">
        <x:v>Discovery evidence only</x:v>
      </x:c>
      <x:c r="O1811" s="17" t="str">
        <x:v>Use the source_record_paths field to trace the underlying discovery inputs.</x:v>
      </x:c>
      <x:c r="P1811" s="18" t="e">
        <x:f>HYPERLINK("https://www.nyit.edu","Open source")</x:f>
        <x:v>HYPERLINK is not implemented. linkLocation=https://www.nyit.edu, friendlyName=Open source</x:v>
      </x:c>
    </x:row>
    <x:row r="1812" ht="46" customHeight="1">
      <x:c r="A1812" s="17" t="str">
        <x:v>stage3src:a80af7e1c44a33f444f3</x:v>
      </x:c>
      <x:c r="B1812" s="17" t="str">
        <x:v>program</x:v>
      </x:c>
      <x:c r="C1812" s="17" t="str">
        <x:v>New York Institute of Technology</x:v>
      </x:c>
      <x:c r="D1812" s="17" t="str">
        <x:v>us:ipeds:194091:program:unclear:ipeds-discovery-signal-computer-and-information-systems-security-auditing-information-assurance-cip-11-1003</x:v>
      </x:c>
      <x:c r="E1812" s="17" t="str"/>
      <x:c r="F1812" s="17" t="str">
        <x:v>discovery</x:v>
      </x:c>
      <x:c r="G1812" s="17" t="str">
        <x:v>Stage 2 recorded this row as a discovery candidate; it does not independently verify an exact current research program, eligibility, or funding.</x:v>
      </x:c>
      <x:c r="H1812" s="17" t="str">
        <x:v>Pass 2 Stage 2 candidate funnel</x:v>
      </x:c>
      <x:c r="I1812" s="17" t="str">
        <x:v>Graduate audit pipeline</x:v>
      </x:c>
      <x:c r="J1812" s="17" t="str">
        <x:v>derived</x:v>
      </x:c>
      <x:c r="K1812" s="17" t="str">
        <x:v>2026-09-11</x:v>
      </x:c>
      <x:c r="L1812" s="17" t="str">
        <x:v>Not cycle-specific</x:v>
      </x:c>
      <x:c r="M1812" s="17" t="str">
        <x:v>low</x:v>
      </x:c>
      <x:c r="N1812" s="17" t="str">
        <x:v>Discovery evidence only</x:v>
      </x:c>
      <x:c r="O1812" s="17" t="str">
        <x:v>Use the source_record_paths field to trace the underlying discovery inputs.</x:v>
      </x:c>
      <x:c r="P1812" s="18" t="e">
        <x:f>HYPERLINK("https://www.nyit.edu","Open source")</x:f>
        <x:v>HYPERLINK is not implemented. linkLocation=https://www.nyit.edu, friendlyName=Open source</x:v>
      </x:c>
    </x:row>
    <x:row r="1813" ht="46" customHeight="1">
      <x:c r="A1813" s="17" t="str">
        <x:v>stage3src:223deb248b1414ec3466</x:v>
      </x:c>
      <x:c r="B1813" s="17" t="str">
        <x:v>program</x:v>
      </x:c>
      <x:c r="C1813" s="17" t="str">
        <x:v>New York Institute of Technology</x:v>
      </x:c>
      <x:c r="D1813" s="17" t="str">
        <x:v>us:ipeds:194091:program:unclear:ipeds-discovery-signal-electrical-and-electronics-engineering-cip-14-1001</x:v>
      </x:c>
      <x:c r="E1813" s="17" t="str"/>
      <x:c r="F1813" s="17" t="str">
        <x:v>discovery</x:v>
      </x:c>
      <x:c r="G1813" s="17" t="str">
        <x:v>Stage 2 recorded this row as a discovery candidate; it does not independently verify an exact current research program, eligibility, or funding.</x:v>
      </x:c>
      <x:c r="H1813" s="17" t="str">
        <x:v>Pass 2 Stage 2 candidate funnel</x:v>
      </x:c>
      <x:c r="I1813" s="17" t="str">
        <x:v>Graduate audit pipeline</x:v>
      </x:c>
      <x:c r="J1813" s="17" t="str">
        <x:v>derived</x:v>
      </x:c>
      <x:c r="K1813" s="17" t="str">
        <x:v>2026-09-11</x:v>
      </x:c>
      <x:c r="L1813" s="17" t="str">
        <x:v>Not cycle-specific</x:v>
      </x:c>
      <x:c r="M1813" s="17" t="str">
        <x:v>low</x:v>
      </x:c>
      <x:c r="N1813" s="17" t="str">
        <x:v>Discovery evidence only</x:v>
      </x:c>
      <x:c r="O1813" s="17" t="str">
        <x:v>Use the source_record_paths field to trace the underlying discovery inputs.</x:v>
      </x:c>
      <x:c r="P1813" s="18" t="e">
        <x:f>HYPERLINK("https://www.nyit.edu","Open source")</x:f>
        <x:v>HYPERLINK is not implemented. linkLocation=https://www.nyit.edu, friendlyName=Open source</x:v>
      </x:c>
    </x:row>
    <x:row r="1814" ht="46" customHeight="1">
      <x:c r="A1814" s="17" t="str">
        <x:v>stage3src:e1a48a9e3e01fa2b5611</x:v>
      </x:c>
      <x:c r="B1814" s="17" t="str">
        <x:v>program</x:v>
      </x:c>
      <x:c r="C1814" s="17" t="str">
        <x:v>Pace University</x:v>
      </x:c>
      <x:c r="D1814" s="17" t="str">
        <x:v>us:ipeds:194310:program:unclear:ipeds-discovery-signal-computer-and-information-sciences-general-cip-11-0101</x:v>
      </x:c>
      <x:c r="E1814" s="17" t="str"/>
      <x:c r="F1814" s="17" t="str">
        <x:v>discovery</x:v>
      </x:c>
      <x:c r="G1814" s="17" t="str">
        <x:v>Stage 2 recorded this row as a discovery candidate; it does not independently verify an exact current research program, eligibility, or funding.</x:v>
      </x:c>
      <x:c r="H1814" s="17" t="str">
        <x:v>Pass 2 Stage 2 candidate funnel</x:v>
      </x:c>
      <x:c r="I1814" s="17" t="str">
        <x:v>Graduate audit pipeline</x:v>
      </x:c>
      <x:c r="J1814" s="17" t="str">
        <x:v>derived</x:v>
      </x:c>
      <x:c r="K1814" s="17" t="str">
        <x:v>2026-09-11</x:v>
      </x:c>
      <x:c r="L1814" s="17" t="str">
        <x:v>Not cycle-specific</x:v>
      </x:c>
      <x:c r="M1814" s="17" t="str">
        <x:v>low</x:v>
      </x:c>
      <x:c r="N1814" s="17" t="str">
        <x:v>Discovery evidence only</x:v>
      </x:c>
      <x:c r="O1814" s="17" t="str">
        <x:v>Use the source_record_paths field to trace the underlying discovery inputs.</x:v>
      </x:c>
      <x:c r="P1814" s="18" t="e">
        <x:f>HYPERLINK("https://www.pace.edu","Open source")</x:f>
        <x:v>HYPERLINK is not implemented. linkLocation=https://www.pace.edu, friendlyName=Open source</x:v>
      </x:c>
    </x:row>
    <x:row r="1815" ht="46" customHeight="1">
      <x:c r="A1815" s="17" t="str">
        <x:v>stage3src:00efcd33de9833a02c02</x:v>
      </x:c>
      <x:c r="B1815" s="17" t="str">
        <x:v>program</x:v>
      </x:c>
      <x:c r="C1815" s="17" t="str">
        <x:v>Pace University</x:v>
      </x:c>
      <x:c r="D1815" s="17" t="str">
        <x:v>us:ipeds:194310:program:unclear:ipeds-discovery-signal-computer-and-information-systems-security-auditing-information-assurance-cip-11-1003</x:v>
      </x:c>
      <x:c r="E1815" s="17" t="str"/>
      <x:c r="F1815" s="17" t="str">
        <x:v>discovery</x:v>
      </x:c>
      <x:c r="G1815" s="17" t="str">
        <x:v>Stage 2 recorded this row as a discovery candidate; it does not independently verify an exact current research program, eligibility, or funding.</x:v>
      </x:c>
      <x:c r="H1815" s="17" t="str">
        <x:v>Pass 2 Stage 2 candidate funnel</x:v>
      </x:c>
      <x:c r="I1815" s="17" t="str">
        <x:v>Graduate audit pipeline</x:v>
      </x:c>
      <x:c r="J1815" s="17" t="str">
        <x:v>derived</x:v>
      </x:c>
      <x:c r="K1815" s="17" t="str">
        <x:v>2026-09-11</x:v>
      </x:c>
      <x:c r="L1815" s="17" t="str">
        <x:v>Not cycle-specific</x:v>
      </x:c>
      <x:c r="M1815" s="17" t="str">
        <x:v>low</x:v>
      </x:c>
      <x:c r="N1815" s="17" t="str">
        <x:v>Discovery evidence only</x:v>
      </x:c>
      <x:c r="O1815" s="17" t="str">
        <x:v>Use the source_record_paths field to trace the underlying discovery inputs.</x:v>
      </x:c>
      <x:c r="P1815" s="18" t="e">
        <x:f>HYPERLINK("https://www.pace.edu","Open source")</x:f>
        <x:v>HYPERLINK is not implemented. linkLocation=https://www.pace.edu, friendlyName=Open source</x:v>
      </x:c>
    </x:row>
    <x:row r="1816" ht="46" customHeight="1">
      <x:c r="A1816" s="17" t="str">
        <x:v>stage3src:cf2fbb2c79271571da2d</x:v>
      </x:c>
      <x:c r="B1816" s="17" t="str">
        <x:v>program</x:v>
      </x:c>
      <x:c r="C1816" s="17" t="str">
        <x:v>Pace University</x:v>
      </x:c>
      <x:c r="D1816" s="17" t="str">
        <x:v>us:ipeds:194310:program:unclear:ipeds-discovery-signal-computer-science-cip-11-0701</x:v>
      </x:c>
      <x:c r="E1816" s="17" t="str"/>
      <x:c r="F1816" s="17" t="str">
        <x:v>discovery</x:v>
      </x:c>
      <x:c r="G1816" s="17" t="str">
        <x:v>Stage 2 recorded this row as a discovery candidate; it does not independently verify an exact current research program, eligibility, or funding.</x:v>
      </x:c>
      <x:c r="H1816" s="17" t="str">
        <x:v>Pass 2 Stage 2 candidate funnel</x:v>
      </x:c>
      <x:c r="I1816" s="17" t="str">
        <x:v>Graduate audit pipeline</x:v>
      </x:c>
      <x:c r="J1816" s="17" t="str">
        <x:v>derived</x:v>
      </x:c>
      <x:c r="K1816" s="17" t="str">
        <x:v>2026-09-11</x:v>
      </x:c>
      <x:c r="L1816" s="17" t="str">
        <x:v>Not cycle-specific</x:v>
      </x:c>
      <x:c r="M1816" s="17" t="str">
        <x:v>low</x:v>
      </x:c>
      <x:c r="N1816" s="17" t="str">
        <x:v>Discovery evidence only</x:v>
      </x:c>
      <x:c r="O1816" s="17" t="str">
        <x:v>Use the source_record_paths field to trace the underlying discovery inputs.</x:v>
      </x:c>
      <x:c r="P1816" s="18" t="e">
        <x:f>HYPERLINK("https://www.pace.edu","Open source")</x:f>
        <x:v>HYPERLINK is not implemented. linkLocation=https://www.pace.edu, friendlyName=Open source</x:v>
      </x:c>
    </x:row>
    <x:row r="1817" ht="46" customHeight="1">
      <x:c r="A1817" s="17" t="str">
        <x:v>stage3src:2f5066570f5ea8c88c90</x:v>
      </x:c>
      <x:c r="B1817" s="17" t="str">
        <x:v>program</x:v>
      </x:c>
      <x:c r="C1817" s="17" t="str">
        <x:v>Pace University</x:v>
      </x:c>
      <x:c r="D1817" s="17" t="str">
        <x:v>us:ipeds:194310:program:unclear:ipeds-discovery-signal-computer-software-engineering-cip-14-0903</x:v>
      </x:c>
      <x:c r="E1817" s="17" t="str"/>
      <x:c r="F1817" s="17" t="str">
        <x:v>discovery</x:v>
      </x:c>
      <x:c r="G1817" s="17" t="str">
        <x:v>Stage 2 recorded this row as a discovery candidate; it does not independently verify an exact current research program, eligibility, or funding.</x:v>
      </x:c>
      <x:c r="H1817" s="17" t="str">
        <x:v>Pass 2 Stage 2 candidate funnel</x:v>
      </x:c>
      <x:c r="I1817" s="17" t="str">
        <x:v>Graduate audit pipeline</x:v>
      </x:c>
      <x:c r="J1817" s="17" t="str">
        <x:v>derived</x:v>
      </x:c>
      <x:c r="K1817" s="17" t="str">
        <x:v>2026-09-11</x:v>
      </x:c>
      <x:c r="L1817" s="17" t="str">
        <x:v>Not cycle-specific</x:v>
      </x:c>
      <x:c r="M1817" s="17" t="str">
        <x:v>low</x:v>
      </x:c>
      <x:c r="N1817" s="17" t="str">
        <x:v>Discovery evidence only</x:v>
      </x:c>
      <x:c r="O1817" s="17" t="str">
        <x:v>Use the source_record_paths field to trace the underlying discovery inputs.</x:v>
      </x:c>
      <x:c r="P1817" s="18" t="e">
        <x:f>HYPERLINK("https://www.pace.edu","Open source")</x:f>
        <x:v>HYPERLINK is not implemented. linkLocation=https://www.pace.edu, friendlyName=Open source</x:v>
      </x:c>
    </x:row>
    <x:row r="1818" ht="46" customHeight="1">
      <x:c r="A1818" s="17" t="str">
        <x:v>stage3src:1399c1465f92c2f24677</x:v>
      </x:c>
      <x:c r="B1818" s="17" t="str">
        <x:v>program</x:v>
      </x:c>
      <x:c r="C1818" s="17" t="str">
        <x:v>Pace University</x:v>
      </x:c>
      <x:c r="D1818" s="17" t="str">
        <x:v>us:ipeds:194310:program:unclear:ipeds-discovery-signal-information-science-studies-cip-11-0401</x:v>
      </x:c>
      <x:c r="E1818" s="17" t="str"/>
      <x:c r="F1818" s="17" t="str">
        <x:v>discovery</x:v>
      </x:c>
      <x:c r="G1818" s="17" t="str">
        <x:v>Stage 2 recorded this row as a discovery candidate; it does not independently verify an exact current research program, eligibility, or funding.</x:v>
      </x:c>
      <x:c r="H1818" s="17" t="str">
        <x:v>Pass 2 Stage 2 candidate funnel</x:v>
      </x:c>
      <x:c r="I1818" s="17" t="str">
        <x:v>Graduate audit pipeline</x:v>
      </x:c>
      <x:c r="J1818" s="17" t="str">
        <x:v>derived</x:v>
      </x:c>
      <x:c r="K1818" s="17" t="str">
        <x:v>2026-09-11</x:v>
      </x:c>
      <x:c r="L1818" s="17" t="str">
        <x:v>Not cycle-specific</x:v>
      </x:c>
      <x:c r="M1818" s="17" t="str">
        <x:v>low</x:v>
      </x:c>
      <x:c r="N1818" s="17" t="str">
        <x:v>Discovery evidence only</x:v>
      </x:c>
      <x:c r="O1818" s="17" t="str">
        <x:v>Use the source_record_paths field to trace the underlying discovery inputs.</x:v>
      </x:c>
      <x:c r="P1818" s="18" t="e">
        <x:f>HYPERLINK("https://www.pace.edu","Open source")</x:f>
        <x:v>HYPERLINK is not implemented. linkLocation=https://www.pace.edu, friendlyName=Open source</x:v>
      </x:c>
    </x:row>
    <x:row r="1819" ht="46" customHeight="1">
      <x:c r="A1819" s="17" t="str">
        <x:v>stage3src:2819c039601352455cb9</x:v>
      </x:c>
      <x:c r="B1819" s="17" t="str">
        <x:v>program</x:v>
      </x:c>
      <x:c r="C1819" s="17" t="str">
        <x:v>Pratt Institute-Main</x:v>
      </x:c>
      <x:c r="D1819" s="17" t="str">
        <x:v>us:ipeds:194578:program:unclear:ipeds-discovery-signal-informatics-cip-11-0104</x:v>
      </x:c>
      <x:c r="E1819" s="17" t="str"/>
      <x:c r="F1819" s="17" t="str">
        <x:v>discovery</x:v>
      </x:c>
      <x:c r="G1819" s="17" t="str">
        <x:v>Stage 2 recorded this row as a discovery candidate; it does not independently verify an exact current research program, eligibility, or funding.</x:v>
      </x:c>
      <x:c r="H1819" s="17" t="str">
        <x:v>Pass 2 Stage 2 candidate funnel</x:v>
      </x:c>
      <x:c r="I1819" s="17" t="str">
        <x:v>Graduate audit pipeline</x:v>
      </x:c>
      <x:c r="J1819" s="17" t="str">
        <x:v>derived</x:v>
      </x:c>
      <x:c r="K1819" s="17" t="str">
        <x:v>2026-09-11</x:v>
      </x:c>
      <x:c r="L1819" s="17" t="str">
        <x:v>Not cycle-specific</x:v>
      </x:c>
      <x:c r="M1819" s="17" t="str">
        <x:v>low</x:v>
      </x:c>
      <x:c r="N1819" s="17" t="str">
        <x:v>Discovery evidence only</x:v>
      </x:c>
      <x:c r="O1819" s="17" t="str">
        <x:v>Use the source_record_paths field to trace the underlying discovery inputs.</x:v>
      </x:c>
      <x:c r="P1819" s="18" t="e">
        <x:f>HYPERLINK("https://www.pratt.edu","Open source")</x:f>
        <x:v>HYPERLINK is not implemented. linkLocation=https://www.pratt.edu, friendlyName=Open source</x:v>
      </x:c>
    </x:row>
    <x:row r="1820" ht="46" customHeight="1">
      <x:c r="A1820" s="17" t="str">
        <x:v>stage3src:de35a42402e97cd764eb</x:v>
      </x:c>
      <x:c r="B1820" s="17" t="str">
        <x:v>program</x:v>
      </x:c>
      <x:c r="C1820" s="17" t="str">
        <x:v>Pratt Institute-Main</x:v>
      </x:c>
      <x:c r="D1820" s="17" t="str">
        <x:v>us:ipeds:194578:program:unclear:ipeds-discovery-signal-information-science-studies-cip-11-0401</x:v>
      </x:c>
      <x:c r="E1820" s="17" t="str"/>
      <x:c r="F1820" s="17" t="str">
        <x:v>discovery</x:v>
      </x:c>
      <x:c r="G1820" s="17" t="str">
        <x:v>Stage 2 recorded this row as a discovery candidate; it does not independently verify an exact current research program, eligibility, or funding.</x:v>
      </x:c>
      <x:c r="H1820" s="17" t="str">
        <x:v>Pass 2 Stage 2 candidate funnel</x:v>
      </x:c>
      <x:c r="I1820" s="17" t="str">
        <x:v>Graduate audit pipeline</x:v>
      </x:c>
      <x:c r="J1820" s="17" t="str">
        <x:v>derived</x:v>
      </x:c>
      <x:c r="K1820" s="17" t="str">
        <x:v>2026-09-11</x:v>
      </x:c>
      <x:c r="L1820" s="17" t="str">
        <x:v>Not cycle-specific</x:v>
      </x:c>
      <x:c r="M1820" s="17" t="str">
        <x:v>low</x:v>
      </x:c>
      <x:c r="N1820" s="17" t="str">
        <x:v>Discovery evidence only</x:v>
      </x:c>
      <x:c r="O1820" s="17" t="str">
        <x:v>Use the source_record_paths field to trace the underlying discovery inputs.</x:v>
      </x:c>
      <x:c r="P1820" s="18" t="e">
        <x:f>HYPERLINK("https://www.pratt.edu","Open source")</x:f>
        <x:v>HYPERLINK is not implemented. linkLocation=https://www.pratt.edu, friendlyName=Open source</x:v>
      </x:c>
    </x:row>
    <x:row r="1821" ht="46" customHeight="1">
      <x:c r="A1821" s="17" t="str">
        <x:v>stage3src:015e4411309f9787be79</x:v>
      </x:c>
      <x:c r="B1821" s="17" t="str">
        <x:v>program</x:v>
      </x:c>
      <x:c r="C1821" s="17" t="str">
        <x:v>Rensselaer Polytechnic Institute</x:v>
      </x:c>
      <x:c r="D1821" s="17" t="str">
        <x:v>us:ipeds:194824:program:phd:ph-d-in-computer-science</x:v>
      </x:c>
      <x:c r="E1821" s="17" t="str"/>
      <x:c r="F1821" s="17" t="str">
        <x:v>funding|tuition|stipend|summer|fees</x:v>
      </x:c>
      <x:c r="G1821" s="17" t="str">
        <x:v>Assistantship tuition waivers and 2026-27 academic-year and summer stipend minimums.</x:v>
      </x:c>
      <x:c r="H1821" s="17" t="str">
        <x:v>Internal Funding</x:v>
      </x:c>
      <x:c r="I1821" s="17" t="str">
        <x:v>Rensselaer Polytechnic Institute</x:v>
      </x:c>
      <x:c r="J1821" s="17" t="str">
        <x:v>official</x:v>
      </x:c>
      <x:c r="K1821" s="17" t="str">
        <x:v>2026-09-11</x:v>
      </x:c>
      <x:c r="L1821" s="17" t="str">
        <x:v>2026-27 funding rates checked 2026-09-11</x:v>
      </x:c>
      <x:c r="M1821" s="17" t="str">
        <x:v>high</x:v>
      </x:c>
      <x:c r="N1821" s="17" t="str">
        <x:v>official page checked</x:v>
      </x:c>
      <x:c r="O1821" s="17" t="str"/>
      <x:c r="P1821" s="18" t="e">
        <x:f>HYPERLINK("https://graduate.rpi.edu/funding-fellowships/internal-funding","Open source")</x:f>
        <x:v>HYPERLINK is not implemented. linkLocation=https://graduate.rpi.edu/funding-fellowships/internal-funding, friendlyName=Open source</x:v>
      </x:c>
    </x:row>
    <x:row r="1822" ht="46" customHeight="1">
      <x:c r="A1822" s="17" t="str">
        <x:v>stage3src:c84611953bcf9e838361</x:v>
      </x:c>
      <x:c r="B1822" s="17" t="str">
        <x:v>program</x:v>
      </x:c>
      <x:c r="C1822" s="17" t="str">
        <x:v>Rensselaer Polytechnic Institute</x:v>
      </x:c>
      <x:c r="D1822" s="17" t="str">
        <x:v>us:ipeds:194824:program:phd:ph-d-in-computer-science</x:v>
      </x:c>
      <x:c r="E1822" s="17" t="str"/>
      <x:c r="F1822" s="17" t="str">
        <x:v>program|research|admissions|eligibility|deadline|funding|tuition</x:v>
      </x:c>
      <x:c r="G1822" s="17" t="str">
        <x:v>Current direct/post-MS doctorate, original-research milestones, competitive admission, financial-aid deadline, and department duration-funding statement.</x:v>
      </x:c>
      <x:c r="H1822" s="17" t="str">
        <x:v>Ph.D. in Computer Science</x:v>
      </x:c>
      <x:c r="I1822" s="17" t="str">
        <x:v>Rensselaer Polytechnic Institute</x:v>
      </x:c>
      <x:c r="J1822" s="17" t="str">
        <x:v>official</x:v>
      </x:c>
      <x:c r="K1822" s="17" t="str">
        <x:v>2026-09-11</x:v>
      </x:c>
      <x:c r="L1822" s="17" t="str">
        <x:v>Current recurring deadlines checked 2026-09-11</x:v>
      </x:c>
      <x:c r="M1822" s="17" t="str">
        <x:v>high</x:v>
      </x:c>
      <x:c r="N1822" s="17" t="str">
        <x:v>official page checked</x:v>
      </x:c>
      <x:c r="O1822" s="17" t="str"/>
      <x:c r="P1822" s="18" t="e">
        <x:f>HYPERLINK("https://compsci.rpi.edu/programs/phd-computer-science","Open source")</x:f>
        <x:v>HYPERLINK is not implemented. linkLocation=https://compsci.rpi.edu/programs/phd-computer-science, friendlyName=Open source</x:v>
      </x:c>
    </x:row>
    <x:row r="1823" ht="46" customHeight="1">
      <x:c r="A1823" s="17" t="str">
        <x:v>stage3src:f856d8f0f3d8a83f58c8</x:v>
      </x:c>
      <x:c r="B1823" s="17" t="str">
        <x:v>program</x:v>
      </x:c>
      <x:c r="C1823" s="17" t="str">
        <x:v>Rensselaer Polytechnic Institute</x:v>
      </x:c>
      <x:c r="D1823" s="17" t="str">
        <x:v>us:ipeds:194824:program:unclear:ipeds-discovery-signal-computer-science-cip-11-0701</x:v>
      </x:c>
      <x:c r="E1823" s="17" t="str"/>
      <x:c r="F1823" s="17" t="str">
        <x:v>discovery</x:v>
      </x:c>
      <x:c r="G1823" s="17" t="str">
        <x:v>Stage 2 recorded this row as a discovery candidate; it does not independently verify an exact current research program, eligibility, or funding.</x:v>
      </x:c>
      <x:c r="H1823" s="17" t="str">
        <x:v>Pass 2 Stage 2 candidate funnel</x:v>
      </x:c>
      <x:c r="I1823" s="17" t="str">
        <x:v>Graduate audit pipeline</x:v>
      </x:c>
      <x:c r="J1823" s="17" t="str">
        <x:v>derived</x:v>
      </x:c>
      <x:c r="K1823" s="17" t="str">
        <x:v>2026-09-11</x:v>
      </x:c>
      <x:c r="L1823" s="17" t="str">
        <x:v>Not cycle-specific</x:v>
      </x:c>
      <x:c r="M1823" s="17" t="str">
        <x:v>low</x:v>
      </x:c>
      <x:c r="N1823" s="17" t="str">
        <x:v>Discovery evidence only</x:v>
      </x:c>
      <x:c r="O1823" s="17" t="str">
        <x:v>Use the source_record_paths field to trace the underlying discovery inputs.</x:v>
      </x:c>
      <x:c r="P1823" s="18" t="e">
        <x:f>HYPERLINK("https://www.rpi.edu","Open source")</x:f>
        <x:v>HYPERLINK is not implemented. linkLocation=https://www.rpi.edu, friendlyName=Open source</x:v>
      </x:c>
    </x:row>
    <x:row r="1824" ht="46" customHeight="1">
      <x:c r="A1824" s="17" t="str">
        <x:v>stage3src:36b388ac056c0f71a9f2</x:v>
      </x:c>
      <x:c r="B1824" s="17" t="str">
        <x:v>program</x:v>
      </x:c>
      <x:c r="C1824" s="17" t="str">
        <x:v>Rensselaer Polytechnic Institute</x:v>
      </x:c>
      <x:c r="D1824" s="17" t="str">
        <x:v>us:ipeds:194824:program:unclear:ipeds-discovery-signal-electrical-and-electronics-engineering-cip-14-1001</x:v>
      </x:c>
      <x:c r="E1824" s="17" t="str"/>
      <x:c r="F1824" s="17" t="str">
        <x:v>discovery</x:v>
      </x:c>
      <x:c r="G1824" s="17" t="str">
        <x:v>Stage 2 recorded this row as a discovery candidate; it does not independently verify an exact current research program, eligibility, or funding.</x:v>
      </x:c>
      <x:c r="H1824" s="17" t="str">
        <x:v>Pass 2 Stage 2 candidate funnel</x:v>
      </x:c>
      <x:c r="I1824" s="17" t="str">
        <x:v>Graduate audit pipeline</x:v>
      </x:c>
      <x:c r="J1824" s="17" t="str">
        <x:v>derived</x:v>
      </x:c>
      <x:c r="K1824" s="17" t="str">
        <x:v>2026-09-11</x:v>
      </x:c>
      <x:c r="L1824" s="17" t="str">
        <x:v>Not cycle-specific</x:v>
      </x:c>
      <x:c r="M1824" s="17" t="str">
        <x:v>low</x:v>
      </x:c>
      <x:c r="N1824" s="17" t="str">
        <x:v>Discovery evidence only</x:v>
      </x:c>
      <x:c r="O1824" s="17" t="str">
        <x:v>Use the source_record_paths field to trace the underlying discovery inputs.</x:v>
      </x:c>
      <x:c r="P1824" s="18" t="e">
        <x:f>HYPERLINK("https://www.rpi.edu","Open source")</x:f>
        <x:v>HYPERLINK is not implemented. linkLocation=https://www.rpi.edu, friendlyName=Open source</x:v>
      </x:c>
    </x:row>
    <x:row r="1825" ht="46" customHeight="1">
      <x:c r="A1825" s="17" t="str">
        <x:v>stage3src:93aace9e2ec9a2ba1799</x:v>
      </x:c>
      <x:c r="B1825" s="17" t="str">
        <x:v>program</x:v>
      </x:c>
      <x:c r="C1825" s="17" t="str">
        <x:v>Rensselaer Polytechnic Institute</x:v>
      </x:c>
      <x:c r="D1825" s="17" t="str">
        <x:v>us:ipeds:194824:program:unclear:ipeds-discovery-signal-information-technology-cip-11-0103</x:v>
      </x:c>
      <x:c r="E1825" s="17" t="str"/>
      <x:c r="F1825" s="17" t="str">
        <x:v>discovery</x:v>
      </x:c>
      <x:c r="G1825" s="17" t="str">
        <x:v>Stage 2 recorded this row as a discovery candidate; it does not independently verify an exact current research program, eligibility, or funding.</x:v>
      </x:c>
      <x:c r="H1825" s="17" t="str">
        <x:v>Pass 2 Stage 2 candidate funnel</x:v>
      </x:c>
      <x:c r="I1825" s="17" t="str">
        <x:v>Graduate audit pipeline</x:v>
      </x:c>
      <x:c r="J1825" s="17" t="str">
        <x:v>derived</x:v>
      </x:c>
      <x:c r="K1825" s="17" t="str">
        <x:v>2026-09-11</x:v>
      </x:c>
      <x:c r="L1825" s="17" t="str">
        <x:v>Not cycle-specific</x:v>
      </x:c>
      <x:c r="M1825" s="17" t="str">
        <x:v>low</x:v>
      </x:c>
      <x:c r="N1825" s="17" t="str">
        <x:v>Discovery evidence only</x:v>
      </x:c>
      <x:c r="O1825" s="17" t="str">
        <x:v>Use the source_record_paths field to trace the underlying discovery inputs.</x:v>
      </x:c>
      <x:c r="P1825" s="18" t="e">
        <x:f>HYPERLINK("https://www.rpi.edu","Open source")</x:f>
        <x:v>HYPERLINK is not implemented. linkLocation=https://www.rpi.edu, friendlyName=Open source</x:v>
      </x:c>
    </x:row>
    <x:row r="1826" ht="46" customHeight="1">
      <x:c r="A1826" s="17" t="str">
        <x:v>stage3src:2cae7e37d9f81e7d2844</x:v>
      </x:c>
      <x:c r="B1826" s="17" t="str">
        <x:v>program</x:v>
      </x:c>
      <x:c r="C1826" s="17" t="str">
        <x:v>Rochester Institute of Technology</x:v>
      </x:c>
      <x:c r="D1826" s="17" t="str">
        <x:v>us:ipeds:195003:program:phd:computing-and-information-sciences-phd</x:v>
      </x:c>
      <x:c r="E1826" s="17" t="str"/>
      <x:c r="F1826" s="17" t="str">
        <x:v>funding|deadline|eligibility|program</x:v>
      </x:c>
      <x:c r="G1826" s="17" t="str">
        <x:v>Active interdisciplinary PhD, bachelor's entry, international eligibility, priority deadline, and typical funding</x:v>
      </x:c>
      <x:c r="H1826" s="17" t="str">
        <x:v>Computing and Information Sciences PhD</x:v>
      </x:c>
      <x:c r="I1826" s="17" t="str">
        <x:v>Rochester Institute of Technology</x:v>
      </x:c>
      <x:c r="J1826" s="17" t="str">
        <x:v>Official</x:v>
      </x:c>
      <x:c r="K1826" s="17" t="str">
        <x:v>2026-09-09</x:v>
      </x:c>
      <x:c r="L1826" s="17" t="str">
        <x:v>2026–27; Fall 2027 not explicit</x:v>
      </x:c>
      <x:c r="M1826" s="17" t="str">
        <x:v>High</x:v>
      </x:c>
      <x:c r="N1826" s="17" t="str">
        <x:v>Verified</x:v>
      </x:c>
      <x:c r="O1826" s="17" t="str"/>
      <x:c r="P1826" s="18" t="e">
        <x:f>HYPERLINK("https://www.rit.edu/study/computing-and-information-sciences-phd","Open source")</x:f>
        <x:v>HYPERLINK is not implemented. linkLocation=https://www.rit.edu/study/computing-and-information-sciences-phd, friendlyName=Open source</x:v>
      </x:c>
    </x:row>
    <x:row r="1827" ht="46" customHeight="1">
      <x:c r="A1827" s="17" t="str">
        <x:v>stage3src:4d4a604c23bfb6698f56</x:v>
      </x:c>
      <x:c r="B1827" s="17" t="str">
        <x:v>program</x:v>
      </x:c>
      <x:c r="C1827" s="17" t="str">
        <x:v>Rochester Institute of Technology</x:v>
      </x:c>
      <x:c r="D1827" s="17" t="str">
        <x:v>us:ipeds:195003:program:phd:computing-and-information-sciences-phd</x:v>
      </x:c>
      <x:c r="E1827" s="17" t="str"/>
      <x:c r="F1827" s="17" t="str">
        <x:v>program</x:v>
      </x:c>
      <x:c r="G1827" s="17" t="str">
        <x:v>Current explicit PhD opening in agent security and program analysis/testing</x:v>
      </x:c>
      <x:c r="H1827" s="17" t="str">
        <x:v>PhD Research Opportunities</x:v>
      </x:c>
      <x:c r="I1827" s="17" t="str">
        <x:v>Rochester Institute of Technology</x:v>
      </x:c>
      <x:c r="J1827" s="17" t="str">
        <x:v>Official</x:v>
      </x:c>
      <x:c r="K1827" s="17" t="str">
        <x:v>2026-09-09</x:v>
      </x:c>
      <x:c r="L1827" s="17" t="str">
        <x:v>Current</x:v>
      </x:c>
      <x:c r="M1827" s="17" t="str">
        <x:v>High</x:v>
      </x:c>
      <x:c r="N1827" s="17" t="str">
        <x:v>Verified</x:v>
      </x:c>
      <x:c r="O1827" s="17" t="str">
        <x:v>Start cycle not explicit; confirm Fall 2027.</x:v>
      </x:c>
      <x:c r="P1827" s="18" t="e">
        <x:f>HYPERLINK("https://www.rit.edu/cybersecurity/phd-research-opportunities","Open source")</x:f>
        <x:v>HYPERLINK is not implemented. linkLocation=https://www.rit.edu/cybersecurity/phd-research-opportunities, friendlyName=Open source</x:v>
      </x:c>
    </x:row>
    <x:row r="1828" ht="46" customHeight="1">
      <x:c r="A1828" s="17" t="str">
        <x:v>stage3src:ddd76fa27df0038dffd4</x:v>
      </x:c>
      <x:c r="B1828" s="17" t="str">
        <x:v>program</x:v>
      </x:c>
      <x:c r="C1828" s="17" t="str">
        <x:v>Rochester Institute of Technology</x:v>
      </x:c>
      <x:c r="D1828" s="17" t="str">
        <x:v>us:ipeds:195003:program:phd:computing-and-information-sciences-phd</x:v>
      </x:c>
      <x:c r="E1828" s="17" t="str"/>
      <x:c r="F1828" s="17" t="str">
        <x:v>fees|eligibility</x:v>
      </x:c>
      <x:c r="G1828" s="17" t="str">
        <x:v>Direct bachelor's route, typical GPA, and $65 fee</x:v>
      </x:c>
      <x:c r="H1828" s="17" t="str">
        <x:v>Applying for a Doctoral Program</x:v>
      </x:c>
      <x:c r="I1828" s="17" t="str">
        <x:v>Rochester Institute of Technology</x:v>
      </x:c>
      <x:c r="J1828" s="17" t="str">
        <x:v>Official</x:v>
      </x:c>
      <x:c r="K1828" s="17" t="str">
        <x:v>2026-09-09</x:v>
      </x:c>
      <x:c r="L1828" s="17" t="str">
        <x:v>Current</x:v>
      </x:c>
      <x:c r="M1828" s="17" t="str">
        <x:v>High</x:v>
      </x:c>
      <x:c r="N1828" s="17" t="str">
        <x:v>Verified</x:v>
      </x:c>
      <x:c r="O1828" s="17" t="str"/>
      <x:c r="P1828" s="18" t="e">
        <x:f>HYPERLINK("https://www.rit.edu/admissions/graduate/applying-doctoral-program","Open source")</x:f>
        <x:v>HYPERLINK is not implemented. linkLocation=https://www.rit.edu/admissions/graduate/applying-doctoral-program, friendlyName=Open source</x:v>
      </x:c>
    </x:row>
    <x:row r="1829" ht="46" customHeight="1">
      <x:c r="A1829" s="17" t="str">
        <x:v>stage3src:2ccabe89af584190fa26</x:v>
      </x:c>
      <x:c r="B1829" s="17" t="str">
        <x:v>program</x:v>
      </x:c>
      <x:c r="C1829" s="17" t="str">
        <x:v>Rochester Institute of Technology</x:v>
      </x:c>
      <x:c r="D1829" s="17" t="str">
        <x:v>us:ipeds:195003:program:unclear:ipeds-discovery-signal-computer-and-information-sciences-general-cip-11-0101</x:v>
      </x:c>
      <x:c r="E1829" s="17" t="str"/>
      <x:c r="F1829" s="17" t="str">
        <x:v>discovery</x:v>
      </x:c>
      <x:c r="G1829" s="17" t="str">
        <x:v>Stage 2 recorded this row as a discovery candidate; it does not independently verify an exact current research program, eligibility, or funding.</x:v>
      </x:c>
      <x:c r="H1829" s="17" t="str">
        <x:v>Pass 2 Stage 2 candidate funnel</x:v>
      </x:c>
      <x:c r="I1829" s="17" t="str">
        <x:v>Graduate audit pipeline</x:v>
      </x:c>
      <x:c r="J1829" s="17" t="str">
        <x:v>derived</x:v>
      </x:c>
      <x:c r="K1829" s="17" t="str">
        <x:v>2026-09-11</x:v>
      </x:c>
      <x:c r="L1829" s="17" t="str">
        <x:v>Not cycle-specific</x:v>
      </x:c>
      <x:c r="M1829" s="17" t="str">
        <x:v>low</x:v>
      </x:c>
      <x:c r="N1829" s="17" t="str">
        <x:v>Discovery evidence only</x:v>
      </x:c>
      <x:c r="O1829" s="17" t="str">
        <x:v>Use the source_record_paths field to trace the underlying discovery inputs.</x:v>
      </x:c>
      <x:c r="P1829" s="18" t="e">
        <x:f>HYPERLINK("https://www.rit.edu","Open source")</x:f>
        <x:v>HYPERLINK is not implemented. linkLocation=https://www.rit.edu, friendlyName=Open source</x:v>
      </x:c>
    </x:row>
    <x:row r="1830" ht="46" customHeight="1">
      <x:c r="A1830" s="17" t="str">
        <x:v>stage3src:63bca802ba81183dbb99</x:v>
      </x:c>
      <x:c r="B1830" s="17" t="str">
        <x:v>program</x:v>
      </x:c>
      <x:c r="C1830" s="17" t="str">
        <x:v>Rochester Institute of Technology</x:v>
      </x:c>
      <x:c r="D1830" s="17" t="str">
        <x:v>us:ipeds:195003:program:unclear:ipeds-discovery-signal-computer-and-information-systems-security-auditing-information-assurance-cip-11-1003</x:v>
      </x:c>
      <x:c r="E1830" s="17" t="str"/>
      <x:c r="F1830" s="17" t="str">
        <x:v>discovery</x:v>
      </x:c>
      <x:c r="G1830" s="17" t="str">
        <x:v>Stage 2 recorded this row as a discovery candidate; it does not independently verify an exact current research program, eligibility, or funding.</x:v>
      </x:c>
      <x:c r="H1830" s="17" t="str">
        <x:v>Pass 2 Stage 2 candidate funnel</x:v>
      </x:c>
      <x:c r="I1830" s="17" t="str">
        <x:v>Graduate audit pipeline</x:v>
      </x:c>
      <x:c r="J1830" s="17" t="str">
        <x:v>derived</x:v>
      </x:c>
      <x:c r="K1830" s="17" t="str">
        <x:v>2026-09-11</x:v>
      </x:c>
      <x:c r="L1830" s="17" t="str">
        <x:v>Not cycle-specific</x:v>
      </x:c>
      <x:c r="M1830" s="17" t="str">
        <x:v>low</x:v>
      </x:c>
      <x:c r="N1830" s="17" t="str">
        <x:v>Discovery evidence only</x:v>
      </x:c>
      <x:c r="O1830" s="17" t="str">
        <x:v>Use the source_record_paths field to trace the underlying discovery inputs.</x:v>
      </x:c>
      <x:c r="P1830" s="18" t="e">
        <x:f>HYPERLINK("https://www.rit.edu","Open source")</x:f>
        <x:v>HYPERLINK is not implemented. linkLocation=https://www.rit.edu, friendlyName=Open source</x:v>
      </x:c>
    </x:row>
    <x:row r="1831" ht="46" customHeight="1">
      <x:c r="A1831" s="17" t="str">
        <x:v>stage3src:937bdf1063cde37f1db4</x:v>
      </x:c>
      <x:c r="B1831" s="17" t="str">
        <x:v>program</x:v>
      </x:c>
      <x:c r="C1831" s="17" t="str">
        <x:v>Rochester Institute of Technology</x:v>
      </x:c>
      <x:c r="D1831" s="17" t="str">
        <x:v>us:ipeds:195003:program:unclear:ipeds-discovery-signal-computer-engineering-general-cip-14-0901</x:v>
      </x:c>
      <x:c r="E1831" s="17" t="str"/>
      <x:c r="F1831" s="17" t="str">
        <x:v>discovery</x:v>
      </x:c>
      <x:c r="G1831" s="17" t="str">
        <x:v>Stage 2 recorded this row as a discovery candidate; it does not independently verify an exact current research program, eligibility, or funding.</x:v>
      </x:c>
      <x:c r="H1831" s="17" t="str">
        <x:v>Pass 2 Stage 2 candidate funnel</x:v>
      </x:c>
      <x:c r="I1831" s="17" t="str">
        <x:v>Graduate audit pipeline</x:v>
      </x:c>
      <x:c r="J1831" s="17" t="str">
        <x:v>derived</x:v>
      </x:c>
      <x:c r="K1831" s="17" t="str">
        <x:v>2026-09-11</x:v>
      </x:c>
      <x:c r="L1831" s="17" t="str">
        <x:v>Not cycle-specific</x:v>
      </x:c>
      <x:c r="M1831" s="17" t="str">
        <x:v>low</x:v>
      </x:c>
      <x:c r="N1831" s="17" t="str">
        <x:v>Discovery evidence only</x:v>
      </x:c>
      <x:c r="O1831" s="17" t="str">
        <x:v>Use the source_record_paths field to trace the underlying discovery inputs.</x:v>
      </x:c>
      <x:c r="P1831" s="18" t="e">
        <x:f>HYPERLINK("https://www.rit.edu","Open source")</x:f>
        <x:v>HYPERLINK is not implemented. linkLocation=https://www.rit.edu, friendlyName=Open source</x:v>
      </x:c>
    </x:row>
    <x:row r="1832" ht="46" customHeight="1">
      <x:c r="A1832" s="17" t="str">
        <x:v>stage3src:fc9d36d00285cc35a9b1</x:v>
      </x:c>
      <x:c r="B1832" s="17" t="str">
        <x:v>program</x:v>
      </x:c>
      <x:c r="C1832" s="17" t="str">
        <x:v>Rochester Institute of Technology</x:v>
      </x:c>
      <x:c r="D1832" s="17" t="str">
        <x:v>us:ipeds:195003:program:unclear:ipeds-discovery-signal-computer-science-cip-11-0701</x:v>
      </x:c>
      <x:c r="E1832" s="17" t="str"/>
      <x:c r="F1832" s="17" t="str">
        <x:v>discovery</x:v>
      </x:c>
      <x:c r="G1832" s="17" t="str">
        <x:v>Stage 2 recorded this row as a discovery candidate; it does not independently verify an exact current research program, eligibility, or funding.</x:v>
      </x:c>
      <x:c r="H1832" s="17" t="str">
        <x:v>Pass 2 Stage 2 candidate funnel</x:v>
      </x:c>
      <x:c r="I1832" s="17" t="str">
        <x:v>Graduate audit pipeline</x:v>
      </x:c>
      <x:c r="J1832" s="17" t="str">
        <x:v>derived</x:v>
      </x:c>
      <x:c r="K1832" s="17" t="str">
        <x:v>2026-09-11</x:v>
      </x:c>
      <x:c r="L1832" s="17" t="str">
        <x:v>Not cycle-specific</x:v>
      </x:c>
      <x:c r="M1832" s="17" t="str">
        <x:v>low</x:v>
      </x:c>
      <x:c r="N1832" s="17" t="str">
        <x:v>Discovery evidence only</x:v>
      </x:c>
      <x:c r="O1832" s="17" t="str">
        <x:v>Use the source_record_paths field to trace the underlying discovery inputs.</x:v>
      </x:c>
      <x:c r="P1832" s="18" t="e">
        <x:f>HYPERLINK("https://www.rit.edu","Open source")</x:f>
        <x:v>HYPERLINK is not implemented. linkLocation=https://www.rit.edu, friendlyName=Open source</x:v>
      </x:c>
    </x:row>
    <x:row r="1833" ht="46" customHeight="1">
      <x:c r="A1833" s="17" t="str">
        <x:v>stage3src:02851e84785ad8fd238e</x:v>
      </x:c>
      <x:c r="B1833" s="17" t="str">
        <x:v>program</x:v>
      </x:c>
      <x:c r="C1833" s="17" t="str">
        <x:v>Rochester Institute of Technology</x:v>
      </x:c>
      <x:c r="D1833" s="17" t="str">
        <x:v>us:ipeds:195003:program:unclear:ipeds-discovery-signal-computer-software-engineering-cip-14-0903</x:v>
      </x:c>
      <x:c r="E1833" s="17" t="str"/>
      <x:c r="F1833" s="17" t="str">
        <x:v>discovery</x:v>
      </x:c>
      <x:c r="G1833" s="17" t="str">
        <x:v>Stage 2 recorded this row as a discovery candidate; it does not independently verify an exact current research program, eligibility, or funding.</x:v>
      </x:c>
      <x:c r="H1833" s="17" t="str">
        <x:v>Pass 2 Stage 2 candidate funnel</x:v>
      </x:c>
      <x:c r="I1833" s="17" t="str">
        <x:v>Graduate audit pipeline</x:v>
      </x:c>
      <x:c r="J1833" s="17" t="str">
        <x:v>derived</x:v>
      </x:c>
      <x:c r="K1833" s="17" t="str">
        <x:v>2026-09-11</x:v>
      </x:c>
      <x:c r="L1833" s="17" t="str">
        <x:v>Not cycle-specific</x:v>
      </x:c>
      <x:c r="M1833" s="17" t="str">
        <x:v>low</x:v>
      </x:c>
      <x:c r="N1833" s="17" t="str">
        <x:v>Discovery evidence only</x:v>
      </x:c>
      <x:c r="O1833" s="17" t="str">
        <x:v>Use the source_record_paths field to trace the underlying discovery inputs.</x:v>
      </x:c>
      <x:c r="P1833" s="18" t="e">
        <x:f>HYPERLINK("https://www.rit.edu","Open source")</x:f>
        <x:v>HYPERLINK is not implemented. linkLocation=https://www.rit.edu, friendlyName=Open source</x:v>
      </x:c>
    </x:row>
    <x:row r="1834" ht="46" customHeight="1">
      <x:c r="A1834" s="17" t="str">
        <x:v>stage3src:b1a2f0b89c56c59ae9cd</x:v>
      </x:c>
      <x:c r="B1834" s="17" t="str">
        <x:v>program</x:v>
      </x:c>
      <x:c r="C1834" s="17" t="str">
        <x:v>Rochester Institute of Technology</x:v>
      </x:c>
      <x:c r="D1834" s="17" t="str">
        <x:v>us:ipeds:195003:program:unclear:ipeds-discovery-signal-computer-systems-networking-and-telecommunications-cip-11-0901</x:v>
      </x:c>
      <x:c r="E1834" s="17" t="str"/>
      <x:c r="F1834" s="17" t="str">
        <x:v>discovery</x:v>
      </x:c>
      <x:c r="G1834" s="17" t="str">
        <x:v>Stage 2 recorded this row as a discovery candidate; it does not independently verify an exact current research program, eligibility, or funding.</x:v>
      </x:c>
      <x:c r="H1834" s="17" t="str">
        <x:v>Pass 2 Stage 2 candidate funnel</x:v>
      </x:c>
      <x:c r="I1834" s="17" t="str">
        <x:v>Graduate audit pipeline</x:v>
      </x:c>
      <x:c r="J1834" s="17" t="str">
        <x:v>derived</x:v>
      </x:c>
      <x:c r="K1834" s="17" t="str">
        <x:v>2026-09-11</x:v>
      </x:c>
      <x:c r="L1834" s="17" t="str">
        <x:v>Not cycle-specific</x:v>
      </x:c>
      <x:c r="M1834" s="17" t="str">
        <x:v>low</x:v>
      </x:c>
      <x:c r="N1834" s="17" t="str">
        <x:v>Discovery evidence only</x:v>
      </x:c>
      <x:c r="O1834" s="17" t="str">
        <x:v>Use the source_record_paths field to trace the underlying discovery inputs.</x:v>
      </x:c>
      <x:c r="P1834" s="18" t="e">
        <x:f>HYPERLINK("https://www.rit.edu","Open source")</x:f>
        <x:v>HYPERLINK is not implemented. linkLocation=https://www.rit.edu, friendlyName=Open source</x:v>
      </x:c>
    </x:row>
    <x:row r="1835" ht="46" customHeight="1">
      <x:c r="A1835" s="17" t="str">
        <x:v>stage3src:d7b2ff02b20dfe03168d</x:v>
      </x:c>
      <x:c r="B1835" s="17" t="str">
        <x:v>program</x:v>
      </x:c>
      <x:c r="C1835" s="17" t="str">
        <x:v>Rochester Institute of Technology</x:v>
      </x:c>
      <x:c r="D1835" s="17" t="str">
        <x:v>us:ipeds:195003:program:unclear:ipeds-discovery-signal-electrical-and-electronics-engineering-cip-14-1001</x:v>
      </x:c>
      <x:c r="E1835" s="17" t="str"/>
      <x:c r="F1835" s="17" t="str">
        <x:v>discovery</x:v>
      </x:c>
      <x:c r="G1835" s="17" t="str">
        <x:v>Stage 2 recorded this row as a discovery candidate; it does not independently verify an exact current research program, eligibility, or funding.</x:v>
      </x:c>
      <x:c r="H1835" s="17" t="str">
        <x:v>Pass 2 Stage 2 candidate funnel</x:v>
      </x:c>
      <x:c r="I1835" s="17" t="str">
        <x:v>Graduate audit pipeline</x:v>
      </x:c>
      <x:c r="J1835" s="17" t="str">
        <x:v>derived</x:v>
      </x:c>
      <x:c r="K1835" s="17" t="str">
        <x:v>2026-09-11</x:v>
      </x:c>
      <x:c r="L1835" s="17" t="str">
        <x:v>Not cycle-specific</x:v>
      </x:c>
      <x:c r="M1835" s="17" t="str">
        <x:v>low</x:v>
      </x:c>
      <x:c r="N1835" s="17" t="str">
        <x:v>Discovery evidence only</x:v>
      </x:c>
      <x:c r="O1835" s="17" t="str">
        <x:v>Use the source_record_paths field to trace the underlying discovery inputs.</x:v>
      </x:c>
      <x:c r="P1835" s="18" t="e">
        <x:f>HYPERLINK("https://www.rit.edu","Open source")</x:f>
        <x:v>HYPERLINK is not implemented. linkLocation=https://www.rit.edu, friendlyName=Open source</x:v>
      </x:c>
    </x:row>
    <x:row r="1836" ht="46" customHeight="1">
      <x:c r="A1836" s="17" t="str">
        <x:v>stage3src:e53c4e6706ab83591f6c</x:v>
      </x:c>
      <x:c r="B1836" s="17" t="str">
        <x:v>program</x:v>
      </x:c>
      <x:c r="C1836" s="17" t="str">
        <x:v>Rochester Institute of Technology</x:v>
      </x:c>
      <x:c r="D1836" s="17" t="str">
        <x:v>us:ipeds:195003:program:unclear:ipeds-discovery-signal-informatics-cip-11-0104</x:v>
      </x:c>
      <x:c r="E1836" s="17" t="str"/>
      <x:c r="F1836" s="17" t="str">
        <x:v>discovery</x:v>
      </x:c>
      <x:c r="G1836" s="17" t="str">
        <x:v>Stage 2 recorded this row as a discovery candidate; it does not independently verify an exact current research program, eligibility, or funding.</x:v>
      </x:c>
      <x:c r="H1836" s="17" t="str">
        <x:v>Pass 2 Stage 2 candidate funnel</x:v>
      </x:c>
      <x:c r="I1836" s="17" t="str">
        <x:v>Graduate audit pipeline</x:v>
      </x:c>
      <x:c r="J1836" s="17" t="str">
        <x:v>derived</x:v>
      </x:c>
      <x:c r="K1836" s="17" t="str">
        <x:v>2026-09-11</x:v>
      </x:c>
      <x:c r="L1836" s="17" t="str">
        <x:v>Not cycle-specific</x:v>
      </x:c>
      <x:c r="M1836" s="17" t="str">
        <x:v>low</x:v>
      </x:c>
      <x:c r="N1836" s="17" t="str">
        <x:v>Discovery evidence only</x:v>
      </x:c>
      <x:c r="O1836" s="17" t="str">
        <x:v>Use the source_record_paths field to trace the underlying discovery inputs.</x:v>
      </x:c>
      <x:c r="P1836" s="18" t="e">
        <x:f>HYPERLINK("https://www.rit.edu","Open source")</x:f>
        <x:v>HYPERLINK is not implemented. linkLocation=https://www.rit.edu, friendlyName=Open source</x:v>
      </x:c>
    </x:row>
    <x:row r="1837" ht="46" customHeight="1">
      <x:c r="A1837" s="17" t="str">
        <x:v>stage3src:a6075e8ae1a7175a36fa</x:v>
      </x:c>
      <x:c r="B1837" s="17" t="str">
        <x:v>program</x:v>
      </x:c>
      <x:c r="C1837" s="17" t="str">
        <x:v>Rochester Institute of Technology</x:v>
      </x:c>
      <x:c r="D1837" s="17" t="str">
        <x:v>us:ipeds:195003:program:unclear:ipeds-discovery-signal-information-science-studies-cip-11-0401</x:v>
      </x:c>
      <x:c r="E1837" s="17" t="str"/>
      <x:c r="F1837" s="17" t="str">
        <x:v>discovery</x:v>
      </x:c>
      <x:c r="G1837" s="17" t="str">
        <x:v>Stage 2 recorded this row as a discovery candidate; it does not independently verify an exact current research program, eligibility, or funding.</x:v>
      </x:c>
      <x:c r="H1837" s="17" t="str">
        <x:v>Pass 2 Stage 2 candidate funnel</x:v>
      </x:c>
      <x:c r="I1837" s="17" t="str">
        <x:v>Graduate audit pipeline</x:v>
      </x:c>
      <x:c r="J1837" s="17" t="str">
        <x:v>derived</x:v>
      </x:c>
      <x:c r="K1837" s="17" t="str">
        <x:v>2026-09-11</x:v>
      </x:c>
      <x:c r="L1837" s="17" t="str">
        <x:v>Not cycle-specific</x:v>
      </x:c>
      <x:c r="M1837" s="17" t="str">
        <x:v>low</x:v>
      </x:c>
      <x:c r="N1837" s="17" t="str">
        <x:v>Discovery evidence only</x:v>
      </x:c>
      <x:c r="O1837" s="17" t="str">
        <x:v>Use the source_record_paths field to trace the underlying discovery inputs.</x:v>
      </x:c>
      <x:c r="P1837" s="18" t="e">
        <x:f>HYPERLINK("https://www.rit.edu","Open source")</x:f>
        <x:v>HYPERLINK is not implemented. linkLocation=https://www.rit.edu, friendlyName=Open source</x:v>
      </x:c>
    </x:row>
    <x:row r="1838" ht="46" customHeight="1">
      <x:c r="A1838" s="17" t="str">
        <x:v>stage3src:5913dba7a3df3e55cb34</x:v>
      </x:c>
      <x:c r="B1838" s="17" t="str">
        <x:v>program</x:v>
      </x:c>
      <x:c r="C1838" s="17" t="str">
        <x:v>University of Rochester</x:v>
      </x:c>
      <x:c r="D1838" s="17" t="str">
        <x:v>us:ipeds:195030:program:phd:phd-program-in-computer-science</x:v>
      </x:c>
      <x:c r="E1838" s="17" t="str"/>
      <x:c r="F1838" s="17" t="str">
        <x:v>admissions|eligibility|language|deadline|fees|funding</x:v>
      </x:c>
      <x:c r="G1838" s="17" t="str">
        <x:v>Bachelor's or master's entry, research-focused application review, latest January 5 deadline, USD 70 fee, English requirements, and PhD support.</x:v>
      </x:c>
      <x:c r="H1838" s="17" t="str">
        <x:v>How to Apply</x:v>
      </x:c>
      <x:c r="I1838" s="17" t="str">
        <x:v>University of Rochester Department of Computer Science</x:v>
      </x:c>
      <x:c r="J1838" s="17" t="str">
        <x:v>official</x:v>
      </x:c>
      <x:c r="K1838" s="17" t="str">
        <x:v>2026-09-10</x:v>
      </x:c>
      <x:c r="L1838" s="17" t="str">
        <x:v>Fall 2026; checked 2026-09-10</x:v>
      </x:c>
      <x:c r="M1838" s="17" t="str">
        <x:v>high</x:v>
      </x:c>
      <x:c r="N1838" s="17" t="str">
        <x:v>official page checked</x:v>
      </x:c>
      <x:c r="O1838" s="17" t="str"/>
      <x:c r="P1838" s="18" t="e">
        <x:f>HYPERLINK("https://www.cs.rochester.edu/graduate/how-to-apply.html","Open source")</x:f>
        <x:v>HYPERLINK is not implemented. linkLocation=https://www.cs.rochester.edu/graduate/how-to-apply.html, friendlyName=Open source</x:v>
      </x:c>
    </x:row>
    <x:row r="1839" ht="46" customHeight="1">
      <x:c r="A1839" s="17" t="str">
        <x:v>stage3src:c92ddc9819bca1acc596</x:v>
      </x:c>
      <x:c r="B1839" s="17" t="str">
        <x:v>program</x:v>
      </x:c>
      <x:c r="C1839" s="17" t="str">
        <x:v>University of Rochester</x:v>
      </x:c>
      <x:c r="D1839" s="17" t="str">
        <x:v>us:ipeds:195030:program:phd:phd-program-in-computer-science</x:v>
      </x:c>
      <x:c r="E1839" s="17" t="str"/>
      <x:c r="F1839" s="17" t="str">
        <x:v>program|funding</x:v>
      </x:c>
      <x:c r="G1839" s="17" t="str">
        <x:v>Current research PhD route and departmental support covering stipend, tuition, and health insurance for students in good standing.</x:v>
      </x:c>
      <x:c r="H1839" s="17" t="str">
        <x:v>PhD Program</x:v>
      </x:c>
      <x:c r="I1839" s="17" t="str">
        <x:v>University of Rochester Department of Computer Science</x:v>
      </x:c>
      <x:c r="J1839" s="17" t="str">
        <x:v>official</x:v>
      </x:c>
      <x:c r="K1839" s="17" t="str">
        <x:v>2026-09-10</x:v>
      </x:c>
      <x:c r="L1839" s="17" t="str">
        <x:v>Current page checked 2026-09-10</x:v>
      </x:c>
      <x:c r="M1839" s="17" t="str">
        <x:v>high</x:v>
      </x:c>
      <x:c r="N1839" s="17" t="str">
        <x:v>official page checked</x:v>
      </x:c>
      <x:c r="O1839" s="17" t="str"/>
      <x:c r="P1839" s="18" t="e">
        <x:f>HYPERLINK("https://www.cs.rochester.edu/graduate/phd-program.html","Open source")</x:f>
        <x:v>HYPERLINK is not implemented. linkLocation=https://www.cs.rochester.edu/graduate/phd-program.html, friendlyName=Open source</x:v>
      </x:c>
    </x:row>
    <x:row r="1840" ht="46" customHeight="1">
      <x:c r="A1840" s="17" t="str">
        <x:v>stage3src:50ff61574895ceeaf525</x:v>
      </x:c>
      <x:c r="B1840" s="17" t="str">
        <x:v>program</x:v>
      </x:c>
      <x:c r="C1840" s="17" t="str">
        <x:v>University of Rochester</x:v>
      </x:c>
      <x:c r="D1840" s="17" t="str">
        <x:v>us:ipeds:195030:program:unclear:ipeds-discovery-signal-artificial-intelligence-cip-11-0102</x:v>
      </x:c>
      <x:c r="E1840" s="17" t="str"/>
      <x:c r="F1840" s="17" t="str">
        <x:v>discovery</x:v>
      </x:c>
      <x:c r="G1840" s="17" t="str">
        <x:v>Stage 2 recorded this row as a discovery candidate; it does not independently verify an exact current research program, eligibility, or funding.</x:v>
      </x:c>
      <x:c r="H1840" s="17" t="str">
        <x:v>Pass 2 Stage 2 candidate funnel</x:v>
      </x:c>
      <x:c r="I1840" s="17" t="str">
        <x:v>Graduate audit pipeline</x:v>
      </x:c>
      <x:c r="J1840" s="17" t="str">
        <x:v>derived</x:v>
      </x:c>
      <x:c r="K1840" s="17" t="str">
        <x:v>2026-09-11</x:v>
      </x:c>
      <x:c r="L1840" s="17" t="str">
        <x:v>Not cycle-specific</x:v>
      </x:c>
      <x:c r="M1840" s="17" t="str">
        <x:v>low</x:v>
      </x:c>
      <x:c r="N1840" s="17" t="str">
        <x:v>Discovery evidence only</x:v>
      </x:c>
      <x:c r="O1840" s="17" t="str">
        <x:v>Use the source_record_paths field to trace the underlying discovery inputs.</x:v>
      </x:c>
      <x:c r="P1840" s="18" t="e">
        <x:f>HYPERLINK("https://www.rochester.edu","Open source")</x:f>
        <x:v>HYPERLINK is not implemented. linkLocation=https://www.rochester.edu, friendlyName=Open source</x:v>
      </x:c>
    </x:row>
    <x:row r="1841" ht="46" customHeight="1">
      <x:c r="A1841" s="17" t="str">
        <x:v>stage3src:854a56c92b7c1bd4fb47</x:v>
      </x:c>
      <x:c r="B1841" s="17" t="str">
        <x:v>program</x:v>
      </x:c>
      <x:c r="C1841" s="17" t="str">
        <x:v>University of Rochester</x:v>
      </x:c>
      <x:c r="D1841" s="17" t="str">
        <x:v>us:ipeds:195030:program:unclear:ipeds-discovery-signal-computer-science-cip-11-0701</x:v>
      </x:c>
      <x:c r="E1841" s="17" t="str"/>
      <x:c r="F1841" s="17" t="str">
        <x:v>discovery</x:v>
      </x:c>
      <x:c r="G1841" s="17" t="str">
        <x:v>Stage 2 recorded this row as a discovery candidate; it does not independently verify an exact current research program, eligibility, or funding.</x:v>
      </x:c>
      <x:c r="H1841" s="17" t="str">
        <x:v>Pass 2 Stage 2 candidate funnel</x:v>
      </x:c>
      <x:c r="I1841" s="17" t="str">
        <x:v>Graduate audit pipeline</x:v>
      </x:c>
      <x:c r="J1841" s="17" t="str">
        <x:v>derived</x:v>
      </x:c>
      <x:c r="K1841" s="17" t="str">
        <x:v>2026-09-11</x:v>
      </x:c>
      <x:c r="L1841" s="17" t="str">
        <x:v>Not cycle-specific</x:v>
      </x:c>
      <x:c r="M1841" s="17" t="str">
        <x:v>low</x:v>
      </x:c>
      <x:c r="N1841" s="17" t="str">
        <x:v>Discovery evidence only</x:v>
      </x:c>
      <x:c r="O1841" s="17" t="str">
        <x:v>Use the source_record_paths field to trace the underlying discovery inputs.</x:v>
      </x:c>
      <x:c r="P1841" s="18" t="e">
        <x:f>HYPERLINK("https://www.rochester.edu","Open source")</x:f>
        <x:v>HYPERLINK is not implemented. linkLocation=https://www.rochester.edu, friendlyName=Open source</x:v>
      </x:c>
    </x:row>
    <x:row r="1842" ht="46" customHeight="1">
      <x:c r="A1842" s="17" t="str">
        <x:v>stage3src:58cc5ff2a64fc68c29da</x:v>
      </x:c>
      <x:c r="B1842" s="17" t="str">
        <x:v>program</x:v>
      </x:c>
      <x:c r="C1842" s="17" t="str">
        <x:v>University of Rochester</x:v>
      </x:c>
      <x:c r="D1842" s="17" t="str">
        <x:v>us:ipeds:195030:program:unclear:ipeds-discovery-signal-electrical-and-electronics-engineering-cip-14-1001</x:v>
      </x:c>
      <x:c r="E1842" s="17" t="str"/>
      <x:c r="F1842" s="17" t="str">
        <x:v>discovery</x:v>
      </x:c>
      <x:c r="G1842" s="17" t="str">
        <x:v>Stage 2 recorded this row as a discovery candidate; it does not independently verify an exact current research program, eligibility, or funding.</x:v>
      </x:c>
      <x:c r="H1842" s="17" t="str">
        <x:v>Pass 2 Stage 2 candidate funnel</x:v>
      </x:c>
      <x:c r="I1842" s="17" t="str">
        <x:v>Graduate audit pipeline</x:v>
      </x:c>
      <x:c r="J1842" s="17" t="str">
        <x:v>derived</x:v>
      </x:c>
      <x:c r="K1842" s="17" t="str">
        <x:v>2026-09-11</x:v>
      </x:c>
      <x:c r="L1842" s="17" t="str">
        <x:v>Not cycle-specific</x:v>
      </x:c>
      <x:c r="M1842" s="17" t="str">
        <x:v>low</x:v>
      </x:c>
      <x:c r="N1842" s="17" t="str">
        <x:v>Discovery evidence only</x:v>
      </x:c>
      <x:c r="O1842" s="17" t="str">
        <x:v>Use the source_record_paths field to trace the underlying discovery inputs.</x:v>
      </x:c>
      <x:c r="P1842" s="18" t="e">
        <x:f>HYPERLINK("https://www.rochester.edu","Open source")</x:f>
        <x:v>HYPERLINK is not implemented. linkLocation=https://www.rochester.edu, friendlyName=Open source</x:v>
      </x:c>
    </x:row>
    <x:row r="1843" ht="46" customHeight="1">
      <x:c r="A1843" s="17" t="str">
        <x:v>stage3src:93cc602a419cf1b29f16</x:v>
      </x:c>
      <x:c r="B1843" s="17" t="str">
        <x:v>program</x:v>
      </x:c>
      <x:c r="C1843" s="17" t="str">
        <x:v>St Bonaventure University</x:v>
      </x:c>
      <x:c r="D1843" s="17" t="str">
        <x:v>us:ipeds:195164:program:unclear:ipeds-discovery-signal-computer-and-information-systems-security-auditing-information-assurance-cip-11-1003</x:v>
      </x:c>
      <x:c r="E1843" s="17" t="str"/>
      <x:c r="F1843" s="17" t="str">
        <x:v>discovery</x:v>
      </x:c>
      <x:c r="G1843" s="17" t="str">
        <x:v>Stage 2 recorded this row as a discovery candidate; it does not independently verify an exact current research program, eligibility, or funding.</x:v>
      </x:c>
      <x:c r="H1843" s="17" t="str">
        <x:v>Pass 2 Stage 2 candidate funnel</x:v>
      </x:c>
      <x:c r="I1843" s="17" t="str">
        <x:v>Graduate audit pipeline</x:v>
      </x:c>
      <x:c r="J1843" s="17" t="str">
        <x:v>derived</x:v>
      </x:c>
      <x:c r="K1843" s="17" t="str">
        <x:v>2026-09-11</x:v>
      </x:c>
      <x:c r="L1843" s="17" t="str">
        <x:v>Not cycle-specific</x:v>
      </x:c>
      <x:c r="M1843" s="17" t="str">
        <x:v>low</x:v>
      </x:c>
      <x:c r="N1843" s="17" t="str">
        <x:v>Discovery evidence only</x:v>
      </x:c>
      <x:c r="O1843" s="17" t="str">
        <x:v>Use the source_record_paths field to trace the underlying discovery inputs.</x:v>
      </x:c>
      <x:c r="P1843" s="18" t="e">
        <x:f>HYPERLINK("https://www.sbu.edu","Open source")</x:f>
        <x:v>HYPERLINK is not implemented. linkLocation=https://www.sbu.edu, friendlyName=Open source</x:v>
      </x:c>
    </x:row>
    <x:row r="1844" ht="46" customHeight="1">
      <x:c r="A1844" s="17" t="str">
        <x:v>stage3src:bad2e0165e932003b569</x:v>
      </x:c>
      <x:c r="B1844" s="17" t="str">
        <x:v>program</x:v>
      </x:c>
      <x:c r="C1844" s="17" t="str">
        <x:v>St. Francis College</x:v>
      </x:c>
      <x:c r="D1844" s="17" t="str">
        <x:v>us:ipeds:195173:program:unclear:cross-path-catalog-review</x:v>
      </x:c>
      <x:c r="E1844" s="17" t="str"/>
      <x:c r="F1844" s="17" t="str">
        <x:v>discovery</x:v>
      </x:c>
      <x:c r="G1844" s="17" t="str">
        <x:v>Stage 2 recorded this row as a discovery candidate; it does not independently verify an exact current research program, eligibility, or funding.</x:v>
      </x:c>
      <x:c r="H1844" s="17" t="str">
        <x:v>Pass 2 Stage 2 candidate funnel</x:v>
      </x:c>
      <x:c r="I1844" s="17" t="str">
        <x:v>Graduate audit pipeline</x:v>
      </x:c>
      <x:c r="J1844" s="17" t="str">
        <x:v>derived</x:v>
      </x:c>
      <x:c r="K1844" s="17" t="str">
        <x:v>2026-09-11</x:v>
      </x:c>
      <x:c r="L1844" s="17" t="str">
        <x:v>Not cycle-specific</x:v>
      </x:c>
      <x:c r="M1844" s="17" t="str">
        <x:v>low</x:v>
      </x:c>
      <x:c r="N1844" s="17" t="str">
        <x:v>Discovery evidence only</x:v>
      </x:c>
      <x:c r="O1844" s="17" t="str">
        <x:v>Use the source_record_paths field to trace the underlying discovery inputs.</x:v>
      </x:c>
      <x:c r="P1844" s="18" t="e">
        <x:f>HYPERLINK("https://www.sfc.edu","Open source")</x:f>
        <x:v>HYPERLINK is not implemented. linkLocation=https://www.sfc.edu, friendlyName=Open source</x:v>
      </x:c>
    </x:row>
    <x:row r="1845" ht="46" customHeight="1">
      <x:c r="A1845" s="17" t="str">
        <x:v>stage3src:f98104655c99c9cca227</x:v>
      </x:c>
      <x:c r="B1845" s="17" t="str">
        <x:v>program</x:v>
      </x:c>
      <x:c r="C1845" s="17" t="str">
        <x:v>The College of Saint Rose</x:v>
      </x:c>
      <x:c r="D1845" s="17" t="str">
        <x:v>us:ipeds:195234:program:unclear:ipeds-discovery-signal-computer-science-cip-11-0701</x:v>
      </x:c>
      <x:c r="E1845" s="17" t="str"/>
      <x:c r="F1845" s="17" t="str">
        <x:v>discovery</x:v>
      </x:c>
      <x:c r="G1845" s="17" t="str">
        <x:v>Stage 2 recorded this row as a discovery candidate; it does not independently verify an exact current research program, eligibility, or funding.</x:v>
      </x:c>
      <x:c r="H1845" s="17" t="str">
        <x:v>Pass 2 Stage 2 candidate funnel</x:v>
      </x:c>
      <x:c r="I1845" s="17" t="str">
        <x:v>Graduate audit pipeline</x:v>
      </x:c>
      <x:c r="J1845" s="17" t="str">
        <x:v>derived</x:v>
      </x:c>
      <x:c r="K1845" s="17" t="str">
        <x:v>2026-09-11</x:v>
      </x:c>
      <x:c r="L1845" s="17" t="str">
        <x:v>Not cycle-specific</x:v>
      </x:c>
      <x:c r="M1845" s="17" t="str">
        <x:v>low</x:v>
      </x:c>
      <x:c r="N1845" s="17" t="str">
        <x:v>Discovery evidence only</x:v>
      </x:c>
      <x:c r="O1845" s="17" t="str">
        <x:v>Use the source_record_paths field to trace the underlying discovery inputs.</x:v>
      </x:c>
      <x:c r="P1845" s="18" t="e">
        <x:f>HYPERLINK("https://www.strose.edu","Open source")</x:f>
        <x:v>HYPERLINK is not implemented. linkLocation=https://www.strose.edu, friendlyName=Open source</x:v>
      </x:c>
    </x:row>
    <x:row r="1846" ht="46" customHeight="1">
      <x:c r="A1846" s="17" t="str">
        <x:v>stage3src:e7a0b0de82e9d33e159c</x:v>
      </x:c>
      <x:c r="B1846" s="17" t="str">
        <x:v>program</x:v>
      </x:c>
      <x:c r="C1846" s="17" t="str">
        <x:v>The College of Saint Rose</x:v>
      </x:c>
      <x:c r="D1846" s="17" t="str">
        <x:v>us:ipeds:195234:program:unclear:ipeds-discovery-signal-information-technology-cip-11-0103</x:v>
      </x:c>
      <x:c r="E1846" s="17" t="str"/>
      <x:c r="F1846" s="17" t="str">
        <x:v>discovery</x:v>
      </x:c>
      <x:c r="G1846" s="17" t="str">
        <x:v>Stage 2 recorded this row as a discovery candidate; it does not independently verify an exact current research program, eligibility, or funding.</x:v>
      </x:c>
      <x:c r="H1846" s="17" t="str">
        <x:v>Pass 2 Stage 2 candidate funnel</x:v>
      </x:c>
      <x:c r="I1846" s="17" t="str">
        <x:v>Graduate audit pipeline</x:v>
      </x:c>
      <x:c r="J1846" s="17" t="str">
        <x:v>derived</x:v>
      </x:c>
      <x:c r="K1846" s="17" t="str">
        <x:v>2026-09-11</x:v>
      </x:c>
      <x:c r="L1846" s="17" t="str">
        <x:v>Not cycle-specific</x:v>
      </x:c>
      <x:c r="M1846" s="17" t="str">
        <x:v>low</x:v>
      </x:c>
      <x:c r="N1846" s="17" t="str">
        <x:v>Discovery evidence only</x:v>
      </x:c>
      <x:c r="O1846" s="17" t="str">
        <x:v>Use the source_record_paths field to trace the underlying discovery inputs.</x:v>
      </x:c>
      <x:c r="P1846" s="18" t="e">
        <x:f>HYPERLINK("https://www.strose.edu","Open source")</x:f>
        <x:v>HYPERLINK is not implemented. linkLocation=https://www.strose.edu, friendlyName=Open source</x:v>
      </x:c>
    </x:row>
    <x:row r="1847" ht="46" customHeight="1">
      <x:c r="A1847" s="17" t="str">
        <x:v>stage3src:0521d06ce147c5bf2b94</x:v>
      </x:c>
      <x:c r="B1847" s="17" t="str">
        <x:v>program</x:v>
      </x:c>
      <x:c r="C1847" s="17" t="str">
        <x:v>St. Joseph's University-New York</x:v>
      </x:c>
      <x:c r="D1847" s="17" t="str">
        <x:v>us:ipeds:195544:program:unclear:ipeds-discovery-signal-cyber-computer-forensics-and-counterterrorism-cip-43-0403</x:v>
      </x:c>
      <x:c r="E1847" s="17" t="str"/>
      <x:c r="F1847" s="17" t="str">
        <x:v>discovery</x:v>
      </x:c>
      <x:c r="G1847" s="17" t="str">
        <x:v>Stage 2 recorded this row as a discovery candidate; it does not independently verify an exact current research program, eligibility, or funding.</x:v>
      </x:c>
      <x:c r="H1847" s="17" t="str">
        <x:v>Pass 2 Stage 2 candidate funnel</x:v>
      </x:c>
      <x:c r="I1847" s="17" t="str">
        <x:v>Graduate audit pipeline</x:v>
      </x:c>
      <x:c r="J1847" s="17" t="str">
        <x:v>derived</x:v>
      </x:c>
      <x:c r="K1847" s="17" t="str">
        <x:v>2026-09-11</x:v>
      </x:c>
      <x:c r="L1847" s="17" t="str">
        <x:v>Not cycle-specific</x:v>
      </x:c>
      <x:c r="M1847" s="17" t="str">
        <x:v>low</x:v>
      </x:c>
      <x:c r="N1847" s="17" t="str">
        <x:v>Discovery evidence only</x:v>
      </x:c>
      <x:c r="O1847" s="17" t="str">
        <x:v>Use the source_record_paths field to trace the underlying discovery inputs.</x:v>
      </x:c>
      <x:c r="P1847" s="18" t="e">
        <x:f>HYPERLINK("https://www.sjny.edu","Open source")</x:f>
        <x:v>HYPERLINK is not implemented. linkLocation=https://www.sjny.edu, friendlyName=Open source</x:v>
      </x:c>
    </x:row>
    <x:row r="1848" ht="46" customHeight="1">
      <x:c r="A1848" s="17" t="str">
        <x:v>stage3src:941c191bbce46bfd7858</x:v>
      </x:c>
      <x:c r="B1848" s="17" t="str">
        <x:v>program</x:v>
      </x:c>
      <x:c r="C1848" s="17" t="str">
        <x:v>St. John's University-New York</x:v>
      </x:c>
      <x:c r="D1848" s="17" t="str">
        <x:v>us:ipeds:195809:program:unclear:ipeds-discovery-signal-computer-and-information-sciences-general-cip-11-0101</x:v>
      </x:c>
      <x:c r="E1848" s="17" t="str"/>
      <x:c r="F1848" s="17" t="str">
        <x:v>discovery</x:v>
      </x:c>
      <x:c r="G1848" s="17" t="str">
        <x:v>Stage 2 recorded this row as a discovery candidate; it does not independently verify an exact current research program, eligibility, or funding.</x:v>
      </x:c>
      <x:c r="H1848" s="17" t="str">
        <x:v>Pass 2 Stage 2 candidate funnel</x:v>
      </x:c>
      <x:c r="I1848" s="17" t="str">
        <x:v>Graduate audit pipeline</x:v>
      </x:c>
      <x:c r="J1848" s="17" t="str">
        <x:v>derived</x:v>
      </x:c>
      <x:c r="K1848" s="17" t="str">
        <x:v>2026-09-11</x:v>
      </x:c>
      <x:c r="L1848" s="17" t="str">
        <x:v>Not cycle-specific</x:v>
      </x:c>
      <x:c r="M1848" s="17" t="str">
        <x:v>low</x:v>
      </x:c>
      <x:c r="N1848" s="17" t="str">
        <x:v>Discovery evidence only</x:v>
      </x:c>
      <x:c r="O1848" s="17" t="str">
        <x:v>Use the source_record_paths field to trace the underlying discovery inputs.</x:v>
      </x:c>
      <x:c r="P1848" s="18" t="e">
        <x:f>HYPERLINK("https://www.stjohns.edu","Open source")</x:f>
        <x:v>HYPERLINK is not implemented. linkLocation=https://www.stjohns.edu, friendlyName=Open source</x:v>
      </x:c>
    </x:row>
    <x:row r="1849" ht="46" customHeight="1">
      <x:c r="A1849" s="17" t="str">
        <x:v>stage3src:0134f4548adfc67df57d</x:v>
      </x:c>
      <x:c r="B1849" s="17" t="str">
        <x:v>program</x:v>
      </x:c>
      <x:c r="C1849" s="17" t="str">
        <x:v>St. John's University-New York</x:v>
      </x:c>
      <x:c r="D1849" s="17" t="str">
        <x:v>us:ipeds:195809:program:unclear:ipeds-discovery-signal-computer-and-information-systems-security-auditing-information-assurance-cip-11-1003</x:v>
      </x:c>
      <x:c r="E1849" s="17" t="str"/>
      <x:c r="F1849" s="17" t="str">
        <x:v>discovery</x:v>
      </x:c>
      <x:c r="G1849" s="17" t="str">
        <x:v>Stage 2 recorded this row as a discovery candidate; it does not independently verify an exact current research program, eligibility, or funding.</x:v>
      </x:c>
      <x:c r="H1849" s="17" t="str">
        <x:v>Pass 2 Stage 2 candidate funnel</x:v>
      </x:c>
      <x:c r="I1849" s="17" t="str">
        <x:v>Graduate audit pipeline</x:v>
      </x:c>
      <x:c r="J1849" s="17" t="str">
        <x:v>derived</x:v>
      </x:c>
      <x:c r="K1849" s="17" t="str">
        <x:v>2026-09-11</x:v>
      </x:c>
      <x:c r="L1849" s="17" t="str">
        <x:v>Not cycle-specific</x:v>
      </x:c>
      <x:c r="M1849" s="17" t="str">
        <x:v>low</x:v>
      </x:c>
      <x:c r="N1849" s="17" t="str">
        <x:v>Discovery evidence only</x:v>
      </x:c>
      <x:c r="O1849" s="17" t="str">
        <x:v>Use the source_record_paths field to trace the underlying discovery inputs.</x:v>
      </x:c>
      <x:c r="P1849" s="18" t="e">
        <x:f>HYPERLINK("https://www.stjohns.edu","Open source")</x:f>
        <x:v>HYPERLINK is not implemented. linkLocation=https://www.stjohns.edu, friendlyName=Open source</x:v>
      </x:c>
    </x:row>
    <x:row r="1850" ht="46" customHeight="1">
      <x:c r="A1850" s="17" t="str">
        <x:v>stage3src:037ac5379c042521c99d</x:v>
      </x:c>
      <x:c r="B1850" s="17" t="str">
        <x:v>program</x:v>
      </x:c>
      <x:c r="C1850" s="17" t="str">
        <x:v>University at Albany</x:v>
      </x:c>
      <x:c r="D1850" s="17" t="str">
        <x:v>us:ipeds:196060:program:phd:doctor-of-philosophy-in-computer-science</x:v>
      </x:c>
      <x:c r="E1850" s="17" t="str"/>
      <x:c r="F1850" s="17" t="str">
        <x:v>admissions|eligibility|language|international</x:v>
      </x:c>
      <x:c r="G1850" s="17" t="str">
        <x:v>Completed bachelor's before enrollment, English thresholds, U.S.-study waiver rule, and international financial documentation.</x:v>
      </x:c>
      <x:c r="H1850" s="17" t="str">
        <x:v>Information for Graduate International Applicants</x:v>
      </x:c>
      <x:c r="I1850" s="17" t="str">
        <x:v>University at Albany</x:v>
      </x:c>
      <x:c r="J1850" s="17" t="str">
        <x:v>official</x:v>
      </x:c>
      <x:c r="K1850" s="17" t="str">
        <x:v>2026-09-11</x:v>
      </x:c>
      <x:c r="L1850" s="17" t="str">
        <x:v>Current requirements checked 2026-09-11</x:v>
      </x:c>
      <x:c r="M1850" s="17" t="str">
        <x:v>high</x:v>
      </x:c>
      <x:c r="N1850" s="17" t="str">
        <x:v>official page checked</x:v>
      </x:c>
      <x:c r="O1850" s="17" t="str"/>
      <x:c r="P1850" s="18" t="e">
        <x:f>HYPERLINK("https://www.albany.edu/graduate/admissions/information-international-applicants","Open source")</x:f>
        <x:v>HYPERLINK is not implemented. linkLocation=https://www.albany.edu/graduate/admissions/information-international-applicants, friendlyName=Open source</x:v>
      </x:c>
    </x:row>
    <x:row r="1851" ht="46" customHeight="1">
      <x:c r="A1851" s="17" t="str">
        <x:v>stage3src:690d1573b35cc8dee934</x:v>
      </x:c>
      <x:c r="B1851" s="17" t="str">
        <x:v>program</x:v>
      </x:c>
      <x:c r="C1851" s="17" t="str">
        <x:v>University at Albany</x:v>
      </x:c>
      <x:c r="D1851" s="17" t="str">
        <x:v>us:ipeds:196060:program:phd:doctor-of-philosophy-in-computer-science</x:v>
      </x:c>
      <x:c r="E1851" s="17" t="str"/>
      <x:c r="F1851" s="17" t="str">
        <x:v>program|research|admissions|deadline|funding</x:v>
      </x:c>
      <x:c r="G1851" s="17" t="str">
        <x:v>Current CS PhD, four-to-five-year research structure, dissertation, required materials, and March 15 Fall assistantship-consideration date.</x:v>
      </x:c>
      <x:c r="H1851" s="17" t="str">
        <x:v>PhD Computer Science</x:v>
      </x:c>
      <x:c r="I1851" s="17" t="str">
        <x:v>University at Albany</x:v>
      </x:c>
      <x:c r="J1851" s="17" t="str">
        <x:v>official</x:v>
      </x:c>
      <x:c r="K1851" s="17" t="str">
        <x:v>2026-09-11</x:v>
      </x:c>
      <x:c r="L1851" s="17" t="str">
        <x:v>Current recurring dates checked 2026-09-11</x:v>
      </x:c>
      <x:c r="M1851" s="17" t="str">
        <x:v>high</x:v>
      </x:c>
      <x:c r="N1851" s="17" t="str">
        <x:v>official page checked</x:v>
      </x:c>
      <x:c r="O1851" s="17" t="str"/>
      <x:c r="P1851" s="18" t="e">
        <x:f>HYPERLINK("https://www.albany.edu/computer-science/programs/phd-computer-science","Open source")</x:f>
        <x:v>HYPERLINK is not implemented. linkLocation=https://www.albany.edu/computer-science/programs/phd-computer-science, friendlyName=Open source</x:v>
      </x:c>
    </x:row>
    <x:row r="1852" ht="46" customHeight="1">
      <x:c r="A1852" s="17" t="str">
        <x:v>stage3src:822d60243ba5edc6092d</x:v>
      </x:c>
      <x:c r="B1852" s="17" t="str">
        <x:v>program</x:v>
      </x:c>
      <x:c r="C1852" s="17" t="str">
        <x:v>University at Albany</x:v>
      </x:c>
      <x:c r="D1852" s="17" t="str">
        <x:v>us:ipeds:196060:program:phd:doctor-of-philosophy-in-computer-science</x:v>
      </x:c>
      <x:c r="E1852" s="17" t="str"/>
      <x:c r="F1852" s="17" t="str">
        <x:v>admissions|fees|funding</x:v>
      </x:c>
      <x:c r="G1852" s="17" t="str">
        <x:v>Current $75 graduate fee, fee-waiver availability, per-application recommendation handling, and assistantship application instructions.</x:v>
      </x:c>
      <x:c r="H1852" s="17" t="str">
        <x:v>Apply to a Degree or Certificate Program</x:v>
      </x:c>
      <x:c r="I1852" s="17" t="str">
        <x:v>University at Albany</x:v>
      </x:c>
      <x:c r="J1852" s="17" t="str">
        <x:v>official</x:v>
      </x:c>
      <x:c r="K1852" s="17" t="str">
        <x:v>2026-09-11</x:v>
      </x:c>
      <x:c r="L1852" s="17" t="str">
        <x:v>Current application policy checked 2026-09-11</x:v>
      </x:c>
      <x:c r="M1852" s="17" t="str">
        <x:v>high</x:v>
      </x:c>
      <x:c r="N1852" s="17" t="str">
        <x:v>official page checked</x:v>
      </x:c>
      <x:c r="O1852" s="17" t="str"/>
      <x:c r="P1852" s="18" t="e">
        <x:f>HYPERLINK("https://www.albany.edu/graduate/admissions/apply-degree-or-certificate-program","Open source")</x:f>
        <x:v>HYPERLINK is not implemented. linkLocation=https://www.albany.edu/graduate/admissions/apply-degree-or-certificate-program, friendlyName=Open source</x:v>
      </x:c>
    </x:row>
    <x:row r="1853" ht="46" customHeight="1">
      <x:c r="A1853" s="17" t="str">
        <x:v>stage3src:48cd232e9e8118ca815d</x:v>
      </x:c>
      <x:c r="B1853" s="17" t="str">
        <x:v>program</x:v>
      </x:c>
      <x:c r="C1853" s="17" t="str">
        <x:v>University at Albany</x:v>
      </x:c>
      <x:c r="D1853" s="17" t="str">
        <x:v>us:ipeds:196060:program:unclear:ipeds-discovery-signal-computer-and-information-systems-security-auditing-information-assurance-cip-11-1003</x:v>
      </x:c>
      <x:c r="E1853" s="17" t="str"/>
      <x:c r="F1853" s="17" t="str">
        <x:v>discovery</x:v>
      </x:c>
      <x:c r="G1853" s="17" t="str">
        <x:v>Stage 2 recorded this row as a discovery candidate; it does not independently verify an exact current research program, eligibility, or funding.</x:v>
      </x:c>
      <x:c r="H1853" s="17" t="str">
        <x:v>Pass 2 Stage 2 candidate funnel</x:v>
      </x:c>
      <x:c r="I1853" s="17" t="str">
        <x:v>Graduate audit pipeline</x:v>
      </x:c>
      <x:c r="J1853" s="17" t="str">
        <x:v>derived</x:v>
      </x:c>
      <x:c r="K1853" s="17" t="str">
        <x:v>2026-09-11</x:v>
      </x:c>
      <x:c r="L1853" s="17" t="str">
        <x:v>Not cycle-specific</x:v>
      </x:c>
      <x:c r="M1853" s="17" t="str">
        <x:v>low</x:v>
      </x:c>
      <x:c r="N1853" s="17" t="str">
        <x:v>Discovery evidence only</x:v>
      </x:c>
      <x:c r="O1853" s="17" t="str">
        <x:v>Use the source_record_paths field to trace the underlying discovery inputs.</x:v>
      </x:c>
      <x:c r="P1853" s="18" t="e">
        <x:f>HYPERLINK("https://www.albany.edu","Open source")</x:f>
        <x:v>HYPERLINK is not implemented. linkLocation=https://www.albany.edu, friendlyName=Open source</x:v>
      </x:c>
    </x:row>
    <x:row r="1854" ht="46" customHeight="1">
      <x:c r="A1854" s="17" t="str">
        <x:v>stage3src:75ffec01bb7647456374</x:v>
      </x:c>
      <x:c r="B1854" s="17" t="str">
        <x:v>program</x:v>
      </x:c>
      <x:c r="C1854" s="17" t="str">
        <x:v>University at Albany</x:v>
      </x:c>
      <x:c r="D1854" s="17" t="str">
        <x:v>us:ipeds:196060:program:unclear:ipeds-discovery-signal-computer-science-cip-11-0701</x:v>
      </x:c>
      <x:c r="E1854" s="17" t="str"/>
      <x:c r="F1854" s="17" t="str">
        <x:v>discovery</x:v>
      </x:c>
      <x:c r="G1854" s="17" t="str">
        <x:v>Stage 2 recorded this row as a discovery candidate; it does not independently verify an exact current research program, eligibility, or funding.</x:v>
      </x:c>
      <x:c r="H1854" s="17" t="str">
        <x:v>Pass 2 Stage 2 candidate funnel</x:v>
      </x:c>
      <x:c r="I1854" s="17" t="str">
        <x:v>Graduate audit pipeline</x:v>
      </x:c>
      <x:c r="J1854" s="17" t="str">
        <x:v>derived</x:v>
      </x:c>
      <x:c r="K1854" s="17" t="str">
        <x:v>2026-09-11</x:v>
      </x:c>
      <x:c r="L1854" s="17" t="str">
        <x:v>Not cycle-specific</x:v>
      </x:c>
      <x:c r="M1854" s="17" t="str">
        <x:v>low</x:v>
      </x:c>
      <x:c r="N1854" s="17" t="str">
        <x:v>Discovery evidence only</x:v>
      </x:c>
      <x:c r="O1854" s="17" t="str">
        <x:v>Use the source_record_paths field to trace the underlying discovery inputs.</x:v>
      </x:c>
      <x:c r="P1854" s="18" t="e">
        <x:f>HYPERLINK("https://www.albany.edu","Open source")</x:f>
        <x:v>HYPERLINK is not implemented. linkLocation=https://www.albany.edu, friendlyName=Open source</x:v>
      </x:c>
    </x:row>
    <x:row r="1855" ht="46" customHeight="1">
      <x:c r="A1855" s="17" t="str">
        <x:v>stage3src:bf8057d79d5c7dc602f5</x:v>
      </x:c>
      <x:c r="B1855" s="17" t="str">
        <x:v>program</x:v>
      </x:c>
      <x:c r="C1855" s="17" t="str">
        <x:v>University at Albany</x:v>
      </x:c>
      <x:c r="D1855" s="17" t="str">
        <x:v>us:ipeds:196060:program:unclear:ipeds-discovery-signal-information-science-studies-cip-11-0401</x:v>
      </x:c>
      <x:c r="E1855" s="17" t="str"/>
      <x:c r="F1855" s="17" t="str">
        <x:v>discovery</x:v>
      </x:c>
      <x:c r="G1855" s="17" t="str">
        <x:v>Stage 2 recorded this row as a discovery candidate; it does not independently verify an exact current research program, eligibility, or funding.</x:v>
      </x:c>
      <x:c r="H1855" s="17" t="str">
        <x:v>Pass 2 Stage 2 candidate funnel</x:v>
      </x:c>
      <x:c r="I1855" s="17" t="str">
        <x:v>Graduate audit pipeline</x:v>
      </x:c>
      <x:c r="J1855" s="17" t="str">
        <x:v>derived</x:v>
      </x:c>
      <x:c r="K1855" s="17" t="str">
        <x:v>2026-09-11</x:v>
      </x:c>
      <x:c r="L1855" s="17" t="str">
        <x:v>Not cycle-specific</x:v>
      </x:c>
      <x:c r="M1855" s="17" t="str">
        <x:v>low</x:v>
      </x:c>
      <x:c r="N1855" s="17" t="str">
        <x:v>Discovery evidence only</x:v>
      </x:c>
      <x:c r="O1855" s="17" t="str">
        <x:v>Use the source_record_paths field to trace the underlying discovery inputs.</x:v>
      </x:c>
      <x:c r="P1855" s="18" t="e">
        <x:f>HYPERLINK("https://www.albany.edu","Open source")</x:f>
        <x:v>HYPERLINK is not implemented. linkLocation=https://www.albany.edu, friendlyName=Open source</x:v>
      </x:c>
    </x:row>
    <x:row r="1856" ht="46" customHeight="1">
      <x:c r="A1856" s="17" t="str">
        <x:v>stage3src:15d2865c9650f52d39ab</x:v>
      </x:c>
      <x:c r="B1856" s="17" t="str">
        <x:v>program</x:v>
      </x:c>
      <x:c r="C1856" s="17" t="str">
        <x:v>Binghamton University</x:v>
      </x:c>
      <x:c r="D1856" s="17" t="str">
        <x:v>us:ipeds:196079:program:phd:phd-in-computer-science</x:v>
      </x:c>
      <x:c r="E1856" s="17" t="str"/>
      <x:c r="F1856" s="17" t="str">
        <x:v>program|admissions|funding</x:v>
      </x:c>
      <x:c r="G1856" s="17" t="str">
        <x:v>Departmental graduate routes and consideration of eligible applicants for assistantships.</x:v>
      </x:c>
      <x:c r="H1856" s="17" t="str">
        <x:v>Graduate Programs</x:v>
      </x:c>
      <x:c r="I1856" s="17" t="str">
        <x:v>Binghamton University Department of Computer Science</x:v>
      </x:c>
      <x:c r="J1856" s="17" t="str">
        <x:v>official</x:v>
      </x:c>
      <x:c r="K1856" s="17" t="str">
        <x:v>2026-09-11</x:v>
      </x:c>
      <x:c r="L1856" s="17" t="str">
        <x:v>Current page checked 2026-09-11</x:v>
      </x:c>
      <x:c r="M1856" s="17" t="str">
        <x:v>high</x:v>
      </x:c>
      <x:c r="N1856" s="17" t="str">
        <x:v>official page checked</x:v>
      </x:c>
      <x:c r="O1856" s="17" t="str"/>
      <x:c r="P1856" s="18" t="e">
        <x:f>HYPERLINK("https://www.binghamton.edu/computer-science/graduate-programs/","Open source")</x:f>
        <x:v>HYPERLINK is not implemented. linkLocation=https://www.binghamton.edu/computer-science/graduate-programs/, friendlyName=Open source</x:v>
      </x:c>
    </x:row>
    <x:row r="1857" ht="46" customHeight="1">
      <x:c r="A1857" s="17" t="str">
        <x:v>stage3src:2f07a0ebf9ae78ab3701</x:v>
      </x:c>
      <x:c r="B1857" s="17" t="str">
        <x:v>program</x:v>
      </x:c>
      <x:c r="C1857" s="17" t="str">
        <x:v>Binghamton University</x:v>
      </x:c>
      <x:c r="D1857" s="17" t="str">
        <x:v>us:ipeds:196079:program:phd:phd-in-computer-science</x:v>
      </x:c>
      <x:c r="E1857" s="17" t="str"/>
      <x:c r="F1857" s="17" t="str">
        <x:v>program|research|funding|tuition</x:v>
      </x:c>
      <x:c r="G1857" s="17" t="str">
        <x:v>Current Computer Science PhD, research structure, assistantship mechanisms, and broad-based fee-scholarship boundary.</x:v>
      </x:c>
      <x:c r="H1857" s="17" t="str">
        <x:v>Computer Science graduate program</x:v>
      </x:c>
      <x:c r="I1857" s="17" t="str">
        <x:v>Binghamton University</x:v>
      </x:c>
      <x:c r="J1857" s="17" t="str">
        <x:v>official</x:v>
      </x:c>
      <x:c r="K1857" s="17" t="str">
        <x:v>2026-09-11</x:v>
      </x:c>
      <x:c r="L1857" s="17" t="str">
        <x:v>Current page checked 2026-09-11</x:v>
      </x:c>
      <x:c r="M1857" s="17" t="str">
        <x:v>high</x:v>
      </x:c>
      <x:c r="N1857" s="17" t="str">
        <x:v>official page checked</x:v>
      </x:c>
      <x:c r="O1857" s="17" t="str"/>
      <x:c r="P1857" s="18" t="e">
        <x:f>HYPERLINK("https://www.binghamton.edu/apps/academics/program/gd/computer-science","Open source")</x:f>
        <x:v>HYPERLINK is not implemented. linkLocation=https://www.binghamton.edu/apps/academics/program/gd/computer-science, friendlyName=Open source</x:v>
      </x:c>
    </x:row>
    <x:row r="1858" ht="46" customHeight="1">
      <x:c r="A1858" s="17" t="str">
        <x:v>stage3src:3c2d2689ed83562b5404</x:v>
      </x:c>
      <x:c r="B1858" s="17" t="str">
        <x:v>program</x:v>
      </x:c>
      <x:c r="C1858" s="17" t="str">
        <x:v>Binghamton University</x:v>
      </x:c>
      <x:c r="D1858" s="17" t="str">
        <x:v>us:ipeds:196079:program:phd:phd-in-computer-science</x:v>
      </x:c>
      <x:c r="E1858" s="17" t="str"/>
      <x:c r="F1858" s="17" t="str">
        <x:v>admissions|eligibility|language|deadline</x:v>
      </x:c>
      <x:c r="G1858" s="17" t="str">
        <x:v>Published GPA floor, rolling cycle, recommended master's preparation, and general faculty-support expectation.</x:v>
      </x:c>
      <x:c r="H1858" s="17" t="str">
        <x:v>Computer Science application requirements</x:v>
      </x:c>
      <x:c r="I1858" s="17" t="str">
        <x:v>Binghamton University</x:v>
      </x:c>
      <x:c r="J1858" s="17" t="str">
        <x:v>official</x:v>
      </x:c>
      <x:c r="K1858" s="17" t="str">
        <x:v>2026-09-11</x:v>
      </x:c>
      <x:c r="L1858" s="17" t="str">
        <x:v>Current catalog checked 2026-09-11</x:v>
      </x:c>
      <x:c r="M1858" s="17" t="str">
        <x:v>high</x:v>
      </x:c>
      <x:c r="N1858" s="17" t="str">
        <x:v>official page checked</x:v>
      </x:c>
      <x:c r="O1858" s="17" t="str"/>
      <x:c r="P1858" s="18" t="e">
        <x:f>HYPERLINK("https://www.binghamton.edu/apps/catalog/application-requirement/view/R92","Open source")</x:f>
        <x:v>HYPERLINK is not implemented. linkLocation=https://www.binghamton.edu/apps/catalog/application-requirement/view/R92, friendlyName=Open source</x:v>
      </x:c>
    </x:row>
    <x:row r="1859" ht="46" customHeight="1">
      <x:c r="A1859" s="17" t="str">
        <x:v>stage3src:b13fcfb0558267c3f6cf</x:v>
      </x:c>
      <x:c r="B1859" s="17" t="str">
        <x:v>program</x:v>
      </x:c>
      <x:c r="C1859" s="17" t="str">
        <x:v>Binghamton University</x:v>
      </x:c>
      <x:c r="D1859" s="17" t="str">
        <x:v>us:ipeds:196079:program:unclear:ipeds-discovery-signal-computer-science-cip-11-0701</x:v>
      </x:c>
      <x:c r="E1859" s="17" t="str"/>
      <x:c r="F1859" s="17" t="str">
        <x:v>discovery</x:v>
      </x:c>
      <x:c r="G1859" s="17" t="str">
        <x:v>Stage 2 recorded this row as a discovery candidate; it does not independently verify an exact current research program, eligibility, or funding.</x:v>
      </x:c>
      <x:c r="H1859" s="17" t="str">
        <x:v>Pass 2 Stage 2 candidate funnel</x:v>
      </x:c>
      <x:c r="I1859" s="17" t="str">
        <x:v>Graduate audit pipeline</x:v>
      </x:c>
      <x:c r="J1859" s="17" t="str">
        <x:v>derived</x:v>
      </x:c>
      <x:c r="K1859" s="17" t="str">
        <x:v>2026-09-11</x:v>
      </x:c>
      <x:c r="L1859" s="17" t="str">
        <x:v>Not cycle-specific</x:v>
      </x:c>
      <x:c r="M1859" s="17" t="str">
        <x:v>low</x:v>
      </x:c>
      <x:c r="N1859" s="17" t="str">
        <x:v>Discovery evidence only</x:v>
      </x:c>
      <x:c r="O1859" s="17" t="str">
        <x:v>Use the source_record_paths field to trace the underlying discovery inputs.</x:v>
      </x:c>
      <x:c r="P1859" s="18" t="e">
        <x:f>HYPERLINK("https://www.binghamton.edu","Open source")</x:f>
        <x:v>HYPERLINK is not implemented. linkLocation=https://www.binghamton.edu, friendlyName=Open source</x:v>
      </x:c>
    </x:row>
    <x:row r="1860" ht="46" customHeight="1">
      <x:c r="A1860" s="17" t="str">
        <x:v>stage3src:f5add4810dc379dffe63</x:v>
      </x:c>
      <x:c r="B1860" s="17" t="str">
        <x:v>program</x:v>
      </x:c>
      <x:c r="C1860" s="17" t="str">
        <x:v>Binghamton University</x:v>
      </x:c>
      <x:c r="D1860" s="17" t="str">
        <x:v>us:ipeds:196079:program:unclear:ipeds-discovery-signal-information-science-studies-cip-11-0401</x:v>
      </x:c>
      <x:c r="E1860" s="17" t="str"/>
      <x:c r="F1860" s="17" t="str">
        <x:v>discovery</x:v>
      </x:c>
      <x:c r="G1860" s="17" t="str">
        <x:v>Stage 2 recorded this row as a discovery candidate; it does not independently verify an exact current research program, eligibility, or funding.</x:v>
      </x:c>
      <x:c r="H1860" s="17" t="str">
        <x:v>Pass 2 Stage 2 candidate funnel</x:v>
      </x:c>
      <x:c r="I1860" s="17" t="str">
        <x:v>Graduate audit pipeline</x:v>
      </x:c>
      <x:c r="J1860" s="17" t="str">
        <x:v>derived</x:v>
      </x:c>
      <x:c r="K1860" s="17" t="str">
        <x:v>2026-09-11</x:v>
      </x:c>
      <x:c r="L1860" s="17" t="str">
        <x:v>Not cycle-specific</x:v>
      </x:c>
      <x:c r="M1860" s="17" t="str">
        <x:v>low</x:v>
      </x:c>
      <x:c r="N1860" s="17" t="str">
        <x:v>Discovery evidence only</x:v>
      </x:c>
      <x:c r="O1860" s="17" t="str">
        <x:v>Use the source_record_paths field to trace the underlying discovery inputs.</x:v>
      </x:c>
      <x:c r="P1860" s="18" t="e">
        <x:f>HYPERLINK("https://www.binghamton.edu","Open source")</x:f>
        <x:v>HYPERLINK is not implemented. linkLocation=https://www.binghamton.edu, friendlyName=Open source</x:v>
      </x:c>
    </x:row>
    <x:row r="1861" ht="46" customHeight="1">
      <x:c r="A1861" s="17" t="str">
        <x:v>stage3src:b7cc8feba47e06f4cb9c</x:v>
      </x:c>
      <x:c r="B1861" s="17" t="str">
        <x:v>program</x:v>
      </x:c>
      <x:c r="C1861" s="17" t="str">
        <x:v>Binghamton University</x:v>
      </x:c>
      <x:c r="D1861" s="17" t="str">
        <x:v>us:ipeds:196079:program:unclear:ipeds-discovery-signal-information-technology-cip-11-0103</x:v>
      </x:c>
      <x:c r="E1861" s="17" t="str"/>
      <x:c r="F1861" s="17" t="str">
        <x:v>discovery</x:v>
      </x:c>
      <x:c r="G1861" s="17" t="str">
        <x:v>Stage 2 recorded this row as a discovery candidate; it does not independently verify an exact current research program, eligibility, or funding.</x:v>
      </x:c>
      <x:c r="H1861" s="17" t="str">
        <x:v>Pass 2 Stage 2 candidate funnel</x:v>
      </x:c>
      <x:c r="I1861" s="17" t="str">
        <x:v>Graduate audit pipeline</x:v>
      </x:c>
      <x:c r="J1861" s="17" t="str">
        <x:v>derived</x:v>
      </x:c>
      <x:c r="K1861" s="17" t="str">
        <x:v>2026-09-11</x:v>
      </x:c>
      <x:c r="L1861" s="17" t="str">
        <x:v>Not cycle-specific</x:v>
      </x:c>
      <x:c r="M1861" s="17" t="str">
        <x:v>low</x:v>
      </x:c>
      <x:c r="N1861" s="17" t="str">
        <x:v>Discovery evidence only</x:v>
      </x:c>
      <x:c r="O1861" s="17" t="str">
        <x:v>Use the source_record_paths field to trace the underlying discovery inputs.</x:v>
      </x:c>
      <x:c r="P1861" s="18" t="e">
        <x:f>HYPERLINK("https://www.binghamton.edu","Open source")</x:f>
        <x:v>HYPERLINK is not implemented. linkLocation=https://www.binghamton.edu, friendlyName=Open source</x:v>
      </x:c>
    </x:row>
    <x:row r="1862" ht="46" customHeight="1">
      <x:c r="A1862" s="17" t="str">
        <x:v>stage3src:021a13b5e4b6b801ecc8</x:v>
      </x:c>
      <x:c r="B1862" s="17" t="str">
        <x:v>program</x:v>
      </x:c>
      <x:c r="C1862" s="17" t="str">
        <x:v>University at Buffalo</x:v>
      </x:c>
      <x:c r="D1862" s="17" t="str">
        <x:v>us:ipeds:196088:program:phd:computer-science-and-engineering-phd</x:v>
      </x:c>
      <x:c r="E1862" s="17" t="str"/>
      <x:c r="F1862" s="17" t="str">
        <x:v>admissions|eligibility</x:v>
      </x:c>
      <x:c r="G1862" s="17" t="str">
        <x:v>Direct PhD admission normally follows a master's, with some first-year bachelor's applicants admitted on committee recommendation.</x:v>
      </x:c>
      <x:c r="H1862" s="17" t="str">
        <x:v>Graduate Admissions</x:v>
      </x:c>
      <x:c r="I1862" s="17" t="str">
        <x:v>University at Buffalo Department of Computer Science and Engineering</x:v>
      </x:c>
      <x:c r="J1862" s="17" t="str">
        <x:v>official</x:v>
      </x:c>
      <x:c r="K1862" s="17" t="str">
        <x:v>2026-09-10</x:v>
      </x:c>
      <x:c r="L1862" s="17" t="str">
        <x:v>Current page checked 2026-09-10</x:v>
      </x:c>
      <x:c r="M1862" s="17" t="str">
        <x:v>high</x:v>
      </x:c>
      <x:c r="N1862" s="17" t="str">
        <x:v>official page checked</x:v>
      </x:c>
      <x:c r="O1862" s="17" t="str"/>
      <x:c r="P1862" s="18" t="e">
        <x:f>HYPERLINK("https://engineering.buffalo.edu/computer-science-engineering/graduate/admissions.html","Open source")</x:f>
        <x:v>HYPERLINK is not implemented. linkLocation=https://engineering.buffalo.edu/computer-science-engineering/graduate/admissions.html, friendlyName=Open source</x:v>
      </x:c>
    </x:row>
    <x:row r="1863" ht="46" customHeight="1">
      <x:c r="A1863" s="17" t="str">
        <x:v>stage3src:4318e6437522db679e70</x:v>
      </x:c>
      <x:c r="B1863" s="17" t="str">
        <x:v>program</x:v>
      </x:c>
      <x:c r="C1863" s="17" t="str">
        <x:v>University at Buffalo</x:v>
      </x:c>
      <x:c r="D1863" s="17" t="str">
        <x:v>us:ipeds:196088:program:phd:computer-science-and-engineering-phd</x:v>
      </x:c>
      <x:c r="E1863" s="17" t="str"/>
      <x:c r="F1863" s="17" t="str">
        <x:v>admissions|eligibility|language|deadline|fees</x:v>
      </x:c>
      <x:c r="G1863" s="17" t="str">
        <x:v>USD 100 application fee, international English thresholds, three PhD recommendations, and December funding deadlines.</x:v>
      </x:c>
      <x:c r="H1863" s="17" t="str">
        <x:v>Application Materials</x:v>
      </x:c>
      <x:c r="I1863" s="17" t="str">
        <x:v>University at Buffalo Department of Computer Science and Engineering</x:v>
      </x:c>
      <x:c r="J1863" s="17" t="str">
        <x:v>official</x:v>
      </x:c>
      <x:c r="K1863" s="17" t="str">
        <x:v>2026-09-10</x:v>
      </x:c>
      <x:c r="L1863" s="17" t="str">
        <x:v>Current page updated 2026</x:v>
      </x:c>
      <x:c r="M1863" s="17" t="str">
        <x:v>high</x:v>
      </x:c>
      <x:c r="N1863" s="17" t="str">
        <x:v>official page checked</x:v>
      </x:c>
      <x:c r="O1863" s="17" t="str"/>
      <x:c r="P1863" s="18" t="e">
        <x:f>HYPERLINK("https://engineering.buffalo.edu/computer-science-engineering/graduate/admissions/application-materials.html","Open source")</x:f>
        <x:v>HYPERLINK is not implemented. linkLocation=https://engineering.buffalo.edu/computer-science-engineering/graduate/admissions/application-materials.html, friendlyName=Open source</x:v>
      </x:c>
    </x:row>
    <x:row r="1864" ht="46" customHeight="1">
      <x:c r="A1864" s="17" t="str">
        <x:v>stage3src:7f5e8e0f80a9903223e0</x:v>
      </x:c>
      <x:c r="B1864" s="17" t="str">
        <x:v>program</x:v>
      </x:c>
      <x:c r="C1864" s="17" t="str">
        <x:v>University at Buffalo</x:v>
      </x:c>
      <x:c r="D1864" s="17" t="str">
        <x:v>us:ipeds:196088:program:phd:computer-science-and-engineering-phd</x:v>
      </x:c>
      <x:c r="E1864" s="17" t="str"/>
      <x:c r="F1864" s="17" t="str">
        <x:v>program</x:v>
      </x:c>
      <x:c r="G1864" s="17" t="str">
        <x:v>Current CSE PhD route, active handbook, and dissertation-based research requirement.</x:v>
      </x:c>
      <x:c r="H1864" s="17" t="str">
        <x:v>PhD in Computer Science and Engineering</x:v>
      </x:c>
      <x:c r="I1864" s="17" t="str">
        <x:v>University at Buffalo Department of Computer Science and Engineering</x:v>
      </x:c>
      <x:c r="J1864" s="17" t="str">
        <x:v>official</x:v>
      </x:c>
      <x:c r="K1864" s="17" t="str">
        <x:v>2026-09-10</x:v>
      </x:c>
      <x:c r="L1864" s="17" t="str">
        <x:v>Current page checked 2026-09-10</x:v>
      </x:c>
      <x:c r="M1864" s="17" t="str">
        <x:v>high</x:v>
      </x:c>
      <x:c r="N1864" s="17" t="str">
        <x:v>official page checked</x:v>
      </x:c>
      <x:c r="O1864" s="17" t="str"/>
      <x:c r="P1864" s="18" t="e">
        <x:f>HYPERLINK("https://engineering.buffalo.edu/computer-science-engineering/graduate/degrees-and-programs/phd-in-computer-science-and-engineering.html","Open source")</x:f>
        <x:v>HYPERLINK is not implemented. linkLocation=https://engineering.buffalo.edu/computer-science-engineering/graduate/degrees-and-programs/phd-in-computer-science-and-engineering.html, friendlyName=Open source</x:v>
      </x:c>
    </x:row>
    <x:row r="1865" ht="46" customHeight="1">
      <x:c r="A1865" s="17" t="str">
        <x:v>stage3src:98d0d8d9172e7ab4bcf3</x:v>
      </x:c>
      <x:c r="B1865" s="17" t="str">
        <x:v>program</x:v>
      </x:c>
      <x:c r="C1865" s="17" t="str">
        <x:v>University at Buffalo</x:v>
      </x:c>
      <x:c r="D1865" s="17" t="str">
        <x:v>us:ipeds:196088:program:phd:computer-science-and-engineering-phd</x:v>
      </x:c>
      <x:c r="E1865" s="17" t="str"/>
      <x:c r="F1865" s="17" t="str">
        <x:v>funding|fees</x:v>
      </x:c>
      <x:c r="G1865" s="17" t="str">
        <x:v>Package terms for fully funded PhD students, including stipend, tuition, fee scholarship, and international-fee treatment; incidence among all admits is not stated.</x:v>
      </x:c>
      <x:c r="H1865" s="17" t="str">
        <x:v>Paid Assistantships</x:v>
      </x:c>
      <x:c r="I1865" s="17" t="str">
        <x:v>University at Buffalo School of Engineering and Applied Sciences</x:v>
      </x:c>
      <x:c r="J1865" s="17" t="str">
        <x:v>official</x:v>
      </x:c>
      <x:c r="K1865" s="17" t="str">
        <x:v>2026-09-10</x:v>
      </x:c>
      <x:c r="L1865" s="17" t="str">
        <x:v>Current 2026 page</x:v>
      </x:c>
      <x:c r="M1865" s="17" t="str">
        <x:v>high</x:v>
      </x:c>
      <x:c r="N1865" s="17" t="str">
        <x:v>official page checked</x:v>
      </x:c>
      <x:c r="O1865" s="17" t="str"/>
      <x:c r="P1865" s="18" t="e">
        <x:f>HYPERLINK("https://engineering.buffalo.edu/home/academics/grad/new-students/paid-assistantships.html","Open source")</x:f>
        <x:v>HYPERLINK is not implemented. linkLocation=https://engineering.buffalo.edu/home/academics/grad/new-students/paid-assistantships.html, friendlyName=Open source</x:v>
      </x:c>
    </x:row>
    <x:row r="1866" ht="46" customHeight="1">
      <x:c r="A1866" s="17" t="str">
        <x:v>stage3src:8740910a04bd576e8add</x:v>
      </x:c>
      <x:c r="B1866" s="17" t="str">
        <x:v>program</x:v>
      </x:c>
      <x:c r="C1866" s="17" t="str">
        <x:v>University at Buffalo</x:v>
      </x:c>
      <x:c r="D1866" s="17" t="str">
        <x:v>us:ipeds:196088:program:unclear:ipeds-discovery-signal-computer-and-information-sciences-general-cip-11-0101</x:v>
      </x:c>
      <x:c r="E1866" s="17" t="str"/>
      <x:c r="F1866" s="17" t="str">
        <x:v>discovery</x:v>
      </x:c>
      <x:c r="G1866" s="17" t="str">
        <x:v>Stage 2 recorded this row as a discovery candidate; it does not independently verify an exact current research program, eligibility, or funding.</x:v>
      </x:c>
      <x:c r="H1866" s="17" t="str">
        <x:v>Pass 2 Stage 2 candidate funnel</x:v>
      </x:c>
      <x:c r="I1866" s="17" t="str">
        <x:v>Graduate audit pipeline</x:v>
      </x:c>
      <x:c r="J1866" s="17" t="str">
        <x:v>derived</x:v>
      </x:c>
      <x:c r="K1866" s="17" t="str">
        <x:v>2026-09-11</x:v>
      </x:c>
      <x:c r="L1866" s="17" t="str">
        <x:v>Not cycle-specific</x:v>
      </x:c>
      <x:c r="M1866" s="17" t="str">
        <x:v>low</x:v>
      </x:c>
      <x:c r="N1866" s="17" t="str">
        <x:v>Discovery evidence only</x:v>
      </x:c>
      <x:c r="O1866" s="17" t="str">
        <x:v>Use the source_record_paths field to trace the underlying discovery inputs.</x:v>
      </x:c>
      <x:c r="P1866" s="18" t="e">
        <x:f>HYPERLINK("https://www.buffalo.edu","Open source")</x:f>
        <x:v>HYPERLINK is not implemented. linkLocation=https://www.buffalo.edu, friendlyName=Open source</x:v>
      </x:c>
    </x:row>
    <x:row r="1867" ht="46" customHeight="1">
      <x:c r="A1867" s="17" t="str">
        <x:v>stage3src:7d6505600bd93f09ebd0</x:v>
      </x:c>
      <x:c r="B1867" s="17" t="str">
        <x:v>program</x:v>
      </x:c>
      <x:c r="C1867" s="17" t="str">
        <x:v>University at Buffalo</x:v>
      </x:c>
      <x:c r="D1867" s="17" t="str">
        <x:v>us:ipeds:196088:program:unclear:ipeds-discovery-signal-data-science-general-cip-30-7001</x:v>
      </x:c>
      <x:c r="E1867" s="17" t="str"/>
      <x:c r="F1867" s="17" t="str">
        <x:v>discovery</x:v>
      </x:c>
      <x:c r="G1867" s="17" t="str">
        <x:v>Stage 2 recorded this row as a discovery candidate; it does not independently verify an exact current research program, eligibility, or funding.</x:v>
      </x:c>
      <x:c r="H1867" s="17" t="str">
        <x:v>Pass 2 Stage 2 candidate funnel</x:v>
      </x:c>
      <x:c r="I1867" s="17" t="str">
        <x:v>Graduate audit pipeline</x:v>
      </x:c>
      <x:c r="J1867" s="17" t="str">
        <x:v>derived</x:v>
      </x:c>
      <x:c r="K1867" s="17" t="str">
        <x:v>2026-09-11</x:v>
      </x:c>
      <x:c r="L1867" s="17" t="str">
        <x:v>Not cycle-specific</x:v>
      </x:c>
      <x:c r="M1867" s="17" t="str">
        <x:v>low</x:v>
      </x:c>
      <x:c r="N1867" s="17" t="str">
        <x:v>Discovery evidence only</x:v>
      </x:c>
      <x:c r="O1867" s="17" t="str">
        <x:v>Use the source_record_paths field to trace the underlying discovery inputs.</x:v>
      </x:c>
      <x:c r="P1867" s="18" t="e">
        <x:f>HYPERLINK("https://www.buffalo.edu","Open source")</x:f>
        <x:v>HYPERLINK is not implemented. linkLocation=https://www.buffalo.edu, friendlyName=Open source</x:v>
      </x:c>
    </x:row>
    <x:row r="1868" ht="46" customHeight="1">
      <x:c r="A1868" s="17" t="str">
        <x:v>stage3src:e5dbf510b7120dc5ffc8</x:v>
      </x:c>
      <x:c r="B1868" s="17" t="str">
        <x:v>program</x:v>
      </x:c>
      <x:c r="C1868" s="17" t="str">
        <x:v>University at Buffalo</x:v>
      </x:c>
      <x:c r="D1868" s="17" t="str">
        <x:v>us:ipeds:196088:program:unclear:ipeds-discovery-signal-electrical-and-electronics-engineering-cip-14-1001</x:v>
      </x:c>
      <x:c r="E1868" s="17" t="str"/>
      <x:c r="F1868" s="17" t="str">
        <x:v>discovery</x:v>
      </x:c>
      <x:c r="G1868" s="17" t="str">
        <x:v>Stage 2 recorded this row as a discovery candidate; it does not independently verify an exact current research program, eligibility, or funding.</x:v>
      </x:c>
      <x:c r="H1868" s="17" t="str">
        <x:v>Pass 2 Stage 2 candidate funnel</x:v>
      </x:c>
      <x:c r="I1868" s="17" t="str">
        <x:v>Graduate audit pipeline</x:v>
      </x:c>
      <x:c r="J1868" s="17" t="str">
        <x:v>derived</x:v>
      </x:c>
      <x:c r="K1868" s="17" t="str">
        <x:v>2026-09-11</x:v>
      </x:c>
      <x:c r="L1868" s="17" t="str">
        <x:v>Not cycle-specific</x:v>
      </x:c>
      <x:c r="M1868" s="17" t="str">
        <x:v>low</x:v>
      </x:c>
      <x:c r="N1868" s="17" t="str">
        <x:v>Discovery evidence only</x:v>
      </x:c>
      <x:c r="O1868" s="17" t="str">
        <x:v>Use the source_record_paths field to trace the underlying discovery inputs.</x:v>
      </x:c>
      <x:c r="P1868" s="18" t="e">
        <x:f>HYPERLINK("https://www.buffalo.edu","Open source")</x:f>
        <x:v>HYPERLINK is not implemented. linkLocation=https://www.buffalo.edu, friendlyName=Open source</x:v>
      </x:c>
    </x:row>
    <x:row r="1869" ht="46" customHeight="1">
      <x:c r="A1869" s="17" t="str">
        <x:v>stage3src:deca86a4586a6685e202</x:v>
      </x:c>
      <x:c r="B1869" s="17" t="str">
        <x:v>program</x:v>
      </x:c>
      <x:c r="C1869" s="17" t="str">
        <x:v>University at Buffalo</x:v>
      </x:c>
      <x:c r="D1869" s="17" t="str">
        <x:v>us:ipeds:196088:program:unclear:ipeds-discovery-signal-information-science-studies-cip-11-0401</x:v>
      </x:c>
      <x:c r="E1869" s="17" t="str"/>
      <x:c r="F1869" s="17" t="str">
        <x:v>discovery</x:v>
      </x:c>
      <x:c r="G1869" s="17" t="str">
        <x:v>Stage 2 recorded this row as a discovery candidate; it does not independently verify an exact current research program, eligibility, or funding.</x:v>
      </x:c>
      <x:c r="H1869" s="17" t="str">
        <x:v>Pass 2 Stage 2 candidate funnel</x:v>
      </x:c>
      <x:c r="I1869" s="17" t="str">
        <x:v>Graduate audit pipeline</x:v>
      </x:c>
      <x:c r="J1869" s="17" t="str">
        <x:v>derived</x:v>
      </x:c>
      <x:c r="K1869" s="17" t="str">
        <x:v>2026-09-11</x:v>
      </x:c>
      <x:c r="L1869" s="17" t="str">
        <x:v>Not cycle-specific</x:v>
      </x:c>
      <x:c r="M1869" s="17" t="str">
        <x:v>low</x:v>
      </x:c>
      <x:c r="N1869" s="17" t="str">
        <x:v>Discovery evidence only</x:v>
      </x:c>
      <x:c r="O1869" s="17" t="str">
        <x:v>Use the source_record_paths field to trace the underlying discovery inputs.</x:v>
      </x:c>
      <x:c r="P1869" s="18" t="e">
        <x:f>HYPERLINK("https://www.buffalo.edu","Open source")</x:f>
        <x:v>HYPERLINK is not implemented. linkLocation=https://www.buffalo.edu, friendlyName=Open source</x:v>
      </x:c>
    </x:row>
    <x:row r="1870" ht="46" customHeight="1">
      <x:c r="A1870" s="17" t="str">
        <x:v>stage3src:5d78b85baebdc26a03dd</x:v>
      </x:c>
      <x:c r="B1870" s="17" t="str">
        <x:v>program</x:v>
      </x:c>
      <x:c r="C1870" s="17" t="str">
        <x:v>Stony Brook University</x:v>
      </x:c>
      <x:c r="D1870" s="17" t="str">
        <x:v>us:ipeds:196097:program:phd:computer-science-phd</x:v>
      </x:c>
      <x:c r="E1870" s="17" t="str"/>
      <x:c r="F1870" s="17" t="str">
        <x:v>funding|fees</x:v>
      </x:c>
      <x:c r="G1870" s="17" t="str">
        <x:v>All PhD TA/RA positions carry tuition and fee scholarship, academic-year TA coverage, and summer support depends on an advisor or limited instructor positions.</x:v>
      </x:c>
      <x:c r="H1870" s="17" t="str">
        <x:v>PhD Program Orientation FA25</x:v>
      </x:c>
      <x:c r="I1870" s="17" t="str">
        <x:v>Stony Brook Department of Computer Science</x:v>
      </x:c>
      <x:c r="J1870" s="17" t="str">
        <x:v>official</x:v>
      </x:c>
      <x:c r="K1870" s="17" t="str">
        <x:v>2026-09-10</x:v>
      </x:c>
      <x:c r="L1870" s="17" t="str">
        <x:v>Fall 2025 orientation; current microsite checked 2026-09-10</x:v>
      </x:c>
      <x:c r="M1870" s="17" t="str">
        <x:v>high</x:v>
      </x:c>
      <x:c r="N1870" s="17" t="str">
        <x:v>official page checked</x:v>
      </x:c>
      <x:c r="O1870" s="17" t="str"/>
      <x:c r="P1870" s="18" t="e">
        <x:f>HYPERLINK("https://www.fsl.cs.stonybrook.edu/SBU-CS-Grad-Admissions/SRC/2025-08-21-SBU-CS-PhD-Program-Orientation-FA25.pdf","Open source")</x:f>
        <x:v>HYPERLINK is not implemented. linkLocation=https://www.fsl.cs.stonybrook.edu/SBU-CS-Grad-Admissions/SRC/2025-08-21-SBU-CS-PhD-Program-Orientation-FA25.pdf, friendlyName=Open source</x:v>
      </x:c>
    </x:row>
    <x:row r="1871" ht="46" customHeight="1">
      <x:c r="A1871" s="17" t="str">
        <x:v>stage3src:73876a566449fcf409dd</x:v>
      </x:c>
      <x:c r="B1871" s="17" t="str">
        <x:v>program</x:v>
      </x:c>
      <x:c r="C1871" s="17" t="str">
        <x:v>Stony Brook University</x:v>
      </x:c>
      <x:c r="D1871" s="17" t="str">
        <x:v>us:ipeds:196097:program:phd:computer-science-phd</x:v>
      </x:c>
      <x:c r="E1871" s="17" t="str"/>
      <x:c r="F1871" s="17" t="str">
        <x:v>admissions|deadline|funding|fees</x:v>
      </x:c>
      <x:c r="G1871" s="17" t="str">
        <x:v>Usual January 15 fall deadline, general first-year PhD support, later RA model, stipend, tuition reimbursement, health benefits, and variable summer support.</x:v>
      </x:c>
      <x:c r="H1871" s="17" t="str">
        <x:v>Graduate Studies</x:v>
      </x:c>
      <x:c r="I1871" s="17" t="str">
        <x:v>Stony Brook Department of Computer Science</x:v>
      </x:c>
      <x:c r="J1871" s="17" t="str">
        <x:v>official</x:v>
      </x:c>
      <x:c r="K1871" s="17" t="str">
        <x:v>2026-09-10</x:v>
      </x:c>
      <x:c r="L1871" s="17" t="str">
        <x:v>Latest official brochure indexed 2026-09-10</x:v>
      </x:c>
      <x:c r="M1871" s="17" t="str">
        <x:v>high</x:v>
      </x:c>
      <x:c r="N1871" s="17" t="str">
        <x:v>official page checked</x:v>
      </x:c>
      <x:c r="O1871" s="17" t="str"/>
      <x:c r="P1871" s="18" t="e">
        <x:f>HYPERLINK("https://www3.cs.stonybrook.edu/files/graduate/CSbrochure.pdf","Open source")</x:f>
        <x:v>HYPERLINK is not implemented. linkLocation=https://www3.cs.stonybrook.edu/files/graduate/CSbrochure.pdf, friendlyName=Open source</x:v>
      </x:c>
    </x:row>
    <x:row r="1872" ht="46" customHeight="1">
      <x:c r="A1872" s="17" t="str">
        <x:v>stage3src:c6cf90518117f139f332</x:v>
      </x:c>
      <x:c r="B1872" s="17" t="str">
        <x:v>program</x:v>
      </x:c>
      <x:c r="C1872" s="17" t="str">
        <x:v>Stony Brook University</x:v>
      </x:c>
      <x:c r="D1872" s="17" t="str">
        <x:v>us:ipeds:196097:program:phd:computer-science-phd</x:v>
      </x:c>
      <x:c r="E1872" s="17" t="str"/>
      <x:c r="F1872" s="17" t="str">
        <x:v>admissions|eligibility|language|fees</x:v>
      </x:c>
      <x:c r="G1872" s="17" t="str">
        <x:v>3.0 Graduate School floor, USD 100 application fee, waiver limits, international credential review, and English-degree exemption.</x:v>
      </x:c>
      <x:c r="H1872" s="17" t="str">
        <x:v>Apply — Graduate Programs</x:v>
      </x:c>
      <x:c r="I1872" s="17" t="str">
        <x:v>Stony Brook University Graduate School</x:v>
      </x:c>
      <x:c r="J1872" s="17" t="str">
        <x:v>official</x:v>
      </x:c>
      <x:c r="K1872" s="17" t="str">
        <x:v>2026-09-10</x:v>
      </x:c>
      <x:c r="L1872" s="17" t="str">
        <x:v>Current page checked 2026-09-10</x:v>
      </x:c>
      <x:c r="M1872" s="17" t="str">
        <x:v>high</x:v>
      </x:c>
      <x:c r="N1872" s="17" t="str">
        <x:v>official page checked</x:v>
      </x:c>
      <x:c r="O1872" s="17" t="str"/>
      <x:c r="P1872" s="18" t="e">
        <x:f>HYPERLINK("https://www.stonybrook.edu/grad/admissions/apply-graduate-programs.html","Open source")</x:f>
        <x:v>HYPERLINK is not implemented. linkLocation=https://www.stonybrook.edu/grad/admissions/apply-graduate-programs.html, friendlyName=Open source</x:v>
      </x:c>
    </x:row>
    <x:row r="1873" ht="46" customHeight="1">
      <x:c r="A1873" s="17" t="str">
        <x:v>stage3src:fafc01135b4443dce478</x:v>
      </x:c>
      <x:c r="B1873" s="17" t="str">
        <x:v>program</x:v>
      </x:c>
      <x:c r="C1873" s="17" t="str">
        <x:v>Stony Brook University</x:v>
      </x:c>
      <x:c r="D1873" s="17" t="str">
        <x:v>us:ipeds:196097:program:phd:computer-science-phd</x:v>
      </x:c>
      <x:c r="E1873" s="17" t="str"/>
      <x:c r="F1873" s="17" t="str">
        <x:v>program|admissions|eligibility|language</x:v>
      </x:c>
      <x:c r="G1873" s="17" t="str">
        <x:v>Current PhD structure, bachelor's and 3.0 entry requirements, CS preparation, admissions model, and advisor timing.</x:v>
      </x:c>
      <x:c r="H1873" s="17" t="str">
        <x:v>Graduate Student Handbook, Fall 2024 Edition</x:v>
      </x:c>
      <x:c r="I1873" s="17" t="str">
        <x:v>Stony Brook Department of Computer Science</x:v>
      </x:c>
      <x:c r="J1873" s="17" t="str">
        <x:v>official</x:v>
      </x:c>
      <x:c r="K1873" s="17" t="str">
        <x:v>2026-09-10</x:v>
      </x:c>
      <x:c r="L1873" s="17" t="str">
        <x:v>Fall 2024 edition; indexed 2026-09-10</x:v>
      </x:c>
      <x:c r="M1873" s="17" t="str">
        <x:v>high</x:v>
      </x:c>
      <x:c r="N1873" s="17" t="str">
        <x:v>Official indexed content checked; direct URL returned HTTP 404</x:v>
      </x:c>
      <x:c r="O1873" s="17" t="str">
        <x:v>Current official admissions microsite still identifies this as the latest handbook, but direct automated retrieval returned 404.</x:v>
      </x:c>
      <x:c r="P1873" s="18" t="e">
        <x:f>HYPERLINK("https://www.cs.stonybrook.edu/sites/default/files/drupalfiles/basicpage/Graduatehandbook.pdf","Open source")</x:f>
        <x:v>HYPERLINK is not implemented. linkLocation=https://www.cs.stonybrook.edu/sites/default/files/drupalfiles/basicpage/Graduatehandbook.pdf, friendlyName=Open source</x:v>
      </x:c>
    </x:row>
    <x:row r="1874" ht="46" customHeight="1">
      <x:c r="A1874" s="17" t="str">
        <x:v>stage3src:726fafc6895ae0a30a04</x:v>
      </x:c>
      <x:c r="B1874" s="17" t="str">
        <x:v>program</x:v>
      </x:c>
      <x:c r="C1874" s="17" t="str">
        <x:v>Stony Brook University</x:v>
      </x:c>
      <x:c r="D1874" s="17" t="str">
        <x:v>us:ipeds:196097:program:unclear:ipeds-discovery-signal-computer-engineering-general-cip-14-0901</x:v>
      </x:c>
      <x:c r="E1874" s="17" t="str"/>
      <x:c r="F1874" s="17" t="str">
        <x:v>discovery</x:v>
      </x:c>
      <x:c r="G1874" s="17" t="str">
        <x:v>Stage 2 recorded this row as a discovery candidate; it does not independently verify an exact current research program, eligibility, or funding.</x:v>
      </x:c>
      <x:c r="H1874" s="17" t="str">
        <x:v>Pass 2 Stage 2 candidate funnel</x:v>
      </x:c>
      <x:c r="I1874" s="17" t="str">
        <x:v>Graduate audit pipeline</x:v>
      </x:c>
      <x:c r="J1874" s="17" t="str">
        <x:v>derived</x:v>
      </x:c>
      <x:c r="K1874" s="17" t="str">
        <x:v>2026-09-11</x:v>
      </x:c>
      <x:c r="L1874" s="17" t="str">
        <x:v>Not cycle-specific</x:v>
      </x:c>
      <x:c r="M1874" s="17" t="str">
        <x:v>low</x:v>
      </x:c>
      <x:c r="N1874" s="17" t="str">
        <x:v>Discovery evidence only</x:v>
      </x:c>
      <x:c r="O1874" s="17" t="str">
        <x:v>Use the source_record_paths field to trace the underlying discovery inputs.</x:v>
      </x:c>
      <x:c r="P1874" s="18" t="e">
        <x:f>HYPERLINK("https://www.stonybrook.edu","Open source")</x:f>
        <x:v>HYPERLINK is not implemented. linkLocation=https://www.stonybrook.edu, friendlyName=Open source</x:v>
      </x:c>
    </x:row>
    <x:row r="1875" ht="46" customHeight="1">
      <x:c r="A1875" s="17" t="str">
        <x:v>stage3src:0c1f712efd2713884145</x:v>
      </x:c>
      <x:c r="B1875" s="17" t="str">
        <x:v>program</x:v>
      </x:c>
      <x:c r="C1875" s="17" t="str">
        <x:v>Stony Brook University</x:v>
      </x:c>
      <x:c r="D1875" s="17" t="str">
        <x:v>us:ipeds:196097:program:unclear:ipeds-discovery-signal-computer-science-cip-11-0701</x:v>
      </x:c>
      <x:c r="E1875" s="17" t="str"/>
      <x:c r="F1875" s="17" t="str">
        <x:v>discovery</x:v>
      </x:c>
      <x:c r="G1875" s="17" t="str">
        <x:v>Stage 2 recorded this row as a discovery candidate; it does not independently verify an exact current research program, eligibility, or funding.</x:v>
      </x:c>
      <x:c r="H1875" s="17" t="str">
        <x:v>Pass 2 Stage 2 candidate funnel</x:v>
      </x:c>
      <x:c r="I1875" s="17" t="str">
        <x:v>Graduate audit pipeline</x:v>
      </x:c>
      <x:c r="J1875" s="17" t="str">
        <x:v>derived</x:v>
      </x:c>
      <x:c r="K1875" s="17" t="str">
        <x:v>2026-09-11</x:v>
      </x:c>
      <x:c r="L1875" s="17" t="str">
        <x:v>Not cycle-specific</x:v>
      </x:c>
      <x:c r="M1875" s="17" t="str">
        <x:v>low</x:v>
      </x:c>
      <x:c r="N1875" s="17" t="str">
        <x:v>Discovery evidence only</x:v>
      </x:c>
      <x:c r="O1875" s="17" t="str">
        <x:v>Use the source_record_paths field to trace the underlying discovery inputs.</x:v>
      </x:c>
      <x:c r="P1875" s="18" t="e">
        <x:f>HYPERLINK("https://www.stonybrook.edu","Open source")</x:f>
        <x:v>HYPERLINK is not implemented. linkLocation=https://www.stonybrook.edu, friendlyName=Open source</x:v>
      </x:c>
    </x:row>
    <x:row r="1876" ht="46" customHeight="1">
      <x:c r="A1876" s="17" t="str">
        <x:v>stage3src:52dde839dd2630cdce92</x:v>
      </x:c>
      <x:c r="B1876" s="17" t="str">
        <x:v>program</x:v>
      </x:c>
      <x:c r="C1876" s="17" t="str">
        <x:v>Stony Brook University</x:v>
      </x:c>
      <x:c r="D1876" s="17" t="str">
        <x:v>us:ipeds:196097:program:unclear:ipeds-discovery-signal-electrical-and-electronics-engineering-cip-14-1001</x:v>
      </x:c>
      <x:c r="E1876" s="17" t="str"/>
      <x:c r="F1876" s="17" t="str">
        <x:v>discovery</x:v>
      </x:c>
      <x:c r="G1876" s="17" t="str">
        <x:v>Stage 2 recorded this row as a discovery candidate; it does not independently verify an exact current research program, eligibility, or funding.</x:v>
      </x:c>
      <x:c r="H1876" s="17" t="str">
        <x:v>Pass 2 Stage 2 candidate funnel</x:v>
      </x:c>
      <x:c r="I1876" s="17" t="str">
        <x:v>Graduate audit pipeline</x:v>
      </x:c>
      <x:c r="J1876" s="17" t="str">
        <x:v>derived</x:v>
      </x:c>
      <x:c r="K1876" s="17" t="str">
        <x:v>2026-09-11</x:v>
      </x:c>
      <x:c r="L1876" s="17" t="str">
        <x:v>Not cycle-specific</x:v>
      </x:c>
      <x:c r="M1876" s="17" t="str">
        <x:v>low</x:v>
      </x:c>
      <x:c r="N1876" s="17" t="str">
        <x:v>Discovery evidence only</x:v>
      </x:c>
      <x:c r="O1876" s="17" t="str">
        <x:v>Use the source_record_paths field to trace the underlying discovery inputs.</x:v>
      </x:c>
      <x:c r="P1876" s="18" t="e">
        <x:f>HYPERLINK("https://www.stonybrook.edu","Open source")</x:f>
        <x:v>HYPERLINK is not implemented. linkLocation=https://www.stonybrook.edu, friendlyName=Open source</x:v>
      </x:c>
    </x:row>
    <x:row r="1877" ht="46" customHeight="1">
      <x:c r="A1877" s="17" t="str">
        <x:v>stage3src:eb7266bf58b0ec245155</x:v>
      </x:c>
      <x:c r="B1877" s="17" t="str">
        <x:v>program</x:v>
      </x:c>
      <x:c r="C1877" s="17" t="str">
        <x:v>SUNY Polytechnic Institute</x:v>
      </x:c>
      <x:c r="D1877" s="17" t="str">
        <x:v>us:ipeds:196112:program:unclear:ipeds-discovery-signal-computer-and-information-sciences-general-cip-11-0101</x:v>
      </x:c>
      <x:c r="E1877" s="17" t="str"/>
      <x:c r="F1877" s="17" t="str">
        <x:v>discovery</x:v>
      </x:c>
      <x:c r="G1877" s="17" t="str">
        <x:v>Stage 2 recorded this row as a discovery candidate; it does not independently verify an exact current research program, eligibility, or funding.</x:v>
      </x:c>
      <x:c r="H1877" s="17" t="str">
        <x:v>Pass 2 Stage 2 candidate funnel</x:v>
      </x:c>
      <x:c r="I1877" s="17" t="str">
        <x:v>Graduate audit pipeline</x:v>
      </x:c>
      <x:c r="J1877" s="17" t="str">
        <x:v>derived</x:v>
      </x:c>
      <x:c r="K1877" s="17" t="str">
        <x:v>2026-09-11</x:v>
      </x:c>
      <x:c r="L1877" s="17" t="str">
        <x:v>Not cycle-specific</x:v>
      </x:c>
      <x:c r="M1877" s="17" t="str">
        <x:v>low</x:v>
      </x:c>
      <x:c r="N1877" s="17" t="str">
        <x:v>Discovery evidence only</x:v>
      </x:c>
      <x:c r="O1877" s="17" t="str">
        <x:v>Use the source_record_paths field to trace the underlying discovery inputs.</x:v>
      </x:c>
      <x:c r="P1877" s="18" t="e">
        <x:f>HYPERLINK("https://www.sunypoly.edu","Open source")</x:f>
        <x:v>HYPERLINK is not implemented. linkLocation=https://www.sunypoly.edu, friendlyName=Open source</x:v>
      </x:c>
    </x:row>
    <x:row r="1878" ht="46" customHeight="1">
      <x:c r="A1878" s="17" t="str">
        <x:v>stage3src:5e4df8793d4ed1025744</x:v>
      </x:c>
      <x:c r="B1878" s="17" t="str">
        <x:v>program</x:v>
      </x:c>
      <x:c r="C1878" s="17" t="str">
        <x:v>SUNY Polytechnic Institute</x:v>
      </x:c>
      <x:c r="D1878" s="17" t="str">
        <x:v>us:ipeds:196112:program:unclear:ipeds-discovery-signal-computer-and-information-systems-security-auditing-information-assurance-cip-11-1003</x:v>
      </x:c>
      <x:c r="E1878" s="17" t="str"/>
      <x:c r="F1878" s="17" t="str">
        <x:v>discovery</x:v>
      </x:c>
      <x:c r="G1878" s="17" t="str">
        <x:v>Stage 2 recorded this row as a discovery candidate; it does not independently verify an exact current research program, eligibility, or funding.</x:v>
      </x:c>
      <x:c r="H1878" s="17" t="str">
        <x:v>Pass 2 Stage 2 candidate funnel</x:v>
      </x:c>
      <x:c r="I1878" s="17" t="str">
        <x:v>Graduate audit pipeline</x:v>
      </x:c>
      <x:c r="J1878" s="17" t="str">
        <x:v>derived</x:v>
      </x:c>
      <x:c r="K1878" s="17" t="str">
        <x:v>2026-09-11</x:v>
      </x:c>
      <x:c r="L1878" s="17" t="str">
        <x:v>Not cycle-specific</x:v>
      </x:c>
      <x:c r="M1878" s="17" t="str">
        <x:v>low</x:v>
      </x:c>
      <x:c r="N1878" s="17" t="str">
        <x:v>Discovery evidence only</x:v>
      </x:c>
      <x:c r="O1878" s="17" t="str">
        <x:v>Use the source_record_paths field to trace the underlying discovery inputs.</x:v>
      </x:c>
      <x:c r="P1878" s="18" t="e">
        <x:f>HYPERLINK("https://www.sunypoly.edu","Open source")</x:f>
        <x:v>HYPERLINK is not implemented. linkLocation=https://www.sunypoly.edu, friendlyName=Open source</x:v>
      </x:c>
    </x:row>
    <x:row r="1879" ht="46" customHeight="1">
      <x:c r="A1879" s="17" t="str">
        <x:v>stage3src:14f4fa1ab3f24e915fda</x:v>
      </x:c>
      <x:c r="B1879" s="17" t="str">
        <x:v>program</x:v>
      </x:c>
      <x:c r="C1879" s="17" t="str">
        <x:v>SUNY Polytechnic Institute</x:v>
      </x:c>
      <x:c r="D1879" s="17" t="str">
        <x:v>us:ipeds:196112:program:unclear:ipeds-discovery-signal-computer-science-cip-11-0701</x:v>
      </x:c>
      <x:c r="E1879" s="17" t="str"/>
      <x:c r="F1879" s="17" t="str">
        <x:v>discovery</x:v>
      </x:c>
      <x:c r="G1879" s="17" t="str">
        <x:v>Stage 2 recorded this row as a discovery candidate; it does not independently verify an exact current research program, eligibility, or funding.</x:v>
      </x:c>
      <x:c r="H1879" s="17" t="str">
        <x:v>Pass 2 Stage 2 candidate funnel</x:v>
      </x:c>
      <x:c r="I1879" s="17" t="str">
        <x:v>Graduate audit pipeline</x:v>
      </x:c>
      <x:c r="J1879" s="17" t="str">
        <x:v>derived</x:v>
      </x:c>
      <x:c r="K1879" s="17" t="str">
        <x:v>2026-09-11</x:v>
      </x:c>
      <x:c r="L1879" s="17" t="str">
        <x:v>Not cycle-specific</x:v>
      </x:c>
      <x:c r="M1879" s="17" t="str">
        <x:v>low</x:v>
      </x:c>
      <x:c r="N1879" s="17" t="str">
        <x:v>Discovery evidence only</x:v>
      </x:c>
      <x:c r="O1879" s="17" t="str">
        <x:v>Use the source_record_paths field to trace the underlying discovery inputs.</x:v>
      </x:c>
      <x:c r="P1879" s="18" t="e">
        <x:f>HYPERLINK("https://www.sunypoly.edu","Open source")</x:f>
        <x:v>HYPERLINK is not implemented. linkLocation=https://www.sunypoly.edu, friendlyName=Open source</x:v>
      </x:c>
    </x:row>
    <x:row r="1880" ht="46" customHeight="1">
      <x:c r="A1880" s="17" t="str">
        <x:v>stage3src:08ec8a7ec3bd9303a450</x:v>
      </x:c>
      <x:c r="B1880" s="17" t="str">
        <x:v>program</x:v>
      </x:c>
      <x:c r="C1880" s="17" t="str">
        <x:v>SUNY Polytechnic Institute</x:v>
      </x:c>
      <x:c r="D1880" s="17" t="str">
        <x:v>us:ipeds:196112:program:unclear:ipeds-discovery-signal-information-science-studies-cip-11-0401</x:v>
      </x:c>
      <x:c r="E1880" s="17" t="str"/>
      <x:c r="F1880" s="17" t="str">
        <x:v>discovery</x:v>
      </x:c>
      <x:c r="G1880" s="17" t="str">
        <x:v>Stage 2 recorded this row as a discovery candidate; it does not independently verify an exact current research program, eligibility, or funding.</x:v>
      </x:c>
      <x:c r="H1880" s="17" t="str">
        <x:v>Pass 2 Stage 2 candidate funnel</x:v>
      </x:c>
      <x:c r="I1880" s="17" t="str">
        <x:v>Graduate audit pipeline</x:v>
      </x:c>
      <x:c r="J1880" s="17" t="str">
        <x:v>derived</x:v>
      </x:c>
      <x:c r="K1880" s="17" t="str">
        <x:v>2026-09-11</x:v>
      </x:c>
      <x:c r="L1880" s="17" t="str">
        <x:v>Not cycle-specific</x:v>
      </x:c>
      <x:c r="M1880" s="17" t="str">
        <x:v>low</x:v>
      </x:c>
      <x:c r="N1880" s="17" t="str">
        <x:v>Discovery evidence only</x:v>
      </x:c>
      <x:c r="O1880" s="17" t="str">
        <x:v>Use the source_record_paths field to trace the underlying discovery inputs.</x:v>
      </x:c>
      <x:c r="P1880" s="18" t="e">
        <x:f>HYPERLINK("https://www.sunypoly.edu","Open source")</x:f>
        <x:v>HYPERLINK is not implemented. linkLocation=https://www.sunypoly.edu, friendlyName=Open source</x:v>
      </x:c>
    </x:row>
    <x:row r="1881" ht="46" customHeight="1">
      <x:c r="A1881" s="17" t="str">
        <x:v>stage3src:96093a0818f7fddfc9ac</x:v>
      </x:c>
      <x:c r="B1881" s="17" t="str">
        <x:v>program</x:v>
      </x:c>
      <x:c r="C1881" s="17" t="str">
        <x:v>SUNY Buffalo State University</x:v>
      </x:c>
      <x:c r="D1881" s="17" t="str">
        <x:v>us:ipeds:196130:program:unclear:ipeds-discovery-signal-data-analytics-general-cip-30-7101</x:v>
      </x:c>
      <x:c r="E1881" s="17" t="str"/>
      <x:c r="F1881" s="17" t="str">
        <x:v>discovery</x:v>
      </x:c>
      <x:c r="G1881" s="17" t="str">
        <x:v>Stage 2 recorded this row as a discovery candidate; it does not independently verify an exact current research program, eligibility, or funding.</x:v>
      </x:c>
      <x:c r="H1881" s="17" t="str">
        <x:v>Pass 2 Stage 2 candidate funnel</x:v>
      </x:c>
      <x:c r="I1881" s="17" t="str">
        <x:v>Graduate audit pipeline</x:v>
      </x:c>
      <x:c r="J1881" s="17" t="str">
        <x:v>derived</x:v>
      </x:c>
      <x:c r="K1881" s="17" t="str">
        <x:v>2026-09-11</x:v>
      </x:c>
      <x:c r="L1881" s="17" t="str">
        <x:v>Not cycle-specific</x:v>
      </x:c>
      <x:c r="M1881" s="17" t="str">
        <x:v>low</x:v>
      </x:c>
      <x:c r="N1881" s="17" t="str">
        <x:v>Discovery evidence only</x:v>
      </x:c>
      <x:c r="O1881" s="17" t="str">
        <x:v>Use the source_record_paths field to trace the underlying discovery inputs.</x:v>
      </x:c>
      <x:c r="P1881" s="18" t="e">
        <x:f>HYPERLINK("https://suny.buffalostate.edu","Open source")</x:f>
        <x:v>HYPERLINK is not implemented. linkLocation=https://suny.buffalostate.edu, friendlyName=Open source</x:v>
      </x:c>
    </x:row>
    <x:row r="1882" ht="46" customHeight="1">
      <x:c r="A1882" s="17" t="str">
        <x:v>stage3src:4b0e49ee59dc02cb7d49</x:v>
      </x:c>
      <x:c r="B1882" s="17" t="str">
        <x:v>program</x:v>
      </x:c>
      <x:c r="C1882" s="17" t="str">
        <x:v>State University of New York at New Paltz</x:v>
      </x:c>
      <x:c r="D1882" s="17" t="str">
        <x:v>us:ipeds:196176:program:unclear:ipeds-discovery-signal-computer-and-information-sciences-general-cip-11-0101</x:v>
      </x:c>
      <x:c r="E1882" s="17" t="str"/>
      <x:c r="F1882" s="17" t="str">
        <x:v>discovery</x:v>
      </x:c>
      <x:c r="G1882" s="17" t="str">
        <x:v>Stage 2 recorded this row as a discovery candidate; it does not independently verify an exact current research program, eligibility, or funding.</x:v>
      </x:c>
      <x:c r="H1882" s="17" t="str">
        <x:v>Pass 2 Stage 2 candidate funnel</x:v>
      </x:c>
      <x:c r="I1882" s="17" t="str">
        <x:v>Graduate audit pipeline</x:v>
      </x:c>
      <x:c r="J1882" s="17" t="str">
        <x:v>derived</x:v>
      </x:c>
      <x:c r="K1882" s="17" t="str">
        <x:v>2026-09-11</x:v>
      </x:c>
      <x:c r="L1882" s="17" t="str">
        <x:v>Not cycle-specific</x:v>
      </x:c>
      <x:c r="M1882" s="17" t="str">
        <x:v>low</x:v>
      </x:c>
      <x:c r="N1882" s="17" t="str">
        <x:v>Discovery evidence only</x:v>
      </x:c>
      <x:c r="O1882" s="17" t="str">
        <x:v>Use the source_record_paths field to trace the underlying discovery inputs.</x:v>
      </x:c>
      <x:c r="P1882" s="18" t="e">
        <x:f>HYPERLINK("https://www.newpaltz.edu","Open source")</x:f>
        <x:v>HYPERLINK is not implemented. linkLocation=https://www.newpaltz.edu, friendlyName=Open source</x:v>
      </x:c>
    </x:row>
    <x:row r="1883" ht="46" customHeight="1">
      <x:c r="A1883" s="17" t="str">
        <x:v>stage3src:57acd0ebb91b52527336</x:v>
      </x:c>
      <x:c r="B1883" s="17" t="str">
        <x:v>program</x:v>
      </x:c>
      <x:c r="C1883" s="17" t="str">
        <x:v>State University of New York at New Paltz</x:v>
      </x:c>
      <x:c r="D1883" s="17" t="str">
        <x:v>us:ipeds:196176:program:unclear:ipeds-discovery-signal-electrical-and-electronics-engineering-cip-14-1001</x:v>
      </x:c>
      <x:c r="E1883" s="17" t="str"/>
      <x:c r="F1883" s="17" t="str">
        <x:v>discovery</x:v>
      </x:c>
      <x:c r="G1883" s="17" t="str">
        <x:v>Stage 2 recorded this row as a discovery candidate; it does not independently verify an exact current research program, eligibility, or funding.</x:v>
      </x:c>
      <x:c r="H1883" s="17" t="str">
        <x:v>Pass 2 Stage 2 candidate funnel</x:v>
      </x:c>
      <x:c r="I1883" s="17" t="str">
        <x:v>Graduate audit pipeline</x:v>
      </x:c>
      <x:c r="J1883" s="17" t="str">
        <x:v>derived</x:v>
      </x:c>
      <x:c r="K1883" s="17" t="str">
        <x:v>2026-09-11</x:v>
      </x:c>
      <x:c r="L1883" s="17" t="str">
        <x:v>Not cycle-specific</x:v>
      </x:c>
      <x:c r="M1883" s="17" t="str">
        <x:v>low</x:v>
      </x:c>
      <x:c r="N1883" s="17" t="str">
        <x:v>Discovery evidence only</x:v>
      </x:c>
      <x:c r="O1883" s="17" t="str">
        <x:v>Use the source_record_paths field to trace the underlying discovery inputs.</x:v>
      </x:c>
      <x:c r="P1883" s="18" t="e">
        <x:f>HYPERLINK("https://www.newpaltz.edu","Open source")</x:f>
        <x:v>HYPERLINK is not implemented. linkLocation=https://www.newpaltz.edu, friendlyName=Open source</x:v>
      </x:c>
    </x:row>
    <x:row r="1884" ht="46" customHeight="1">
      <x:c r="A1884" s="17" t="str">
        <x:v>stage3src:ebc9b81c0763487fbc45</x:v>
      </x:c>
      <x:c r="B1884" s="17" t="str">
        <x:v>program</x:v>
      </x:c>
      <x:c r="C1884" s="17" t="str">
        <x:v>SUNY Old Westbury</x:v>
      </x:c>
      <x:c r="D1884" s="17" t="str">
        <x:v>us:ipeds:196237:program:unclear:ipeds-discovery-signal-information-science-studies-cip-11-0401</x:v>
      </x:c>
      <x:c r="E1884" s="17" t="str"/>
      <x:c r="F1884" s="17" t="str">
        <x:v>discovery</x:v>
      </x:c>
      <x:c r="G1884" s="17" t="str">
        <x:v>Stage 2 recorded this row as a discovery candidate; it does not independently verify an exact current research program, eligibility, or funding.</x:v>
      </x:c>
      <x:c r="H1884" s="17" t="str">
        <x:v>Pass 2 Stage 2 candidate funnel</x:v>
      </x:c>
      <x:c r="I1884" s="17" t="str">
        <x:v>Graduate audit pipeline</x:v>
      </x:c>
      <x:c r="J1884" s="17" t="str">
        <x:v>derived</x:v>
      </x:c>
      <x:c r="K1884" s="17" t="str">
        <x:v>2026-09-11</x:v>
      </x:c>
      <x:c r="L1884" s="17" t="str">
        <x:v>Not cycle-specific</x:v>
      </x:c>
      <x:c r="M1884" s="17" t="str">
        <x:v>low</x:v>
      </x:c>
      <x:c r="N1884" s="17" t="str">
        <x:v>Discovery evidence only</x:v>
      </x:c>
      <x:c r="O1884" s="17" t="str">
        <x:v>Use the source_record_paths field to trace the underlying discovery inputs.</x:v>
      </x:c>
      <x:c r="P1884" s="18" t="e">
        <x:f>HYPERLINK("https://www.oldwestbury.edu","Open source")</x:f>
        <x:v>HYPERLINK is not implemented. linkLocation=https://www.oldwestbury.edu, friendlyName=Open source</x:v>
      </x:c>
    </x:row>
    <x:row r="1885" ht="46" customHeight="1">
      <x:c r="A1885" s="17" t="str">
        <x:v>stage3src:5a2da93acfdcad0f782b</x:v>
      </x:c>
      <x:c r="B1885" s="17" t="str">
        <x:v>program</x:v>
      </x:c>
      <x:c r="C1885" s="17" t="str">
        <x:v>State University of New York at Plattsburgh</x:v>
      </x:c>
      <x:c r="D1885" s="17" t="str">
        <x:v>us:ipeds:196246:program:unclear:ipeds-discovery-signal-data-analytics-general-cip-30-7101</x:v>
      </x:c>
      <x:c r="E1885" s="17" t="str"/>
      <x:c r="F1885" s="17" t="str">
        <x:v>discovery</x:v>
      </x:c>
      <x:c r="G1885" s="17" t="str">
        <x:v>Stage 2 recorded this row as a discovery candidate; it does not independently verify an exact current research program, eligibility, or funding.</x:v>
      </x:c>
      <x:c r="H1885" s="17" t="str">
        <x:v>Pass 2 Stage 2 candidate funnel</x:v>
      </x:c>
      <x:c r="I1885" s="17" t="str">
        <x:v>Graduate audit pipeline</x:v>
      </x:c>
      <x:c r="J1885" s="17" t="str">
        <x:v>derived</x:v>
      </x:c>
      <x:c r="K1885" s="17" t="str">
        <x:v>2026-09-11</x:v>
      </x:c>
      <x:c r="L1885" s="17" t="str">
        <x:v>Not cycle-specific</x:v>
      </x:c>
      <x:c r="M1885" s="17" t="str">
        <x:v>low</x:v>
      </x:c>
      <x:c r="N1885" s="17" t="str">
        <x:v>Discovery evidence only</x:v>
      </x:c>
      <x:c r="O1885" s="17" t="str">
        <x:v>Use the source_record_paths field to trace the underlying discovery inputs.</x:v>
      </x:c>
      <x:c r="P1885" s="18" t="e">
        <x:f>HYPERLINK("https://www.plattsburgh.edu","Open source")</x:f>
        <x:v>HYPERLINK is not implemented. linkLocation=https://www.plattsburgh.edu, friendlyName=Open source</x:v>
      </x:c>
    </x:row>
    <x:row r="1886" ht="46" customHeight="1">
      <x:c r="A1886" s="17" t="str">
        <x:v>stage3src:42bb626eb0f71e438f23</x:v>
      </x:c>
      <x:c r="B1886" s="17" t="str">
        <x:v>program</x:v>
      </x:c>
      <x:c r="C1886" s="17" t="str">
        <x:v>State University of New York at Plattsburgh</x:v>
      </x:c>
      <x:c r="D1886" s="17" t="str">
        <x:v>us:ipeds:196246:program:unclear:ipeds-discovery-signal-information-science-studies-cip-11-0401</x:v>
      </x:c>
      <x:c r="E1886" s="17" t="str"/>
      <x:c r="F1886" s="17" t="str">
        <x:v>discovery</x:v>
      </x:c>
      <x:c r="G1886" s="17" t="str">
        <x:v>Stage 2 recorded this row as a discovery candidate; it does not independently verify an exact current research program, eligibility, or funding.</x:v>
      </x:c>
      <x:c r="H1886" s="17" t="str">
        <x:v>Pass 2 Stage 2 candidate funnel</x:v>
      </x:c>
      <x:c r="I1886" s="17" t="str">
        <x:v>Graduate audit pipeline</x:v>
      </x:c>
      <x:c r="J1886" s="17" t="str">
        <x:v>derived</x:v>
      </x:c>
      <x:c r="K1886" s="17" t="str">
        <x:v>2026-09-11</x:v>
      </x:c>
      <x:c r="L1886" s="17" t="str">
        <x:v>Not cycle-specific</x:v>
      </x:c>
      <x:c r="M1886" s="17" t="str">
        <x:v>low</x:v>
      </x:c>
      <x:c r="N1886" s="17" t="str">
        <x:v>Discovery evidence only</x:v>
      </x:c>
      <x:c r="O1886" s="17" t="str">
        <x:v>Use the source_record_paths field to trace the underlying discovery inputs.</x:v>
      </x:c>
      <x:c r="P1886" s="18" t="e">
        <x:f>HYPERLINK("https://www.plattsburgh.edu","Open source")</x:f>
        <x:v>HYPERLINK is not implemented. linkLocation=https://www.plattsburgh.edu, friendlyName=Open source</x:v>
      </x:c>
    </x:row>
    <x:row r="1887" ht="46" customHeight="1">
      <x:c r="A1887" s="17" t="str">
        <x:v>stage3src:f0e8a33d52b2fbff1816</x:v>
      </x:c>
      <x:c r="B1887" s="17" t="str">
        <x:v>program</x:v>
      </x:c>
      <x:c r="C1887" s="17" t="str">
        <x:v>Empire State University</x:v>
      </x:c>
      <x:c r="D1887" s="17" t="str">
        <x:v>us:ipeds:196264:program:unclear:ipeds-discovery-signal-information-science-studies-cip-11-0401</x:v>
      </x:c>
      <x:c r="E1887" s="17" t="str"/>
      <x:c r="F1887" s="17" t="str">
        <x:v>discovery</x:v>
      </x:c>
      <x:c r="G1887" s="17" t="str">
        <x:v>Stage 2 recorded this row as a discovery candidate; it does not independently verify an exact current research program, eligibility, or funding.</x:v>
      </x:c>
      <x:c r="H1887" s="17" t="str">
        <x:v>Pass 2 Stage 2 candidate funnel</x:v>
      </x:c>
      <x:c r="I1887" s="17" t="str">
        <x:v>Graduate audit pipeline</x:v>
      </x:c>
      <x:c r="J1887" s="17" t="str">
        <x:v>derived</x:v>
      </x:c>
      <x:c r="K1887" s="17" t="str">
        <x:v>2026-09-11</x:v>
      </x:c>
      <x:c r="L1887" s="17" t="str">
        <x:v>Not cycle-specific</x:v>
      </x:c>
      <x:c r="M1887" s="17" t="str">
        <x:v>low</x:v>
      </x:c>
      <x:c r="N1887" s="17" t="str">
        <x:v>Discovery evidence only</x:v>
      </x:c>
      <x:c r="O1887" s="17" t="str">
        <x:v>Use the source_record_paths field to trace the underlying discovery inputs.</x:v>
      </x:c>
      <x:c r="P1887" s="18" t="e">
        <x:f>HYPERLINK("https://www.sunyempire.edu","Open source")</x:f>
        <x:v>HYPERLINK is not implemented. linkLocation=https://www.sunyempire.edu, friendlyName=Open source</x:v>
      </x:c>
    </x:row>
    <x:row r="1888" ht="46" customHeight="1">
      <x:c r="A1888" s="17" t="str">
        <x:v>stage3src:86c4451b5dcccb7711aa</x:v>
      </x:c>
      <x:c r="B1888" s="17" t="str">
        <x:v>program</x:v>
      </x:c>
      <x:c r="C1888" s="17" t="str">
        <x:v>Empire State University</x:v>
      </x:c>
      <x:c r="D1888" s="17" t="str">
        <x:v>us:ipeds:196264:program:unclear:ipeds-discovery-signal-information-technology-cip-11-0103</x:v>
      </x:c>
      <x:c r="E1888" s="17" t="str"/>
      <x:c r="F1888" s="17" t="str">
        <x:v>discovery</x:v>
      </x:c>
      <x:c r="G1888" s="17" t="str">
        <x:v>Stage 2 recorded this row as a discovery candidate; it does not independently verify an exact current research program, eligibility, or funding.</x:v>
      </x:c>
      <x:c r="H1888" s="17" t="str">
        <x:v>Pass 2 Stage 2 candidate funnel</x:v>
      </x:c>
      <x:c r="I1888" s="17" t="str">
        <x:v>Graduate audit pipeline</x:v>
      </x:c>
      <x:c r="J1888" s="17" t="str">
        <x:v>derived</x:v>
      </x:c>
      <x:c r="K1888" s="17" t="str">
        <x:v>2026-09-11</x:v>
      </x:c>
      <x:c r="L1888" s="17" t="str">
        <x:v>Not cycle-specific</x:v>
      </x:c>
      <x:c r="M1888" s="17" t="str">
        <x:v>low</x:v>
      </x:c>
      <x:c r="N1888" s="17" t="str">
        <x:v>Discovery evidence only</x:v>
      </x:c>
      <x:c r="O1888" s="17" t="str">
        <x:v>Use the source_record_paths field to trace the underlying discovery inputs.</x:v>
      </x:c>
      <x:c r="P1888" s="18" t="e">
        <x:f>HYPERLINK("https://www.sunyempire.edu","Open source")</x:f>
        <x:v>HYPERLINK is not implemented. linkLocation=https://www.sunyempire.edu, friendlyName=Open source</x:v>
      </x:c>
    </x:row>
    <x:row r="1889" ht="46" customHeight="1">
      <x:c r="A1889" s="17" t="str">
        <x:v>stage3src:9baf0a3bb069a7be54ce</x:v>
      </x:c>
      <x:c r="B1889" s="17" t="str">
        <x:v>program</x:v>
      </x:c>
      <x:c r="C1889" s="17" t="str">
        <x:v>Syracuse University</x:v>
      </x:c>
      <x:c r="D1889" s="17" t="str">
        <x:v>us:ipeds:196413:program:phd:doctor-of-philosophy-in-computer-information-science-and-engineering</x:v>
      </x:c>
      <x:c r="E1889" s="17" t="str"/>
      <x:c r="F1889" s="17" t="str">
        <x:v>admissions|eligibility|language|deadline|fees|funding|tuition</x:v>
      </x:c>
      <x:c r="G1889" s="17" t="str">
        <x:v>Explicit Fall 2027 deadline, optional GRE, English exemption request, fee, and competitive fellowship/assistantship terms.</x:v>
      </x:c>
      <x:c r="H1889" s="17" t="str">
        <x:v>Graduate Application Requirements</x:v>
      </x:c>
      <x:c r="I1889" s="17" t="str">
        <x:v>Syracuse University College of Engineering and Computer Science</x:v>
      </x:c>
      <x:c r="J1889" s="17" t="str">
        <x:v>official</x:v>
      </x:c>
      <x:c r="K1889" s="17" t="str">
        <x:v>2026-09-11</x:v>
      </x:c>
      <x:c r="L1889" s="17" t="str">
        <x:v>Explicit Fall 2027 cycle checked 2026-09-11</x:v>
      </x:c>
      <x:c r="M1889" s="17" t="str">
        <x:v>high</x:v>
      </x:c>
      <x:c r="N1889" s="17" t="str">
        <x:v>official page checked</x:v>
      </x:c>
      <x:c r="O1889" s="17" t="str"/>
      <x:c r="P1889" s="18" t="e">
        <x:f>HYPERLINK("https://ecs.syracuse.edu/admissions/graduate/application-requirements","Open source")</x:f>
        <x:v>HYPERLINK is not implemented. linkLocation=https://ecs.syracuse.edu/admissions/graduate/application-requirements, friendlyName=Open source</x:v>
      </x:c>
    </x:row>
    <x:row r="1890" ht="46" customHeight="1">
      <x:c r="A1890" s="17" t="str">
        <x:v>stage3src:ad465e2d3291a76b53fb</x:v>
      </x:c>
      <x:c r="B1890" s="17" t="str">
        <x:v>program</x:v>
      </x:c>
      <x:c r="C1890" s="17" t="str">
        <x:v>Syracuse University</x:v>
      </x:c>
      <x:c r="D1890" s="17" t="str">
        <x:v>us:ipeds:196413:program:phd:doctor-of-philosophy-in-computer-information-science-and-engineering</x:v>
      </x:c>
      <x:c r="E1890" s="17" t="str"/>
      <x:c r="F1890" s="17" t="str">
        <x:v>program|research|eligibility</x:v>
      </x:c>
      <x:c r="G1890" s="17" t="str">
        <x:v>Current CISE doctorate, research orientation, and bachelor's-entry route.</x:v>
      </x:c>
      <x:c r="H1890" s="17" t="str">
        <x:v>Computer/Information Science and Engineering Doctoral Program</x:v>
      </x:c>
      <x:c r="I1890" s="17" t="str">
        <x:v>Syracuse University College of Engineering and Computer Science</x:v>
      </x:c>
      <x:c r="J1890" s="17" t="str">
        <x:v>official</x:v>
      </x:c>
      <x:c r="K1890" s="17" t="str">
        <x:v>2026-09-11</x:v>
      </x:c>
      <x:c r="L1890" s="17" t="str">
        <x:v>Current page checked 2026-09-11</x:v>
      </x:c>
      <x:c r="M1890" s="17" t="str">
        <x:v>high</x:v>
      </x:c>
      <x:c r="N1890" s="17" t="str">
        <x:v>official page checked</x:v>
      </x:c>
      <x:c r="O1890" s="17" t="str"/>
      <x:c r="P1890" s="18" t="e">
        <x:f>HYPERLINK("https://ecs.syracuse.edu/academics/electrical-engineering-and-computer-science/programs/computer-information-science-engineering-doctoral-program","Open source")</x:f>
        <x:v>HYPERLINK is not implemented. linkLocation=https://ecs.syracuse.edu/academics/electrical-engineering-and-computer-science/programs/computer-information-science-engineering-doctoral-program, friendlyName=Open source</x:v>
      </x:c>
    </x:row>
    <x:row r="1891" ht="46" customHeight="1">
      <x:c r="A1891" s="17" t="str">
        <x:v>stage3src:f7803639b45b46288042</x:v>
      </x:c>
      <x:c r="B1891" s="17" t="str">
        <x:v>program</x:v>
      </x:c>
      <x:c r="C1891" s="17" t="str">
        <x:v>Syracuse University</x:v>
      </x:c>
      <x:c r="D1891" s="17" t="str">
        <x:v>us:ipeds:196413:program:phd:doctor-of-philosophy-in-computer-information-science-and-engineering</x:v>
      </x:c>
      <x:c r="E1891" s="17" t="str"/>
      <x:c r="F1891" s="17" t="str">
        <x:v>funding|tuition|fees|health|summer</x:v>
      </x:c>
      <x:c r="G1891" s="17" t="str">
        <x:v>Graduate School fellowship and assistantship types and department-controlled award boundary.</x:v>
      </x:c>
      <x:c r="H1891" s="17" t="str">
        <x:v>Financial Support</x:v>
      </x:c>
      <x:c r="I1891" s="17" t="str">
        <x:v>Syracuse University Graduate School</x:v>
      </x:c>
      <x:c r="J1891" s="17" t="str">
        <x:v>official</x:v>
      </x:c>
      <x:c r="K1891" s="17" t="str">
        <x:v>2026-09-11</x:v>
      </x:c>
      <x:c r="L1891" s="17" t="str">
        <x:v>Current policy checked 2026-09-11</x:v>
      </x:c>
      <x:c r="M1891" s="17" t="str">
        <x:v>high</x:v>
      </x:c>
      <x:c r="N1891" s="17" t="str">
        <x:v>official page checked</x:v>
      </x:c>
      <x:c r="O1891" s="17" t="str"/>
      <x:c r="P1891" s="18" t="e">
        <x:f>HYPERLINK("https://graduateschool.syr.edu/prospective-students/financial-support/","Open source")</x:f>
        <x:v>HYPERLINK is not implemented. linkLocation=https://graduateschool.syr.edu/prospective-students/financial-support/, friendlyName=Open source</x:v>
      </x:c>
    </x:row>
    <x:row r="1892" ht="46" customHeight="1">
      <x:c r="A1892" s="17" t="str">
        <x:v>stage3src:7c41a7c0fa213e699459</x:v>
      </x:c>
      <x:c r="B1892" s="17" t="str">
        <x:v>program</x:v>
      </x:c>
      <x:c r="C1892" s="17" t="str">
        <x:v>Syracuse University</x:v>
      </x:c>
      <x:c r="D1892" s="17" t="str">
        <x:v>us:ipeds:196413:program:unclear:ipeds-discovery-signal-artificial-intelligence-cip-11-0102</x:v>
      </x:c>
      <x:c r="E1892" s="17" t="str"/>
      <x:c r="F1892" s="17" t="str">
        <x:v>discovery</x:v>
      </x:c>
      <x:c r="G1892" s="17" t="str">
        <x:v>Stage 2 recorded this row as a discovery candidate; it does not independently verify an exact current research program, eligibility, or funding.</x:v>
      </x:c>
      <x:c r="H1892" s="17" t="str">
        <x:v>Pass 2 Stage 2 candidate funnel</x:v>
      </x:c>
      <x:c r="I1892" s="17" t="str">
        <x:v>Graduate audit pipeline</x:v>
      </x:c>
      <x:c r="J1892" s="17" t="str">
        <x:v>derived</x:v>
      </x:c>
      <x:c r="K1892" s="17" t="str">
        <x:v>2026-09-11</x:v>
      </x:c>
      <x:c r="L1892" s="17" t="str">
        <x:v>Not cycle-specific</x:v>
      </x:c>
      <x:c r="M1892" s="17" t="str">
        <x:v>low</x:v>
      </x:c>
      <x:c r="N1892" s="17" t="str">
        <x:v>Discovery evidence only</x:v>
      </x:c>
      <x:c r="O1892" s="17" t="str">
        <x:v>Use the source_record_paths field to trace the underlying discovery inputs.</x:v>
      </x:c>
      <x:c r="P1892" s="18" t="e">
        <x:f>HYPERLINK("https://www.syracuse.edu","Open source")</x:f>
        <x:v>HYPERLINK is not implemented. linkLocation=https://www.syracuse.edu, friendlyName=Open source</x:v>
      </x:c>
    </x:row>
    <x:row r="1893" ht="46" customHeight="1">
      <x:c r="A1893" s="17" t="str">
        <x:v>stage3src:a835fa35162d8c25ec2f</x:v>
      </x:c>
      <x:c r="B1893" s="17" t="str">
        <x:v>program</x:v>
      </x:c>
      <x:c r="C1893" s="17" t="str">
        <x:v>Syracuse University</x:v>
      </x:c>
      <x:c r="D1893" s="17" t="str">
        <x:v>us:ipeds:196413:program:unclear:ipeds-discovery-signal-computer-and-information-sciences-general-cip-11-0101</x:v>
      </x:c>
      <x:c r="E1893" s="17" t="str"/>
      <x:c r="F1893" s="17" t="str">
        <x:v>discovery</x:v>
      </x:c>
      <x:c r="G1893" s="17" t="str">
        <x:v>Stage 2 recorded this row as a discovery candidate; it does not independently verify an exact current research program, eligibility, or funding.</x:v>
      </x:c>
      <x:c r="H1893" s="17" t="str">
        <x:v>Pass 2 Stage 2 candidate funnel</x:v>
      </x:c>
      <x:c r="I1893" s="17" t="str">
        <x:v>Graduate audit pipeline</x:v>
      </x:c>
      <x:c r="J1893" s="17" t="str">
        <x:v>derived</x:v>
      </x:c>
      <x:c r="K1893" s="17" t="str">
        <x:v>2026-09-11</x:v>
      </x:c>
      <x:c r="L1893" s="17" t="str">
        <x:v>Not cycle-specific</x:v>
      </x:c>
      <x:c r="M1893" s="17" t="str">
        <x:v>low</x:v>
      </x:c>
      <x:c r="N1893" s="17" t="str">
        <x:v>Discovery evidence only</x:v>
      </x:c>
      <x:c r="O1893" s="17" t="str">
        <x:v>Use the source_record_paths field to trace the underlying discovery inputs.</x:v>
      </x:c>
      <x:c r="P1893" s="18" t="e">
        <x:f>HYPERLINK("https://www.syracuse.edu","Open source")</x:f>
        <x:v>HYPERLINK is not implemented. linkLocation=https://www.syracuse.edu, friendlyName=Open source</x:v>
      </x:c>
    </x:row>
    <x:row r="1894" ht="46" customHeight="1">
      <x:c r="A1894" s="17" t="str">
        <x:v>stage3src:6c7c43f426216ab4a901</x:v>
      </x:c>
      <x:c r="B1894" s="17" t="str">
        <x:v>program</x:v>
      </x:c>
      <x:c r="C1894" s="17" t="str">
        <x:v>Syracuse University</x:v>
      </x:c>
      <x:c r="D1894" s="17" t="str">
        <x:v>us:ipeds:196413:program:unclear:ipeds-discovery-signal-computer-and-information-systems-security-auditing-information-assurance-cip-11-1003</x:v>
      </x:c>
      <x:c r="E1894" s="17" t="str"/>
      <x:c r="F1894" s="17" t="str">
        <x:v>discovery</x:v>
      </x:c>
      <x:c r="G1894" s="17" t="str">
        <x:v>Stage 2 recorded this row as a discovery candidate; it does not independently verify an exact current research program, eligibility, or funding.</x:v>
      </x:c>
      <x:c r="H1894" s="17" t="str">
        <x:v>Pass 2 Stage 2 candidate funnel</x:v>
      </x:c>
      <x:c r="I1894" s="17" t="str">
        <x:v>Graduate audit pipeline</x:v>
      </x:c>
      <x:c r="J1894" s="17" t="str">
        <x:v>derived</x:v>
      </x:c>
      <x:c r="K1894" s="17" t="str">
        <x:v>2026-09-11</x:v>
      </x:c>
      <x:c r="L1894" s="17" t="str">
        <x:v>Not cycle-specific</x:v>
      </x:c>
      <x:c r="M1894" s="17" t="str">
        <x:v>low</x:v>
      </x:c>
      <x:c r="N1894" s="17" t="str">
        <x:v>Discovery evidence only</x:v>
      </x:c>
      <x:c r="O1894" s="17" t="str">
        <x:v>Use the source_record_paths field to trace the underlying discovery inputs.</x:v>
      </x:c>
      <x:c r="P1894" s="18" t="e">
        <x:f>HYPERLINK("https://www.syracuse.edu","Open source")</x:f>
        <x:v>HYPERLINK is not implemented. linkLocation=https://www.syracuse.edu, friendlyName=Open source</x:v>
      </x:c>
    </x:row>
    <x:row r="1895" ht="46" customHeight="1">
      <x:c r="A1895" s="17" t="str">
        <x:v>stage3src:0904af2db5c8f3bccd03</x:v>
      </x:c>
      <x:c r="B1895" s="17" t="str">
        <x:v>program</x:v>
      </x:c>
      <x:c r="C1895" s="17" t="str">
        <x:v>Syracuse University</x:v>
      </x:c>
      <x:c r="D1895" s="17" t="str">
        <x:v>us:ipeds:196413:program:unclear:ipeds-discovery-signal-computer-engineering-general-cip-14-0901</x:v>
      </x:c>
      <x:c r="E1895" s="17" t="str"/>
      <x:c r="F1895" s="17" t="str">
        <x:v>discovery</x:v>
      </x:c>
      <x:c r="G1895" s="17" t="str">
        <x:v>Stage 2 recorded this row as a discovery candidate; it does not independently verify an exact current research program, eligibility, or funding.</x:v>
      </x:c>
      <x:c r="H1895" s="17" t="str">
        <x:v>Pass 2 Stage 2 candidate funnel</x:v>
      </x:c>
      <x:c r="I1895" s="17" t="str">
        <x:v>Graduate audit pipeline</x:v>
      </x:c>
      <x:c r="J1895" s="17" t="str">
        <x:v>derived</x:v>
      </x:c>
      <x:c r="K1895" s="17" t="str">
        <x:v>2026-09-11</x:v>
      </x:c>
      <x:c r="L1895" s="17" t="str">
        <x:v>Not cycle-specific</x:v>
      </x:c>
      <x:c r="M1895" s="17" t="str">
        <x:v>low</x:v>
      </x:c>
      <x:c r="N1895" s="17" t="str">
        <x:v>Discovery evidence only</x:v>
      </x:c>
      <x:c r="O1895" s="17" t="str">
        <x:v>Use the source_record_paths field to trace the underlying discovery inputs.</x:v>
      </x:c>
      <x:c r="P1895" s="18" t="e">
        <x:f>HYPERLINK("https://www.syracuse.edu","Open source")</x:f>
        <x:v>HYPERLINK is not implemented. linkLocation=https://www.syracuse.edu, friendlyName=Open source</x:v>
      </x:c>
    </x:row>
    <x:row r="1896" ht="46" customHeight="1">
      <x:c r="A1896" s="17" t="str">
        <x:v>stage3src:a0f788ca093410c7053c</x:v>
      </x:c>
      <x:c r="B1896" s="17" t="str">
        <x:v>program</x:v>
      </x:c>
      <x:c r="C1896" s="17" t="str">
        <x:v>Syracuse University</x:v>
      </x:c>
      <x:c r="D1896" s="17" t="str">
        <x:v>us:ipeds:196413:program:unclear:ipeds-discovery-signal-computer-systems-networking-and-telecommunications-cip-11-0901</x:v>
      </x:c>
      <x:c r="E1896" s="17" t="str"/>
      <x:c r="F1896" s="17" t="str">
        <x:v>discovery</x:v>
      </x:c>
      <x:c r="G1896" s="17" t="str">
        <x:v>Stage 2 recorded this row as a discovery candidate; it does not independently verify an exact current research program, eligibility, or funding.</x:v>
      </x:c>
      <x:c r="H1896" s="17" t="str">
        <x:v>Pass 2 Stage 2 candidate funnel</x:v>
      </x:c>
      <x:c r="I1896" s="17" t="str">
        <x:v>Graduate audit pipeline</x:v>
      </x:c>
      <x:c r="J1896" s="17" t="str">
        <x:v>derived</x:v>
      </x:c>
      <x:c r="K1896" s="17" t="str">
        <x:v>2026-09-11</x:v>
      </x:c>
      <x:c r="L1896" s="17" t="str">
        <x:v>Not cycle-specific</x:v>
      </x:c>
      <x:c r="M1896" s="17" t="str">
        <x:v>low</x:v>
      </x:c>
      <x:c r="N1896" s="17" t="str">
        <x:v>Discovery evidence only</x:v>
      </x:c>
      <x:c r="O1896" s="17" t="str">
        <x:v>Use the source_record_paths field to trace the underlying discovery inputs.</x:v>
      </x:c>
      <x:c r="P1896" s="18" t="e">
        <x:f>HYPERLINK("https://www.syracuse.edu","Open source")</x:f>
        <x:v>HYPERLINK is not implemented. linkLocation=https://www.syracuse.edu, friendlyName=Open source</x:v>
      </x:c>
    </x:row>
    <x:row r="1897" ht="46" customHeight="1">
      <x:c r="A1897" s="17" t="str">
        <x:v>stage3src:fea1f11c3e7d1d680327</x:v>
      </x:c>
      <x:c r="B1897" s="17" t="str">
        <x:v>program</x:v>
      </x:c>
      <x:c r="C1897" s="17" t="str">
        <x:v>Syracuse University</x:v>
      </x:c>
      <x:c r="D1897" s="17" t="str">
        <x:v>us:ipeds:196413:program:unclear:ipeds-discovery-signal-electrical-and-electronics-engineering-cip-14-1001</x:v>
      </x:c>
      <x:c r="E1897" s="17" t="str"/>
      <x:c r="F1897" s="17" t="str">
        <x:v>discovery</x:v>
      </x:c>
      <x:c r="G1897" s="17" t="str">
        <x:v>Stage 2 recorded this row as a discovery candidate; it does not independently verify an exact current research program, eligibility, or funding.</x:v>
      </x:c>
      <x:c r="H1897" s="17" t="str">
        <x:v>Pass 2 Stage 2 candidate funnel</x:v>
      </x:c>
      <x:c r="I1897" s="17" t="str">
        <x:v>Graduate audit pipeline</x:v>
      </x:c>
      <x:c r="J1897" s="17" t="str">
        <x:v>derived</x:v>
      </x:c>
      <x:c r="K1897" s="17" t="str">
        <x:v>2026-09-11</x:v>
      </x:c>
      <x:c r="L1897" s="17" t="str">
        <x:v>Not cycle-specific</x:v>
      </x:c>
      <x:c r="M1897" s="17" t="str">
        <x:v>low</x:v>
      </x:c>
      <x:c r="N1897" s="17" t="str">
        <x:v>Discovery evidence only</x:v>
      </x:c>
      <x:c r="O1897" s="17" t="str">
        <x:v>Use the source_record_paths field to trace the underlying discovery inputs.</x:v>
      </x:c>
      <x:c r="P1897" s="18" t="e">
        <x:f>HYPERLINK("https://www.syracuse.edu","Open source")</x:f>
        <x:v>HYPERLINK is not implemented. linkLocation=https://www.syracuse.edu, friendlyName=Open source</x:v>
      </x:c>
    </x:row>
    <x:row r="1898" ht="46" customHeight="1">
      <x:c r="A1898" s="17" t="str">
        <x:v>stage3src:c49c54219bdf283a6a99</x:v>
      </x:c>
      <x:c r="B1898" s="17" t="str">
        <x:v>program</x:v>
      </x:c>
      <x:c r="C1898" s="17" t="str">
        <x:v>Syracuse University</x:v>
      </x:c>
      <x:c r="D1898" s="17" t="str">
        <x:v>us:ipeds:196413:program:unclear:ipeds-discovery-signal-informatics-cip-11-0104</x:v>
      </x:c>
      <x:c r="E1898" s="17" t="str"/>
      <x:c r="F1898" s="17" t="str">
        <x:v>discovery</x:v>
      </x:c>
      <x:c r="G1898" s="17" t="str">
        <x:v>Stage 2 recorded this row as a discovery candidate; it does not independently verify an exact current research program, eligibility, or funding.</x:v>
      </x:c>
      <x:c r="H1898" s="17" t="str">
        <x:v>Pass 2 Stage 2 candidate funnel</x:v>
      </x:c>
      <x:c r="I1898" s="17" t="str">
        <x:v>Graduate audit pipeline</x:v>
      </x:c>
      <x:c r="J1898" s="17" t="str">
        <x:v>derived</x:v>
      </x:c>
      <x:c r="K1898" s="17" t="str">
        <x:v>2026-09-11</x:v>
      </x:c>
      <x:c r="L1898" s="17" t="str">
        <x:v>Not cycle-specific</x:v>
      </x:c>
      <x:c r="M1898" s="17" t="str">
        <x:v>low</x:v>
      </x:c>
      <x:c r="N1898" s="17" t="str">
        <x:v>Discovery evidence only</x:v>
      </x:c>
      <x:c r="O1898" s="17" t="str">
        <x:v>Use the source_record_paths field to trace the underlying discovery inputs.</x:v>
      </x:c>
      <x:c r="P1898" s="18" t="e">
        <x:f>HYPERLINK("https://www.syracuse.edu","Open source")</x:f>
        <x:v>HYPERLINK is not implemented. linkLocation=https://www.syracuse.edu, friendlyName=Open source</x:v>
      </x:c>
    </x:row>
    <x:row r="1899" ht="46" customHeight="1">
      <x:c r="A1899" s="17" t="str">
        <x:v>stage3src:66962ea088815b47ad79</x:v>
      </x:c>
      <x:c r="B1899" s="17" t="str">
        <x:v>program</x:v>
      </x:c>
      <x:c r="C1899" s="17" t="str">
        <x:v>Syracuse University</x:v>
      </x:c>
      <x:c r="D1899" s="17" t="str">
        <x:v>us:ipeds:196413:program:unclear:ipeds-discovery-signal-information-science-studies-cip-11-0401</x:v>
      </x:c>
      <x:c r="E1899" s="17" t="str"/>
      <x:c r="F1899" s="17" t="str">
        <x:v>discovery</x:v>
      </x:c>
      <x:c r="G1899" s="17" t="str">
        <x:v>Stage 2 recorded this row as a discovery candidate; it does not independently verify an exact current research program, eligibility, or funding.</x:v>
      </x:c>
      <x:c r="H1899" s="17" t="str">
        <x:v>Pass 2 Stage 2 candidate funnel</x:v>
      </x:c>
      <x:c r="I1899" s="17" t="str">
        <x:v>Graduate audit pipeline</x:v>
      </x:c>
      <x:c r="J1899" s="17" t="str">
        <x:v>derived</x:v>
      </x:c>
      <x:c r="K1899" s="17" t="str">
        <x:v>2026-09-11</x:v>
      </x:c>
      <x:c r="L1899" s="17" t="str">
        <x:v>Not cycle-specific</x:v>
      </x:c>
      <x:c r="M1899" s="17" t="str">
        <x:v>low</x:v>
      </x:c>
      <x:c r="N1899" s="17" t="str">
        <x:v>Discovery evidence only</x:v>
      </x:c>
      <x:c r="O1899" s="17" t="str">
        <x:v>Use the source_record_paths field to trace the underlying discovery inputs.</x:v>
      </x:c>
      <x:c r="P1899" s="18" t="e">
        <x:f>HYPERLINK("https://www.syracuse.edu","Open source")</x:f>
        <x:v>HYPERLINK is not implemented. linkLocation=https://www.syracuse.edu, friendlyName=Open source</x:v>
      </x:c>
    </x:row>
    <x:row r="1900" ht="46" customHeight="1">
      <x:c r="A1900" s="17" t="str">
        <x:v>stage3src:3f45ca0ff5e196559201</x:v>
      </x:c>
      <x:c r="B1900" s="17" t="str">
        <x:v>program</x:v>
      </x:c>
      <x:c r="C1900" s="17" t="str">
        <x:v>Touro University</x:v>
      </x:c>
      <x:c r="D1900" s="17" t="str">
        <x:v>us:ipeds:196592:program:unclear:ipeds-discovery-signal-computer-and-information-sciences-general-cip-11-0101</x:v>
      </x:c>
      <x:c r="E1900" s="17" t="str"/>
      <x:c r="F1900" s="17" t="str">
        <x:v>discovery</x:v>
      </x:c>
      <x:c r="G1900" s="17" t="str">
        <x:v>Stage 2 recorded this row as a discovery candidate; it does not independently verify an exact current research program, eligibility, or funding.</x:v>
      </x:c>
      <x:c r="H1900" s="17" t="str">
        <x:v>Pass 2 Stage 2 candidate funnel</x:v>
      </x:c>
      <x:c r="I1900" s="17" t="str">
        <x:v>Graduate audit pipeline</x:v>
      </x:c>
      <x:c r="J1900" s="17" t="str">
        <x:v>derived</x:v>
      </x:c>
      <x:c r="K1900" s="17" t="str">
        <x:v>2026-09-11</x:v>
      </x:c>
      <x:c r="L1900" s="17" t="str">
        <x:v>Not cycle-specific</x:v>
      </x:c>
      <x:c r="M1900" s="17" t="str">
        <x:v>low</x:v>
      </x:c>
      <x:c r="N1900" s="17" t="str">
        <x:v>Discovery evidence only</x:v>
      </x:c>
      <x:c r="O1900" s="17" t="str">
        <x:v>Use the source_record_paths field to trace the underlying discovery inputs.</x:v>
      </x:c>
      <x:c r="P1900" s="18" t="e">
        <x:f>HYPERLINK("https://www.touro.edu","Open source")</x:f>
        <x:v>HYPERLINK is not implemented. linkLocation=https://www.touro.edu, friendlyName=Open source</x:v>
      </x:c>
    </x:row>
    <x:row r="1901" ht="46" customHeight="1">
      <x:c r="A1901" s="17" t="str">
        <x:v>stage3src:4ab488f3bd623595b35b</x:v>
      </x:c>
      <x:c r="B1901" s="17" t="str">
        <x:v>program</x:v>
      </x:c>
      <x:c r="C1901" s="17" t="str">
        <x:v>Excelsior University</x:v>
      </x:c>
      <x:c r="D1901" s="17" t="str">
        <x:v>us:ipeds:196680:program:unclear:ipeds-discovery-signal-cyber-computer-forensics-and-counterterrorism-cip-43-0403</x:v>
      </x:c>
      <x:c r="E1901" s="17" t="str"/>
      <x:c r="F1901" s="17" t="str">
        <x:v>discovery</x:v>
      </x:c>
      <x:c r="G1901" s="17" t="str">
        <x:v>Stage 2 recorded this row as a discovery candidate; it does not independently verify an exact current research program, eligibility, or funding.</x:v>
      </x:c>
      <x:c r="H1901" s="17" t="str">
        <x:v>Pass 2 Stage 2 candidate funnel</x:v>
      </x:c>
      <x:c r="I1901" s="17" t="str">
        <x:v>Graduate audit pipeline</x:v>
      </x:c>
      <x:c r="J1901" s="17" t="str">
        <x:v>derived</x:v>
      </x:c>
      <x:c r="K1901" s="17" t="str">
        <x:v>2026-09-11</x:v>
      </x:c>
      <x:c r="L1901" s="17" t="str">
        <x:v>Not cycle-specific</x:v>
      </x:c>
      <x:c r="M1901" s="17" t="str">
        <x:v>low</x:v>
      </x:c>
      <x:c r="N1901" s="17" t="str">
        <x:v>Discovery evidence only</x:v>
      </x:c>
      <x:c r="O1901" s="17" t="str">
        <x:v>Use the source_record_paths field to trace the underlying discovery inputs.</x:v>
      </x:c>
      <x:c r="P1901" s="18" t="e">
        <x:f>HYPERLINK("https://www.excelsior.edu","Open source")</x:f>
        <x:v>HYPERLINK is not implemented. linkLocation=https://www.excelsior.edu, friendlyName=Open source</x:v>
      </x:c>
    </x:row>
    <x:row r="1902" ht="46" customHeight="1">
      <x:c r="A1902" s="17" t="str">
        <x:v>stage3src:31509fe563b2e50c79eb</x:v>
      </x:c>
      <x:c r="B1902" s="17" t="str">
        <x:v>program</x:v>
      </x:c>
      <x:c r="C1902" s="17" t="str">
        <x:v>Utica University</x:v>
      </x:c>
      <x:c r="D1902" s="17" t="str">
        <x:v>us:ipeds:197045:program:unclear:ipeds-discovery-signal-data-science-general-cip-30-7001</x:v>
      </x:c>
      <x:c r="E1902" s="17" t="str"/>
      <x:c r="F1902" s="17" t="str">
        <x:v>discovery</x:v>
      </x:c>
      <x:c r="G1902" s="17" t="str">
        <x:v>Stage 2 recorded this row as a discovery candidate; it does not independently verify an exact current research program, eligibility, or funding.</x:v>
      </x:c>
      <x:c r="H1902" s="17" t="str">
        <x:v>Pass 2 Stage 2 candidate funnel</x:v>
      </x:c>
      <x:c r="I1902" s="17" t="str">
        <x:v>Graduate audit pipeline</x:v>
      </x:c>
      <x:c r="J1902" s="17" t="str">
        <x:v>derived</x:v>
      </x:c>
      <x:c r="K1902" s="17" t="str">
        <x:v>2026-09-11</x:v>
      </x:c>
      <x:c r="L1902" s="17" t="str">
        <x:v>Not cycle-specific</x:v>
      </x:c>
      <x:c r="M1902" s="17" t="str">
        <x:v>low</x:v>
      </x:c>
      <x:c r="N1902" s="17" t="str">
        <x:v>Discovery evidence only</x:v>
      </x:c>
      <x:c r="O1902" s="17" t="str">
        <x:v>Use the source_record_paths field to trace the underlying discovery inputs.</x:v>
      </x:c>
      <x:c r="P1902" s="18" t="e">
        <x:f>HYPERLINK("https://www.utica.edu","Open source")</x:f>
        <x:v>HYPERLINK is not implemented. linkLocation=https://www.utica.edu, friendlyName=Open source</x:v>
      </x:c>
    </x:row>
    <x:row r="1903" ht="46" customHeight="1">
      <x:c r="A1903" s="17" t="str">
        <x:v>stage3src:c36bb3a3881a46207f47</x:v>
      </x:c>
      <x:c r="B1903" s="17" t="str">
        <x:v>program</x:v>
      </x:c>
      <x:c r="C1903" s="17" t="str">
        <x:v>Yeshiva University</x:v>
      </x:c>
      <x:c r="D1903" s="17" t="str">
        <x:v>us:ipeds:197708:program:unclear:ipeds-discovery-signal-artificial-intelligence-cip-11-0102</x:v>
      </x:c>
      <x:c r="E1903" s="17" t="str"/>
      <x:c r="F1903" s="17" t="str">
        <x:v>discovery</x:v>
      </x:c>
      <x:c r="G1903" s="17" t="str">
        <x:v>Stage 2 recorded this row as a discovery candidate; it does not independently verify an exact current research program, eligibility, or funding.</x:v>
      </x:c>
      <x:c r="H1903" s="17" t="str">
        <x:v>Pass 2 Stage 2 candidate funnel</x:v>
      </x:c>
      <x:c r="I1903" s="17" t="str">
        <x:v>Graduate audit pipeline</x:v>
      </x:c>
      <x:c r="J1903" s="17" t="str">
        <x:v>derived</x:v>
      </x:c>
      <x:c r="K1903" s="17" t="str">
        <x:v>2026-09-11</x:v>
      </x:c>
      <x:c r="L1903" s="17" t="str">
        <x:v>Not cycle-specific</x:v>
      </x:c>
      <x:c r="M1903" s="17" t="str">
        <x:v>low</x:v>
      </x:c>
      <x:c r="N1903" s="17" t="str">
        <x:v>Discovery evidence only</x:v>
      </x:c>
      <x:c r="O1903" s="17" t="str">
        <x:v>Use the source_record_paths field to trace the underlying discovery inputs.</x:v>
      </x:c>
      <x:c r="P1903" s="18" t="e">
        <x:f>HYPERLINK("https://www.yu.edu","Open source")</x:f>
        <x:v>HYPERLINK is not implemented. linkLocation=https://www.yu.edu, friendlyName=Open source</x:v>
      </x:c>
    </x:row>
    <x:row r="1904" ht="46" customHeight="1">
      <x:c r="A1904" s="17" t="str">
        <x:v>stage3src:ef67aa30cc5126372b2f</x:v>
      </x:c>
      <x:c r="B1904" s="17" t="str">
        <x:v>program</x:v>
      </x:c>
      <x:c r="C1904" s="17" t="str">
        <x:v>Yeshiva University</x:v>
      </x:c>
      <x:c r="D1904" s="17" t="str">
        <x:v>us:ipeds:197708:program:unclear:ipeds-discovery-signal-computer-and-information-systems-security-auditing-information-assurance-cip-11-1003</x:v>
      </x:c>
      <x:c r="E1904" s="17" t="str"/>
      <x:c r="F1904" s="17" t="str">
        <x:v>discovery</x:v>
      </x:c>
      <x:c r="G1904" s="17" t="str">
        <x:v>Stage 2 recorded this row as a discovery candidate; it does not independently verify an exact current research program, eligibility, or funding.</x:v>
      </x:c>
      <x:c r="H1904" s="17" t="str">
        <x:v>Pass 2 Stage 2 candidate funnel</x:v>
      </x:c>
      <x:c r="I1904" s="17" t="str">
        <x:v>Graduate audit pipeline</x:v>
      </x:c>
      <x:c r="J1904" s="17" t="str">
        <x:v>derived</x:v>
      </x:c>
      <x:c r="K1904" s="17" t="str">
        <x:v>2026-09-11</x:v>
      </x:c>
      <x:c r="L1904" s="17" t="str">
        <x:v>Not cycle-specific</x:v>
      </x:c>
      <x:c r="M1904" s="17" t="str">
        <x:v>low</x:v>
      </x:c>
      <x:c r="N1904" s="17" t="str">
        <x:v>Discovery evidence only</x:v>
      </x:c>
      <x:c r="O1904" s="17" t="str">
        <x:v>Use the source_record_paths field to trace the underlying discovery inputs.</x:v>
      </x:c>
      <x:c r="P1904" s="18" t="e">
        <x:f>HYPERLINK("https://www.yu.edu","Open source")</x:f>
        <x:v>HYPERLINK is not implemented. linkLocation=https://www.yu.edu, friendlyName=Open source</x:v>
      </x:c>
    </x:row>
    <x:row r="1905" ht="46" customHeight="1">
      <x:c r="A1905" s="17" t="str">
        <x:v>stage3src:3a26608a552aadaa4223</x:v>
      </x:c>
      <x:c r="B1905" s="17" t="str">
        <x:v>program</x:v>
      </x:c>
      <x:c r="C1905" s="17" t="str">
        <x:v>Yeshiva University</x:v>
      </x:c>
      <x:c r="D1905" s="17" t="str">
        <x:v>us:ipeds:197708:program:unclear:ipeds-discovery-signal-information-science-studies-cip-11-0401</x:v>
      </x:c>
      <x:c r="E1905" s="17" t="str"/>
      <x:c r="F1905" s="17" t="str">
        <x:v>discovery</x:v>
      </x:c>
      <x:c r="G1905" s="17" t="str">
        <x:v>Stage 2 recorded this row as a discovery candidate; it does not independently verify an exact current research program, eligibility, or funding.</x:v>
      </x:c>
      <x:c r="H1905" s="17" t="str">
        <x:v>Pass 2 Stage 2 candidate funnel</x:v>
      </x:c>
      <x:c r="I1905" s="17" t="str">
        <x:v>Graduate audit pipeline</x:v>
      </x:c>
      <x:c r="J1905" s="17" t="str">
        <x:v>derived</x:v>
      </x:c>
      <x:c r="K1905" s="17" t="str">
        <x:v>2026-09-11</x:v>
      </x:c>
      <x:c r="L1905" s="17" t="str">
        <x:v>Not cycle-specific</x:v>
      </x:c>
      <x:c r="M1905" s="17" t="str">
        <x:v>low</x:v>
      </x:c>
      <x:c r="N1905" s="17" t="str">
        <x:v>Discovery evidence only</x:v>
      </x:c>
      <x:c r="O1905" s="17" t="str">
        <x:v>Use the source_record_paths field to trace the underlying discovery inputs.</x:v>
      </x:c>
      <x:c r="P1905" s="18" t="e">
        <x:f>HYPERLINK("https://www.yu.edu","Open source")</x:f>
        <x:v>HYPERLINK is not implemented. linkLocation=https://www.yu.edu, friendlyName=Open source</x:v>
      </x:c>
    </x:row>
    <x:row r="1906" ht="46" customHeight="1">
      <x:c r="A1906" s="17" t="str">
        <x:v>stage3src:b08580e673331f6f419e</x:v>
      </x:c>
      <x:c r="B1906" s="17" t="str">
        <x:v>program</x:v>
      </x:c>
      <x:c r="C1906" s="17" t="str">
        <x:v>Appalachian State University</x:v>
      </x:c>
      <x:c r="D1906" s="17" t="str">
        <x:v>us:ipeds:197869:program:unclear:ipeds-discovery-signal-computer-science-cip-11-0701</x:v>
      </x:c>
      <x:c r="E1906" s="17" t="str"/>
      <x:c r="F1906" s="17" t="str">
        <x:v>discovery</x:v>
      </x:c>
      <x:c r="G1906" s="17" t="str">
        <x:v>Stage 2 recorded this row as a discovery candidate; it does not independently verify an exact current research program, eligibility, or funding.</x:v>
      </x:c>
      <x:c r="H1906" s="17" t="str">
        <x:v>Pass 2 Stage 2 candidate funnel</x:v>
      </x:c>
      <x:c r="I1906" s="17" t="str">
        <x:v>Graduate audit pipeline</x:v>
      </x:c>
      <x:c r="J1906" s="17" t="str">
        <x:v>derived</x:v>
      </x:c>
      <x:c r="K1906" s="17" t="str">
        <x:v>2026-09-11</x:v>
      </x:c>
      <x:c r="L1906" s="17" t="str">
        <x:v>Not cycle-specific</x:v>
      </x:c>
      <x:c r="M1906" s="17" t="str">
        <x:v>low</x:v>
      </x:c>
      <x:c r="N1906" s="17" t="str">
        <x:v>Discovery evidence only</x:v>
      </x:c>
      <x:c r="O1906" s="17" t="str">
        <x:v>Use the source_record_paths field to trace the underlying discovery inputs.</x:v>
      </x:c>
      <x:c r="P1906" s="18" t="e">
        <x:f>HYPERLINK("https://www.appstate.edu","Open source")</x:f>
        <x:v>HYPERLINK is not implemented. linkLocation=https://www.appstate.edu, friendlyName=Open source</x:v>
      </x:c>
    </x:row>
    <x:row r="1907" ht="46" customHeight="1">
      <x:c r="A1907" s="17" t="str">
        <x:v>stage3src:06a4e497cd1e8ed3f3a4</x:v>
      </x:c>
      <x:c r="B1907" s="17" t="str">
        <x:v>program</x:v>
      </x:c>
      <x:c r="C1907" s="17" t="str">
        <x:v>Duke University</x:v>
      </x:c>
      <x:c r="D1907" s="17" t="str">
        <x:v>us:ipeds:198419:program:phd:computer-science-phd</x:v>
      </x:c>
      <x:c r="E1907" s="17" t="str"/>
      <x:c r="F1907" s="17" t="str">
        <x:v>program|admissions</x:v>
      </x:c>
      <x:c r="G1907" s="17" t="str">
        <x:v>Current research PhD route, first-year advisor exploration, and five-year structure.</x:v>
      </x:c>
      <x:c r="H1907" s="17" t="str">
        <x:v>PhD Program</x:v>
      </x:c>
      <x:c r="I1907" s="17" t="str">
        <x:v>Duke University Department of Computer Science</x:v>
      </x:c>
      <x:c r="J1907" s="17" t="str">
        <x:v>official</x:v>
      </x:c>
      <x:c r="K1907" s="17" t="str">
        <x:v>2026-09-10</x:v>
      </x:c>
      <x:c r="L1907" s="17" t="str">
        <x:v>Current page checked 2026-09-10</x:v>
      </x:c>
      <x:c r="M1907" s="17" t="str">
        <x:v>high</x:v>
      </x:c>
      <x:c r="N1907" s="17" t="str">
        <x:v>official page checked</x:v>
      </x:c>
      <x:c r="O1907" s="17" t="str"/>
      <x:c r="P1907" s="18" t="e">
        <x:f>HYPERLINK("https://cs.duke.edu/graduate/phd","Open source")</x:f>
        <x:v>HYPERLINK is not implemented. linkLocation=https://cs.duke.edu/graduate/phd, friendlyName=Open source</x:v>
      </x:c>
    </x:row>
    <x:row r="1908" ht="46" customHeight="1">
      <x:c r="A1908" s="17" t="str">
        <x:v>stage3src:899eab0d653d496e25a5</x:v>
      </x:c>
      <x:c r="B1908" s="17" t="str">
        <x:v>program</x:v>
      </x:c>
      <x:c r="C1908" s="17" t="str">
        <x:v>Duke University</x:v>
      </x:c>
      <x:c r="D1908" s="17" t="str">
        <x:v>us:ipeds:198419:program:phd:computer-science-phd</x:v>
      </x:c>
      <x:c r="E1908" s="17" t="str"/>
      <x:c r="F1908" s="17" t="str">
        <x:v>admissions|eligibility|language</x:v>
      </x:c>
      <x:c r="G1908" s="17" t="str">
        <x:v>A master's is not required and current English-test waiver procedure is stated.</x:v>
      </x:c>
      <x:c r="H1908" s="17" t="str">
        <x:v>Graduate FAQ</x:v>
      </x:c>
      <x:c r="I1908" s="17" t="str">
        <x:v>Duke University Department of Computer Science</x:v>
      </x:c>
      <x:c r="J1908" s="17" t="str">
        <x:v>official</x:v>
      </x:c>
      <x:c r="K1908" s="17" t="str">
        <x:v>2026-09-10</x:v>
      </x:c>
      <x:c r="L1908" s="17" t="str">
        <x:v>Current page checked 2026-09-10</x:v>
      </x:c>
      <x:c r="M1908" s="17" t="str">
        <x:v>high</x:v>
      </x:c>
      <x:c r="N1908" s="17" t="str">
        <x:v>official page checked</x:v>
      </x:c>
      <x:c r="O1908" s="17" t="str"/>
      <x:c r="P1908" s="18" t="e">
        <x:f>HYPERLINK("https://cs.duke.edu/graduate/faq","Open source")</x:f>
        <x:v>HYPERLINK is not implemented. linkLocation=https://cs.duke.edu/graduate/faq, friendlyName=Open source</x:v>
      </x:c>
    </x:row>
    <x:row r="1909" ht="46" customHeight="1">
      <x:c r="A1909" s="17" t="str">
        <x:v>stage3src:a5ac70a60405d624bd14</x:v>
      </x:c>
      <x:c r="B1909" s="17" t="str">
        <x:v>program</x:v>
      </x:c>
      <x:c r="C1909" s="17" t="str">
        <x:v>Duke University</x:v>
      </x:c>
      <x:c r="D1909" s="17" t="str">
        <x:v>us:ipeds:198419:program:phd:computer-science-phd</x:v>
      </x:c>
      <x:c r="E1909" s="17" t="str"/>
      <x:c r="F1909" s="17" t="str">
        <x:v>admissions|deadline</x:v>
      </x:c>
      <x:c r="G1909" s="17" t="str">
        <x:v>Computer Science PhD application deadline for 2027 admission is December 15, 2026.</x:v>
      </x:c>
      <x:c r="H1909" s="17" t="str">
        <x:v>Application Deadlines</x:v>
      </x:c>
      <x:c r="I1909" s="17" t="str">
        <x:v>Duke University Graduate School</x:v>
      </x:c>
      <x:c r="J1909" s="17" t="str">
        <x:v>official</x:v>
      </x:c>
      <x:c r="K1909" s="17" t="str">
        <x:v>2026-09-10</x:v>
      </x:c>
      <x:c r="L1909" s="17" t="str">
        <x:v>2027 admission</x:v>
      </x:c>
      <x:c r="M1909" s="17" t="str">
        <x:v>high</x:v>
      </x:c>
      <x:c r="N1909" s="17" t="str">
        <x:v>official page checked</x:v>
      </x:c>
      <x:c r="O1909" s="17" t="str"/>
      <x:c r="P1909" s="18" t="e">
        <x:f>HYPERLINK("https://gradschool.duke.edu/admissions/application-deadlines/","Open source")</x:f>
        <x:v>HYPERLINK is not implemented. linkLocation=https://gradschool.duke.edu/admissions/application-deadlines/, friendlyName=Open source</x:v>
      </x:c>
    </x:row>
    <x:row r="1910" ht="46" customHeight="1">
      <x:c r="A1910" s="17" t="str">
        <x:v>stage3src:d4e7001f87ced1a30c36</x:v>
      </x:c>
      <x:c r="B1910" s="17" t="str">
        <x:v>program</x:v>
      </x:c>
      <x:c r="C1910" s="17" t="str">
        <x:v>Duke University</x:v>
      </x:c>
      <x:c r="D1910" s="17" t="str">
        <x:v>us:ipeds:198419:program:phd:computer-science-phd</x:v>
      </x:c>
      <x:c r="E1910" s="17" t="str"/>
      <x:c r="F1910" s="17" t="str">
        <x:v>funding|fees</x:v>
      </x:c>
      <x:c r="G1910" s="17" t="str">
        <x:v>PhD students in good standing receive five years of full tuition, fees, insurance, and stipend support.</x:v>
      </x:c>
      <x:c r="H1910" s="17" t="str">
        <x:v>Financial Support</x:v>
      </x:c>
      <x:c r="I1910" s="17" t="str">
        <x:v>Duke University Department of Computer Science</x:v>
      </x:c>
      <x:c r="J1910" s="17" t="str">
        <x:v>official</x:v>
      </x:c>
      <x:c r="K1910" s="17" t="str">
        <x:v>2026-09-10</x:v>
      </x:c>
      <x:c r="L1910" s="17" t="str">
        <x:v>Current page checked 2026-09-10</x:v>
      </x:c>
      <x:c r="M1910" s="17" t="str">
        <x:v>high</x:v>
      </x:c>
      <x:c r="N1910" s="17" t="str">
        <x:v>official page checked</x:v>
      </x:c>
      <x:c r="O1910" s="17" t="str"/>
      <x:c r="P1910" s="18" t="e">
        <x:f>HYPERLINK("https://cs.duke.edu/graduate/phd/financial","Open source")</x:f>
        <x:v>HYPERLINK is not implemented. linkLocation=https://cs.duke.edu/graduate/phd/financial, friendlyName=Open source</x:v>
      </x:c>
    </x:row>
    <x:row r="1911" ht="46" customHeight="1">
      <x:c r="A1911" s="17" t="str">
        <x:v>stage3src:f9fab7e1fea53cf63357</x:v>
      </x:c>
      <x:c r="B1911" s="17" t="str">
        <x:v>program</x:v>
      </x:c>
      <x:c r="C1911" s="17" t="str">
        <x:v>Duke University</x:v>
      </x:c>
      <x:c r="D1911" s="17" t="str">
        <x:v>us:ipeds:198419:program:phd:computer-science-phd</x:v>
      </x:c>
      <x:c r="E1911" s="17" t="str"/>
      <x:c r="F1911" s="17" t="str">
        <x:v>admissions|fees</x:v>
      </x:c>
      <x:c r="G1911" s="17" t="str">
        <x:v>Graduate School application fee is USD 105 and current waiver eligibility is limited.</x:v>
      </x:c>
      <x:c r="H1911" s="17" t="str">
        <x:v>Application Fee</x:v>
      </x:c>
      <x:c r="I1911" s="17" t="str">
        <x:v>Duke University Graduate School</x:v>
      </x:c>
      <x:c r="J1911" s="17" t="str">
        <x:v>official</x:v>
      </x:c>
      <x:c r="K1911" s="17" t="str">
        <x:v>2026-09-10</x:v>
      </x:c>
      <x:c r="L1911" s="17" t="str">
        <x:v>2027 applications available</x:v>
      </x:c>
      <x:c r="M1911" s="17" t="str">
        <x:v>high</x:v>
      </x:c>
      <x:c r="N1911" s="17" t="str">
        <x:v>official page checked</x:v>
      </x:c>
      <x:c r="O1911" s="17" t="str"/>
      <x:c r="P1911" s="18" t="e">
        <x:f>HYPERLINK("https://gradschool.duke.edu/admissions/application-instructions/application-fee/","Open source")</x:f>
        <x:v>HYPERLINK is not implemented. linkLocation=https://gradschool.duke.edu/admissions/application-instructions/application-fee/, friendlyName=Open source</x:v>
      </x:c>
    </x:row>
    <x:row r="1912" ht="46" customHeight="1">
      <x:c r="A1912" s="17" t="str">
        <x:v>stage3src:181503fbcdcd942eaab6</x:v>
      </x:c>
      <x:c r="B1912" s="17" t="str">
        <x:v>program</x:v>
      </x:c>
      <x:c r="C1912" s="17" t="str">
        <x:v>Duke University</x:v>
      </x:c>
      <x:c r="D1912" s="17" t="str">
        <x:v>us:ipeds:198419:program:unclear:ipeds-discovery-signal-artificial-intelligence-cip-11-0102</x:v>
      </x:c>
      <x:c r="E1912" s="17" t="str"/>
      <x:c r="F1912" s="17" t="str">
        <x:v>discovery</x:v>
      </x:c>
      <x:c r="G1912" s="17" t="str">
        <x:v>Stage 2 recorded this row as a discovery candidate; it does not independently verify an exact current research program, eligibility, or funding.</x:v>
      </x:c>
      <x:c r="H1912" s="17" t="str">
        <x:v>Pass 2 Stage 2 candidate funnel</x:v>
      </x:c>
      <x:c r="I1912" s="17" t="str">
        <x:v>Graduate audit pipeline</x:v>
      </x:c>
      <x:c r="J1912" s="17" t="str">
        <x:v>derived</x:v>
      </x:c>
      <x:c r="K1912" s="17" t="str">
        <x:v>2026-09-11</x:v>
      </x:c>
      <x:c r="L1912" s="17" t="str">
        <x:v>Not cycle-specific</x:v>
      </x:c>
      <x:c r="M1912" s="17" t="str">
        <x:v>low</x:v>
      </x:c>
      <x:c r="N1912" s="17" t="str">
        <x:v>Discovery evidence only</x:v>
      </x:c>
      <x:c r="O1912" s="17" t="str">
        <x:v>Use the source_record_paths field to trace the underlying discovery inputs.</x:v>
      </x:c>
      <x:c r="P1912" s="18" t="e">
        <x:f>HYPERLINK("https://www.duke.edu","Open source")</x:f>
        <x:v>HYPERLINK is not implemented. linkLocation=https://www.duke.edu, friendlyName=Open source</x:v>
      </x:c>
    </x:row>
    <x:row r="1913" ht="46" customHeight="1">
      <x:c r="A1913" s="17" t="str">
        <x:v>stage3src:3d790a800fe0cbd4daa0</x:v>
      </x:c>
      <x:c r="B1913" s="17" t="str">
        <x:v>program</x:v>
      </x:c>
      <x:c r="C1913" s="17" t="str">
        <x:v>Duke University</x:v>
      </x:c>
      <x:c r="D1913" s="17" t="str">
        <x:v>us:ipeds:198419:program:unclear:ipeds-discovery-signal-computer-engineering-general-cip-14-0901</x:v>
      </x:c>
      <x:c r="E1913" s="17" t="str"/>
      <x:c r="F1913" s="17" t="str">
        <x:v>discovery</x:v>
      </x:c>
      <x:c r="G1913" s="17" t="str">
        <x:v>Stage 2 recorded this row as a discovery candidate; it does not independently verify an exact current research program, eligibility, or funding.</x:v>
      </x:c>
      <x:c r="H1913" s="17" t="str">
        <x:v>Pass 2 Stage 2 candidate funnel</x:v>
      </x:c>
      <x:c r="I1913" s="17" t="str">
        <x:v>Graduate audit pipeline</x:v>
      </x:c>
      <x:c r="J1913" s="17" t="str">
        <x:v>derived</x:v>
      </x:c>
      <x:c r="K1913" s="17" t="str">
        <x:v>2026-09-11</x:v>
      </x:c>
      <x:c r="L1913" s="17" t="str">
        <x:v>Not cycle-specific</x:v>
      </x:c>
      <x:c r="M1913" s="17" t="str">
        <x:v>low</x:v>
      </x:c>
      <x:c r="N1913" s="17" t="str">
        <x:v>Discovery evidence only</x:v>
      </x:c>
      <x:c r="O1913" s="17" t="str">
        <x:v>Use the source_record_paths field to trace the underlying discovery inputs.</x:v>
      </x:c>
      <x:c r="P1913" s="18" t="e">
        <x:f>HYPERLINK("https://www.duke.edu","Open source")</x:f>
        <x:v>HYPERLINK is not implemented. linkLocation=https://www.duke.edu, friendlyName=Open source</x:v>
      </x:c>
    </x:row>
    <x:row r="1914" ht="46" customHeight="1">
      <x:c r="A1914" s="17" t="str">
        <x:v>stage3src:869c8c35f51f1256808c</x:v>
      </x:c>
      <x:c r="B1914" s="17" t="str">
        <x:v>program</x:v>
      </x:c>
      <x:c r="C1914" s="17" t="str">
        <x:v>Duke University</x:v>
      </x:c>
      <x:c r="D1914" s="17" t="str">
        <x:v>us:ipeds:198419:program:unclear:ipeds-discovery-signal-computer-science-cip-11-0701</x:v>
      </x:c>
      <x:c r="E1914" s="17" t="str"/>
      <x:c r="F1914" s="17" t="str">
        <x:v>discovery</x:v>
      </x:c>
      <x:c r="G1914" s="17" t="str">
        <x:v>Stage 2 recorded this row as a discovery candidate; it does not independently verify an exact current research program, eligibility, or funding.</x:v>
      </x:c>
      <x:c r="H1914" s="17" t="str">
        <x:v>Pass 2 Stage 2 candidate funnel</x:v>
      </x:c>
      <x:c r="I1914" s="17" t="str">
        <x:v>Graduate audit pipeline</x:v>
      </x:c>
      <x:c r="J1914" s="17" t="str">
        <x:v>derived</x:v>
      </x:c>
      <x:c r="K1914" s="17" t="str">
        <x:v>2026-09-11</x:v>
      </x:c>
      <x:c r="L1914" s="17" t="str">
        <x:v>Not cycle-specific</x:v>
      </x:c>
      <x:c r="M1914" s="17" t="str">
        <x:v>low</x:v>
      </x:c>
      <x:c r="N1914" s="17" t="str">
        <x:v>Discovery evidence only</x:v>
      </x:c>
      <x:c r="O1914" s="17" t="str">
        <x:v>Use the source_record_paths field to trace the underlying discovery inputs.</x:v>
      </x:c>
      <x:c r="P1914" s="18" t="e">
        <x:f>HYPERLINK("https://www.duke.edu","Open source")</x:f>
        <x:v>HYPERLINK is not implemented. linkLocation=https://www.duke.edu, friendlyName=Open source</x:v>
      </x:c>
    </x:row>
    <x:row r="1915" ht="46" customHeight="1">
      <x:c r="A1915" s="17" t="str">
        <x:v>stage3src:da37c2d951ed7b2ee8f7</x:v>
      </x:c>
      <x:c r="B1915" s="17" t="str">
        <x:v>program</x:v>
      </x:c>
      <x:c r="C1915" s="17" t="str">
        <x:v>Duke University</x:v>
      </x:c>
      <x:c r="D1915" s="17" t="str">
        <x:v>us:ipeds:198419:program:unclear:ipeds-discovery-signal-data-science-general-cip-30-7001</x:v>
      </x:c>
      <x:c r="E1915" s="17" t="str"/>
      <x:c r="F1915" s="17" t="str">
        <x:v>discovery</x:v>
      </x:c>
      <x:c r="G1915" s="17" t="str">
        <x:v>Stage 2 recorded this row as a discovery candidate; it does not independently verify an exact current research program, eligibility, or funding.</x:v>
      </x:c>
      <x:c r="H1915" s="17" t="str">
        <x:v>Pass 2 Stage 2 candidate funnel</x:v>
      </x:c>
      <x:c r="I1915" s="17" t="str">
        <x:v>Graduate audit pipeline</x:v>
      </x:c>
      <x:c r="J1915" s="17" t="str">
        <x:v>derived</x:v>
      </x:c>
      <x:c r="K1915" s="17" t="str">
        <x:v>2026-09-11</x:v>
      </x:c>
      <x:c r="L1915" s="17" t="str">
        <x:v>Not cycle-specific</x:v>
      </x:c>
      <x:c r="M1915" s="17" t="str">
        <x:v>low</x:v>
      </x:c>
      <x:c r="N1915" s="17" t="str">
        <x:v>Discovery evidence only</x:v>
      </x:c>
      <x:c r="O1915" s="17" t="str">
        <x:v>Use the source_record_paths field to trace the underlying discovery inputs.</x:v>
      </x:c>
      <x:c r="P1915" s="18" t="e">
        <x:f>HYPERLINK("https://www.duke.edu","Open source")</x:f>
        <x:v>HYPERLINK is not implemented. linkLocation=https://www.duke.edu, friendlyName=Open source</x:v>
      </x:c>
    </x:row>
    <x:row r="1916" ht="46" customHeight="1">
      <x:c r="A1916" s="17" t="str">
        <x:v>stage3src:7251ff4b17e203e351c2</x:v>
      </x:c>
      <x:c r="B1916" s="17" t="str">
        <x:v>program</x:v>
      </x:c>
      <x:c r="C1916" s="17" t="str">
        <x:v>Duke University</x:v>
      </x:c>
      <x:c r="D1916" s="17" t="str">
        <x:v>us:ipeds:198419:program:unclear:ipeds-discovery-signal-electrical-and-electronics-engineering-cip-14-1001</x:v>
      </x:c>
      <x:c r="E1916" s="17" t="str"/>
      <x:c r="F1916" s="17" t="str">
        <x:v>discovery</x:v>
      </x:c>
      <x:c r="G1916" s="17" t="str">
        <x:v>Stage 2 recorded this row as a discovery candidate; it does not independently verify an exact current research program, eligibility, or funding.</x:v>
      </x:c>
      <x:c r="H1916" s="17" t="str">
        <x:v>Pass 2 Stage 2 candidate funnel</x:v>
      </x:c>
      <x:c r="I1916" s="17" t="str">
        <x:v>Graduate audit pipeline</x:v>
      </x:c>
      <x:c r="J1916" s="17" t="str">
        <x:v>derived</x:v>
      </x:c>
      <x:c r="K1916" s="17" t="str">
        <x:v>2026-09-11</x:v>
      </x:c>
      <x:c r="L1916" s="17" t="str">
        <x:v>Not cycle-specific</x:v>
      </x:c>
      <x:c r="M1916" s="17" t="str">
        <x:v>low</x:v>
      </x:c>
      <x:c r="N1916" s="17" t="str">
        <x:v>Discovery evidence only</x:v>
      </x:c>
      <x:c r="O1916" s="17" t="str">
        <x:v>Use the source_record_paths field to trace the underlying discovery inputs.</x:v>
      </x:c>
      <x:c r="P1916" s="18" t="e">
        <x:f>HYPERLINK("https://www.duke.edu","Open source")</x:f>
        <x:v>HYPERLINK is not implemented. linkLocation=https://www.duke.edu, friendlyName=Open source</x:v>
      </x:c>
    </x:row>
    <x:row r="1917" ht="46" customHeight="1">
      <x:c r="A1917" s="17" t="str">
        <x:v>stage3src:286be4f36048c8374a4f</x:v>
      </x:c>
      <x:c r="B1917" s="17" t="str">
        <x:v>program</x:v>
      </x:c>
      <x:c r="C1917" s="17" t="str">
        <x:v>East Carolina University</x:v>
      </x:c>
      <x:c r="D1917" s="17" t="str">
        <x:v>us:ipeds:198464:program:unclear:ipeds-discovery-signal-computer-science-cip-11-0701</x:v>
      </x:c>
      <x:c r="E1917" s="17" t="str"/>
      <x:c r="F1917" s="17" t="str">
        <x:v>discovery</x:v>
      </x:c>
      <x:c r="G1917" s="17" t="str">
        <x:v>Stage 2 recorded this row as a discovery candidate; it does not independently verify an exact current research program, eligibility, or funding.</x:v>
      </x:c>
      <x:c r="H1917" s="17" t="str">
        <x:v>Pass 2 Stage 2 candidate funnel</x:v>
      </x:c>
      <x:c r="I1917" s="17" t="str">
        <x:v>Graduate audit pipeline</x:v>
      </x:c>
      <x:c r="J1917" s="17" t="str">
        <x:v>derived</x:v>
      </x:c>
      <x:c r="K1917" s="17" t="str">
        <x:v>2026-09-11</x:v>
      </x:c>
      <x:c r="L1917" s="17" t="str">
        <x:v>Not cycle-specific</x:v>
      </x:c>
      <x:c r="M1917" s="17" t="str">
        <x:v>low</x:v>
      </x:c>
      <x:c r="N1917" s="17" t="str">
        <x:v>Discovery evidence only</x:v>
      </x:c>
      <x:c r="O1917" s="17" t="str">
        <x:v>Use the source_record_paths field to trace the underlying discovery inputs.</x:v>
      </x:c>
      <x:c r="P1917" s="18" t="e">
        <x:f>HYPERLINK("https://www.ecu.edu","Open source")</x:f>
        <x:v>HYPERLINK is not implemented. linkLocation=https://www.ecu.edu, friendlyName=Open source</x:v>
      </x:c>
    </x:row>
    <x:row r="1918" ht="46" customHeight="1">
      <x:c r="A1918" s="17" t="str">
        <x:v>stage3src:347ad7713f7f10beae34</x:v>
      </x:c>
      <x:c r="B1918" s="17" t="str">
        <x:v>program</x:v>
      </x:c>
      <x:c r="C1918" s="17" t="str">
        <x:v>East Carolina University</x:v>
      </x:c>
      <x:c r="D1918" s="17" t="str">
        <x:v>us:ipeds:198464:program:unclear:ipeds-discovery-signal-computer-software-engineering-cip-14-0903</x:v>
      </x:c>
      <x:c r="E1918" s="17" t="str"/>
      <x:c r="F1918" s="17" t="str">
        <x:v>discovery</x:v>
      </x:c>
      <x:c r="G1918" s="17" t="str">
        <x:v>Stage 2 recorded this row as a discovery candidate; it does not independently verify an exact current research program, eligibility, or funding.</x:v>
      </x:c>
      <x:c r="H1918" s="17" t="str">
        <x:v>Pass 2 Stage 2 candidate funnel</x:v>
      </x:c>
      <x:c r="I1918" s="17" t="str">
        <x:v>Graduate audit pipeline</x:v>
      </x:c>
      <x:c r="J1918" s="17" t="str">
        <x:v>derived</x:v>
      </x:c>
      <x:c r="K1918" s="17" t="str">
        <x:v>2026-09-11</x:v>
      </x:c>
      <x:c r="L1918" s="17" t="str">
        <x:v>Not cycle-specific</x:v>
      </x:c>
      <x:c r="M1918" s="17" t="str">
        <x:v>low</x:v>
      </x:c>
      <x:c r="N1918" s="17" t="str">
        <x:v>Discovery evidence only</x:v>
      </x:c>
      <x:c r="O1918" s="17" t="str">
        <x:v>Use the source_record_paths field to trace the underlying discovery inputs.</x:v>
      </x:c>
      <x:c r="P1918" s="18" t="e">
        <x:f>HYPERLINK("https://www.ecu.edu","Open source")</x:f>
        <x:v>HYPERLINK is not implemented. linkLocation=https://www.ecu.edu, friendlyName=Open source</x:v>
      </x:c>
    </x:row>
    <x:row r="1919" ht="46" customHeight="1">
      <x:c r="A1919" s="17" t="str">
        <x:v>stage3src:a69489c00184fcc0edb8</x:v>
      </x:c>
      <x:c r="B1919" s="17" t="str">
        <x:v>program</x:v>
      </x:c>
      <x:c r="C1919" s="17" t="str">
        <x:v>East Carolina University</x:v>
      </x:c>
      <x:c r="D1919" s="17" t="str">
        <x:v>us:ipeds:198464:program:unclear:ipeds-discovery-signal-computer-systems-networking-and-telecommunications-cip-11-0901</x:v>
      </x:c>
      <x:c r="E1919" s="17" t="str"/>
      <x:c r="F1919" s="17" t="str">
        <x:v>discovery</x:v>
      </x:c>
      <x:c r="G1919" s="17" t="str">
        <x:v>Stage 2 recorded this row as a discovery candidate; it does not independently verify an exact current research program, eligibility, or funding.</x:v>
      </x:c>
      <x:c r="H1919" s="17" t="str">
        <x:v>Pass 2 Stage 2 candidate funnel</x:v>
      </x:c>
      <x:c r="I1919" s="17" t="str">
        <x:v>Graduate audit pipeline</x:v>
      </x:c>
      <x:c r="J1919" s="17" t="str">
        <x:v>derived</x:v>
      </x:c>
      <x:c r="K1919" s="17" t="str">
        <x:v>2026-09-11</x:v>
      </x:c>
      <x:c r="L1919" s="17" t="str">
        <x:v>Not cycle-specific</x:v>
      </x:c>
      <x:c r="M1919" s="17" t="str">
        <x:v>low</x:v>
      </x:c>
      <x:c r="N1919" s="17" t="str">
        <x:v>Discovery evidence only</x:v>
      </x:c>
      <x:c r="O1919" s="17" t="str">
        <x:v>Use the source_record_paths field to trace the underlying discovery inputs.</x:v>
      </x:c>
      <x:c r="P1919" s="18" t="e">
        <x:f>HYPERLINK("https://www.ecu.edu","Open source")</x:f>
        <x:v>HYPERLINK is not implemented. linkLocation=https://www.ecu.edu, friendlyName=Open source</x:v>
      </x:c>
    </x:row>
    <x:row r="1920" ht="46" customHeight="1">
      <x:c r="A1920" s="17" t="str">
        <x:v>stage3src:774e7eb0d7850554f183</x:v>
      </x:c>
      <x:c r="B1920" s="17" t="str">
        <x:v>program</x:v>
      </x:c>
      <x:c r="C1920" s="17" t="str">
        <x:v>East Carolina University</x:v>
      </x:c>
      <x:c r="D1920" s="17" t="str">
        <x:v>us:ipeds:198464:program:unclear:ipeds-discovery-signal-data-science-general-cip-30-7001</x:v>
      </x:c>
      <x:c r="E1920" s="17" t="str"/>
      <x:c r="F1920" s="17" t="str">
        <x:v>discovery</x:v>
      </x:c>
      <x:c r="G1920" s="17" t="str">
        <x:v>Stage 2 recorded this row as a discovery candidate; it does not independently verify an exact current research program, eligibility, or funding.</x:v>
      </x:c>
      <x:c r="H1920" s="17" t="str">
        <x:v>Pass 2 Stage 2 candidate funnel</x:v>
      </x:c>
      <x:c r="I1920" s="17" t="str">
        <x:v>Graduate audit pipeline</x:v>
      </x:c>
      <x:c r="J1920" s="17" t="str">
        <x:v>derived</x:v>
      </x:c>
      <x:c r="K1920" s="17" t="str">
        <x:v>2026-09-11</x:v>
      </x:c>
      <x:c r="L1920" s="17" t="str">
        <x:v>Not cycle-specific</x:v>
      </x:c>
      <x:c r="M1920" s="17" t="str">
        <x:v>low</x:v>
      </x:c>
      <x:c r="N1920" s="17" t="str">
        <x:v>Discovery evidence only</x:v>
      </x:c>
      <x:c r="O1920" s="17" t="str">
        <x:v>Use the source_record_paths field to trace the underlying discovery inputs.</x:v>
      </x:c>
      <x:c r="P1920" s="18" t="e">
        <x:f>HYPERLINK("https://www.ecu.edu","Open source")</x:f>
        <x:v>HYPERLINK is not implemented. linkLocation=https://www.ecu.edu, friendlyName=Open source</x:v>
      </x:c>
    </x:row>
    <x:row r="1921" ht="46" customHeight="1">
      <x:c r="A1921" s="17" t="str">
        <x:v>stage3src:75ced31e6cb645f8d93b</x:v>
      </x:c>
      <x:c r="B1921" s="17" t="str">
        <x:v>program</x:v>
      </x:c>
      <x:c r="C1921" s="17" t="str">
        <x:v>North Carolina A &amp; T State University</x:v>
      </x:c>
      <x:c r="D1921" s="17" t="str">
        <x:v>us:ipeds:199102:program:unclear:ipeds-discovery-signal-computer-science-cip-11-0701</x:v>
      </x:c>
      <x:c r="E1921" s="17" t="str"/>
      <x:c r="F1921" s="17" t="str">
        <x:v>discovery</x:v>
      </x:c>
      <x:c r="G1921" s="17" t="str">
        <x:v>Stage 2 recorded this row as a discovery candidate; it does not independently verify an exact current research program, eligibility, or funding.</x:v>
      </x:c>
      <x:c r="H1921" s="17" t="str">
        <x:v>Pass 2 Stage 2 candidate funnel</x:v>
      </x:c>
      <x:c r="I1921" s="17" t="str">
        <x:v>Graduate audit pipeline</x:v>
      </x:c>
      <x:c r="J1921" s="17" t="str">
        <x:v>derived</x:v>
      </x:c>
      <x:c r="K1921" s="17" t="str">
        <x:v>2026-09-11</x:v>
      </x:c>
      <x:c r="L1921" s="17" t="str">
        <x:v>Not cycle-specific</x:v>
      </x:c>
      <x:c r="M1921" s="17" t="str">
        <x:v>low</x:v>
      </x:c>
      <x:c r="N1921" s="17" t="str">
        <x:v>Discovery evidence only</x:v>
      </x:c>
      <x:c r="O1921" s="17" t="str">
        <x:v>Use the source_record_paths field to trace the underlying discovery inputs.</x:v>
      </x:c>
      <x:c r="P1921" s="18" t="e">
        <x:f>HYPERLINK("https://www.ncat.edu","Open source")</x:f>
        <x:v>HYPERLINK is not implemented. linkLocation=https://www.ncat.edu, friendlyName=Open source</x:v>
      </x:c>
    </x:row>
    <x:row r="1922" ht="46" customHeight="1">
      <x:c r="A1922" s="17" t="str">
        <x:v>stage3src:609665145f7fe157a4c3</x:v>
      </x:c>
      <x:c r="B1922" s="17" t="str">
        <x:v>program</x:v>
      </x:c>
      <x:c r="C1922" s="17" t="str">
        <x:v>North Carolina A &amp; T State University</x:v>
      </x:c>
      <x:c r="D1922" s="17" t="str">
        <x:v>us:ipeds:199102:program:unclear:ipeds-discovery-signal-electrical-and-electronics-engineering-cip-14-1001</x:v>
      </x:c>
      <x:c r="E1922" s="17" t="str"/>
      <x:c r="F1922" s="17" t="str">
        <x:v>discovery</x:v>
      </x:c>
      <x:c r="G1922" s="17" t="str">
        <x:v>Stage 2 recorded this row as a discovery candidate; it does not independently verify an exact current research program, eligibility, or funding.</x:v>
      </x:c>
      <x:c r="H1922" s="17" t="str">
        <x:v>Pass 2 Stage 2 candidate funnel</x:v>
      </x:c>
      <x:c r="I1922" s="17" t="str">
        <x:v>Graduate audit pipeline</x:v>
      </x:c>
      <x:c r="J1922" s="17" t="str">
        <x:v>derived</x:v>
      </x:c>
      <x:c r="K1922" s="17" t="str">
        <x:v>2026-09-11</x:v>
      </x:c>
      <x:c r="L1922" s="17" t="str">
        <x:v>Not cycle-specific</x:v>
      </x:c>
      <x:c r="M1922" s="17" t="str">
        <x:v>low</x:v>
      </x:c>
      <x:c r="N1922" s="17" t="str">
        <x:v>Discovery evidence only</x:v>
      </x:c>
      <x:c r="O1922" s="17" t="str">
        <x:v>Use the source_record_paths field to trace the underlying discovery inputs.</x:v>
      </x:c>
      <x:c r="P1922" s="18" t="e">
        <x:f>HYPERLINK("https://www.ncat.edu","Open source")</x:f>
        <x:v>HYPERLINK is not implemented. linkLocation=https://www.ncat.edu, friendlyName=Open source</x:v>
      </x:c>
    </x:row>
    <x:row r="1923" ht="46" customHeight="1">
      <x:c r="A1923" s="17" t="str">
        <x:v>stage3src:83de6f0b84d4da26b275</x:v>
      </x:c>
      <x:c r="B1923" s="17" t="str">
        <x:v>program</x:v>
      </x:c>
      <x:c r="C1923" s="17" t="str">
        <x:v>University of North Carolina at Chapel Hill</x:v>
      </x:c>
      <x:c r="D1923" s="17" t="str">
        <x:v>us:ipeds:199120:program:unclear:ipeds-discovery-signal-computer-science-cip-11-0701</x:v>
      </x:c>
      <x:c r="E1923" s="17" t="str"/>
      <x:c r="F1923" s="17" t="str">
        <x:v>discovery</x:v>
      </x:c>
      <x:c r="G1923" s="17" t="str">
        <x:v>Stage 2 recorded this row as a discovery candidate; it does not independently verify an exact current research program, eligibility, or funding.</x:v>
      </x:c>
      <x:c r="H1923" s="17" t="str">
        <x:v>Pass 2 Stage 2 candidate funnel</x:v>
      </x:c>
      <x:c r="I1923" s="17" t="str">
        <x:v>Graduate audit pipeline</x:v>
      </x:c>
      <x:c r="J1923" s="17" t="str">
        <x:v>derived</x:v>
      </x:c>
      <x:c r="K1923" s="17" t="str">
        <x:v>2026-09-11</x:v>
      </x:c>
      <x:c r="L1923" s="17" t="str">
        <x:v>Not cycle-specific</x:v>
      </x:c>
      <x:c r="M1923" s="17" t="str">
        <x:v>low</x:v>
      </x:c>
      <x:c r="N1923" s="17" t="str">
        <x:v>Discovery evidence only</x:v>
      </x:c>
      <x:c r="O1923" s="17" t="str">
        <x:v>Use the source_record_paths field to trace the underlying discovery inputs.</x:v>
      </x:c>
      <x:c r="P1923" s="18" t="e">
        <x:f>HYPERLINK("https://www.unc.edu","Open source")</x:f>
        <x:v>HYPERLINK is not implemented. linkLocation=https://www.unc.edu, friendlyName=Open source</x:v>
      </x:c>
    </x:row>
    <x:row r="1924" ht="46" customHeight="1">
      <x:c r="A1924" s="17" t="str">
        <x:v>stage3src:f296a9b92dd9e9b533f8</x:v>
      </x:c>
      <x:c r="B1924" s="17" t="str">
        <x:v>program</x:v>
      </x:c>
      <x:c r="C1924" s="17" t="str">
        <x:v>University of North Carolina at Chapel Hill</x:v>
      </x:c>
      <x:c r="D1924" s="17" t="str">
        <x:v>us:ipeds:199120:program:unclear:ipeds-discovery-signal-information-science-studies-cip-11-0401</x:v>
      </x:c>
      <x:c r="E1924" s="17" t="str"/>
      <x:c r="F1924" s="17" t="str">
        <x:v>discovery</x:v>
      </x:c>
      <x:c r="G1924" s="17" t="str">
        <x:v>Stage 2 recorded this row as a discovery candidate; it does not independently verify an exact current research program, eligibility, or funding.</x:v>
      </x:c>
      <x:c r="H1924" s="17" t="str">
        <x:v>Pass 2 Stage 2 candidate funnel</x:v>
      </x:c>
      <x:c r="I1924" s="17" t="str">
        <x:v>Graduate audit pipeline</x:v>
      </x:c>
      <x:c r="J1924" s="17" t="str">
        <x:v>derived</x:v>
      </x:c>
      <x:c r="K1924" s="17" t="str">
        <x:v>2026-09-11</x:v>
      </x:c>
      <x:c r="L1924" s="17" t="str">
        <x:v>Not cycle-specific</x:v>
      </x:c>
      <x:c r="M1924" s="17" t="str">
        <x:v>low</x:v>
      </x:c>
      <x:c r="N1924" s="17" t="str">
        <x:v>Discovery evidence only</x:v>
      </x:c>
      <x:c r="O1924" s="17" t="str">
        <x:v>Use the source_record_paths field to trace the underlying discovery inputs.</x:v>
      </x:c>
      <x:c r="P1924" s="18" t="e">
        <x:f>HYPERLINK("https://www.unc.edu","Open source")</x:f>
        <x:v>HYPERLINK is not implemented. linkLocation=https://www.unc.edu, friendlyName=Open source</x:v>
      </x:c>
    </x:row>
    <x:row r="1925" ht="46" customHeight="1">
      <x:c r="A1925" s="17" t="str">
        <x:v>stage3src:37fbf31c5ba823281bcf</x:v>
      </x:c>
      <x:c r="B1925" s="17" t="str">
        <x:v>program</x:v>
      </x:c>
      <x:c r="C1925" s="17" t="str">
        <x:v>University of North Carolina at Charlotte</x:v>
      </x:c>
      <x:c r="D1925" s="17" t="str">
        <x:v>us:ipeds:199139:program:phd:computing-and-information-systems-phd-software-and-information-systems-track</x:v>
      </x:c>
      <x:c r="E1925" s="17" t="str"/>
      <x:c r="F1925" s="17" t="str">
        <x:v>admissions|eligibility|language|deadline</x:v>
      </x:c>
      <x:c r="G1925" s="17" t="str">
        <x:v>Bachelor's route, 3.0 field GPA, SIS and mathematics preparation, English requirement, and February 1 funding-consideration deadline.</x:v>
      </x:c>
      <x:c r="H1925" s="17" t="str">
        <x:v>Ph.D. Admissions — SIS Track</x:v>
      </x:c>
      <x:c r="I1925" s="17" t="str">
        <x:v>UNC Charlotte College of Computing and Informatics</x:v>
      </x:c>
      <x:c r="J1925" s="17" t="str">
        <x:v>official</x:v>
      </x:c>
      <x:c r="K1925" s="17" t="str">
        <x:v>2026-09-10</x:v>
      </x:c>
      <x:c r="L1925" s="17" t="str">
        <x:v>Current page checked 2026-09-10</x:v>
      </x:c>
      <x:c r="M1925" s="17" t="str">
        <x:v>high</x:v>
      </x:c>
      <x:c r="N1925" s="17" t="str">
        <x:v>official page checked</x:v>
      </x:c>
      <x:c r="O1925" s="17" t="str"/>
      <x:c r="P1925" s="18" t="e">
        <x:f>HYPERLINK("https://cci.charlotte.edu/academics/software-and-information-systems/phd-sis-track/phd-admissions/","Open source")</x:f>
        <x:v>HYPERLINK is not implemented. linkLocation=https://cci.charlotte.edu/academics/software-and-information-systems/phd-sis-track/phd-admissions/, friendlyName=Open source</x:v>
      </x:c>
    </x:row>
    <x:row r="1926" ht="46" customHeight="1">
      <x:c r="A1926" s="17" t="str">
        <x:v>stage3src:c098d704803d7a209c27</x:v>
      </x:c>
      <x:c r="B1926" s="17" t="str">
        <x:v>program</x:v>
      </x:c>
      <x:c r="C1926" s="17" t="str">
        <x:v>University of North Carolina at Charlotte</x:v>
      </x:c>
      <x:c r="D1926" s="17" t="str">
        <x:v>us:ipeds:199139:program:phd:computing-and-information-systems-phd-software-and-information-systems-track</x:v>
      </x:c>
      <x:c r="E1926" s="17" t="str"/>
      <x:c r="F1926" s="17" t="str">
        <x:v>admissions|fees</x:v>
      </x:c>
      <x:c r="G1926" s="17" t="str">
        <x:v>International graduate fee is USD 85, waiver categories are limited, and each multiple-program application needs its own fee and materials.</x:v>
      </x:c>
      <x:c r="H1926" s="17" t="str">
        <x:v>Application Requirements</x:v>
      </x:c>
      <x:c r="I1926" s="17" t="str">
        <x:v>UNC Charlotte Graduate Admissions</x:v>
      </x:c>
      <x:c r="J1926" s="17" t="str">
        <x:v>official</x:v>
      </x:c>
      <x:c r="K1926" s="17" t="str">
        <x:v>2026-09-10</x:v>
      </x:c>
      <x:c r="L1926" s="17" t="str">
        <x:v>Current page checked 2026-09-10</x:v>
      </x:c>
      <x:c r="M1926" s="17" t="str">
        <x:v>high</x:v>
      </x:c>
      <x:c r="N1926" s="17" t="str">
        <x:v>official page checked</x:v>
      </x:c>
      <x:c r="O1926" s="17" t="str"/>
      <x:c r="P1926" s="18" t="e">
        <x:f>HYPERLINK("https://gradadmissions.charlotte.edu/apply-now/application-requirements/","Open source")</x:f>
        <x:v>HYPERLINK is not implemented. linkLocation=https://gradadmissions.charlotte.edu/apply-now/application-requirements/, friendlyName=Open source</x:v>
      </x:c>
    </x:row>
    <x:row r="1927" ht="46" customHeight="1">
      <x:c r="A1927" s="17" t="str">
        <x:v>stage3src:c67e4c2fe886b28ebedb</x:v>
      </x:c>
      <x:c r="B1927" s="17" t="str">
        <x:v>program</x:v>
      </x:c>
      <x:c r="C1927" s="17" t="str">
        <x:v>University of North Carolina at Charlotte</x:v>
      </x:c>
      <x:c r="D1927" s="17" t="str">
        <x:v>us:ipeds:199139:program:phd:computing-and-information-systems-phd-software-and-information-systems-track</x:v>
      </x:c>
      <x:c r="E1927" s="17" t="str"/>
      <x:c r="F1927" s="17" t="str">
        <x:v>funding|tuition|fees</x:v>
      </x:c>
      <x:c r="G1927" s="17" t="str">
        <x:v>Eligible full-time doctoral assistants receive tuition and insurance support, with up to ten-semester eligibility; appointment incidence and fee residual remain offer-specific.</x:v>
      </x:c>
      <x:c r="H1927" s="17" t="str">
        <x:v>Funding FAQs for Current Students</x:v>
      </x:c>
      <x:c r="I1927" s="17" t="str">
        <x:v>UNC Charlotte Graduate School</x:v>
      </x:c>
      <x:c r="J1927" s="17" t="str">
        <x:v>official</x:v>
      </x:c>
      <x:c r="K1927" s="17" t="str">
        <x:v>2026-09-10</x:v>
      </x:c>
      <x:c r="L1927" s="17" t="str">
        <x:v>Current page checked 2026-09-10</x:v>
      </x:c>
      <x:c r="M1927" s="17" t="str">
        <x:v>high</x:v>
      </x:c>
      <x:c r="N1927" s="17" t="str">
        <x:v>official page checked</x:v>
      </x:c>
      <x:c r="O1927" s="17" t="str"/>
      <x:c r="P1927" s="18" t="e">
        <x:f>HYPERLINK("https://graduateschool.charlotte.edu/funding/funding-faq/","Open source")</x:f>
        <x:v>HYPERLINK is not implemented. linkLocation=https://graduateschool.charlotte.edu/funding/funding-faq/, friendlyName=Open source</x:v>
      </x:c>
    </x:row>
    <x:row r="1928" ht="46" customHeight="1">
      <x:c r="A1928" s="17" t="str">
        <x:v>stage3src:eb042cc753bcca4a8365</x:v>
      </x:c>
      <x:c r="B1928" s="17" t="str">
        <x:v>program</x:v>
      </x:c>
      <x:c r="C1928" s="17" t="str">
        <x:v>University of North Carolina at Charlotte</x:v>
      </x:c>
      <x:c r="D1928" s="17" t="str">
        <x:v>us:ipeds:199139:program:phd:computing-and-information-systems-phd-software-and-information-systems-track</x:v>
      </x:c>
      <x:c r="E1928" s="17" t="str"/>
      <x:c r="F1928" s="17" t="str">
        <x:v>program</x:v>
      </x:c>
      <x:c r="G1928" s="17" t="str">
        <x:v>Current Computing and Information Systems PhD Software and Information Systems track and research focus.</x:v>
      </x:c>
      <x:c r="H1928" s="17" t="str">
        <x:v>Ph.D. in Computing and Information Systems, SIS Track</x:v>
      </x:c>
      <x:c r="I1928" s="17" t="str">
        <x:v>UNC Charlotte College of Computing and Informatics</x:v>
      </x:c>
      <x:c r="J1928" s="17" t="str">
        <x:v>official</x:v>
      </x:c>
      <x:c r="K1928" s="17" t="str">
        <x:v>2026-09-10</x:v>
      </x:c>
      <x:c r="L1928" s="17" t="str">
        <x:v>Current page checked 2026-09-10</x:v>
      </x:c>
      <x:c r="M1928" s="17" t="str">
        <x:v>high</x:v>
      </x:c>
      <x:c r="N1928" s="17" t="str">
        <x:v>official page checked</x:v>
      </x:c>
      <x:c r="O1928" s="17" t="str"/>
      <x:c r="P1928" s="18" t="e">
        <x:f>HYPERLINK("https://cci.charlotte.edu/academics/software-and-information-systems/phd-sis-track","Open source")</x:f>
        <x:v>HYPERLINK is not implemented. linkLocation=https://cci.charlotte.edu/academics/software-and-information-systems/phd-sis-track, friendlyName=Open source</x:v>
      </x:c>
    </x:row>
    <x:row r="1929" ht="46" customHeight="1">
      <x:c r="A1929" s="17" t="str">
        <x:v>stage3src:827f1342e9e1b1d4c2af</x:v>
      </x:c>
      <x:c r="B1929" s="17" t="str">
        <x:v>program</x:v>
      </x:c>
      <x:c r="C1929" s="17" t="str">
        <x:v>University of North Carolina at Charlotte</x:v>
      </x:c>
      <x:c r="D1929" s="17" t="str">
        <x:v>us:ipeds:199139:program:unclear:ipeds-discovery-signal-computer-and-information-sciences-general-cip-11-0101</x:v>
      </x:c>
      <x:c r="E1929" s="17" t="str"/>
      <x:c r="F1929" s="17" t="str">
        <x:v>discovery</x:v>
      </x:c>
      <x:c r="G1929" s="17" t="str">
        <x:v>Stage 2 recorded this row as a discovery candidate; it does not independently verify an exact current research program, eligibility, or funding.</x:v>
      </x:c>
      <x:c r="H1929" s="17" t="str">
        <x:v>Pass 2 Stage 2 candidate funnel</x:v>
      </x:c>
      <x:c r="I1929" s="17" t="str">
        <x:v>Graduate audit pipeline</x:v>
      </x:c>
      <x:c r="J1929" s="17" t="str">
        <x:v>derived</x:v>
      </x:c>
      <x:c r="K1929" s="17" t="str">
        <x:v>2026-09-11</x:v>
      </x:c>
      <x:c r="L1929" s="17" t="str">
        <x:v>Not cycle-specific</x:v>
      </x:c>
      <x:c r="M1929" s="17" t="str">
        <x:v>low</x:v>
      </x:c>
      <x:c r="N1929" s="17" t="str">
        <x:v>Discovery evidence only</x:v>
      </x:c>
      <x:c r="O1929" s="17" t="str">
        <x:v>Use the source_record_paths field to trace the underlying discovery inputs.</x:v>
      </x:c>
      <x:c r="P1929" s="18" t="e">
        <x:f>HYPERLINK("https://www.charlotte.edu","Open source")</x:f>
        <x:v>HYPERLINK is not implemented. linkLocation=https://www.charlotte.edu, friendlyName=Open source</x:v>
      </x:c>
    </x:row>
    <x:row r="1930" ht="46" customHeight="1">
      <x:c r="A1930" s="17" t="str">
        <x:v>stage3src:6d7cd6b1ecc7b8ea29e8</x:v>
      </x:c>
      <x:c r="B1930" s="17" t="str">
        <x:v>program</x:v>
      </x:c>
      <x:c r="C1930" s="17" t="str">
        <x:v>University of North Carolina at Charlotte</x:v>
      </x:c>
      <x:c r="D1930" s="17" t="str">
        <x:v>us:ipeds:199139:program:unclear:ipeds-discovery-signal-computer-and-information-systems-security-auditing-information-assurance-cip-11-1003</x:v>
      </x:c>
      <x:c r="E1930" s="17" t="str"/>
      <x:c r="F1930" s="17" t="str">
        <x:v>discovery</x:v>
      </x:c>
      <x:c r="G1930" s="17" t="str">
        <x:v>Stage 2 recorded this row as a discovery candidate; it does not independently verify an exact current research program, eligibility, or funding.</x:v>
      </x:c>
      <x:c r="H1930" s="17" t="str">
        <x:v>Pass 2 Stage 2 candidate funnel</x:v>
      </x:c>
      <x:c r="I1930" s="17" t="str">
        <x:v>Graduate audit pipeline</x:v>
      </x:c>
      <x:c r="J1930" s="17" t="str">
        <x:v>derived</x:v>
      </x:c>
      <x:c r="K1930" s="17" t="str">
        <x:v>2026-09-11</x:v>
      </x:c>
      <x:c r="L1930" s="17" t="str">
        <x:v>Not cycle-specific</x:v>
      </x:c>
      <x:c r="M1930" s="17" t="str">
        <x:v>low</x:v>
      </x:c>
      <x:c r="N1930" s="17" t="str">
        <x:v>Discovery evidence only</x:v>
      </x:c>
      <x:c r="O1930" s="17" t="str">
        <x:v>Use the source_record_paths field to trace the underlying discovery inputs.</x:v>
      </x:c>
      <x:c r="P1930" s="18" t="e">
        <x:f>HYPERLINK("https://www.charlotte.edu","Open source")</x:f>
        <x:v>HYPERLINK is not implemented. linkLocation=https://www.charlotte.edu, friendlyName=Open source</x:v>
      </x:c>
    </x:row>
    <x:row r="1931" ht="46" customHeight="1">
      <x:c r="A1931" s="17" t="str">
        <x:v>stage3src:4668e112cc452f5a35a9</x:v>
      </x:c>
      <x:c r="B1931" s="17" t="str">
        <x:v>program</x:v>
      </x:c>
      <x:c r="C1931" s="17" t="str">
        <x:v>University of North Carolina at Charlotte</x:v>
      </x:c>
      <x:c r="D1931" s="17" t="str">
        <x:v>us:ipeds:199139:program:unclear:ipeds-discovery-signal-computer-engineering-general-cip-14-0901</x:v>
      </x:c>
      <x:c r="E1931" s="17" t="str"/>
      <x:c r="F1931" s="17" t="str">
        <x:v>discovery</x:v>
      </x:c>
      <x:c r="G1931" s="17" t="str">
        <x:v>Stage 2 recorded this row as a discovery candidate; it does not independently verify an exact current research program, eligibility, or funding.</x:v>
      </x:c>
      <x:c r="H1931" s="17" t="str">
        <x:v>Pass 2 Stage 2 candidate funnel</x:v>
      </x:c>
      <x:c r="I1931" s="17" t="str">
        <x:v>Graduate audit pipeline</x:v>
      </x:c>
      <x:c r="J1931" s="17" t="str">
        <x:v>derived</x:v>
      </x:c>
      <x:c r="K1931" s="17" t="str">
        <x:v>2026-09-11</x:v>
      </x:c>
      <x:c r="L1931" s="17" t="str">
        <x:v>Not cycle-specific</x:v>
      </x:c>
      <x:c r="M1931" s="17" t="str">
        <x:v>low</x:v>
      </x:c>
      <x:c r="N1931" s="17" t="str">
        <x:v>Discovery evidence only</x:v>
      </x:c>
      <x:c r="O1931" s="17" t="str">
        <x:v>Use the source_record_paths field to trace the underlying discovery inputs.</x:v>
      </x:c>
      <x:c r="P1931" s="18" t="e">
        <x:f>HYPERLINK("https://www.charlotte.edu","Open source")</x:f>
        <x:v>HYPERLINK is not implemented. linkLocation=https://www.charlotte.edu, friendlyName=Open source</x:v>
      </x:c>
    </x:row>
    <x:row r="1932" ht="46" customHeight="1">
      <x:c r="A1932" s="17" t="str">
        <x:v>stage3src:3eb4eeef8ec33f5611e3</x:v>
      </x:c>
      <x:c r="B1932" s="17" t="str">
        <x:v>program</x:v>
      </x:c>
      <x:c r="C1932" s="17" t="str">
        <x:v>University of North Carolina at Charlotte</x:v>
      </x:c>
      <x:c r="D1932" s="17" t="str">
        <x:v>us:ipeds:199139:program:unclear:ipeds-discovery-signal-computer-science-cip-11-0701</x:v>
      </x:c>
      <x:c r="E1932" s="17" t="str"/>
      <x:c r="F1932" s="17" t="str">
        <x:v>discovery</x:v>
      </x:c>
      <x:c r="G1932" s="17" t="str">
        <x:v>Stage 2 recorded this row as a discovery candidate; it does not independently verify an exact current research program, eligibility, or funding.</x:v>
      </x:c>
      <x:c r="H1932" s="17" t="str">
        <x:v>Pass 2 Stage 2 candidate funnel</x:v>
      </x:c>
      <x:c r="I1932" s="17" t="str">
        <x:v>Graduate audit pipeline</x:v>
      </x:c>
      <x:c r="J1932" s="17" t="str">
        <x:v>derived</x:v>
      </x:c>
      <x:c r="K1932" s="17" t="str">
        <x:v>2026-09-11</x:v>
      </x:c>
      <x:c r="L1932" s="17" t="str">
        <x:v>Not cycle-specific</x:v>
      </x:c>
      <x:c r="M1932" s="17" t="str">
        <x:v>low</x:v>
      </x:c>
      <x:c r="N1932" s="17" t="str">
        <x:v>Discovery evidence only</x:v>
      </x:c>
      <x:c r="O1932" s="17" t="str">
        <x:v>Use the source_record_paths field to trace the underlying discovery inputs.</x:v>
      </x:c>
      <x:c r="P1932" s="18" t="e">
        <x:f>HYPERLINK("https://www.charlotte.edu","Open source")</x:f>
        <x:v>HYPERLINK is not implemented. linkLocation=https://www.charlotte.edu, friendlyName=Open source</x:v>
      </x:c>
    </x:row>
    <x:row r="1933" ht="46" customHeight="1">
      <x:c r="A1933" s="17" t="str">
        <x:v>stage3src:88e225d1c33121ad1b46</x:v>
      </x:c>
      <x:c r="B1933" s="17" t="str">
        <x:v>program</x:v>
      </x:c>
      <x:c r="C1933" s="17" t="str">
        <x:v>University of North Carolina at Charlotte</x:v>
      </x:c>
      <x:c r="D1933" s="17" t="str">
        <x:v>us:ipeds:199139:program:unclear:ipeds-discovery-signal-electrical-and-electronics-engineering-cip-14-1001</x:v>
      </x:c>
      <x:c r="E1933" s="17" t="str"/>
      <x:c r="F1933" s="17" t="str">
        <x:v>discovery</x:v>
      </x:c>
      <x:c r="G1933" s="17" t="str">
        <x:v>Stage 2 recorded this row as a discovery candidate; it does not independently verify an exact current research program, eligibility, or funding.</x:v>
      </x:c>
      <x:c r="H1933" s="17" t="str">
        <x:v>Pass 2 Stage 2 candidate funnel</x:v>
      </x:c>
      <x:c r="I1933" s="17" t="str">
        <x:v>Graduate audit pipeline</x:v>
      </x:c>
      <x:c r="J1933" s="17" t="str">
        <x:v>derived</x:v>
      </x:c>
      <x:c r="K1933" s="17" t="str">
        <x:v>2026-09-11</x:v>
      </x:c>
      <x:c r="L1933" s="17" t="str">
        <x:v>Not cycle-specific</x:v>
      </x:c>
      <x:c r="M1933" s="17" t="str">
        <x:v>low</x:v>
      </x:c>
      <x:c r="N1933" s="17" t="str">
        <x:v>Discovery evidence only</x:v>
      </x:c>
      <x:c r="O1933" s="17" t="str">
        <x:v>Use the source_record_paths field to trace the underlying discovery inputs.</x:v>
      </x:c>
      <x:c r="P1933" s="18" t="e">
        <x:f>HYPERLINK("https://www.charlotte.edu","Open source")</x:f>
        <x:v>HYPERLINK is not implemented. linkLocation=https://www.charlotte.edu, friendlyName=Open source</x:v>
      </x:c>
    </x:row>
    <x:row r="1934" ht="46" customHeight="1">
      <x:c r="A1934" s="17" t="str">
        <x:v>stage3src:e969bbc2fa29f51519b6</x:v>
      </x:c>
      <x:c r="B1934" s="17" t="str">
        <x:v>program</x:v>
      </x:c>
      <x:c r="C1934" s="17" t="str">
        <x:v>University of North Carolina at Charlotte</x:v>
      </x:c>
      <x:c r="D1934" s="17" t="str">
        <x:v>us:ipeds:199139:program:unclear:ipeds-discovery-signal-information-technology-cip-11-0103</x:v>
      </x:c>
      <x:c r="E1934" s="17" t="str"/>
      <x:c r="F1934" s="17" t="str">
        <x:v>discovery</x:v>
      </x:c>
      <x:c r="G1934" s="17" t="str">
        <x:v>Stage 2 recorded this row as a discovery candidate; it does not independently verify an exact current research program, eligibility, or funding.</x:v>
      </x:c>
      <x:c r="H1934" s="17" t="str">
        <x:v>Pass 2 Stage 2 candidate funnel</x:v>
      </x:c>
      <x:c r="I1934" s="17" t="str">
        <x:v>Graduate audit pipeline</x:v>
      </x:c>
      <x:c r="J1934" s="17" t="str">
        <x:v>derived</x:v>
      </x:c>
      <x:c r="K1934" s="17" t="str">
        <x:v>2026-09-11</x:v>
      </x:c>
      <x:c r="L1934" s="17" t="str">
        <x:v>Not cycle-specific</x:v>
      </x:c>
      <x:c r="M1934" s="17" t="str">
        <x:v>low</x:v>
      </x:c>
      <x:c r="N1934" s="17" t="str">
        <x:v>Discovery evidence only</x:v>
      </x:c>
      <x:c r="O1934" s="17" t="str">
        <x:v>Use the source_record_paths field to trace the underlying discovery inputs.</x:v>
      </x:c>
      <x:c r="P1934" s="18" t="e">
        <x:f>HYPERLINK("https://www.charlotte.edu","Open source")</x:f>
        <x:v>HYPERLINK is not implemented. linkLocation=https://www.charlotte.edu, friendlyName=Open source</x:v>
      </x:c>
    </x:row>
    <x:row r="1935" ht="46" customHeight="1">
      <x:c r="A1935" s="17" t="str">
        <x:v>stage3src:740e03228eacfefeaf41</x:v>
      </x:c>
      <x:c r="B1935" s="17" t="str">
        <x:v>program</x:v>
      </x:c>
      <x:c r="C1935" s="17" t="str">
        <x:v>University of North Carolina at Greensboro</x:v>
      </x:c>
      <x:c r="D1935" s="17" t="str">
        <x:v>us:ipeds:199148:program:unclear:ipeds-discovery-signal-computer-science-cip-11-0701</x:v>
      </x:c>
      <x:c r="E1935" s="17" t="str"/>
      <x:c r="F1935" s="17" t="str">
        <x:v>discovery</x:v>
      </x:c>
      <x:c r="G1935" s="17" t="str">
        <x:v>Stage 2 recorded this row as a discovery candidate; it does not independently verify an exact current research program, eligibility, or funding.</x:v>
      </x:c>
      <x:c r="H1935" s="17" t="str">
        <x:v>Pass 2 Stage 2 candidate funnel</x:v>
      </x:c>
      <x:c r="I1935" s="17" t="str">
        <x:v>Graduate audit pipeline</x:v>
      </x:c>
      <x:c r="J1935" s="17" t="str">
        <x:v>derived</x:v>
      </x:c>
      <x:c r="K1935" s="17" t="str">
        <x:v>2026-09-11</x:v>
      </x:c>
      <x:c r="L1935" s="17" t="str">
        <x:v>Not cycle-specific</x:v>
      </x:c>
      <x:c r="M1935" s="17" t="str">
        <x:v>low</x:v>
      </x:c>
      <x:c r="N1935" s="17" t="str">
        <x:v>Discovery evidence only</x:v>
      </x:c>
      <x:c r="O1935" s="17" t="str">
        <x:v>Use the source_record_paths field to trace the underlying discovery inputs.</x:v>
      </x:c>
      <x:c r="P1935" s="18" t="e">
        <x:f>HYPERLINK("https://www.uncg.edu","Open source")</x:f>
        <x:v>HYPERLINK is not implemented. linkLocation=https://www.uncg.edu, friendlyName=Open source</x:v>
      </x:c>
    </x:row>
    <x:row r="1936" ht="46" customHeight="1">
      <x:c r="A1936" s="17" t="str">
        <x:v>stage3src:dbcbf586fa17fb33b7b5</x:v>
      </x:c>
      <x:c r="B1936" s="17" t="str">
        <x:v>program</x:v>
      </x:c>
      <x:c r="C1936" s="17" t="str">
        <x:v>University of North Carolina at Greensboro</x:v>
      </x:c>
      <x:c r="D1936" s="17" t="str">
        <x:v>us:ipeds:199148:program:unclear:ipeds-discovery-signal-computer-systems-networking-and-telecommunications-cip-11-0901</x:v>
      </x:c>
      <x:c r="E1936" s="17" t="str"/>
      <x:c r="F1936" s="17" t="str">
        <x:v>discovery</x:v>
      </x:c>
      <x:c r="G1936" s="17" t="str">
        <x:v>Stage 2 recorded this row as a discovery candidate; it does not independently verify an exact current research program, eligibility, or funding.</x:v>
      </x:c>
      <x:c r="H1936" s="17" t="str">
        <x:v>Pass 2 Stage 2 candidate funnel</x:v>
      </x:c>
      <x:c r="I1936" s="17" t="str">
        <x:v>Graduate audit pipeline</x:v>
      </x:c>
      <x:c r="J1936" s="17" t="str">
        <x:v>derived</x:v>
      </x:c>
      <x:c r="K1936" s="17" t="str">
        <x:v>2026-09-11</x:v>
      </x:c>
      <x:c r="L1936" s="17" t="str">
        <x:v>Not cycle-specific</x:v>
      </x:c>
      <x:c r="M1936" s="17" t="str">
        <x:v>low</x:v>
      </x:c>
      <x:c r="N1936" s="17" t="str">
        <x:v>Discovery evidence only</x:v>
      </x:c>
      <x:c r="O1936" s="17" t="str">
        <x:v>Use the source_record_paths field to trace the underlying discovery inputs.</x:v>
      </x:c>
      <x:c r="P1936" s="18" t="e">
        <x:f>HYPERLINK("https://www.uncg.edu","Open source")</x:f>
        <x:v>HYPERLINK is not implemented. linkLocation=https://www.uncg.edu, friendlyName=Open source</x:v>
      </x:c>
    </x:row>
    <x:row r="1937" ht="46" customHeight="1">
      <x:c r="A1937" s="17" t="str">
        <x:v>stage3src:4dd9cec4311373fa44d3</x:v>
      </x:c>
      <x:c r="B1937" s="17" t="str">
        <x:v>program</x:v>
      </x:c>
      <x:c r="C1937" s="17" t="str">
        <x:v>University of North Carolina at Greensboro</x:v>
      </x:c>
      <x:c r="D1937" s="17" t="str">
        <x:v>us:ipeds:199148:program:unclear:ipeds-discovery-signal-informatics-cip-11-0104</x:v>
      </x:c>
      <x:c r="E1937" s="17" t="str"/>
      <x:c r="F1937" s="17" t="str">
        <x:v>discovery</x:v>
      </x:c>
      <x:c r="G1937" s="17" t="str">
        <x:v>Stage 2 recorded this row as a discovery candidate; it does not independently verify an exact current research program, eligibility, or funding.</x:v>
      </x:c>
      <x:c r="H1937" s="17" t="str">
        <x:v>Pass 2 Stage 2 candidate funnel</x:v>
      </x:c>
      <x:c r="I1937" s="17" t="str">
        <x:v>Graduate audit pipeline</x:v>
      </x:c>
      <x:c r="J1937" s="17" t="str">
        <x:v>derived</x:v>
      </x:c>
      <x:c r="K1937" s="17" t="str">
        <x:v>2026-09-11</x:v>
      </x:c>
      <x:c r="L1937" s="17" t="str">
        <x:v>Not cycle-specific</x:v>
      </x:c>
      <x:c r="M1937" s="17" t="str">
        <x:v>low</x:v>
      </x:c>
      <x:c r="N1937" s="17" t="str">
        <x:v>Discovery evidence only</x:v>
      </x:c>
      <x:c r="O1937" s="17" t="str">
        <x:v>Use the source_record_paths field to trace the underlying discovery inputs.</x:v>
      </x:c>
      <x:c r="P1937" s="18" t="e">
        <x:f>HYPERLINK("https://www.uncg.edu","Open source")</x:f>
        <x:v>HYPERLINK is not implemented. linkLocation=https://www.uncg.edu, friendlyName=Open source</x:v>
      </x:c>
    </x:row>
    <x:row r="1938" ht="46" customHeight="1">
      <x:c r="A1938" s="17" t="str">
        <x:v>stage3src:6618293fc3d437112ae2</x:v>
      </x:c>
      <x:c r="B1938" s="17" t="str">
        <x:v>program</x:v>
      </x:c>
      <x:c r="C1938" s="17" t="str">
        <x:v>University of North Carolina at Greensboro</x:v>
      </x:c>
      <x:c r="D1938" s="17" t="str">
        <x:v>us:ipeds:199148:program:unclear:ipeds-discovery-signal-information-technology-cip-11-0103</x:v>
      </x:c>
      <x:c r="E1938" s="17" t="str"/>
      <x:c r="F1938" s="17" t="str">
        <x:v>discovery</x:v>
      </x:c>
      <x:c r="G1938" s="17" t="str">
        <x:v>Stage 2 recorded this row as a discovery candidate; it does not independently verify an exact current research program, eligibility, or funding.</x:v>
      </x:c>
      <x:c r="H1938" s="17" t="str">
        <x:v>Pass 2 Stage 2 candidate funnel</x:v>
      </x:c>
      <x:c r="I1938" s="17" t="str">
        <x:v>Graduate audit pipeline</x:v>
      </x:c>
      <x:c r="J1938" s="17" t="str">
        <x:v>derived</x:v>
      </x:c>
      <x:c r="K1938" s="17" t="str">
        <x:v>2026-09-11</x:v>
      </x:c>
      <x:c r="L1938" s="17" t="str">
        <x:v>Not cycle-specific</x:v>
      </x:c>
      <x:c r="M1938" s="17" t="str">
        <x:v>low</x:v>
      </x:c>
      <x:c r="N1938" s="17" t="str">
        <x:v>Discovery evidence only</x:v>
      </x:c>
      <x:c r="O1938" s="17" t="str">
        <x:v>Use the source_record_paths field to trace the underlying discovery inputs.</x:v>
      </x:c>
      <x:c r="P1938" s="18" t="e">
        <x:f>HYPERLINK("https://www.uncg.edu","Open source")</x:f>
        <x:v>HYPERLINK is not implemented. linkLocation=https://www.uncg.edu, friendlyName=Open source</x:v>
      </x:c>
    </x:row>
    <x:row r="1939" ht="46" customHeight="1">
      <x:c r="A1939" s="17" t="str">
        <x:v>stage3src:eb01ea7857ff7a1a0e29</x:v>
      </x:c>
      <x:c r="B1939" s="17" t="str">
        <x:v>program</x:v>
      </x:c>
      <x:c r="C1939" s="17" t="str">
        <x:v>North Carolina Central University</x:v>
      </x:c>
      <x:c r="D1939" s="17" t="str">
        <x:v>us:ipeds:199157:program:unclear:ipeds-discovery-signal-information-science-studies-cip-11-0401</x:v>
      </x:c>
      <x:c r="E1939" s="17" t="str"/>
      <x:c r="F1939" s="17" t="str">
        <x:v>discovery</x:v>
      </x:c>
      <x:c r="G1939" s="17" t="str">
        <x:v>Stage 2 recorded this row as a discovery candidate; it does not independently verify an exact current research program, eligibility, or funding.</x:v>
      </x:c>
      <x:c r="H1939" s="17" t="str">
        <x:v>Pass 2 Stage 2 candidate funnel</x:v>
      </x:c>
      <x:c r="I1939" s="17" t="str">
        <x:v>Graduate audit pipeline</x:v>
      </x:c>
      <x:c r="J1939" s="17" t="str">
        <x:v>derived</x:v>
      </x:c>
      <x:c r="K1939" s="17" t="str">
        <x:v>2026-09-11</x:v>
      </x:c>
      <x:c r="L1939" s="17" t="str">
        <x:v>Not cycle-specific</x:v>
      </x:c>
      <x:c r="M1939" s="17" t="str">
        <x:v>low</x:v>
      </x:c>
      <x:c r="N1939" s="17" t="str">
        <x:v>Discovery evidence only</x:v>
      </x:c>
      <x:c r="O1939" s="17" t="str">
        <x:v>Use the source_record_paths field to trace the underlying discovery inputs.</x:v>
      </x:c>
      <x:c r="P1939" s="18" t="e">
        <x:f>HYPERLINK("https://www.nccu.edu","Open source")</x:f>
        <x:v>HYPERLINK is not implemented. linkLocation=https://www.nccu.edu, friendlyName=Open source</x:v>
      </x:c>
    </x:row>
    <x:row r="1940" ht="46" customHeight="1">
      <x:c r="A1940" s="17" t="str">
        <x:v>stage3src:25a9382dffec06dc7cfe</x:v>
      </x:c>
      <x:c r="B1940" s="17" t="str">
        <x:v>program</x:v>
      </x:c>
      <x:c r="C1940" s="17" t="str">
        <x:v>North Carolina State University at Raleigh</x:v>
      </x:c>
      <x:c r="D1940" s="17" t="str">
        <x:v>us:ipeds:199193:program:phd:computer-science-phd</x:v>
      </x:c>
      <x:c r="E1940" s="17" t="str"/>
      <x:c r="F1940" s="17" t="str">
        <x:v>fees|eligibility|admissions</x:v>
      </x:c>
      <x:c r="G1940" s="17" t="str">
        <x:v>$85 domestic/$95 international application fee</x:v>
      </x:c>
      <x:c r="H1940" s="17" t="str">
        <x:v>Where Do I Start?</x:v>
      </x:c>
      <x:c r="I1940" s="17" t="str">
        <x:v>North Carolina State University at Raleigh</x:v>
      </x:c>
      <x:c r="J1940" s="17" t="str">
        <x:v>Official</x:v>
      </x:c>
      <x:c r="K1940" s="17" t="str">
        <x:v>2026-09-09</x:v>
      </x:c>
      <x:c r="L1940" s="17" t="str">
        <x:v>Current</x:v>
      </x:c>
      <x:c r="M1940" s="17" t="str">
        <x:v>High</x:v>
      </x:c>
      <x:c r="N1940" s="17" t="str">
        <x:v>Verified</x:v>
      </x:c>
      <x:c r="O1940" s="17" t="str"/>
      <x:c r="P1940" s="18" t="e">
        <x:f>HYPERLINK("https://grad.ncsu.edu/programs/where-do-i-start/","Open source")</x:f>
        <x:v>HYPERLINK is not implemented. linkLocation=https://grad.ncsu.edu/programs/where-do-i-start/, friendlyName=Open source</x:v>
      </x:c>
    </x:row>
    <x:row r="1941" ht="46" customHeight="1">
      <x:c r="A1941" s="17" t="str">
        <x:v>stage3src:2f73d25712d4760da793</x:v>
      </x:c>
      <x:c r="B1941" s="17" t="str">
        <x:v>program</x:v>
      </x:c>
      <x:c r="C1941" s="17" t="str">
        <x:v>North Carolina State University at Raleigh</x:v>
      </x:c>
      <x:c r="D1941" s="17" t="str">
        <x:v>us:ipeds:199193:program:phd:computer-science-phd</x:v>
      </x:c>
      <x:c r="E1941" s="17" t="str"/>
      <x:c r="F1941" s="17" t="str">
        <x:v>deadline|admissions|program</x:v>
      </x:c>
      <x:c r="G1941" s="17" t="str">
        <x:v>Current December 15 fall PhD deadline and fall-only foreign admission</x:v>
      </x:c>
      <x:c r="H1941" s="17" t="str">
        <x:v>Application Deadlines</x:v>
      </x:c>
      <x:c r="I1941" s="17" t="str">
        <x:v>North Carolina State University at Raleigh</x:v>
      </x:c>
      <x:c r="J1941" s="17" t="str">
        <x:v>Official</x:v>
      </x:c>
      <x:c r="K1941" s="17" t="str">
        <x:v>2026-09-09</x:v>
      </x:c>
      <x:c r="L1941" s="17" t="str">
        <x:v>Current; cycle not labeled</x:v>
      </x:c>
      <x:c r="M1941" s="17" t="str">
        <x:v>High</x:v>
      </x:c>
      <x:c r="N1941" s="17" t="str">
        <x:v>Verified</x:v>
      </x:c>
      <x:c r="O1941" s="17" t="str"/>
      <x:c r="P1941" s="18" t="e">
        <x:f>HYPERLINK("https://csc.ncsu.edu/academics/graduate/application-deadlines/","Open source")</x:f>
        <x:v>HYPERLINK is not implemented. linkLocation=https://csc.ncsu.edu/academics/graduate/application-deadlines/, friendlyName=Open source</x:v>
      </x:c>
    </x:row>
    <x:row r="1942" ht="46" customHeight="1">
      <x:c r="A1942" s="17" t="str">
        <x:v>stage3src:6d213a25fd9d25b34c32</x:v>
      </x:c>
      <x:c r="B1942" s="17" t="str">
        <x:v>program</x:v>
      </x:c>
      <x:c r="C1942" s="17" t="str">
        <x:v>North Carolina State University at Raleigh</x:v>
      </x:c>
      <x:c r="D1942" s="17" t="str">
        <x:v>us:ipeds:199193:program:phd:computer-science-phd</x:v>
      </x:c>
      <x:c r="E1942" s="17" t="str"/>
      <x:c r="F1942" s="17" t="str">
        <x:v>funding|eligibility|program</x:v>
      </x:c>
      <x:c r="G1942" s="17" t="str">
        <x:v>Active PhD, 72-hour bachelor route, dissertation, and advisor-determined RA funding</x:v>
      </x:c>
      <x:c r="H1942" s="17" t="str">
        <x:v>Computer Science PhD</x:v>
      </x:c>
      <x:c r="I1942" s="17" t="str">
        <x:v>North Carolina State University at Raleigh</x:v>
      </x:c>
      <x:c r="J1942" s="17" t="str">
        <x:v>Official</x:v>
      </x:c>
      <x:c r="K1942" s="17" t="str">
        <x:v>2026-09-09</x:v>
      </x:c>
      <x:c r="L1942" s="17" t="str">
        <x:v>Current</x:v>
      </x:c>
      <x:c r="M1942" s="17" t="str">
        <x:v>High</x:v>
      </x:c>
      <x:c r="N1942" s="17" t="str">
        <x:v>Verified</x:v>
      </x:c>
      <x:c r="O1942" s="17" t="str"/>
      <x:c r="P1942" s="18" t="e">
        <x:f>HYPERLINK("https://csc.ncsu.edu/academics/graduate/phd/","Open source")</x:f>
        <x:v>HYPERLINK is not implemented. linkLocation=https://csc.ncsu.edu/academics/graduate/phd/, friendlyName=Open source</x:v>
      </x:c>
    </x:row>
    <x:row r="1943" ht="46" customHeight="1">
      <x:c r="A1943" s="17" t="str">
        <x:v>stage3src:8e25a0414f9d19e79e9a</x:v>
      </x:c>
      <x:c r="B1943" s="17" t="str">
        <x:v>program</x:v>
      </x:c>
      <x:c r="C1943" s="17" t="str">
        <x:v>North Carolina State University at Raleigh</x:v>
      </x:c>
      <x:c r="D1943" s="17" t="str">
        <x:v>us:ipeds:199193:program:phd:computer-science-phd</x:v>
      </x:c>
      <x:c r="E1943" s="17" t="str"/>
      <x:c r="F1943" s="17" t="str">
        <x:v>language|eligibility</x:v>
      </x:c>
      <x:c r="G1943" s="17" t="str">
        <x:v>Bachelor's eligibility, B-average expectation, and English requirements</x:v>
      </x:c>
      <x:c r="H1943" s="17" t="str">
        <x:v>Computer Science Graduate Catalog</x:v>
      </x:c>
      <x:c r="I1943" s="17" t="str">
        <x:v>North Carolina State University at Raleigh</x:v>
      </x:c>
      <x:c r="J1943" s="17" t="str">
        <x:v>Official</x:v>
      </x:c>
      <x:c r="K1943" s="17" t="str">
        <x:v>2026-09-09</x:v>
      </x:c>
      <x:c r="L1943" s="17" t="str">
        <x:v>Current</x:v>
      </x:c>
      <x:c r="M1943" s="17" t="str">
        <x:v>High</x:v>
      </x:c>
      <x:c r="N1943" s="17" t="str">
        <x:v>Verified</x:v>
      </x:c>
      <x:c r="O1943" s="17" t="str"/>
      <x:c r="P1943" s="18" t="e">
        <x:f>HYPERLINK("https://catalog.ncsu.edu/graduate/engineering/computer-science/computer-science.pdf","Open source")</x:f>
        <x:v>HYPERLINK is not implemented. linkLocation=https://catalog.ncsu.edu/graduate/engineering/computer-science/computer-science.pdf, friendlyName=Open source</x:v>
      </x:c>
    </x:row>
    <x:row r="1944" ht="46" customHeight="1">
      <x:c r="A1944" s="17" t="str">
        <x:v>stage3src:871e22771db8beabc2fb</x:v>
      </x:c>
      <x:c r="B1944" s="17" t="str">
        <x:v>program</x:v>
      </x:c>
      <x:c r="C1944" s="17" t="str">
        <x:v>North Carolina State University at Raleigh</x:v>
      </x:c>
      <x:c r="D1944" s="17" t="str">
        <x:v>us:ipeds:199193:program:phd:ph-d-in-computer-science</x:v>
      </x:c>
      <x:c r="E1944" s="17" t="str"/>
      <x:c r="F1944" s="17" t="str">
        <x:v>eligibility|program</x:v>
      </x:c>
      <x:c r="G1944" s="17" t="str">
        <x:v>Official program page describes a 72-credit Ph.D. beyond the bachelor's degree with research, advisor, and dissertation requirements.</x:v>
      </x:c>
      <x:c r="H1944" s="17" t="str">
        <x:v>Ph.D. in Computer Science</x:v>
      </x:c>
      <x:c r="I1944" s="17" t="str">
        <x:v>North Carolina State University at Raleigh</x:v>
      </x:c>
      <x:c r="J1944" s="17" t="str">
        <x:v>official</x:v>
      </x:c>
      <x:c r="K1944" s="17" t="str">
        <x:v>2026-09-09</x:v>
      </x:c>
      <x:c r="L1944" s="17" t="str">
        <x:v>Current page; Fall 2027 cycle not verified</x:v>
      </x:c>
      <x:c r="M1944" s="17" t="str">
        <x:v>high for page content; medium for future availability</x:v>
      </x:c>
      <x:c r="N1944" s="17" t="str">
        <x:v>opened official page</x:v>
      </x:c>
      <x:c r="O1944" s="17" t="str">
        <x:v>No inference about faculty recruiting or funding was made.</x:v>
      </x:c>
      <x:c r="P1944" s="18" t="e">
        <x:f>HYPERLINK("https://csc.ncsu.edu/academics/graduate/phd/","Open source")</x:f>
        <x:v>HYPERLINK is not implemented. linkLocation=https://csc.ncsu.edu/academics/graduate/phd/, friendlyName=Open source</x:v>
      </x:c>
    </x:row>
    <x:row r="1945" ht="46" customHeight="1">
      <x:c r="A1945" s="17" t="str">
        <x:v>stage3src:7ec3ed8860f1741d858a</x:v>
      </x:c>
      <x:c r="B1945" s="17" t="str">
        <x:v>program</x:v>
      </x:c>
      <x:c r="C1945" s="17" t="str">
        <x:v>North Carolina State University at Raleigh</x:v>
      </x:c>
      <x:c r="D1945" s="17" t="str">
        <x:v>us:ipeds:199193:program:unclear:ipeds-discovery-signal-computer-engineering-general-cip-14-0901</x:v>
      </x:c>
      <x:c r="E1945" s="17" t="str"/>
      <x:c r="F1945" s="17" t="str">
        <x:v>discovery</x:v>
      </x:c>
      <x:c r="G1945" s="17" t="str">
        <x:v>Stage 2 recorded this row as a discovery candidate; it does not independently verify an exact current research program, eligibility, or funding.</x:v>
      </x:c>
      <x:c r="H1945" s="17" t="str">
        <x:v>Pass 2 Stage 2 candidate funnel</x:v>
      </x:c>
      <x:c r="I1945" s="17" t="str">
        <x:v>Graduate audit pipeline</x:v>
      </x:c>
      <x:c r="J1945" s="17" t="str">
        <x:v>derived</x:v>
      </x:c>
      <x:c r="K1945" s="17" t="str">
        <x:v>2026-09-11</x:v>
      </x:c>
      <x:c r="L1945" s="17" t="str">
        <x:v>Not cycle-specific</x:v>
      </x:c>
      <x:c r="M1945" s="17" t="str">
        <x:v>low</x:v>
      </x:c>
      <x:c r="N1945" s="17" t="str">
        <x:v>Discovery evidence only</x:v>
      </x:c>
      <x:c r="O1945" s="17" t="str">
        <x:v>Use the source_record_paths field to trace the underlying discovery inputs.</x:v>
      </x:c>
      <x:c r="P1945" s="18" t="e">
        <x:f>HYPERLINK("https://www.ncsu.edu","Open source")</x:f>
        <x:v>HYPERLINK is not implemented. linkLocation=https://www.ncsu.edu, friendlyName=Open source</x:v>
      </x:c>
    </x:row>
    <x:row r="1946" ht="46" customHeight="1">
      <x:c r="A1946" s="17" t="str">
        <x:v>stage3src:b3f770b7a44272e9de81</x:v>
      </x:c>
      <x:c r="B1946" s="17" t="str">
        <x:v>program</x:v>
      </x:c>
      <x:c r="C1946" s="17" t="str">
        <x:v>North Carolina State University at Raleigh</x:v>
      </x:c>
      <x:c r="D1946" s="17" t="str">
        <x:v>us:ipeds:199193:program:unclear:ipeds-discovery-signal-computer-science-cip-11-0701</x:v>
      </x:c>
      <x:c r="E1946" s="17" t="str"/>
      <x:c r="F1946" s="17" t="str">
        <x:v>discovery</x:v>
      </x:c>
      <x:c r="G1946" s="17" t="str">
        <x:v>Stage 2 recorded this row as a discovery candidate; it does not independently verify an exact current research program, eligibility, or funding.</x:v>
      </x:c>
      <x:c r="H1946" s="17" t="str">
        <x:v>Pass 2 Stage 2 candidate funnel</x:v>
      </x:c>
      <x:c r="I1946" s="17" t="str">
        <x:v>Graduate audit pipeline</x:v>
      </x:c>
      <x:c r="J1946" s="17" t="str">
        <x:v>derived</x:v>
      </x:c>
      <x:c r="K1946" s="17" t="str">
        <x:v>2026-09-11</x:v>
      </x:c>
      <x:c r="L1946" s="17" t="str">
        <x:v>Not cycle-specific</x:v>
      </x:c>
      <x:c r="M1946" s="17" t="str">
        <x:v>low</x:v>
      </x:c>
      <x:c r="N1946" s="17" t="str">
        <x:v>Discovery evidence only</x:v>
      </x:c>
      <x:c r="O1946" s="17" t="str">
        <x:v>Use the source_record_paths field to trace the underlying discovery inputs.</x:v>
      </x:c>
      <x:c r="P1946" s="18" t="e">
        <x:f>HYPERLINK("https://www.ncsu.edu","Open source")</x:f>
        <x:v>HYPERLINK is not implemented. linkLocation=https://www.ncsu.edu, friendlyName=Open source</x:v>
      </x:c>
    </x:row>
    <x:row r="1947" ht="46" customHeight="1">
      <x:c r="A1947" s="17" t="str">
        <x:v>stage3src:88add20c8bb05b868c71</x:v>
      </x:c>
      <x:c r="B1947" s="17" t="str">
        <x:v>program</x:v>
      </x:c>
      <x:c r="C1947" s="17" t="str">
        <x:v>North Carolina State University at Raleigh</x:v>
      </x:c>
      <x:c r="D1947" s="17" t="str">
        <x:v>us:ipeds:199193:program:unclear:ipeds-discovery-signal-computer-systems-networking-and-telecommunications-cip-11-0901</x:v>
      </x:c>
      <x:c r="E1947" s="17" t="str"/>
      <x:c r="F1947" s="17" t="str">
        <x:v>discovery</x:v>
      </x:c>
      <x:c r="G1947" s="17" t="str">
        <x:v>Stage 2 recorded this row as a discovery candidate; it does not independently verify an exact current research program, eligibility, or funding.</x:v>
      </x:c>
      <x:c r="H1947" s="17" t="str">
        <x:v>Pass 2 Stage 2 candidate funnel</x:v>
      </x:c>
      <x:c r="I1947" s="17" t="str">
        <x:v>Graduate audit pipeline</x:v>
      </x:c>
      <x:c r="J1947" s="17" t="str">
        <x:v>derived</x:v>
      </x:c>
      <x:c r="K1947" s="17" t="str">
        <x:v>2026-09-11</x:v>
      </x:c>
      <x:c r="L1947" s="17" t="str">
        <x:v>Not cycle-specific</x:v>
      </x:c>
      <x:c r="M1947" s="17" t="str">
        <x:v>low</x:v>
      </x:c>
      <x:c r="N1947" s="17" t="str">
        <x:v>Discovery evidence only</x:v>
      </x:c>
      <x:c r="O1947" s="17" t="str">
        <x:v>Use the source_record_paths field to trace the underlying discovery inputs.</x:v>
      </x:c>
      <x:c r="P1947" s="18" t="e">
        <x:f>HYPERLINK("https://www.ncsu.edu","Open source")</x:f>
        <x:v>HYPERLINK is not implemented. linkLocation=https://www.ncsu.edu, friendlyName=Open source</x:v>
      </x:c>
    </x:row>
    <x:row r="1948" ht="46" customHeight="1">
      <x:c r="A1948" s="17" t="str">
        <x:v>stage3src:314c6848f339cacce2ad</x:v>
      </x:c>
      <x:c r="B1948" s="17" t="str">
        <x:v>program</x:v>
      </x:c>
      <x:c r="C1948" s="17" t="str">
        <x:v>North Carolina State University at Raleigh</x:v>
      </x:c>
      <x:c r="D1948" s="17" t="str">
        <x:v>us:ipeds:199193:program:unclear:ipeds-discovery-signal-electrical-and-electronics-engineering-cip-14-1001</x:v>
      </x:c>
      <x:c r="E1948" s="17" t="str"/>
      <x:c r="F1948" s="17" t="str">
        <x:v>discovery</x:v>
      </x:c>
      <x:c r="G1948" s="17" t="str">
        <x:v>Stage 2 recorded this row as a discovery candidate; it does not independently verify an exact current research program, eligibility, or funding.</x:v>
      </x:c>
      <x:c r="H1948" s="17" t="str">
        <x:v>Pass 2 Stage 2 candidate funnel</x:v>
      </x:c>
      <x:c r="I1948" s="17" t="str">
        <x:v>Graduate audit pipeline</x:v>
      </x:c>
      <x:c r="J1948" s="17" t="str">
        <x:v>derived</x:v>
      </x:c>
      <x:c r="K1948" s="17" t="str">
        <x:v>2026-09-11</x:v>
      </x:c>
      <x:c r="L1948" s="17" t="str">
        <x:v>Not cycle-specific</x:v>
      </x:c>
      <x:c r="M1948" s="17" t="str">
        <x:v>low</x:v>
      </x:c>
      <x:c r="N1948" s="17" t="str">
        <x:v>Discovery evidence only</x:v>
      </x:c>
      <x:c r="O1948" s="17" t="str">
        <x:v>Use the source_record_paths field to trace the underlying discovery inputs.</x:v>
      </x:c>
      <x:c r="P1948" s="18" t="e">
        <x:f>HYPERLINK("https://www.ncsu.edu","Open source")</x:f>
        <x:v>HYPERLINK is not implemented. linkLocation=https://www.ncsu.edu, friendlyName=Open source</x:v>
      </x:c>
    </x:row>
    <x:row r="1949" ht="46" customHeight="1">
      <x:c r="A1949" s="17" t="str">
        <x:v>stage3src:97af03e6da086711a986</x:v>
      </x:c>
      <x:c r="B1949" s="17" t="str">
        <x:v>program</x:v>
      </x:c>
      <x:c r="C1949" s="17" t="str">
        <x:v>North Carolina State University at Raleigh</x:v>
      </x:c>
      <x:c r="D1949" s="17" t="str">
        <x:v>us:ipeds:199193:program:unclear:ipeds-discovery-signal-human-centered-technology-design-cip-11-0105</x:v>
      </x:c>
      <x:c r="E1949" s="17" t="str"/>
      <x:c r="F1949" s="17" t="str">
        <x:v>discovery</x:v>
      </x:c>
      <x:c r="G1949" s="17" t="str">
        <x:v>Stage 2 recorded this row as a discovery candidate; it does not independently verify an exact current research program, eligibility, or funding.</x:v>
      </x:c>
      <x:c r="H1949" s="17" t="str">
        <x:v>Pass 2 Stage 2 candidate funnel</x:v>
      </x:c>
      <x:c r="I1949" s="17" t="str">
        <x:v>Graduate audit pipeline</x:v>
      </x:c>
      <x:c r="J1949" s="17" t="str">
        <x:v>derived</x:v>
      </x:c>
      <x:c r="K1949" s="17" t="str">
        <x:v>2026-09-11</x:v>
      </x:c>
      <x:c r="L1949" s="17" t="str">
        <x:v>Not cycle-specific</x:v>
      </x:c>
      <x:c r="M1949" s="17" t="str">
        <x:v>low</x:v>
      </x:c>
      <x:c r="N1949" s="17" t="str">
        <x:v>Discovery evidence only</x:v>
      </x:c>
      <x:c r="O1949" s="17" t="str">
        <x:v>Use the source_record_paths field to trace the underlying discovery inputs.</x:v>
      </x:c>
      <x:c r="P1949" s="18" t="e">
        <x:f>HYPERLINK("https://www.ncsu.edu","Open source")</x:f>
        <x:v>HYPERLINK is not implemented. linkLocation=https://www.ncsu.edu, friendlyName=Open source</x:v>
      </x:c>
    </x:row>
    <x:row r="1950" ht="46" customHeight="1">
      <x:c r="A1950" s="17" t="str">
        <x:v>stage3src:86f106a21389186e8866</x:v>
      </x:c>
      <x:c r="B1950" s="17" t="str">
        <x:v>program</x:v>
      </x:c>
      <x:c r="C1950" s="17" t="str">
        <x:v>University of North Carolina Wilmington</x:v>
      </x:c>
      <x:c r="D1950" s="17" t="str">
        <x:v>us:ipeds:199218:program:unclear:ipeds-discovery-signal-computer-and-information-sciences-general-cip-11-0101</x:v>
      </x:c>
      <x:c r="E1950" s="17" t="str"/>
      <x:c r="F1950" s="17" t="str">
        <x:v>discovery</x:v>
      </x:c>
      <x:c r="G1950" s="17" t="str">
        <x:v>Stage 2 recorded this row as a discovery candidate; it does not independently verify an exact current research program, eligibility, or funding.</x:v>
      </x:c>
      <x:c r="H1950" s="17" t="str">
        <x:v>Pass 2 Stage 2 candidate funnel</x:v>
      </x:c>
      <x:c r="I1950" s="17" t="str">
        <x:v>Graduate audit pipeline</x:v>
      </x:c>
      <x:c r="J1950" s="17" t="str">
        <x:v>derived</x:v>
      </x:c>
      <x:c r="K1950" s="17" t="str">
        <x:v>2026-09-11</x:v>
      </x:c>
      <x:c r="L1950" s="17" t="str">
        <x:v>Not cycle-specific</x:v>
      </x:c>
      <x:c r="M1950" s="17" t="str">
        <x:v>low</x:v>
      </x:c>
      <x:c r="N1950" s="17" t="str">
        <x:v>Discovery evidence only</x:v>
      </x:c>
      <x:c r="O1950" s="17" t="str">
        <x:v>Use the source_record_paths field to trace the underlying discovery inputs.</x:v>
      </x:c>
      <x:c r="P1950" s="18" t="e">
        <x:f>HYPERLINK("https://www.uncw.edu","Open source")</x:f>
        <x:v>HYPERLINK is not implemented. linkLocation=https://www.uncw.edu, friendlyName=Open source</x:v>
      </x:c>
    </x:row>
    <x:row r="1951" ht="46" customHeight="1">
      <x:c r="A1951" s="17" t="str">
        <x:v>stage3src:9cc45527bc9d1a95d403</x:v>
      </x:c>
      <x:c r="B1951" s="17" t="str">
        <x:v>program</x:v>
      </x:c>
      <x:c r="C1951" s="17" t="str">
        <x:v>Wake Forest University</x:v>
      </x:c>
      <x:c r="D1951" s="17" t="str">
        <x:v>us:ipeds:199847:program:unclear:ipeds-discovery-signal-computer-science-cip-11-0701</x:v>
      </x:c>
      <x:c r="E1951" s="17" t="str"/>
      <x:c r="F1951" s="17" t="str">
        <x:v>discovery</x:v>
      </x:c>
      <x:c r="G1951" s="17" t="str">
        <x:v>Stage 2 recorded this row as a discovery candidate; it does not independently verify an exact current research program, eligibility, or funding.</x:v>
      </x:c>
      <x:c r="H1951" s="17" t="str">
        <x:v>Pass 2 Stage 2 candidate funnel</x:v>
      </x:c>
      <x:c r="I1951" s="17" t="str">
        <x:v>Graduate audit pipeline</x:v>
      </x:c>
      <x:c r="J1951" s="17" t="str">
        <x:v>derived</x:v>
      </x:c>
      <x:c r="K1951" s="17" t="str">
        <x:v>2026-09-11</x:v>
      </x:c>
      <x:c r="L1951" s="17" t="str">
        <x:v>Not cycle-specific</x:v>
      </x:c>
      <x:c r="M1951" s="17" t="str">
        <x:v>low</x:v>
      </x:c>
      <x:c r="N1951" s="17" t="str">
        <x:v>Discovery evidence only</x:v>
      </x:c>
      <x:c r="O1951" s="17" t="str">
        <x:v>Use the source_record_paths field to trace the underlying discovery inputs.</x:v>
      </x:c>
      <x:c r="P1951" s="18" t="e">
        <x:f>HYPERLINK("https://www.wfu.edu","Open source")</x:f>
        <x:v>HYPERLINK is not implemented. linkLocation=https://www.wfu.edu, friendlyName=Open source</x:v>
      </x:c>
    </x:row>
    <x:row r="1952" ht="46" customHeight="1">
      <x:c r="A1952" s="17" t="str">
        <x:v>stage3src:d26dc94d130ad246687c</x:v>
      </x:c>
      <x:c r="B1952" s="17" t="str">
        <x:v>program</x:v>
      </x:c>
      <x:c r="C1952" s="17" t="str">
        <x:v>Winston-Salem State University</x:v>
      </x:c>
      <x:c r="D1952" s="17" t="str">
        <x:v>us:ipeds:199999:program:unclear:ipeds-discovery-signal-computer-and-information-sciences-general-cip-11-0101</x:v>
      </x:c>
      <x:c r="E1952" s="17" t="str"/>
      <x:c r="F1952" s="17" t="str">
        <x:v>discovery</x:v>
      </x:c>
      <x:c r="G1952" s="17" t="str">
        <x:v>Stage 2 recorded this row as a discovery candidate; it does not independently verify an exact current research program, eligibility, or funding.</x:v>
      </x:c>
      <x:c r="H1952" s="17" t="str">
        <x:v>Pass 2 Stage 2 candidate funnel</x:v>
      </x:c>
      <x:c r="I1952" s="17" t="str">
        <x:v>Graduate audit pipeline</x:v>
      </x:c>
      <x:c r="J1952" s="17" t="str">
        <x:v>derived</x:v>
      </x:c>
      <x:c r="K1952" s="17" t="str">
        <x:v>2026-09-11</x:v>
      </x:c>
      <x:c r="L1952" s="17" t="str">
        <x:v>Not cycle-specific</x:v>
      </x:c>
      <x:c r="M1952" s="17" t="str">
        <x:v>low</x:v>
      </x:c>
      <x:c r="N1952" s="17" t="str">
        <x:v>Discovery evidence only</x:v>
      </x:c>
      <x:c r="O1952" s="17" t="str">
        <x:v>Use the source_record_paths field to trace the underlying discovery inputs.</x:v>
      </x:c>
      <x:c r="P1952" s="18" t="e">
        <x:f>HYPERLINK("https://www.wssu.edu","Open source")</x:f>
        <x:v>HYPERLINK is not implemented. linkLocation=https://www.wssu.edu, friendlyName=Open source</x:v>
      </x:c>
    </x:row>
    <x:row r="1953" ht="46" customHeight="1">
      <x:c r="A1953" s="17" t="str">
        <x:v>stage3src:7b98d1414cf683b678e0</x:v>
      </x:c>
      <x:c r="B1953" s="17" t="str">
        <x:v>program</x:v>
      </x:c>
      <x:c r="C1953" s="17" t="str">
        <x:v>University of North Dakota</x:v>
      </x:c>
      <x:c r="D1953" s="17" t="str">
        <x:v>us:ipeds:200280:program:unclear:ipeds-discovery-signal-computer-and-information-systems-security-auditing-information-assurance-cip-11-1003</x:v>
      </x:c>
      <x:c r="E1953" s="17" t="str"/>
      <x:c r="F1953" s="17" t="str">
        <x:v>discovery</x:v>
      </x:c>
      <x:c r="G1953" s="17" t="str">
        <x:v>Stage 2 recorded this row as a discovery candidate; it does not independently verify an exact current research program, eligibility, or funding.</x:v>
      </x:c>
      <x:c r="H1953" s="17" t="str">
        <x:v>Pass 2 Stage 2 candidate funnel</x:v>
      </x:c>
      <x:c r="I1953" s="17" t="str">
        <x:v>Graduate audit pipeline</x:v>
      </x:c>
      <x:c r="J1953" s="17" t="str">
        <x:v>derived</x:v>
      </x:c>
      <x:c r="K1953" s="17" t="str">
        <x:v>2026-09-11</x:v>
      </x:c>
      <x:c r="L1953" s="17" t="str">
        <x:v>Not cycle-specific</x:v>
      </x:c>
      <x:c r="M1953" s="17" t="str">
        <x:v>low</x:v>
      </x:c>
      <x:c r="N1953" s="17" t="str">
        <x:v>Discovery evidence only</x:v>
      </x:c>
      <x:c r="O1953" s="17" t="str">
        <x:v>Use the source_record_paths field to trace the underlying discovery inputs.</x:v>
      </x:c>
      <x:c r="P1953" s="18" t="e">
        <x:f>HYPERLINK("https://und.edu","Open source")</x:f>
        <x:v>HYPERLINK is not implemented. linkLocation=https://und.edu, friendlyName=Open source</x:v>
      </x:c>
    </x:row>
    <x:row r="1954" ht="46" customHeight="1">
      <x:c r="A1954" s="17" t="str">
        <x:v>stage3src:5c90d496bb4965f5f569</x:v>
      </x:c>
      <x:c r="B1954" s="17" t="str">
        <x:v>program</x:v>
      </x:c>
      <x:c r="C1954" s="17" t="str">
        <x:v>University of North Dakota</x:v>
      </x:c>
      <x:c r="D1954" s="17" t="str">
        <x:v>us:ipeds:200280:program:unclear:ipeds-discovery-signal-computer-science-cip-11-0701</x:v>
      </x:c>
      <x:c r="E1954" s="17" t="str"/>
      <x:c r="F1954" s="17" t="str">
        <x:v>discovery</x:v>
      </x:c>
      <x:c r="G1954" s="17" t="str">
        <x:v>Stage 2 recorded this row as a discovery candidate; it does not independently verify an exact current research program, eligibility, or funding.</x:v>
      </x:c>
      <x:c r="H1954" s="17" t="str">
        <x:v>Pass 2 Stage 2 candidate funnel</x:v>
      </x:c>
      <x:c r="I1954" s="17" t="str">
        <x:v>Graduate audit pipeline</x:v>
      </x:c>
      <x:c r="J1954" s="17" t="str">
        <x:v>derived</x:v>
      </x:c>
      <x:c r="K1954" s="17" t="str">
        <x:v>2026-09-11</x:v>
      </x:c>
      <x:c r="L1954" s="17" t="str">
        <x:v>Not cycle-specific</x:v>
      </x:c>
      <x:c r="M1954" s="17" t="str">
        <x:v>low</x:v>
      </x:c>
      <x:c r="N1954" s="17" t="str">
        <x:v>Discovery evidence only</x:v>
      </x:c>
      <x:c r="O1954" s="17" t="str">
        <x:v>Use the source_record_paths field to trace the underlying discovery inputs.</x:v>
      </x:c>
      <x:c r="P1954" s="18" t="e">
        <x:f>HYPERLINK("https://und.edu","Open source")</x:f>
        <x:v>HYPERLINK is not implemented. linkLocation=https://und.edu, friendlyName=Open source</x:v>
      </x:c>
    </x:row>
    <x:row r="1955" ht="46" customHeight="1">
      <x:c r="A1955" s="17" t="str">
        <x:v>stage3src:43a1714d6fcf21891b10</x:v>
      </x:c>
      <x:c r="B1955" s="17" t="str">
        <x:v>program</x:v>
      </x:c>
      <x:c r="C1955" s="17" t="str">
        <x:v>University of North Dakota</x:v>
      </x:c>
      <x:c r="D1955" s="17" t="str">
        <x:v>us:ipeds:200280:program:unclear:ipeds-discovery-signal-data-science-general-cip-30-7001</x:v>
      </x:c>
      <x:c r="E1955" s="17" t="str"/>
      <x:c r="F1955" s="17" t="str">
        <x:v>discovery</x:v>
      </x:c>
      <x:c r="G1955" s="17" t="str">
        <x:v>Stage 2 recorded this row as a discovery candidate; it does not independently verify an exact current research program, eligibility, or funding.</x:v>
      </x:c>
      <x:c r="H1955" s="17" t="str">
        <x:v>Pass 2 Stage 2 candidate funnel</x:v>
      </x:c>
      <x:c r="I1955" s="17" t="str">
        <x:v>Graduate audit pipeline</x:v>
      </x:c>
      <x:c r="J1955" s="17" t="str">
        <x:v>derived</x:v>
      </x:c>
      <x:c r="K1955" s="17" t="str">
        <x:v>2026-09-11</x:v>
      </x:c>
      <x:c r="L1955" s="17" t="str">
        <x:v>Not cycle-specific</x:v>
      </x:c>
      <x:c r="M1955" s="17" t="str">
        <x:v>low</x:v>
      </x:c>
      <x:c r="N1955" s="17" t="str">
        <x:v>Discovery evidence only</x:v>
      </x:c>
      <x:c r="O1955" s="17" t="str">
        <x:v>Use the source_record_paths field to trace the underlying discovery inputs.</x:v>
      </x:c>
      <x:c r="P1955" s="18" t="e">
        <x:f>HYPERLINK("https://und.edu","Open source")</x:f>
        <x:v>HYPERLINK is not implemented. linkLocation=https://und.edu, friendlyName=Open source</x:v>
      </x:c>
    </x:row>
    <x:row r="1956" ht="46" customHeight="1">
      <x:c r="A1956" s="17" t="str">
        <x:v>stage3src:a13e5df210b76ecd79c9</x:v>
      </x:c>
      <x:c r="B1956" s="17" t="str">
        <x:v>program</x:v>
      </x:c>
      <x:c r="C1956" s="17" t="str">
        <x:v>University of North Dakota</x:v>
      </x:c>
      <x:c r="D1956" s="17" t="str">
        <x:v>us:ipeds:200280:program:unclear:ipeds-discovery-signal-electrical-and-electronics-engineering-cip-14-1001</x:v>
      </x:c>
      <x:c r="E1956" s="17" t="str"/>
      <x:c r="F1956" s="17" t="str">
        <x:v>discovery</x:v>
      </x:c>
      <x:c r="G1956" s="17" t="str">
        <x:v>Stage 2 recorded this row as a discovery candidate; it does not independently verify an exact current research program, eligibility, or funding.</x:v>
      </x:c>
      <x:c r="H1956" s="17" t="str">
        <x:v>Pass 2 Stage 2 candidate funnel</x:v>
      </x:c>
      <x:c r="I1956" s="17" t="str">
        <x:v>Graduate audit pipeline</x:v>
      </x:c>
      <x:c r="J1956" s="17" t="str">
        <x:v>derived</x:v>
      </x:c>
      <x:c r="K1956" s="17" t="str">
        <x:v>2026-09-11</x:v>
      </x:c>
      <x:c r="L1956" s="17" t="str">
        <x:v>Not cycle-specific</x:v>
      </x:c>
      <x:c r="M1956" s="17" t="str">
        <x:v>low</x:v>
      </x:c>
      <x:c r="N1956" s="17" t="str">
        <x:v>Discovery evidence only</x:v>
      </x:c>
      <x:c r="O1956" s="17" t="str">
        <x:v>Use the source_record_paths field to trace the underlying discovery inputs.</x:v>
      </x:c>
      <x:c r="P1956" s="18" t="e">
        <x:f>HYPERLINK("https://und.edu","Open source")</x:f>
        <x:v>HYPERLINK is not implemented. linkLocation=https://und.edu, friendlyName=Open source</x:v>
      </x:c>
    </x:row>
    <x:row r="1957" ht="46" customHeight="1">
      <x:c r="A1957" s="17" t="str">
        <x:v>stage3src:044172db0ca106898867</x:v>
      </x:c>
      <x:c r="B1957" s="17" t="str">
        <x:v>program</x:v>
      </x:c>
      <x:c r="C1957" s="17" t="str">
        <x:v>North Dakota State University-Main Campus</x:v>
      </x:c>
      <x:c r="D1957" s="17" t="str">
        <x:v>us:ipeds:200332:program:phd:ph-d-in-software-and-security-engineering</x:v>
      </x:c>
      <x:c r="E1957" s="17" t="str"/>
      <x:c r="F1957" s="17" t="str">
        <x:v>program|admissions|eligibility|language|deadline</x:v>
      </x:c>
      <x:c r="G1957" s="17" t="str">
        <x:v>Current doctorate, bachelor's-entry route, GPA and computing prerequisites, English thresholds, dissertation structure, and February 1 fall priority deadline.</x:v>
      </x:c>
      <x:c r="H1957" s="17" t="str">
        <x:v>Software and Security Engineering Doctorate</x:v>
      </x:c>
      <x:c r="I1957" s="17" t="str">
        <x:v>North Dakota State University</x:v>
      </x:c>
      <x:c r="J1957" s="17" t="str">
        <x:v>official</x:v>
      </x:c>
      <x:c r="K1957" s="17" t="str">
        <x:v>2026-09-10</x:v>
      </x:c>
      <x:c r="L1957" s="17" t="str">
        <x:v>Current catalog checked 2026-09-10</x:v>
      </x:c>
      <x:c r="M1957" s="17" t="str">
        <x:v>high</x:v>
      </x:c>
      <x:c r="N1957" s="17" t="str">
        <x:v>official page checked</x:v>
      </x:c>
      <x:c r="O1957" s="17" t="str"/>
      <x:c r="P1957" s="18" t="e">
        <x:f>HYPERLINK("https://catalog.ndsu.edu/curriculum/graduate/software-and-security-engineering-doctorate/","Open source")</x:f>
        <x:v>HYPERLINK is not implemented. linkLocation=https://catalog.ndsu.edu/curriculum/graduate/software-and-security-engineering-doctorate/, friendlyName=Open source</x:v>
      </x:c>
    </x:row>
    <x:row r="1958" ht="46" customHeight="1">
      <x:c r="A1958" s="17" t="str">
        <x:v>stage3src:a8a25256cc3aa1a877bf</x:v>
      </x:c>
      <x:c r="B1958" s="17" t="str">
        <x:v>program</x:v>
      </x:c>
      <x:c r="C1958" s="17" t="str">
        <x:v>North Dakota State University-Main Campus</x:v>
      </x:c>
      <x:c r="D1958" s="17" t="str">
        <x:v>us:ipeds:200332:program:phd:ph-d-in-software-and-security-engineering</x:v>
      </x:c>
      <x:c r="E1958" s="17" t="str"/>
      <x:c r="F1958" s="17" t="str">
        <x:v>funding|tuition|fees</x:v>
      </x:c>
      <x:c r="G1958" s="17" t="str">
        <x:v>Latest detailed official program language found states selected assistantships provide stipends, 20-hour appointments waive base graduate tuition, 10-hour appointments waive 50%, and differential tuition and fees are excluded.</x:v>
      </x:c>
      <x:c r="H1958" s="17" t="str">
        <x:v>Software Engineering / Software and Security Engineering Admission Requirements and Financial Assistance</x:v>
      </x:c>
      <x:c r="I1958" s="17" t="str">
        <x:v>North Dakota State University</x:v>
      </x:c>
      <x:c r="J1958" s="17" t="str">
        <x:v>official</x:v>
      </x:c>
      <x:c r="K1958" s="17" t="str">
        <x:v>2026-09-10</x:v>
      </x:c>
      <x:c r="L1958" s="17" t="str">
        <x:v>Archived 2024-2025 official bulletin; current offer terms require reconfirmation</x:v>
      </x:c>
      <x:c r="M1958" s="17" t="str">
        <x:v>medium</x:v>
      </x:c>
      <x:c r="N1958" s="17" t="str">
        <x:v>official page checked</x:v>
      </x:c>
      <x:c r="O1958" s="17" t="str">
        <x:v>Used only for the latest detailed assistantship terms found; not treated as a current guarantee.</x:v>
      </x:c>
      <x:c r="P1958" s="18" t="e">
        <x:f>HYPERLINK("https://catalog.ndsu.edu/past-bulletin-archive/2024-25/programs-study/graduate/software-engineering/software-engineering_admissionrequirementstext.pdf","Open source")</x:f>
        <x:v>HYPERLINK is not implemented. linkLocation=https://catalog.ndsu.edu/past-bulletin-archive/2024-25/programs-study/graduate/software-engineering/software-engineering_admissionrequirementstext.pdf, friendlyName=Open source</x:v>
      </x:c>
    </x:row>
    <x:row r="1959" ht="46" customHeight="1">
      <x:c r="A1959" s="17" t="str">
        <x:v>stage3src:e15fc58fa61bd35d7262</x:v>
      </x:c>
      <x:c r="B1959" s="17" t="str">
        <x:v>program</x:v>
      </x:c>
      <x:c r="C1959" s="17" t="str">
        <x:v>North Dakota State University-Main Campus</x:v>
      </x:c>
      <x:c r="D1959" s="17" t="str">
        <x:v>us:ipeds:200332:program:phd:ph-d-in-software-and-security-engineering</x:v>
      </x:c>
      <x:c r="E1959" s="17" t="str"/>
      <x:c r="F1959" s="17" t="str">
        <x:v>admissions|eligibility|language|fees</x:v>
      </x:c>
      <x:c r="G1959" s="17" t="str">
        <x:v>International credential review, USD 35 fee, English exemptions and general thresholds, and separate application and fee for each additional program.</x:v>
      </x:c>
      <x:c r="H1959" s="17" t="str">
        <x:v>International Graduate Applicants</x:v>
      </x:c>
      <x:c r="I1959" s="17" t="str">
        <x:v>North Dakota State University Graduate School</x:v>
      </x:c>
      <x:c r="J1959" s="17" t="str">
        <x:v>official</x:v>
      </x:c>
      <x:c r="K1959" s="17" t="str">
        <x:v>2026-09-10</x:v>
      </x:c>
      <x:c r="L1959" s="17" t="str">
        <x:v>Current guidance checked 2026-09-10</x:v>
      </x:c>
      <x:c r="M1959" s="17" t="str">
        <x:v>high</x:v>
      </x:c>
      <x:c r="N1959" s="17" t="str">
        <x:v>official page checked</x:v>
      </x:c>
      <x:c r="O1959" s="17" t="str"/>
      <x:c r="P1959" s="18" t="e">
        <x:f>HYPERLINK("https://www.ndsu.edu/gradschool/apply/international","Open source")</x:f>
        <x:v>HYPERLINK is not implemented. linkLocation=https://www.ndsu.edu/gradschool/apply/international, friendlyName=Open source</x:v>
      </x:c>
    </x:row>
    <x:row r="1960" ht="46" customHeight="1">
      <x:c r="A1960" s="17" t="str">
        <x:v>stage3src:7acf0327e5692c3f0a90</x:v>
      </x:c>
      <x:c r="B1960" s="17" t="str">
        <x:v>program</x:v>
      </x:c>
      <x:c r="C1960" s="17" t="str">
        <x:v>North Dakota State University-Main Campus</x:v>
      </x:c>
      <x:c r="D1960" s="17" t="str">
        <x:v>us:ipeds:200332:program:unclear:ipeds-discovery-signal-computer-science-cip-11-0701</x:v>
      </x:c>
      <x:c r="E1960" s="17" t="str"/>
      <x:c r="F1960" s="17" t="str">
        <x:v>discovery</x:v>
      </x:c>
      <x:c r="G1960" s="17" t="str">
        <x:v>Stage 2 recorded this row as a discovery candidate; it does not independently verify an exact current research program, eligibility, or funding.</x:v>
      </x:c>
      <x:c r="H1960" s="17" t="str">
        <x:v>Pass 2 Stage 2 candidate funnel</x:v>
      </x:c>
      <x:c r="I1960" s="17" t="str">
        <x:v>Graduate audit pipeline</x:v>
      </x:c>
      <x:c r="J1960" s="17" t="str">
        <x:v>derived</x:v>
      </x:c>
      <x:c r="K1960" s="17" t="str">
        <x:v>2026-09-11</x:v>
      </x:c>
      <x:c r="L1960" s="17" t="str">
        <x:v>Not cycle-specific</x:v>
      </x:c>
      <x:c r="M1960" s="17" t="str">
        <x:v>low</x:v>
      </x:c>
      <x:c r="N1960" s="17" t="str">
        <x:v>Discovery evidence only</x:v>
      </x:c>
      <x:c r="O1960" s="17" t="str">
        <x:v>Use the source_record_paths field to trace the underlying discovery inputs.</x:v>
      </x:c>
      <x:c r="P1960" s="18" t="e">
        <x:f>HYPERLINK("https://www.ndsu.edu","Open source")</x:f>
        <x:v>HYPERLINK is not implemented. linkLocation=https://www.ndsu.edu, friendlyName=Open source</x:v>
      </x:c>
    </x:row>
    <x:row r="1961" ht="46" customHeight="1">
      <x:c r="A1961" s="17" t="str">
        <x:v>stage3src:0a1864474eb26871087d</x:v>
      </x:c>
      <x:c r="B1961" s="17" t="str">
        <x:v>program</x:v>
      </x:c>
      <x:c r="C1961" s="17" t="str">
        <x:v>North Dakota State University-Main Campus</x:v>
      </x:c>
      <x:c r="D1961" s="17" t="str">
        <x:v>us:ipeds:200332:program:unclear:ipeds-discovery-signal-computer-software-engineering-cip-14-0903</x:v>
      </x:c>
      <x:c r="E1961" s="17" t="str"/>
      <x:c r="F1961" s="17" t="str">
        <x:v>discovery</x:v>
      </x:c>
      <x:c r="G1961" s="17" t="str">
        <x:v>Stage 2 recorded this row as a discovery candidate; it does not independently verify an exact current research program, eligibility, or funding.</x:v>
      </x:c>
      <x:c r="H1961" s="17" t="str">
        <x:v>Pass 2 Stage 2 candidate funnel</x:v>
      </x:c>
      <x:c r="I1961" s="17" t="str">
        <x:v>Graduate audit pipeline</x:v>
      </x:c>
      <x:c r="J1961" s="17" t="str">
        <x:v>derived</x:v>
      </x:c>
      <x:c r="K1961" s="17" t="str">
        <x:v>2026-09-11</x:v>
      </x:c>
      <x:c r="L1961" s="17" t="str">
        <x:v>Not cycle-specific</x:v>
      </x:c>
      <x:c r="M1961" s="17" t="str">
        <x:v>low</x:v>
      </x:c>
      <x:c r="N1961" s="17" t="str">
        <x:v>Discovery evidence only</x:v>
      </x:c>
      <x:c r="O1961" s="17" t="str">
        <x:v>Use the source_record_paths field to trace the underlying discovery inputs.</x:v>
      </x:c>
      <x:c r="P1961" s="18" t="e">
        <x:f>HYPERLINK("https://www.ndsu.edu","Open source")</x:f>
        <x:v>HYPERLINK is not implemented. linkLocation=https://www.ndsu.edu, friendlyName=Open source</x:v>
      </x:c>
    </x:row>
    <x:row r="1962" ht="46" customHeight="1">
      <x:c r="A1962" s="17" t="str">
        <x:v>stage3src:d7c8332cc1de4ac83da5</x:v>
      </x:c>
      <x:c r="B1962" s="17" t="str">
        <x:v>program</x:v>
      </x:c>
      <x:c r="C1962" s="17" t="str">
        <x:v>North Dakota State University-Main Campus</x:v>
      </x:c>
      <x:c r="D1962" s="17" t="str">
        <x:v>us:ipeds:200332:program:unclear:ipeds-discovery-signal-electrical-and-electronics-engineering-cip-14-1001</x:v>
      </x:c>
      <x:c r="E1962" s="17" t="str"/>
      <x:c r="F1962" s="17" t="str">
        <x:v>discovery</x:v>
      </x:c>
      <x:c r="G1962" s="17" t="str">
        <x:v>Stage 2 recorded this row as a discovery candidate; it does not independently verify an exact current research program, eligibility, or funding.</x:v>
      </x:c>
      <x:c r="H1962" s="17" t="str">
        <x:v>Pass 2 Stage 2 candidate funnel</x:v>
      </x:c>
      <x:c r="I1962" s="17" t="str">
        <x:v>Graduate audit pipeline</x:v>
      </x:c>
      <x:c r="J1962" s="17" t="str">
        <x:v>derived</x:v>
      </x:c>
      <x:c r="K1962" s="17" t="str">
        <x:v>2026-09-11</x:v>
      </x:c>
      <x:c r="L1962" s="17" t="str">
        <x:v>Not cycle-specific</x:v>
      </x:c>
      <x:c r="M1962" s="17" t="str">
        <x:v>low</x:v>
      </x:c>
      <x:c r="N1962" s="17" t="str">
        <x:v>Discovery evidence only</x:v>
      </x:c>
      <x:c r="O1962" s="17" t="str">
        <x:v>Use the source_record_paths field to trace the underlying discovery inputs.</x:v>
      </x:c>
      <x:c r="P1962" s="18" t="e">
        <x:f>HYPERLINK("https://www.ndsu.edu","Open source")</x:f>
        <x:v>HYPERLINK is not implemented. linkLocation=https://www.ndsu.edu, friendlyName=Open source</x:v>
      </x:c>
    </x:row>
    <x:row r="1963" ht="46" customHeight="1">
      <x:c r="A1963" s="17" t="str">
        <x:v>stage3src:715554a0ebf64ec4c75a</x:v>
      </x:c>
      <x:c r="B1963" s="17" t="str">
        <x:v>program</x:v>
      </x:c>
      <x:c r="C1963" s="17" t="str">
        <x:v>Air Force Institute of Technology-Graduate School of Engineering &amp; Management</x:v>
      </x:c>
      <x:c r="D1963" s="17" t="str">
        <x:v>us:ipeds:200697:program:unclear:ipeds-discovery-signal-computer-and-information-systems-security-auditing-information-assurance-cip-11-1003</x:v>
      </x:c>
      <x:c r="E1963" s="17" t="str"/>
      <x:c r="F1963" s="17" t="str">
        <x:v>discovery</x:v>
      </x:c>
      <x:c r="G1963" s="17" t="str">
        <x:v>Stage 2 recorded this row as a discovery candidate; it does not independently verify an exact current research program, eligibility, or funding.</x:v>
      </x:c>
      <x:c r="H1963" s="17" t="str">
        <x:v>Pass 2 Stage 2 candidate funnel</x:v>
      </x:c>
      <x:c r="I1963" s="17" t="str">
        <x:v>Graduate audit pipeline</x:v>
      </x:c>
      <x:c r="J1963" s="17" t="str">
        <x:v>derived</x:v>
      </x:c>
      <x:c r="K1963" s="17" t="str">
        <x:v>2026-09-11</x:v>
      </x:c>
      <x:c r="L1963" s="17" t="str">
        <x:v>Not cycle-specific</x:v>
      </x:c>
      <x:c r="M1963" s="17" t="str">
        <x:v>low</x:v>
      </x:c>
      <x:c r="N1963" s="17" t="str">
        <x:v>Discovery evidence only</x:v>
      </x:c>
      <x:c r="O1963" s="17" t="str">
        <x:v>Use the source_record_paths field to trace the underlying discovery inputs.</x:v>
      </x:c>
      <x:c r="P1963" s="18" t="e">
        <x:f>HYPERLINK("https://www.afit.edu","Open source")</x:f>
        <x:v>HYPERLINK is not implemented. linkLocation=https://www.afit.edu, friendlyName=Open source</x:v>
      </x:c>
    </x:row>
    <x:row r="1964" ht="46" customHeight="1">
      <x:c r="A1964" s="17" t="str">
        <x:v>stage3src:1c1cb8eaa02e868938bd</x:v>
      </x:c>
      <x:c r="B1964" s="17" t="str">
        <x:v>program</x:v>
      </x:c>
      <x:c r="C1964" s="17" t="str">
        <x:v>Air Force Institute of Technology-Graduate School of Engineering &amp; Management</x:v>
      </x:c>
      <x:c r="D1964" s="17" t="str">
        <x:v>us:ipeds:200697:program:unclear:ipeds-discovery-signal-computer-engineering-general-cip-14-0901</x:v>
      </x:c>
      <x:c r="E1964" s="17" t="str"/>
      <x:c r="F1964" s="17" t="str">
        <x:v>discovery</x:v>
      </x:c>
      <x:c r="G1964" s="17" t="str">
        <x:v>Stage 2 recorded this row as a discovery candidate; it does not independently verify an exact current research program, eligibility, or funding.</x:v>
      </x:c>
      <x:c r="H1964" s="17" t="str">
        <x:v>Pass 2 Stage 2 candidate funnel</x:v>
      </x:c>
      <x:c r="I1964" s="17" t="str">
        <x:v>Graduate audit pipeline</x:v>
      </x:c>
      <x:c r="J1964" s="17" t="str">
        <x:v>derived</x:v>
      </x:c>
      <x:c r="K1964" s="17" t="str">
        <x:v>2026-09-11</x:v>
      </x:c>
      <x:c r="L1964" s="17" t="str">
        <x:v>Not cycle-specific</x:v>
      </x:c>
      <x:c r="M1964" s="17" t="str">
        <x:v>low</x:v>
      </x:c>
      <x:c r="N1964" s="17" t="str">
        <x:v>Discovery evidence only</x:v>
      </x:c>
      <x:c r="O1964" s="17" t="str">
        <x:v>Use the source_record_paths field to trace the underlying discovery inputs.</x:v>
      </x:c>
      <x:c r="P1964" s="18" t="e">
        <x:f>HYPERLINK("https://www.afit.edu","Open source")</x:f>
        <x:v>HYPERLINK is not implemented. linkLocation=https://www.afit.edu, friendlyName=Open source</x:v>
      </x:c>
    </x:row>
    <x:row r="1965" ht="46" customHeight="1">
      <x:c r="A1965" s="17" t="str">
        <x:v>stage3src:f81c244fd6d37e0446c5</x:v>
      </x:c>
      <x:c r="B1965" s="17" t="str">
        <x:v>program</x:v>
      </x:c>
      <x:c r="C1965" s="17" t="str">
        <x:v>Air Force Institute of Technology-Graduate School of Engineering &amp; Management</x:v>
      </x:c>
      <x:c r="D1965" s="17" t="str">
        <x:v>us:ipeds:200697:program:unclear:ipeds-discovery-signal-computer-science-cip-11-0701</x:v>
      </x:c>
      <x:c r="E1965" s="17" t="str"/>
      <x:c r="F1965" s="17" t="str">
        <x:v>discovery</x:v>
      </x:c>
      <x:c r="G1965" s="17" t="str">
        <x:v>Stage 2 recorded this row as a discovery candidate; it does not independently verify an exact current research program, eligibility, or funding.</x:v>
      </x:c>
      <x:c r="H1965" s="17" t="str">
        <x:v>Pass 2 Stage 2 candidate funnel</x:v>
      </x:c>
      <x:c r="I1965" s="17" t="str">
        <x:v>Graduate audit pipeline</x:v>
      </x:c>
      <x:c r="J1965" s="17" t="str">
        <x:v>derived</x:v>
      </x:c>
      <x:c r="K1965" s="17" t="str">
        <x:v>2026-09-11</x:v>
      </x:c>
      <x:c r="L1965" s="17" t="str">
        <x:v>Not cycle-specific</x:v>
      </x:c>
      <x:c r="M1965" s="17" t="str">
        <x:v>low</x:v>
      </x:c>
      <x:c r="N1965" s="17" t="str">
        <x:v>Discovery evidence only</x:v>
      </x:c>
      <x:c r="O1965" s="17" t="str">
        <x:v>Use the source_record_paths field to trace the underlying discovery inputs.</x:v>
      </x:c>
      <x:c r="P1965" s="18" t="e">
        <x:f>HYPERLINK("https://www.afit.edu","Open source")</x:f>
        <x:v>HYPERLINK is not implemented. linkLocation=https://www.afit.edu, friendlyName=Open source</x:v>
      </x:c>
    </x:row>
    <x:row r="1966" ht="46" customHeight="1">
      <x:c r="A1966" s="17" t="str">
        <x:v>stage3src:4252f7d129f11b2196e9</x:v>
      </x:c>
      <x:c r="B1966" s="17" t="str">
        <x:v>program</x:v>
      </x:c>
      <x:c r="C1966" s="17" t="str">
        <x:v>Air Force Institute of Technology-Graduate School of Engineering &amp; Management</x:v>
      </x:c>
      <x:c r="D1966" s="17" t="str">
        <x:v>us:ipeds:200697:program:unclear:ipeds-discovery-signal-data-analytics-general-cip-30-7101</x:v>
      </x:c>
      <x:c r="E1966" s="17" t="str"/>
      <x:c r="F1966" s="17" t="str">
        <x:v>discovery</x:v>
      </x:c>
      <x:c r="G1966" s="17" t="str">
        <x:v>Stage 2 recorded this row as a discovery candidate; it does not independently verify an exact current research program, eligibility, or funding.</x:v>
      </x:c>
      <x:c r="H1966" s="17" t="str">
        <x:v>Pass 2 Stage 2 candidate funnel</x:v>
      </x:c>
      <x:c r="I1966" s="17" t="str">
        <x:v>Graduate audit pipeline</x:v>
      </x:c>
      <x:c r="J1966" s="17" t="str">
        <x:v>derived</x:v>
      </x:c>
      <x:c r="K1966" s="17" t="str">
        <x:v>2026-09-11</x:v>
      </x:c>
      <x:c r="L1966" s="17" t="str">
        <x:v>Not cycle-specific</x:v>
      </x:c>
      <x:c r="M1966" s="17" t="str">
        <x:v>low</x:v>
      </x:c>
      <x:c r="N1966" s="17" t="str">
        <x:v>Discovery evidence only</x:v>
      </x:c>
      <x:c r="O1966" s="17" t="str">
        <x:v>Use the source_record_paths field to trace the underlying discovery inputs.</x:v>
      </x:c>
      <x:c r="P1966" s="18" t="e">
        <x:f>HYPERLINK("https://www.afit.edu","Open source")</x:f>
        <x:v>HYPERLINK is not implemented. linkLocation=https://www.afit.edu, friendlyName=Open source</x:v>
      </x:c>
    </x:row>
    <x:row r="1967" ht="46" customHeight="1">
      <x:c r="A1967" s="17" t="str">
        <x:v>stage3src:9cb0098d651753e1c95d</x:v>
      </x:c>
      <x:c r="B1967" s="17" t="str">
        <x:v>program</x:v>
      </x:c>
      <x:c r="C1967" s="17" t="str">
        <x:v>Air Force Institute of Technology-Graduate School of Engineering &amp; Management</x:v>
      </x:c>
      <x:c r="D1967" s="17" t="str">
        <x:v>us:ipeds:200697:program:unclear:ipeds-discovery-signal-data-science-general-cip-30-7001</x:v>
      </x:c>
      <x:c r="E1967" s="17" t="str"/>
      <x:c r="F1967" s="17" t="str">
        <x:v>discovery</x:v>
      </x:c>
      <x:c r="G1967" s="17" t="str">
        <x:v>Stage 2 recorded this row as a discovery candidate; it does not independently verify an exact current research program, eligibility, or funding.</x:v>
      </x:c>
      <x:c r="H1967" s="17" t="str">
        <x:v>Pass 2 Stage 2 candidate funnel</x:v>
      </x:c>
      <x:c r="I1967" s="17" t="str">
        <x:v>Graduate audit pipeline</x:v>
      </x:c>
      <x:c r="J1967" s="17" t="str">
        <x:v>derived</x:v>
      </x:c>
      <x:c r="K1967" s="17" t="str">
        <x:v>2026-09-11</x:v>
      </x:c>
      <x:c r="L1967" s="17" t="str">
        <x:v>Not cycle-specific</x:v>
      </x:c>
      <x:c r="M1967" s="17" t="str">
        <x:v>low</x:v>
      </x:c>
      <x:c r="N1967" s="17" t="str">
        <x:v>Discovery evidence only</x:v>
      </x:c>
      <x:c r="O1967" s="17" t="str">
        <x:v>Use the source_record_paths field to trace the underlying discovery inputs.</x:v>
      </x:c>
      <x:c r="P1967" s="18" t="e">
        <x:f>HYPERLINK("https://www.afit.edu","Open source")</x:f>
        <x:v>HYPERLINK is not implemented. linkLocation=https://www.afit.edu, friendlyName=Open source</x:v>
      </x:c>
    </x:row>
    <x:row r="1968" ht="46" customHeight="1">
      <x:c r="A1968" s="17" t="str">
        <x:v>stage3src:4d6b6303c28eb605ae02</x:v>
      </x:c>
      <x:c r="B1968" s="17" t="str">
        <x:v>program</x:v>
      </x:c>
      <x:c r="C1968" s="17" t="str">
        <x:v>Air Force Institute of Technology-Graduate School of Engineering &amp; Management</x:v>
      </x:c>
      <x:c r="D1968" s="17" t="str">
        <x:v>us:ipeds:200697:program:unclear:ipeds-discovery-signal-electrical-and-electronics-engineering-cip-14-1001</x:v>
      </x:c>
      <x:c r="E1968" s="17" t="str"/>
      <x:c r="F1968" s="17" t="str">
        <x:v>discovery</x:v>
      </x:c>
      <x:c r="G1968" s="17" t="str">
        <x:v>Stage 2 recorded this row as a discovery candidate; it does not independently verify an exact current research program, eligibility, or funding.</x:v>
      </x:c>
      <x:c r="H1968" s="17" t="str">
        <x:v>Pass 2 Stage 2 candidate funnel</x:v>
      </x:c>
      <x:c r="I1968" s="17" t="str">
        <x:v>Graduate audit pipeline</x:v>
      </x:c>
      <x:c r="J1968" s="17" t="str">
        <x:v>derived</x:v>
      </x:c>
      <x:c r="K1968" s="17" t="str">
        <x:v>2026-09-11</x:v>
      </x:c>
      <x:c r="L1968" s="17" t="str">
        <x:v>Not cycle-specific</x:v>
      </x:c>
      <x:c r="M1968" s="17" t="str">
        <x:v>low</x:v>
      </x:c>
      <x:c r="N1968" s="17" t="str">
        <x:v>Discovery evidence only</x:v>
      </x:c>
      <x:c r="O1968" s="17" t="str">
        <x:v>Use the source_record_paths field to trace the underlying discovery inputs.</x:v>
      </x:c>
      <x:c r="P1968" s="18" t="e">
        <x:f>HYPERLINK("https://www.afit.edu","Open source")</x:f>
        <x:v>HYPERLINK is not implemented. linkLocation=https://www.afit.edu, friendlyName=Open source</x:v>
      </x:c>
    </x:row>
    <x:row r="1969" ht="46" customHeight="1">
      <x:c r="A1969" s="17" t="str">
        <x:v>stage3src:52901d01f13c85fd2f97</x:v>
      </x:c>
      <x:c r="B1969" s="17" t="str">
        <x:v>program</x:v>
      </x:c>
      <x:c r="C1969" s="17" t="str">
        <x:v>University of Akron Main Campus</x:v>
      </x:c>
      <x:c r="D1969" s="17" t="str">
        <x:v>us:ipeds:200800:program:unclear:ipeds-discovery-signal-computer-science-cip-11-0701</x:v>
      </x:c>
      <x:c r="E1969" s="17" t="str"/>
      <x:c r="F1969" s="17" t="str">
        <x:v>discovery</x:v>
      </x:c>
      <x:c r="G1969" s="17" t="str">
        <x:v>Stage 2 recorded this row as a discovery candidate; it does not independently verify an exact current research program, eligibility, or funding.</x:v>
      </x:c>
      <x:c r="H1969" s="17" t="str">
        <x:v>Pass 2 Stage 2 candidate funnel</x:v>
      </x:c>
      <x:c r="I1969" s="17" t="str">
        <x:v>Graduate audit pipeline</x:v>
      </x:c>
      <x:c r="J1969" s="17" t="str">
        <x:v>derived</x:v>
      </x:c>
      <x:c r="K1969" s="17" t="str">
        <x:v>2026-09-11</x:v>
      </x:c>
      <x:c r="L1969" s="17" t="str">
        <x:v>Not cycle-specific</x:v>
      </x:c>
      <x:c r="M1969" s="17" t="str">
        <x:v>low</x:v>
      </x:c>
      <x:c r="N1969" s="17" t="str">
        <x:v>Discovery evidence only</x:v>
      </x:c>
      <x:c r="O1969" s="17" t="str">
        <x:v>Use the source_record_paths field to trace the underlying discovery inputs.</x:v>
      </x:c>
      <x:c r="P1969" s="18" t="e">
        <x:f>HYPERLINK("https://www.uakron.edu","Open source")</x:f>
        <x:v>HYPERLINK is not implemented. linkLocation=https://www.uakron.edu, friendlyName=Open source</x:v>
      </x:c>
    </x:row>
    <x:row r="1970" ht="46" customHeight="1">
      <x:c r="A1970" s="17" t="str">
        <x:v>stage3src:45437872a3da4059fbea</x:v>
      </x:c>
      <x:c r="B1970" s="17" t="str">
        <x:v>program</x:v>
      </x:c>
      <x:c r="C1970" s="17" t="str">
        <x:v>University of Akron Main Campus</x:v>
      </x:c>
      <x:c r="D1970" s="17" t="str">
        <x:v>us:ipeds:200800:program:unclear:ipeds-discovery-signal-electrical-and-electronics-engineering-cip-14-1001</x:v>
      </x:c>
      <x:c r="E1970" s="17" t="str"/>
      <x:c r="F1970" s="17" t="str">
        <x:v>discovery</x:v>
      </x:c>
      <x:c r="G1970" s="17" t="str">
        <x:v>Stage 2 recorded this row as a discovery candidate; it does not independently verify an exact current research program, eligibility, or funding.</x:v>
      </x:c>
      <x:c r="H1970" s="17" t="str">
        <x:v>Pass 2 Stage 2 candidate funnel</x:v>
      </x:c>
      <x:c r="I1970" s="17" t="str">
        <x:v>Graduate audit pipeline</x:v>
      </x:c>
      <x:c r="J1970" s="17" t="str">
        <x:v>derived</x:v>
      </x:c>
      <x:c r="K1970" s="17" t="str">
        <x:v>2026-09-11</x:v>
      </x:c>
      <x:c r="L1970" s="17" t="str">
        <x:v>Not cycle-specific</x:v>
      </x:c>
      <x:c r="M1970" s="17" t="str">
        <x:v>low</x:v>
      </x:c>
      <x:c r="N1970" s="17" t="str">
        <x:v>Discovery evidence only</x:v>
      </x:c>
      <x:c r="O1970" s="17" t="str">
        <x:v>Use the source_record_paths field to trace the underlying discovery inputs.</x:v>
      </x:c>
      <x:c r="P1970" s="18" t="e">
        <x:f>HYPERLINK("https://www.uakron.edu","Open source")</x:f>
        <x:v>HYPERLINK is not implemented. linkLocation=https://www.uakron.edu, friendlyName=Open source</x:v>
      </x:c>
    </x:row>
    <x:row r="1971" ht="46" customHeight="1">
      <x:c r="A1971" s="17" t="str">
        <x:v>stage3src:9deec0d714f79824963e</x:v>
      </x:c>
      <x:c r="B1971" s="17" t="str">
        <x:v>program</x:v>
      </x:c>
      <x:c r="C1971" s="17" t="str">
        <x:v>University of Akron Main Campus</x:v>
      </x:c>
      <x:c r="D1971" s="17" t="str">
        <x:v>us:ipeds:200800:program:unclear:ipeds-discovery-signal-information-science-studies-cip-11-0401</x:v>
      </x:c>
      <x:c r="E1971" s="17" t="str"/>
      <x:c r="F1971" s="17" t="str">
        <x:v>discovery</x:v>
      </x:c>
      <x:c r="G1971" s="17" t="str">
        <x:v>Stage 2 recorded this row as a discovery candidate; it does not independently verify an exact current research program, eligibility, or funding.</x:v>
      </x:c>
      <x:c r="H1971" s="17" t="str">
        <x:v>Pass 2 Stage 2 candidate funnel</x:v>
      </x:c>
      <x:c r="I1971" s="17" t="str">
        <x:v>Graduate audit pipeline</x:v>
      </x:c>
      <x:c r="J1971" s="17" t="str">
        <x:v>derived</x:v>
      </x:c>
      <x:c r="K1971" s="17" t="str">
        <x:v>2026-09-11</x:v>
      </x:c>
      <x:c r="L1971" s="17" t="str">
        <x:v>Not cycle-specific</x:v>
      </x:c>
      <x:c r="M1971" s="17" t="str">
        <x:v>low</x:v>
      </x:c>
      <x:c r="N1971" s="17" t="str">
        <x:v>Discovery evidence only</x:v>
      </x:c>
      <x:c r="O1971" s="17" t="str">
        <x:v>Use the source_record_paths field to trace the underlying discovery inputs.</x:v>
      </x:c>
      <x:c r="P1971" s="18" t="e">
        <x:f>HYPERLINK("https://www.uakron.edu","Open source")</x:f>
        <x:v>HYPERLINK is not implemented. linkLocation=https://www.uakron.edu, friendlyName=Open source</x:v>
      </x:c>
    </x:row>
    <x:row r="1972" ht="46" customHeight="1">
      <x:c r="A1972" s="17" t="str">
        <x:v>stage3src:a215f2659c9aa3024756</x:v>
      </x:c>
      <x:c r="B1972" s="17" t="str">
        <x:v>program</x:v>
      </x:c>
      <x:c r="C1972" s="17" t="str">
        <x:v>Bowling Green State University-Main Campus</x:v>
      </x:c>
      <x:c r="D1972" s="17" t="str">
        <x:v>us:ipeds:201441:program:unclear:ipeds-discovery-signal-computer-software-engineering-cip-14-0903</x:v>
      </x:c>
      <x:c r="E1972" s="17" t="str"/>
      <x:c r="F1972" s="17" t="str">
        <x:v>discovery</x:v>
      </x:c>
      <x:c r="G1972" s="17" t="str">
        <x:v>Stage 2 recorded this row as a discovery candidate; it does not independently verify an exact current research program, eligibility, or funding.</x:v>
      </x:c>
      <x:c r="H1972" s="17" t="str">
        <x:v>Pass 2 Stage 2 candidate funnel</x:v>
      </x:c>
      <x:c r="I1972" s="17" t="str">
        <x:v>Graduate audit pipeline</x:v>
      </x:c>
      <x:c r="J1972" s="17" t="str">
        <x:v>derived</x:v>
      </x:c>
      <x:c r="K1972" s="17" t="str">
        <x:v>2026-09-11</x:v>
      </x:c>
      <x:c r="L1972" s="17" t="str">
        <x:v>Not cycle-specific</x:v>
      </x:c>
      <x:c r="M1972" s="17" t="str">
        <x:v>low</x:v>
      </x:c>
      <x:c r="N1972" s="17" t="str">
        <x:v>Discovery evidence only</x:v>
      </x:c>
      <x:c r="O1972" s="17" t="str">
        <x:v>Use the source_record_paths field to trace the underlying discovery inputs.</x:v>
      </x:c>
      <x:c r="P1972" s="18" t="e">
        <x:f>HYPERLINK("https://www.bgsu.edu","Open source")</x:f>
        <x:v>HYPERLINK is not implemented. linkLocation=https://www.bgsu.edu, friendlyName=Open source</x:v>
      </x:c>
    </x:row>
    <x:row r="1973" ht="46" customHeight="1">
      <x:c r="A1973" s="17" t="str">
        <x:v>stage3src:9ff33fcd5c22379a16cf</x:v>
      </x:c>
      <x:c r="B1973" s="17" t="str">
        <x:v>program</x:v>
      </x:c>
      <x:c r="C1973" s="17" t="str">
        <x:v>Bowling Green State University-Main Campus</x:v>
      </x:c>
      <x:c r="D1973" s="17" t="str">
        <x:v>us:ipeds:201441:program:unclear:ipeds-discovery-signal-data-analytics-general-cip-30-7101</x:v>
      </x:c>
      <x:c r="E1973" s="17" t="str"/>
      <x:c r="F1973" s="17" t="str">
        <x:v>discovery</x:v>
      </x:c>
      <x:c r="G1973" s="17" t="str">
        <x:v>Stage 2 recorded this row as a discovery candidate; it does not independently verify an exact current research program, eligibility, or funding.</x:v>
      </x:c>
      <x:c r="H1973" s="17" t="str">
        <x:v>Pass 2 Stage 2 candidate funnel</x:v>
      </x:c>
      <x:c r="I1973" s="17" t="str">
        <x:v>Graduate audit pipeline</x:v>
      </x:c>
      <x:c r="J1973" s="17" t="str">
        <x:v>derived</x:v>
      </x:c>
      <x:c r="K1973" s="17" t="str">
        <x:v>2026-09-11</x:v>
      </x:c>
      <x:c r="L1973" s="17" t="str">
        <x:v>Not cycle-specific</x:v>
      </x:c>
      <x:c r="M1973" s="17" t="str">
        <x:v>low</x:v>
      </x:c>
      <x:c r="N1973" s="17" t="str">
        <x:v>Discovery evidence only</x:v>
      </x:c>
      <x:c r="O1973" s="17" t="str">
        <x:v>Use the source_record_paths field to trace the underlying discovery inputs.</x:v>
      </x:c>
      <x:c r="P1973" s="18" t="e">
        <x:f>HYPERLINK("https://www.bgsu.edu","Open source")</x:f>
        <x:v>HYPERLINK is not implemented. linkLocation=https://www.bgsu.edu, friendlyName=Open source</x:v>
      </x:c>
    </x:row>
    <x:row r="1974" ht="46" customHeight="1">
      <x:c r="A1974" s="17" t="str">
        <x:v>stage3src:32a5e9df39e540e77c9f</x:v>
      </x:c>
      <x:c r="B1974" s="17" t="str">
        <x:v>program</x:v>
      </x:c>
      <x:c r="C1974" s="17" t="str">
        <x:v>Bowling Green State University-Main Campus</x:v>
      </x:c>
      <x:c r="D1974" s="17" t="str">
        <x:v>us:ipeds:201441:program:unclear:ipeds-discovery-signal-data-science-general-cip-30-7001</x:v>
      </x:c>
      <x:c r="E1974" s="17" t="str"/>
      <x:c r="F1974" s="17" t="str">
        <x:v>discovery</x:v>
      </x:c>
      <x:c r="G1974" s="17" t="str">
        <x:v>Stage 2 recorded this row as a discovery candidate; it does not independently verify an exact current research program, eligibility, or funding.</x:v>
      </x:c>
      <x:c r="H1974" s="17" t="str">
        <x:v>Pass 2 Stage 2 candidate funnel</x:v>
      </x:c>
      <x:c r="I1974" s="17" t="str">
        <x:v>Graduate audit pipeline</x:v>
      </x:c>
      <x:c r="J1974" s="17" t="str">
        <x:v>derived</x:v>
      </x:c>
      <x:c r="K1974" s="17" t="str">
        <x:v>2026-09-11</x:v>
      </x:c>
      <x:c r="L1974" s="17" t="str">
        <x:v>Not cycle-specific</x:v>
      </x:c>
      <x:c r="M1974" s="17" t="str">
        <x:v>low</x:v>
      </x:c>
      <x:c r="N1974" s="17" t="str">
        <x:v>Discovery evidence only</x:v>
      </x:c>
      <x:c r="O1974" s="17" t="str">
        <x:v>Use the source_record_paths field to trace the underlying discovery inputs.</x:v>
      </x:c>
      <x:c r="P1974" s="18" t="e">
        <x:f>HYPERLINK("https://www.bgsu.edu","Open source")</x:f>
        <x:v>HYPERLINK is not implemented. linkLocation=https://www.bgsu.edu, friendlyName=Open source</x:v>
      </x:c>
    </x:row>
    <x:row r="1975" ht="46" customHeight="1">
      <x:c r="A1975" s="17" t="str">
        <x:v>stage3src:006b7fb344289ada2dd4</x:v>
      </x:c>
      <x:c r="B1975" s="17" t="str">
        <x:v>program</x:v>
      </x:c>
      <x:c r="C1975" s="17" t="str">
        <x:v>Case Western Reserve University</x:v>
      </x:c>
      <x:c r="D1975" s="17" t="str">
        <x:v>us:ipeds:201645:program:phd:computer-science-phd</x:v>
      </x:c>
      <x:c r="E1975" s="17" t="str"/>
      <x:c r="F1975" s="17" t="str">
        <x:v>fees|language|eligibility|program</x:v>
      </x:c>
      <x:c r="G1975" s="17" t="str">
        <x:v>Active PhD, direct bachelor's route, fee, GRE, English, and international eligibility</x:v>
      </x:c>
      <x:c r="H1975" s="17" t="str">
        <x:v>Computer Science PhD</x:v>
      </x:c>
      <x:c r="I1975" s="17" t="str">
        <x:v>Case Western Reserve University</x:v>
      </x:c>
      <x:c r="J1975" s="17" t="str">
        <x:v>Official</x:v>
      </x:c>
      <x:c r="K1975" s="17" t="str">
        <x:v>2026-09-09</x:v>
      </x:c>
      <x:c r="L1975" s="17" t="str">
        <x:v>Current</x:v>
      </x:c>
      <x:c r="M1975" s="17" t="str">
        <x:v>High</x:v>
      </x:c>
      <x:c r="N1975" s="17" t="str">
        <x:v>Verified</x:v>
      </x:c>
      <x:c r="O1975" s="17" t="str"/>
      <x:c r="P1975" s="18" t="e">
        <x:f>HYPERLINK("https://case.edu/programs/computer-science-phd","Open source")</x:f>
        <x:v>HYPERLINK is not implemented. linkLocation=https://case.edu/programs/computer-science-phd, friendlyName=Open source</x:v>
      </x:c>
    </x:row>
    <x:row r="1976" ht="46" customHeight="1">
      <x:c r="A1976" s="17" t="str">
        <x:v>stage3src:35f0624dc4468991bfab</x:v>
      </x:c>
      <x:c r="B1976" s="17" t="str">
        <x:v>program</x:v>
      </x:c>
      <x:c r="C1976" s="17" t="str">
        <x:v>Case Western Reserve University</x:v>
      </x:c>
      <x:c r="D1976" s="17" t="str">
        <x:v>us:ipeds:201645:program:phd:computer-science-phd</x:v>
      </x:c>
      <x:c r="E1976" s="17" t="str"/>
      <x:c r="F1976" s="17" t="str">
        <x:v>funding|language</x:v>
      </x:c>
      <x:c r="G1976" s="17" t="str">
        <x:v>Direct-undergraduate duration and selective funding language</x:v>
      </x:c>
      <x:c r="H1976" s="17" t="str">
        <x:v>PhD in Computer Science</x:v>
      </x:c>
      <x:c r="I1976" s="17" t="str">
        <x:v>Case Western Reserve University</x:v>
      </x:c>
      <x:c r="J1976" s="17" t="str">
        <x:v>Official</x:v>
      </x:c>
      <x:c r="K1976" s="17" t="str">
        <x:v>2026-09-09</x:v>
      </x:c>
      <x:c r="L1976" s="17" t="str">
        <x:v>Current</x:v>
      </x:c>
      <x:c r="M1976" s="17" t="str">
        <x:v>High</x:v>
      </x:c>
      <x:c r="N1976" s="17" t="str">
        <x:v>Verified</x:v>
      </x:c>
      <x:c r="O1976" s="17" t="str"/>
      <x:c r="P1976" s="18" t="e">
        <x:f>HYPERLINK("https://case.edu/engineering/computer-and-data-sciences/academics/computing-science/doctor-philosophy-0","Open source")</x:f>
        <x:v>HYPERLINK is not implemented. linkLocation=https://case.edu/engineering/computer-and-data-sciences/academics/computing-science/doctor-philosophy-0, friendlyName=Open source</x:v>
      </x:c>
    </x:row>
    <x:row r="1977" ht="46" customHeight="1">
      <x:c r="A1977" s="17" t="str">
        <x:v>stage3src:f71f87b7fc37f5567680</x:v>
      </x:c>
      <x:c r="B1977" s="17" t="str">
        <x:v>program</x:v>
      </x:c>
      <x:c r="C1977" s="17" t="str">
        <x:v>Case Western Reserve University</x:v>
      </x:c>
      <x:c r="D1977" s="17" t="str">
        <x:v>us:ipeds:201645:program:phd:computer-science-phd</x:v>
      </x:c>
      <x:c r="E1977" s="17" t="str"/>
      <x:c r="F1977" s="17" t="str">
        <x:v>deadline</x:v>
      </x:c>
      <x:c r="G1977" s="17" t="str">
        <x:v>Fall 2027 priority and final deadlines</x:v>
      </x:c>
      <x:c r="H1977" s="17" t="str">
        <x:v>Application Deadlines</x:v>
      </x:c>
      <x:c r="I1977" s="17" t="str">
        <x:v>Case Western Reserve University</x:v>
      </x:c>
      <x:c r="J1977" s="17" t="str">
        <x:v>Official</x:v>
      </x:c>
      <x:c r="K1977" s="17" t="str">
        <x:v>2026-09-09</x:v>
      </x:c>
      <x:c r="L1977" s="17" t="str">
        <x:v>Fall 2027</x:v>
      </x:c>
      <x:c r="M1977" s="17" t="str">
        <x:v>High</x:v>
      </x:c>
      <x:c r="N1977" s="17" t="str">
        <x:v>Verified</x:v>
      </x:c>
      <x:c r="O1977" s="17" t="str"/>
      <x:c r="P1977" s="18" t="e">
        <x:f>HYPERLINK("https://case.edu/gradstudies/prospective-students/admissions-information/application-deadlines","Open source")</x:f>
        <x:v>HYPERLINK is not implemented. linkLocation=https://case.edu/gradstudies/prospective-students/admissions-information/application-deadlines, friendlyName=Open source</x:v>
      </x:c>
    </x:row>
    <x:row r="1978" ht="46" customHeight="1">
      <x:c r="A1978" s="17" t="str">
        <x:v>stage3src:b16dff56b0fb076733dd</x:v>
      </x:c>
      <x:c r="B1978" s="17" t="str">
        <x:v>program</x:v>
      </x:c>
      <x:c r="C1978" s="17" t="str">
        <x:v>Case Western Reserve University</x:v>
      </x:c>
      <x:c r="D1978" s="17" t="str">
        <x:v>us:ipeds:201645:program:unclear:ipeds-discovery-signal-computer-engineering-general-cip-14-0901</x:v>
      </x:c>
      <x:c r="E1978" s="17" t="str"/>
      <x:c r="F1978" s="17" t="str">
        <x:v>discovery</x:v>
      </x:c>
      <x:c r="G1978" s="17" t="str">
        <x:v>Stage 2 recorded this row as a discovery candidate; it does not independently verify an exact current research program, eligibility, or funding.</x:v>
      </x:c>
      <x:c r="H1978" s="17" t="str">
        <x:v>Pass 2 Stage 2 candidate funnel</x:v>
      </x:c>
      <x:c r="I1978" s="17" t="str">
        <x:v>Graduate audit pipeline</x:v>
      </x:c>
      <x:c r="J1978" s="17" t="str">
        <x:v>derived</x:v>
      </x:c>
      <x:c r="K1978" s="17" t="str">
        <x:v>2026-09-11</x:v>
      </x:c>
      <x:c r="L1978" s="17" t="str">
        <x:v>Not cycle-specific</x:v>
      </x:c>
      <x:c r="M1978" s="17" t="str">
        <x:v>low</x:v>
      </x:c>
      <x:c r="N1978" s="17" t="str">
        <x:v>Discovery evidence only</x:v>
      </x:c>
      <x:c r="O1978" s="17" t="str">
        <x:v>Use the source_record_paths field to trace the underlying discovery inputs.</x:v>
      </x:c>
      <x:c r="P1978" s="18" t="e">
        <x:f>HYPERLINK("https://www.case.edu","Open source")</x:f>
        <x:v>HYPERLINK is not implemented. linkLocation=https://www.case.edu, friendlyName=Open source</x:v>
      </x:c>
    </x:row>
    <x:row r="1979" ht="46" customHeight="1">
      <x:c r="A1979" s="17" t="str">
        <x:v>stage3src:496717cf2d70dc33a090</x:v>
      </x:c>
      <x:c r="B1979" s="17" t="str">
        <x:v>program</x:v>
      </x:c>
      <x:c r="C1979" s="17" t="str">
        <x:v>Case Western Reserve University</x:v>
      </x:c>
      <x:c r="D1979" s="17" t="str">
        <x:v>us:ipeds:201645:program:unclear:ipeds-discovery-signal-computer-science-cip-11-0701</x:v>
      </x:c>
      <x:c r="E1979" s="17" t="str"/>
      <x:c r="F1979" s="17" t="str">
        <x:v>discovery</x:v>
      </x:c>
      <x:c r="G1979" s="17" t="str">
        <x:v>Stage 2 recorded this row as a discovery candidate; it does not independently verify an exact current research program, eligibility, or funding.</x:v>
      </x:c>
      <x:c r="H1979" s="17" t="str">
        <x:v>Pass 2 Stage 2 candidate funnel</x:v>
      </x:c>
      <x:c r="I1979" s="17" t="str">
        <x:v>Graduate audit pipeline</x:v>
      </x:c>
      <x:c r="J1979" s="17" t="str">
        <x:v>derived</x:v>
      </x:c>
      <x:c r="K1979" s="17" t="str">
        <x:v>2026-09-11</x:v>
      </x:c>
      <x:c r="L1979" s="17" t="str">
        <x:v>Not cycle-specific</x:v>
      </x:c>
      <x:c r="M1979" s="17" t="str">
        <x:v>low</x:v>
      </x:c>
      <x:c r="N1979" s="17" t="str">
        <x:v>Discovery evidence only</x:v>
      </x:c>
      <x:c r="O1979" s="17" t="str">
        <x:v>Use the source_record_paths field to trace the underlying discovery inputs.</x:v>
      </x:c>
      <x:c r="P1979" s="18" t="e">
        <x:f>HYPERLINK("https://www.case.edu","Open source")</x:f>
        <x:v>HYPERLINK is not implemented. linkLocation=https://www.case.edu, friendlyName=Open source</x:v>
      </x:c>
    </x:row>
    <x:row r="1980" ht="46" customHeight="1">
      <x:c r="A1980" s="17" t="str">
        <x:v>stage3src:525d25bd688e86aa6ed6</x:v>
      </x:c>
      <x:c r="B1980" s="17" t="str">
        <x:v>program</x:v>
      </x:c>
      <x:c r="C1980" s="17" t="str">
        <x:v>Case Western Reserve University</x:v>
      </x:c>
      <x:c r="D1980" s="17" t="str">
        <x:v>us:ipeds:201645:program:unclear:ipeds-discovery-signal-electrical-and-electronics-engineering-cip-14-1001</x:v>
      </x:c>
      <x:c r="E1980" s="17" t="str"/>
      <x:c r="F1980" s="17" t="str">
        <x:v>discovery</x:v>
      </x:c>
      <x:c r="G1980" s="17" t="str">
        <x:v>Stage 2 recorded this row as a discovery candidate; it does not independently verify an exact current research program, eligibility, or funding.</x:v>
      </x:c>
      <x:c r="H1980" s="17" t="str">
        <x:v>Pass 2 Stage 2 candidate funnel</x:v>
      </x:c>
      <x:c r="I1980" s="17" t="str">
        <x:v>Graduate audit pipeline</x:v>
      </x:c>
      <x:c r="J1980" s="17" t="str">
        <x:v>derived</x:v>
      </x:c>
      <x:c r="K1980" s="17" t="str">
        <x:v>2026-09-11</x:v>
      </x:c>
      <x:c r="L1980" s="17" t="str">
        <x:v>Not cycle-specific</x:v>
      </x:c>
      <x:c r="M1980" s="17" t="str">
        <x:v>low</x:v>
      </x:c>
      <x:c r="N1980" s="17" t="str">
        <x:v>Discovery evidence only</x:v>
      </x:c>
      <x:c r="O1980" s="17" t="str">
        <x:v>Use the source_record_paths field to trace the underlying discovery inputs.</x:v>
      </x:c>
      <x:c r="P1980" s="18" t="e">
        <x:f>HYPERLINK("https://www.case.edu","Open source")</x:f>
        <x:v>HYPERLINK is not implemented. linkLocation=https://www.case.edu, friendlyName=Open source</x:v>
      </x:c>
    </x:row>
    <x:row r="1981" ht="46" customHeight="1">
      <x:c r="A1981" s="17" t="str">
        <x:v>stage3src:1ebd7a3c8bdb18548bd0</x:v>
      </x:c>
      <x:c r="B1981" s="17" t="str">
        <x:v>program</x:v>
      </x:c>
      <x:c r="C1981" s="17" t="str">
        <x:v>University of Cincinnati-Main Campus</x:v>
      </x:c>
      <x:c r="D1981" s="17" t="str">
        <x:v>us:ipeds:201885:program:phd:ph-d-in-computer-science-and-engineering</x:v>
      </x:c>
      <x:c r="E1981" s="17" t="str"/>
      <x:c r="F1981" s="17" t="str">
        <x:v>program|research|eligibility</x:v>
      </x:c>
      <x:c r="G1981" s="17" t="str">
        <x:v>Current Computer Science and Engineering doctorate and software-systems research environment.</x:v>
      </x:c>
      <x:c r="H1981" s="17" t="str">
        <x:v>Computer Science and Engineering Doctoral Program</x:v>
      </x:c>
      <x:c r="I1981" s="17" t="str">
        <x:v>University of Cincinnati</x:v>
      </x:c>
      <x:c r="J1981" s="17" t="str">
        <x:v>official</x:v>
      </x:c>
      <x:c r="K1981" s="17" t="str">
        <x:v>2026-09-10</x:v>
      </x:c>
      <x:c r="L1981" s="17" t="str">
        <x:v>Current page checked 2026-09-10</x:v>
      </x:c>
      <x:c r="M1981" s="17" t="str">
        <x:v>high</x:v>
      </x:c>
      <x:c r="N1981" s="17" t="str">
        <x:v>official page checked</x:v>
      </x:c>
      <x:c r="O1981" s="17" t="str"/>
      <x:c r="P1981" s="18" t="e">
        <x:f>HYPERLINK("https://www.ceas.uc.edu/academics/departments/electrical-computer-engineering/degrees-programs/computer-science-engineering-phd.html","Open source")</x:f>
        <x:v>HYPERLINK is not implemented. linkLocation=https://www.ceas.uc.edu/academics/departments/electrical-computer-engineering/degrees-programs/computer-science-engineering-phd.html, friendlyName=Open source</x:v>
      </x:c>
    </x:row>
    <x:row r="1982" ht="46" customHeight="1">
      <x:c r="A1982" s="17" t="str">
        <x:v>stage3src:3ff9e4bafa169b386740</x:v>
      </x:c>
      <x:c r="B1982" s="17" t="str">
        <x:v>program</x:v>
      </x:c>
      <x:c r="C1982" s="17" t="str">
        <x:v>University of Cincinnati-Main Campus</x:v>
      </x:c>
      <x:c r="D1982" s="17" t="str">
        <x:v>us:ipeds:201885:program:phd:ph-d-in-computer-science-and-engineering</x:v>
      </x:c>
      <x:c r="E1982" s="17" t="str"/>
      <x:c r="F1982" s="17" t="str">
        <x:v>admissions|fees</x:v>
      </x:c>
      <x:c r="G1982" s="17" t="str">
        <x:v>USD 80 international CEAS application fee.</x:v>
      </x:c>
      <x:c r="H1982" s="17" t="str">
        <x:v>Graduate Admission Requirements</x:v>
      </x:c>
      <x:c r="I1982" s="17" t="str">
        <x:v>University of Cincinnati Admissions</x:v>
      </x:c>
      <x:c r="J1982" s="17" t="str">
        <x:v>official</x:v>
      </x:c>
      <x:c r="K1982" s="17" t="str">
        <x:v>2026-09-10</x:v>
      </x:c>
      <x:c r="L1982" s="17" t="str">
        <x:v>Current fee schedule checked 2026-09-10</x:v>
      </x:c>
      <x:c r="M1982" s="17" t="str">
        <x:v>high</x:v>
      </x:c>
      <x:c r="N1982" s="17" t="str">
        <x:v>official page checked</x:v>
      </x:c>
      <x:c r="O1982" s="17" t="str"/>
      <x:c r="P1982" s="18" t="e">
        <x:f>HYPERLINK("https://www.admissions.uc.edu/apply/graduate/requirements.html","Open source")</x:f>
        <x:v>HYPERLINK is not implemented. linkLocation=https://www.admissions.uc.edu/apply/graduate/requirements.html, friendlyName=Open source</x:v>
      </x:c>
    </x:row>
    <x:row r="1983" ht="46" customHeight="1">
      <x:c r="A1983" s="17" t="str">
        <x:v>stage3src:a6a18d18134f5e5a5a46</x:v>
      </x:c>
      <x:c r="B1983" s="17" t="str">
        <x:v>program</x:v>
      </x:c>
      <x:c r="C1983" s="17" t="str">
        <x:v>University of Cincinnati-Main Campus</x:v>
      </x:c>
      <x:c r="D1983" s="17" t="str">
        <x:v>us:ipeds:201885:program:phd:ph-d-in-computer-science-and-engineering</x:v>
      </x:c>
      <x:c r="E1983" s="17" t="str"/>
      <x:c r="F1983" s="17" t="str">
        <x:v>admissions|eligibility|language|deadline|fees|funding|tuition</x:v>
      </x:c>
      <x:c r="G1983" s="17" t="str">
        <x:v>3.0 GPA, English thresholds, Fall 2027 GRE rule, recurring January 15 priority date, separate applications and fees, and first-year PhD assistantship with full tuition award.</x:v>
      </x:c>
      <x:c r="H1983" s="17" t="str">
        <x:v>Graduate Frequently Asked Questions</x:v>
      </x:c>
      <x:c r="I1983" s="17" t="str">
        <x:v>University of Cincinnati CEAS</x:v>
      </x:c>
      <x:c r="J1983" s="17" t="str">
        <x:v>official</x:v>
      </x:c>
      <x:c r="K1983" s="17" t="str">
        <x:v>2026-09-10</x:v>
      </x:c>
      <x:c r="L1983" s="17" t="str">
        <x:v>Current guidance with explicit Fall 2027 GRE policy</x:v>
      </x:c>
      <x:c r="M1983" s="17" t="str">
        <x:v>high</x:v>
      </x:c>
      <x:c r="N1983" s="17" t="str">
        <x:v>official page checked</x:v>
      </x:c>
      <x:c r="O1983" s="17" t="str"/>
      <x:c r="P1983" s="18" t="e">
        <x:f>HYPERLINK("https://www.ceas.uc.edu/admissions/graduate/faqs.html","Open source")</x:f>
        <x:v>HYPERLINK is not implemented. linkLocation=https://www.ceas.uc.edu/admissions/graduate/faqs.html, friendlyName=Open source</x:v>
      </x:c>
    </x:row>
    <x:row r="1984" ht="46" customHeight="1">
      <x:c r="A1984" s="17" t="str">
        <x:v>stage3src:14fd8c4fc3bc0b8a62fd</x:v>
      </x:c>
      <x:c r="B1984" s="17" t="str">
        <x:v>program</x:v>
      </x:c>
      <x:c r="C1984" s="17" t="str">
        <x:v>University of Cincinnati-Main Campus</x:v>
      </x:c>
      <x:c r="D1984" s="17" t="str">
        <x:v>us:ipeds:201885:program:unclear:ipeds-discovery-signal-artificial-intelligence-cip-11-0102</x:v>
      </x:c>
      <x:c r="E1984" s="17" t="str"/>
      <x:c r="F1984" s="17" t="str">
        <x:v>discovery</x:v>
      </x:c>
      <x:c r="G1984" s="17" t="str">
        <x:v>Stage 2 recorded this row as a discovery candidate; it does not independently verify an exact current research program, eligibility, or funding.</x:v>
      </x:c>
      <x:c r="H1984" s="17" t="str">
        <x:v>Pass 2 Stage 2 candidate funnel</x:v>
      </x:c>
      <x:c r="I1984" s="17" t="str">
        <x:v>Graduate audit pipeline</x:v>
      </x:c>
      <x:c r="J1984" s="17" t="str">
        <x:v>derived</x:v>
      </x:c>
      <x:c r="K1984" s="17" t="str">
        <x:v>2026-09-11</x:v>
      </x:c>
      <x:c r="L1984" s="17" t="str">
        <x:v>Not cycle-specific</x:v>
      </x:c>
      <x:c r="M1984" s="17" t="str">
        <x:v>low</x:v>
      </x:c>
      <x:c r="N1984" s="17" t="str">
        <x:v>Discovery evidence only</x:v>
      </x:c>
      <x:c r="O1984" s="17" t="str">
        <x:v>Use the source_record_paths field to trace the underlying discovery inputs.</x:v>
      </x:c>
      <x:c r="P1984" s="18" t="e">
        <x:f>HYPERLINK("https://www.uc.edu","Open source")</x:f>
        <x:v>HYPERLINK is not implemented. linkLocation=https://www.uc.edu, friendlyName=Open source</x:v>
      </x:c>
    </x:row>
    <x:row r="1985" ht="46" customHeight="1">
      <x:c r="A1985" s="17" t="str">
        <x:v>stage3src:120a8efdf9c521f55fa8</x:v>
      </x:c>
      <x:c r="B1985" s="17" t="str">
        <x:v>program</x:v>
      </x:c>
      <x:c r="C1985" s="17" t="str">
        <x:v>University of Cincinnati-Main Campus</x:v>
      </x:c>
      <x:c r="D1985" s="17" t="str">
        <x:v>us:ipeds:201885:program:unclear:ipeds-discovery-signal-computer-and-information-sciences-general-cip-11-0101</x:v>
      </x:c>
      <x:c r="E1985" s="17" t="str"/>
      <x:c r="F1985" s="17" t="str">
        <x:v>discovery</x:v>
      </x:c>
      <x:c r="G1985" s="17" t="str">
        <x:v>Stage 2 recorded this row as a discovery candidate; it does not independently verify an exact current research program, eligibility, or funding.</x:v>
      </x:c>
      <x:c r="H1985" s="17" t="str">
        <x:v>Pass 2 Stage 2 candidate funnel</x:v>
      </x:c>
      <x:c r="I1985" s="17" t="str">
        <x:v>Graduate audit pipeline</x:v>
      </x:c>
      <x:c r="J1985" s="17" t="str">
        <x:v>derived</x:v>
      </x:c>
      <x:c r="K1985" s="17" t="str">
        <x:v>2026-09-11</x:v>
      </x:c>
      <x:c r="L1985" s="17" t="str">
        <x:v>Not cycle-specific</x:v>
      </x:c>
      <x:c r="M1985" s="17" t="str">
        <x:v>low</x:v>
      </x:c>
      <x:c r="N1985" s="17" t="str">
        <x:v>Discovery evidence only</x:v>
      </x:c>
      <x:c r="O1985" s="17" t="str">
        <x:v>Use the source_record_paths field to trace the underlying discovery inputs.</x:v>
      </x:c>
      <x:c r="P1985" s="18" t="e">
        <x:f>HYPERLINK("https://www.uc.edu","Open source")</x:f>
        <x:v>HYPERLINK is not implemented. linkLocation=https://www.uc.edu, friendlyName=Open source</x:v>
      </x:c>
    </x:row>
    <x:row r="1986" ht="46" customHeight="1">
      <x:c r="A1986" s="17" t="str">
        <x:v>stage3src:680dd3c4a2b1058555a0</x:v>
      </x:c>
      <x:c r="B1986" s="17" t="str">
        <x:v>program</x:v>
      </x:c>
      <x:c r="C1986" s="17" t="str">
        <x:v>University of Cincinnati-Main Campus</x:v>
      </x:c>
      <x:c r="D1986" s="17" t="str">
        <x:v>us:ipeds:201885:program:unclear:ipeds-discovery-signal-computer-engineering-general-cip-14-0901</x:v>
      </x:c>
      <x:c r="E1986" s="17" t="str"/>
      <x:c r="F1986" s="17" t="str">
        <x:v>discovery</x:v>
      </x:c>
      <x:c r="G1986" s="17" t="str">
        <x:v>Stage 2 recorded this row as a discovery candidate; it does not independently verify an exact current research program, eligibility, or funding.</x:v>
      </x:c>
      <x:c r="H1986" s="17" t="str">
        <x:v>Pass 2 Stage 2 candidate funnel</x:v>
      </x:c>
      <x:c r="I1986" s="17" t="str">
        <x:v>Graduate audit pipeline</x:v>
      </x:c>
      <x:c r="J1986" s="17" t="str">
        <x:v>derived</x:v>
      </x:c>
      <x:c r="K1986" s="17" t="str">
        <x:v>2026-09-11</x:v>
      </x:c>
      <x:c r="L1986" s="17" t="str">
        <x:v>Not cycle-specific</x:v>
      </x:c>
      <x:c r="M1986" s="17" t="str">
        <x:v>low</x:v>
      </x:c>
      <x:c r="N1986" s="17" t="str">
        <x:v>Discovery evidence only</x:v>
      </x:c>
      <x:c r="O1986" s="17" t="str">
        <x:v>Use the source_record_paths field to trace the underlying discovery inputs.</x:v>
      </x:c>
      <x:c r="P1986" s="18" t="e">
        <x:f>HYPERLINK("https://www.uc.edu","Open source")</x:f>
        <x:v>HYPERLINK is not implemented. linkLocation=https://www.uc.edu, friendlyName=Open source</x:v>
      </x:c>
    </x:row>
    <x:row r="1987" ht="46" customHeight="1">
      <x:c r="A1987" s="17" t="str">
        <x:v>stage3src:598c0d48f8734a81c580</x:v>
      </x:c>
      <x:c r="B1987" s="17" t="str">
        <x:v>program</x:v>
      </x:c>
      <x:c r="C1987" s="17" t="str">
        <x:v>University of Cincinnati-Main Campus</x:v>
      </x:c>
      <x:c r="D1987" s="17" t="str">
        <x:v>us:ipeds:201885:program:unclear:ipeds-discovery-signal-computer-software-engineering-cip-14-0903</x:v>
      </x:c>
      <x:c r="E1987" s="17" t="str"/>
      <x:c r="F1987" s="17" t="str">
        <x:v>discovery</x:v>
      </x:c>
      <x:c r="G1987" s="17" t="str">
        <x:v>Stage 2 recorded this row as a discovery candidate; it does not independently verify an exact current research program, eligibility, or funding.</x:v>
      </x:c>
      <x:c r="H1987" s="17" t="str">
        <x:v>Pass 2 Stage 2 candidate funnel</x:v>
      </x:c>
      <x:c r="I1987" s="17" t="str">
        <x:v>Graduate audit pipeline</x:v>
      </x:c>
      <x:c r="J1987" s="17" t="str">
        <x:v>derived</x:v>
      </x:c>
      <x:c r="K1987" s="17" t="str">
        <x:v>2026-09-11</x:v>
      </x:c>
      <x:c r="L1987" s="17" t="str">
        <x:v>Not cycle-specific</x:v>
      </x:c>
      <x:c r="M1987" s="17" t="str">
        <x:v>low</x:v>
      </x:c>
      <x:c r="N1987" s="17" t="str">
        <x:v>Discovery evidence only</x:v>
      </x:c>
      <x:c r="O1987" s="17" t="str">
        <x:v>Use the source_record_paths field to trace the underlying discovery inputs.</x:v>
      </x:c>
      <x:c r="P1987" s="18" t="e">
        <x:f>HYPERLINK("https://www.uc.edu","Open source")</x:f>
        <x:v>HYPERLINK is not implemented. linkLocation=https://www.uc.edu, friendlyName=Open source</x:v>
      </x:c>
    </x:row>
    <x:row r="1988" ht="46" customHeight="1">
      <x:c r="A1988" s="17" t="str">
        <x:v>stage3src:92f8a72a257e8d56a6f5</x:v>
      </x:c>
      <x:c r="B1988" s="17" t="str">
        <x:v>program</x:v>
      </x:c>
      <x:c r="C1988" s="17" t="str">
        <x:v>University of Cincinnati-Main Campus</x:v>
      </x:c>
      <x:c r="D1988" s="17" t="str">
        <x:v>us:ipeds:201885:program:unclear:ipeds-discovery-signal-electrical-and-electronics-engineering-cip-14-1001</x:v>
      </x:c>
      <x:c r="E1988" s="17" t="str"/>
      <x:c r="F1988" s="17" t="str">
        <x:v>discovery</x:v>
      </x:c>
      <x:c r="G1988" s="17" t="str">
        <x:v>Stage 2 recorded this row as a discovery candidate; it does not independently verify an exact current research program, eligibility, or funding.</x:v>
      </x:c>
      <x:c r="H1988" s="17" t="str">
        <x:v>Pass 2 Stage 2 candidate funnel</x:v>
      </x:c>
      <x:c r="I1988" s="17" t="str">
        <x:v>Graduate audit pipeline</x:v>
      </x:c>
      <x:c r="J1988" s="17" t="str">
        <x:v>derived</x:v>
      </x:c>
      <x:c r="K1988" s="17" t="str">
        <x:v>2026-09-11</x:v>
      </x:c>
      <x:c r="L1988" s="17" t="str">
        <x:v>Not cycle-specific</x:v>
      </x:c>
      <x:c r="M1988" s="17" t="str">
        <x:v>low</x:v>
      </x:c>
      <x:c r="N1988" s="17" t="str">
        <x:v>Discovery evidence only</x:v>
      </x:c>
      <x:c r="O1988" s="17" t="str">
        <x:v>Use the source_record_paths field to trace the underlying discovery inputs.</x:v>
      </x:c>
      <x:c r="P1988" s="18" t="e">
        <x:f>HYPERLINK("https://www.uc.edu","Open source")</x:f>
        <x:v>HYPERLINK is not implemented. linkLocation=https://www.uc.edu, friendlyName=Open source</x:v>
      </x:c>
    </x:row>
    <x:row r="1989" ht="46" customHeight="1">
      <x:c r="A1989" s="17" t="str">
        <x:v>stage3src:a47cd03c317f07055a7f</x:v>
      </x:c>
      <x:c r="B1989" s="17" t="str">
        <x:v>program</x:v>
      </x:c>
      <x:c r="C1989" s="17" t="str">
        <x:v>University of Cincinnati-Main Campus</x:v>
      </x:c>
      <x:c r="D1989" s="17" t="str">
        <x:v>us:ipeds:201885:program:unclear:ipeds-discovery-signal-human-centered-technology-design-cip-11-0105</x:v>
      </x:c>
      <x:c r="E1989" s="17" t="str"/>
      <x:c r="F1989" s="17" t="str">
        <x:v>discovery</x:v>
      </x:c>
      <x:c r="G1989" s="17" t="str">
        <x:v>Stage 2 recorded this row as a discovery candidate; it does not independently verify an exact current research program, eligibility, or funding.</x:v>
      </x:c>
      <x:c r="H1989" s="17" t="str">
        <x:v>Pass 2 Stage 2 candidate funnel</x:v>
      </x:c>
      <x:c r="I1989" s="17" t="str">
        <x:v>Graduate audit pipeline</x:v>
      </x:c>
      <x:c r="J1989" s="17" t="str">
        <x:v>derived</x:v>
      </x:c>
      <x:c r="K1989" s="17" t="str">
        <x:v>2026-09-11</x:v>
      </x:c>
      <x:c r="L1989" s="17" t="str">
        <x:v>Not cycle-specific</x:v>
      </x:c>
      <x:c r="M1989" s="17" t="str">
        <x:v>low</x:v>
      </x:c>
      <x:c r="N1989" s="17" t="str">
        <x:v>Discovery evidence only</x:v>
      </x:c>
      <x:c r="O1989" s="17" t="str">
        <x:v>Use the source_record_paths field to trace the underlying discovery inputs.</x:v>
      </x:c>
      <x:c r="P1989" s="18" t="e">
        <x:f>HYPERLINK("https://www.uc.edu","Open source")</x:f>
        <x:v>HYPERLINK is not implemented. linkLocation=https://www.uc.edu, friendlyName=Open source</x:v>
      </x:c>
    </x:row>
    <x:row r="1990" ht="46" customHeight="1">
      <x:c r="A1990" s="17" t="str">
        <x:v>stage3src:183160d68426e071b307</x:v>
      </x:c>
      <x:c r="B1990" s="17" t="str">
        <x:v>program</x:v>
      </x:c>
      <x:c r="C1990" s="17" t="str">
        <x:v>University of Cincinnati-Main Campus</x:v>
      </x:c>
      <x:c r="D1990" s="17" t="str">
        <x:v>us:ipeds:201885:program:unclear:ipeds-discovery-signal-information-technology-cip-11-0103</x:v>
      </x:c>
      <x:c r="E1990" s="17" t="str"/>
      <x:c r="F1990" s="17" t="str">
        <x:v>discovery</x:v>
      </x:c>
      <x:c r="G1990" s="17" t="str">
        <x:v>Stage 2 recorded this row as a discovery candidate; it does not independently verify an exact current research program, eligibility, or funding.</x:v>
      </x:c>
      <x:c r="H1990" s="17" t="str">
        <x:v>Pass 2 Stage 2 candidate funnel</x:v>
      </x:c>
      <x:c r="I1990" s="17" t="str">
        <x:v>Graduate audit pipeline</x:v>
      </x:c>
      <x:c r="J1990" s="17" t="str">
        <x:v>derived</x:v>
      </x:c>
      <x:c r="K1990" s="17" t="str">
        <x:v>2026-09-11</x:v>
      </x:c>
      <x:c r="L1990" s="17" t="str">
        <x:v>Not cycle-specific</x:v>
      </x:c>
      <x:c r="M1990" s="17" t="str">
        <x:v>low</x:v>
      </x:c>
      <x:c r="N1990" s="17" t="str">
        <x:v>Discovery evidence only</x:v>
      </x:c>
      <x:c r="O1990" s="17" t="str">
        <x:v>Use the source_record_paths field to trace the underlying discovery inputs.</x:v>
      </x:c>
      <x:c r="P1990" s="18" t="e">
        <x:f>HYPERLINK("https://www.uc.edu","Open source")</x:f>
        <x:v>HYPERLINK is not implemented. linkLocation=https://www.uc.edu, friendlyName=Open source</x:v>
      </x:c>
    </x:row>
    <x:row r="1991" ht="46" customHeight="1">
      <x:c r="A1991" s="17" t="str">
        <x:v>stage3src:f425db548a960652cac2</x:v>
      </x:c>
      <x:c r="B1991" s="17" t="str">
        <x:v>program</x:v>
      </x:c>
      <x:c r="C1991" s="17" t="str">
        <x:v>University of Cincinnati-Main Campus</x:v>
      </x:c>
      <x:c r="D1991" s="17" t="str">
        <x:v>us:ipeds:201885:program:unclear:ipeds-discovery-signal-mechatronics-robotics-and-automation-engineering-cip-14-4201</x:v>
      </x:c>
      <x:c r="E1991" s="17" t="str"/>
      <x:c r="F1991" s="17" t="str">
        <x:v>discovery</x:v>
      </x:c>
      <x:c r="G1991" s="17" t="str">
        <x:v>Stage 2 recorded this row as a discovery candidate; it does not independently verify an exact current research program, eligibility, or funding.</x:v>
      </x:c>
      <x:c r="H1991" s="17" t="str">
        <x:v>Pass 2 Stage 2 candidate funnel</x:v>
      </x:c>
      <x:c r="I1991" s="17" t="str">
        <x:v>Graduate audit pipeline</x:v>
      </x:c>
      <x:c r="J1991" s="17" t="str">
        <x:v>derived</x:v>
      </x:c>
      <x:c r="K1991" s="17" t="str">
        <x:v>2026-09-11</x:v>
      </x:c>
      <x:c r="L1991" s="17" t="str">
        <x:v>Not cycle-specific</x:v>
      </x:c>
      <x:c r="M1991" s="17" t="str">
        <x:v>low</x:v>
      </x:c>
      <x:c r="N1991" s="17" t="str">
        <x:v>Discovery evidence only</x:v>
      </x:c>
      <x:c r="O1991" s="17" t="str">
        <x:v>Use the source_record_paths field to trace the underlying discovery inputs.</x:v>
      </x:c>
      <x:c r="P1991" s="18" t="e">
        <x:f>HYPERLINK("https://www.uc.edu","Open source")</x:f>
        <x:v>HYPERLINK is not implemented. linkLocation=https://www.uc.edu, friendlyName=Open source</x:v>
      </x:c>
    </x:row>
    <x:row r="1992" ht="46" customHeight="1">
      <x:c r="A1992" s="17" t="str">
        <x:v>stage3src:32559a5cd8b514bc7677</x:v>
      </x:c>
      <x:c r="B1992" s="17" t="str">
        <x:v>program</x:v>
      </x:c>
      <x:c r="C1992" s="17" t="str">
        <x:v>Cleveland State University</x:v>
      </x:c>
      <x:c r="D1992" s="17" t="str">
        <x:v>us:ipeds:202134:program:unclear:ipeds-discovery-signal-computer-and-information-sciences-general-cip-11-0101</x:v>
      </x:c>
      <x:c r="E1992" s="17" t="str"/>
      <x:c r="F1992" s="17" t="str">
        <x:v>discovery</x:v>
      </x:c>
      <x:c r="G1992" s="17" t="str">
        <x:v>Stage 2 recorded this row as a discovery candidate; it does not independently verify an exact current research program, eligibility, or funding.</x:v>
      </x:c>
      <x:c r="H1992" s="17" t="str">
        <x:v>Pass 2 Stage 2 candidate funnel</x:v>
      </x:c>
      <x:c r="I1992" s="17" t="str">
        <x:v>Graduate audit pipeline</x:v>
      </x:c>
      <x:c r="J1992" s="17" t="str">
        <x:v>derived</x:v>
      </x:c>
      <x:c r="K1992" s="17" t="str">
        <x:v>2026-09-11</x:v>
      </x:c>
      <x:c r="L1992" s="17" t="str">
        <x:v>Not cycle-specific</x:v>
      </x:c>
      <x:c r="M1992" s="17" t="str">
        <x:v>low</x:v>
      </x:c>
      <x:c r="N1992" s="17" t="str">
        <x:v>Discovery evidence only</x:v>
      </x:c>
      <x:c r="O1992" s="17" t="str">
        <x:v>Use the source_record_paths field to trace the underlying discovery inputs.</x:v>
      </x:c>
      <x:c r="P1992" s="18" t="e">
        <x:f>HYPERLINK("https://www.csuohio.edu","Open source")</x:f>
        <x:v>HYPERLINK is not implemented. linkLocation=https://www.csuohio.edu, friendlyName=Open source</x:v>
      </x:c>
    </x:row>
    <x:row r="1993" ht="46" customHeight="1">
      <x:c r="A1993" s="17" t="str">
        <x:v>stage3src:ead257a152af2707441d</x:v>
      </x:c>
      <x:c r="B1993" s="17" t="str">
        <x:v>program</x:v>
      </x:c>
      <x:c r="C1993" s="17" t="str">
        <x:v>Cleveland State University</x:v>
      </x:c>
      <x:c r="D1993" s="17" t="str">
        <x:v>us:ipeds:202134:program:unclear:ipeds-discovery-signal-computer-science-cip-11-0701</x:v>
      </x:c>
      <x:c r="E1993" s="17" t="str"/>
      <x:c r="F1993" s="17" t="str">
        <x:v>discovery</x:v>
      </x:c>
      <x:c r="G1993" s="17" t="str">
        <x:v>Stage 2 recorded this row as a discovery candidate; it does not independently verify an exact current research program, eligibility, or funding.</x:v>
      </x:c>
      <x:c r="H1993" s="17" t="str">
        <x:v>Pass 2 Stage 2 candidate funnel</x:v>
      </x:c>
      <x:c r="I1993" s="17" t="str">
        <x:v>Graduate audit pipeline</x:v>
      </x:c>
      <x:c r="J1993" s="17" t="str">
        <x:v>derived</x:v>
      </x:c>
      <x:c r="K1993" s="17" t="str">
        <x:v>2026-09-11</x:v>
      </x:c>
      <x:c r="L1993" s="17" t="str">
        <x:v>Not cycle-specific</x:v>
      </x:c>
      <x:c r="M1993" s="17" t="str">
        <x:v>low</x:v>
      </x:c>
      <x:c r="N1993" s="17" t="str">
        <x:v>Discovery evidence only</x:v>
      </x:c>
      <x:c r="O1993" s="17" t="str">
        <x:v>Use the source_record_paths field to trace the underlying discovery inputs.</x:v>
      </x:c>
      <x:c r="P1993" s="18" t="e">
        <x:f>HYPERLINK("https://www.csuohio.edu","Open source")</x:f>
        <x:v>HYPERLINK is not implemented. linkLocation=https://www.csuohio.edu, friendlyName=Open source</x:v>
      </x:c>
    </x:row>
    <x:row r="1994" ht="46" customHeight="1">
      <x:c r="A1994" s="17" t="str">
        <x:v>stage3src:7fbf21bc239423116546</x:v>
      </x:c>
      <x:c r="B1994" s="17" t="str">
        <x:v>program</x:v>
      </x:c>
      <x:c r="C1994" s="17" t="str">
        <x:v>Cleveland State University</x:v>
      </x:c>
      <x:c r="D1994" s="17" t="str">
        <x:v>us:ipeds:202134:program:unclear:ipeds-discovery-signal-computer-software-engineering-cip-14-0903</x:v>
      </x:c>
      <x:c r="E1994" s="17" t="str"/>
      <x:c r="F1994" s="17" t="str">
        <x:v>discovery</x:v>
      </x:c>
      <x:c r="G1994" s="17" t="str">
        <x:v>Stage 2 recorded this row as a discovery candidate; it does not independently verify an exact current research program, eligibility, or funding.</x:v>
      </x:c>
      <x:c r="H1994" s="17" t="str">
        <x:v>Pass 2 Stage 2 candidate funnel</x:v>
      </x:c>
      <x:c r="I1994" s="17" t="str">
        <x:v>Graduate audit pipeline</x:v>
      </x:c>
      <x:c r="J1994" s="17" t="str">
        <x:v>derived</x:v>
      </x:c>
      <x:c r="K1994" s="17" t="str">
        <x:v>2026-09-11</x:v>
      </x:c>
      <x:c r="L1994" s="17" t="str">
        <x:v>Not cycle-specific</x:v>
      </x:c>
      <x:c r="M1994" s="17" t="str">
        <x:v>low</x:v>
      </x:c>
      <x:c r="N1994" s="17" t="str">
        <x:v>Discovery evidence only</x:v>
      </x:c>
      <x:c r="O1994" s="17" t="str">
        <x:v>Use the source_record_paths field to trace the underlying discovery inputs.</x:v>
      </x:c>
      <x:c r="P1994" s="18" t="e">
        <x:f>HYPERLINK("https://www.csuohio.edu","Open source")</x:f>
        <x:v>HYPERLINK is not implemented. linkLocation=https://www.csuohio.edu, friendlyName=Open source</x:v>
      </x:c>
    </x:row>
    <x:row r="1995" ht="46" customHeight="1">
      <x:c r="A1995" s="17" t="str">
        <x:v>stage3src:e47d5d66218abd4737e6</x:v>
      </x:c>
      <x:c r="B1995" s="17" t="str">
        <x:v>program</x:v>
      </x:c>
      <x:c r="C1995" s="17" t="str">
        <x:v>Cleveland State University</x:v>
      </x:c>
      <x:c r="D1995" s="17" t="str">
        <x:v>us:ipeds:202134:program:unclear:ipeds-discovery-signal-electrical-and-electronics-engineering-cip-14-1001</x:v>
      </x:c>
      <x:c r="E1995" s="17" t="str"/>
      <x:c r="F1995" s="17" t="str">
        <x:v>discovery</x:v>
      </x:c>
      <x:c r="G1995" s="17" t="str">
        <x:v>Stage 2 recorded this row as a discovery candidate; it does not independently verify an exact current research program, eligibility, or funding.</x:v>
      </x:c>
      <x:c r="H1995" s="17" t="str">
        <x:v>Pass 2 Stage 2 candidate funnel</x:v>
      </x:c>
      <x:c r="I1995" s="17" t="str">
        <x:v>Graduate audit pipeline</x:v>
      </x:c>
      <x:c r="J1995" s="17" t="str">
        <x:v>derived</x:v>
      </x:c>
      <x:c r="K1995" s="17" t="str">
        <x:v>2026-09-11</x:v>
      </x:c>
      <x:c r="L1995" s="17" t="str">
        <x:v>Not cycle-specific</x:v>
      </x:c>
      <x:c r="M1995" s="17" t="str">
        <x:v>low</x:v>
      </x:c>
      <x:c r="N1995" s="17" t="str">
        <x:v>Discovery evidence only</x:v>
      </x:c>
      <x:c r="O1995" s="17" t="str">
        <x:v>Use the source_record_paths field to trace the underlying discovery inputs.</x:v>
      </x:c>
      <x:c r="P1995" s="18" t="e">
        <x:f>HYPERLINK("https://www.csuohio.edu","Open source")</x:f>
        <x:v>HYPERLINK is not implemented. linkLocation=https://www.csuohio.edu, friendlyName=Open source</x:v>
      </x:c>
    </x:row>
    <x:row r="1996" ht="46" customHeight="1">
      <x:c r="A1996" s="17" t="str">
        <x:v>stage3src:37725a5a62dfb37060f3</x:v>
      </x:c>
      <x:c r="B1996" s="17" t="str">
        <x:v>program</x:v>
      </x:c>
      <x:c r="C1996" s="17" t="str">
        <x:v>Cleveland State University</x:v>
      </x:c>
      <x:c r="D1996" s="17" t="str">
        <x:v>us:ipeds:202134:program:unclear:ipeds-discovery-signal-information-science-studies-cip-11-0401</x:v>
      </x:c>
      <x:c r="E1996" s="17" t="str"/>
      <x:c r="F1996" s="17" t="str">
        <x:v>discovery</x:v>
      </x:c>
      <x:c r="G1996" s="17" t="str">
        <x:v>Stage 2 recorded this row as a discovery candidate; it does not independently verify an exact current research program, eligibility, or funding.</x:v>
      </x:c>
      <x:c r="H1996" s="17" t="str">
        <x:v>Pass 2 Stage 2 candidate funnel</x:v>
      </x:c>
      <x:c r="I1996" s="17" t="str">
        <x:v>Graduate audit pipeline</x:v>
      </x:c>
      <x:c r="J1996" s="17" t="str">
        <x:v>derived</x:v>
      </x:c>
      <x:c r="K1996" s="17" t="str">
        <x:v>2026-09-11</x:v>
      </x:c>
      <x:c r="L1996" s="17" t="str">
        <x:v>Not cycle-specific</x:v>
      </x:c>
      <x:c r="M1996" s="17" t="str">
        <x:v>low</x:v>
      </x:c>
      <x:c r="N1996" s="17" t="str">
        <x:v>Discovery evidence only</x:v>
      </x:c>
      <x:c r="O1996" s="17" t="str">
        <x:v>Use the source_record_paths field to trace the underlying discovery inputs.</x:v>
      </x:c>
      <x:c r="P1996" s="18" t="e">
        <x:f>HYPERLINK("https://www.csuohio.edu","Open source")</x:f>
        <x:v>HYPERLINK is not implemented. linkLocation=https://www.csuohio.edu, friendlyName=Open source</x:v>
      </x:c>
    </x:row>
    <x:row r="1997" ht="46" customHeight="1">
      <x:c r="A1997" s="17" t="str">
        <x:v>stage3src:1953e098835c6b6bd33b</x:v>
      </x:c>
      <x:c r="B1997" s="17" t="str">
        <x:v>program</x:v>
      </x:c>
      <x:c r="C1997" s="17" t="str">
        <x:v>Cleveland State University</x:v>
      </x:c>
      <x:c r="D1997" s="17" t="str">
        <x:v>us:ipeds:202134:program:unclear:ipeds-discovery-signal-information-technology-cip-11-0103</x:v>
      </x:c>
      <x:c r="E1997" s="17" t="str"/>
      <x:c r="F1997" s="17" t="str">
        <x:v>discovery</x:v>
      </x:c>
      <x:c r="G1997" s="17" t="str">
        <x:v>Stage 2 recorded this row as a discovery candidate; it does not independently verify an exact current research program, eligibility, or funding.</x:v>
      </x:c>
      <x:c r="H1997" s="17" t="str">
        <x:v>Pass 2 Stage 2 candidate funnel</x:v>
      </x:c>
      <x:c r="I1997" s="17" t="str">
        <x:v>Graduate audit pipeline</x:v>
      </x:c>
      <x:c r="J1997" s="17" t="str">
        <x:v>derived</x:v>
      </x:c>
      <x:c r="K1997" s="17" t="str">
        <x:v>2026-09-11</x:v>
      </x:c>
      <x:c r="L1997" s="17" t="str">
        <x:v>Not cycle-specific</x:v>
      </x:c>
      <x:c r="M1997" s="17" t="str">
        <x:v>low</x:v>
      </x:c>
      <x:c r="N1997" s="17" t="str">
        <x:v>Discovery evidence only</x:v>
      </x:c>
      <x:c r="O1997" s="17" t="str">
        <x:v>Use the source_record_paths field to trace the underlying discovery inputs.</x:v>
      </x:c>
      <x:c r="P1997" s="18" t="e">
        <x:f>HYPERLINK("https://www.csuohio.edu","Open source")</x:f>
        <x:v>HYPERLINK is not implemented. linkLocation=https://www.csuohio.edu, friendlyName=Open source</x:v>
      </x:c>
    </x:row>
    <x:row r="1998" ht="46" customHeight="1">
      <x:c r="A1998" s="17" t="str">
        <x:v>stage3src:279614cde1b4fe11e998</x:v>
      </x:c>
      <x:c r="B1998" s="17" t="str">
        <x:v>program</x:v>
      </x:c>
      <x:c r="C1998" s="17" t="str">
        <x:v>University of Dayton</x:v>
      </x:c>
      <x:c r="D1998" s="17" t="str">
        <x:v>us:ipeds:202480:program:unclear:ipeds-discovery-signal-computer-engineering-general-cip-14-0901</x:v>
      </x:c>
      <x:c r="E1998" s="17" t="str"/>
      <x:c r="F1998" s="17" t="str">
        <x:v>discovery</x:v>
      </x:c>
      <x:c r="G1998" s="17" t="str">
        <x:v>Stage 2 recorded this row as a discovery candidate; it does not independently verify an exact current research program, eligibility, or funding.</x:v>
      </x:c>
      <x:c r="H1998" s="17" t="str">
        <x:v>Pass 2 Stage 2 candidate funnel</x:v>
      </x:c>
      <x:c r="I1998" s="17" t="str">
        <x:v>Graduate audit pipeline</x:v>
      </x:c>
      <x:c r="J1998" s="17" t="str">
        <x:v>derived</x:v>
      </x:c>
      <x:c r="K1998" s="17" t="str">
        <x:v>2026-09-11</x:v>
      </x:c>
      <x:c r="L1998" s="17" t="str">
        <x:v>Not cycle-specific</x:v>
      </x:c>
      <x:c r="M1998" s="17" t="str">
        <x:v>low</x:v>
      </x:c>
      <x:c r="N1998" s="17" t="str">
        <x:v>Discovery evidence only</x:v>
      </x:c>
      <x:c r="O1998" s="17" t="str">
        <x:v>Use the source_record_paths field to trace the underlying discovery inputs.</x:v>
      </x:c>
      <x:c r="P1998" s="18" t="e">
        <x:f>HYPERLINK("https://udayton.edu","Open source")</x:f>
        <x:v>HYPERLINK is not implemented. linkLocation=https://udayton.edu, friendlyName=Open source</x:v>
      </x:c>
    </x:row>
    <x:row r="1999" ht="46" customHeight="1">
      <x:c r="A1999" s="17" t="str">
        <x:v>stage3src:c36c04a89b3a1bfbc51f</x:v>
      </x:c>
      <x:c r="B1999" s="17" t="str">
        <x:v>program</x:v>
      </x:c>
      <x:c r="C1999" s="17" t="str">
        <x:v>University of Dayton</x:v>
      </x:c>
      <x:c r="D1999" s="17" t="str">
        <x:v>us:ipeds:202480:program:unclear:ipeds-discovery-signal-computer-science-cip-11-0701</x:v>
      </x:c>
      <x:c r="E1999" s="17" t="str"/>
      <x:c r="F1999" s="17" t="str">
        <x:v>discovery</x:v>
      </x:c>
      <x:c r="G1999" s="17" t="str">
        <x:v>Stage 2 recorded this row as a discovery candidate; it does not independently verify an exact current research program, eligibility, or funding.</x:v>
      </x:c>
      <x:c r="H1999" s="17" t="str">
        <x:v>Pass 2 Stage 2 candidate funnel</x:v>
      </x:c>
      <x:c r="I1999" s="17" t="str">
        <x:v>Graduate audit pipeline</x:v>
      </x:c>
      <x:c r="J1999" s="17" t="str">
        <x:v>derived</x:v>
      </x:c>
      <x:c r="K1999" s="17" t="str">
        <x:v>2026-09-11</x:v>
      </x:c>
      <x:c r="L1999" s="17" t="str">
        <x:v>Not cycle-specific</x:v>
      </x:c>
      <x:c r="M1999" s="17" t="str">
        <x:v>low</x:v>
      </x:c>
      <x:c r="N1999" s="17" t="str">
        <x:v>Discovery evidence only</x:v>
      </x:c>
      <x:c r="O1999" s="17" t="str">
        <x:v>Use the source_record_paths field to trace the underlying discovery inputs.</x:v>
      </x:c>
      <x:c r="P1999" s="18" t="e">
        <x:f>HYPERLINK("https://udayton.edu","Open source")</x:f>
        <x:v>HYPERLINK is not implemented. linkLocation=https://udayton.edu, friendlyName=Open source</x:v>
      </x:c>
    </x:row>
    <x:row r="2000" ht="46" customHeight="1">
      <x:c r="A2000" s="17" t="str">
        <x:v>stage3src:55534b1e8fa51b0971ca</x:v>
      </x:c>
      <x:c r="B2000" s="17" t="str">
        <x:v>program</x:v>
      </x:c>
      <x:c r="C2000" s="17" t="str">
        <x:v>University of Dayton</x:v>
      </x:c>
      <x:c r="D2000" s="17" t="str">
        <x:v>us:ipeds:202480:program:unclear:ipeds-discovery-signal-electrical-and-electronics-engineering-cip-14-1001</x:v>
      </x:c>
      <x:c r="E2000" s="17" t="str"/>
      <x:c r="F2000" s="17" t="str">
        <x:v>discovery</x:v>
      </x:c>
      <x:c r="G2000" s="17" t="str">
        <x:v>Stage 2 recorded this row as a discovery candidate; it does not independently verify an exact current research program, eligibility, or funding.</x:v>
      </x:c>
      <x:c r="H2000" s="17" t="str">
        <x:v>Pass 2 Stage 2 candidate funnel</x:v>
      </x:c>
      <x:c r="I2000" s="17" t="str">
        <x:v>Graduate audit pipeline</x:v>
      </x:c>
      <x:c r="J2000" s="17" t="str">
        <x:v>derived</x:v>
      </x:c>
      <x:c r="K2000" s="17" t="str">
        <x:v>2026-09-11</x:v>
      </x:c>
      <x:c r="L2000" s="17" t="str">
        <x:v>Not cycle-specific</x:v>
      </x:c>
      <x:c r="M2000" s="17" t="str">
        <x:v>low</x:v>
      </x:c>
      <x:c r="N2000" s="17" t="str">
        <x:v>Discovery evidence only</x:v>
      </x:c>
      <x:c r="O2000" s="17" t="str">
        <x:v>Use the source_record_paths field to trace the underlying discovery inputs.</x:v>
      </x:c>
      <x:c r="P2000" s="18" t="e">
        <x:f>HYPERLINK("https://udayton.edu","Open source")</x:f>
        <x:v>HYPERLINK is not implemented. linkLocation=https://udayton.edu, friendlyName=Open source</x:v>
      </x:c>
    </x:row>
    <x:row r="2001" ht="46" customHeight="1">
      <x:c r="A2001" s="17" t="str">
        <x:v>stage3src:515827031b0d2df576a9</x:v>
      </x:c>
      <x:c r="B2001" s="17" t="str">
        <x:v>program</x:v>
      </x:c>
      <x:c r="C2001" s="17" t="str">
        <x:v>The University of Findlay</x:v>
      </x:c>
      <x:c r="D2001" s="17" t="str">
        <x:v>us:ipeds:202763:program:unclear:ipeds-discovery-signal-computer-and-information-systems-security-auditing-information-assurance-cip-11-1003</x:v>
      </x:c>
      <x:c r="E2001" s="17" t="str"/>
      <x:c r="F2001" s="17" t="str">
        <x:v>discovery</x:v>
      </x:c>
      <x:c r="G2001" s="17" t="str">
        <x:v>Stage 2 recorded this row as a discovery candidate; it does not independently verify an exact current research program, eligibility, or funding.</x:v>
      </x:c>
      <x:c r="H2001" s="17" t="str">
        <x:v>Pass 2 Stage 2 candidate funnel</x:v>
      </x:c>
      <x:c r="I2001" s="17" t="str">
        <x:v>Graduate audit pipeline</x:v>
      </x:c>
      <x:c r="J2001" s="17" t="str">
        <x:v>derived</x:v>
      </x:c>
      <x:c r="K2001" s="17" t="str">
        <x:v>2026-09-11</x:v>
      </x:c>
      <x:c r="L2001" s="17" t="str">
        <x:v>Not cycle-specific</x:v>
      </x:c>
      <x:c r="M2001" s="17" t="str">
        <x:v>low</x:v>
      </x:c>
      <x:c r="N2001" s="17" t="str">
        <x:v>Discovery evidence only</x:v>
      </x:c>
      <x:c r="O2001" s="17" t="str">
        <x:v>Use the source_record_paths field to trace the underlying discovery inputs.</x:v>
      </x:c>
      <x:c r="P2001" s="18" t="e">
        <x:f>HYPERLINK("https://findlay.edu","Open source")</x:f>
        <x:v>HYPERLINK is not implemented. linkLocation=https://findlay.edu, friendlyName=Open source</x:v>
      </x:c>
    </x:row>
    <x:row r="2002" ht="46" customHeight="1">
      <x:c r="A2002" s="17" t="str">
        <x:v>stage3src:7eb428c56a9e42b5eea5</x:v>
      </x:c>
      <x:c r="B2002" s="17" t="str">
        <x:v>program</x:v>
      </x:c>
      <x:c r="C2002" s="17" t="str">
        <x:v>Franklin University</x:v>
      </x:c>
      <x:c r="D2002" s="17" t="str">
        <x:v>us:ipeds:202806:program:unclear:ipeds-discovery-signal-computer-and-information-systems-security-auditing-information-assurance-cip-11-1003</x:v>
      </x:c>
      <x:c r="E2002" s="17" t="str"/>
      <x:c r="F2002" s="17" t="str">
        <x:v>discovery</x:v>
      </x:c>
      <x:c r="G2002" s="17" t="str">
        <x:v>Stage 2 recorded this row as a discovery candidate; it does not independently verify an exact current research program, eligibility, or funding.</x:v>
      </x:c>
      <x:c r="H2002" s="17" t="str">
        <x:v>Pass 2 Stage 2 candidate funnel</x:v>
      </x:c>
      <x:c r="I2002" s="17" t="str">
        <x:v>Graduate audit pipeline</x:v>
      </x:c>
      <x:c r="J2002" s="17" t="str">
        <x:v>derived</x:v>
      </x:c>
      <x:c r="K2002" s="17" t="str">
        <x:v>2026-09-11</x:v>
      </x:c>
      <x:c r="L2002" s="17" t="str">
        <x:v>Not cycle-specific</x:v>
      </x:c>
      <x:c r="M2002" s="17" t="str">
        <x:v>low</x:v>
      </x:c>
      <x:c r="N2002" s="17" t="str">
        <x:v>Discovery evidence only</x:v>
      </x:c>
      <x:c r="O2002" s="17" t="str">
        <x:v>Use the source_record_paths field to trace the underlying discovery inputs.</x:v>
      </x:c>
      <x:c r="P2002" s="18" t="e">
        <x:f>HYPERLINK("https://www.franklin.edu","Open source")</x:f>
        <x:v>HYPERLINK is not implemented. linkLocation=https://www.franklin.edu, friendlyName=Open source</x:v>
      </x:c>
    </x:row>
    <x:row r="2003" ht="46" customHeight="1">
      <x:c r="A2003" s="17" t="str">
        <x:v>stage3src:d9d9d28822d28de6d0a1</x:v>
      </x:c>
      <x:c r="B2003" s="17" t="str">
        <x:v>program</x:v>
      </x:c>
      <x:c r="C2003" s="17" t="str">
        <x:v>Franklin University</x:v>
      </x:c>
      <x:c r="D2003" s="17" t="str">
        <x:v>us:ipeds:202806:program:unclear:ipeds-discovery-signal-computer-science-cip-11-0701</x:v>
      </x:c>
      <x:c r="E2003" s="17" t="str"/>
      <x:c r="F2003" s="17" t="str">
        <x:v>discovery</x:v>
      </x:c>
      <x:c r="G2003" s="17" t="str">
        <x:v>Stage 2 recorded this row as a discovery candidate; it does not independently verify an exact current research program, eligibility, or funding.</x:v>
      </x:c>
      <x:c r="H2003" s="17" t="str">
        <x:v>Pass 2 Stage 2 candidate funnel</x:v>
      </x:c>
      <x:c r="I2003" s="17" t="str">
        <x:v>Graduate audit pipeline</x:v>
      </x:c>
      <x:c r="J2003" s="17" t="str">
        <x:v>derived</x:v>
      </x:c>
      <x:c r="K2003" s="17" t="str">
        <x:v>2026-09-11</x:v>
      </x:c>
      <x:c r="L2003" s="17" t="str">
        <x:v>Not cycle-specific</x:v>
      </x:c>
      <x:c r="M2003" s="17" t="str">
        <x:v>low</x:v>
      </x:c>
      <x:c r="N2003" s="17" t="str">
        <x:v>Discovery evidence only</x:v>
      </x:c>
      <x:c r="O2003" s="17" t="str">
        <x:v>Use the source_record_paths field to trace the underlying discovery inputs.</x:v>
      </x:c>
      <x:c r="P2003" s="18" t="e">
        <x:f>HYPERLINK("https://www.franklin.edu","Open source")</x:f>
        <x:v>HYPERLINK is not implemented. linkLocation=https://www.franklin.edu, friendlyName=Open source</x:v>
      </x:c>
    </x:row>
    <x:row r="2004" ht="46" customHeight="1">
      <x:c r="A2004" s="17" t="str">
        <x:v>stage3src:b7b27ceef4afdd5c5c7c</x:v>
      </x:c>
      <x:c r="B2004" s="17" t="str">
        <x:v>program</x:v>
      </x:c>
      <x:c r="C2004" s="17" t="str">
        <x:v>Franklin University</x:v>
      </x:c>
      <x:c r="D2004" s="17" t="str">
        <x:v>us:ipeds:202806:program:unclear:ipeds-discovery-signal-data-analytics-general-cip-30-7101</x:v>
      </x:c>
      <x:c r="E2004" s="17" t="str"/>
      <x:c r="F2004" s="17" t="str">
        <x:v>discovery</x:v>
      </x:c>
      <x:c r="G2004" s="17" t="str">
        <x:v>Stage 2 recorded this row as a discovery candidate; it does not independently verify an exact current research program, eligibility, or funding.</x:v>
      </x:c>
      <x:c r="H2004" s="17" t="str">
        <x:v>Pass 2 Stage 2 candidate funnel</x:v>
      </x:c>
      <x:c r="I2004" s="17" t="str">
        <x:v>Graduate audit pipeline</x:v>
      </x:c>
      <x:c r="J2004" s="17" t="str">
        <x:v>derived</x:v>
      </x:c>
      <x:c r="K2004" s="17" t="str">
        <x:v>2026-09-11</x:v>
      </x:c>
      <x:c r="L2004" s="17" t="str">
        <x:v>Not cycle-specific</x:v>
      </x:c>
      <x:c r="M2004" s="17" t="str">
        <x:v>low</x:v>
      </x:c>
      <x:c r="N2004" s="17" t="str">
        <x:v>Discovery evidence only</x:v>
      </x:c>
      <x:c r="O2004" s="17" t="str">
        <x:v>Use the source_record_paths field to trace the underlying discovery inputs.</x:v>
      </x:c>
      <x:c r="P2004" s="18" t="e">
        <x:f>HYPERLINK("https://www.franklin.edu","Open source")</x:f>
        <x:v>HYPERLINK is not implemented. linkLocation=https://www.franklin.edu, friendlyName=Open source</x:v>
      </x:c>
    </x:row>
    <x:row r="2005" ht="46" customHeight="1">
      <x:c r="A2005" s="17" t="str">
        <x:v>stage3src:5b30bd07425f5662f83b</x:v>
      </x:c>
      <x:c r="B2005" s="17" t="str">
        <x:v>program</x:v>
      </x:c>
      <x:c r="C2005" s="17" t="str">
        <x:v>Franklin University</x:v>
      </x:c>
      <x:c r="D2005" s="17" t="str">
        <x:v>us:ipeds:202806:program:unclear:ipeds-discovery-signal-information-technology-cip-11-0103</x:v>
      </x:c>
      <x:c r="E2005" s="17" t="str"/>
      <x:c r="F2005" s="17" t="str">
        <x:v>discovery</x:v>
      </x:c>
      <x:c r="G2005" s="17" t="str">
        <x:v>Stage 2 recorded this row as a discovery candidate; it does not independently verify an exact current research program, eligibility, or funding.</x:v>
      </x:c>
      <x:c r="H2005" s="17" t="str">
        <x:v>Pass 2 Stage 2 candidate funnel</x:v>
      </x:c>
      <x:c r="I2005" s="17" t="str">
        <x:v>Graduate audit pipeline</x:v>
      </x:c>
      <x:c r="J2005" s="17" t="str">
        <x:v>derived</x:v>
      </x:c>
      <x:c r="K2005" s="17" t="str">
        <x:v>2026-09-11</x:v>
      </x:c>
      <x:c r="L2005" s="17" t="str">
        <x:v>Not cycle-specific</x:v>
      </x:c>
      <x:c r="M2005" s="17" t="str">
        <x:v>low</x:v>
      </x:c>
      <x:c r="N2005" s="17" t="str">
        <x:v>Discovery evidence only</x:v>
      </x:c>
      <x:c r="O2005" s="17" t="str">
        <x:v>Use the source_record_paths field to trace the underlying discovery inputs.</x:v>
      </x:c>
      <x:c r="P2005" s="18" t="e">
        <x:f>HYPERLINK("https://www.franklin.edu","Open source")</x:f>
        <x:v>HYPERLINK is not implemented. linkLocation=https://www.franklin.edu, friendlyName=Open source</x:v>
      </x:c>
    </x:row>
    <x:row r="2006" ht="46" customHeight="1">
      <x:c r="A2006" s="17" t="str">
        <x:v>stage3src:15394acaae4327491372</x:v>
      </x:c>
      <x:c r="B2006" s="17" t="str">
        <x:v>program</x:v>
      </x:c>
      <x:c r="C2006" s="17" t="str">
        <x:v>Kent State University at Kent</x:v>
      </x:c>
      <x:c r="D2006" s="17" t="str">
        <x:v>us:ipeds:203517:program:unclear:ipeds-discovery-signal-artificial-intelligence-cip-11-0102</x:v>
      </x:c>
      <x:c r="E2006" s="17" t="str"/>
      <x:c r="F2006" s="17" t="str">
        <x:v>discovery</x:v>
      </x:c>
      <x:c r="G2006" s="17" t="str">
        <x:v>Stage 2 recorded this row as a discovery candidate; it does not independently verify an exact current research program, eligibility, or funding.</x:v>
      </x:c>
      <x:c r="H2006" s="17" t="str">
        <x:v>Pass 2 Stage 2 candidate funnel</x:v>
      </x:c>
      <x:c r="I2006" s="17" t="str">
        <x:v>Graduate audit pipeline</x:v>
      </x:c>
      <x:c r="J2006" s="17" t="str">
        <x:v>derived</x:v>
      </x:c>
      <x:c r="K2006" s="17" t="str">
        <x:v>2026-09-11</x:v>
      </x:c>
      <x:c r="L2006" s="17" t="str">
        <x:v>Not cycle-specific</x:v>
      </x:c>
      <x:c r="M2006" s="17" t="str">
        <x:v>low</x:v>
      </x:c>
      <x:c r="N2006" s="17" t="str">
        <x:v>Discovery evidence only</x:v>
      </x:c>
      <x:c r="O2006" s="17" t="str">
        <x:v>Use the source_record_paths field to trace the underlying discovery inputs.</x:v>
      </x:c>
      <x:c r="P2006" s="18" t="e">
        <x:f>HYPERLINK("https://www.kent.edu","Open source")</x:f>
        <x:v>HYPERLINK is not implemented. linkLocation=https://www.kent.edu, friendlyName=Open source</x:v>
      </x:c>
    </x:row>
    <x:row r="2007" ht="46" customHeight="1">
      <x:c r="A2007" s="17" t="str">
        <x:v>stage3src:8815c7e4a08d95d9f859</x:v>
      </x:c>
      <x:c r="B2007" s="17" t="str">
        <x:v>program</x:v>
      </x:c>
      <x:c r="C2007" s="17" t="str">
        <x:v>Kent State University at Kent</x:v>
      </x:c>
      <x:c r="D2007" s="17" t="str">
        <x:v>us:ipeds:203517:program:unclear:ipeds-discovery-signal-computer-and-information-sciences-general-cip-11-0101</x:v>
      </x:c>
      <x:c r="E2007" s="17" t="str"/>
      <x:c r="F2007" s="17" t="str">
        <x:v>discovery</x:v>
      </x:c>
      <x:c r="G2007" s="17" t="str">
        <x:v>Stage 2 recorded this row as a discovery candidate; it does not independently verify an exact current research program, eligibility, or funding.</x:v>
      </x:c>
      <x:c r="H2007" s="17" t="str">
        <x:v>Pass 2 Stage 2 candidate funnel</x:v>
      </x:c>
      <x:c r="I2007" s="17" t="str">
        <x:v>Graduate audit pipeline</x:v>
      </x:c>
      <x:c r="J2007" s="17" t="str">
        <x:v>derived</x:v>
      </x:c>
      <x:c r="K2007" s="17" t="str">
        <x:v>2026-09-11</x:v>
      </x:c>
      <x:c r="L2007" s="17" t="str">
        <x:v>Not cycle-specific</x:v>
      </x:c>
      <x:c r="M2007" s="17" t="str">
        <x:v>low</x:v>
      </x:c>
      <x:c r="N2007" s="17" t="str">
        <x:v>Discovery evidence only</x:v>
      </x:c>
      <x:c r="O2007" s="17" t="str">
        <x:v>Use the source_record_paths field to trace the underlying discovery inputs.</x:v>
      </x:c>
      <x:c r="P2007" s="18" t="e">
        <x:f>HYPERLINK("https://www.kent.edu","Open source")</x:f>
        <x:v>HYPERLINK is not implemented. linkLocation=https://www.kent.edu, friendlyName=Open source</x:v>
      </x:c>
    </x:row>
    <x:row r="2008" ht="46" customHeight="1">
      <x:c r="A2008" s="17" t="str">
        <x:v>stage3src:d0805f0de288db2cb38f</x:v>
      </x:c>
      <x:c r="B2008" s="17" t="str">
        <x:v>program</x:v>
      </x:c>
      <x:c r="C2008" s="17" t="str">
        <x:v>Kent State University at Kent</x:v>
      </x:c>
      <x:c r="D2008" s="17" t="str">
        <x:v>us:ipeds:203517:program:unclear:ipeds-discovery-signal-computer-science-cip-11-0701</x:v>
      </x:c>
      <x:c r="E2008" s="17" t="str"/>
      <x:c r="F2008" s="17" t="str">
        <x:v>discovery</x:v>
      </x:c>
      <x:c r="G2008" s="17" t="str">
        <x:v>Stage 2 recorded this row as a discovery candidate; it does not independently verify an exact current research program, eligibility, or funding.</x:v>
      </x:c>
      <x:c r="H2008" s="17" t="str">
        <x:v>Pass 2 Stage 2 candidate funnel</x:v>
      </x:c>
      <x:c r="I2008" s="17" t="str">
        <x:v>Graduate audit pipeline</x:v>
      </x:c>
      <x:c r="J2008" s="17" t="str">
        <x:v>derived</x:v>
      </x:c>
      <x:c r="K2008" s="17" t="str">
        <x:v>2026-09-11</x:v>
      </x:c>
      <x:c r="L2008" s="17" t="str">
        <x:v>Not cycle-specific</x:v>
      </x:c>
      <x:c r="M2008" s="17" t="str">
        <x:v>low</x:v>
      </x:c>
      <x:c r="N2008" s="17" t="str">
        <x:v>Discovery evidence only</x:v>
      </x:c>
      <x:c r="O2008" s="17" t="str">
        <x:v>Use the source_record_paths field to trace the underlying discovery inputs.</x:v>
      </x:c>
      <x:c r="P2008" s="18" t="e">
        <x:f>HYPERLINK("https://www.kent.edu","Open source")</x:f>
        <x:v>HYPERLINK is not implemented. linkLocation=https://www.kent.edu, friendlyName=Open source</x:v>
      </x:c>
    </x:row>
    <x:row r="2009" ht="46" customHeight="1">
      <x:c r="A2009" s="17" t="str">
        <x:v>stage3src:4473f6628b006e69779b</x:v>
      </x:c>
      <x:c r="B2009" s="17" t="str">
        <x:v>program</x:v>
      </x:c>
      <x:c r="C2009" s="17" t="str">
        <x:v>Kent State University at Kent</x:v>
      </x:c>
      <x:c r="D2009" s="17" t="str">
        <x:v>us:ipeds:203517:program:unclear:ipeds-discovery-signal-data-science-general-cip-30-7001</x:v>
      </x:c>
      <x:c r="E2009" s="17" t="str"/>
      <x:c r="F2009" s="17" t="str">
        <x:v>discovery</x:v>
      </x:c>
      <x:c r="G2009" s="17" t="str">
        <x:v>Stage 2 recorded this row as a discovery candidate; it does not independently verify an exact current research program, eligibility, or funding.</x:v>
      </x:c>
      <x:c r="H2009" s="17" t="str">
        <x:v>Pass 2 Stage 2 candidate funnel</x:v>
      </x:c>
      <x:c r="I2009" s="17" t="str">
        <x:v>Graduate audit pipeline</x:v>
      </x:c>
      <x:c r="J2009" s="17" t="str">
        <x:v>derived</x:v>
      </x:c>
      <x:c r="K2009" s="17" t="str">
        <x:v>2026-09-11</x:v>
      </x:c>
      <x:c r="L2009" s="17" t="str">
        <x:v>Not cycle-specific</x:v>
      </x:c>
      <x:c r="M2009" s="17" t="str">
        <x:v>low</x:v>
      </x:c>
      <x:c r="N2009" s="17" t="str">
        <x:v>Discovery evidence only</x:v>
      </x:c>
      <x:c r="O2009" s="17" t="str">
        <x:v>Use the source_record_paths field to trace the underlying discovery inputs.</x:v>
      </x:c>
      <x:c r="P2009" s="18" t="e">
        <x:f>HYPERLINK("https://www.kent.edu","Open source")</x:f>
        <x:v>HYPERLINK is not implemented. linkLocation=https://www.kent.edu, friendlyName=Open source</x:v>
      </x:c>
    </x:row>
    <x:row r="2010" ht="46" customHeight="1">
      <x:c r="A2010" s="17" t="str">
        <x:v>stage3src:742f8dceaa793d006d47</x:v>
      </x:c>
      <x:c r="B2010" s="17" t="str">
        <x:v>program</x:v>
      </x:c>
      <x:c r="C2010" s="17" t="str">
        <x:v>Kent State University at Kent</x:v>
      </x:c>
      <x:c r="D2010" s="17" t="str">
        <x:v>us:ipeds:203517:program:unclear:ipeds-discovery-signal-human-centered-technology-design-cip-11-0105</x:v>
      </x:c>
      <x:c r="E2010" s="17" t="str"/>
      <x:c r="F2010" s="17" t="str">
        <x:v>discovery</x:v>
      </x:c>
      <x:c r="G2010" s="17" t="str">
        <x:v>Stage 2 recorded this row as a discovery candidate; it does not independently verify an exact current research program, eligibility, or funding.</x:v>
      </x:c>
      <x:c r="H2010" s="17" t="str">
        <x:v>Pass 2 Stage 2 candidate funnel</x:v>
      </x:c>
      <x:c r="I2010" s="17" t="str">
        <x:v>Graduate audit pipeline</x:v>
      </x:c>
      <x:c r="J2010" s="17" t="str">
        <x:v>derived</x:v>
      </x:c>
      <x:c r="K2010" s="17" t="str">
        <x:v>2026-09-11</x:v>
      </x:c>
      <x:c r="L2010" s="17" t="str">
        <x:v>Not cycle-specific</x:v>
      </x:c>
      <x:c r="M2010" s="17" t="str">
        <x:v>low</x:v>
      </x:c>
      <x:c r="N2010" s="17" t="str">
        <x:v>Discovery evidence only</x:v>
      </x:c>
      <x:c r="O2010" s="17" t="str">
        <x:v>Use the source_record_paths field to trace the underlying discovery inputs.</x:v>
      </x:c>
      <x:c r="P2010" s="18" t="e">
        <x:f>HYPERLINK("https://www.kent.edu","Open source")</x:f>
        <x:v>HYPERLINK is not implemented. linkLocation=https://www.kent.edu, friendlyName=Open source</x:v>
      </x:c>
    </x:row>
    <x:row r="2011" ht="46" customHeight="1">
      <x:c r="A2011" s="17" t="str">
        <x:v>stage3src:71a060886bfca9718b8e</x:v>
      </x:c>
      <x:c r="B2011" s="17" t="str">
        <x:v>program</x:v>
      </x:c>
      <x:c r="C2011" s="17" t="str">
        <x:v>Kent State University at Kent</x:v>
      </x:c>
      <x:c r="D2011" s="17" t="str">
        <x:v>us:ipeds:203517:program:unclear:ipeds-discovery-signal-information-science-studies-cip-11-0401</x:v>
      </x:c>
      <x:c r="E2011" s="17" t="str"/>
      <x:c r="F2011" s="17" t="str">
        <x:v>discovery</x:v>
      </x:c>
      <x:c r="G2011" s="17" t="str">
        <x:v>Stage 2 recorded this row as a discovery candidate; it does not independently verify an exact current research program, eligibility, or funding.</x:v>
      </x:c>
      <x:c r="H2011" s="17" t="str">
        <x:v>Pass 2 Stage 2 candidate funnel</x:v>
      </x:c>
      <x:c r="I2011" s="17" t="str">
        <x:v>Graduate audit pipeline</x:v>
      </x:c>
      <x:c r="J2011" s="17" t="str">
        <x:v>derived</x:v>
      </x:c>
      <x:c r="K2011" s="17" t="str">
        <x:v>2026-09-11</x:v>
      </x:c>
      <x:c r="L2011" s="17" t="str">
        <x:v>Not cycle-specific</x:v>
      </x:c>
      <x:c r="M2011" s="17" t="str">
        <x:v>low</x:v>
      </x:c>
      <x:c r="N2011" s="17" t="str">
        <x:v>Discovery evidence only</x:v>
      </x:c>
      <x:c r="O2011" s="17" t="str">
        <x:v>Use the source_record_paths field to trace the underlying discovery inputs.</x:v>
      </x:c>
      <x:c r="P2011" s="18" t="e">
        <x:f>HYPERLINK("https://www.kent.edu","Open source")</x:f>
        <x:v>HYPERLINK is not implemented. linkLocation=https://www.kent.edu, friendlyName=Open source</x:v>
      </x:c>
    </x:row>
    <x:row r="2012" ht="46" customHeight="1">
      <x:c r="A2012" s="17" t="str">
        <x:v>stage3src:a8a62c306992888b7231</x:v>
      </x:c>
      <x:c r="B2012" s="17" t="str">
        <x:v>program</x:v>
      </x:c>
      <x:c r="C2012" s="17" t="str">
        <x:v>Kent State University at Kent</x:v>
      </x:c>
      <x:c r="D2012" s="17" t="str">
        <x:v>us:ipeds:203517:program:unclear:ipeds-discovery-signal-mechatronics-robotics-and-automation-engineering-cip-14-4201</x:v>
      </x:c>
      <x:c r="E2012" s="17" t="str"/>
      <x:c r="F2012" s="17" t="str">
        <x:v>discovery</x:v>
      </x:c>
      <x:c r="G2012" s="17" t="str">
        <x:v>Stage 2 recorded this row as a discovery candidate; it does not independently verify an exact current research program, eligibility, or funding.</x:v>
      </x:c>
      <x:c r="H2012" s="17" t="str">
        <x:v>Pass 2 Stage 2 candidate funnel</x:v>
      </x:c>
      <x:c r="I2012" s="17" t="str">
        <x:v>Graduate audit pipeline</x:v>
      </x:c>
      <x:c r="J2012" s="17" t="str">
        <x:v>derived</x:v>
      </x:c>
      <x:c r="K2012" s="17" t="str">
        <x:v>2026-09-11</x:v>
      </x:c>
      <x:c r="L2012" s="17" t="str">
        <x:v>Not cycle-specific</x:v>
      </x:c>
      <x:c r="M2012" s="17" t="str">
        <x:v>low</x:v>
      </x:c>
      <x:c r="N2012" s="17" t="str">
        <x:v>Discovery evidence only</x:v>
      </x:c>
      <x:c r="O2012" s="17" t="str">
        <x:v>Use the source_record_paths field to trace the underlying discovery inputs.</x:v>
      </x:c>
      <x:c r="P2012" s="18" t="e">
        <x:f>HYPERLINK("https://www.kent.edu","Open source")</x:f>
        <x:v>HYPERLINK is not implemented. linkLocation=https://www.kent.edu, friendlyName=Open source</x:v>
      </x:c>
    </x:row>
    <x:row r="2013" ht="46" customHeight="1">
      <x:c r="A2013" s="17" t="str">
        <x:v>stage3src:a670112478631e14ff7a</x:v>
      </x:c>
      <x:c r="B2013" s="17" t="str">
        <x:v>program</x:v>
      </x:c>
      <x:c r="C2013" s="17" t="str">
        <x:v>Miami University-Oxford</x:v>
      </x:c>
      <x:c r="D2013" s="17" t="str">
        <x:v>us:ipeds:204024:program:unclear:ipeds-discovery-signal-computer-science-cip-11-0701</x:v>
      </x:c>
      <x:c r="E2013" s="17" t="str"/>
      <x:c r="F2013" s="17" t="str">
        <x:v>discovery</x:v>
      </x:c>
      <x:c r="G2013" s="17" t="str">
        <x:v>Stage 2 recorded this row as a discovery candidate; it does not independently verify an exact current research program, eligibility, or funding.</x:v>
      </x:c>
      <x:c r="H2013" s="17" t="str">
        <x:v>Pass 2 Stage 2 candidate funnel</x:v>
      </x:c>
      <x:c r="I2013" s="17" t="str">
        <x:v>Graduate audit pipeline</x:v>
      </x:c>
      <x:c r="J2013" s="17" t="str">
        <x:v>derived</x:v>
      </x:c>
      <x:c r="K2013" s="17" t="str">
        <x:v>2026-09-11</x:v>
      </x:c>
      <x:c r="L2013" s="17" t="str">
        <x:v>Not cycle-specific</x:v>
      </x:c>
      <x:c r="M2013" s="17" t="str">
        <x:v>low</x:v>
      </x:c>
      <x:c r="N2013" s="17" t="str">
        <x:v>Discovery evidence only</x:v>
      </x:c>
      <x:c r="O2013" s="17" t="str">
        <x:v>Use the source_record_paths field to trace the underlying discovery inputs.</x:v>
      </x:c>
      <x:c r="P2013" s="18" t="e">
        <x:f>HYPERLINK("https://miamioh.edu","Open source")</x:f>
        <x:v>HYPERLINK is not implemented. linkLocation=https://miamioh.edu, friendlyName=Open source</x:v>
      </x:c>
    </x:row>
    <x:row r="2014" ht="46" customHeight="1">
      <x:c r="A2014" s="17" t="str">
        <x:v>stage3src:5a1886e0a9a41c2a684b</x:v>
      </x:c>
      <x:c r="B2014" s="17" t="str">
        <x:v>program</x:v>
      </x:c>
      <x:c r="C2014" s="17" t="str">
        <x:v>Ohio State University-Main Campus</x:v>
      </x:c>
      <x:c r="D2014" s="17" t="str">
        <x:v>us:ipeds:204796:program:phd:computer-science-and-engineering-phd</x:v>
      </x:c>
      <x:c r="E2014" s="17" t="str"/>
      <x:c r="F2014" s="17" t="str">
        <x:v>fees|tuition</x:v>
      </x:c>
      <x:c r="G2014" s="17" t="str">
        <x:v>Published 2026-2027 international graduate tuition and fee estimate and detailed fee schedule.</x:v>
      </x:c>
      <x:c r="H2014" s="17" t="str">
        <x:v>Graduate costs</x:v>
      </x:c>
      <x:c r="I2014" s="17" t="str">
        <x:v>Ohio State Graduate and Professional Admissions</x:v>
      </x:c>
      <x:c r="J2014" s="17" t="str">
        <x:v>official</x:v>
      </x:c>
      <x:c r="K2014" s="17" t="str">
        <x:v>2026-09-10</x:v>
      </x:c>
      <x:c r="L2014" s="17" t="str">
        <x:v>2026-2027</x:v>
      </x:c>
      <x:c r="M2014" s="17" t="str">
        <x:v>high</x:v>
      </x:c>
      <x:c r="N2014" s="17" t="str">
        <x:v>official page checked</x:v>
      </x:c>
      <x:c r="O2014" s="17" t="str"/>
      <x:c r="P2014" s="18" t="e">
        <x:f>HYPERLINK("https://gpadmissions.osu.edu/costs/graduate.html","Open source")</x:f>
        <x:v>HYPERLINK is not implemented. linkLocation=https://gpadmissions.osu.edu/costs/graduate.html, friendlyName=Open source</x:v>
      </x:c>
    </x:row>
    <x:row r="2015" ht="46" customHeight="1">
      <x:c r="A2015" s="17" t="str">
        <x:v>stage3src:6346a3ace2e8c1faadde</x:v>
      </x:c>
      <x:c r="B2015" s="17" t="str">
        <x:v>program</x:v>
      </x:c>
      <x:c r="C2015" s="17" t="str">
        <x:v>Ohio State University-Main Campus</x:v>
      </x:c>
      <x:c r="D2015" s="17" t="str">
        <x:v>us:ipeds:204796:program:phd:computer-science-and-engineering-phd</x:v>
      </x:c>
      <x:c r="E2015" s="17" t="str"/>
      <x:c r="F2015" s="17" t="str">
        <x:v>program</x:v>
      </x:c>
      <x:c r="G2015" s="17" t="str">
        <x:v>Current research doctorate and degree requirements in Computer Science and Engineering.</x:v>
      </x:c>
      <x:c r="H2015" s="17" t="str">
        <x:v>Doctor of Philosophy Program</x:v>
      </x:c>
      <x:c r="I2015" s="17" t="str">
        <x:v>Ohio State Department of Computer Science and Engineering</x:v>
      </x:c>
      <x:c r="J2015" s="17" t="str">
        <x:v>official</x:v>
      </x:c>
      <x:c r="K2015" s="17" t="str">
        <x:v>2026-09-10</x:v>
      </x:c>
      <x:c r="L2015" s="17" t="str">
        <x:v>Current page checked 2026-09-10</x:v>
      </x:c>
      <x:c r="M2015" s="17" t="str">
        <x:v>high</x:v>
      </x:c>
      <x:c r="N2015" s="17" t="str">
        <x:v>official page checked</x:v>
      </x:c>
      <x:c r="O2015" s="17" t="str"/>
      <x:c r="P2015" s="18" t="e">
        <x:f>HYPERLINK("https://cse.osu.edu/graduate/graduate/doctor-philosophy-program","Open source")</x:f>
        <x:v>HYPERLINK is not implemented. linkLocation=https://cse.osu.edu/graduate/graduate/doctor-philosophy-program, friendlyName=Open source</x:v>
      </x:c>
    </x:row>
    <x:row r="2016" ht="46" customHeight="1">
      <x:c r="A2016" s="17" t="str">
        <x:v>stage3src:8e26070c7aa2ea8003fa</x:v>
      </x:c>
      <x:c r="B2016" s="17" t="str">
        <x:v>program</x:v>
      </x:c>
      <x:c r="C2016" s="17" t="str">
        <x:v>Ohio State University-Main Campus</x:v>
      </x:c>
      <x:c r="D2016" s="17" t="str">
        <x:v>us:ipeds:204796:program:phd:computer-science-and-engineering-phd</x:v>
      </x:c>
      <x:c r="E2016" s="17" t="str"/>
      <x:c r="F2016" s="17" t="str">
        <x:v>admissions|eligibility|language|deadline|fees</x:v>
      </x:c>
      <x:c r="G2016" s="17" t="str">
        <x:v>Autumn 2027 dates, 3.0 minimum, international Autumn-only rule, application materials, and lack of CSE fee waivers.</x:v>
      </x:c>
      <x:c r="H2016" s="17" t="str">
        <x:v>CSE Graduate Admissions</x:v>
      </x:c>
      <x:c r="I2016" s="17" t="str">
        <x:v>Ohio State Department of Computer Science and Engineering</x:v>
      </x:c>
      <x:c r="J2016" s="17" t="str">
        <x:v>official</x:v>
      </x:c>
      <x:c r="K2016" s="17" t="str">
        <x:v>2026-09-10</x:v>
      </x:c>
      <x:c r="L2016" s="17" t="str">
        <x:v>Autumn 2027</x:v>
      </x:c>
      <x:c r="M2016" s="17" t="str">
        <x:v>high</x:v>
      </x:c>
      <x:c r="N2016" s="17" t="str">
        <x:v>official page checked</x:v>
      </x:c>
      <x:c r="O2016" s="17" t="str"/>
      <x:c r="P2016" s="18" t="e">
        <x:f>HYPERLINK("https://cse.osu.edu/graduate/cse-graduate-admissions","Open source")</x:f>
        <x:v>HYPERLINK is not implemented. linkLocation=https://cse.osu.edu/graduate/cse-graduate-admissions, friendlyName=Open source</x:v>
      </x:c>
    </x:row>
    <x:row r="2017" ht="46" customHeight="1">
      <x:c r="A2017" s="17" t="str">
        <x:v>stage3src:e2af40a50bb74f7eab7f</x:v>
      </x:c>
      <x:c r="B2017" s="17" t="str">
        <x:v>program</x:v>
      </x:c>
      <x:c r="C2017" s="17" t="str">
        <x:v>Ohio State University-Main Campus</x:v>
      </x:c>
      <x:c r="D2017" s="17" t="str">
        <x:v>us:ipeds:204796:program:phd:computer-science-and-engineering-phd</x:v>
      </x:c>
      <x:c r="E2017" s="17" t="str"/>
      <x:c r="F2017" s="17" t="str">
        <x:v>funding|fees</x:v>
      </x:c>
      <x:c r="G2017" s="17" t="str">
        <x:v>Limited GA availability, international eligibility, nine-month stipend, fee authorization, health subsidy, and summer fee authorization rules.</x:v>
      </x:c>
      <x:c r="H2017" s="17" t="str">
        <x:v>Funding</x:v>
      </x:c>
      <x:c r="I2017" s="17" t="str">
        <x:v>Ohio State Department of Computer Science and Engineering</x:v>
      </x:c>
      <x:c r="J2017" s="17" t="str">
        <x:v>official</x:v>
      </x:c>
      <x:c r="K2017" s="17" t="str">
        <x:v>2026-09-10</x:v>
      </x:c>
      <x:c r="L2017" s="17" t="str">
        <x:v>Current page checked 2026-09-10</x:v>
      </x:c>
      <x:c r="M2017" s="17" t="str">
        <x:v>high</x:v>
      </x:c>
      <x:c r="N2017" s="17" t="str">
        <x:v>official page checked</x:v>
      </x:c>
      <x:c r="O2017" s="17" t="str"/>
      <x:c r="P2017" s="18" t="e">
        <x:f>HYPERLINK("https://cse.osu.edu/prospective-students/graduate/graduate/funding","Open source")</x:f>
        <x:v>HYPERLINK is not implemented. linkLocation=https://cse.osu.edu/prospective-students/graduate/graduate/funding, friendlyName=Open source</x:v>
      </x:c>
    </x:row>
    <x:row r="2018" ht="46" customHeight="1">
      <x:c r="A2018" s="17" t="str">
        <x:v>stage3src:c12562a3dcd2fb5f8733</x:v>
      </x:c>
      <x:c r="B2018" s="17" t="str">
        <x:v>program</x:v>
      </x:c>
      <x:c r="C2018" s="17" t="str">
        <x:v>Ohio State University-Main Campus</x:v>
      </x:c>
      <x:c r="D2018" s="17" t="str">
        <x:v>us:ipeds:204796:program:unclear:ipeds-discovery-signal-computer-engineering-general-cip-14-0901</x:v>
      </x:c>
      <x:c r="E2018" s="17" t="str"/>
      <x:c r="F2018" s="17" t="str">
        <x:v>discovery</x:v>
      </x:c>
      <x:c r="G2018" s="17" t="str">
        <x:v>Stage 2 recorded this row as a discovery candidate; it does not independently verify an exact current research program, eligibility, or funding.</x:v>
      </x:c>
      <x:c r="H2018" s="17" t="str">
        <x:v>Pass 2 Stage 2 candidate funnel</x:v>
      </x:c>
      <x:c r="I2018" s="17" t="str">
        <x:v>Graduate audit pipeline</x:v>
      </x:c>
      <x:c r="J2018" s="17" t="str">
        <x:v>derived</x:v>
      </x:c>
      <x:c r="K2018" s="17" t="str">
        <x:v>2026-09-11</x:v>
      </x:c>
      <x:c r="L2018" s="17" t="str">
        <x:v>Not cycle-specific</x:v>
      </x:c>
      <x:c r="M2018" s="17" t="str">
        <x:v>low</x:v>
      </x:c>
      <x:c r="N2018" s="17" t="str">
        <x:v>Discovery evidence only</x:v>
      </x:c>
      <x:c r="O2018" s="17" t="str">
        <x:v>Use the source_record_paths field to trace the underlying discovery inputs.</x:v>
      </x:c>
      <x:c r="P2018" s="18" t="e">
        <x:f>HYPERLINK("https://www.osu.edu","Open source")</x:f>
        <x:v>HYPERLINK is not implemented. linkLocation=https://www.osu.edu, friendlyName=Open source</x:v>
      </x:c>
    </x:row>
    <x:row r="2019" ht="46" customHeight="1">
      <x:c r="A2019" s="17" t="str">
        <x:v>stage3src:928a9896190903aa0232</x:v>
      </x:c>
      <x:c r="B2019" s="17" t="str">
        <x:v>program</x:v>
      </x:c>
      <x:c r="C2019" s="17" t="str">
        <x:v>Ohio State University-Main Campus</x:v>
      </x:c>
      <x:c r="D2019" s="17" t="str">
        <x:v>us:ipeds:204796:program:unclear:ipeds-discovery-signal-electrical-and-electronics-engineering-cip-14-1001</x:v>
      </x:c>
      <x:c r="E2019" s="17" t="str"/>
      <x:c r="F2019" s="17" t="str">
        <x:v>discovery</x:v>
      </x:c>
      <x:c r="G2019" s="17" t="str">
        <x:v>Stage 2 recorded this row as a discovery candidate; it does not independently verify an exact current research program, eligibility, or funding.</x:v>
      </x:c>
      <x:c r="H2019" s="17" t="str">
        <x:v>Pass 2 Stage 2 candidate funnel</x:v>
      </x:c>
      <x:c r="I2019" s="17" t="str">
        <x:v>Graduate audit pipeline</x:v>
      </x:c>
      <x:c r="J2019" s="17" t="str">
        <x:v>derived</x:v>
      </x:c>
      <x:c r="K2019" s="17" t="str">
        <x:v>2026-09-11</x:v>
      </x:c>
      <x:c r="L2019" s="17" t="str">
        <x:v>Not cycle-specific</x:v>
      </x:c>
      <x:c r="M2019" s="17" t="str">
        <x:v>low</x:v>
      </x:c>
      <x:c r="N2019" s="17" t="str">
        <x:v>Discovery evidence only</x:v>
      </x:c>
      <x:c r="O2019" s="17" t="str">
        <x:v>Use the source_record_paths field to trace the underlying discovery inputs.</x:v>
      </x:c>
      <x:c r="P2019" s="18" t="e">
        <x:f>HYPERLINK("https://www.osu.edu","Open source")</x:f>
        <x:v>HYPERLINK is not implemented. linkLocation=https://www.osu.edu, friendlyName=Open source</x:v>
      </x:c>
    </x:row>
    <x:row r="2020" ht="46" customHeight="1">
      <x:c r="A2020" s="17" t="str">
        <x:v>stage3src:5ed8c3a6789b1f0d010d</x:v>
      </x:c>
      <x:c r="B2020" s="17" t="str">
        <x:v>program</x:v>
      </x:c>
      <x:c r="C2020" s="17" t="str">
        <x:v>Ohio State University-Main Campus</x:v>
      </x:c>
      <x:c r="D2020" s="17" t="str">
        <x:v>us:ipeds:204796:program:unclear:ipeds-discovery-signal-information-science-studies-cip-11-0401</x:v>
      </x:c>
      <x:c r="E2020" s="17" t="str"/>
      <x:c r="F2020" s="17" t="str">
        <x:v>discovery</x:v>
      </x:c>
      <x:c r="G2020" s="17" t="str">
        <x:v>Stage 2 recorded this row as a discovery candidate; it does not independently verify an exact current research program, eligibility, or funding.</x:v>
      </x:c>
      <x:c r="H2020" s="17" t="str">
        <x:v>Pass 2 Stage 2 candidate funnel</x:v>
      </x:c>
      <x:c r="I2020" s="17" t="str">
        <x:v>Graduate audit pipeline</x:v>
      </x:c>
      <x:c r="J2020" s="17" t="str">
        <x:v>derived</x:v>
      </x:c>
      <x:c r="K2020" s="17" t="str">
        <x:v>2026-09-11</x:v>
      </x:c>
      <x:c r="L2020" s="17" t="str">
        <x:v>Not cycle-specific</x:v>
      </x:c>
      <x:c r="M2020" s="17" t="str">
        <x:v>low</x:v>
      </x:c>
      <x:c r="N2020" s="17" t="str">
        <x:v>Discovery evidence only</x:v>
      </x:c>
      <x:c r="O2020" s="17" t="str">
        <x:v>Use the source_record_paths field to trace the underlying discovery inputs.</x:v>
      </x:c>
      <x:c r="P2020" s="18" t="e">
        <x:f>HYPERLINK("https://www.osu.edu","Open source")</x:f>
        <x:v>HYPERLINK is not implemented. linkLocation=https://www.osu.edu, friendlyName=Open source</x:v>
      </x:c>
    </x:row>
    <x:row r="2021" ht="46" customHeight="1">
      <x:c r="A2021" s="17" t="str">
        <x:v>stage3src:31e8ad7a45b0191abc2c</x:v>
      </x:c>
      <x:c r="B2021" s="17" t="str">
        <x:v>program</x:v>
      </x:c>
      <x:c r="C2021" s="17" t="str">
        <x:v>Ohio University-Main Campus</x:v>
      </x:c>
      <x:c r="D2021" s="17" t="str">
        <x:v>us:ipeds:204857:program:unclear:ipeds-discovery-signal-computer-science-cip-11-0701</x:v>
      </x:c>
      <x:c r="E2021" s="17" t="str"/>
      <x:c r="F2021" s="17" t="str">
        <x:v>discovery</x:v>
      </x:c>
      <x:c r="G2021" s="17" t="str">
        <x:v>Stage 2 recorded this row as a discovery candidate; it does not independently verify an exact current research program, eligibility, or funding.</x:v>
      </x:c>
      <x:c r="H2021" s="17" t="str">
        <x:v>Pass 2 Stage 2 candidate funnel</x:v>
      </x:c>
      <x:c r="I2021" s="17" t="str">
        <x:v>Graduate audit pipeline</x:v>
      </x:c>
      <x:c r="J2021" s="17" t="str">
        <x:v>derived</x:v>
      </x:c>
      <x:c r="K2021" s="17" t="str">
        <x:v>2026-09-11</x:v>
      </x:c>
      <x:c r="L2021" s="17" t="str">
        <x:v>Not cycle-specific</x:v>
      </x:c>
      <x:c r="M2021" s="17" t="str">
        <x:v>low</x:v>
      </x:c>
      <x:c r="N2021" s="17" t="str">
        <x:v>Discovery evidence only</x:v>
      </x:c>
      <x:c r="O2021" s="17" t="str">
        <x:v>Use the source_record_paths field to trace the underlying discovery inputs.</x:v>
      </x:c>
      <x:c r="P2021" s="18" t="e">
        <x:f>HYPERLINK("https://www.ohio.edu","Open source")</x:f>
        <x:v>HYPERLINK is not implemented. linkLocation=https://www.ohio.edu, friendlyName=Open source</x:v>
      </x:c>
    </x:row>
    <x:row r="2022" ht="46" customHeight="1">
      <x:c r="A2022" s="17" t="str">
        <x:v>stage3src:898ea1b0c45b6aa5d13a</x:v>
      </x:c>
      <x:c r="B2022" s="17" t="str">
        <x:v>program</x:v>
      </x:c>
      <x:c r="C2022" s="17" t="str">
        <x:v>Ohio University-Main Campus</x:v>
      </x:c>
      <x:c r="D2022" s="17" t="str">
        <x:v>us:ipeds:204857:program:unclear:ipeds-discovery-signal-computer-systems-networking-and-telecommunications-cip-11-0901</x:v>
      </x:c>
      <x:c r="E2022" s="17" t="str"/>
      <x:c r="F2022" s="17" t="str">
        <x:v>discovery</x:v>
      </x:c>
      <x:c r="G2022" s="17" t="str">
        <x:v>Stage 2 recorded this row as a discovery candidate; it does not independently verify an exact current research program, eligibility, or funding.</x:v>
      </x:c>
      <x:c r="H2022" s="17" t="str">
        <x:v>Pass 2 Stage 2 candidate funnel</x:v>
      </x:c>
      <x:c r="I2022" s="17" t="str">
        <x:v>Graduate audit pipeline</x:v>
      </x:c>
      <x:c r="J2022" s="17" t="str">
        <x:v>derived</x:v>
      </x:c>
      <x:c r="K2022" s="17" t="str">
        <x:v>2026-09-11</x:v>
      </x:c>
      <x:c r="L2022" s="17" t="str">
        <x:v>Not cycle-specific</x:v>
      </x:c>
      <x:c r="M2022" s="17" t="str">
        <x:v>low</x:v>
      </x:c>
      <x:c r="N2022" s="17" t="str">
        <x:v>Discovery evidence only</x:v>
      </x:c>
      <x:c r="O2022" s="17" t="str">
        <x:v>Use the source_record_paths field to trace the underlying discovery inputs.</x:v>
      </x:c>
      <x:c r="P2022" s="18" t="e">
        <x:f>HYPERLINK("https://www.ohio.edu","Open source")</x:f>
        <x:v>HYPERLINK is not implemented. linkLocation=https://www.ohio.edu, friendlyName=Open source</x:v>
      </x:c>
    </x:row>
    <x:row r="2023" ht="46" customHeight="1">
      <x:c r="A2023" s="17" t="str">
        <x:v>stage3src:e6312548c0c21c67179e</x:v>
      </x:c>
      <x:c r="B2023" s="17" t="str">
        <x:v>program</x:v>
      </x:c>
      <x:c r="C2023" s="17" t="str">
        <x:v>Ohio University-Main Campus</x:v>
      </x:c>
      <x:c r="D2023" s="17" t="str">
        <x:v>us:ipeds:204857:program:unclear:ipeds-discovery-signal-electrical-and-electronics-engineering-cip-14-1001</x:v>
      </x:c>
      <x:c r="E2023" s="17" t="str"/>
      <x:c r="F2023" s="17" t="str">
        <x:v>discovery</x:v>
      </x:c>
      <x:c r="G2023" s="17" t="str">
        <x:v>Stage 2 recorded this row as a discovery candidate; it does not independently verify an exact current research program, eligibility, or funding.</x:v>
      </x:c>
      <x:c r="H2023" s="17" t="str">
        <x:v>Pass 2 Stage 2 candidate funnel</x:v>
      </x:c>
      <x:c r="I2023" s="17" t="str">
        <x:v>Graduate audit pipeline</x:v>
      </x:c>
      <x:c r="J2023" s="17" t="str">
        <x:v>derived</x:v>
      </x:c>
      <x:c r="K2023" s="17" t="str">
        <x:v>2026-09-11</x:v>
      </x:c>
      <x:c r="L2023" s="17" t="str">
        <x:v>Not cycle-specific</x:v>
      </x:c>
      <x:c r="M2023" s="17" t="str">
        <x:v>low</x:v>
      </x:c>
      <x:c r="N2023" s="17" t="str">
        <x:v>Discovery evidence only</x:v>
      </x:c>
      <x:c r="O2023" s="17" t="str">
        <x:v>Use the source_record_paths field to trace the underlying discovery inputs.</x:v>
      </x:c>
      <x:c r="P2023" s="18" t="e">
        <x:f>HYPERLINK("https://www.ohio.edu","Open source")</x:f>
        <x:v>HYPERLINK is not implemented. linkLocation=https://www.ohio.edu, friendlyName=Open source</x:v>
      </x:c>
    </x:row>
    <x:row r="2024" ht="46" customHeight="1">
      <x:c r="A2024" s="17" t="str">
        <x:v>stage3src:77e5ee33613ba232f893</x:v>
      </x:c>
      <x:c r="B2024" s="17" t="str">
        <x:v>program</x:v>
      </x:c>
      <x:c r="C2024" s="17" t="str">
        <x:v>University of Toledo</x:v>
      </x:c>
      <x:c r="D2024" s="17" t="str">
        <x:v>us:ipeds:206084:program:unclear:ipeds-discovery-signal-computer-and-information-systems-security-auditing-information-assurance-cip-11-1003</x:v>
      </x:c>
      <x:c r="E2024" s="17" t="str"/>
      <x:c r="F2024" s="17" t="str">
        <x:v>discovery</x:v>
      </x:c>
      <x:c r="G2024" s="17" t="str">
        <x:v>Stage 2 recorded this row as a discovery candidate; it does not independently verify an exact current research program, eligibility, or funding.</x:v>
      </x:c>
      <x:c r="H2024" s="17" t="str">
        <x:v>Pass 2 Stage 2 candidate funnel</x:v>
      </x:c>
      <x:c r="I2024" s="17" t="str">
        <x:v>Graduate audit pipeline</x:v>
      </x:c>
      <x:c r="J2024" s="17" t="str">
        <x:v>derived</x:v>
      </x:c>
      <x:c r="K2024" s="17" t="str">
        <x:v>2026-09-11</x:v>
      </x:c>
      <x:c r="L2024" s="17" t="str">
        <x:v>Not cycle-specific</x:v>
      </x:c>
      <x:c r="M2024" s="17" t="str">
        <x:v>low</x:v>
      </x:c>
      <x:c r="N2024" s="17" t="str">
        <x:v>Discovery evidence only</x:v>
      </x:c>
      <x:c r="O2024" s="17" t="str">
        <x:v>Use the source_record_paths field to trace the underlying discovery inputs.</x:v>
      </x:c>
      <x:c r="P2024" s="18" t="e">
        <x:f>HYPERLINK("https://www.utoledo.edu","Open source")</x:f>
        <x:v>HYPERLINK is not implemented. linkLocation=https://www.utoledo.edu, friendlyName=Open source</x:v>
      </x:c>
    </x:row>
    <x:row r="2025" ht="46" customHeight="1">
      <x:c r="A2025" s="17" t="str">
        <x:v>stage3src:cbe1adaa751752cd5711</x:v>
      </x:c>
      <x:c r="B2025" s="17" t="str">
        <x:v>program</x:v>
      </x:c>
      <x:c r="C2025" s="17" t="str">
        <x:v>University of Toledo</x:v>
      </x:c>
      <x:c r="D2025" s="17" t="str">
        <x:v>us:ipeds:206084:program:unclear:ipeds-discovery-signal-electrical-and-electronics-engineering-cip-14-1001</x:v>
      </x:c>
      <x:c r="E2025" s="17" t="str"/>
      <x:c r="F2025" s="17" t="str">
        <x:v>discovery</x:v>
      </x:c>
      <x:c r="G2025" s="17" t="str">
        <x:v>Stage 2 recorded this row as a discovery candidate; it does not independently verify an exact current research program, eligibility, or funding.</x:v>
      </x:c>
      <x:c r="H2025" s="17" t="str">
        <x:v>Pass 2 Stage 2 candidate funnel</x:v>
      </x:c>
      <x:c r="I2025" s="17" t="str">
        <x:v>Graduate audit pipeline</x:v>
      </x:c>
      <x:c r="J2025" s="17" t="str">
        <x:v>derived</x:v>
      </x:c>
      <x:c r="K2025" s="17" t="str">
        <x:v>2026-09-11</x:v>
      </x:c>
      <x:c r="L2025" s="17" t="str">
        <x:v>Not cycle-specific</x:v>
      </x:c>
      <x:c r="M2025" s="17" t="str">
        <x:v>low</x:v>
      </x:c>
      <x:c r="N2025" s="17" t="str">
        <x:v>Discovery evidence only</x:v>
      </x:c>
      <x:c r="O2025" s="17" t="str">
        <x:v>Use the source_record_paths field to trace the underlying discovery inputs.</x:v>
      </x:c>
      <x:c r="P2025" s="18" t="e">
        <x:f>HYPERLINK("https://www.utoledo.edu","Open source")</x:f>
        <x:v>HYPERLINK is not implemented. linkLocation=https://www.utoledo.edu, friendlyName=Open source</x:v>
      </x:c>
    </x:row>
    <x:row r="2026" ht="46" customHeight="1">
      <x:c r="A2026" s="17" t="str">
        <x:v>stage3src:9cc3993ab6c496ed700b</x:v>
      </x:c>
      <x:c r="B2026" s="17" t="str">
        <x:v>program</x:v>
      </x:c>
      <x:c r="C2026" s="17" t="str">
        <x:v>University of Toledo</x:v>
      </x:c>
      <x:c r="D2026" s="17" t="str">
        <x:v>us:ipeds:206084:program:unclear:ipeds-discovery-signal-information-science-studies-cip-11-0401</x:v>
      </x:c>
      <x:c r="E2026" s="17" t="str"/>
      <x:c r="F2026" s="17" t="str">
        <x:v>discovery</x:v>
      </x:c>
      <x:c r="G2026" s="17" t="str">
        <x:v>Stage 2 recorded this row as a discovery candidate; it does not independently verify an exact current research program, eligibility, or funding.</x:v>
      </x:c>
      <x:c r="H2026" s="17" t="str">
        <x:v>Pass 2 Stage 2 candidate funnel</x:v>
      </x:c>
      <x:c r="I2026" s="17" t="str">
        <x:v>Graduate audit pipeline</x:v>
      </x:c>
      <x:c r="J2026" s="17" t="str">
        <x:v>derived</x:v>
      </x:c>
      <x:c r="K2026" s="17" t="str">
        <x:v>2026-09-11</x:v>
      </x:c>
      <x:c r="L2026" s="17" t="str">
        <x:v>Not cycle-specific</x:v>
      </x:c>
      <x:c r="M2026" s="17" t="str">
        <x:v>low</x:v>
      </x:c>
      <x:c r="N2026" s="17" t="str">
        <x:v>Discovery evidence only</x:v>
      </x:c>
      <x:c r="O2026" s="17" t="str">
        <x:v>Use the source_record_paths field to trace the underlying discovery inputs.</x:v>
      </x:c>
      <x:c r="P2026" s="18" t="e">
        <x:f>HYPERLINK("https://www.utoledo.edu","Open source")</x:f>
        <x:v>HYPERLINK is not implemented. linkLocation=https://www.utoledo.edu, friendlyName=Open source</x:v>
      </x:c>
    </x:row>
    <x:row r="2027" ht="46" customHeight="1">
      <x:c r="A2027" s="17" t="str">
        <x:v>stage3src:233f93bbe16787c3ef2e</x:v>
      </x:c>
      <x:c r="B2027" s="17" t="str">
        <x:v>program</x:v>
      </x:c>
      <x:c r="C2027" s="17" t="str">
        <x:v>Wright State University-Main Campus</x:v>
      </x:c>
      <x:c r="D2027" s="17" t="str">
        <x:v>us:ipeds:206604:program:unclear:ipeds-discovery-signal-computer-and-information-sciences-general-cip-11-0101</x:v>
      </x:c>
      <x:c r="E2027" s="17" t="str"/>
      <x:c r="F2027" s="17" t="str">
        <x:v>discovery</x:v>
      </x:c>
      <x:c r="G2027" s="17" t="str">
        <x:v>Stage 2 recorded this row as a discovery candidate; it does not independently verify an exact current research program, eligibility, or funding.</x:v>
      </x:c>
      <x:c r="H2027" s="17" t="str">
        <x:v>Pass 2 Stage 2 candidate funnel</x:v>
      </x:c>
      <x:c r="I2027" s="17" t="str">
        <x:v>Graduate audit pipeline</x:v>
      </x:c>
      <x:c r="J2027" s="17" t="str">
        <x:v>derived</x:v>
      </x:c>
      <x:c r="K2027" s="17" t="str">
        <x:v>2026-09-11</x:v>
      </x:c>
      <x:c r="L2027" s="17" t="str">
        <x:v>Not cycle-specific</x:v>
      </x:c>
      <x:c r="M2027" s="17" t="str">
        <x:v>low</x:v>
      </x:c>
      <x:c r="N2027" s="17" t="str">
        <x:v>Discovery evidence only</x:v>
      </x:c>
      <x:c r="O2027" s="17" t="str">
        <x:v>Use the source_record_paths field to trace the underlying discovery inputs.</x:v>
      </x:c>
      <x:c r="P2027" s="18" t="e">
        <x:f>HYPERLINK("https://www.wright.edu","Open source")</x:f>
        <x:v>HYPERLINK is not implemented. linkLocation=https://www.wright.edu, friendlyName=Open source</x:v>
      </x:c>
    </x:row>
    <x:row r="2028" ht="46" customHeight="1">
      <x:c r="A2028" s="17" t="str">
        <x:v>stage3src:3d6a9a3676838c9ec992</x:v>
      </x:c>
      <x:c r="B2028" s="17" t="str">
        <x:v>program</x:v>
      </x:c>
      <x:c r="C2028" s="17" t="str">
        <x:v>Wright State University-Main Campus</x:v>
      </x:c>
      <x:c r="D2028" s="17" t="str">
        <x:v>us:ipeds:206604:program:unclear:ipeds-discovery-signal-computer-and-information-systems-security-auditing-information-assurance-cip-11-1003</x:v>
      </x:c>
      <x:c r="E2028" s="17" t="str"/>
      <x:c r="F2028" s="17" t="str">
        <x:v>discovery</x:v>
      </x:c>
      <x:c r="G2028" s="17" t="str">
        <x:v>Stage 2 recorded this row as a discovery candidate; it does not independently verify an exact current research program, eligibility, or funding.</x:v>
      </x:c>
      <x:c r="H2028" s="17" t="str">
        <x:v>Pass 2 Stage 2 candidate funnel</x:v>
      </x:c>
      <x:c r="I2028" s="17" t="str">
        <x:v>Graduate audit pipeline</x:v>
      </x:c>
      <x:c r="J2028" s="17" t="str">
        <x:v>derived</x:v>
      </x:c>
      <x:c r="K2028" s="17" t="str">
        <x:v>2026-09-11</x:v>
      </x:c>
      <x:c r="L2028" s="17" t="str">
        <x:v>Not cycle-specific</x:v>
      </x:c>
      <x:c r="M2028" s="17" t="str">
        <x:v>low</x:v>
      </x:c>
      <x:c r="N2028" s="17" t="str">
        <x:v>Discovery evidence only</x:v>
      </x:c>
      <x:c r="O2028" s="17" t="str">
        <x:v>Use the source_record_paths field to trace the underlying discovery inputs.</x:v>
      </x:c>
      <x:c r="P2028" s="18" t="e">
        <x:f>HYPERLINK("https://www.wright.edu","Open source")</x:f>
        <x:v>HYPERLINK is not implemented. linkLocation=https://www.wright.edu, friendlyName=Open source</x:v>
      </x:c>
    </x:row>
    <x:row r="2029" ht="46" customHeight="1">
      <x:c r="A2029" s="17" t="str">
        <x:v>stage3src:aa9735627fd468d18533</x:v>
      </x:c>
      <x:c r="B2029" s="17" t="str">
        <x:v>program</x:v>
      </x:c>
      <x:c r="C2029" s="17" t="str">
        <x:v>Wright State University-Main Campus</x:v>
      </x:c>
      <x:c r="D2029" s="17" t="str">
        <x:v>us:ipeds:206604:program:unclear:ipeds-discovery-signal-computer-engineering-general-cip-14-0901</x:v>
      </x:c>
      <x:c r="E2029" s="17" t="str"/>
      <x:c r="F2029" s="17" t="str">
        <x:v>discovery</x:v>
      </x:c>
      <x:c r="G2029" s="17" t="str">
        <x:v>Stage 2 recorded this row as a discovery candidate; it does not independently verify an exact current research program, eligibility, or funding.</x:v>
      </x:c>
      <x:c r="H2029" s="17" t="str">
        <x:v>Pass 2 Stage 2 candidate funnel</x:v>
      </x:c>
      <x:c r="I2029" s="17" t="str">
        <x:v>Graduate audit pipeline</x:v>
      </x:c>
      <x:c r="J2029" s="17" t="str">
        <x:v>derived</x:v>
      </x:c>
      <x:c r="K2029" s="17" t="str">
        <x:v>2026-09-11</x:v>
      </x:c>
      <x:c r="L2029" s="17" t="str">
        <x:v>Not cycle-specific</x:v>
      </x:c>
      <x:c r="M2029" s="17" t="str">
        <x:v>low</x:v>
      </x:c>
      <x:c r="N2029" s="17" t="str">
        <x:v>Discovery evidence only</x:v>
      </x:c>
      <x:c r="O2029" s="17" t="str">
        <x:v>Use the source_record_paths field to trace the underlying discovery inputs.</x:v>
      </x:c>
      <x:c r="P2029" s="18" t="e">
        <x:f>HYPERLINK("https://www.wright.edu","Open source")</x:f>
        <x:v>HYPERLINK is not implemented. linkLocation=https://www.wright.edu, friendlyName=Open source</x:v>
      </x:c>
    </x:row>
    <x:row r="2030" ht="46" customHeight="1">
      <x:c r="A2030" s="17" t="str">
        <x:v>stage3src:a8d05c62765a0955f999</x:v>
      </x:c>
      <x:c r="B2030" s="17" t="str">
        <x:v>program</x:v>
      </x:c>
      <x:c r="C2030" s="17" t="str">
        <x:v>Wright State University-Main Campus</x:v>
      </x:c>
      <x:c r="D2030" s="17" t="str">
        <x:v>us:ipeds:206604:program:unclear:ipeds-discovery-signal-electrical-and-electronics-engineering-cip-14-1001</x:v>
      </x:c>
      <x:c r="E2030" s="17" t="str"/>
      <x:c r="F2030" s="17" t="str">
        <x:v>discovery</x:v>
      </x:c>
      <x:c r="G2030" s="17" t="str">
        <x:v>Stage 2 recorded this row as a discovery candidate; it does not independently verify an exact current research program, eligibility, or funding.</x:v>
      </x:c>
      <x:c r="H2030" s="17" t="str">
        <x:v>Pass 2 Stage 2 candidate funnel</x:v>
      </x:c>
      <x:c r="I2030" s="17" t="str">
        <x:v>Graduate audit pipeline</x:v>
      </x:c>
      <x:c r="J2030" s="17" t="str">
        <x:v>derived</x:v>
      </x:c>
      <x:c r="K2030" s="17" t="str">
        <x:v>2026-09-11</x:v>
      </x:c>
      <x:c r="L2030" s="17" t="str">
        <x:v>Not cycle-specific</x:v>
      </x:c>
      <x:c r="M2030" s="17" t="str">
        <x:v>low</x:v>
      </x:c>
      <x:c r="N2030" s="17" t="str">
        <x:v>Discovery evidence only</x:v>
      </x:c>
      <x:c r="O2030" s="17" t="str">
        <x:v>Use the source_record_paths field to trace the underlying discovery inputs.</x:v>
      </x:c>
      <x:c r="P2030" s="18" t="e">
        <x:f>HYPERLINK("https://www.wright.edu","Open source")</x:f>
        <x:v>HYPERLINK is not implemented. linkLocation=https://www.wright.edu, friendlyName=Open source</x:v>
      </x:c>
    </x:row>
    <x:row r="2031" ht="46" customHeight="1">
      <x:c r="A2031" s="17" t="str">
        <x:v>stage3src:61773c0c80b8ddf29cdb</x:v>
      </x:c>
      <x:c r="B2031" s="17" t="str">
        <x:v>program</x:v>
      </x:c>
      <x:c r="C2031" s="17" t="str">
        <x:v>Wright State University-Main Campus</x:v>
      </x:c>
      <x:c r="D2031" s="17" t="str">
        <x:v>us:ipeds:206604:program:unclear:ipeds-discovery-signal-information-science-studies-cip-11-0401</x:v>
      </x:c>
      <x:c r="E2031" s="17" t="str"/>
      <x:c r="F2031" s="17" t="str">
        <x:v>discovery</x:v>
      </x:c>
      <x:c r="G2031" s="17" t="str">
        <x:v>Stage 2 recorded this row as a discovery candidate; it does not independently verify an exact current research program, eligibility, or funding.</x:v>
      </x:c>
      <x:c r="H2031" s="17" t="str">
        <x:v>Pass 2 Stage 2 candidate funnel</x:v>
      </x:c>
      <x:c r="I2031" s="17" t="str">
        <x:v>Graduate audit pipeline</x:v>
      </x:c>
      <x:c r="J2031" s="17" t="str">
        <x:v>derived</x:v>
      </x:c>
      <x:c r="K2031" s="17" t="str">
        <x:v>2026-09-11</x:v>
      </x:c>
      <x:c r="L2031" s="17" t="str">
        <x:v>Not cycle-specific</x:v>
      </x:c>
      <x:c r="M2031" s="17" t="str">
        <x:v>low</x:v>
      </x:c>
      <x:c r="N2031" s="17" t="str">
        <x:v>Discovery evidence only</x:v>
      </x:c>
      <x:c r="O2031" s="17" t="str">
        <x:v>Use the source_record_paths field to trace the underlying discovery inputs.</x:v>
      </x:c>
      <x:c r="P2031" s="18" t="e">
        <x:f>HYPERLINK("https://www.wright.edu","Open source")</x:f>
        <x:v>HYPERLINK is not implemented. linkLocation=https://www.wright.edu, friendlyName=Open source</x:v>
      </x:c>
    </x:row>
    <x:row r="2032" ht="46" customHeight="1">
      <x:c r="A2032" s="17" t="str">
        <x:v>stage3src:35bf47e7da60321a8b69</x:v>
      </x:c>
      <x:c r="B2032" s="17" t="str">
        <x:v>program</x:v>
      </x:c>
      <x:c r="C2032" s="17" t="str">
        <x:v>Youngstown State University</x:v>
      </x:c>
      <x:c r="D2032" s="17" t="str">
        <x:v>us:ipeds:206695:program:unclear:ipeds-discovery-signal-electrical-and-electronics-engineering-cip-14-1001</x:v>
      </x:c>
      <x:c r="E2032" s="17" t="str"/>
      <x:c r="F2032" s="17" t="str">
        <x:v>discovery</x:v>
      </x:c>
      <x:c r="G2032" s="17" t="str">
        <x:v>Stage 2 recorded this row as a discovery candidate; it does not independently verify an exact current research program, eligibility, or funding.</x:v>
      </x:c>
      <x:c r="H2032" s="17" t="str">
        <x:v>Pass 2 Stage 2 candidate funnel</x:v>
      </x:c>
      <x:c r="I2032" s="17" t="str">
        <x:v>Graduate audit pipeline</x:v>
      </x:c>
      <x:c r="J2032" s="17" t="str">
        <x:v>derived</x:v>
      </x:c>
      <x:c r="K2032" s="17" t="str">
        <x:v>2026-09-11</x:v>
      </x:c>
      <x:c r="L2032" s="17" t="str">
        <x:v>Not cycle-specific</x:v>
      </x:c>
      <x:c r="M2032" s="17" t="str">
        <x:v>low</x:v>
      </x:c>
      <x:c r="N2032" s="17" t="str">
        <x:v>Discovery evidence only</x:v>
      </x:c>
      <x:c r="O2032" s="17" t="str">
        <x:v>Use the source_record_paths field to trace the underlying discovery inputs.</x:v>
      </x:c>
      <x:c r="P2032" s="18" t="e">
        <x:f>HYPERLINK("https://ysu.edu","Open source")</x:f>
        <x:v>HYPERLINK is not implemented. linkLocation=https://ysu.edu, friendlyName=Open source</x:v>
      </x:c>
    </x:row>
    <x:row r="2033" ht="46" customHeight="1">
      <x:c r="A2033" s="17" t="str">
        <x:v>stage3src:72f343c0d8533bc0db45</x:v>
      </x:c>
      <x:c r="B2033" s="17" t="str">
        <x:v>program</x:v>
      </x:c>
      <x:c r="C2033" s="17" t="str">
        <x:v>University of Central Oklahoma</x:v>
      </x:c>
      <x:c r="D2033" s="17" t="str">
        <x:v>us:ipeds:206941:program:unclear:ipeds-discovery-signal-computer-science-cip-11-0701</x:v>
      </x:c>
      <x:c r="E2033" s="17" t="str"/>
      <x:c r="F2033" s="17" t="str">
        <x:v>discovery</x:v>
      </x:c>
      <x:c r="G2033" s="17" t="str">
        <x:v>Stage 2 recorded this row as a discovery candidate; it does not independently verify an exact current research program, eligibility, or funding.</x:v>
      </x:c>
      <x:c r="H2033" s="17" t="str">
        <x:v>Pass 2 Stage 2 candidate funnel</x:v>
      </x:c>
      <x:c r="I2033" s="17" t="str">
        <x:v>Graduate audit pipeline</x:v>
      </x:c>
      <x:c r="J2033" s="17" t="str">
        <x:v>derived</x:v>
      </x:c>
      <x:c r="K2033" s="17" t="str">
        <x:v>2026-09-11</x:v>
      </x:c>
      <x:c r="L2033" s="17" t="str">
        <x:v>Not cycle-specific</x:v>
      </x:c>
      <x:c r="M2033" s="17" t="str">
        <x:v>low</x:v>
      </x:c>
      <x:c r="N2033" s="17" t="str">
        <x:v>Discovery evidence only</x:v>
      </x:c>
      <x:c r="O2033" s="17" t="str">
        <x:v>Use the source_record_paths field to trace the underlying discovery inputs.</x:v>
      </x:c>
      <x:c r="P2033" s="18" t="e">
        <x:f>HYPERLINK("https://www.uco.edu","Open source")</x:f>
        <x:v>HYPERLINK is not implemented. linkLocation=https://www.uco.edu, friendlyName=Open source</x:v>
      </x:c>
    </x:row>
    <x:row r="2034" ht="46" customHeight="1">
      <x:c r="A2034" s="17" t="str">
        <x:v>stage3src:d74e2985d697d26f1076</x:v>
      </x:c>
      <x:c r="B2034" s="17" t="str">
        <x:v>program</x:v>
      </x:c>
      <x:c r="C2034" s="17" t="str">
        <x:v>University of Central Oklahoma</x:v>
      </x:c>
      <x:c r="D2034" s="17" t="str">
        <x:v>us:ipeds:206941:program:unclear:ipeds-discovery-signal-cyber-computer-forensics-and-counterterrorism-cip-43-0403</x:v>
      </x:c>
      <x:c r="E2034" s="17" t="str"/>
      <x:c r="F2034" s="17" t="str">
        <x:v>discovery</x:v>
      </x:c>
      <x:c r="G2034" s="17" t="str">
        <x:v>Stage 2 recorded this row as a discovery candidate; it does not independently verify an exact current research program, eligibility, or funding.</x:v>
      </x:c>
      <x:c r="H2034" s="17" t="str">
        <x:v>Pass 2 Stage 2 candidate funnel</x:v>
      </x:c>
      <x:c r="I2034" s="17" t="str">
        <x:v>Graduate audit pipeline</x:v>
      </x:c>
      <x:c r="J2034" s="17" t="str">
        <x:v>derived</x:v>
      </x:c>
      <x:c r="K2034" s="17" t="str">
        <x:v>2026-09-11</x:v>
      </x:c>
      <x:c r="L2034" s="17" t="str">
        <x:v>Not cycle-specific</x:v>
      </x:c>
      <x:c r="M2034" s="17" t="str">
        <x:v>low</x:v>
      </x:c>
      <x:c r="N2034" s="17" t="str">
        <x:v>Discovery evidence only</x:v>
      </x:c>
      <x:c r="O2034" s="17" t="str">
        <x:v>Use the source_record_paths field to trace the underlying discovery inputs.</x:v>
      </x:c>
      <x:c r="P2034" s="18" t="e">
        <x:f>HYPERLINK("https://www.uco.edu","Open source")</x:f>
        <x:v>HYPERLINK is not implemented. linkLocation=https://www.uco.edu, friendlyName=Open source</x:v>
      </x:c>
    </x:row>
    <x:row r="2035" ht="46" customHeight="1">
      <x:c r="A2035" s="17" t="str">
        <x:v>stage3src:7ae4a65b73bd3c2dc08a</x:v>
      </x:c>
      <x:c r="B2035" s="17" t="str">
        <x:v>program</x:v>
      </x:c>
      <x:c r="C2035" s="17" t="str">
        <x:v>University of Central Oklahoma</x:v>
      </x:c>
      <x:c r="D2035" s="17" t="str">
        <x:v>us:ipeds:206941:program:unclear:ipeds-discovery-signal-electrical-and-electronics-engineering-cip-14-1001</x:v>
      </x:c>
      <x:c r="E2035" s="17" t="str"/>
      <x:c r="F2035" s="17" t="str">
        <x:v>discovery</x:v>
      </x:c>
      <x:c r="G2035" s="17" t="str">
        <x:v>Stage 2 recorded this row as a discovery candidate; it does not independently verify an exact current research program, eligibility, or funding.</x:v>
      </x:c>
      <x:c r="H2035" s="17" t="str">
        <x:v>Pass 2 Stage 2 candidate funnel</x:v>
      </x:c>
      <x:c r="I2035" s="17" t="str">
        <x:v>Graduate audit pipeline</x:v>
      </x:c>
      <x:c r="J2035" s="17" t="str">
        <x:v>derived</x:v>
      </x:c>
      <x:c r="K2035" s="17" t="str">
        <x:v>2026-09-11</x:v>
      </x:c>
      <x:c r="L2035" s="17" t="str">
        <x:v>Not cycle-specific</x:v>
      </x:c>
      <x:c r="M2035" s="17" t="str">
        <x:v>low</x:v>
      </x:c>
      <x:c r="N2035" s="17" t="str">
        <x:v>Discovery evidence only</x:v>
      </x:c>
      <x:c r="O2035" s="17" t="str">
        <x:v>Use the source_record_paths field to trace the underlying discovery inputs.</x:v>
      </x:c>
      <x:c r="P2035" s="18" t="e">
        <x:f>HYPERLINK("https://www.uco.edu","Open source")</x:f>
        <x:v>HYPERLINK is not implemented. linkLocation=https://www.uco.edu, friendlyName=Open source</x:v>
      </x:c>
    </x:row>
    <x:row r="2036" ht="46" customHeight="1">
      <x:c r="A2036" s="17" t="str">
        <x:v>stage3src:c1d9d9bd402182f06bda</x:v>
      </x:c>
      <x:c r="B2036" s="17" t="str">
        <x:v>program</x:v>
      </x:c>
      <x:c r="C2036" s="17" t="str">
        <x:v>Oklahoma Christian University</x:v>
      </x:c>
      <x:c r="D2036" s="17" t="str">
        <x:v>us:ipeds:207324:program:unclear:ipeds-discovery-signal-artificial-intelligence-cip-11-0102</x:v>
      </x:c>
      <x:c r="E2036" s="17" t="str"/>
      <x:c r="F2036" s="17" t="str">
        <x:v>discovery</x:v>
      </x:c>
      <x:c r="G2036" s="17" t="str">
        <x:v>Stage 2 recorded this row as a discovery candidate; it does not independently verify an exact current research program, eligibility, or funding.</x:v>
      </x:c>
      <x:c r="H2036" s="17" t="str">
        <x:v>Pass 2 Stage 2 candidate funnel</x:v>
      </x:c>
      <x:c r="I2036" s="17" t="str">
        <x:v>Graduate audit pipeline</x:v>
      </x:c>
      <x:c r="J2036" s="17" t="str">
        <x:v>derived</x:v>
      </x:c>
      <x:c r="K2036" s="17" t="str">
        <x:v>2026-09-11</x:v>
      </x:c>
      <x:c r="L2036" s="17" t="str">
        <x:v>Not cycle-specific</x:v>
      </x:c>
      <x:c r="M2036" s="17" t="str">
        <x:v>low</x:v>
      </x:c>
      <x:c r="N2036" s="17" t="str">
        <x:v>Discovery evidence only</x:v>
      </x:c>
      <x:c r="O2036" s="17" t="str">
        <x:v>Use the source_record_paths field to trace the underlying discovery inputs.</x:v>
      </x:c>
      <x:c r="P2036" s="18" t="e">
        <x:f>HYPERLINK("https://www.oc.edu","Open source")</x:f>
        <x:v>HYPERLINK is not implemented. linkLocation=https://www.oc.edu, friendlyName=Open source</x:v>
      </x:c>
    </x:row>
    <x:row r="2037" ht="46" customHeight="1">
      <x:c r="A2037" s="17" t="str">
        <x:v>stage3src:36419089c685e8a56c77</x:v>
      </x:c>
      <x:c r="B2037" s="17" t="str">
        <x:v>program</x:v>
      </x:c>
      <x:c r="C2037" s="17" t="str">
        <x:v>Oklahoma Christian University</x:v>
      </x:c>
      <x:c r="D2037" s="17" t="str">
        <x:v>us:ipeds:207324:program:unclear:ipeds-discovery-signal-computer-engineering-general-cip-14-0901</x:v>
      </x:c>
      <x:c r="E2037" s="17" t="str"/>
      <x:c r="F2037" s="17" t="str">
        <x:v>discovery</x:v>
      </x:c>
      <x:c r="G2037" s="17" t="str">
        <x:v>Stage 2 recorded this row as a discovery candidate; it does not independently verify an exact current research program, eligibility, or funding.</x:v>
      </x:c>
      <x:c r="H2037" s="17" t="str">
        <x:v>Pass 2 Stage 2 candidate funnel</x:v>
      </x:c>
      <x:c r="I2037" s="17" t="str">
        <x:v>Graduate audit pipeline</x:v>
      </x:c>
      <x:c r="J2037" s="17" t="str">
        <x:v>derived</x:v>
      </x:c>
      <x:c r="K2037" s="17" t="str">
        <x:v>2026-09-11</x:v>
      </x:c>
      <x:c r="L2037" s="17" t="str">
        <x:v>Not cycle-specific</x:v>
      </x:c>
      <x:c r="M2037" s="17" t="str">
        <x:v>low</x:v>
      </x:c>
      <x:c r="N2037" s="17" t="str">
        <x:v>Discovery evidence only</x:v>
      </x:c>
      <x:c r="O2037" s="17" t="str">
        <x:v>Use the source_record_paths field to trace the underlying discovery inputs.</x:v>
      </x:c>
      <x:c r="P2037" s="18" t="e">
        <x:f>HYPERLINK("https://www.oc.edu","Open source")</x:f>
        <x:v>HYPERLINK is not implemented. linkLocation=https://www.oc.edu, friendlyName=Open source</x:v>
      </x:c>
    </x:row>
    <x:row r="2038" ht="46" customHeight="1">
      <x:c r="A2038" s="17" t="str">
        <x:v>stage3src:102ea66a2a4248444848</x:v>
      </x:c>
      <x:c r="B2038" s="17" t="str">
        <x:v>program</x:v>
      </x:c>
      <x:c r="C2038" s="17" t="str">
        <x:v>Oklahoma Christian University</x:v>
      </x:c>
      <x:c r="D2038" s="17" t="str">
        <x:v>us:ipeds:207324:program:unclear:ipeds-discovery-signal-computer-science-cip-11-0701</x:v>
      </x:c>
      <x:c r="E2038" s="17" t="str"/>
      <x:c r="F2038" s="17" t="str">
        <x:v>discovery</x:v>
      </x:c>
      <x:c r="G2038" s="17" t="str">
        <x:v>Stage 2 recorded this row as a discovery candidate; it does not independently verify an exact current research program, eligibility, or funding.</x:v>
      </x:c>
      <x:c r="H2038" s="17" t="str">
        <x:v>Pass 2 Stage 2 candidate funnel</x:v>
      </x:c>
      <x:c r="I2038" s="17" t="str">
        <x:v>Graduate audit pipeline</x:v>
      </x:c>
      <x:c r="J2038" s="17" t="str">
        <x:v>derived</x:v>
      </x:c>
      <x:c r="K2038" s="17" t="str">
        <x:v>2026-09-11</x:v>
      </x:c>
      <x:c r="L2038" s="17" t="str">
        <x:v>Not cycle-specific</x:v>
      </x:c>
      <x:c r="M2038" s="17" t="str">
        <x:v>low</x:v>
      </x:c>
      <x:c r="N2038" s="17" t="str">
        <x:v>Discovery evidence only</x:v>
      </x:c>
      <x:c r="O2038" s="17" t="str">
        <x:v>Use the source_record_paths field to trace the underlying discovery inputs.</x:v>
      </x:c>
      <x:c r="P2038" s="18" t="e">
        <x:f>HYPERLINK("https://www.oc.edu","Open source")</x:f>
        <x:v>HYPERLINK is not implemented. linkLocation=https://www.oc.edu, friendlyName=Open source</x:v>
      </x:c>
    </x:row>
    <x:row r="2039" ht="46" customHeight="1">
      <x:c r="A2039" s="17" t="str">
        <x:v>stage3src:0809562de431ac86f7ef</x:v>
      </x:c>
      <x:c r="B2039" s="17" t="str">
        <x:v>program</x:v>
      </x:c>
      <x:c r="C2039" s="17" t="str">
        <x:v>Oklahoma Christian University</x:v>
      </x:c>
      <x:c r="D2039" s="17" t="str">
        <x:v>us:ipeds:207324:program:unclear:ipeds-discovery-signal-electrical-and-electronics-engineering-cip-14-1001</x:v>
      </x:c>
      <x:c r="E2039" s="17" t="str"/>
      <x:c r="F2039" s="17" t="str">
        <x:v>discovery</x:v>
      </x:c>
      <x:c r="G2039" s="17" t="str">
        <x:v>Stage 2 recorded this row as a discovery candidate; it does not independently verify an exact current research program, eligibility, or funding.</x:v>
      </x:c>
      <x:c r="H2039" s="17" t="str">
        <x:v>Pass 2 Stage 2 candidate funnel</x:v>
      </x:c>
      <x:c r="I2039" s="17" t="str">
        <x:v>Graduate audit pipeline</x:v>
      </x:c>
      <x:c r="J2039" s="17" t="str">
        <x:v>derived</x:v>
      </x:c>
      <x:c r="K2039" s="17" t="str">
        <x:v>2026-09-11</x:v>
      </x:c>
      <x:c r="L2039" s="17" t="str">
        <x:v>Not cycle-specific</x:v>
      </x:c>
      <x:c r="M2039" s="17" t="str">
        <x:v>low</x:v>
      </x:c>
      <x:c r="N2039" s="17" t="str">
        <x:v>Discovery evidence only</x:v>
      </x:c>
      <x:c r="O2039" s="17" t="str">
        <x:v>Use the source_record_paths field to trace the underlying discovery inputs.</x:v>
      </x:c>
      <x:c r="P2039" s="18" t="e">
        <x:f>HYPERLINK("https://www.oc.edu","Open source")</x:f>
        <x:v>HYPERLINK is not implemented. linkLocation=https://www.oc.edu, friendlyName=Open source</x:v>
      </x:c>
    </x:row>
    <x:row r="2040" ht="46" customHeight="1">
      <x:c r="A2040" s="17" t="str">
        <x:v>stage3src:2091362f2b9c81e4e171</x:v>
      </x:c>
      <x:c r="B2040" s="17" t="str">
        <x:v>program</x:v>
      </x:c>
      <x:c r="C2040" s="17" t="str">
        <x:v>Oklahoma State University-Main Campus</x:v>
      </x:c>
      <x:c r="D2040" s="17" t="str">
        <x:v>us:ipeds:207388:program:phd:doctor-of-philosophy-in-computer-science</x:v>
      </x:c>
      <x:c r="E2040" s="17" t="str"/>
      <x:c r="F2040" s="17" t="str">
        <x:v>admissions|fees|language|deadline</x:v>
      </x:c>
      <x:c r="G2040" s="17" t="str">
        <x:v>International graduate application fee, nonrefundability, general English minimum, and application process.</x:v>
      </x:c>
      <x:c r="H2040" s="17" t="str">
        <x:v>Apply to graduate school</x:v>
      </x:c>
      <x:c r="I2040" s="17" t="str">
        <x:v>Oklahoma State University Graduate College</x:v>
      </x:c>
      <x:c r="J2040" s="17" t="str">
        <x:v>official</x:v>
      </x:c>
      <x:c r="K2040" s="17" t="str">
        <x:v>2026-09-10</x:v>
      </x:c>
      <x:c r="L2040" s="17" t="str">
        <x:v>Current page checked 2026-09-11</x:v>
      </x:c>
      <x:c r="M2040" s="17" t="str">
        <x:v>high</x:v>
      </x:c>
      <x:c r="N2040" s="17" t="str">
        <x:v>official page checked</x:v>
      </x:c>
      <x:c r="O2040" s="17" t="str"/>
      <x:c r="P2040" s="18" t="e">
        <x:f>HYPERLINK("https://go.okstate.edu/graduate-academics/apply","Open source")</x:f>
        <x:v>HYPERLINK is not implemented. linkLocation=https://go.okstate.edu/graduate-academics/apply, friendlyName=Open source</x:v>
      </x:c>
    </x:row>
    <x:row r="2041" ht="46" customHeight="1">
      <x:c r="A2041" s="17" t="str">
        <x:v>stage3src:40bbf4e7816cb1f3fdf1</x:v>
      </x:c>
      <x:c r="B2041" s="17" t="str">
        <x:v>program</x:v>
      </x:c>
      <x:c r="C2041" s="17" t="str">
        <x:v>Oklahoma State University-Main Campus</x:v>
      </x:c>
      <x:c r="D2041" s="17" t="str">
        <x:v>us:ipeds:207388:program:phd:doctor-of-philosophy-in-computer-science</x:v>
      </x:c>
      <x:c r="E2041" s="17" t="str"/>
      <x:c r="F2041" s="17" t="str">
        <x:v>admissions|eligibility|language|fees</x:v>
      </x:c>
      <x:c r="G2041" s="17" t="str">
        <x:v>Current GRE rule, English conditions, and department fee-waiver statement.</x:v>
      </x:c>
      <x:c r="H2041" s="17" t="str">
        <x:v>Computer Science graduate FAQ</x:v>
      </x:c>
      <x:c r="I2041" s="17" t="str">
        <x:v>Oklahoma State University Department of Computer Science</x:v>
      </x:c>
      <x:c r="J2041" s="17" t="str">
        <x:v>official</x:v>
      </x:c>
      <x:c r="K2041" s="17" t="str">
        <x:v>2026-09-10</x:v>
      </x:c>
      <x:c r="L2041" s="17" t="str">
        <x:v>Current page checked 2026-09-11</x:v>
      </x:c>
      <x:c r="M2041" s="17" t="str">
        <x:v>high</x:v>
      </x:c>
      <x:c r="N2041" s="17" t="str">
        <x:v>official page checked</x:v>
      </x:c>
      <x:c r="O2041" s="17" t="str"/>
      <x:c r="P2041" s="18" t="e">
        <x:f>HYPERLINK("https://cas.okstate.edu/computer_science/graduate/grad_faq","Open source")</x:f>
        <x:v>HYPERLINK is not implemented. linkLocation=https://cas.okstate.edu/computer_science/graduate/grad_faq, friendlyName=Open source</x:v>
      </x:c>
    </x:row>
    <x:row r="2042" ht="46" customHeight="1">
      <x:c r="A2042" s="17" t="str">
        <x:v>stage3src:796188e10e3aae43c21b</x:v>
      </x:c>
      <x:c r="B2042" s="17" t="str">
        <x:v>program</x:v>
      </x:c>
      <x:c r="C2042" s="17" t="str">
        <x:v>Oklahoma State University-Main Campus</x:v>
      </x:c>
      <x:c r="D2042" s="17" t="str">
        <x:v>us:ipeds:207388:program:phd:doctor-of-philosophy-in-computer-science</x:v>
      </x:c>
      <x:c r="E2042" s="17" t="str"/>
      <x:c r="F2042" s="17" t="str">
        <x:v>program|research|eligibility|deadline|funding</x:v>
      </x:c>
      <x:c r="G2042" s="17" t="str">
        <x:v>Current PhD, research structure, fall deadline, prerequisites, and departmental TA/RA signal.</x:v>
      </x:c>
      <x:c r="H2042" s="17" t="str">
        <x:v>Ph.D. in Computer Science</x:v>
      </x:c>
      <x:c r="I2042" s="17" t="str">
        <x:v>Oklahoma State University Department of Computer Science</x:v>
      </x:c>
      <x:c r="J2042" s="17" t="str">
        <x:v>official</x:v>
      </x:c>
      <x:c r="K2042" s="17" t="str">
        <x:v>2026-09-10</x:v>
      </x:c>
      <x:c r="L2042" s="17" t="str">
        <x:v>Current page checked 2026-09-11</x:v>
      </x:c>
      <x:c r="M2042" s="17" t="str">
        <x:v>high</x:v>
      </x:c>
      <x:c r="N2042" s="17" t="str">
        <x:v>official page checked</x:v>
      </x:c>
      <x:c r="O2042" s="17" t="str"/>
      <x:c r="P2042" s="18" t="e">
        <x:f>HYPERLINK("https://cas.okstate.edu/computer_science/graduate/phd_cs","Open source")</x:f>
        <x:v>HYPERLINK is not implemented. linkLocation=https://cas.okstate.edu/computer_science/graduate/phd_cs, friendlyName=Open source</x:v>
      </x:c>
    </x:row>
    <x:row r="2043" ht="46" customHeight="1">
      <x:c r="A2043" s="17" t="str">
        <x:v>stage3src:69243d986b3fd0471647</x:v>
      </x:c>
      <x:c r="B2043" s="17" t="str">
        <x:v>program</x:v>
      </x:c>
      <x:c r="C2043" s="17" t="str">
        <x:v>Oklahoma State University-Main Campus</x:v>
      </x:c>
      <x:c r="D2043" s="17" t="str">
        <x:v>us:ipeds:207388:program:unclear:ipeds-discovery-signal-computer-and-information-sciences-general-cip-11-0101</x:v>
      </x:c>
      <x:c r="E2043" s="17" t="str"/>
      <x:c r="F2043" s="17" t="str">
        <x:v>discovery</x:v>
      </x:c>
      <x:c r="G2043" s="17" t="str">
        <x:v>Stage 2 recorded this row as a discovery candidate; it does not independently verify an exact current research program, eligibility, or funding.</x:v>
      </x:c>
      <x:c r="H2043" s="17" t="str">
        <x:v>Pass 2 Stage 2 candidate funnel</x:v>
      </x:c>
      <x:c r="I2043" s="17" t="str">
        <x:v>Graduate audit pipeline</x:v>
      </x:c>
      <x:c r="J2043" s="17" t="str">
        <x:v>derived</x:v>
      </x:c>
      <x:c r="K2043" s="17" t="str">
        <x:v>2026-09-11</x:v>
      </x:c>
      <x:c r="L2043" s="17" t="str">
        <x:v>Not cycle-specific</x:v>
      </x:c>
      <x:c r="M2043" s="17" t="str">
        <x:v>low</x:v>
      </x:c>
      <x:c r="N2043" s="17" t="str">
        <x:v>Discovery evidence only</x:v>
      </x:c>
      <x:c r="O2043" s="17" t="str">
        <x:v>Use the source_record_paths field to trace the underlying discovery inputs.</x:v>
      </x:c>
      <x:c r="P2043" s="18" t="e">
        <x:f>HYPERLINK("https://www.okstate.edu","Open source")</x:f>
        <x:v>HYPERLINK is not implemented. linkLocation=https://www.okstate.edu, friendlyName=Open source</x:v>
      </x:c>
    </x:row>
    <x:row r="2044" ht="46" customHeight="1">
      <x:c r="A2044" s="17" t="str">
        <x:v>stage3src:827e30cdb418b0baca6b</x:v>
      </x:c>
      <x:c r="B2044" s="17" t="str">
        <x:v>program</x:v>
      </x:c>
      <x:c r="C2044" s="17" t="str">
        <x:v>Oklahoma State University-Main Campus</x:v>
      </x:c>
      <x:c r="D2044" s="17" t="str">
        <x:v>us:ipeds:207388:program:unclear:ipeds-discovery-signal-computer-and-information-systems-security-auditing-information-assurance-cip-11-1003</x:v>
      </x:c>
      <x:c r="E2044" s="17" t="str"/>
      <x:c r="F2044" s="17" t="str">
        <x:v>discovery</x:v>
      </x:c>
      <x:c r="G2044" s="17" t="str">
        <x:v>Stage 2 recorded this row as a discovery candidate; it does not independently verify an exact current research program, eligibility, or funding.</x:v>
      </x:c>
      <x:c r="H2044" s="17" t="str">
        <x:v>Pass 2 Stage 2 candidate funnel</x:v>
      </x:c>
      <x:c r="I2044" s="17" t="str">
        <x:v>Graduate audit pipeline</x:v>
      </x:c>
      <x:c r="J2044" s="17" t="str">
        <x:v>derived</x:v>
      </x:c>
      <x:c r="K2044" s="17" t="str">
        <x:v>2026-09-11</x:v>
      </x:c>
      <x:c r="L2044" s="17" t="str">
        <x:v>Not cycle-specific</x:v>
      </x:c>
      <x:c r="M2044" s="17" t="str">
        <x:v>low</x:v>
      </x:c>
      <x:c r="N2044" s="17" t="str">
        <x:v>Discovery evidence only</x:v>
      </x:c>
      <x:c r="O2044" s="17" t="str">
        <x:v>Use the source_record_paths field to trace the underlying discovery inputs.</x:v>
      </x:c>
      <x:c r="P2044" s="18" t="e">
        <x:f>HYPERLINK("https://www.okstate.edu","Open source")</x:f>
        <x:v>HYPERLINK is not implemented. linkLocation=https://www.okstate.edu, friendlyName=Open source</x:v>
      </x:c>
    </x:row>
    <x:row r="2045" ht="46" customHeight="1">
      <x:c r="A2045" s="17" t="str">
        <x:v>stage3src:20be3976bb64bba943d1</x:v>
      </x:c>
      <x:c r="B2045" s="17" t="str">
        <x:v>program</x:v>
      </x:c>
      <x:c r="C2045" s="17" t="str">
        <x:v>Oklahoma State University-Main Campus</x:v>
      </x:c>
      <x:c r="D2045" s="17" t="str">
        <x:v>us:ipeds:207388:program:unclear:ipeds-discovery-signal-electrical-and-electronics-engineering-cip-14-1001</x:v>
      </x:c>
      <x:c r="E2045" s="17" t="str"/>
      <x:c r="F2045" s="17" t="str">
        <x:v>discovery</x:v>
      </x:c>
      <x:c r="G2045" s="17" t="str">
        <x:v>Stage 2 recorded this row as a discovery candidate; it does not independently verify an exact current research program, eligibility, or funding.</x:v>
      </x:c>
      <x:c r="H2045" s="17" t="str">
        <x:v>Pass 2 Stage 2 candidate funnel</x:v>
      </x:c>
      <x:c r="I2045" s="17" t="str">
        <x:v>Graduate audit pipeline</x:v>
      </x:c>
      <x:c r="J2045" s="17" t="str">
        <x:v>derived</x:v>
      </x:c>
      <x:c r="K2045" s="17" t="str">
        <x:v>2026-09-11</x:v>
      </x:c>
      <x:c r="L2045" s="17" t="str">
        <x:v>Not cycle-specific</x:v>
      </x:c>
      <x:c r="M2045" s="17" t="str">
        <x:v>low</x:v>
      </x:c>
      <x:c r="N2045" s="17" t="str">
        <x:v>Discovery evidence only</x:v>
      </x:c>
      <x:c r="O2045" s="17" t="str">
        <x:v>Use the source_record_paths field to trace the underlying discovery inputs.</x:v>
      </x:c>
      <x:c r="P2045" s="18" t="e">
        <x:f>HYPERLINK("https://www.okstate.edu","Open source")</x:f>
        <x:v>HYPERLINK is not implemented. linkLocation=https://www.okstate.edu, friendlyName=Open source</x:v>
      </x:c>
    </x:row>
    <x:row r="2046" ht="46" customHeight="1">
      <x:c r="A2046" s="17" t="str">
        <x:v>stage3src:039c0b7e4904a1b1edcf</x:v>
      </x:c>
      <x:c r="B2046" s="17" t="str">
        <x:v>program</x:v>
      </x:c>
      <x:c r="C2046" s="17" t="str">
        <x:v>Oklahoma State University-Main Campus</x:v>
      </x:c>
      <x:c r="D2046" s="17" t="str">
        <x:v>us:ipeds:207388:program:unclear:ipeds-discovery-signal-information-technology-cip-11-0103</x:v>
      </x:c>
      <x:c r="E2046" s="17" t="str"/>
      <x:c r="F2046" s="17" t="str">
        <x:v>discovery</x:v>
      </x:c>
      <x:c r="G2046" s="17" t="str">
        <x:v>Stage 2 recorded this row as a discovery candidate; it does not independently verify an exact current research program, eligibility, or funding.</x:v>
      </x:c>
      <x:c r="H2046" s="17" t="str">
        <x:v>Pass 2 Stage 2 candidate funnel</x:v>
      </x:c>
      <x:c r="I2046" s="17" t="str">
        <x:v>Graduate audit pipeline</x:v>
      </x:c>
      <x:c r="J2046" s="17" t="str">
        <x:v>derived</x:v>
      </x:c>
      <x:c r="K2046" s="17" t="str">
        <x:v>2026-09-11</x:v>
      </x:c>
      <x:c r="L2046" s="17" t="str">
        <x:v>Not cycle-specific</x:v>
      </x:c>
      <x:c r="M2046" s="17" t="str">
        <x:v>low</x:v>
      </x:c>
      <x:c r="N2046" s="17" t="str">
        <x:v>Discovery evidence only</x:v>
      </x:c>
      <x:c r="O2046" s="17" t="str">
        <x:v>Use the source_record_paths field to trace the underlying discovery inputs.</x:v>
      </x:c>
      <x:c r="P2046" s="18" t="e">
        <x:f>HYPERLINK("https://www.okstate.edu","Open source")</x:f>
        <x:v>HYPERLINK is not implemented. linkLocation=https://www.okstate.edu, friendlyName=Open source</x:v>
      </x:c>
    </x:row>
    <x:row r="2047" ht="46" customHeight="1">
      <x:c r="A2047" s="17" t="str">
        <x:v>stage3src:5dfe0140fd3b49b56fb4</x:v>
      </x:c>
      <x:c r="B2047" s="17" t="str">
        <x:v>program</x:v>
      </x:c>
      <x:c r="C2047" s="17" t="str">
        <x:v>Oklahoma City University</x:v>
      </x:c>
      <x:c r="D2047" s="17" t="str">
        <x:v>us:ipeds:207458:program:unclear:ipeds-discovery-signal-computer-and-information-sciences-general-cip-11-0101</x:v>
      </x:c>
      <x:c r="E2047" s="17" t="str"/>
      <x:c r="F2047" s="17" t="str">
        <x:v>discovery</x:v>
      </x:c>
      <x:c r="G2047" s="17" t="str">
        <x:v>Stage 2 recorded this row as a discovery candidate; it does not independently verify an exact current research program, eligibility, or funding.</x:v>
      </x:c>
      <x:c r="H2047" s="17" t="str">
        <x:v>Pass 2 Stage 2 candidate funnel</x:v>
      </x:c>
      <x:c r="I2047" s="17" t="str">
        <x:v>Graduate audit pipeline</x:v>
      </x:c>
      <x:c r="J2047" s="17" t="str">
        <x:v>derived</x:v>
      </x:c>
      <x:c r="K2047" s="17" t="str">
        <x:v>2026-09-11</x:v>
      </x:c>
      <x:c r="L2047" s="17" t="str">
        <x:v>Not cycle-specific</x:v>
      </x:c>
      <x:c r="M2047" s="17" t="str">
        <x:v>low</x:v>
      </x:c>
      <x:c r="N2047" s="17" t="str">
        <x:v>Discovery evidence only</x:v>
      </x:c>
      <x:c r="O2047" s="17" t="str">
        <x:v>Use the source_record_paths field to trace the underlying discovery inputs.</x:v>
      </x:c>
      <x:c r="P2047" s="18" t="e">
        <x:f>HYPERLINK("https://www.okcu.edu","Open source")</x:f>
        <x:v>HYPERLINK is not implemented. linkLocation=https://www.okcu.edu, friendlyName=Open source</x:v>
      </x:c>
    </x:row>
    <x:row r="2048" ht="46" customHeight="1">
      <x:c r="A2048" s="17" t="str">
        <x:v>stage3src:fd773a2818e8dbc08777</x:v>
      </x:c>
      <x:c r="B2048" s="17" t="str">
        <x:v>program</x:v>
      </x:c>
      <x:c r="C2048" s="17" t="str">
        <x:v>Oklahoma City University</x:v>
      </x:c>
      <x:c r="D2048" s="17" t="str">
        <x:v>us:ipeds:207458:program:unclear:ipeds-discovery-signal-data-analytics-general-cip-30-7101</x:v>
      </x:c>
      <x:c r="E2048" s="17" t="str"/>
      <x:c r="F2048" s="17" t="str">
        <x:v>discovery</x:v>
      </x:c>
      <x:c r="G2048" s="17" t="str">
        <x:v>Stage 2 recorded this row as a discovery candidate; it does not independently verify an exact current research program, eligibility, or funding.</x:v>
      </x:c>
      <x:c r="H2048" s="17" t="str">
        <x:v>Pass 2 Stage 2 candidate funnel</x:v>
      </x:c>
      <x:c r="I2048" s="17" t="str">
        <x:v>Graduate audit pipeline</x:v>
      </x:c>
      <x:c r="J2048" s="17" t="str">
        <x:v>derived</x:v>
      </x:c>
      <x:c r="K2048" s="17" t="str">
        <x:v>2026-09-11</x:v>
      </x:c>
      <x:c r="L2048" s="17" t="str">
        <x:v>Not cycle-specific</x:v>
      </x:c>
      <x:c r="M2048" s="17" t="str">
        <x:v>low</x:v>
      </x:c>
      <x:c r="N2048" s="17" t="str">
        <x:v>Discovery evidence only</x:v>
      </x:c>
      <x:c r="O2048" s="17" t="str">
        <x:v>Use the source_record_paths field to trace the underlying discovery inputs.</x:v>
      </x:c>
      <x:c r="P2048" s="18" t="e">
        <x:f>HYPERLINK("https://www.okcu.edu","Open source")</x:f>
        <x:v>HYPERLINK is not implemented. linkLocation=https://www.okcu.edu, friendlyName=Open source</x:v>
      </x:c>
    </x:row>
    <x:row r="2049" ht="46" customHeight="1">
      <x:c r="A2049" s="17" t="str">
        <x:v>stage3src:afd80ef7e5029fe35e9e</x:v>
      </x:c>
      <x:c r="B2049" s="17" t="str">
        <x:v>program</x:v>
      </x:c>
      <x:c r="C2049" s="17" t="str">
        <x:v>University of Oklahoma-Norman Campus</x:v>
      </x:c>
      <x:c r="D2049" s="17" t="str">
        <x:v>us:ipeds:207500:program:unclear:ipeds-discovery-signal-computer-science-cip-11-0701</x:v>
      </x:c>
      <x:c r="E2049" s="17" t="str"/>
      <x:c r="F2049" s="17" t="str">
        <x:v>discovery</x:v>
      </x:c>
      <x:c r="G2049" s="17" t="str">
        <x:v>Stage 2 recorded this row as a discovery candidate; it does not independently verify an exact current research program, eligibility, or funding.</x:v>
      </x:c>
      <x:c r="H2049" s="17" t="str">
        <x:v>Pass 2 Stage 2 candidate funnel</x:v>
      </x:c>
      <x:c r="I2049" s="17" t="str">
        <x:v>Graduate audit pipeline</x:v>
      </x:c>
      <x:c r="J2049" s="17" t="str">
        <x:v>derived</x:v>
      </x:c>
      <x:c r="K2049" s="17" t="str">
        <x:v>2026-09-11</x:v>
      </x:c>
      <x:c r="L2049" s="17" t="str">
        <x:v>Not cycle-specific</x:v>
      </x:c>
      <x:c r="M2049" s="17" t="str">
        <x:v>low</x:v>
      </x:c>
      <x:c r="N2049" s="17" t="str">
        <x:v>Discovery evidence only</x:v>
      </x:c>
      <x:c r="O2049" s="17" t="str">
        <x:v>Use the source_record_paths field to trace the underlying discovery inputs.</x:v>
      </x:c>
      <x:c r="P2049" s="18" t="e">
        <x:f>HYPERLINK("https://www.ou.edu","Open source")</x:f>
        <x:v>HYPERLINK is not implemented. linkLocation=https://www.ou.edu, friendlyName=Open source</x:v>
      </x:c>
    </x:row>
    <x:row r="2050" ht="46" customHeight="1">
      <x:c r="A2050" s="17" t="str">
        <x:v>stage3src:439889849acd38752080</x:v>
      </x:c>
      <x:c r="B2050" s="17" t="str">
        <x:v>program</x:v>
      </x:c>
      <x:c r="C2050" s="17" t="str">
        <x:v>University of Oklahoma-Norman Campus</x:v>
      </x:c>
      <x:c r="D2050" s="17" t="str">
        <x:v>us:ipeds:207500:program:unclear:ipeds-discovery-signal-electrical-and-electronics-engineering-cip-14-1001</x:v>
      </x:c>
      <x:c r="E2050" s="17" t="str"/>
      <x:c r="F2050" s="17" t="str">
        <x:v>discovery</x:v>
      </x:c>
      <x:c r="G2050" s="17" t="str">
        <x:v>Stage 2 recorded this row as a discovery candidate; it does not independently verify an exact current research program, eligibility, or funding.</x:v>
      </x:c>
      <x:c r="H2050" s="17" t="str">
        <x:v>Pass 2 Stage 2 candidate funnel</x:v>
      </x:c>
      <x:c r="I2050" s="17" t="str">
        <x:v>Graduate audit pipeline</x:v>
      </x:c>
      <x:c r="J2050" s="17" t="str">
        <x:v>derived</x:v>
      </x:c>
      <x:c r="K2050" s="17" t="str">
        <x:v>2026-09-11</x:v>
      </x:c>
      <x:c r="L2050" s="17" t="str">
        <x:v>Not cycle-specific</x:v>
      </x:c>
      <x:c r="M2050" s="17" t="str">
        <x:v>low</x:v>
      </x:c>
      <x:c r="N2050" s="17" t="str">
        <x:v>Discovery evidence only</x:v>
      </x:c>
      <x:c r="O2050" s="17" t="str">
        <x:v>Use the source_record_paths field to trace the underlying discovery inputs.</x:v>
      </x:c>
      <x:c r="P2050" s="18" t="e">
        <x:f>HYPERLINK("https://www.ou.edu","Open source")</x:f>
        <x:v>HYPERLINK is not implemented. linkLocation=https://www.ou.edu, friendlyName=Open source</x:v>
      </x:c>
    </x:row>
    <x:row r="2051" ht="46" customHeight="1">
      <x:c r="A2051" s="17" t="str">
        <x:v>stage3src:a3110370d7a7412f5db9</x:v>
      </x:c>
      <x:c r="B2051" s="17" t="str">
        <x:v>program</x:v>
      </x:c>
      <x:c r="C2051" s="17" t="str">
        <x:v>Oral Roberts University</x:v>
      </x:c>
      <x:c r="D2051" s="17" t="str">
        <x:v>us:ipeds:207582:program:unclear:ipeds-discovery-signal-computer-science-cip-11-0701</x:v>
      </x:c>
      <x:c r="E2051" s="17" t="str"/>
      <x:c r="F2051" s="17" t="str">
        <x:v>discovery</x:v>
      </x:c>
      <x:c r="G2051" s="17" t="str">
        <x:v>Stage 2 recorded this row as a discovery candidate; it does not independently verify an exact current research program, eligibility, or funding.</x:v>
      </x:c>
      <x:c r="H2051" s="17" t="str">
        <x:v>Pass 2 Stage 2 candidate funnel</x:v>
      </x:c>
      <x:c r="I2051" s="17" t="str">
        <x:v>Graduate audit pipeline</x:v>
      </x:c>
      <x:c r="J2051" s="17" t="str">
        <x:v>derived</x:v>
      </x:c>
      <x:c r="K2051" s="17" t="str">
        <x:v>2026-09-11</x:v>
      </x:c>
      <x:c r="L2051" s="17" t="str">
        <x:v>Not cycle-specific</x:v>
      </x:c>
      <x:c r="M2051" s="17" t="str">
        <x:v>low</x:v>
      </x:c>
      <x:c r="N2051" s="17" t="str">
        <x:v>Discovery evidence only</x:v>
      </x:c>
      <x:c r="O2051" s="17" t="str">
        <x:v>Use the source_record_paths field to trace the underlying discovery inputs.</x:v>
      </x:c>
      <x:c r="P2051" s="18" t="e">
        <x:f>HYPERLINK("https://oru.edu","Open source")</x:f>
        <x:v>HYPERLINK is not implemented. linkLocation=https://oru.edu, friendlyName=Open source</x:v>
      </x:c>
    </x:row>
    <x:row r="2052" ht="46" customHeight="1">
      <x:c r="A2052" s="17" t="str">
        <x:v>stage3src:1be43e893486ffc685a2</x:v>
      </x:c>
      <x:c r="B2052" s="17" t="str">
        <x:v>program</x:v>
      </x:c>
      <x:c r="C2052" s="17" t="str">
        <x:v>University of Tulsa</x:v>
      </x:c>
      <x:c r="D2052" s="17" t="str">
        <x:v>us:ipeds:207971:program:phd:computer-science-ph-d</x:v>
      </x:c>
      <x:c r="E2052" s="17" t="str"/>
      <x:c r="F2052" s="17" t="str">
        <x:v>admissions|eligibility|gpa|language|deadline|fee</x:v>
      </x:c>
      <x:c r="G2052" s="17" t="str">
        <x:v>Comparable bachelor's, general 3.0 major GPA, international application requirements, recurring February funding dates, and $60 application fee.</x:v>
      </x:c>
      <x:c r="H2052" s="17" t="str">
        <x:v>Graduate International Admission and Deadlines</x:v>
      </x:c>
      <x:c r="I2052" s="17" t="str">
        <x:v>The University of Tulsa</x:v>
      </x:c>
      <x:c r="J2052" s="17" t="str">
        <x:v>official</x:v>
      </x:c>
      <x:c r="K2052" s="17" t="str">
        <x:v>2026-09-11</x:v>
      </x:c>
      <x:c r="L2052" s="17" t="str">
        <x:v>Current recurring dates checked 2026-09-11; Fall 2027 not published</x:v>
      </x:c>
      <x:c r="M2052" s="17" t="str">
        <x:v>high</x:v>
      </x:c>
      <x:c r="N2052" s="17" t="str">
        <x:v>official page checked</x:v>
      </x:c>
      <x:c r="O2052" s="17" t="str"/>
      <x:c r="P2052" s="18" t="e">
        <x:f>HYPERLINK("https://utulsa.edu/admissions/graduate-admission/admission-deadline-requirements/","Open source")</x:f>
        <x:v>HYPERLINK is not implemented. linkLocation=https://utulsa.edu/admissions/graduate-admission/admission-deadline-requirements/, friendlyName=Open source</x:v>
      </x:c>
    </x:row>
    <x:row r="2053" ht="46" customHeight="1">
      <x:c r="A2053" s="17" t="str">
        <x:v>stage3src:33ac07ab4dcec39780d1</x:v>
      </x:c>
      <x:c r="B2053" s="17" t="str">
        <x:v>program</x:v>
      </x:c>
      <x:c r="C2053" s="17" t="str">
        <x:v>University of Tulsa</x:v>
      </x:c>
      <x:c r="D2053" s="17" t="str">
        <x:v>us:ipeds:207971:program:phd:computer-science-ph-d</x:v>
      </x:c>
      <x:c r="E2053" s="17" t="str"/>
      <x:c r="F2053" s="17" t="str">
        <x:v>program|research|department</x:v>
      </x:c>
      <x:c r="G2053" s="17" t="str">
        <x:v>Current Computer Science PhD and research environment spanning computer science, security, trustworthy AI, analytics, and computing systems.</x:v>
      </x:c>
      <x:c r="H2053" s="17" t="str">
        <x:v>Computer Science</x:v>
      </x:c>
      <x:c r="I2053" s="17" t="str">
        <x:v>The University of Tulsa</x:v>
      </x:c>
      <x:c r="J2053" s="17" t="str">
        <x:v>official</x:v>
      </x:c>
      <x:c r="K2053" s="17" t="str">
        <x:v>2026-09-11</x:v>
      </x:c>
      <x:c r="L2053" s="17" t="str">
        <x:v>Current program page checked 2026-09-11</x:v>
      </x:c>
      <x:c r="M2053" s="17" t="str">
        <x:v>high</x:v>
      </x:c>
      <x:c r="N2053" s="17" t="str">
        <x:v>official page checked</x:v>
      </x:c>
      <x:c r="O2053" s="17" t="str"/>
      <x:c r="P2053" s="18" t="e">
        <x:f>HYPERLINK("https://utulsa.edu/programs/computer-science/","Open source")</x:f>
        <x:v>HYPERLINK is not implemented. linkLocation=https://utulsa.edu/programs/computer-science/, friendlyName=Open source</x:v>
      </x:c>
    </x:row>
    <x:row r="2054" ht="46" customHeight="1">
      <x:c r="A2054" s="17" t="str">
        <x:v>stage3src:853c54adc6958817a7b2</x:v>
      </x:c>
      <x:c r="B2054" s="17" t="str">
        <x:v>program</x:v>
      </x:c>
      <x:c r="C2054" s="17" t="str">
        <x:v>University of Tulsa</x:v>
      </x:c>
      <x:c r="D2054" s="17" t="str">
        <x:v>us:ipeds:207971:program:phd:computer-science-ph-d</x:v>
      </x:c>
      <x:c r="E2054" s="17" t="str"/>
      <x:c r="F2054" s="17" t="str">
        <x:v>funding|stipend|tuition|insurance|conditions</x:v>
      </x:c>
      <x:c r="G2054" s="17" t="str">
        <x:v>Competitive doctoral assistantships open to admitted full-time students with at least $19,000 over nine months, full tuition, and health insurance.</x:v>
      </x:c>
      <x:c r="H2054" s="17" t="str">
        <x:v>Graduate Assistantships and Fellowships</x:v>
      </x:c>
      <x:c r="I2054" s="17" t="str">
        <x:v>The University of Tulsa</x:v>
      </x:c>
      <x:c r="J2054" s="17" t="str">
        <x:v>official</x:v>
      </x:c>
      <x:c r="K2054" s="17" t="str">
        <x:v>2026-09-11</x:v>
      </x:c>
      <x:c r="L2054" s="17" t="str">
        <x:v>Current funding page checked 2026-09-11</x:v>
      </x:c>
      <x:c r="M2054" s="17" t="str">
        <x:v>high</x:v>
      </x:c>
      <x:c r="N2054" s="17" t="str">
        <x:v>official page checked</x:v>
      </x:c>
      <x:c r="O2054" s="17" t="str"/>
      <x:c r="P2054" s="18" t="e">
        <x:f>HYPERLINK("https://utulsa.edu/tuition-aid/graduate-financial-assistance/assistantships-fellowships/","Open source")</x:f>
        <x:v>HYPERLINK is not implemented. linkLocation=https://utulsa.edu/tuition-aid/graduate-financial-assistance/assistantships-fellowships/, friendlyName=Open source</x:v>
      </x:c>
    </x:row>
    <x:row r="2055" ht="46" customHeight="1">
      <x:c r="A2055" s="17" t="str">
        <x:v>stage3src:dd7ed2e7b11fb2f10cb3</x:v>
      </x:c>
      <x:c r="B2055" s="17" t="str">
        <x:v>program</x:v>
      </x:c>
      <x:c r="C2055" s="17" t="str">
        <x:v>University of Tulsa</x:v>
      </x:c>
      <x:c r="D2055" s="17" t="str">
        <x:v>us:ipeds:207971:program:unclear:ipeds-discovery-signal-computer-and-information-systems-security-auditing-information-assurance-cip-11-1003</x:v>
      </x:c>
      <x:c r="E2055" s="17" t="str"/>
      <x:c r="F2055" s="17" t="str">
        <x:v>discovery</x:v>
      </x:c>
      <x:c r="G2055" s="17" t="str">
        <x:v>Stage 2 recorded this row as a discovery candidate; it does not independently verify an exact current research program, eligibility, or funding.</x:v>
      </x:c>
      <x:c r="H2055" s="17" t="str">
        <x:v>Pass 2 Stage 2 candidate funnel</x:v>
      </x:c>
      <x:c r="I2055" s="17" t="str">
        <x:v>Graduate audit pipeline</x:v>
      </x:c>
      <x:c r="J2055" s="17" t="str">
        <x:v>derived</x:v>
      </x:c>
      <x:c r="K2055" s="17" t="str">
        <x:v>2026-09-11</x:v>
      </x:c>
      <x:c r="L2055" s="17" t="str">
        <x:v>Not cycle-specific</x:v>
      </x:c>
      <x:c r="M2055" s="17" t="str">
        <x:v>low</x:v>
      </x:c>
      <x:c r="N2055" s="17" t="str">
        <x:v>Discovery evidence only</x:v>
      </x:c>
      <x:c r="O2055" s="17" t="str">
        <x:v>Use the source_record_paths field to trace the underlying discovery inputs.</x:v>
      </x:c>
      <x:c r="P2055" s="18" t="e">
        <x:f>HYPERLINK("https://utulsa.edu","Open source")</x:f>
        <x:v>HYPERLINK is not implemented. linkLocation=https://utulsa.edu, friendlyName=Open source</x:v>
      </x:c>
    </x:row>
    <x:row r="2056" ht="46" customHeight="1">
      <x:c r="A2056" s="17" t="str">
        <x:v>stage3src:3b6a3bf8735960445ef1</x:v>
      </x:c>
      <x:c r="B2056" s="17" t="str">
        <x:v>program</x:v>
      </x:c>
      <x:c r="C2056" s="17" t="str">
        <x:v>University of Tulsa</x:v>
      </x:c>
      <x:c r="D2056" s="17" t="str">
        <x:v>us:ipeds:207971:program:unclear:ipeds-discovery-signal-computer-engineering-general-cip-14-0901</x:v>
      </x:c>
      <x:c r="E2056" s="17" t="str"/>
      <x:c r="F2056" s="17" t="str">
        <x:v>discovery</x:v>
      </x:c>
      <x:c r="G2056" s="17" t="str">
        <x:v>Stage 2 recorded this row as a discovery candidate; it does not independently verify an exact current research program, eligibility, or funding.</x:v>
      </x:c>
      <x:c r="H2056" s="17" t="str">
        <x:v>Pass 2 Stage 2 candidate funnel</x:v>
      </x:c>
      <x:c r="I2056" s="17" t="str">
        <x:v>Graduate audit pipeline</x:v>
      </x:c>
      <x:c r="J2056" s="17" t="str">
        <x:v>derived</x:v>
      </x:c>
      <x:c r="K2056" s="17" t="str">
        <x:v>2026-09-11</x:v>
      </x:c>
      <x:c r="L2056" s="17" t="str">
        <x:v>Not cycle-specific</x:v>
      </x:c>
      <x:c r="M2056" s="17" t="str">
        <x:v>low</x:v>
      </x:c>
      <x:c r="N2056" s="17" t="str">
        <x:v>Discovery evidence only</x:v>
      </x:c>
      <x:c r="O2056" s="17" t="str">
        <x:v>Use the source_record_paths field to trace the underlying discovery inputs.</x:v>
      </x:c>
      <x:c r="P2056" s="18" t="e">
        <x:f>HYPERLINK("https://utulsa.edu","Open source")</x:f>
        <x:v>HYPERLINK is not implemented. linkLocation=https://utulsa.edu, friendlyName=Open source</x:v>
      </x:c>
    </x:row>
    <x:row r="2057" ht="46" customHeight="1">
      <x:c r="A2057" s="17" t="str">
        <x:v>stage3src:d82ce8d940fc15c6ffdf</x:v>
      </x:c>
      <x:c r="B2057" s="17" t="str">
        <x:v>program</x:v>
      </x:c>
      <x:c r="C2057" s="17" t="str">
        <x:v>University of Tulsa</x:v>
      </x:c>
      <x:c r="D2057" s="17" t="str">
        <x:v>us:ipeds:207971:program:unclear:ipeds-discovery-signal-computer-science-cip-11-0701</x:v>
      </x:c>
      <x:c r="E2057" s="17" t="str"/>
      <x:c r="F2057" s="17" t="str">
        <x:v>discovery</x:v>
      </x:c>
      <x:c r="G2057" s="17" t="str">
        <x:v>Stage 2 recorded this row as a discovery candidate; it does not independently verify an exact current research program, eligibility, or funding.</x:v>
      </x:c>
      <x:c r="H2057" s="17" t="str">
        <x:v>Pass 2 Stage 2 candidate funnel</x:v>
      </x:c>
      <x:c r="I2057" s="17" t="str">
        <x:v>Graduate audit pipeline</x:v>
      </x:c>
      <x:c r="J2057" s="17" t="str">
        <x:v>derived</x:v>
      </x:c>
      <x:c r="K2057" s="17" t="str">
        <x:v>2026-09-11</x:v>
      </x:c>
      <x:c r="L2057" s="17" t="str">
        <x:v>Not cycle-specific</x:v>
      </x:c>
      <x:c r="M2057" s="17" t="str">
        <x:v>low</x:v>
      </x:c>
      <x:c r="N2057" s="17" t="str">
        <x:v>Discovery evidence only</x:v>
      </x:c>
      <x:c r="O2057" s="17" t="str">
        <x:v>Use the source_record_paths field to trace the underlying discovery inputs.</x:v>
      </x:c>
      <x:c r="P2057" s="18" t="e">
        <x:f>HYPERLINK("https://utulsa.edu","Open source")</x:f>
        <x:v>HYPERLINK is not implemented. linkLocation=https://utulsa.edu, friendlyName=Open source</x:v>
      </x:c>
    </x:row>
    <x:row r="2058" ht="46" customHeight="1">
      <x:c r="A2058" s="17" t="str">
        <x:v>stage3src:294dad71df23771f2ea0</x:v>
      </x:c>
      <x:c r="B2058" s="17" t="str">
        <x:v>program</x:v>
      </x:c>
      <x:c r="C2058" s="17" t="str">
        <x:v>University of Tulsa</x:v>
      </x:c>
      <x:c r="D2058" s="17" t="str">
        <x:v>us:ipeds:207971:program:unclear:ipeds-discovery-signal-electrical-and-electronics-engineering-cip-14-1001</x:v>
      </x:c>
      <x:c r="E2058" s="17" t="str"/>
      <x:c r="F2058" s="17" t="str">
        <x:v>discovery</x:v>
      </x:c>
      <x:c r="G2058" s="17" t="str">
        <x:v>Stage 2 recorded this row as a discovery candidate; it does not independently verify an exact current research program, eligibility, or funding.</x:v>
      </x:c>
      <x:c r="H2058" s="17" t="str">
        <x:v>Pass 2 Stage 2 candidate funnel</x:v>
      </x:c>
      <x:c r="I2058" s="17" t="str">
        <x:v>Graduate audit pipeline</x:v>
      </x:c>
      <x:c r="J2058" s="17" t="str">
        <x:v>derived</x:v>
      </x:c>
      <x:c r="K2058" s="17" t="str">
        <x:v>2026-09-11</x:v>
      </x:c>
      <x:c r="L2058" s="17" t="str">
        <x:v>Not cycle-specific</x:v>
      </x:c>
      <x:c r="M2058" s="17" t="str">
        <x:v>low</x:v>
      </x:c>
      <x:c r="N2058" s="17" t="str">
        <x:v>Discovery evidence only</x:v>
      </x:c>
      <x:c r="O2058" s="17" t="str">
        <x:v>Use the source_record_paths field to trace the underlying discovery inputs.</x:v>
      </x:c>
      <x:c r="P2058" s="18" t="e">
        <x:f>HYPERLINK("https://utulsa.edu","Open source")</x:f>
        <x:v>HYPERLINK is not implemented. linkLocation=https://utulsa.edu, friendlyName=Open source</x:v>
      </x:c>
    </x:row>
    <x:row r="2059" ht="46" customHeight="1">
      <x:c r="A2059" s="17" t="str">
        <x:v>stage3src:f2088c5cfc881f6f1984</x:v>
      </x:c>
      <x:c r="B2059" s="17" t="str">
        <x:v>program</x:v>
      </x:c>
      <x:c r="C2059" s="17" t="str">
        <x:v>Oregon Health &amp; Science University</x:v>
      </x:c>
      <x:c r="D2059" s="17" t="str">
        <x:v>us:ipeds:209490:program:unclear:ipeds-discovery-signal-computer-engineering-general-cip-14-0901</x:v>
      </x:c>
      <x:c r="E2059" s="17" t="str"/>
      <x:c r="F2059" s="17" t="str">
        <x:v>discovery</x:v>
      </x:c>
      <x:c r="G2059" s="17" t="str">
        <x:v>Stage 2 recorded this row as a discovery candidate; it does not independently verify an exact current research program, eligibility, or funding.</x:v>
      </x:c>
      <x:c r="H2059" s="17" t="str">
        <x:v>Pass 2 Stage 2 candidate funnel</x:v>
      </x:c>
      <x:c r="I2059" s="17" t="str">
        <x:v>Graduate audit pipeline</x:v>
      </x:c>
      <x:c r="J2059" s="17" t="str">
        <x:v>derived</x:v>
      </x:c>
      <x:c r="K2059" s="17" t="str">
        <x:v>2026-09-11</x:v>
      </x:c>
      <x:c r="L2059" s="17" t="str">
        <x:v>Not cycle-specific</x:v>
      </x:c>
      <x:c r="M2059" s="17" t="str">
        <x:v>low</x:v>
      </x:c>
      <x:c r="N2059" s="17" t="str">
        <x:v>Discovery evidence only</x:v>
      </x:c>
      <x:c r="O2059" s="17" t="str">
        <x:v>Use the source_record_paths field to trace the underlying discovery inputs.</x:v>
      </x:c>
      <x:c r="P2059" s="18" t="e">
        <x:f>HYPERLINK("https://www.ohsu.edu","Open source")</x:f>
        <x:v>HYPERLINK is not implemented. linkLocation=https://www.ohsu.edu, friendlyName=Open source</x:v>
      </x:c>
    </x:row>
    <x:row r="2060" ht="46" customHeight="1">
      <x:c r="A2060" s="17" t="str">
        <x:v>stage3src:5ca178713575f7e33f6c</x:v>
      </x:c>
      <x:c r="B2060" s="17" t="str">
        <x:v>program</x:v>
      </x:c>
      <x:c r="C2060" s="17" t="str">
        <x:v>Oregon Health &amp; Science University</x:v>
      </x:c>
      <x:c r="D2060" s="17" t="str">
        <x:v>us:ipeds:209490:program:unclear:ipeds-discovery-signal-electrical-and-electronics-engineering-cip-14-1001</x:v>
      </x:c>
      <x:c r="E2060" s="17" t="str"/>
      <x:c r="F2060" s="17" t="str">
        <x:v>discovery</x:v>
      </x:c>
      <x:c r="G2060" s="17" t="str">
        <x:v>Stage 2 recorded this row as a discovery candidate; it does not independently verify an exact current research program, eligibility, or funding.</x:v>
      </x:c>
      <x:c r="H2060" s="17" t="str">
        <x:v>Pass 2 Stage 2 candidate funnel</x:v>
      </x:c>
      <x:c r="I2060" s="17" t="str">
        <x:v>Graduate audit pipeline</x:v>
      </x:c>
      <x:c r="J2060" s="17" t="str">
        <x:v>derived</x:v>
      </x:c>
      <x:c r="K2060" s="17" t="str">
        <x:v>2026-09-11</x:v>
      </x:c>
      <x:c r="L2060" s="17" t="str">
        <x:v>Not cycle-specific</x:v>
      </x:c>
      <x:c r="M2060" s="17" t="str">
        <x:v>low</x:v>
      </x:c>
      <x:c r="N2060" s="17" t="str">
        <x:v>Discovery evidence only</x:v>
      </x:c>
      <x:c r="O2060" s="17" t="str">
        <x:v>Use the source_record_paths field to trace the underlying discovery inputs.</x:v>
      </x:c>
      <x:c r="P2060" s="18" t="e">
        <x:f>HYPERLINK("https://www.ohsu.edu","Open source")</x:f>
        <x:v>HYPERLINK is not implemented. linkLocation=https://www.ohsu.edu, friendlyName=Open source</x:v>
      </x:c>
    </x:row>
    <x:row r="2061" ht="46" customHeight="1">
      <x:c r="A2061" s="17" t="str">
        <x:v>stage3src:7812774261b1596b27ee</x:v>
      </x:c>
      <x:c r="B2061" s="17" t="str">
        <x:v>program</x:v>
      </x:c>
      <x:c r="C2061" s="17" t="str">
        <x:v>Oregon State University</x:v>
      </x:c>
      <x:c r="D2061" s="17" t="str">
        <x:v>us:ipeds:209542:program:phd:computer-science-phd</x:v>
      </x:c>
      <x:c r="E2061" s="17" t="str"/>
      <x:c r="F2061" s="17" t="str">
        <x:v>fees|eligibility</x:v>
      </x:c>
      <x:c r="G2061" s="17" t="str">
        <x:v>$85 fee and international waiver limitation</x:v>
      </x:c>
      <x:c r="H2061" s="17" t="str">
        <x:v>Preparing for Graduate School</x:v>
      </x:c>
      <x:c r="I2061" s="17" t="str">
        <x:v>Oregon State University</x:v>
      </x:c>
      <x:c r="J2061" s="17" t="str">
        <x:v>Official</x:v>
      </x:c>
      <x:c r="K2061" s="17" t="str">
        <x:v>2026-09-09</x:v>
      </x:c>
      <x:c r="L2061" s="17" t="str">
        <x:v>Current</x:v>
      </x:c>
      <x:c r="M2061" s="17" t="str">
        <x:v>High</x:v>
      </x:c>
      <x:c r="N2061" s="17" t="str">
        <x:v>Verified</x:v>
      </x:c>
      <x:c r="O2061" s="17" t="str"/>
      <x:c r="P2061" s="18" t="e">
        <x:f>HYPERLINK("https://gradadmissions.oregonstate.edu/preparing-graduate-school","Open source")</x:f>
        <x:v>HYPERLINK is not implemented. linkLocation=https://gradadmissions.oregonstate.edu/preparing-graduate-school, friendlyName=Open source</x:v>
      </x:c>
    </x:row>
    <x:row r="2062" ht="46" customHeight="1">
      <x:c r="A2062" s="17" t="str">
        <x:v>stage3src:7ae326c47640e5b1b3f1</x:v>
      </x:c>
      <x:c r="B2062" s="17" t="str">
        <x:v>program</x:v>
      </x:c>
      <x:c r="C2062" s="17" t="str">
        <x:v>Oregon State University</x:v>
      </x:c>
      <x:c r="D2062" s="17" t="str">
        <x:v>us:ipeds:209542:program:phd:computer-science-phd</x:v>
      </x:c>
      <x:c r="E2062" s="17" t="str"/>
      <x:c r="F2062" s="17" t="str">
        <x:v>fees|deadline|eligibility|program</x:v>
      </x:c>
      <x:c r="G2062" s="17" t="str">
        <x:v>Active PhD, direct bachelor, exact Fall 2027 deadline, and no program fee waiver</x:v>
      </x:c>
      <x:c r="H2062" s="17" t="str">
        <x:v>Computer Science Graduate Program</x:v>
      </x:c>
      <x:c r="I2062" s="17" t="str">
        <x:v>Oregon State University</x:v>
      </x:c>
      <x:c r="J2062" s="17" t="str">
        <x:v>Official</x:v>
      </x:c>
      <x:c r="K2062" s="17" t="str">
        <x:v>2026-09-09</x:v>
      </x:c>
      <x:c r="L2062" s="17" t="str">
        <x:v>Fall 2027</x:v>
      </x:c>
      <x:c r="M2062" s="17" t="str">
        <x:v>High</x:v>
      </x:c>
      <x:c r="N2062" s="17" t="str">
        <x:v>Verified</x:v>
      </x:c>
      <x:c r="O2062" s="17" t="str"/>
      <x:c r="P2062" s="18" t="e">
        <x:f>HYPERLINK("https://engineering.oregonstate.edu/academics/programs/computer-science/graduate","Open source")</x:f>
        <x:v>HYPERLINK is not implemented. linkLocation=https://engineering.oregonstate.edu/academics/programs/computer-science/graduate, friendlyName=Open source</x:v>
      </x:c>
    </x:row>
    <x:row r="2063" ht="46" customHeight="1">
      <x:c r="A2063" s="17" t="str">
        <x:v>stage3src:ac80a12a344a5e17814b</x:v>
      </x:c>
      <x:c r="B2063" s="17" t="str">
        <x:v>program</x:v>
      </x:c>
      <x:c r="C2063" s="17" t="str">
        <x:v>Oregon State University</x:v>
      </x:c>
      <x:c r="D2063" s="17" t="str">
        <x:v>us:ipeds:209542:program:phd:ph-d-in-computer-science</x:v>
      </x:c>
      <x:c r="E2063" s="17" t="str"/>
      <x:c r="F2063" s="17" t="str">
        <x:v>program</x:v>
      </x:c>
      <x:c r="G2063" s="17" t="str">
        <x:v>Official graduate-program page lists an active Computer Science Ph.D. and research areas including AI, cybersecurity, and software engineering.</x:v>
      </x:c>
      <x:c r="H2063" s="17" t="str">
        <x:v>Ph.D. in Computer Science</x:v>
      </x:c>
      <x:c r="I2063" s="17" t="str">
        <x:v>Oregon State University</x:v>
      </x:c>
      <x:c r="J2063" s="17" t="str">
        <x:v>official</x:v>
      </x:c>
      <x:c r="K2063" s="17" t="str">
        <x:v>2026-09-09</x:v>
      </x:c>
      <x:c r="L2063" s="17" t="str">
        <x:v>Current page; Fall 2027 cycle not verified</x:v>
      </x:c>
      <x:c r="M2063" s="17" t="str">
        <x:v>high for page content; medium for future availability</x:v>
      </x:c>
      <x:c r="N2063" s="17" t="str">
        <x:v>opened official page</x:v>
      </x:c>
      <x:c r="O2063" s="17" t="str">
        <x:v>No inference about faculty recruiting or funding was made.</x:v>
      </x:c>
      <x:c r="P2063" s="18" t="e">
        <x:f>HYPERLINK("https://engineering.oregonstate.edu/academics/programs/computer-science/graduate","Open source")</x:f>
        <x:v>HYPERLINK is not implemented. linkLocation=https://engineering.oregonstate.edu/academics/programs/computer-science/graduate, friendlyName=Open source</x:v>
      </x:c>
    </x:row>
    <x:row r="2064" ht="46" customHeight="1">
      <x:c r="A2064" s="17" t="str">
        <x:v>stage3src:0ea871f88651d7fcaa0b</x:v>
      </x:c>
      <x:c r="B2064" s="17" t="str">
        <x:v>program</x:v>
      </x:c>
      <x:c r="C2064" s="17" t="str">
        <x:v>Oregon State University</x:v>
      </x:c>
      <x:c r="D2064" s="17" t="str">
        <x:v>us:ipeds:209542:program:unclear:ipeds-discovery-signal-artificial-intelligence-cip-11-0102</x:v>
      </x:c>
      <x:c r="E2064" s="17" t="str"/>
      <x:c r="F2064" s="17" t="str">
        <x:v>discovery</x:v>
      </x:c>
      <x:c r="G2064" s="17" t="str">
        <x:v>Stage 2 recorded this row as a discovery candidate; it does not independently verify an exact current research program, eligibility, or funding.</x:v>
      </x:c>
      <x:c r="H2064" s="17" t="str">
        <x:v>Pass 2 Stage 2 candidate funnel</x:v>
      </x:c>
      <x:c r="I2064" s="17" t="str">
        <x:v>Graduate audit pipeline</x:v>
      </x:c>
      <x:c r="J2064" s="17" t="str">
        <x:v>derived</x:v>
      </x:c>
      <x:c r="K2064" s="17" t="str">
        <x:v>2026-09-11</x:v>
      </x:c>
      <x:c r="L2064" s="17" t="str">
        <x:v>Not cycle-specific</x:v>
      </x:c>
      <x:c r="M2064" s="17" t="str">
        <x:v>low</x:v>
      </x:c>
      <x:c r="N2064" s="17" t="str">
        <x:v>Discovery evidence only</x:v>
      </x:c>
      <x:c r="O2064" s="17" t="str">
        <x:v>Use the source_record_paths field to trace the underlying discovery inputs.</x:v>
      </x:c>
      <x:c r="P2064" s="18" t="e">
        <x:f>HYPERLINK("https://oregonstate.edu","Open source")</x:f>
        <x:v>HYPERLINK is not implemented. linkLocation=https://oregonstate.edu, friendlyName=Open source</x:v>
      </x:c>
    </x:row>
    <x:row r="2065" ht="46" customHeight="1">
      <x:c r="A2065" s="17" t="str">
        <x:v>stage3src:f00e6ced1c39b32bf201</x:v>
      </x:c>
      <x:c r="B2065" s="17" t="str">
        <x:v>program</x:v>
      </x:c>
      <x:c r="C2065" s="17" t="str">
        <x:v>Oregon State University</x:v>
      </x:c>
      <x:c r="D2065" s="17" t="str">
        <x:v>us:ipeds:209542:program:unclear:ipeds-discovery-signal-computer-science-cip-11-0701</x:v>
      </x:c>
      <x:c r="E2065" s="17" t="str"/>
      <x:c r="F2065" s="17" t="str">
        <x:v>discovery</x:v>
      </x:c>
      <x:c r="G2065" s="17" t="str">
        <x:v>Stage 2 recorded this row as a discovery candidate; it does not independently verify an exact current research program, eligibility, or funding.</x:v>
      </x:c>
      <x:c r="H2065" s="17" t="str">
        <x:v>Pass 2 Stage 2 candidate funnel</x:v>
      </x:c>
      <x:c r="I2065" s="17" t="str">
        <x:v>Graduate audit pipeline</x:v>
      </x:c>
      <x:c r="J2065" s="17" t="str">
        <x:v>derived</x:v>
      </x:c>
      <x:c r="K2065" s="17" t="str">
        <x:v>2026-09-11</x:v>
      </x:c>
      <x:c r="L2065" s="17" t="str">
        <x:v>Not cycle-specific</x:v>
      </x:c>
      <x:c r="M2065" s="17" t="str">
        <x:v>low</x:v>
      </x:c>
      <x:c r="N2065" s="17" t="str">
        <x:v>Discovery evidence only</x:v>
      </x:c>
      <x:c r="O2065" s="17" t="str">
        <x:v>Use the source_record_paths field to trace the underlying discovery inputs.</x:v>
      </x:c>
      <x:c r="P2065" s="18" t="e">
        <x:f>HYPERLINK("https://oregonstate.edu","Open source")</x:f>
        <x:v>HYPERLINK is not implemented. linkLocation=https://oregonstate.edu, friendlyName=Open source</x:v>
      </x:c>
    </x:row>
    <x:row r="2066" ht="46" customHeight="1">
      <x:c r="A2066" s="17" t="str">
        <x:v>stage3src:bd3fc0b42040b7e2e3cf</x:v>
      </x:c>
      <x:c r="B2066" s="17" t="str">
        <x:v>program</x:v>
      </x:c>
      <x:c r="C2066" s="17" t="str">
        <x:v>Oregon State University</x:v>
      </x:c>
      <x:c r="D2066" s="17" t="str">
        <x:v>us:ipeds:209542:program:unclear:ipeds-discovery-signal-electrical-and-electronics-engineering-cip-14-1001</x:v>
      </x:c>
      <x:c r="E2066" s="17" t="str"/>
      <x:c r="F2066" s="17" t="str">
        <x:v>discovery</x:v>
      </x:c>
      <x:c r="G2066" s="17" t="str">
        <x:v>Stage 2 recorded this row as a discovery candidate; it does not independently verify an exact current research program, eligibility, or funding.</x:v>
      </x:c>
      <x:c r="H2066" s="17" t="str">
        <x:v>Pass 2 Stage 2 candidate funnel</x:v>
      </x:c>
      <x:c r="I2066" s="17" t="str">
        <x:v>Graduate audit pipeline</x:v>
      </x:c>
      <x:c r="J2066" s="17" t="str">
        <x:v>derived</x:v>
      </x:c>
      <x:c r="K2066" s="17" t="str">
        <x:v>2026-09-11</x:v>
      </x:c>
      <x:c r="L2066" s="17" t="str">
        <x:v>Not cycle-specific</x:v>
      </x:c>
      <x:c r="M2066" s="17" t="str">
        <x:v>low</x:v>
      </x:c>
      <x:c r="N2066" s="17" t="str">
        <x:v>Discovery evidence only</x:v>
      </x:c>
      <x:c r="O2066" s="17" t="str">
        <x:v>Use the source_record_paths field to trace the underlying discovery inputs.</x:v>
      </x:c>
      <x:c r="P2066" s="18" t="e">
        <x:f>HYPERLINK("https://oregonstate.edu","Open source")</x:f>
        <x:v>HYPERLINK is not implemented. linkLocation=https://oregonstate.edu, friendlyName=Open source</x:v>
      </x:c>
    </x:row>
    <x:row r="2067" ht="46" customHeight="1">
      <x:c r="A2067" s="17" t="str">
        <x:v>stage3src:24b61ec2da0b91bf80bd</x:v>
      </x:c>
      <x:c r="B2067" s="17" t="str">
        <x:v>program</x:v>
      </x:c>
      <x:c r="C2067" s="17" t="str">
        <x:v>Oregon State University</x:v>
      </x:c>
      <x:c r="D2067" s="17" t="str">
        <x:v>us:ipeds:209542:program:unclear:ipeds-discovery-signal-mechatronics-robotics-and-automation-engineering-cip-14-4201</x:v>
      </x:c>
      <x:c r="E2067" s="17" t="str"/>
      <x:c r="F2067" s="17" t="str">
        <x:v>discovery</x:v>
      </x:c>
      <x:c r="G2067" s="17" t="str">
        <x:v>Stage 2 recorded this row as a discovery candidate; it does not independently verify an exact current research program, eligibility, or funding.</x:v>
      </x:c>
      <x:c r="H2067" s="17" t="str">
        <x:v>Pass 2 Stage 2 candidate funnel</x:v>
      </x:c>
      <x:c r="I2067" s="17" t="str">
        <x:v>Graduate audit pipeline</x:v>
      </x:c>
      <x:c r="J2067" s="17" t="str">
        <x:v>derived</x:v>
      </x:c>
      <x:c r="K2067" s="17" t="str">
        <x:v>2026-09-11</x:v>
      </x:c>
      <x:c r="L2067" s="17" t="str">
        <x:v>Not cycle-specific</x:v>
      </x:c>
      <x:c r="M2067" s="17" t="str">
        <x:v>low</x:v>
      </x:c>
      <x:c r="N2067" s="17" t="str">
        <x:v>Discovery evidence only</x:v>
      </x:c>
      <x:c r="O2067" s="17" t="str">
        <x:v>Use the source_record_paths field to trace the underlying discovery inputs.</x:v>
      </x:c>
      <x:c r="P2067" s="18" t="e">
        <x:f>HYPERLINK("https://oregonstate.edu","Open source")</x:f>
        <x:v>HYPERLINK is not implemented. linkLocation=https://oregonstate.edu, friendlyName=Open source</x:v>
      </x:c>
    </x:row>
    <x:row r="2068" ht="46" customHeight="1">
      <x:c r="A2068" s="17" t="str">
        <x:v>stage3src:11c0be5b1fafcd3981f0</x:v>
      </x:c>
      <x:c r="B2068" s="17" t="str">
        <x:v>program</x:v>
      </x:c>
      <x:c r="C2068" s="17" t="str">
        <x:v>University of Oregon</x:v>
      </x:c>
      <x:c r="D2068" s="17" t="str">
        <x:v>us:ipeds:209551:program:phd:phd-in-computer-science</x:v>
      </x:c>
      <x:c r="E2068" s="17" t="str"/>
      <x:c r="F2068" s="17" t="str">
        <x:v>admissions|eligibility|language|deadline|fees</x:v>
      </x:c>
      <x:c r="G2068" s="17" t="str">
        <x:v>Explicit Fall 2027 deadline, application process, international fee, and English requirements.</x:v>
      </x:c>
      <x:c r="H2068" s="17" t="str">
        <x:v>Graduate Admissions</x:v>
      </x:c>
      <x:c r="I2068" s="17" t="str">
        <x:v>University of Oregon</x:v>
      </x:c>
      <x:c r="J2068" s="17" t="str">
        <x:v>official</x:v>
      </x:c>
      <x:c r="K2068" s="17" t="str">
        <x:v>2026-09-11</x:v>
      </x:c>
      <x:c r="L2068" s="17" t="str">
        <x:v>Explicit Fall 2027 cycle checked 2026-09-11</x:v>
      </x:c>
      <x:c r="M2068" s="17" t="str">
        <x:v>high</x:v>
      </x:c>
      <x:c r="N2068" s="17" t="str">
        <x:v>official page checked</x:v>
      </x:c>
      <x:c r="O2068" s="17" t="str"/>
      <x:c r="P2068" s="18" t="e">
        <x:f>HYPERLINK("https://scds.uoregon.edu/cs/apply/graduate-admissions","Open source")</x:f>
        <x:v>HYPERLINK is not implemented. linkLocation=https://scds.uoregon.edu/cs/apply/graduate-admissions, friendlyName=Open source</x:v>
      </x:c>
    </x:row>
    <x:row r="2069" ht="46" customHeight="1">
      <x:c r="A2069" s="17" t="str">
        <x:v>stage3src:4ed819a7d234aa505153</x:v>
      </x:c>
      <x:c r="B2069" s="17" t="str">
        <x:v>program</x:v>
      </x:c>
      <x:c r="C2069" s="17" t="str">
        <x:v>University of Oregon</x:v>
      </x:c>
      <x:c r="D2069" s="17" t="str">
        <x:v>us:ipeds:209551:program:phd:phd-in-computer-science</x:v>
      </x:c>
      <x:c r="E2069" s="17" t="str"/>
      <x:c r="F2069" s="17" t="str">
        <x:v>funding|tuition</x:v>
      </x:c>
      <x:c r="G2069" s="17" t="str">
        <x:v>Graduate Employee support mechanisms and the distinction between five-year eligibility and a guarantee.</x:v>
      </x:c>
      <x:c r="H2069" s="17" t="str">
        <x:v>Graduate Funding</x:v>
      </x:c>
      <x:c r="I2069" s="17" t="str">
        <x:v>University of Oregon</x:v>
      </x:c>
      <x:c r="J2069" s="17" t="str">
        <x:v>official</x:v>
      </x:c>
      <x:c r="K2069" s="17" t="str">
        <x:v>2026-09-11</x:v>
      </x:c>
      <x:c r="L2069" s="17" t="str">
        <x:v>Current policy checked 2026-09-11</x:v>
      </x:c>
      <x:c r="M2069" s="17" t="str">
        <x:v>high</x:v>
      </x:c>
      <x:c r="N2069" s="17" t="str">
        <x:v>official page checked</x:v>
      </x:c>
      <x:c r="O2069" s="17" t="str"/>
      <x:c r="P2069" s="18" t="e">
        <x:f>HYPERLINK("https://scds.uoregon.edu/cs/graduate-programs/funding","Open source")</x:f>
        <x:v>HYPERLINK is not implemented. linkLocation=https://scds.uoregon.edu/cs/graduate-programs/funding, friendlyName=Open source</x:v>
      </x:c>
    </x:row>
    <x:row r="2070" ht="46" customHeight="1">
      <x:c r="A2070" s="17" t="str">
        <x:v>stage3src:ec031f9310dd8dde4550</x:v>
      </x:c>
      <x:c r="B2070" s="17" t="str">
        <x:v>program</x:v>
      </x:c>
      <x:c r="C2070" s="17" t="str">
        <x:v>University of Oregon</x:v>
      </x:c>
      <x:c r="D2070" s="17" t="str">
        <x:v>us:ipeds:209551:program:phd:phd-in-computer-science</x:v>
      </x:c>
      <x:c r="E2070" s="17" t="str"/>
      <x:c r="F2070" s="17" t="str">
        <x:v>program|research|eligibility</x:v>
      </x:c>
      <x:c r="G2070" s="17" t="str">
        <x:v>Current Computer Science PhD, dissertation structure, direct bachelor's route, and five-year support-eligibility boundary.</x:v>
      </x:c>
      <x:c r="H2070" s="17" t="str">
        <x:v>PhD in Computer Science</x:v>
      </x:c>
      <x:c r="I2070" s="17" t="str">
        <x:v>University of Oregon</x:v>
      </x:c>
      <x:c r="J2070" s="17" t="str">
        <x:v>official</x:v>
      </x:c>
      <x:c r="K2070" s="17" t="str">
        <x:v>2026-09-11</x:v>
      </x:c>
      <x:c r="L2070" s="17" t="str">
        <x:v>Current page checked 2026-09-11</x:v>
      </x:c>
      <x:c r="M2070" s="17" t="str">
        <x:v>high</x:v>
      </x:c>
      <x:c r="N2070" s="17" t="str">
        <x:v>official page checked</x:v>
      </x:c>
      <x:c r="O2070" s="17" t="str"/>
      <x:c r="P2070" s="18" t="e">
        <x:f>HYPERLINK("https://scds.uoregon.edu/cs/graduate-programs/cs-phd","Open source")</x:f>
        <x:v>HYPERLINK is not implemented. linkLocation=https://scds.uoregon.edu/cs/graduate-programs/cs-phd, friendlyName=Open source</x:v>
      </x:c>
    </x:row>
    <x:row r="2071" ht="46" customHeight="1">
      <x:c r="A2071" s="17" t="str">
        <x:v>stage3src:4ec222fd566d1856b946</x:v>
      </x:c>
      <x:c r="B2071" s="17" t="str">
        <x:v>program</x:v>
      </x:c>
      <x:c r="C2071" s="17" t="str">
        <x:v>University of Oregon</x:v>
      </x:c>
      <x:c r="D2071" s="17" t="str">
        <x:v>us:ipeds:209551:program:unclear:ipeds-discovery-signal-computer-and-information-sciences-general-cip-11-0101</x:v>
      </x:c>
      <x:c r="E2071" s="17" t="str"/>
      <x:c r="F2071" s="17" t="str">
        <x:v>discovery</x:v>
      </x:c>
      <x:c r="G2071" s="17" t="str">
        <x:v>Stage 2 recorded this row as a discovery candidate; it does not independently verify an exact current research program, eligibility, or funding.</x:v>
      </x:c>
      <x:c r="H2071" s="17" t="str">
        <x:v>Pass 2 Stage 2 candidate funnel</x:v>
      </x:c>
      <x:c r="I2071" s="17" t="str">
        <x:v>Graduate audit pipeline</x:v>
      </x:c>
      <x:c r="J2071" s="17" t="str">
        <x:v>derived</x:v>
      </x:c>
      <x:c r="K2071" s="17" t="str">
        <x:v>2026-09-11</x:v>
      </x:c>
      <x:c r="L2071" s="17" t="str">
        <x:v>Not cycle-specific</x:v>
      </x:c>
      <x:c r="M2071" s="17" t="str">
        <x:v>low</x:v>
      </x:c>
      <x:c r="N2071" s="17" t="str">
        <x:v>Discovery evidence only</x:v>
      </x:c>
      <x:c r="O2071" s="17" t="str">
        <x:v>Use the source_record_paths field to trace the underlying discovery inputs.</x:v>
      </x:c>
      <x:c r="P2071" s="18" t="e">
        <x:f>HYPERLINK("https://www.uoregon.edu","Open source")</x:f>
        <x:v>HYPERLINK is not implemented. linkLocation=https://www.uoregon.edu, friendlyName=Open source</x:v>
      </x:c>
    </x:row>
    <x:row r="2072" ht="46" customHeight="1">
      <x:c r="A2072" s="17" t="str">
        <x:v>stage3src:662339b57edff2f9e620</x:v>
      </x:c>
      <x:c r="B2072" s="17" t="str">
        <x:v>program</x:v>
      </x:c>
      <x:c r="C2072" s="17" t="str">
        <x:v>Portland State University</x:v>
      </x:c>
      <x:c r="D2072" s="17" t="str">
        <x:v>us:ipeds:209807:program:phd:doctoral-degree-in-computer-science-ph-d</x:v>
      </x:c>
      <x:c r="E2072" s="17" t="str"/>
      <x:c r="F2072" s="17" t="str">
        <x:v>admissions|eligibility|language|deadline|funding|tuition|fees|summer</x:v>
      </x:c>
      <x:c r="G2072" s="17" t="str">
        <x:v>2026-27 admission requirements, 3.0 minimum, fall deadlines, one-year guaranteed-funding consideration boundary, and assistantship framework.</x:v>
      </x:c>
      <x:c r="H2072" s="17" t="str">
        <x:v>CS Graduate Student Handbook 2026-27</x:v>
      </x:c>
      <x:c r="I2072" s="17" t="str">
        <x:v>Portland State University</x:v>
      </x:c>
      <x:c r="J2072" s="17" t="str">
        <x:v>official</x:v>
      </x:c>
      <x:c r="K2072" s="17" t="str">
        <x:v>2026-09-11</x:v>
      </x:c>
      <x:c r="L2072" s="17" t="str">
        <x:v>2026-27 handbook checked 2026-09-11</x:v>
      </x:c>
      <x:c r="M2072" s="17" t="str">
        <x:v>high</x:v>
      </x:c>
      <x:c r="N2072" s="17" t="str">
        <x:v>official page checked</x:v>
      </x:c>
      <x:c r="O2072" s="17" t="str"/>
      <x:c r="P2072" s="18" t="e">
        <x:f>HYPERLINK("https://web.cs.pdx.edu/cs-graduate-student-handbook-2026-27/","Open source")</x:f>
        <x:v>HYPERLINK is not implemented. linkLocation=https://web.cs.pdx.edu/cs-graduate-student-handbook-2026-27/, friendlyName=Open source</x:v>
      </x:c>
    </x:row>
    <x:row r="2073" ht="46" customHeight="1">
      <x:c r="A2073" s="17" t="str">
        <x:v>stage3src:cbf5a662bca7792dd751</x:v>
      </x:c>
      <x:c r="B2073" s="17" t="str">
        <x:v>program</x:v>
      </x:c>
      <x:c r="C2073" s="17" t="str">
        <x:v>Portland State University</x:v>
      </x:c>
      <x:c r="D2073" s="17" t="str">
        <x:v>us:ipeds:209807:program:phd:doctoral-degree-in-computer-science-ph-d</x:v>
      </x:c>
      <x:c r="E2073" s="17" t="str"/>
      <x:c r="F2073" s="17" t="str">
        <x:v>program|research|admissions|eligibility</x:v>
      </x:c>
      <x:c r="G2073" s="17" t="str">
        <x:v>Current bachelor's-entry Computer Science PhD, research milestones, advisor structure, and dissertation requirements.</x:v>
      </x:c>
      <x:c r="H2073" s="17" t="str">
        <x:v>Doctoral Degree in Computer Science (Ph.D.)</x:v>
      </x:c>
      <x:c r="I2073" s="17" t="str">
        <x:v>Portland State University</x:v>
      </x:c>
      <x:c r="J2073" s="17" t="str">
        <x:v>official</x:v>
      </x:c>
      <x:c r="K2073" s="17" t="str">
        <x:v>2026-09-11</x:v>
      </x:c>
      <x:c r="L2073" s="17" t="str">
        <x:v>Current program page checked 2026-09-11</x:v>
      </x:c>
      <x:c r="M2073" s="17" t="str">
        <x:v>high</x:v>
      </x:c>
      <x:c r="N2073" s="17" t="str">
        <x:v>official page checked</x:v>
      </x:c>
      <x:c r="O2073" s="17" t="str"/>
      <x:c r="P2073" s="18" t="e">
        <x:f>HYPERLINK("https://web.cs.pdx.edu/phd-doctoral-degree-in-cs/","Open source")</x:f>
        <x:v>HYPERLINK is not implemented. linkLocation=https://web.cs.pdx.edu/phd-doctoral-degree-in-cs/, friendlyName=Open source</x:v>
      </x:c>
    </x:row>
    <x:row r="2074" ht="46" customHeight="1">
      <x:c r="A2074" s="17" t="str">
        <x:v>stage3src:538558dd4f0c8ddbd779</x:v>
      </x:c>
      <x:c r="B2074" s="17" t="str">
        <x:v>program</x:v>
      </x:c>
      <x:c r="C2074" s="17" t="str">
        <x:v>Portland State University</x:v>
      </x:c>
      <x:c r="D2074" s="17" t="str">
        <x:v>us:ipeds:209807:program:unclear:ipeds-discovery-signal-computer-science-cip-11-0701</x:v>
      </x:c>
      <x:c r="E2074" s="17" t="str"/>
      <x:c r="F2074" s="17" t="str">
        <x:v>discovery</x:v>
      </x:c>
      <x:c r="G2074" s="17" t="str">
        <x:v>Stage 2 recorded this row as a discovery candidate; it does not independently verify an exact current research program, eligibility, or funding.</x:v>
      </x:c>
      <x:c r="H2074" s="17" t="str">
        <x:v>Pass 2 Stage 2 candidate funnel</x:v>
      </x:c>
      <x:c r="I2074" s="17" t="str">
        <x:v>Graduate audit pipeline</x:v>
      </x:c>
      <x:c r="J2074" s="17" t="str">
        <x:v>derived</x:v>
      </x:c>
      <x:c r="K2074" s="17" t="str">
        <x:v>2026-09-11</x:v>
      </x:c>
      <x:c r="L2074" s="17" t="str">
        <x:v>Not cycle-specific</x:v>
      </x:c>
      <x:c r="M2074" s="17" t="str">
        <x:v>low</x:v>
      </x:c>
      <x:c r="N2074" s="17" t="str">
        <x:v>Discovery evidence only</x:v>
      </x:c>
      <x:c r="O2074" s="17" t="str">
        <x:v>Use the source_record_paths field to trace the underlying discovery inputs.</x:v>
      </x:c>
      <x:c r="P2074" s="18" t="e">
        <x:f>HYPERLINK("https://www.pdx.edu","Open source")</x:f>
        <x:v>HYPERLINK is not implemented. linkLocation=https://www.pdx.edu, friendlyName=Open source</x:v>
      </x:c>
    </x:row>
    <x:row r="2075" ht="46" customHeight="1">
      <x:c r="A2075" s="17" t="str">
        <x:v>stage3src:28a74d0d595f5319916e</x:v>
      </x:c>
      <x:c r="B2075" s="17" t="str">
        <x:v>program</x:v>
      </x:c>
      <x:c r="C2075" s="17" t="str">
        <x:v>Willamette University</x:v>
      </x:c>
      <x:c r="D2075" s="17" t="str">
        <x:v>us:ipeds:210401:program:unclear:ipeds-discovery-signal-data-science-general-cip-30-7001</x:v>
      </x:c>
      <x:c r="E2075" s="17" t="str"/>
      <x:c r="F2075" s="17" t="str">
        <x:v>discovery</x:v>
      </x:c>
      <x:c r="G2075" s="17" t="str">
        <x:v>Stage 2 recorded this row as a discovery candidate; it does not independently verify an exact current research program, eligibility, or funding.</x:v>
      </x:c>
      <x:c r="H2075" s="17" t="str">
        <x:v>Pass 2 Stage 2 candidate funnel</x:v>
      </x:c>
      <x:c r="I2075" s="17" t="str">
        <x:v>Graduate audit pipeline</x:v>
      </x:c>
      <x:c r="J2075" s="17" t="str">
        <x:v>derived</x:v>
      </x:c>
      <x:c r="K2075" s="17" t="str">
        <x:v>2026-09-11</x:v>
      </x:c>
      <x:c r="L2075" s="17" t="str">
        <x:v>Not cycle-specific</x:v>
      </x:c>
      <x:c r="M2075" s="17" t="str">
        <x:v>low</x:v>
      </x:c>
      <x:c r="N2075" s="17" t="str">
        <x:v>Discovery evidence only</x:v>
      </x:c>
      <x:c r="O2075" s="17" t="str">
        <x:v>Use the source_record_paths field to trace the underlying discovery inputs.</x:v>
      </x:c>
      <x:c r="P2075" s="18" t="e">
        <x:f>HYPERLINK("https://www.willamette.edu","Open source")</x:f>
        <x:v>HYPERLINK is not implemented. linkLocation=https://www.willamette.edu, friendlyName=Open source</x:v>
      </x:c>
    </x:row>
    <x:row r="2076" ht="46" customHeight="1">
      <x:c r="A2076" s="17" t="str">
        <x:v>stage3src:55dcbef64d3f24541345</x:v>
      </x:c>
      <x:c r="B2076" s="17" t="str">
        <x:v>program</x:v>
      </x:c>
      <x:c r="C2076" s="17" t="str">
        <x:v>DeSales University</x:v>
      </x:c>
      <x:c r="D2076" s="17" t="str">
        <x:v>us:ipeds:210739:program:unclear:ipeds-discovery-signal-information-science-studies-cip-11-0401</x:v>
      </x:c>
      <x:c r="E2076" s="17" t="str"/>
      <x:c r="F2076" s="17" t="str">
        <x:v>discovery</x:v>
      </x:c>
      <x:c r="G2076" s="17" t="str">
        <x:v>Stage 2 recorded this row as a discovery candidate; it does not independently verify an exact current research program, eligibility, or funding.</x:v>
      </x:c>
      <x:c r="H2076" s="17" t="str">
        <x:v>Pass 2 Stage 2 candidate funnel</x:v>
      </x:c>
      <x:c r="I2076" s="17" t="str">
        <x:v>Graduate audit pipeline</x:v>
      </x:c>
      <x:c r="J2076" s="17" t="str">
        <x:v>derived</x:v>
      </x:c>
      <x:c r="K2076" s="17" t="str">
        <x:v>2026-09-11</x:v>
      </x:c>
      <x:c r="L2076" s="17" t="str">
        <x:v>Not cycle-specific</x:v>
      </x:c>
      <x:c r="M2076" s="17" t="str">
        <x:v>low</x:v>
      </x:c>
      <x:c r="N2076" s="17" t="str">
        <x:v>Discovery evidence only</x:v>
      </x:c>
      <x:c r="O2076" s="17" t="str">
        <x:v>Use the source_record_paths field to trace the underlying discovery inputs.</x:v>
      </x:c>
      <x:c r="P2076" s="18" t="e">
        <x:f>HYPERLINK("https://www.desales.edu","Open source")</x:f>
        <x:v>HYPERLINK is not implemented. linkLocation=https://www.desales.edu, friendlyName=Open source</x:v>
      </x:c>
    </x:row>
    <x:row r="2077" ht="46" customHeight="1">
      <x:c r="A2077" s="17" t="str">
        <x:v>stage3src:c31a867cbc178f5ce618</x:v>
      </x:c>
      <x:c r="B2077" s="17" t="str">
        <x:v>program</x:v>
      </x:c>
      <x:c r="C2077" s="17" t="str">
        <x:v>Bucknell University</x:v>
      </x:c>
      <x:c r="D2077" s="17" t="str">
        <x:v>us:ipeds:211291:program:unclear:ipeds-discovery-signal-electrical-and-electronics-engineering-cip-14-1001</x:v>
      </x:c>
      <x:c r="E2077" s="17" t="str"/>
      <x:c r="F2077" s="17" t="str">
        <x:v>discovery</x:v>
      </x:c>
      <x:c r="G2077" s="17" t="str">
        <x:v>Stage 2 recorded this row as a discovery candidate; it does not independently verify an exact current research program, eligibility, or funding.</x:v>
      </x:c>
      <x:c r="H2077" s="17" t="str">
        <x:v>Pass 2 Stage 2 candidate funnel</x:v>
      </x:c>
      <x:c r="I2077" s="17" t="str">
        <x:v>Graduate audit pipeline</x:v>
      </x:c>
      <x:c r="J2077" s="17" t="str">
        <x:v>derived</x:v>
      </x:c>
      <x:c r="K2077" s="17" t="str">
        <x:v>2026-09-11</x:v>
      </x:c>
      <x:c r="L2077" s="17" t="str">
        <x:v>Not cycle-specific</x:v>
      </x:c>
      <x:c r="M2077" s="17" t="str">
        <x:v>low</x:v>
      </x:c>
      <x:c r="N2077" s="17" t="str">
        <x:v>Discovery evidence only</x:v>
      </x:c>
      <x:c r="O2077" s="17" t="str">
        <x:v>Use the source_record_paths field to trace the underlying discovery inputs.</x:v>
      </x:c>
      <x:c r="P2077" s="18" t="e">
        <x:f>HYPERLINK("https://www.bucknell.edu","Open source")</x:f>
        <x:v>HYPERLINK is not implemented. linkLocation=https://www.bucknell.edu, friendlyName=Open source</x:v>
      </x:c>
    </x:row>
    <x:row r="2078" ht="46" customHeight="1">
      <x:c r="A2078" s="17" t="str">
        <x:v>stage3src:d7a688e21a3b2f8114eb</x:v>
      </x:c>
      <x:c r="B2078" s="17" t="str">
        <x:v>program</x:v>
      </x:c>
      <x:c r="C2078" s="17" t="str">
        <x:v>Carnegie Mellon University</x:v>
      </x:c>
      <x:c r="D2078" s="17" t="str">
        <x:v>us:ipeds:211440:program:phd:software-engineering-ph-d</x:v>
      </x:c>
      <x:c r="E2078" s="17" t="str"/>
      <x:c r="F2078" s="17" t="str">
        <x:v>program</x:v>
      </x:c>
      <x:c r="G2078" s="17" t="str">
        <x:v>Official program page describes an active Software Engineering Ph.D. focused on complex software systems in an AI future.</x:v>
      </x:c>
      <x:c r="H2078" s="17" t="str">
        <x:v>Software Engineering Ph.D.</x:v>
      </x:c>
      <x:c r="I2078" s="17" t="str">
        <x:v>Carnegie Mellon University</x:v>
      </x:c>
      <x:c r="J2078" s="17" t="str">
        <x:v>official</x:v>
      </x:c>
      <x:c r="K2078" s="17" t="str">
        <x:v>2026-09-09</x:v>
      </x:c>
      <x:c r="L2078" s="17" t="str">
        <x:v>Current page; Fall 2027 cycle not verified</x:v>
      </x:c>
      <x:c r="M2078" s="17" t="str">
        <x:v>high for page content; medium for future availability</x:v>
      </x:c>
      <x:c r="N2078" s="17" t="str">
        <x:v>opened official page</x:v>
      </x:c>
      <x:c r="O2078" s="17" t="str">
        <x:v>No inference about faculty recruiting or funding was made.</x:v>
      </x:c>
      <x:c r="P2078" s="18" t="e">
        <x:f>HYPERLINK("https://se-phd.isri.cmu.edu/","Open source")</x:f>
        <x:v>HYPERLINK is not implemented. linkLocation=https://se-phd.isri.cmu.edu/, friendlyName=Open source</x:v>
      </x:c>
    </x:row>
    <x:row r="2079" ht="46" customHeight="1">
      <x:c r="A2079" s="17" t="str">
        <x:v>stage3src:1c77cc70f88821cdf6cd</x:v>
      </x:c>
      <x:c r="B2079" s="17" t="str">
        <x:v>program</x:v>
      </x:c>
      <x:c r="C2079" s="17" t="str">
        <x:v>Carnegie Mellon University</x:v>
      </x:c>
      <x:c r="D2079" s="17" t="str">
        <x:v>us:ipeds:211440:program:phd:software-engineering-phd</x:v>
      </x:c>
      <x:c r="E2079" s="17" t="str"/>
      <x:c r="F2079" s="17" t="str">
        <x:v>deadline</x:v>
      </x:c>
      <x:c r="G2079" s="17" t="str">
        <x:v>Fall 2027 early and final deadlines</x:v>
      </x:c>
      <x:c r="H2079" s="17" t="str">
        <x:v>SCS Graduate Application</x:v>
      </x:c>
      <x:c r="I2079" s="17" t="str">
        <x:v>Carnegie Mellon University</x:v>
      </x:c>
      <x:c r="J2079" s="17" t="str">
        <x:v>Official</x:v>
      </x:c>
      <x:c r="K2079" s="17" t="str">
        <x:v>2026-09-09</x:v>
      </x:c>
      <x:c r="L2079" s="17" t="str">
        <x:v>Fall 2027</x:v>
      </x:c>
      <x:c r="M2079" s="17" t="str">
        <x:v>High</x:v>
      </x:c>
      <x:c r="N2079" s="17" t="str">
        <x:v>Verified</x:v>
      </x:c>
      <x:c r="O2079" s="17" t="str"/>
      <x:c r="P2079" s="18" t="e">
        <x:f>HYPERLINK("https://admissions.scs.cmu.edu/portal/apply_gr","Open source")</x:f>
        <x:v>HYPERLINK is not implemented. linkLocation=https://admissions.scs.cmu.edu/portal/apply_gr, friendlyName=Open source</x:v>
      </x:c>
    </x:row>
    <x:row r="2080" ht="46" customHeight="1">
      <x:c r="A2080" s="17" t="str">
        <x:v>stage3src:31d029a3e500f2930622</x:v>
      </x:c>
      <x:c r="B2080" s="17" t="str">
        <x:v>program</x:v>
      </x:c>
      <x:c r="C2080" s="17" t="str">
        <x:v>Carnegie Mellon University</x:v>
      </x:c>
      <x:c r="D2080" s="17" t="str">
        <x:v>us:ipeds:211440:program:phd:software-engineering-phd</x:v>
      </x:c>
      <x:c r="E2080" s="17" t="str"/>
      <x:c r="F2080" s="17" t="str">
        <x:v>funding|program</x:v>
      </x:c>
      <x:c r="G2080" s="17" t="str">
        <x:v>Guaranteed tuition and living support for admitted SE PhD students</x:v>
      </x:c>
      <x:c r="H2080" s="17" t="str">
        <x:v>Prospective Students</x:v>
      </x:c>
      <x:c r="I2080" s="17" t="str">
        <x:v>Carnegie Mellon University</x:v>
      </x:c>
      <x:c r="J2080" s="17" t="str">
        <x:v>Official</x:v>
      </x:c>
      <x:c r="K2080" s="17" t="str">
        <x:v>2026-09-09</x:v>
      </x:c>
      <x:c r="L2080" s="17" t="str">
        <x:v>Current</x:v>
      </x:c>
      <x:c r="M2080" s="17" t="str">
        <x:v>High</x:v>
      </x:c>
      <x:c r="N2080" s="17" t="str">
        <x:v>Verified</x:v>
      </x:c>
      <x:c r="O2080" s="17" t="str"/>
      <x:c r="P2080" s="18" t="e">
        <x:f>HYPERLINK("https://se-phd.s3d.cmu.edu/Prospective%20Students/index.html","Open source")</x:f>
        <x:v>HYPERLINK is not implemented. linkLocation=https://se-phd.s3d.cmu.edu/Prospective%20Students/index.html, friendlyName=Open source</x:v>
      </x:c>
    </x:row>
    <x:row r="2081" ht="46" customHeight="1">
      <x:c r="A2081" s="17" t="str">
        <x:v>stage3src:eb9cbc1155255ac27557</x:v>
      </x:c>
      <x:c r="B2081" s="17" t="str">
        <x:v>program</x:v>
      </x:c>
      <x:c r="C2081" s="17" t="str">
        <x:v>Carnegie Mellon University</x:v>
      </x:c>
      <x:c r="D2081" s="17" t="str">
        <x:v>us:ipeds:211440:program:phd:software-engineering-phd</x:v>
      </x:c>
      <x:c r="E2081" s="17" t="str"/>
      <x:c r="F2081" s="17" t="str">
        <x:v>fees|admissions|program</x:v>
      </x:c>
      <x:c r="G2081" s="17" t="str">
        <x:v>Program status, application process, fee waiver, and research scope</x:v>
      </x:c>
      <x:c r="H2081" s="17" t="str">
        <x:v>Software Engineering PhD</x:v>
      </x:c>
      <x:c r="I2081" s="17" t="str">
        <x:v>Carnegie Mellon University</x:v>
      </x:c>
      <x:c r="J2081" s="17" t="str">
        <x:v>Official</x:v>
      </x:c>
      <x:c r="K2081" s="17" t="str">
        <x:v>2026-09-09</x:v>
      </x:c>
      <x:c r="L2081" s="17" t="str">
        <x:v>Fall 2027/current</x:v>
      </x:c>
      <x:c r="M2081" s="17" t="str">
        <x:v>High</x:v>
      </x:c>
      <x:c r="N2081" s="17" t="str">
        <x:v>Verified</x:v>
      </x:c>
      <x:c r="O2081" s="17" t="str"/>
      <x:c r="P2081" s="18" t="e">
        <x:f>HYPERLINK("https://se-phd.isri.cmu.edu/","Open source")</x:f>
        <x:v>HYPERLINK is not implemented. linkLocation=https://se-phd.isri.cmu.edu/, friendlyName=Open source</x:v>
      </x:c>
    </x:row>
    <x:row r="2082" ht="46" customHeight="1">
      <x:c r="A2082" s="17" t="str">
        <x:v>stage3src:332cec96d60d6b8ac35b</x:v>
      </x:c>
      <x:c r="B2082" s="17" t="str">
        <x:v>program</x:v>
      </x:c>
      <x:c r="C2082" s="17" t="str">
        <x:v>Carnegie Mellon University</x:v>
      </x:c>
      <x:c r="D2082" s="17" t="str">
        <x:v>us:ipeds:211440:program:unclear:ipeds-discovery-signal-artificial-intelligence-cip-11-0102</x:v>
      </x:c>
      <x:c r="E2082" s="17" t="str"/>
      <x:c r="F2082" s="17" t="str">
        <x:v>discovery</x:v>
      </x:c>
      <x:c r="G2082" s="17" t="str">
        <x:v>Stage 2 recorded this row as a discovery candidate; it does not independently verify an exact current research program, eligibility, or funding.</x:v>
      </x:c>
      <x:c r="H2082" s="17" t="str">
        <x:v>Pass 2 Stage 2 candidate funnel</x:v>
      </x:c>
      <x:c r="I2082" s="17" t="str">
        <x:v>Graduate audit pipeline</x:v>
      </x:c>
      <x:c r="J2082" s="17" t="str">
        <x:v>derived</x:v>
      </x:c>
      <x:c r="K2082" s="17" t="str">
        <x:v>2026-09-11</x:v>
      </x:c>
      <x:c r="L2082" s="17" t="str">
        <x:v>Not cycle-specific</x:v>
      </x:c>
      <x:c r="M2082" s="17" t="str">
        <x:v>low</x:v>
      </x:c>
      <x:c r="N2082" s="17" t="str">
        <x:v>Discovery evidence only</x:v>
      </x:c>
      <x:c r="O2082" s="17" t="str">
        <x:v>Use the source_record_paths field to trace the underlying discovery inputs.</x:v>
      </x:c>
      <x:c r="P2082" s="18" t="e">
        <x:f>HYPERLINK("https://www.cmu.edu","Open source")</x:f>
        <x:v>HYPERLINK is not implemented. linkLocation=https://www.cmu.edu, friendlyName=Open source</x:v>
      </x:c>
    </x:row>
    <x:row r="2083" ht="46" customHeight="1">
      <x:c r="A2083" s="17" t="str">
        <x:v>stage3src:9dafdabb2155962fef36</x:v>
      </x:c>
      <x:c r="B2083" s="17" t="str">
        <x:v>program</x:v>
      </x:c>
      <x:c r="C2083" s="17" t="str">
        <x:v>Carnegie Mellon University</x:v>
      </x:c>
      <x:c r="D2083" s="17" t="str">
        <x:v>us:ipeds:211440:program:unclear:ipeds-discovery-signal-computer-and-information-sciences-other-cip-11-0199</x:v>
      </x:c>
      <x:c r="E2083" s="17" t="str"/>
      <x:c r="F2083" s="17" t="str">
        <x:v>discovery</x:v>
      </x:c>
      <x:c r="G2083" s="17" t="str">
        <x:v>Stage 2 recorded this row as a discovery candidate; it does not independently verify an exact current research program, eligibility, or funding.</x:v>
      </x:c>
      <x:c r="H2083" s="17" t="str">
        <x:v>Pass 2 Stage 2 candidate funnel</x:v>
      </x:c>
      <x:c r="I2083" s="17" t="str">
        <x:v>Graduate audit pipeline</x:v>
      </x:c>
      <x:c r="J2083" s="17" t="str">
        <x:v>derived</x:v>
      </x:c>
      <x:c r="K2083" s="17" t="str">
        <x:v>2026-09-11</x:v>
      </x:c>
      <x:c r="L2083" s="17" t="str">
        <x:v>Not cycle-specific</x:v>
      </x:c>
      <x:c r="M2083" s="17" t="str">
        <x:v>low</x:v>
      </x:c>
      <x:c r="N2083" s="17" t="str">
        <x:v>Discovery evidence only</x:v>
      </x:c>
      <x:c r="O2083" s="17" t="str">
        <x:v>Use the source_record_paths field to trace the underlying discovery inputs.</x:v>
      </x:c>
      <x:c r="P2083" s="18" t="e">
        <x:f>HYPERLINK("https://www.cmu.edu","Open source")</x:f>
        <x:v>HYPERLINK is not implemented. linkLocation=https://www.cmu.edu, friendlyName=Open source</x:v>
      </x:c>
    </x:row>
    <x:row r="2084" ht="46" customHeight="1">
      <x:c r="A2084" s="17" t="str">
        <x:v>stage3src:c12125e4ce635919bfbc</x:v>
      </x:c>
      <x:c r="B2084" s="17" t="str">
        <x:v>program</x:v>
      </x:c>
      <x:c r="C2084" s="17" t="str">
        <x:v>Carnegie Mellon University</x:v>
      </x:c>
      <x:c r="D2084" s="17" t="str">
        <x:v>us:ipeds:211440:program:unclear:ipeds-discovery-signal-computer-and-information-systems-security-auditing-information-assurance-cip-11-1003</x:v>
      </x:c>
      <x:c r="E2084" s="17" t="str"/>
      <x:c r="F2084" s="17" t="str">
        <x:v>discovery</x:v>
      </x:c>
      <x:c r="G2084" s="17" t="str">
        <x:v>Stage 2 recorded this row as a discovery candidate; it does not independently verify an exact current research program, eligibility, or funding.</x:v>
      </x:c>
      <x:c r="H2084" s="17" t="str">
        <x:v>Pass 2 Stage 2 candidate funnel</x:v>
      </x:c>
      <x:c r="I2084" s="17" t="str">
        <x:v>Graduate audit pipeline</x:v>
      </x:c>
      <x:c r="J2084" s="17" t="str">
        <x:v>derived</x:v>
      </x:c>
      <x:c r="K2084" s="17" t="str">
        <x:v>2026-09-11</x:v>
      </x:c>
      <x:c r="L2084" s="17" t="str">
        <x:v>Not cycle-specific</x:v>
      </x:c>
      <x:c r="M2084" s="17" t="str">
        <x:v>low</x:v>
      </x:c>
      <x:c r="N2084" s="17" t="str">
        <x:v>Discovery evidence only</x:v>
      </x:c>
      <x:c r="O2084" s="17" t="str">
        <x:v>Use the source_record_paths field to trace the underlying discovery inputs.</x:v>
      </x:c>
      <x:c r="P2084" s="18" t="e">
        <x:f>HYPERLINK("https://www.cmu.edu","Open source")</x:f>
        <x:v>HYPERLINK is not implemented. linkLocation=https://www.cmu.edu, friendlyName=Open source</x:v>
      </x:c>
    </x:row>
    <x:row r="2085" ht="46" customHeight="1">
      <x:c r="A2085" s="17" t="str">
        <x:v>stage3src:7292b037a9f498be31dc</x:v>
      </x:c>
      <x:c r="B2085" s="17" t="str">
        <x:v>program</x:v>
      </x:c>
      <x:c r="C2085" s="17" t="str">
        <x:v>Carnegie Mellon University</x:v>
      </x:c>
      <x:c r="D2085" s="17" t="str">
        <x:v>us:ipeds:211440:program:unclear:ipeds-discovery-signal-computer-engineering-other-cip-14-0999</x:v>
      </x:c>
      <x:c r="E2085" s="17" t="str"/>
      <x:c r="F2085" s="17" t="str">
        <x:v>discovery</x:v>
      </x:c>
      <x:c r="G2085" s="17" t="str">
        <x:v>Stage 2 recorded this row as a discovery candidate; it does not independently verify an exact current research program, eligibility, or funding.</x:v>
      </x:c>
      <x:c r="H2085" s="17" t="str">
        <x:v>Pass 2 Stage 2 candidate funnel</x:v>
      </x:c>
      <x:c r="I2085" s="17" t="str">
        <x:v>Graduate audit pipeline</x:v>
      </x:c>
      <x:c r="J2085" s="17" t="str">
        <x:v>derived</x:v>
      </x:c>
      <x:c r="K2085" s="17" t="str">
        <x:v>2026-09-11</x:v>
      </x:c>
      <x:c r="L2085" s="17" t="str">
        <x:v>Not cycle-specific</x:v>
      </x:c>
      <x:c r="M2085" s="17" t="str">
        <x:v>low</x:v>
      </x:c>
      <x:c r="N2085" s="17" t="str">
        <x:v>Discovery evidence only</x:v>
      </x:c>
      <x:c r="O2085" s="17" t="str">
        <x:v>Use the source_record_paths field to trace the underlying discovery inputs.</x:v>
      </x:c>
      <x:c r="P2085" s="18" t="e">
        <x:f>HYPERLINK("https://www.cmu.edu","Open source")</x:f>
        <x:v>HYPERLINK is not implemented. linkLocation=https://www.cmu.edu, friendlyName=Open source</x:v>
      </x:c>
    </x:row>
    <x:row r="2086" ht="46" customHeight="1">
      <x:c r="A2086" s="17" t="str">
        <x:v>stage3src:6a0a4ae2858c715c4e17</x:v>
      </x:c>
      <x:c r="B2086" s="17" t="str">
        <x:v>program</x:v>
      </x:c>
      <x:c r="C2086" s="17" t="str">
        <x:v>Carnegie Mellon University</x:v>
      </x:c>
      <x:c r="D2086" s="17" t="str">
        <x:v>us:ipeds:211440:program:unclear:ipeds-discovery-signal-computer-science-cip-11-0701</x:v>
      </x:c>
      <x:c r="E2086" s="17" t="str"/>
      <x:c r="F2086" s="17" t="str">
        <x:v>discovery</x:v>
      </x:c>
      <x:c r="G2086" s="17" t="str">
        <x:v>Stage 2 recorded this row as a discovery candidate; it does not independently verify an exact current research program, eligibility, or funding.</x:v>
      </x:c>
      <x:c r="H2086" s="17" t="str">
        <x:v>Pass 2 Stage 2 candidate funnel</x:v>
      </x:c>
      <x:c r="I2086" s="17" t="str">
        <x:v>Graduate audit pipeline</x:v>
      </x:c>
      <x:c r="J2086" s="17" t="str">
        <x:v>derived</x:v>
      </x:c>
      <x:c r="K2086" s="17" t="str">
        <x:v>2026-09-11</x:v>
      </x:c>
      <x:c r="L2086" s="17" t="str">
        <x:v>Not cycle-specific</x:v>
      </x:c>
      <x:c r="M2086" s="17" t="str">
        <x:v>low</x:v>
      </x:c>
      <x:c r="N2086" s="17" t="str">
        <x:v>Discovery evidence only</x:v>
      </x:c>
      <x:c r="O2086" s="17" t="str">
        <x:v>Use the source_record_paths field to trace the underlying discovery inputs.</x:v>
      </x:c>
      <x:c r="P2086" s="18" t="e">
        <x:f>HYPERLINK("https://www.cmu.edu","Open source")</x:f>
        <x:v>HYPERLINK is not implemented. linkLocation=https://www.cmu.edu, friendlyName=Open source</x:v>
      </x:c>
    </x:row>
    <x:row r="2087" ht="46" customHeight="1">
      <x:c r="A2087" s="17" t="str">
        <x:v>stage3src:712eeae890c9afb560d9</x:v>
      </x:c>
      <x:c r="B2087" s="17" t="str">
        <x:v>program</x:v>
      </x:c>
      <x:c r="C2087" s="17" t="str">
        <x:v>Carnegie Mellon University</x:v>
      </x:c>
      <x:c r="D2087" s="17" t="str">
        <x:v>us:ipeds:211440:program:unclear:ipeds-discovery-signal-computer-software-engineering-cip-14-0903</x:v>
      </x:c>
      <x:c r="E2087" s="17" t="str"/>
      <x:c r="F2087" s="17" t="str">
        <x:v>discovery</x:v>
      </x:c>
      <x:c r="G2087" s="17" t="str">
        <x:v>Stage 2 recorded this row as a discovery candidate; it does not independently verify an exact current research program, eligibility, or funding.</x:v>
      </x:c>
      <x:c r="H2087" s="17" t="str">
        <x:v>Pass 2 Stage 2 candidate funnel</x:v>
      </x:c>
      <x:c r="I2087" s="17" t="str">
        <x:v>Graduate audit pipeline</x:v>
      </x:c>
      <x:c r="J2087" s="17" t="str">
        <x:v>derived</x:v>
      </x:c>
      <x:c r="K2087" s="17" t="str">
        <x:v>2026-09-11</x:v>
      </x:c>
      <x:c r="L2087" s="17" t="str">
        <x:v>Not cycle-specific</x:v>
      </x:c>
      <x:c r="M2087" s="17" t="str">
        <x:v>low</x:v>
      </x:c>
      <x:c r="N2087" s="17" t="str">
        <x:v>Discovery evidence only</x:v>
      </x:c>
      <x:c r="O2087" s="17" t="str">
        <x:v>Use the source_record_paths field to trace the underlying discovery inputs.</x:v>
      </x:c>
      <x:c r="P2087" s="18" t="e">
        <x:f>HYPERLINK("https://www.cmu.edu","Open source")</x:f>
        <x:v>HYPERLINK is not implemented. linkLocation=https://www.cmu.edu, friendlyName=Open source</x:v>
      </x:c>
    </x:row>
    <x:row r="2088" ht="46" customHeight="1">
      <x:c r="A2088" s="17" t="str">
        <x:v>stage3src:891139b0f1e350373f70</x:v>
      </x:c>
      <x:c r="B2088" s="17" t="str">
        <x:v>program</x:v>
      </x:c>
      <x:c r="C2088" s="17" t="str">
        <x:v>Carnegie Mellon University</x:v>
      </x:c>
      <x:c r="D2088" s="17" t="str">
        <x:v>us:ipeds:211440:program:unclear:ipeds-discovery-signal-computer-systems-networking-and-telecommunications-cip-11-0901</x:v>
      </x:c>
      <x:c r="E2088" s="17" t="str"/>
      <x:c r="F2088" s="17" t="str">
        <x:v>discovery</x:v>
      </x:c>
      <x:c r="G2088" s="17" t="str">
        <x:v>Stage 2 recorded this row as a discovery candidate; it does not independently verify an exact current research program, eligibility, or funding.</x:v>
      </x:c>
      <x:c r="H2088" s="17" t="str">
        <x:v>Pass 2 Stage 2 candidate funnel</x:v>
      </x:c>
      <x:c r="I2088" s="17" t="str">
        <x:v>Graduate audit pipeline</x:v>
      </x:c>
      <x:c r="J2088" s="17" t="str">
        <x:v>derived</x:v>
      </x:c>
      <x:c r="K2088" s="17" t="str">
        <x:v>2026-09-11</x:v>
      </x:c>
      <x:c r="L2088" s="17" t="str">
        <x:v>Not cycle-specific</x:v>
      </x:c>
      <x:c r="M2088" s="17" t="str">
        <x:v>low</x:v>
      </x:c>
      <x:c r="N2088" s="17" t="str">
        <x:v>Discovery evidence only</x:v>
      </x:c>
      <x:c r="O2088" s="17" t="str">
        <x:v>Use the source_record_paths field to trace the underlying discovery inputs.</x:v>
      </x:c>
      <x:c r="P2088" s="18" t="e">
        <x:f>HYPERLINK("https://www.cmu.edu","Open source")</x:f>
        <x:v>HYPERLINK is not implemented. linkLocation=https://www.cmu.edu, friendlyName=Open source</x:v>
      </x:c>
    </x:row>
    <x:row r="2089" ht="46" customHeight="1">
      <x:c r="A2089" s="17" t="str">
        <x:v>stage3src:47fc5103b736f689a5ff</x:v>
      </x:c>
      <x:c r="B2089" s="17" t="str">
        <x:v>program</x:v>
      </x:c>
      <x:c r="C2089" s="17" t="str">
        <x:v>Carnegie Mellon University</x:v>
      </x:c>
      <x:c r="D2089" s="17" t="str">
        <x:v>us:ipeds:211440:program:unclear:ipeds-discovery-signal-data-analytics-general-cip-30-7101</x:v>
      </x:c>
      <x:c r="E2089" s="17" t="str"/>
      <x:c r="F2089" s="17" t="str">
        <x:v>discovery</x:v>
      </x:c>
      <x:c r="G2089" s="17" t="str">
        <x:v>Stage 2 recorded this row as a discovery candidate; it does not independently verify an exact current research program, eligibility, or funding.</x:v>
      </x:c>
      <x:c r="H2089" s="17" t="str">
        <x:v>Pass 2 Stage 2 candidate funnel</x:v>
      </x:c>
      <x:c r="I2089" s="17" t="str">
        <x:v>Graduate audit pipeline</x:v>
      </x:c>
      <x:c r="J2089" s="17" t="str">
        <x:v>derived</x:v>
      </x:c>
      <x:c r="K2089" s="17" t="str">
        <x:v>2026-09-11</x:v>
      </x:c>
      <x:c r="L2089" s="17" t="str">
        <x:v>Not cycle-specific</x:v>
      </x:c>
      <x:c r="M2089" s="17" t="str">
        <x:v>low</x:v>
      </x:c>
      <x:c r="N2089" s="17" t="str">
        <x:v>Discovery evidence only</x:v>
      </x:c>
      <x:c r="O2089" s="17" t="str">
        <x:v>Use the source_record_paths field to trace the underlying discovery inputs.</x:v>
      </x:c>
      <x:c r="P2089" s="18" t="e">
        <x:f>HYPERLINK("https://www.cmu.edu","Open source")</x:f>
        <x:v>HYPERLINK is not implemented. linkLocation=https://www.cmu.edu, friendlyName=Open source</x:v>
      </x:c>
    </x:row>
    <x:row r="2090" ht="46" customHeight="1">
      <x:c r="A2090" s="17" t="str">
        <x:v>stage3src:905a683a2684dbb8476a</x:v>
      </x:c>
      <x:c r="B2090" s="17" t="str">
        <x:v>program</x:v>
      </x:c>
      <x:c r="C2090" s="17" t="str">
        <x:v>Carnegie Mellon University</x:v>
      </x:c>
      <x:c r="D2090" s="17" t="str">
        <x:v>us:ipeds:211440:program:unclear:ipeds-discovery-signal-data-science-general-cip-30-7001</x:v>
      </x:c>
      <x:c r="E2090" s="17" t="str"/>
      <x:c r="F2090" s="17" t="str">
        <x:v>discovery</x:v>
      </x:c>
      <x:c r="G2090" s="17" t="str">
        <x:v>Stage 2 recorded this row as a discovery candidate; it does not independently verify an exact current research program, eligibility, or funding.</x:v>
      </x:c>
      <x:c r="H2090" s="17" t="str">
        <x:v>Pass 2 Stage 2 candidate funnel</x:v>
      </x:c>
      <x:c r="I2090" s="17" t="str">
        <x:v>Graduate audit pipeline</x:v>
      </x:c>
      <x:c r="J2090" s="17" t="str">
        <x:v>derived</x:v>
      </x:c>
      <x:c r="K2090" s="17" t="str">
        <x:v>2026-09-11</x:v>
      </x:c>
      <x:c r="L2090" s="17" t="str">
        <x:v>Not cycle-specific</x:v>
      </x:c>
      <x:c r="M2090" s="17" t="str">
        <x:v>low</x:v>
      </x:c>
      <x:c r="N2090" s="17" t="str">
        <x:v>Discovery evidence only</x:v>
      </x:c>
      <x:c r="O2090" s="17" t="str">
        <x:v>Use the source_record_paths field to trace the underlying discovery inputs.</x:v>
      </x:c>
      <x:c r="P2090" s="18" t="e">
        <x:f>HYPERLINK("https://www.cmu.edu","Open source")</x:f>
        <x:v>HYPERLINK is not implemented. linkLocation=https://www.cmu.edu, friendlyName=Open source</x:v>
      </x:c>
    </x:row>
    <x:row r="2091" ht="46" customHeight="1">
      <x:c r="A2091" s="17" t="str">
        <x:v>stage3src:77bd4ca2867719447d1f</x:v>
      </x:c>
      <x:c r="B2091" s="17" t="str">
        <x:v>program</x:v>
      </x:c>
      <x:c r="C2091" s="17" t="str">
        <x:v>Carnegie Mellon University</x:v>
      </x:c>
      <x:c r="D2091" s="17" t="str">
        <x:v>us:ipeds:211440:program:unclear:ipeds-discovery-signal-electrical-and-electronics-engineering-cip-14-1001</x:v>
      </x:c>
      <x:c r="E2091" s="17" t="str"/>
      <x:c r="F2091" s="17" t="str">
        <x:v>discovery</x:v>
      </x:c>
      <x:c r="G2091" s="17" t="str">
        <x:v>Stage 2 recorded this row as a discovery candidate; it does not independently verify an exact current research program, eligibility, or funding.</x:v>
      </x:c>
      <x:c r="H2091" s="17" t="str">
        <x:v>Pass 2 Stage 2 candidate funnel</x:v>
      </x:c>
      <x:c r="I2091" s="17" t="str">
        <x:v>Graduate audit pipeline</x:v>
      </x:c>
      <x:c r="J2091" s="17" t="str">
        <x:v>derived</x:v>
      </x:c>
      <x:c r="K2091" s="17" t="str">
        <x:v>2026-09-11</x:v>
      </x:c>
      <x:c r="L2091" s="17" t="str">
        <x:v>Not cycle-specific</x:v>
      </x:c>
      <x:c r="M2091" s="17" t="str">
        <x:v>low</x:v>
      </x:c>
      <x:c r="N2091" s="17" t="str">
        <x:v>Discovery evidence only</x:v>
      </x:c>
      <x:c r="O2091" s="17" t="str">
        <x:v>Use the source_record_paths field to trace the underlying discovery inputs.</x:v>
      </x:c>
      <x:c r="P2091" s="18" t="e">
        <x:f>HYPERLINK("https://www.cmu.edu","Open source")</x:f>
        <x:v>HYPERLINK is not implemented. linkLocation=https://www.cmu.edu, friendlyName=Open source</x:v>
      </x:c>
    </x:row>
    <x:row r="2092" ht="46" customHeight="1">
      <x:c r="A2092" s="17" t="str">
        <x:v>stage3src:d9f1666a0f82d87c75fe</x:v>
      </x:c>
      <x:c r="B2092" s="17" t="str">
        <x:v>program</x:v>
      </x:c>
      <x:c r="C2092" s="17" t="str">
        <x:v>Carnegie Mellon University</x:v>
      </x:c>
      <x:c r="D2092" s="17" t="str">
        <x:v>us:ipeds:211440:program:unclear:ipeds-discovery-signal-human-centered-technology-design-cip-11-0105</x:v>
      </x:c>
      <x:c r="E2092" s="17" t="str"/>
      <x:c r="F2092" s="17" t="str">
        <x:v>discovery</x:v>
      </x:c>
      <x:c r="G2092" s="17" t="str">
        <x:v>Stage 2 recorded this row as a discovery candidate; it does not independently verify an exact current research program, eligibility, or funding.</x:v>
      </x:c>
      <x:c r="H2092" s="17" t="str">
        <x:v>Pass 2 Stage 2 candidate funnel</x:v>
      </x:c>
      <x:c r="I2092" s="17" t="str">
        <x:v>Graduate audit pipeline</x:v>
      </x:c>
      <x:c r="J2092" s="17" t="str">
        <x:v>derived</x:v>
      </x:c>
      <x:c r="K2092" s="17" t="str">
        <x:v>2026-09-11</x:v>
      </x:c>
      <x:c r="L2092" s="17" t="str">
        <x:v>Not cycle-specific</x:v>
      </x:c>
      <x:c r="M2092" s="17" t="str">
        <x:v>low</x:v>
      </x:c>
      <x:c r="N2092" s="17" t="str">
        <x:v>Discovery evidence only</x:v>
      </x:c>
      <x:c r="O2092" s="17" t="str">
        <x:v>Use the source_record_paths field to trace the underlying discovery inputs.</x:v>
      </x:c>
      <x:c r="P2092" s="18" t="e">
        <x:f>HYPERLINK("https://www.cmu.edu","Open source")</x:f>
        <x:v>HYPERLINK is not implemented. linkLocation=https://www.cmu.edu, friendlyName=Open source</x:v>
      </x:c>
    </x:row>
    <x:row r="2093" ht="46" customHeight="1">
      <x:c r="A2093" s="17" t="str">
        <x:v>stage3src:ee0f6edb2065b020c89c</x:v>
      </x:c>
      <x:c r="B2093" s="17" t="str">
        <x:v>program</x:v>
      </x:c>
      <x:c r="C2093" s="17" t="str">
        <x:v>Carnegie Mellon University</x:v>
      </x:c>
      <x:c r="D2093" s="17" t="str">
        <x:v>us:ipeds:211440:program:unclear:ipeds-discovery-signal-information-technology-cip-11-0103</x:v>
      </x:c>
      <x:c r="E2093" s="17" t="str"/>
      <x:c r="F2093" s="17" t="str">
        <x:v>discovery</x:v>
      </x:c>
      <x:c r="G2093" s="17" t="str">
        <x:v>Stage 2 recorded this row as a discovery candidate; it does not independently verify an exact current research program, eligibility, or funding.</x:v>
      </x:c>
      <x:c r="H2093" s="17" t="str">
        <x:v>Pass 2 Stage 2 candidate funnel</x:v>
      </x:c>
      <x:c r="I2093" s="17" t="str">
        <x:v>Graduate audit pipeline</x:v>
      </x:c>
      <x:c r="J2093" s="17" t="str">
        <x:v>derived</x:v>
      </x:c>
      <x:c r="K2093" s="17" t="str">
        <x:v>2026-09-11</x:v>
      </x:c>
      <x:c r="L2093" s="17" t="str">
        <x:v>Not cycle-specific</x:v>
      </x:c>
      <x:c r="M2093" s="17" t="str">
        <x:v>low</x:v>
      </x:c>
      <x:c r="N2093" s="17" t="str">
        <x:v>Discovery evidence only</x:v>
      </x:c>
      <x:c r="O2093" s="17" t="str">
        <x:v>Use the source_record_paths field to trace the underlying discovery inputs.</x:v>
      </x:c>
      <x:c r="P2093" s="18" t="e">
        <x:f>HYPERLINK("https://www.cmu.edu","Open source")</x:f>
        <x:v>HYPERLINK is not implemented. linkLocation=https://www.cmu.edu, friendlyName=Open source</x:v>
      </x:c>
    </x:row>
    <x:row r="2094" ht="46" customHeight="1">
      <x:c r="A2094" s="17" t="str">
        <x:v>stage3src:a7d4b08d554e6ccb065f</x:v>
      </x:c>
      <x:c r="B2094" s="17" t="str">
        <x:v>program</x:v>
      </x:c>
      <x:c r="C2094" s="17" t="str">
        <x:v>Carnegie Mellon University</x:v>
      </x:c>
      <x:c r="D2094" s="17" t="str">
        <x:v>us:ipeds:211440:program:unclear:ipeds-discovery-signal-mechatronics-robotics-and-automation-engineering-cip-14-4201</x:v>
      </x:c>
      <x:c r="E2094" s="17" t="str"/>
      <x:c r="F2094" s="17" t="str">
        <x:v>discovery</x:v>
      </x:c>
      <x:c r="G2094" s="17" t="str">
        <x:v>Stage 2 recorded this row as a discovery candidate; it does not independently verify an exact current research program, eligibility, or funding.</x:v>
      </x:c>
      <x:c r="H2094" s="17" t="str">
        <x:v>Pass 2 Stage 2 candidate funnel</x:v>
      </x:c>
      <x:c r="I2094" s="17" t="str">
        <x:v>Graduate audit pipeline</x:v>
      </x:c>
      <x:c r="J2094" s="17" t="str">
        <x:v>derived</x:v>
      </x:c>
      <x:c r="K2094" s="17" t="str">
        <x:v>2026-09-11</x:v>
      </x:c>
      <x:c r="L2094" s="17" t="str">
        <x:v>Not cycle-specific</x:v>
      </x:c>
      <x:c r="M2094" s="17" t="str">
        <x:v>low</x:v>
      </x:c>
      <x:c r="N2094" s="17" t="str">
        <x:v>Discovery evidence only</x:v>
      </x:c>
      <x:c r="O2094" s="17" t="str">
        <x:v>Use the source_record_paths field to trace the underlying discovery inputs.</x:v>
      </x:c>
      <x:c r="P2094" s="18" t="e">
        <x:f>HYPERLINK("https://www.cmu.edu","Open source")</x:f>
        <x:v>HYPERLINK is not implemented. linkLocation=https://www.cmu.edu, friendlyName=Open source</x:v>
      </x:c>
    </x:row>
    <x:row r="2095" ht="46" customHeight="1">
      <x:c r="A2095" s="17" t="str">
        <x:v>stage3src:3fbe067d5bf0978b0ce7</x:v>
      </x:c>
      <x:c r="B2095" s="17" t="str">
        <x:v>program</x:v>
      </x:c>
      <x:c r="C2095" s="17" t="str">
        <x:v>Chatham University</x:v>
      </x:c>
      <x:c r="D2095" s="17" t="str">
        <x:v>us:ipeds:211556:program:unclear:ipeds-discovery-signal-informatics-cip-11-0104</x:v>
      </x:c>
      <x:c r="E2095" s="17" t="str"/>
      <x:c r="F2095" s="17" t="str">
        <x:v>discovery</x:v>
      </x:c>
      <x:c r="G2095" s="17" t="str">
        <x:v>Stage 2 recorded this row as a discovery candidate; it does not independently verify an exact current research program, eligibility, or funding.</x:v>
      </x:c>
      <x:c r="H2095" s="17" t="str">
        <x:v>Pass 2 Stage 2 candidate funnel</x:v>
      </x:c>
      <x:c r="I2095" s="17" t="str">
        <x:v>Graduate audit pipeline</x:v>
      </x:c>
      <x:c r="J2095" s="17" t="str">
        <x:v>derived</x:v>
      </x:c>
      <x:c r="K2095" s="17" t="str">
        <x:v>2026-09-11</x:v>
      </x:c>
      <x:c r="L2095" s="17" t="str">
        <x:v>Not cycle-specific</x:v>
      </x:c>
      <x:c r="M2095" s="17" t="str">
        <x:v>low</x:v>
      </x:c>
      <x:c r="N2095" s="17" t="str">
        <x:v>Discovery evidence only</x:v>
      </x:c>
      <x:c r="O2095" s="17" t="str">
        <x:v>Use the source_record_paths field to trace the underlying discovery inputs.</x:v>
      </x:c>
      <x:c r="P2095" s="18" t="e">
        <x:f>HYPERLINK("https://www.chatham.edu","Open source")</x:f>
        <x:v>HYPERLINK is not implemented. linkLocation=https://www.chatham.edu, friendlyName=Open source</x:v>
      </x:c>
    </x:row>
    <x:row r="2096" ht="46" customHeight="1">
      <x:c r="A2096" s="17" t="str">
        <x:v>stage3src:63fcbd89a09c1dc17b08</x:v>
      </x:c>
      <x:c r="B2096" s="17" t="str">
        <x:v>program</x:v>
      </x:c>
      <x:c r="C2096" s="17" t="str">
        <x:v>Chestnut Hill College</x:v>
      </x:c>
      <x:c r="D2096" s="17" t="str">
        <x:v>us:ipeds:211583:program:unclear:ipeds-discovery-signal-cyber-computer-forensics-and-counterterrorism-cip-43-0403</x:v>
      </x:c>
      <x:c r="E2096" s="17" t="str"/>
      <x:c r="F2096" s="17" t="str">
        <x:v>discovery</x:v>
      </x:c>
      <x:c r="G2096" s="17" t="str">
        <x:v>Stage 2 recorded this row as a discovery candidate; it does not independently verify an exact current research program, eligibility, or funding.</x:v>
      </x:c>
      <x:c r="H2096" s="17" t="str">
        <x:v>Pass 2 Stage 2 candidate funnel</x:v>
      </x:c>
      <x:c r="I2096" s="17" t="str">
        <x:v>Graduate audit pipeline</x:v>
      </x:c>
      <x:c r="J2096" s="17" t="str">
        <x:v>derived</x:v>
      </x:c>
      <x:c r="K2096" s="17" t="str">
        <x:v>2026-09-11</x:v>
      </x:c>
      <x:c r="L2096" s="17" t="str">
        <x:v>Not cycle-specific</x:v>
      </x:c>
      <x:c r="M2096" s="17" t="str">
        <x:v>low</x:v>
      </x:c>
      <x:c r="N2096" s="17" t="str">
        <x:v>Discovery evidence only</x:v>
      </x:c>
      <x:c r="O2096" s="17" t="str">
        <x:v>Use the source_record_paths field to trace the underlying discovery inputs.</x:v>
      </x:c>
      <x:c r="P2096" s="18" t="e">
        <x:f>HYPERLINK("https://www.chc.edu","Open source")</x:f>
        <x:v>HYPERLINK is not implemented. linkLocation=https://www.chc.edu, friendlyName=Open source</x:v>
      </x:c>
    </x:row>
    <x:row r="2097" ht="46" customHeight="1">
      <x:c r="A2097" s="17" t="str">
        <x:v>stage3src:6b716e2f69938fe888a9</x:v>
      </x:c>
      <x:c r="B2097" s="17" t="str">
        <x:v>program</x:v>
      </x:c>
      <x:c r="C2097" s="17" t="str">
        <x:v>Drexel University</x:v>
      </x:c>
      <x:c r="D2097" s="17" t="str">
        <x:v>us:ipeds:212054:program:phd:phd-in-computer-science</x:v>
      </x:c>
      <x:c r="E2097" s="17" t="str"/>
      <x:c r="F2097" s="17" t="str">
        <x:v>admissions|eligibility|language|deadline|fees|funding</x:v>
      </x:c>
      <x:c r="G2097" s="17" t="str">
        <x:v>Latest doctoral deadlines, required materials, English waiver, fall-only entry, and full PhD assistantship support with stipend and tuition remission.</x:v>
      </x:c>
      <x:c r="H2097" s="17" t="str">
        <x:v>Doctoral Admissions</x:v>
      </x:c>
      <x:c r="I2097" s="17" t="str">
        <x:v>Drexel University</x:v>
      </x:c>
      <x:c r="J2097" s="17" t="str">
        <x:v>official</x:v>
      </x:c>
      <x:c r="K2097" s="17" t="str">
        <x:v>2026-09-11</x:v>
      </x:c>
      <x:c r="L2097" s="17" t="str">
        <x:v>Latest published 2025-26 application cycle; checked 2026-09-11</x:v>
      </x:c>
      <x:c r="M2097" s="17" t="str">
        <x:v>high</x:v>
      </x:c>
      <x:c r="N2097" s="17" t="str">
        <x:v>official page checked</x:v>
      </x:c>
      <x:c r="O2097" s="17" t="str"/>
      <x:c r="P2097" s="18" t="e">
        <x:f>HYPERLINK("https://drexel.edu/cci/admissions/doctoral/","Open source")</x:f>
        <x:v>HYPERLINK is not implemented. linkLocation=https://drexel.edu/cci/admissions/doctoral/, friendlyName=Open source</x:v>
      </x:c>
    </x:row>
    <x:row r="2098" ht="46" customHeight="1">
      <x:c r="A2098" s="17" t="str">
        <x:v>stage3src:98c9f5edceaece0f3e8e</x:v>
      </x:c>
      <x:c r="B2098" s="17" t="str">
        <x:v>program</x:v>
      </x:c>
      <x:c r="C2098" s="17" t="str">
        <x:v>Drexel University</x:v>
      </x:c>
      <x:c r="D2098" s="17" t="str">
        <x:v>us:ipeds:212054:program:phd:phd-in-computer-science</x:v>
      </x:c>
      <x:c r="E2098" s="17" t="str"/>
      <x:c r="F2098" s="17" t="str">
        <x:v>program|research|status</x:v>
      </x:c>
      <x:c r="G2098" s="17" t="str">
        <x:v>Current Computer Science PhD, research areas, and Fall 2027 semester curriculum status.</x:v>
      </x:c>
      <x:c r="H2098" s="17" t="str">
        <x:v>PhD in Computer Science Program</x:v>
      </x:c>
      <x:c r="I2098" s="17" t="str">
        <x:v>Drexel University</x:v>
      </x:c>
      <x:c r="J2098" s="17" t="str">
        <x:v>official</x:v>
      </x:c>
      <x:c r="K2098" s="17" t="str">
        <x:v>2026-09-11</x:v>
      </x:c>
      <x:c r="L2098" s="17" t="str">
        <x:v>Fall 2027 curriculum status</x:v>
      </x:c>
      <x:c r="M2098" s="17" t="str">
        <x:v>high</x:v>
      </x:c>
      <x:c r="N2098" s="17" t="str">
        <x:v>official page checked</x:v>
      </x:c>
      <x:c r="O2098" s="17" t="str"/>
      <x:c r="P2098" s="18" t="e">
        <x:f>HYPERLINK("https://drexel.edu/cci/academics/doctoral-programs/phd-computer-science/","Open source")</x:f>
        <x:v>HYPERLINK is not implemented. linkLocation=https://drexel.edu/cci/academics/doctoral-programs/phd-computer-science/, friendlyName=Open source</x:v>
      </x:c>
    </x:row>
    <x:row r="2099" ht="46" customHeight="1">
      <x:c r="A2099" s="17" t="str">
        <x:v>stage3src:9ca01da2602c45b08a44</x:v>
      </x:c>
      <x:c r="B2099" s="17" t="str">
        <x:v>program</x:v>
      </x:c>
      <x:c r="C2099" s="17" t="str">
        <x:v>Drexel University</x:v>
      </x:c>
      <x:c r="D2099" s="17" t="str">
        <x:v>us:ipeds:212054:program:phd:phd-in-computer-science</x:v>
      </x:c>
      <x:c r="E2099" s="17" t="str"/>
      <x:c r="F2099" s="17" t="str">
        <x:v>admissions|eligibility|prerequisites|program</x:v>
      </x:c>
      <x:c r="G2099" s="17" t="str">
        <x:v>Post-bachelor credit route and required CS and mathematics background, including provisional pre-core treatment for limited gaps.</x:v>
      </x:c>
      <x:c r="H2099" s="17" t="str">
        <x:v>PhD in Computer Science Pre-Requisites</x:v>
      </x:c>
      <x:c r="I2099" s="17" t="str">
        <x:v>Drexel University</x:v>
      </x:c>
      <x:c r="J2099" s="17" t="str">
        <x:v>official</x:v>
      </x:c>
      <x:c r="K2099" s="17" t="str">
        <x:v>2026-09-11</x:v>
      </x:c>
      <x:c r="L2099" s="17" t="str">
        <x:v>Current requirements checked 2026-09-11</x:v>
      </x:c>
      <x:c r="M2099" s="17" t="str">
        <x:v>high</x:v>
      </x:c>
      <x:c r="N2099" s="17" t="str">
        <x:v>official page checked</x:v>
      </x:c>
      <x:c r="O2099" s="17" t="str"/>
      <x:c r="P2099" s="18" t="e">
        <x:f>HYPERLINK("https://drexel.edu/cci/admissions/doctoral/pre-requisites/","Open source")</x:f>
        <x:v>HYPERLINK is not implemented. linkLocation=https://drexel.edu/cci/admissions/doctoral/pre-requisites/, friendlyName=Open source</x:v>
      </x:c>
    </x:row>
    <x:row r="2100" ht="46" customHeight="1">
      <x:c r="A2100" s="17" t="str">
        <x:v>stage3src:d8507016ada26dfef93e</x:v>
      </x:c>
      <x:c r="B2100" s="17" t="str">
        <x:v>program</x:v>
      </x:c>
      <x:c r="C2100" s="17" t="str">
        <x:v>Drexel University</x:v>
      </x:c>
      <x:c r="D2100" s="17" t="str">
        <x:v>us:ipeds:212054:program:unclear:ipeds-discovery-signal-computer-and-information-systems-security-auditing-information-assurance-cip-11-1003</x:v>
      </x:c>
      <x:c r="E2100" s="17" t="str"/>
      <x:c r="F2100" s="17" t="str">
        <x:v>discovery</x:v>
      </x:c>
      <x:c r="G2100" s="17" t="str">
        <x:v>Stage 2 recorded this row as a discovery candidate; it does not independently verify an exact current research program, eligibility, or funding.</x:v>
      </x:c>
      <x:c r="H2100" s="17" t="str">
        <x:v>Pass 2 Stage 2 candidate funnel</x:v>
      </x:c>
      <x:c r="I2100" s="17" t="str">
        <x:v>Graduate audit pipeline</x:v>
      </x:c>
      <x:c r="J2100" s="17" t="str">
        <x:v>derived</x:v>
      </x:c>
      <x:c r="K2100" s="17" t="str">
        <x:v>2026-09-11</x:v>
      </x:c>
      <x:c r="L2100" s="17" t="str">
        <x:v>Not cycle-specific</x:v>
      </x:c>
      <x:c r="M2100" s="17" t="str">
        <x:v>low</x:v>
      </x:c>
      <x:c r="N2100" s="17" t="str">
        <x:v>Discovery evidence only</x:v>
      </x:c>
      <x:c r="O2100" s="17" t="str">
        <x:v>Use the source_record_paths field to trace the underlying discovery inputs.</x:v>
      </x:c>
      <x:c r="P2100" s="18" t="e">
        <x:f>HYPERLINK("https://drexel.edu","Open source")</x:f>
        <x:v>HYPERLINK is not implemented. linkLocation=https://drexel.edu, friendlyName=Open source</x:v>
      </x:c>
    </x:row>
    <x:row r="2101" ht="46" customHeight="1">
      <x:c r="A2101" s="17" t="str">
        <x:v>stage3src:45bb2b3552d4293496c6</x:v>
      </x:c>
      <x:c r="B2101" s="17" t="str">
        <x:v>program</x:v>
      </x:c>
      <x:c r="C2101" s="17" t="str">
        <x:v>Drexel University</x:v>
      </x:c>
      <x:c r="D2101" s="17" t="str">
        <x:v>us:ipeds:212054:program:unclear:ipeds-discovery-signal-computer-engineering-general-cip-14-0901</x:v>
      </x:c>
      <x:c r="E2101" s="17" t="str"/>
      <x:c r="F2101" s="17" t="str">
        <x:v>discovery</x:v>
      </x:c>
      <x:c r="G2101" s="17" t="str">
        <x:v>Stage 2 recorded this row as a discovery candidate; it does not independently verify an exact current research program, eligibility, or funding.</x:v>
      </x:c>
      <x:c r="H2101" s="17" t="str">
        <x:v>Pass 2 Stage 2 candidate funnel</x:v>
      </x:c>
      <x:c r="I2101" s="17" t="str">
        <x:v>Graduate audit pipeline</x:v>
      </x:c>
      <x:c r="J2101" s="17" t="str">
        <x:v>derived</x:v>
      </x:c>
      <x:c r="K2101" s="17" t="str">
        <x:v>2026-09-11</x:v>
      </x:c>
      <x:c r="L2101" s="17" t="str">
        <x:v>Not cycle-specific</x:v>
      </x:c>
      <x:c r="M2101" s="17" t="str">
        <x:v>low</x:v>
      </x:c>
      <x:c r="N2101" s="17" t="str">
        <x:v>Discovery evidence only</x:v>
      </x:c>
      <x:c r="O2101" s="17" t="str">
        <x:v>Use the source_record_paths field to trace the underlying discovery inputs.</x:v>
      </x:c>
      <x:c r="P2101" s="18" t="e">
        <x:f>HYPERLINK("https://drexel.edu","Open source")</x:f>
        <x:v>HYPERLINK is not implemented. linkLocation=https://drexel.edu, friendlyName=Open source</x:v>
      </x:c>
    </x:row>
    <x:row r="2102" ht="46" customHeight="1">
      <x:c r="A2102" s="17" t="str">
        <x:v>stage3src:f5c31dbfcb2a6d5b905d</x:v>
      </x:c>
      <x:c r="B2102" s="17" t="str">
        <x:v>program</x:v>
      </x:c>
      <x:c r="C2102" s="17" t="str">
        <x:v>Drexel University</x:v>
      </x:c>
      <x:c r="D2102" s="17" t="str">
        <x:v>us:ipeds:212054:program:unclear:ipeds-discovery-signal-computer-science-cip-11-0701</x:v>
      </x:c>
      <x:c r="E2102" s="17" t="str"/>
      <x:c r="F2102" s="17" t="str">
        <x:v>discovery</x:v>
      </x:c>
      <x:c r="G2102" s="17" t="str">
        <x:v>Stage 2 recorded this row as a discovery candidate; it does not independently verify an exact current research program, eligibility, or funding.</x:v>
      </x:c>
      <x:c r="H2102" s="17" t="str">
        <x:v>Pass 2 Stage 2 candidate funnel</x:v>
      </x:c>
      <x:c r="I2102" s="17" t="str">
        <x:v>Graduate audit pipeline</x:v>
      </x:c>
      <x:c r="J2102" s="17" t="str">
        <x:v>derived</x:v>
      </x:c>
      <x:c r="K2102" s="17" t="str">
        <x:v>2026-09-11</x:v>
      </x:c>
      <x:c r="L2102" s="17" t="str">
        <x:v>Not cycle-specific</x:v>
      </x:c>
      <x:c r="M2102" s="17" t="str">
        <x:v>low</x:v>
      </x:c>
      <x:c r="N2102" s="17" t="str">
        <x:v>Discovery evidence only</x:v>
      </x:c>
      <x:c r="O2102" s="17" t="str">
        <x:v>Use the source_record_paths field to trace the underlying discovery inputs.</x:v>
      </x:c>
      <x:c r="P2102" s="18" t="e">
        <x:f>HYPERLINK("https://drexel.edu","Open source")</x:f>
        <x:v>HYPERLINK is not implemented. linkLocation=https://drexel.edu, friendlyName=Open source</x:v>
      </x:c>
    </x:row>
    <x:row r="2103" ht="46" customHeight="1">
      <x:c r="A2103" s="17" t="str">
        <x:v>stage3src:c94285056fca63f2d4a7</x:v>
      </x:c>
      <x:c r="B2103" s="17" t="str">
        <x:v>program</x:v>
      </x:c>
      <x:c r="C2103" s="17" t="str">
        <x:v>Drexel University</x:v>
      </x:c>
      <x:c r="D2103" s="17" t="str">
        <x:v>us:ipeds:212054:program:unclear:ipeds-discovery-signal-computer-software-engineering-cip-14-0903</x:v>
      </x:c>
      <x:c r="E2103" s="17" t="str"/>
      <x:c r="F2103" s="17" t="str">
        <x:v>discovery</x:v>
      </x:c>
      <x:c r="G2103" s="17" t="str">
        <x:v>Stage 2 recorded this row as a discovery candidate; it does not independently verify an exact current research program, eligibility, or funding.</x:v>
      </x:c>
      <x:c r="H2103" s="17" t="str">
        <x:v>Pass 2 Stage 2 candidate funnel</x:v>
      </x:c>
      <x:c r="I2103" s="17" t="str">
        <x:v>Graduate audit pipeline</x:v>
      </x:c>
      <x:c r="J2103" s="17" t="str">
        <x:v>derived</x:v>
      </x:c>
      <x:c r="K2103" s="17" t="str">
        <x:v>2026-09-11</x:v>
      </x:c>
      <x:c r="L2103" s="17" t="str">
        <x:v>Not cycle-specific</x:v>
      </x:c>
      <x:c r="M2103" s="17" t="str">
        <x:v>low</x:v>
      </x:c>
      <x:c r="N2103" s="17" t="str">
        <x:v>Discovery evidence only</x:v>
      </x:c>
      <x:c r="O2103" s="17" t="str">
        <x:v>Use the source_record_paths field to trace the underlying discovery inputs.</x:v>
      </x:c>
      <x:c r="P2103" s="18" t="e">
        <x:f>HYPERLINK("https://drexel.edu","Open source")</x:f>
        <x:v>HYPERLINK is not implemented. linkLocation=https://drexel.edu, friendlyName=Open source</x:v>
      </x:c>
    </x:row>
    <x:row r="2104" ht="46" customHeight="1">
      <x:c r="A2104" s="17" t="str">
        <x:v>stage3src:0b8b11b318afefa2b102</x:v>
      </x:c>
      <x:c r="B2104" s="17" t="str">
        <x:v>program</x:v>
      </x:c>
      <x:c r="C2104" s="17" t="str">
        <x:v>Drexel University</x:v>
      </x:c>
      <x:c r="D2104" s="17" t="str">
        <x:v>us:ipeds:212054:program:unclear:ipeds-discovery-signal-data-science-general-cip-30-7001</x:v>
      </x:c>
      <x:c r="E2104" s="17" t="str"/>
      <x:c r="F2104" s="17" t="str">
        <x:v>discovery</x:v>
      </x:c>
      <x:c r="G2104" s="17" t="str">
        <x:v>Stage 2 recorded this row as a discovery candidate; it does not independently verify an exact current research program, eligibility, or funding.</x:v>
      </x:c>
      <x:c r="H2104" s="17" t="str">
        <x:v>Pass 2 Stage 2 candidate funnel</x:v>
      </x:c>
      <x:c r="I2104" s="17" t="str">
        <x:v>Graduate audit pipeline</x:v>
      </x:c>
      <x:c r="J2104" s="17" t="str">
        <x:v>derived</x:v>
      </x:c>
      <x:c r="K2104" s="17" t="str">
        <x:v>2026-09-11</x:v>
      </x:c>
      <x:c r="L2104" s="17" t="str">
        <x:v>Not cycle-specific</x:v>
      </x:c>
      <x:c r="M2104" s="17" t="str">
        <x:v>low</x:v>
      </x:c>
      <x:c r="N2104" s="17" t="str">
        <x:v>Discovery evidence only</x:v>
      </x:c>
      <x:c r="O2104" s="17" t="str">
        <x:v>Use the source_record_paths field to trace the underlying discovery inputs.</x:v>
      </x:c>
      <x:c r="P2104" s="18" t="e">
        <x:f>HYPERLINK("https://drexel.edu","Open source")</x:f>
        <x:v>HYPERLINK is not implemented. linkLocation=https://drexel.edu, friendlyName=Open source</x:v>
      </x:c>
    </x:row>
    <x:row r="2105" ht="46" customHeight="1">
      <x:c r="A2105" s="17" t="str">
        <x:v>stage3src:95d249233c237ed85409</x:v>
      </x:c>
      <x:c r="B2105" s="17" t="str">
        <x:v>program</x:v>
      </x:c>
      <x:c r="C2105" s="17" t="str">
        <x:v>Drexel University</x:v>
      </x:c>
      <x:c r="D2105" s="17" t="str">
        <x:v>us:ipeds:212054:program:unclear:ipeds-discovery-signal-electrical-and-electronics-engineering-cip-14-1001</x:v>
      </x:c>
      <x:c r="E2105" s="17" t="str"/>
      <x:c r="F2105" s="17" t="str">
        <x:v>discovery</x:v>
      </x:c>
      <x:c r="G2105" s="17" t="str">
        <x:v>Stage 2 recorded this row as a discovery candidate; it does not independently verify an exact current research program, eligibility, or funding.</x:v>
      </x:c>
      <x:c r="H2105" s="17" t="str">
        <x:v>Pass 2 Stage 2 candidate funnel</x:v>
      </x:c>
      <x:c r="I2105" s="17" t="str">
        <x:v>Graduate audit pipeline</x:v>
      </x:c>
      <x:c r="J2105" s="17" t="str">
        <x:v>derived</x:v>
      </x:c>
      <x:c r="K2105" s="17" t="str">
        <x:v>2026-09-11</x:v>
      </x:c>
      <x:c r="L2105" s="17" t="str">
        <x:v>Not cycle-specific</x:v>
      </x:c>
      <x:c r="M2105" s="17" t="str">
        <x:v>low</x:v>
      </x:c>
      <x:c r="N2105" s="17" t="str">
        <x:v>Discovery evidence only</x:v>
      </x:c>
      <x:c r="O2105" s="17" t="str">
        <x:v>Use the source_record_paths field to trace the underlying discovery inputs.</x:v>
      </x:c>
      <x:c r="P2105" s="18" t="e">
        <x:f>HYPERLINK("https://drexel.edu","Open source")</x:f>
        <x:v>HYPERLINK is not implemented. linkLocation=https://drexel.edu, friendlyName=Open source</x:v>
      </x:c>
    </x:row>
    <x:row r="2106" ht="46" customHeight="1">
      <x:c r="A2106" s="17" t="str">
        <x:v>stage3src:2ec4dfcc257455ab850b</x:v>
      </x:c>
      <x:c r="B2106" s="17" t="str">
        <x:v>program</x:v>
      </x:c>
      <x:c r="C2106" s="17" t="str">
        <x:v>Drexel University</x:v>
      </x:c>
      <x:c r="D2106" s="17" t="str">
        <x:v>us:ipeds:212054:program:unclear:ipeds-discovery-signal-information-science-studies-cip-11-0401</x:v>
      </x:c>
      <x:c r="E2106" s="17" t="str"/>
      <x:c r="F2106" s="17" t="str">
        <x:v>discovery</x:v>
      </x:c>
      <x:c r="G2106" s="17" t="str">
        <x:v>Stage 2 recorded this row as a discovery candidate; it does not independently verify an exact current research program, eligibility, or funding.</x:v>
      </x:c>
      <x:c r="H2106" s="17" t="str">
        <x:v>Pass 2 Stage 2 candidate funnel</x:v>
      </x:c>
      <x:c r="I2106" s="17" t="str">
        <x:v>Graduate audit pipeline</x:v>
      </x:c>
      <x:c r="J2106" s="17" t="str">
        <x:v>derived</x:v>
      </x:c>
      <x:c r="K2106" s="17" t="str">
        <x:v>2026-09-11</x:v>
      </x:c>
      <x:c r="L2106" s="17" t="str">
        <x:v>Not cycle-specific</x:v>
      </x:c>
      <x:c r="M2106" s="17" t="str">
        <x:v>low</x:v>
      </x:c>
      <x:c r="N2106" s="17" t="str">
        <x:v>Discovery evidence only</x:v>
      </x:c>
      <x:c r="O2106" s="17" t="str">
        <x:v>Use the source_record_paths field to trace the underlying discovery inputs.</x:v>
      </x:c>
      <x:c r="P2106" s="18" t="e">
        <x:f>HYPERLINK("https://drexel.edu","Open source")</x:f>
        <x:v>HYPERLINK is not implemented. linkLocation=https://drexel.edu, friendlyName=Open source</x:v>
      </x:c>
    </x:row>
    <x:row r="2107" ht="46" customHeight="1">
      <x:c r="A2107" s="17" t="str">
        <x:v>stage3src:a39977582b970b04b236</x:v>
      </x:c>
      <x:c r="B2107" s="17" t="str">
        <x:v>program</x:v>
      </x:c>
      <x:c r="C2107" s="17" t="str">
        <x:v>Drexel University</x:v>
      </x:c>
      <x:c r="D2107" s="17" t="str">
        <x:v>us:ipeds:212054:program:unclear:ipeds-discovery-signal-information-technology-cip-11-0103</x:v>
      </x:c>
      <x:c r="E2107" s="17" t="str"/>
      <x:c r="F2107" s="17" t="str">
        <x:v>discovery</x:v>
      </x:c>
      <x:c r="G2107" s="17" t="str">
        <x:v>Stage 2 recorded this row as a discovery candidate; it does not independently verify an exact current research program, eligibility, or funding.</x:v>
      </x:c>
      <x:c r="H2107" s="17" t="str">
        <x:v>Pass 2 Stage 2 candidate funnel</x:v>
      </x:c>
      <x:c r="I2107" s="17" t="str">
        <x:v>Graduate audit pipeline</x:v>
      </x:c>
      <x:c r="J2107" s="17" t="str">
        <x:v>derived</x:v>
      </x:c>
      <x:c r="K2107" s="17" t="str">
        <x:v>2026-09-11</x:v>
      </x:c>
      <x:c r="L2107" s="17" t="str">
        <x:v>Not cycle-specific</x:v>
      </x:c>
      <x:c r="M2107" s="17" t="str">
        <x:v>low</x:v>
      </x:c>
      <x:c r="N2107" s="17" t="str">
        <x:v>Discovery evidence only</x:v>
      </x:c>
      <x:c r="O2107" s="17" t="str">
        <x:v>Use the source_record_paths field to trace the underlying discovery inputs.</x:v>
      </x:c>
      <x:c r="P2107" s="18" t="e">
        <x:f>HYPERLINK("https://drexel.edu","Open source")</x:f>
        <x:v>HYPERLINK is not implemented. linkLocation=https://drexel.edu, friendlyName=Open source</x:v>
      </x:c>
    </x:row>
    <x:row r="2108" ht="46" customHeight="1">
      <x:c r="A2108" s="17" t="str">
        <x:v>stage3src:e855056af96635e4e490</x:v>
      </x:c>
      <x:c r="B2108" s="17" t="str">
        <x:v>program</x:v>
      </x:c>
      <x:c r="C2108" s="17" t="str">
        <x:v>Drexel University</x:v>
      </x:c>
      <x:c r="D2108" s="17" t="str">
        <x:v>us:ipeds:212054:program:unclear:ipeds-discovery-signal-mechatronics-robotics-and-automation-engineering-cip-14-4201</x:v>
      </x:c>
      <x:c r="E2108" s="17" t="str"/>
      <x:c r="F2108" s="17" t="str">
        <x:v>discovery</x:v>
      </x:c>
      <x:c r="G2108" s="17" t="str">
        <x:v>Stage 2 recorded this row as a discovery candidate; it does not independently verify an exact current research program, eligibility, or funding.</x:v>
      </x:c>
      <x:c r="H2108" s="17" t="str">
        <x:v>Pass 2 Stage 2 candidate funnel</x:v>
      </x:c>
      <x:c r="I2108" s="17" t="str">
        <x:v>Graduate audit pipeline</x:v>
      </x:c>
      <x:c r="J2108" s="17" t="str">
        <x:v>derived</x:v>
      </x:c>
      <x:c r="K2108" s="17" t="str">
        <x:v>2026-09-11</x:v>
      </x:c>
      <x:c r="L2108" s="17" t="str">
        <x:v>Not cycle-specific</x:v>
      </x:c>
      <x:c r="M2108" s="17" t="str">
        <x:v>low</x:v>
      </x:c>
      <x:c r="N2108" s="17" t="str">
        <x:v>Discovery evidence only</x:v>
      </x:c>
      <x:c r="O2108" s="17" t="str">
        <x:v>Use the source_record_paths field to trace the underlying discovery inputs.</x:v>
      </x:c>
      <x:c r="P2108" s="18" t="e">
        <x:f>HYPERLINK("https://drexel.edu","Open source")</x:f>
        <x:v>HYPERLINK is not implemented. linkLocation=https://drexel.edu, friendlyName=Open source</x:v>
      </x:c>
    </x:row>
    <x:row r="2109" ht="46" customHeight="1">
      <x:c r="A2109" s="17" t="str">
        <x:v>stage3src:f31c910ad8949eb0597e</x:v>
      </x:c>
      <x:c r="B2109" s="17" t="str">
        <x:v>program</x:v>
      </x:c>
      <x:c r="C2109" s="17" t="str">
        <x:v>Duquesne University</x:v>
      </x:c>
      <x:c r="D2109" s="17" t="str">
        <x:v>us:ipeds:212106:program:unclear:ipeds-discovery-signal-computer-science-cip-11-0701</x:v>
      </x:c>
      <x:c r="E2109" s="17" t="str"/>
      <x:c r="F2109" s="17" t="str">
        <x:v>discovery</x:v>
      </x:c>
      <x:c r="G2109" s="17" t="str">
        <x:v>Stage 2 recorded this row as a discovery candidate; it does not independently verify an exact current research program, eligibility, or funding.</x:v>
      </x:c>
      <x:c r="H2109" s="17" t="str">
        <x:v>Pass 2 Stage 2 candidate funnel</x:v>
      </x:c>
      <x:c r="I2109" s="17" t="str">
        <x:v>Graduate audit pipeline</x:v>
      </x:c>
      <x:c r="J2109" s="17" t="str">
        <x:v>derived</x:v>
      </x:c>
      <x:c r="K2109" s="17" t="str">
        <x:v>2026-09-11</x:v>
      </x:c>
      <x:c r="L2109" s="17" t="str">
        <x:v>Not cycle-specific</x:v>
      </x:c>
      <x:c r="M2109" s="17" t="str">
        <x:v>low</x:v>
      </x:c>
      <x:c r="N2109" s="17" t="str">
        <x:v>Discovery evidence only</x:v>
      </x:c>
      <x:c r="O2109" s="17" t="str">
        <x:v>Use the source_record_paths field to trace the underlying discovery inputs.</x:v>
      </x:c>
      <x:c r="P2109" s="18" t="e">
        <x:f>HYPERLINK("https://www.duq.edu","Open source")</x:f>
        <x:v>HYPERLINK is not implemented. linkLocation=https://www.duq.edu, friendlyName=Open source</x:v>
      </x:c>
    </x:row>
    <x:row r="2110" ht="46" customHeight="1">
      <x:c r="A2110" s="17" t="str">
        <x:v>stage3src:8d8e934b734645f255d8</x:v>
      </x:c>
      <x:c r="B2110" s="17" t="str">
        <x:v>program</x:v>
      </x:c>
      <x:c r="C2110" s="17" t="str">
        <x:v>East Stroudsburg University of Pennsylvania</x:v>
      </x:c>
      <x:c r="D2110" s="17" t="str">
        <x:v>us:ipeds:212115:program:unclear:ipeds-discovery-signal-computer-and-information-sciences-general-cip-11-0101</x:v>
      </x:c>
      <x:c r="E2110" s="17" t="str"/>
      <x:c r="F2110" s="17" t="str">
        <x:v>discovery</x:v>
      </x:c>
      <x:c r="G2110" s="17" t="str">
        <x:v>Stage 2 recorded this row as a discovery candidate; it does not independently verify an exact current research program, eligibility, or funding.</x:v>
      </x:c>
      <x:c r="H2110" s="17" t="str">
        <x:v>Pass 2 Stage 2 candidate funnel</x:v>
      </x:c>
      <x:c r="I2110" s="17" t="str">
        <x:v>Graduate audit pipeline</x:v>
      </x:c>
      <x:c r="J2110" s="17" t="str">
        <x:v>derived</x:v>
      </x:c>
      <x:c r="K2110" s="17" t="str">
        <x:v>2026-09-11</x:v>
      </x:c>
      <x:c r="L2110" s="17" t="str">
        <x:v>Not cycle-specific</x:v>
      </x:c>
      <x:c r="M2110" s="17" t="str">
        <x:v>low</x:v>
      </x:c>
      <x:c r="N2110" s="17" t="str">
        <x:v>Discovery evidence only</x:v>
      </x:c>
      <x:c r="O2110" s="17" t="str">
        <x:v>Use the source_record_paths field to trace the underlying discovery inputs.</x:v>
      </x:c>
      <x:c r="P2110" s="18" t="e">
        <x:f>HYPERLINK("https://www.esu.edu","Open source")</x:f>
        <x:v>HYPERLINK is not implemented. linkLocation=https://www.esu.edu, friendlyName=Open source</x:v>
      </x:c>
    </x:row>
    <x:row r="2111" ht="46" customHeight="1">
      <x:c r="A2111" s="17" t="str">
        <x:v>stage3src:d59f62497bda34e07f3b</x:v>
      </x:c>
      <x:c r="B2111" s="17" t="str">
        <x:v>program</x:v>
      </x:c>
      <x:c r="C2111" s="17" t="str">
        <x:v>Eastern University</x:v>
      </x:c>
      <x:c r="D2111" s="17" t="str">
        <x:v>us:ipeds:212133:program:unclear:ipeds-discovery-signal-data-analytics-general-cip-30-7101</x:v>
      </x:c>
      <x:c r="E2111" s="17" t="str"/>
      <x:c r="F2111" s="17" t="str">
        <x:v>discovery</x:v>
      </x:c>
      <x:c r="G2111" s="17" t="str">
        <x:v>Stage 2 recorded this row as a discovery candidate; it does not independently verify an exact current research program, eligibility, or funding.</x:v>
      </x:c>
      <x:c r="H2111" s="17" t="str">
        <x:v>Pass 2 Stage 2 candidate funnel</x:v>
      </x:c>
      <x:c r="I2111" s="17" t="str">
        <x:v>Graduate audit pipeline</x:v>
      </x:c>
      <x:c r="J2111" s="17" t="str">
        <x:v>derived</x:v>
      </x:c>
      <x:c r="K2111" s="17" t="str">
        <x:v>2026-09-11</x:v>
      </x:c>
      <x:c r="L2111" s="17" t="str">
        <x:v>Not cycle-specific</x:v>
      </x:c>
      <x:c r="M2111" s="17" t="str">
        <x:v>low</x:v>
      </x:c>
      <x:c r="N2111" s="17" t="str">
        <x:v>Discovery evidence only</x:v>
      </x:c>
      <x:c r="O2111" s="17" t="str">
        <x:v>Use the source_record_paths field to trace the underlying discovery inputs.</x:v>
      </x:c>
      <x:c r="P2111" s="18" t="e">
        <x:f>HYPERLINK("https://www.eastern.edu/about/student-consumer-information","Open source")</x:f>
        <x:v>HYPERLINK is not implemented. linkLocation=https://www.eastern.edu/about/student-consumer-information, friendlyName=Open source</x:v>
      </x:c>
    </x:row>
    <x:row r="2112" ht="46" customHeight="1">
      <x:c r="A2112" s="17" t="str">
        <x:v>stage3src:0d85a668d32fac10966f</x:v>
      </x:c>
      <x:c r="B2112" s="17" t="str">
        <x:v>program</x:v>
      </x:c>
      <x:c r="C2112" s="17" t="str">
        <x:v>Eastern University</x:v>
      </x:c>
      <x:c r="D2112" s="17" t="str">
        <x:v>us:ipeds:212133:program:unclear:ipeds-discovery-signal-data-science-general-cip-30-7001</x:v>
      </x:c>
      <x:c r="E2112" s="17" t="str"/>
      <x:c r="F2112" s="17" t="str">
        <x:v>discovery</x:v>
      </x:c>
      <x:c r="G2112" s="17" t="str">
        <x:v>Stage 2 recorded this row as a discovery candidate; it does not independently verify an exact current research program, eligibility, or funding.</x:v>
      </x:c>
      <x:c r="H2112" s="17" t="str">
        <x:v>Pass 2 Stage 2 candidate funnel</x:v>
      </x:c>
      <x:c r="I2112" s="17" t="str">
        <x:v>Graduate audit pipeline</x:v>
      </x:c>
      <x:c r="J2112" s="17" t="str">
        <x:v>derived</x:v>
      </x:c>
      <x:c r="K2112" s="17" t="str">
        <x:v>2026-09-11</x:v>
      </x:c>
      <x:c r="L2112" s="17" t="str">
        <x:v>Not cycle-specific</x:v>
      </x:c>
      <x:c r="M2112" s="17" t="str">
        <x:v>low</x:v>
      </x:c>
      <x:c r="N2112" s="17" t="str">
        <x:v>Discovery evidence only</x:v>
      </x:c>
      <x:c r="O2112" s="17" t="str">
        <x:v>Use the source_record_paths field to trace the underlying discovery inputs.</x:v>
      </x:c>
      <x:c r="P2112" s="18" t="e">
        <x:f>HYPERLINK("https://www.eastern.edu/about/student-consumer-information","Open source")</x:f>
        <x:v>HYPERLINK is not implemented. linkLocation=https://www.eastern.edu/about/student-consumer-information, friendlyName=Open source</x:v>
      </x:c>
    </x:row>
    <x:row r="2113" ht="46" customHeight="1">
      <x:c r="A2113" s="17" t="str">
        <x:v>stage3src:cd2ee917f634279c1416</x:v>
      </x:c>
      <x:c r="B2113" s="17" t="str">
        <x:v>program</x:v>
      </x:c>
      <x:c r="C2113" s="17" t="str">
        <x:v>Gannon University</x:v>
      </x:c>
      <x:c r="D2113" s="17" t="str">
        <x:v>us:ipeds:212601:program:unclear:ipeds-discovery-signal-artificial-intelligence-cip-11-0102</x:v>
      </x:c>
      <x:c r="E2113" s="17" t="str"/>
      <x:c r="F2113" s="17" t="str">
        <x:v>discovery</x:v>
      </x:c>
      <x:c r="G2113" s="17" t="str">
        <x:v>Stage 2 recorded this row as a discovery candidate; it does not independently verify an exact current research program, eligibility, or funding.</x:v>
      </x:c>
      <x:c r="H2113" s="17" t="str">
        <x:v>Pass 2 Stage 2 candidate funnel</x:v>
      </x:c>
      <x:c r="I2113" s="17" t="str">
        <x:v>Graduate audit pipeline</x:v>
      </x:c>
      <x:c r="J2113" s="17" t="str">
        <x:v>derived</x:v>
      </x:c>
      <x:c r="K2113" s="17" t="str">
        <x:v>2026-09-11</x:v>
      </x:c>
      <x:c r="L2113" s="17" t="str">
        <x:v>Not cycle-specific</x:v>
      </x:c>
      <x:c r="M2113" s="17" t="str">
        <x:v>low</x:v>
      </x:c>
      <x:c r="N2113" s="17" t="str">
        <x:v>Discovery evidence only</x:v>
      </x:c>
      <x:c r="O2113" s="17" t="str">
        <x:v>Use the source_record_paths field to trace the underlying discovery inputs.</x:v>
      </x:c>
      <x:c r="P2113" s="18" t="e">
        <x:f>HYPERLINK("https://www.gannon.edu","Open source")</x:f>
        <x:v>HYPERLINK is not implemented. linkLocation=https://www.gannon.edu, friendlyName=Open source</x:v>
      </x:c>
    </x:row>
    <x:row r="2114" ht="46" customHeight="1">
      <x:c r="A2114" s="17" t="str">
        <x:v>stage3src:9b99d312c911b87376b2</x:v>
      </x:c>
      <x:c r="B2114" s="17" t="str">
        <x:v>program</x:v>
      </x:c>
      <x:c r="C2114" s="17" t="str">
        <x:v>Gannon University</x:v>
      </x:c>
      <x:c r="D2114" s="17" t="str">
        <x:v>us:ipeds:212601:program:unclear:ipeds-discovery-signal-computer-and-information-sciences-general-cip-11-0101</x:v>
      </x:c>
      <x:c r="E2114" s="17" t="str"/>
      <x:c r="F2114" s="17" t="str">
        <x:v>discovery</x:v>
      </x:c>
      <x:c r="G2114" s="17" t="str">
        <x:v>Stage 2 recorded this row as a discovery candidate; it does not independently verify an exact current research program, eligibility, or funding.</x:v>
      </x:c>
      <x:c r="H2114" s="17" t="str">
        <x:v>Pass 2 Stage 2 candidate funnel</x:v>
      </x:c>
      <x:c r="I2114" s="17" t="str">
        <x:v>Graduate audit pipeline</x:v>
      </x:c>
      <x:c r="J2114" s="17" t="str">
        <x:v>derived</x:v>
      </x:c>
      <x:c r="K2114" s="17" t="str">
        <x:v>2026-09-11</x:v>
      </x:c>
      <x:c r="L2114" s="17" t="str">
        <x:v>Not cycle-specific</x:v>
      </x:c>
      <x:c r="M2114" s="17" t="str">
        <x:v>low</x:v>
      </x:c>
      <x:c r="N2114" s="17" t="str">
        <x:v>Discovery evidence only</x:v>
      </x:c>
      <x:c r="O2114" s="17" t="str">
        <x:v>Use the source_record_paths field to trace the underlying discovery inputs.</x:v>
      </x:c>
      <x:c r="P2114" s="18" t="e">
        <x:f>HYPERLINK("https://www.gannon.edu","Open source")</x:f>
        <x:v>HYPERLINK is not implemented. linkLocation=https://www.gannon.edu, friendlyName=Open source</x:v>
      </x:c>
    </x:row>
    <x:row r="2115" ht="46" customHeight="1">
      <x:c r="A2115" s="17" t="str">
        <x:v>stage3src:897d840e7eecab726f87</x:v>
      </x:c>
      <x:c r="B2115" s="17" t="str">
        <x:v>program</x:v>
      </x:c>
      <x:c r="C2115" s="17" t="str">
        <x:v>Gannon University</x:v>
      </x:c>
      <x:c r="D2115" s="17" t="str">
        <x:v>us:ipeds:212601:program:unclear:ipeds-discovery-signal-computer-and-information-systems-security-auditing-information-assurance-cip-11-1003</x:v>
      </x:c>
      <x:c r="E2115" s="17" t="str"/>
      <x:c r="F2115" s="17" t="str">
        <x:v>discovery</x:v>
      </x:c>
      <x:c r="G2115" s="17" t="str">
        <x:v>Stage 2 recorded this row as a discovery candidate; it does not independently verify an exact current research program, eligibility, or funding.</x:v>
      </x:c>
      <x:c r="H2115" s="17" t="str">
        <x:v>Pass 2 Stage 2 candidate funnel</x:v>
      </x:c>
      <x:c r="I2115" s="17" t="str">
        <x:v>Graduate audit pipeline</x:v>
      </x:c>
      <x:c r="J2115" s="17" t="str">
        <x:v>derived</x:v>
      </x:c>
      <x:c r="K2115" s="17" t="str">
        <x:v>2026-09-11</x:v>
      </x:c>
      <x:c r="L2115" s="17" t="str">
        <x:v>Not cycle-specific</x:v>
      </x:c>
      <x:c r="M2115" s="17" t="str">
        <x:v>low</x:v>
      </x:c>
      <x:c r="N2115" s="17" t="str">
        <x:v>Discovery evidence only</x:v>
      </x:c>
      <x:c r="O2115" s="17" t="str">
        <x:v>Use the source_record_paths field to trace the underlying discovery inputs.</x:v>
      </x:c>
      <x:c r="P2115" s="18" t="e">
        <x:f>HYPERLINK("https://www.gannon.edu","Open source")</x:f>
        <x:v>HYPERLINK is not implemented. linkLocation=https://www.gannon.edu, friendlyName=Open source</x:v>
      </x:c>
    </x:row>
    <x:row r="2116" ht="46" customHeight="1">
      <x:c r="A2116" s="17" t="str">
        <x:v>stage3src:bc39a9a838749e2965fb</x:v>
      </x:c>
      <x:c r="B2116" s="17" t="str">
        <x:v>program</x:v>
      </x:c>
      <x:c r="C2116" s="17" t="str">
        <x:v>Gannon University</x:v>
      </x:c>
      <x:c r="D2116" s="17" t="str">
        <x:v>us:ipeds:212601:program:unclear:ipeds-discovery-signal-computer-engineering-general-cip-14-0901</x:v>
      </x:c>
      <x:c r="E2116" s="17" t="str"/>
      <x:c r="F2116" s="17" t="str">
        <x:v>discovery</x:v>
      </x:c>
      <x:c r="G2116" s="17" t="str">
        <x:v>Stage 2 recorded this row as a discovery candidate; it does not independently verify an exact current research program, eligibility, or funding.</x:v>
      </x:c>
      <x:c r="H2116" s="17" t="str">
        <x:v>Pass 2 Stage 2 candidate funnel</x:v>
      </x:c>
      <x:c r="I2116" s="17" t="str">
        <x:v>Graduate audit pipeline</x:v>
      </x:c>
      <x:c r="J2116" s="17" t="str">
        <x:v>derived</x:v>
      </x:c>
      <x:c r="K2116" s="17" t="str">
        <x:v>2026-09-11</x:v>
      </x:c>
      <x:c r="L2116" s="17" t="str">
        <x:v>Not cycle-specific</x:v>
      </x:c>
      <x:c r="M2116" s="17" t="str">
        <x:v>low</x:v>
      </x:c>
      <x:c r="N2116" s="17" t="str">
        <x:v>Discovery evidence only</x:v>
      </x:c>
      <x:c r="O2116" s="17" t="str">
        <x:v>Use the source_record_paths field to trace the underlying discovery inputs.</x:v>
      </x:c>
      <x:c r="P2116" s="18" t="e">
        <x:f>HYPERLINK("https://www.gannon.edu","Open source")</x:f>
        <x:v>HYPERLINK is not implemented. linkLocation=https://www.gannon.edu, friendlyName=Open source</x:v>
      </x:c>
    </x:row>
    <x:row r="2117" ht="46" customHeight="1">
      <x:c r="A2117" s="17" t="str">
        <x:v>stage3src:8631dc2fb111f6c5b134</x:v>
      </x:c>
      <x:c r="B2117" s="17" t="str">
        <x:v>program</x:v>
      </x:c>
      <x:c r="C2117" s="17" t="str">
        <x:v>Gannon University</x:v>
      </x:c>
      <x:c r="D2117" s="17" t="str">
        <x:v>us:ipeds:212601:program:unclear:ipeds-discovery-signal-computer-software-engineering-cip-14-0903</x:v>
      </x:c>
      <x:c r="E2117" s="17" t="str"/>
      <x:c r="F2117" s="17" t="str">
        <x:v>discovery</x:v>
      </x:c>
      <x:c r="G2117" s="17" t="str">
        <x:v>Stage 2 recorded this row as a discovery candidate; it does not independently verify an exact current research program, eligibility, or funding.</x:v>
      </x:c>
      <x:c r="H2117" s="17" t="str">
        <x:v>Pass 2 Stage 2 candidate funnel</x:v>
      </x:c>
      <x:c r="I2117" s="17" t="str">
        <x:v>Graduate audit pipeline</x:v>
      </x:c>
      <x:c r="J2117" s="17" t="str">
        <x:v>derived</x:v>
      </x:c>
      <x:c r="K2117" s="17" t="str">
        <x:v>2026-09-11</x:v>
      </x:c>
      <x:c r="L2117" s="17" t="str">
        <x:v>Not cycle-specific</x:v>
      </x:c>
      <x:c r="M2117" s="17" t="str">
        <x:v>low</x:v>
      </x:c>
      <x:c r="N2117" s="17" t="str">
        <x:v>Discovery evidence only</x:v>
      </x:c>
      <x:c r="O2117" s="17" t="str">
        <x:v>Use the source_record_paths field to trace the underlying discovery inputs.</x:v>
      </x:c>
      <x:c r="P2117" s="18" t="e">
        <x:f>HYPERLINK("https://www.gannon.edu","Open source")</x:f>
        <x:v>HYPERLINK is not implemented. linkLocation=https://www.gannon.edu, friendlyName=Open source</x:v>
      </x:c>
    </x:row>
    <x:row r="2118" ht="46" customHeight="1">
      <x:c r="A2118" s="17" t="str">
        <x:v>stage3src:91b3f521d94e23e9df73</x:v>
      </x:c>
      <x:c r="B2118" s="17" t="str">
        <x:v>program</x:v>
      </x:c>
      <x:c r="C2118" s="17" t="str">
        <x:v>Gannon University</x:v>
      </x:c>
      <x:c r="D2118" s="17" t="str">
        <x:v>us:ipeds:212601:program:unclear:ipeds-discovery-signal-electrical-and-electronics-engineering-cip-14-1001</x:v>
      </x:c>
      <x:c r="E2118" s="17" t="str"/>
      <x:c r="F2118" s="17" t="str">
        <x:v>discovery</x:v>
      </x:c>
      <x:c r="G2118" s="17" t="str">
        <x:v>Stage 2 recorded this row as a discovery candidate; it does not independently verify an exact current research program, eligibility, or funding.</x:v>
      </x:c>
      <x:c r="H2118" s="17" t="str">
        <x:v>Pass 2 Stage 2 candidate funnel</x:v>
      </x:c>
      <x:c r="I2118" s="17" t="str">
        <x:v>Graduate audit pipeline</x:v>
      </x:c>
      <x:c r="J2118" s="17" t="str">
        <x:v>derived</x:v>
      </x:c>
      <x:c r="K2118" s="17" t="str">
        <x:v>2026-09-11</x:v>
      </x:c>
      <x:c r="L2118" s="17" t="str">
        <x:v>Not cycle-specific</x:v>
      </x:c>
      <x:c r="M2118" s="17" t="str">
        <x:v>low</x:v>
      </x:c>
      <x:c r="N2118" s="17" t="str">
        <x:v>Discovery evidence only</x:v>
      </x:c>
      <x:c r="O2118" s="17" t="str">
        <x:v>Use the source_record_paths field to trace the underlying discovery inputs.</x:v>
      </x:c>
      <x:c r="P2118" s="18" t="e">
        <x:f>HYPERLINK("https://www.gannon.edu","Open source")</x:f>
        <x:v>HYPERLINK is not implemented. linkLocation=https://www.gannon.edu, friendlyName=Open source</x:v>
      </x:c>
    </x:row>
    <x:row r="2119" ht="46" customHeight="1">
      <x:c r="A2119" s="17" t="str">
        <x:v>stage3src:31b49ff15836d90fdce2</x:v>
      </x:c>
      <x:c r="B2119" s="17" t="str">
        <x:v>program</x:v>
      </x:c>
      <x:c r="C2119" s="17" t="str">
        <x:v>Gannon University</x:v>
      </x:c>
      <x:c r="D2119" s="17" t="str">
        <x:v>us:ipeds:212601:program:unclear:ipeds-discovery-signal-information-technology-cip-11-0103</x:v>
      </x:c>
      <x:c r="E2119" s="17" t="str"/>
      <x:c r="F2119" s="17" t="str">
        <x:v>discovery</x:v>
      </x:c>
      <x:c r="G2119" s="17" t="str">
        <x:v>Stage 2 recorded this row as a discovery candidate; it does not independently verify an exact current research program, eligibility, or funding.</x:v>
      </x:c>
      <x:c r="H2119" s="17" t="str">
        <x:v>Pass 2 Stage 2 candidate funnel</x:v>
      </x:c>
      <x:c r="I2119" s="17" t="str">
        <x:v>Graduate audit pipeline</x:v>
      </x:c>
      <x:c r="J2119" s="17" t="str">
        <x:v>derived</x:v>
      </x:c>
      <x:c r="K2119" s="17" t="str">
        <x:v>2026-09-11</x:v>
      </x:c>
      <x:c r="L2119" s="17" t="str">
        <x:v>Not cycle-specific</x:v>
      </x:c>
      <x:c r="M2119" s="17" t="str">
        <x:v>low</x:v>
      </x:c>
      <x:c r="N2119" s="17" t="str">
        <x:v>Discovery evidence only</x:v>
      </x:c>
      <x:c r="O2119" s="17" t="str">
        <x:v>Use the source_record_paths field to trace the underlying discovery inputs.</x:v>
      </x:c>
      <x:c r="P2119" s="18" t="e">
        <x:f>HYPERLINK("https://www.gannon.edu","Open source")</x:f>
        <x:v>HYPERLINK is not implemented. linkLocation=https://www.gannon.edu, friendlyName=Open source</x:v>
      </x:c>
    </x:row>
    <x:row r="2120" ht="46" customHeight="1">
      <x:c r="A2120" s="17" t="str">
        <x:v>stage3src:5d8af0df4e628091f7b7</x:v>
      </x:c>
      <x:c r="B2120" s="17" t="str">
        <x:v>program</x:v>
      </x:c>
      <x:c r="C2120" s="17" t="str">
        <x:v>Geneva College</x:v>
      </x:c>
      <x:c r="D2120" s="17" t="str">
        <x:v>us:ipeds:212656:program:unclear:ipeds-discovery-signal-computer-and-information-systems-security-auditing-information-assurance-cip-11-1003</x:v>
      </x:c>
      <x:c r="E2120" s="17" t="str"/>
      <x:c r="F2120" s="17" t="str">
        <x:v>discovery</x:v>
      </x:c>
      <x:c r="G2120" s="17" t="str">
        <x:v>Stage 2 recorded this row as a discovery candidate; it does not independently verify an exact current research program, eligibility, or funding.</x:v>
      </x:c>
      <x:c r="H2120" s="17" t="str">
        <x:v>Pass 2 Stage 2 candidate funnel</x:v>
      </x:c>
      <x:c r="I2120" s="17" t="str">
        <x:v>Graduate audit pipeline</x:v>
      </x:c>
      <x:c r="J2120" s="17" t="str">
        <x:v>derived</x:v>
      </x:c>
      <x:c r="K2120" s="17" t="str">
        <x:v>2026-09-11</x:v>
      </x:c>
      <x:c r="L2120" s="17" t="str">
        <x:v>Not cycle-specific</x:v>
      </x:c>
      <x:c r="M2120" s="17" t="str">
        <x:v>low</x:v>
      </x:c>
      <x:c r="N2120" s="17" t="str">
        <x:v>Discovery evidence only</x:v>
      </x:c>
      <x:c r="O2120" s="17" t="str">
        <x:v>Use the source_record_paths field to trace the underlying discovery inputs.</x:v>
      </x:c>
      <x:c r="P2120" s="18" t="e">
        <x:f>HYPERLINK("https://www.geneva.edu","Open source")</x:f>
        <x:v>HYPERLINK is not implemented. linkLocation=https://www.geneva.edu, friendlyName=Open source</x:v>
      </x:c>
    </x:row>
    <x:row r="2121" ht="46" customHeight="1">
      <x:c r="A2121" s="17" t="str">
        <x:v>stage3src:e9bb5fe700145597acde</x:v>
      </x:c>
      <x:c r="B2121" s="17" t="str">
        <x:v>program</x:v>
      </x:c>
      <x:c r="C2121" s="17" t="str">
        <x:v>Holy Family University</x:v>
      </x:c>
      <x:c r="D2121" s="17" t="str">
        <x:v>us:ipeds:212984:program:unclear:ipeds-discovery-signal-cyber-computer-forensics-and-counterterrorism-cip-43-0403</x:v>
      </x:c>
      <x:c r="E2121" s="17" t="str"/>
      <x:c r="F2121" s="17" t="str">
        <x:v>discovery</x:v>
      </x:c>
      <x:c r="G2121" s="17" t="str">
        <x:v>Stage 2 recorded this row as a discovery candidate; it does not independently verify an exact current research program, eligibility, or funding.</x:v>
      </x:c>
      <x:c r="H2121" s="17" t="str">
        <x:v>Pass 2 Stage 2 candidate funnel</x:v>
      </x:c>
      <x:c r="I2121" s="17" t="str">
        <x:v>Graduate audit pipeline</x:v>
      </x:c>
      <x:c r="J2121" s="17" t="str">
        <x:v>derived</x:v>
      </x:c>
      <x:c r="K2121" s="17" t="str">
        <x:v>2026-09-11</x:v>
      </x:c>
      <x:c r="L2121" s="17" t="str">
        <x:v>Not cycle-specific</x:v>
      </x:c>
      <x:c r="M2121" s="17" t="str">
        <x:v>low</x:v>
      </x:c>
      <x:c r="N2121" s="17" t="str">
        <x:v>Discovery evidence only</x:v>
      </x:c>
      <x:c r="O2121" s="17" t="str">
        <x:v>Use the source_record_paths field to trace the underlying discovery inputs.</x:v>
      </x:c>
      <x:c r="P2121" s="18" t="e">
        <x:f>HYPERLINK("https://www.holyfamily.edu","Open source")</x:f>
        <x:v>HYPERLINK is not implemented. linkLocation=https://www.holyfamily.edu, friendlyName=Open source</x:v>
      </x:c>
    </x:row>
    <x:row r="2122" ht="46" customHeight="1">
      <x:c r="A2122" s="17" t="str">
        <x:v>stage3src:5db50ff8b1a24886c31a</x:v>
      </x:c>
      <x:c r="B2122" s="17" t="str">
        <x:v>program</x:v>
      </x:c>
      <x:c r="C2122" s="17" t="str">
        <x:v>Juniata College</x:v>
      </x:c>
      <x:c r="D2122" s="17" t="str">
        <x:v>us:ipeds:213251:program:unclear:ipeds-discovery-signal-data-science-general-cip-30-7001</x:v>
      </x:c>
      <x:c r="E2122" s="17" t="str"/>
      <x:c r="F2122" s="17" t="str">
        <x:v>discovery</x:v>
      </x:c>
      <x:c r="G2122" s="17" t="str">
        <x:v>Stage 2 recorded this row as a discovery candidate; it does not independently verify an exact current research program, eligibility, or funding.</x:v>
      </x:c>
      <x:c r="H2122" s="17" t="str">
        <x:v>Pass 2 Stage 2 candidate funnel</x:v>
      </x:c>
      <x:c r="I2122" s="17" t="str">
        <x:v>Graduate audit pipeline</x:v>
      </x:c>
      <x:c r="J2122" s="17" t="str">
        <x:v>derived</x:v>
      </x:c>
      <x:c r="K2122" s="17" t="str">
        <x:v>2026-09-11</x:v>
      </x:c>
      <x:c r="L2122" s="17" t="str">
        <x:v>Not cycle-specific</x:v>
      </x:c>
      <x:c r="M2122" s="17" t="str">
        <x:v>low</x:v>
      </x:c>
      <x:c r="N2122" s="17" t="str">
        <x:v>Discovery evidence only</x:v>
      </x:c>
      <x:c r="O2122" s="17" t="str">
        <x:v>Use the source_record_paths field to trace the underlying discovery inputs.</x:v>
      </x:c>
      <x:c r="P2122" s="18" t="e">
        <x:f>HYPERLINK("https://www.juniata.edu","Open source")</x:f>
        <x:v>HYPERLINK is not implemented. linkLocation=https://www.juniata.edu, friendlyName=Open source</x:v>
      </x:c>
    </x:row>
    <x:row r="2123" ht="46" customHeight="1">
      <x:c r="A2123" s="17" t="str">
        <x:v>stage3src:2a5ef684b3096a128164</x:v>
      </x:c>
      <x:c r="B2123" s="17" t="str">
        <x:v>program</x:v>
      </x:c>
      <x:c r="C2123" s="17" t="str">
        <x:v>Kutztown University of Pennsylvania</x:v>
      </x:c>
      <x:c r="D2123" s="17" t="str">
        <x:v>us:ipeds:213349:program:unclear:ipeds-discovery-signal-computer-science-cip-11-0701</x:v>
      </x:c>
      <x:c r="E2123" s="17" t="str"/>
      <x:c r="F2123" s="17" t="str">
        <x:v>discovery</x:v>
      </x:c>
      <x:c r="G2123" s="17" t="str">
        <x:v>Stage 2 recorded this row as a discovery candidate; it does not independently verify an exact current research program, eligibility, or funding.</x:v>
      </x:c>
      <x:c r="H2123" s="17" t="str">
        <x:v>Pass 2 Stage 2 candidate funnel</x:v>
      </x:c>
      <x:c r="I2123" s="17" t="str">
        <x:v>Graduate audit pipeline</x:v>
      </x:c>
      <x:c r="J2123" s="17" t="str">
        <x:v>derived</x:v>
      </x:c>
      <x:c r="K2123" s="17" t="str">
        <x:v>2026-09-11</x:v>
      </x:c>
      <x:c r="L2123" s="17" t="str">
        <x:v>Not cycle-specific</x:v>
      </x:c>
      <x:c r="M2123" s="17" t="str">
        <x:v>low</x:v>
      </x:c>
      <x:c r="N2123" s="17" t="str">
        <x:v>Discovery evidence only</x:v>
      </x:c>
      <x:c r="O2123" s="17" t="str">
        <x:v>Use the source_record_paths field to trace the underlying discovery inputs.</x:v>
      </x:c>
      <x:c r="P2123" s="18" t="e">
        <x:f>HYPERLINK("https://www.kutztown.edu","Open source")</x:f>
        <x:v>HYPERLINK is not implemented. linkLocation=https://www.kutztown.edu, friendlyName=Open source</x:v>
      </x:c>
    </x:row>
    <x:row r="2124" ht="46" customHeight="1">
      <x:c r="A2124" s="17" t="str">
        <x:v>stage3src:56d4ef1e5e61397203df</x:v>
      </x:c>
      <x:c r="B2124" s="17" t="str">
        <x:v>program</x:v>
      </x:c>
      <x:c r="C2124" s="17" t="str">
        <x:v>La Roche University</x:v>
      </x:c>
      <x:c r="D2124" s="17" t="str">
        <x:v>us:ipeds:213358:program:unclear:ipeds-discovery-signal-information-technology-cip-11-0103</x:v>
      </x:c>
      <x:c r="E2124" s="17" t="str"/>
      <x:c r="F2124" s="17" t="str">
        <x:v>discovery</x:v>
      </x:c>
      <x:c r="G2124" s="17" t="str">
        <x:v>Stage 2 recorded this row as a discovery candidate; it does not independently verify an exact current research program, eligibility, or funding.</x:v>
      </x:c>
      <x:c r="H2124" s="17" t="str">
        <x:v>Pass 2 Stage 2 candidate funnel</x:v>
      </x:c>
      <x:c r="I2124" s="17" t="str">
        <x:v>Graduate audit pipeline</x:v>
      </x:c>
      <x:c r="J2124" s="17" t="str">
        <x:v>derived</x:v>
      </x:c>
      <x:c r="K2124" s="17" t="str">
        <x:v>2026-09-11</x:v>
      </x:c>
      <x:c r="L2124" s="17" t="str">
        <x:v>Not cycle-specific</x:v>
      </x:c>
      <x:c r="M2124" s="17" t="str">
        <x:v>low</x:v>
      </x:c>
      <x:c r="N2124" s="17" t="str">
        <x:v>Discovery evidence only</x:v>
      </x:c>
      <x:c r="O2124" s="17" t="str">
        <x:v>Use the source_record_paths field to trace the underlying discovery inputs.</x:v>
      </x:c>
      <x:c r="P2124" s="18" t="e">
        <x:f>HYPERLINK("https://www.laroche.edu","Open source")</x:f>
        <x:v>HYPERLINK is not implemented. linkLocation=https://www.laroche.edu, friendlyName=Open source</x:v>
      </x:c>
    </x:row>
    <x:row r="2125" ht="46" customHeight="1">
      <x:c r="A2125" s="17" t="str">
        <x:v>stage3src:da1ae0e841634c94daf1</x:v>
      </x:c>
      <x:c r="B2125" s="17" t="str">
        <x:v>program</x:v>
      </x:c>
      <x:c r="C2125" s="17" t="str">
        <x:v>La Salle University</x:v>
      </x:c>
      <x:c r="D2125" s="17" t="str">
        <x:v>us:ipeds:213367:program:unclear:ipeds-discovery-signal-computer-and-information-sciences-general-cip-11-0101</x:v>
      </x:c>
      <x:c r="E2125" s="17" t="str"/>
      <x:c r="F2125" s="17" t="str">
        <x:v>discovery</x:v>
      </x:c>
      <x:c r="G2125" s="17" t="str">
        <x:v>Stage 2 recorded this row as a discovery candidate; it does not independently verify an exact current research program, eligibility, or funding.</x:v>
      </x:c>
      <x:c r="H2125" s="17" t="str">
        <x:v>Pass 2 Stage 2 candidate funnel</x:v>
      </x:c>
      <x:c r="I2125" s="17" t="str">
        <x:v>Graduate audit pipeline</x:v>
      </x:c>
      <x:c r="J2125" s="17" t="str">
        <x:v>derived</x:v>
      </x:c>
      <x:c r="K2125" s="17" t="str">
        <x:v>2026-09-11</x:v>
      </x:c>
      <x:c r="L2125" s="17" t="str">
        <x:v>Not cycle-specific</x:v>
      </x:c>
      <x:c r="M2125" s="17" t="str">
        <x:v>low</x:v>
      </x:c>
      <x:c r="N2125" s="17" t="str">
        <x:v>Discovery evidence only</x:v>
      </x:c>
      <x:c r="O2125" s="17" t="str">
        <x:v>Use the source_record_paths field to trace the underlying discovery inputs.</x:v>
      </x:c>
      <x:c r="P2125" s="18" t="e">
        <x:f>HYPERLINK("https://www.lasalle.edu","Open source")</x:f>
        <x:v>HYPERLINK is not implemented. linkLocation=https://www.lasalle.edu, friendlyName=Open source</x:v>
      </x:c>
    </x:row>
    <x:row r="2126" ht="46" customHeight="1">
      <x:c r="A2126" s="17" t="str">
        <x:v>stage3src:40f89ede159907d14715</x:v>
      </x:c>
      <x:c r="B2126" s="17" t="str">
        <x:v>program</x:v>
      </x:c>
      <x:c r="C2126" s="17" t="str">
        <x:v>La Salle University</x:v>
      </x:c>
      <x:c r="D2126" s="17" t="str">
        <x:v>us:ipeds:213367:program:unclear:ipeds-discovery-signal-computer-and-information-systems-security-auditing-information-assurance-cip-11-1003</x:v>
      </x:c>
      <x:c r="E2126" s="17" t="str"/>
      <x:c r="F2126" s="17" t="str">
        <x:v>discovery</x:v>
      </x:c>
      <x:c r="G2126" s="17" t="str">
        <x:v>Stage 2 recorded this row as a discovery candidate; it does not independently verify an exact current research program, eligibility, or funding.</x:v>
      </x:c>
      <x:c r="H2126" s="17" t="str">
        <x:v>Pass 2 Stage 2 candidate funnel</x:v>
      </x:c>
      <x:c r="I2126" s="17" t="str">
        <x:v>Graduate audit pipeline</x:v>
      </x:c>
      <x:c r="J2126" s="17" t="str">
        <x:v>derived</x:v>
      </x:c>
      <x:c r="K2126" s="17" t="str">
        <x:v>2026-09-11</x:v>
      </x:c>
      <x:c r="L2126" s="17" t="str">
        <x:v>Not cycle-specific</x:v>
      </x:c>
      <x:c r="M2126" s="17" t="str">
        <x:v>low</x:v>
      </x:c>
      <x:c r="N2126" s="17" t="str">
        <x:v>Discovery evidence only</x:v>
      </x:c>
      <x:c r="O2126" s="17" t="str">
        <x:v>Use the source_record_paths field to trace the underlying discovery inputs.</x:v>
      </x:c>
      <x:c r="P2126" s="18" t="e">
        <x:f>HYPERLINK("https://www.lasalle.edu","Open source")</x:f>
        <x:v>HYPERLINK is not implemented. linkLocation=https://www.lasalle.edu, friendlyName=Open source</x:v>
      </x:c>
    </x:row>
    <x:row r="2127" ht="46" customHeight="1">
      <x:c r="A2127" s="17" t="str">
        <x:v>stage3src:2e44f9891e72f654af9d</x:v>
      </x:c>
      <x:c r="B2127" s="17" t="str">
        <x:v>program</x:v>
      </x:c>
      <x:c r="C2127" s="17" t="str">
        <x:v>Lehigh University</x:v>
      </x:c>
      <x:c r="D2127" s="17" t="str">
        <x:v>us:ipeds:213543:program:phd:phd-in-computer-science</x:v>
      </x:c>
      <x:c r="E2127" s="17" t="str"/>
      <x:c r="F2127" s="17" t="str">
        <x:v>program|research|funding|deadline|fees|language</x:v>
      </x:c>
      <x:c r="G2127" s="17" t="str">
        <x:v>Current PhD, research areas, December 15 funding deadline, $50 fee, English thresholds, and 100 percent Rossin PhD funding.</x:v>
      </x:c>
      <x:c r="H2127" s="17" t="str">
        <x:v>PhD in Computer Science</x:v>
      </x:c>
      <x:c r="I2127" s="17" t="str">
        <x:v>Lehigh University</x:v>
      </x:c>
      <x:c r="J2127" s="17" t="str">
        <x:v>official</x:v>
      </x:c>
      <x:c r="K2127" s="17" t="str">
        <x:v>2026-09-11</x:v>
      </x:c>
      <x:c r="L2127" s="17" t="str">
        <x:v>Current page checked 2026-09-11</x:v>
      </x:c>
      <x:c r="M2127" s="17" t="str">
        <x:v>high</x:v>
      </x:c>
      <x:c r="N2127" s="17" t="str">
        <x:v>official page checked</x:v>
      </x:c>
      <x:c r="O2127" s="17" t="str"/>
      <x:c r="P2127" s="18" t="e">
        <x:f>HYPERLINK("https://engineering.lehigh.edu/academics/graduate/phd/phd-computer-science","Open source")</x:f>
        <x:v>HYPERLINK is not implemented. linkLocation=https://engineering.lehigh.edu/academics/graduate/phd/phd-computer-science, friendlyName=Open source</x:v>
      </x:c>
    </x:row>
    <x:row r="2128" ht="46" customHeight="1">
      <x:c r="A2128" s="17" t="str">
        <x:v>stage3src:594c659b2971d7d39f62</x:v>
      </x:c>
      <x:c r="B2128" s="17" t="str">
        <x:v>program</x:v>
      </x:c>
      <x:c r="C2128" s="17" t="str">
        <x:v>Lehigh University</x:v>
      </x:c>
      <x:c r="D2128" s="17" t="str">
        <x:v>us:ipeds:213543:program:phd:phd-in-computer-science</x:v>
      </x:c>
      <x:c r="E2128" s="17" t="str"/>
      <x:c r="F2128" s="17" t="str">
        <x:v>funding|tuition|conditions</x:v>
      </x:c>
      <x:c r="G2128" s="17" t="str">
        <x:v>All Rossin PhDs are fully funded through RA, TA, or fellowship support generally including monthly stipend and tuition.</x:v>
      </x:c>
      <x:c r="H2128" s="17" t="str">
        <x:v>PhD in Computer Science</x:v>
      </x:c>
      <x:c r="I2128" s="17" t="str">
        <x:v>Lehigh University</x:v>
      </x:c>
      <x:c r="J2128" s="17" t="str">
        <x:v>official</x:v>
      </x:c>
      <x:c r="K2128" s="17" t="str">
        <x:v>2026-09-11</x:v>
      </x:c>
      <x:c r="L2128" s="17" t="str">
        <x:v>Current funding statement checked 2026-09-11</x:v>
      </x:c>
      <x:c r="M2128" s="17" t="str">
        <x:v>high</x:v>
      </x:c>
      <x:c r="N2128" s="17" t="str">
        <x:v>official page checked</x:v>
      </x:c>
      <x:c r="O2128" s="17" t="str"/>
      <x:c r="P2128" s="18" t="e">
        <x:f>HYPERLINK("https://engineering.lehigh.edu/academics/graduate/phd/phd-computer-science","Open source")</x:f>
        <x:v>HYPERLINK is not implemented. linkLocation=https://engineering.lehigh.edu/academics/graduate/phd/phd-computer-science, friendlyName=Open source</x:v>
      </x:c>
    </x:row>
    <x:row r="2129" ht="46" customHeight="1">
      <x:c r="A2129" s="17" t="str">
        <x:v>stage3src:a07d8a11d2f01ac36bfa</x:v>
      </x:c>
      <x:c r="B2129" s="17" t="str">
        <x:v>program</x:v>
      </x:c>
      <x:c r="C2129" s="17" t="str">
        <x:v>Lehigh University</x:v>
      </x:c>
      <x:c r="D2129" s="17" t="str">
        <x:v>us:ipeds:213543:program:phd:phd-in-computer-science</x:v>
      </x:c>
      <x:c r="E2129" s="17" t="str"/>
      <x:c r="F2129" s="17" t="str">
        <x:v>admissions|eligibility|gpa|deadline|fees|language</x:v>
      </x:c>
      <x:c r="G2129" s="17" t="str">
        <x:v>Related bachelor's, 2.75 minimum and 3.5 preferred major GPA, application materials, English requirement, December 15 funding consideration, and $50 fee.</x:v>
      </x:c>
      <x:c r="H2129" s="17" t="str">
        <x:v>Graduate Admissions Process</x:v>
      </x:c>
      <x:c r="I2129" s="17" t="str">
        <x:v>Lehigh University Computer Science and Engineering</x:v>
      </x:c>
      <x:c r="J2129" s="17" t="str">
        <x:v>official</x:v>
      </x:c>
      <x:c r="K2129" s="17" t="str">
        <x:v>2026-09-11</x:v>
      </x:c>
      <x:c r="L2129" s="17" t="str">
        <x:v>Current recurring requirements checked 2026-09-11</x:v>
      </x:c>
      <x:c r="M2129" s="17" t="str">
        <x:v>high</x:v>
      </x:c>
      <x:c r="N2129" s="17" t="str">
        <x:v>official page checked</x:v>
      </x:c>
      <x:c r="O2129" s="17" t="str"/>
      <x:c r="P2129" s="18" t="e">
        <x:f>HYPERLINK("https://engineering.lehigh.edu/cse/academics/graduate/admissions","Open source")</x:f>
        <x:v>HYPERLINK is not implemented. linkLocation=https://engineering.lehigh.edu/cse/academics/graduate/admissions, friendlyName=Open source</x:v>
      </x:c>
    </x:row>
    <x:row r="2130" ht="46" customHeight="1">
      <x:c r="A2130" s="17" t="str">
        <x:v>stage3src:244032160ac10b64c746</x:v>
      </x:c>
      <x:c r="B2130" s="17" t="str">
        <x:v>program</x:v>
      </x:c>
      <x:c r="C2130" s="17" t="str">
        <x:v>Lehigh University</x:v>
      </x:c>
      <x:c r="D2130" s="17" t="str">
        <x:v>us:ipeds:213543:program:unclear:ipeds-discovery-signal-computer-engineering-general-cip-14-0901</x:v>
      </x:c>
      <x:c r="E2130" s="17" t="str"/>
      <x:c r="F2130" s="17" t="str">
        <x:v>discovery</x:v>
      </x:c>
      <x:c r="G2130" s="17" t="str">
        <x:v>Stage 2 recorded this row as a discovery candidate; it does not independently verify an exact current research program, eligibility, or funding.</x:v>
      </x:c>
      <x:c r="H2130" s="17" t="str">
        <x:v>Pass 2 Stage 2 candidate funnel</x:v>
      </x:c>
      <x:c r="I2130" s="17" t="str">
        <x:v>Graduate audit pipeline</x:v>
      </x:c>
      <x:c r="J2130" s="17" t="str">
        <x:v>derived</x:v>
      </x:c>
      <x:c r="K2130" s="17" t="str">
        <x:v>2026-09-11</x:v>
      </x:c>
      <x:c r="L2130" s="17" t="str">
        <x:v>Not cycle-specific</x:v>
      </x:c>
      <x:c r="M2130" s="17" t="str">
        <x:v>low</x:v>
      </x:c>
      <x:c r="N2130" s="17" t="str">
        <x:v>Discovery evidence only</x:v>
      </x:c>
      <x:c r="O2130" s="17" t="str">
        <x:v>Use the source_record_paths field to trace the underlying discovery inputs.</x:v>
      </x:c>
      <x:c r="P2130" s="18" t="e">
        <x:f>HYPERLINK("https://www.lehigh.edu","Open source")</x:f>
        <x:v>HYPERLINK is not implemented. linkLocation=https://www.lehigh.edu, friendlyName=Open source</x:v>
      </x:c>
    </x:row>
    <x:row r="2131" ht="46" customHeight="1">
      <x:c r="A2131" s="17" t="str">
        <x:v>stage3src:bd3ae19ec6445324d2b9</x:v>
      </x:c>
      <x:c r="B2131" s="17" t="str">
        <x:v>program</x:v>
      </x:c>
      <x:c r="C2131" s="17" t="str">
        <x:v>Lehigh University</x:v>
      </x:c>
      <x:c r="D2131" s="17" t="str">
        <x:v>us:ipeds:213543:program:unclear:ipeds-discovery-signal-computer-science-cip-11-0701</x:v>
      </x:c>
      <x:c r="E2131" s="17" t="str"/>
      <x:c r="F2131" s="17" t="str">
        <x:v>discovery</x:v>
      </x:c>
      <x:c r="G2131" s="17" t="str">
        <x:v>Stage 2 recorded this row as a discovery candidate; it does not independently verify an exact current research program, eligibility, or funding.</x:v>
      </x:c>
      <x:c r="H2131" s="17" t="str">
        <x:v>Pass 2 Stage 2 candidate funnel</x:v>
      </x:c>
      <x:c r="I2131" s="17" t="str">
        <x:v>Graduate audit pipeline</x:v>
      </x:c>
      <x:c r="J2131" s="17" t="str">
        <x:v>derived</x:v>
      </x:c>
      <x:c r="K2131" s="17" t="str">
        <x:v>2026-09-11</x:v>
      </x:c>
      <x:c r="L2131" s="17" t="str">
        <x:v>Not cycle-specific</x:v>
      </x:c>
      <x:c r="M2131" s="17" t="str">
        <x:v>low</x:v>
      </x:c>
      <x:c r="N2131" s="17" t="str">
        <x:v>Discovery evidence only</x:v>
      </x:c>
      <x:c r="O2131" s="17" t="str">
        <x:v>Use the source_record_paths field to trace the underlying discovery inputs.</x:v>
      </x:c>
      <x:c r="P2131" s="18" t="e">
        <x:f>HYPERLINK("https://www.lehigh.edu","Open source")</x:f>
        <x:v>HYPERLINK is not implemented. linkLocation=https://www.lehigh.edu, friendlyName=Open source</x:v>
      </x:c>
    </x:row>
    <x:row r="2132" ht="46" customHeight="1">
      <x:c r="A2132" s="17" t="str">
        <x:v>stage3src:77e8e5014c3c3fa52da4</x:v>
      </x:c>
      <x:c r="B2132" s="17" t="str">
        <x:v>program</x:v>
      </x:c>
      <x:c r="C2132" s="17" t="str">
        <x:v>Lehigh University</x:v>
      </x:c>
      <x:c r="D2132" s="17" t="str">
        <x:v>us:ipeds:213543:program:unclear:ipeds-discovery-signal-data-science-general-cip-30-7001</x:v>
      </x:c>
      <x:c r="E2132" s="17" t="str"/>
      <x:c r="F2132" s="17" t="str">
        <x:v>discovery</x:v>
      </x:c>
      <x:c r="G2132" s="17" t="str">
        <x:v>Stage 2 recorded this row as a discovery candidate; it does not independently verify an exact current research program, eligibility, or funding.</x:v>
      </x:c>
      <x:c r="H2132" s="17" t="str">
        <x:v>Pass 2 Stage 2 candidate funnel</x:v>
      </x:c>
      <x:c r="I2132" s="17" t="str">
        <x:v>Graduate audit pipeline</x:v>
      </x:c>
      <x:c r="J2132" s="17" t="str">
        <x:v>derived</x:v>
      </x:c>
      <x:c r="K2132" s="17" t="str">
        <x:v>2026-09-11</x:v>
      </x:c>
      <x:c r="L2132" s="17" t="str">
        <x:v>Not cycle-specific</x:v>
      </x:c>
      <x:c r="M2132" s="17" t="str">
        <x:v>low</x:v>
      </x:c>
      <x:c r="N2132" s="17" t="str">
        <x:v>Discovery evidence only</x:v>
      </x:c>
      <x:c r="O2132" s="17" t="str">
        <x:v>Use the source_record_paths field to trace the underlying discovery inputs.</x:v>
      </x:c>
      <x:c r="P2132" s="18" t="e">
        <x:f>HYPERLINK("https://www.lehigh.edu","Open source")</x:f>
        <x:v>HYPERLINK is not implemented. linkLocation=https://www.lehigh.edu, friendlyName=Open source</x:v>
      </x:c>
    </x:row>
    <x:row r="2133" ht="46" customHeight="1">
      <x:c r="A2133" s="17" t="str">
        <x:v>stage3src:3c61acf9487c14340978</x:v>
      </x:c>
      <x:c r="B2133" s="17" t="str">
        <x:v>program</x:v>
      </x:c>
      <x:c r="C2133" s="17" t="str">
        <x:v>Lehigh University</x:v>
      </x:c>
      <x:c r="D2133" s="17" t="str">
        <x:v>us:ipeds:213543:program:unclear:ipeds-discovery-signal-electrical-and-electronics-engineering-cip-14-1001</x:v>
      </x:c>
      <x:c r="E2133" s="17" t="str"/>
      <x:c r="F2133" s="17" t="str">
        <x:v>discovery</x:v>
      </x:c>
      <x:c r="G2133" s="17" t="str">
        <x:v>Stage 2 recorded this row as a discovery candidate; it does not independently verify an exact current research program, eligibility, or funding.</x:v>
      </x:c>
      <x:c r="H2133" s="17" t="str">
        <x:v>Pass 2 Stage 2 candidate funnel</x:v>
      </x:c>
      <x:c r="I2133" s="17" t="str">
        <x:v>Graduate audit pipeline</x:v>
      </x:c>
      <x:c r="J2133" s="17" t="str">
        <x:v>derived</x:v>
      </x:c>
      <x:c r="K2133" s="17" t="str">
        <x:v>2026-09-11</x:v>
      </x:c>
      <x:c r="L2133" s="17" t="str">
        <x:v>Not cycle-specific</x:v>
      </x:c>
      <x:c r="M2133" s="17" t="str">
        <x:v>low</x:v>
      </x:c>
      <x:c r="N2133" s="17" t="str">
        <x:v>Discovery evidence only</x:v>
      </x:c>
      <x:c r="O2133" s="17" t="str">
        <x:v>Use the source_record_paths field to trace the underlying discovery inputs.</x:v>
      </x:c>
      <x:c r="P2133" s="18" t="e">
        <x:f>HYPERLINK("https://www.lehigh.edu","Open source")</x:f>
        <x:v>HYPERLINK is not implemented. linkLocation=https://www.lehigh.edu, friendlyName=Open source</x:v>
      </x:c>
    </x:row>
    <x:row r="2134" ht="46" customHeight="1">
      <x:c r="A2134" s="17" t="str">
        <x:v>stage3src:9b3c268dfacf60006634</x:v>
      </x:c>
      <x:c r="B2134" s="17" t="str">
        <x:v>program</x:v>
      </x:c>
      <x:c r="C2134" s="17" t="str">
        <x:v>Mercyhurst University</x:v>
      </x:c>
      <x:c r="D2134" s="17" t="str">
        <x:v>us:ipeds:213987:program:unclear:ipeds-discovery-signal-computer-and-information-systems-security-auditing-information-assurance-cip-11-1003</x:v>
      </x:c>
      <x:c r="E2134" s="17" t="str"/>
      <x:c r="F2134" s="17" t="str">
        <x:v>discovery</x:v>
      </x:c>
      <x:c r="G2134" s="17" t="str">
        <x:v>Stage 2 recorded this row as a discovery candidate; it does not independently verify an exact current research program, eligibility, or funding.</x:v>
      </x:c>
      <x:c r="H2134" s="17" t="str">
        <x:v>Pass 2 Stage 2 candidate funnel</x:v>
      </x:c>
      <x:c r="I2134" s="17" t="str">
        <x:v>Graduate audit pipeline</x:v>
      </x:c>
      <x:c r="J2134" s="17" t="str">
        <x:v>derived</x:v>
      </x:c>
      <x:c r="K2134" s="17" t="str">
        <x:v>2026-09-11</x:v>
      </x:c>
      <x:c r="L2134" s="17" t="str">
        <x:v>Not cycle-specific</x:v>
      </x:c>
      <x:c r="M2134" s="17" t="str">
        <x:v>low</x:v>
      </x:c>
      <x:c r="N2134" s="17" t="str">
        <x:v>Discovery evidence only</x:v>
      </x:c>
      <x:c r="O2134" s="17" t="str">
        <x:v>Use the source_record_paths field to trace the underlying discovery inputs.</x:v>
      </x:c>
      <x:c r="P2134" s="18" t="e">
        <x:f>HYPERLINK("https://www.mercyhurst.edu","Open source")</x:f>
        <x:v>HYPERLINK is not implemented. linkLocation=https://www.mercyhurst.edu, friendlyName=Open source</x:v>
      </x:c>
    </x:row>
    <x:row r="2135" ht="46" customHeight="1">
      <x:c r="A2135" s="17" t="str">
        <x:v>stage3src:97f91c5a66c814c6c52d</x:v>
      </x:c>
      <x:c r="B2135" s="17" t="str">
        <x:v>program</x:v>
      </x:c>
      <x:c r="C2135" s="17" t="str">
        <x:v>Moravian University</x:v>
      </x:c>
      <x:c r="D2135" s="17" t="str">
        <x:v>us:ipeds:214157:program:unclear:ipeds-discovery-signal-data-analytics-general-cip-30-7101</x:v>
      </x:c>
      <x:c r="E2135" s="17" t="str"/>
      <x:c r="F2135" s="17" t="str">
        <x:v>discovery</x:v>
      </x:c>
      <x:c r="G2135" s="17" t="str">
        <x:v>Stage 2 recorded this row as a discovery candidate; it does not independently verify an exact current research program, eligibility, or funding.</x:v>
      </x:c>
      <x:c r="H2135" s="17" t="str">
        <x:v>Pass 2 Stage 2 candidate funnel</x:v>
      </x:c>
      <x:c r="I2135" s="17" t="str">
        <x:v>Graduate audit pipeline</x:v>
      </x:c>
      <x:c r="J2135" s="17" t="str">
        <x:v>derived</x:v>
      </x:c>
      <x:c r="K2135" s="17" t="str">
        <x:v>2026-09-11</x:v>
      </x:c>
      <x:c r="L2135" s="17" t="str">
        <x:v>Not cycle-specific</x:v>
      </x:c>
      <x:c r="M2135" s="17" t="str">
        <x:v>low</x:v>
      </x:c>
      <x:c r="N2135" s="17" t="str">
        <x:v>Discovery evidence only</x:v>
      </x:c>
      <x:c r="O2135" s="17" t="str">
        <x:v>Use the source_record_paths field to trace the underlying discovery inputs.</x:v>
      </x:c>
      <x:c r="P2135" s="18" t="e">
        <x:f>HYPERLINK("https://www.moravian.edu","Open source")</x:f>
        <x:v>HYPERLINK is not implemented. linkLocation=https://www.moravian.edu, friendlyName=Open source</x:v>
      </x:c>
    </x:row>
    <x:row r="2136" ht="46" customHeight="1">
      <x:c r="A2136" s="17" t="str">
        <x:v>stage3src:ad8b7f7f48739fb136a5</x:v>
      </x:c>
      <x:c r="B2136" s="17" t="str">
        <x:v>program</x:v>
      </x:c>
      <x:c r="C2136" s="17" t="str">
        <x:v>Muhlenberg College</x:v>
      </x:c>
      <x:c r="D2136" s="17" t="str">
        <x:v>us:ipeds:214175:program:unclear:ipeds-discovery-signal-data-analytics-general-cip-30-7101</x:v>
      </x:c>
      <x:c r="E2136" s="17" t="str"/>
      <x:c r="F2136" s="17" t="str">
        <x:v>discovery</x:v>
      </x:c>
      <x:c r="G2136" s="17" t="str">
        <x:v>Stage 2 recorded this row as a discovery candidate; it does not independently verify an exact current research program, eligibility, or funding.</x:v>
      </x:c>
      <x:c r="H2136" s="17" t="str">
        <x:v>Pass 2 Stage 2 candidate funnel</x:v>
      </x:c>
      <x:c r="I2136" s="17" t="str">
        <x:v>Graduate audit pipeline</x:v>
      </x:c>
      <x:c r="J2136" s="17" t="str">
        <x:v>derived</x:v>
      </x:c>
      <x:c r="K2136" s="17" t="str">
        <x:v>2026-09-11</x:v>
      </x:c>
      <x:c r="L2136" s="17" t="str">
        <x:v>Not cycle-specific</x:v>
      </x:c>
      <x:c r="M2136" s="17" t="str">
        <x:v>low</x:v>
      </x:c>
      <x:c r="N2136" s="17" t="str">
        <x:v>Discovery evidence only</x:v>
      </x:c>
      <x:c r="O2136" s="17" t="str">
        <x:v>Use the source_record_paths field to trace the underlying discovery inputs.</x:v>
      </x:c>
      <x:c r="P2136" s="18" t="e">
        <x:f>HYPERLINK("https://www.muhlenberg.edu","Open source")</x:f>
        <x:v>HYPERLINK is not implemented. linkLocation=https://www.muhlenberg.edu, friendlyName=Open source</x:v>
      </x:c>
    </x:row>
    <x:row r="2137" ht="46" customHeight="1">
      <x:c r="A2137" s="17" t="str">
        <x:v>stage3src:252aeea187fa3ecd5c5e</x:v>
      </x:c>
      <x:c r="B2137" s="17" t="str">
        <x:v>program</x:v>
      </x:c>
      <x:c r="C2137" s="17" t="str">
        <x:v>Pennsylvania State University-Penn State Great Valley</x:v>
      </x:c>
      <x:c r="D2137" s="17" t="str">
        <x:v>us:ipeds:214607:program:unclear:ipeds-discovery-signal-computer-engineering-general-cip-14-0901</x:v>
      </x:c>
      <x:c r="E2137" s="17" t="str"/>
      <x:c r="F2137" s="17" t="str">
        <x:v>discovery</x:v>
      </x:c>
      <x:c r="G2137" s="17" t="str">
        <x:v>Stage 2 recorded this row as a discovery candidate; it does not independently verify an exact current research program, eligibility, or funding.</x:v>
      </x:c>
      <x:c r="H2137" s="17" t="str">
        <x:v>Pass 2 Stage 2 candidate funnel</x:v>
      </x:c>
      <x:c r="I2137" s="17" t="str">
        <x:v>Graduate audit pipeline</x:v>
      </x:c>
      <x:c r="J2137" s="17" t="str">
        <x:v>derived</x:v>
      </x:c>
      <x:c r="K2137" s="17" t="str">
        <x:v>2026-09-11</x:v>
      </x:c>
      <x:c r="L2137" s="17" t="str">
        <x:v>Not cycle-specific</x:v>
      </x:c>
      <x:c r="M2137" s="17" t="str">
        <x:v>low</x:v>
      </x:c>
      <x:c r="N2137" s="17" t="str">
        <x:v>Discovery evidence only</x:v>
      </x:c>
      <x:c r="O2137" s="17" t="str">
        <x:v>Use the source_record_paths field to trace the underlying discovery inputs.</x:v>
      </x:c>
      <x:c r="P2137" s="18" t="e">
        <x:f>HYPERLINK("https://greatvalley.psu.edu","Open source")</x:f>
        <x:v>HYPERLINK is not implemented. linkLocation=https://greatvalley.psu.edu, friendlyName=Open source</x:v>
      </x:c>
    </x:row>
    <x:row r="2138" ht="46" customHeight="1">
      <x:c r="A2138" s="17" t="str">
        <x:v>stage3src:97ed516ae1b2ab096b42</x:v>
      </x:c>
      <x:c r="B2138" s="17" t="str">
        <x:v>program</x:v>
      </x:c>
      <x:c r="C2138" s="17" t="str">
        <x:v>Pennsylvania State University-Penn State Great Valley</x:v>
      </x:c>
      <x:c r="D2138" s="17" t="str">
        <x:v>us:ipeds:214607:program:unclear:ipeds-discovery-signal-information-science-studies-cip-11-0401</x:v>
      </x:c>
      <x:c r="E2138" s="17" t="str"/>
      <x:c r="F2138" s="17" t="str">
        <x:v>discovery</x:v>
      </x:c>
      <x:c r="G2138" s="17" t="str">
        <x:v>Stage 2 recorded this row as a discovery candidate; it does not independently verify an exact current research program, eligibility, or funding.</x:v>
      </x:c>
      <x:c r="H2138" s="17" t="str">
        <x:v>Pass 2 Stage 2 candidate funnel</x:v>
      </x:c>
      <x:c r="I2138" s="17" t="str">
        <x:v>Graduate audit pipeline</x:v>
      </x:c>
      <x:c r="J2138" s="17" t="str">
        <x:v>derived</x:v>
      </x:c>
      <x:c r="K2138" s="17" t="str">
        <x:v>2026-09-11</x:v>
      </x:c>
      <x:c r="L2138" s="17" t="str">
        <x:v>Not cycle-specific</x:v>
      </x:c>
      <x:c r="M2138" s="17" t="str">
        <x:v>low</x:v>
      </x:c>
      <x:c r="N2138" s="17" t="str">
        <x:v>Discovery evidence only</x:v>
      </x:c>
      <x:c r="O2138" s="17" t="str">
        <x:v>Use the source_record_paths field to trace the underlying discovery inputs.</x:v>
      </x:c>
      <x:c r="P2138" s="18" t="e">
        <x:f>HYPERLINK("https://greatvalley.psu.edu","Open source")</x:f>
        <x:v>HYPERLINK is not implemented. linkLocation=https://greatvalley.psu.edu, friendlyName=Open source</x:v>
      </x:c>
    </x:row>
    <x:row r="2139" ht="46" customHeight="1">
      <x:c r="A2139" s="17" t="str">
        <x:v>stage3src:fe5666d8229fb857d562</x:v>
      </x:c>
      <x:c r="B2139" s="17" t="str">
        <x:v>program</x:v>
      </x:c>
      <x:c r="C2139" s="17" t="str">
        <x:v>Pennsylvania State University-Penn State Harrisburg</x:v>
      </x:c>
      <x:c r="D2139" s="17" t="str">
        <x:v>us:ipeds:214713:program:unclear:ipeds-discovery-signal-computer-and-information-sciences-general-cip-11-0101</x:v>
      </x:c>
      <x:c r="E2139" s="17" t="str"/>
      <x:c r="F2139" s="17" t="str">
        <x:v>discovery</x:v>
      </x:c>
      <x:c r="G2139" s="17" t="str">
        <x:v>Stage 2 recorded this row as a discovery candidate; it does not independently verify an exact current research program, eligibility, or funding.</x:v>
      </x:c>
      <x:c r="H2139" s="17" t="str">
        <x:v>Pass 2 Stage 2 candidate funnel</x:v>
      </x:c>
      <x:c r="I2139" s="17" t="str">
        <x:v>Graduate audit pipeline</x:v>
      </x:c>
      <x:c r="J2139" s="17" t="str">
        <x:v>derived</x:v>
      </x:c>
      <x:c r="K2139" s="17" t="str">
        <x:v>2026-09-11</x:v>
      </x:c>
      <x:c r="L2139" s="17" t="str">
        <x:v>Not cycle-specific</x:v>
      </x:c>
      <x:c r="M2139" s="17" t="str">
        <x:v>low</x:v>
      </x:c>
      <x:c r="N2139" s="17" t="str">
        <x:v>Discovery evidence only</x:v>
      </x:c>
      <x:c r="O2139" s="17" t="str">
        <x:v>Use the source_record_paths field to trace the underlying discovery inputs.</x:v>
      </x:c>
      <x:c r="P2139" s="18" t="e">
        <x:f>HYPERLINK("https://harrisburg.psu.edu","Open source")</x:f>
        <x:v>HYPERLINK is not implemented. linkLocation=https://harrisburg.psu.edu, friendlyName=Open source</x:v>
      </x:c>
    </x:row>
    <x:row r="2140" ht="46" customHeight="1">
      <x:c r="A2140" s="17" t="str">
        <x:v>stage3src:a09e5c16084c152aca5a</x:v>
      </x:c>
      <x:c r="B2140" s="17" t="str">
        <x:v>program</x:v>
      </x:c>
      <x:c r="C2140" s="17" t="str">
        <x:v>Pennsylvania State University-Penn State Harrisburg</x:v>
      </x:c>
      <x:c r="D2140" s="17" t="str">
        <x:v>us:ipeds:214713:program:unclear:ipeds-discovery-signal-electrical-and-electronics-engineering-cip-14-1001</x:v>
      </x:c>
      <x:c r="E2140" s="17" t="str"/>
      <x:c r="F2140" s="17" t="str">
        <x:v>discovery</x:v>
      </x:c>
      <x:c r="G2140" s="17" t="str">
        <x:v>Stage 2 recorded this row as a discovery candidate; it does not independently verify an exact current research program, eligibility, or funding.</x:v>
      </x:c>
      <x:c r="H2140" s="17" t="str">
        <x:v>Pass 2 Stage 2 candidate funnel</x:v>
      </x:c>
      <x:c r="I2140" s="17" t="str">
        <x:v>Graduate audit pipeline</x:v>
      </x:c>
      <x:c r="J2140" s="17" t="str">
        <x:v>derived</x:v>
      </x:c>
      <x:c r="K2140" s="17" t="str">
        <x:v>2026-09-11</x:v>
      </x:c>
      <x:c r="L2140" s="17" t="str">
        <x:v>Not cycle-specific</x:v>
      </x:c>
      <x:c r="M2140" s="17" t="str">
        <x:v>low</x:v>
      </x:c>
      <x:c r="N2140" s="17" t="str">
        <x:v>Discovery evidence only</x:v>
      </x:c>
      <x:c r="O2140" s="17" t="str">
        <x:v>Use the source_record_paths field to trace the underlying discovery inputs.</x:v>
      </x:c>
      <x:c r="P2140" s="18" t="e">
        <x:f>HYPERLINK("https://harrisburg.psu.edu","Open source")</x:f>
        <x:v>HYPERLINK is not implemented. linkLocation=https://harrisburg.psu.edu, friendlyName=Open source</x:v>
      </x:c>
    </x:row>
    <x:row r="2141" ht="46" customHeight="1">
      <x:c r="A2141" s="17" t="str">
        <x:v>stage3src:9aeab1ac6659d2487868</x:v>
      </x:c>
      <x:c r="B2141" s="17" t="str">
        <x:v>program</x:v>
      </x:c>
      <x:c r="C2141" s="17" t="str">
        <x:v>Pennsylvania State University-Penn State Harrisburg</x:v>
      </x:c>
      <x:c r="D2141" s="17" t="str">
        <x:v>us:ipeds:214713:program:unclear:ipeds-discovery-signal-information-science-studies-cip-11-0401</x:v>
      </x:c>
      <x:c r="E2141" s="17" t="str"/>
      <x:c r="F2141" s="17" t="str">
        <x:v>discovery</x:v>
      </x:c>
      <x:c r="G2141" s="17" t="str">
        <x:v>Stage 2 recorded this row as a discovery candidate; it does not independently verify an exact current research program, eligibility, or funding.</x:v>
      </x:c>
      <x:c r="H2141" s="17" t="str">
        <x:v>Pass 2 Stage 2 candidate funnel</x:v>
      </x:c>
      <x:c r="I2141" s="17" t="str">
        <x:v>Graduate audit pipeline</x:v>
      </x:c>
      <x:c r="J2141" s="17" t="str">
        <x:v>derived</x:v>
      </x:c>
      <x:c r="K2141" s="17" t="str">
        <x:v>2026-09-11</x:v>
      </x:c>
      <x:c r="L2141" s="17" t="str">
        <x:v>Not cycle-specific</x:v>
      </x:c>
      <x:c r="M2141" s="17" t="str">
        <x:v>low</x:v>
      </x:c>
      <x:c r="N2141" s="17" t="str">
        <x:v>Discovery evidence only</x:v>
      </x:c>
      <x:c r="O2141" s="17" t="str">
        <x:v>Use the source_record_paths field to trace the underlying discovery inputs.</x:v>
      </x:c>
      <x:c r="P2141" s="18" t="e">
        <x:f>HYPERLINK("https://harrisburg.psu.edu","Open source")</x:f>
        <x:v>HYPERLINK is not implemented. linkLocation=https://harrisburg.psu.edu, friendlyName=Open source</x:v>
      </x:c>
    </x:row>
    <x:row r="2142" ht="46" customHeight="1">
      <x:c r="A2142" s="17" t="str">
        <x:v>stage3src:031c2aacfef869b05dfa</x:v>
      </x:c>
      <x:c r="B2142" s="17" t="str">
        <x:v>program</x:v>
      </x:c>
      <x:c r="C2142" s="17" t="str">
        <x:v>Pennsylvania State University-Main Campus</x:v>
      </x:c>
      <x:c r="D2142" s="17" t="str">
        <x:v>us:ipeds:214777:program:phd:computer-science-and-engineering-phd</x:v>
      </x:c>
      <x:c r="E2142" s="17" t="str"/>
      <x:c r="F2142" s="17" t="str">
        <x:v>deadline</x:v>
      </x:c>
      <x:c r="G2142" s="17" t="str">
        <x:v>Current December 20 fall deadline without Fall 2027 label</x:v>
      </x:c>
      <x:c r="H2142" s="17" t="str">
        <x:v>EECS Graduate Deadlines</x:v>
      </x:c>
      <x:c r="I2142" s="17" t="str">
        <x:v>Pennsylvania State University-Main Campus</x:v>
      </x:c>
      <x:c r="J2142" s="17" t="str">
        <x:v>Official</x:v>
      </x:c>
      <x:c r="K2142" s="17" t="str">
        <x:v>2026-09-09</x:v>
      </x:c>
      <x:c r="L2142" s="17" t="str">
        <x:v>Current; cycle not labeled</x:v>
      </x:c>
      <x:c r="M2142" s="17" t="str">
        <x:v>High</x:v>
      </x:c>
      <x:c r="N2142" s="17" t="str">
        <x:v>Verified</x:v>
      </x:c>
      <x:c r="O2142" s="17" t="str"/>
      <x:c r="P2142" s="18" t="e">
        <x:f>HYPERLINK("https://www.eecs.psu.edu/students/graduate/EECS-graduate-deadlines.aspx","Open source")</x:f>
        <x:v>HYPERLINK is not implemented. linkLocation=https://www.eecs.psu.edu/students/graduate/EECS-graduate-deadlines.aspx, friendlyName=Open source</x:v>
      </x:c>
    </x:row>
    <x:row r="2143" ht="46" customHeight="1">
      <x:c r="A2143" s="17" t="str">
        <x:v>stage3src:ded00d2189dcef583baa</x:v>
      </x:c>
      <x:c r="B2143" s="17" t="str">
        <x:v>program</x:v>
      </x:c>
      <x:c r="C2143" s="17" t="str">
        <x:v>Pennsylvania State University-Main Campus</x:v>
      </x:c>
      <x:c r="D2143" s="17" t="str">
        <x:v>us:ipeds:214777:program:phd:computer-science-and-engineering-phd</x:v>
      </x:c>
      <x:c r="E2143" s="17" t="str"/>
      <x:c r="F2143" s="17" t="str">
        <x:v>funding</x:v>
      </x:c>
      <x:c r="G2143" s="17" t="str">
        <x:v>Competitive TA/RA benefits and non-guaranteed renewal/summer</x:v>
      </x:c>
      <x:c r="H2143" s="17" t="str">
        <x:v>Graduate Funding Opportunities</x:v>
      </x:c>
      <x:c r="I2143" s="17" t="str">
        <x:v>Pennsylvania State University-Main Campus</x:v>
      </x:c>
      <x:c r="J2143" s="17" t="str">
        <x:v>Official</x:v>
      </x:c>
      <x:c r="K2143" s="17" t="str">
        <x:v>2026-09-09</x:v>
      </x:c>
      <x:c r="L2143" s="17" t="str">
        <x:v>Current</x:v>
      </x:c>
      <x:c r="M2143" s="17" t="str">
        <x:v>High</x:v>
      </x:c>
      <x:c r="N2143" s="17" t="str">
        <x:v>Verified</x:v>
      </x:c>
      <x:c r="O2143" s="17" t="str"/>
      <x:c r="P2143" s="18" t="e">
        <x:f>HYPERLINK("https://www.eecs.psu.edu/Students/graduate/EECS-students-graduate-funding-opportunities.aspx","Open source")</x:f>
        <x:v>HYPERLINK is not implemented. linkLocation=https://www.eecs.psu.edu/Students/graduate/EECS-students-graduate-funding-opportunities.aspx, friendlyName=Open source</x:v>
      </x:c>
    </x:row>
    <x:row r="2144" ht="46" customHeight="1">
      <x:c r="A2144" s="17" t="str">
        <x:v>stage3src:df213e2a2ac721706a78</x:v>
      </x:c>
      <x:c r="B2144" s="17" t="str">
        <x:v>program</x:v>
      </x:c>
      <x:c r="C2144" s="17" t="str">
        <x:v>Pennsylvania State University-Main Campus</x:v>
      </x:c>
      <x:c r="D2144" s="17" t="str">
        <x:v>us:ipeds:214777:program:phd:computer-science-and-engineering-phd</x:v>
      </x:c>
      <x:c r="E2144" s="17" t="str"/>
      <x:c r="F2144" s="17" t="str">
        <x:v>program</x:v>
      </x:c>
      <x:c r="G2144" s="17" t="str">
        <x:v>Active CSE PhD</x:v>
      </x:c>
      <x:c r="H2144" s="17" t="str">
        <x:v>Graduate Degree Programs — CSE</x:v>
      </x:c>
      <x:c r="I2144" s="17" t="str">
        <x:v>Pennsylvania State University-Main Campus</x:v>
      </x:c>
      <x:c r="J2144" s="17" t="str">
        <x:v>Official</x:v>
      </x:c>
      <x:c r="K2144" s="17" t="str">
        <x:v>2026-09-09</x:v>
      </x:c>
      <x:c r="L2144" s="17" t="str">
        <x:v>Current</x:v>
      </x:c>
      <x:c r="M2144" s="17" t="str">
        <x:v>High</x:v>
      </x:c>
      <x:c r="N2144" s="17" t="str">
        <x:v>Verified</x:v>
      </x:c>
      <x:c r="O2144" s="17" t="str"/>
      <x:c r="P2144" s="18" t="e">
        <x:f>HYPERLINK("https://www.eecs.psu.edu/students/graduate/Graduate-Degree-Programs-CSE.aspx","Open source")</x:f>
        <x:v>HYPERLINK is not implemented. linkLocation=https://www.eecs.psu.edu/students/graduate/Graduate-Degree-Programs-CSE.aspx, friendlyName=Open source</x:v>
      </x:c>
    </x:row>
    <x:row r="2145" ht="46" customHeight="1">
      <x:c r="A2145" s="17" t="str">
        <x:v>stage3src:f40059d3d427d39bec88</x:v>
      </x:c>
      <x:c r="B2145" s="17" t="str">
        <x:v>program</x:v>
      </x:c>
      <x:c r="C2145" s="17" t="str">
        <x:v>Pennsylvania State University-Main Campus</x:v>
      </x:c>
      <x:c r="D2145" s="17" t="str">
        <x:v>us:ipeds:214777:program:phd:computer-science-and-engineering-phd</x:v>
      </x:c>
      <x:c r="E2145" s="17" t="str"/>
      <x:c r="F2145" s="17" t="str">
        <x:v>fees|eligibility|admissions|program</x:v>
      </x:c>
      <x:c r="G2145" s="17" t="str">
        <x:v>International degree eligibility, $65/$85 fee, and one-application rule</x:v>
      </x:c>
      <x:c r="H2145" s="17" t="str">
        <x:v>Prepare to Apply — Nigeria</x:v>
      </x:c>
      <x:c r="I2145" s="17" t="str">
        <x:v>Pennsylvania State University-Main Campus</x:v>
      </x:c>
      <x:c r="J2145" s="17" t="str">
        <x:v>Official</x:v>
      </x:c>
      <x:c r="K2145" s="17" t="str">
        <x:v>2026-09-09</x:v>
      </x:c>
      <x:c r="L2145" s="17" t="str">
        <x:v>Current</x:v>
      </x:c>
      <x:c r="M2145" s="17" t="str">
        <x:v>High</x:v>
      </x:c>
      <x:c r="N2145" s="17" t="str">
        <x:v>Verified</x:v>
      </x:c>
      <x:c r="O2145" s="17" t="str"/>
      <x:c r="P2145" s="18" t="e">
        <x:f>HYPERLINK("https://gradschool.psu.edu/admissions/prepare-to-apply?country=NGA","Open source")</x:f>
        <x:v>HYPERLINK is not implemented. linkLocation=https://gradschool.psu.edu/admissions/prepare-to-apply?country=NGA, friendlyName=Open source</x:v>
      </x:c>
    </x:row>
    <x:row r="2146" ht="46" customHeight="1">
      <x:c r="A2146" s="17" t="str">
        <x:v>stage3src:e2d1cfd1b0f203e8f66a</x:v>
      </x:c>
      <x:c r="B2146" s="17" t="str">
        <x:v>program</x:v>
      </x:c>
      <x:c r="C2146" s="17" t="str">
        <x:v>Pennsylvania State University-Main Campus</x:v>
      </x:c>
      <x:c r="D2146" s="17" t="str">
        <x:v>us:ipeds:214777:program:phd:ph-d-in-computer-science-and-engineering</x:v>
      </x:c>
      <x:c r="E2146" s="17" t="str"/>
      <x:c r="F2146" s="17" t="str">
        <x:v>program</x:v>
      </x:c>
      <x:c r="G2146" s="17" t="str">
        <x:v>Official graduate-degree page lists an active Computer Science and Engineering Ph.D. with a required research experience.</x:v>
      </x:c>
      <x:c r="H2146" s="17" t="str">
        <x:v>Ph.D. in Computer Science and Engineering</x:v>
      </x:c>
      <x:c r="I2146" s="17" t="str">
        <x:v>Pennsylvania State University-Main Campus</x:v>
      </x:c>
      <x:c r="J2146" s="17" t="str">
        <x:v>official</x:v>
      </x:c>
      <x:c r="K2146" s="17" t="str">
        <x:v>2026-09-09</x:v>
      </x:c>
      <x:c r="L2146" s="17" t="str">
        <x:v>Current page; Fall 2027 cycle not verified</x:v>
      </x:c>
      <x:c r="M2146" s="17" t="str">
        <x:v>high for page content; medium for future availability</x:v>
      </x:c>
      <x:c r="N2146" s="17" t="str">
        <x:v>opened official page</x:v>
      </x:c>
      <x:c r="O2146" s="17" t="str">
        <x:v>No inference about faculty recruiting or funding was made.</x:v>
      </x:c>
      <x:c r="P2146" s="18" t="e">
        <x:f>HYPERLINK("https://www.eecs.psu.edu/students/graduate/Graduate-Degree-Programs-CSE.aspx","Open source")</x:f>
        <x:v>HYPERLINK is not implemented. linkLocation=https://www.eecs.psu.edu/students/graduate/Graduate-Degree-Programs-CSE.aspx, friendlyName=Open source</x:v>
      </x:c>
    </x:row>
    <x:row r="2147" ht="46" customHeight="1">
      <x:c r="A2147" s="17" t="str">
        <x:v>stage3src:35c20035de314d3ff9b2</x:v>
      </x:c>
      <x:c r="B2147" s="17" t="str">
        <x:v>program</x:v>
      </x:c>
      <x:c r="C2147" s="17" t="str">
        <x:v>Pennsylvania State University-Main Campus</x:v>
      </x:c>
      <x:c r="D2147" s="17" t="str">
        <x:v>us:ipeds:214777:program:unclear:ipeds-discovery-signal-computer-and-information-systems-security-auditing-information-assurance-cip-11-1003</x:v>
      </x:c>
      <x:c r="E2147" s="17" t="str"/>
      <x:c r="F2147" s="17" t="str">
        <x:v>discovery</x:v>
      </x:c>
      <x:c r="G2147" s="17" t="str">
        <x:v>Stage 2 recorded this row as a discovery candidate; it does not independently verify an exact current research program, eligibility, or funding.</x:v>
      </x:c>
      <x:c r="H2147" s="17" t="str">
        <x:v>Pass 2 Stage 2 candidate funnel</x:v>
      </x:c>
      <x:c r="I2147" s="17" t="str">
        <x:v>Graduate audit pipeline</x:v>
      </x:c>
      <x:c r="J2147" s="17" t="str">
        <x:v>derived</x:v>
      </x:c>
      <x:c r="K2147" s="17" t="str">
        <x:v>2026-09-11</x:v>
      </x:c>
      <x:c r="L2147" s="17" t="str">
        <x:v>Not cycle-specific</x:v>
      </x:c>
      <x:c r="M2147" s="17" t="str">
        <x:v>low</x:v>
      </x:c>
      <x:c r="N2147" s="17" t="str">
        <x:v>Discovery evidence only</x:v>
      </x:c>
      <x:c r="O2147" s="17" t="str">
        <x:v>Use the source_record_paths field to trace the underlying discovery inputs.</x:v>
      </x:c>
      <x:c r="P2147" s="18" t="e">
        <x:f>HYPERLINK("https://www.psu.edu","Open source")</x:f>
        <x:v>HYPERLINK is not implemented. linkLocation=https://www.psu.edu, friendlyName=Open source</x:v>
      </x:c>
    </x:row>
    <x:row r="2148" ht="46" customHeight="1">
      <x:c r="A2148" s="17" t="str">
        <x:v>stage3src:49ac3f5b9e530ef1c7d5</x:v>
      </x:c>
      <x:c r="B2148" s="17" t="str">
        <x:v>program</x:v>
      </x:c>
      <x:c r="C2148" s="17" t="str">
        <x:v>Pennsylvania State University-Main Campus</x:v>
      </x:c>
      <x:c r="D2148" s="17" t="str">
        <x:v>us:ipeds:214777:program:unclear:ipeds-discovery-signal-computer-science-cip-11-0701</x:v>
      </x:c>
      <x:c r="E2148" s="17" t="str"/>
      <x:c r="F2148" s="17" t="str">
        <x:v>discovery</x:v>
      </x:c>
      <x:c r="G2148" s="17" t="str">
        <x:v>Stage 2 recorded this row as a discovery candidate; it does not independently verify an exact current research program, eligibility, or funding.</x:v>
      </x:c>
      <x:c r="H2148" s="17" t="str">
        <x:v>Pass 2 Stage 2 candidate funnel</x:v>
      </x:c>
      <x:c r="I2148" s="17" t="str">
        <x:v>Graduate audit pipeline</x:v>
      </x:c>
      <x:c r="J2148" s="17" t="str">
        <x:v>derived</x:v>
      </x:c>
      <x:c r="K2148" s="17" t="str">
        <x:v>2026-09-11</x:v>
      </x:c>
      <x:c r="L2148" s="17" t="str">
        <x:v>Not cycle-specific</x:v>
      </x:c>
      <x:c r="M2148" s="17" t="str">
        <x:v>low</x:v>
      </x:c>
      <x:c r="N2148" s="17" t="str">
        <x:v>Discovery evidence only</x:v>
      </x:c>
      <x:c r="O2148" s="17" t="str">
        <x:v>Use the source_record_paths field to trace the underlying discovery inputs.</x:v>
      </x:c>
      <x:c r="P2148" s="18" t="e">
        <x:f>HYPERLINK("https://www.psu.edu","Open source")</x:f>
        <x:v>HYPERLINK is not implemented. linkLocation=https://www.psu.edu, friendlyName=Open source</x:v>
      </x:c>
    </x:row>
    <x:row r="2149" ht="46" customHeight="1">
      <x:c r="A2149" s="17" t="str">
        <x:v>stage3src:d257d166e6408e100c31</x:v>
      </x:c>
      <x:c r="B2149" s="17" t="str">
        <x:v>program</x:v>
      </x:c>
      <x:c r="C2149" s="17" t="str">
        <x:v>Pennsylvania State University-Main Campus</x:v>
      </x:c>
      <x:c r="D2149" s="17" t="str">
        <x:v>us:ipeds:214777:program:unclear:ipeds-discovery-signal-electrical-and-electronics-engineering-cip-14-1001</x:v>
      </x:c>
      <x:c r="E2149" s="17" t="str"/>
      <x:c r="F2149" s="17" t="str">
        <x:v>discovery</x:v>
      </x:c>
      <x:c r="G2149" s="17" t="str">
        <x:v>Stage 2 recorded this row as a discovery candidate; it does not independently verify an exact current research program, eligibility, or funding.</x:v>
      </x:c>
      <x:c r="H2149" s="17" t="str">
        <x:v>Pass 2 Stage 2 candidate funnel</x:v>
      </x:c>
      <x:c r="I2149" s="17" t="str">
        <x:v>Graduate audit pipeline</x:v>
      </x:c>
      <x:c r="J2149" s="17" t="str">
        <x:v>derived</x:v>
      </x:c>
      <x:c r="K2149" s="17" t="str">
        <x:v>2026-09-11</x:v>
      </x:c>
      <x:c r="L2149" s="17" t="str">
        <x:v>Not cycle-specific</x:v>
      </x:c>
      <x:c r="M2149" s="17" t="str">
        <x:v>low</x:v>
      </x:c>
      <x:c r="N2149" s="17" t="str">
        <x:v>Discovery evidence only</x:v>
      </x:c>
      <x:c r="O2149" s="17" t="str">
        <x:v>Use the source_record_paths field to trace the underlying discovery inputs.</x:v>
      </x:c>
      <x:c r="P2149" s="18" t="e">
        <x:f>HYPERLINK("https://www.psu.edu","Open source")</x:f>
        <x:v>HYPERLINK is not implemented. linkLocation=https://www.psu.edu, friendlyName=Open source</x:v>
      </x:c>
    </x:row>
    <x:row r="2150" ht="46" customHeight="1">
      <x:c r="A2150" s="17" t="str">
        <x:v>stage3src:0f210ecdd8f36ebeb3b5</x:v>
      </x:c>
      <x:c r="B2150" s="17" t="str">
        <x:v>program</x:v>
      </x:c>
      <x:c r="C2150" s="17" t="str">
        <x:v>Pennsylvania State University-Main Campus</x:v>
      </x:c>
      <x:c r="D2150" s="17" t="str">
        <x:v>us:ipeds:214777:program:unclear:ipeds-discovery-signal-informatics-cip-11-0104</x:v>
      </x:c>
      <x:c r="E2150" s="17" t="str"/>
      <x:c r="F2150" s="17" t="str">
        <x:v>discovery</x:v>
      </x:c>
      <x:c r="G2150" s="17" t="str">
        <x:v>Stage 2 recorded this row as a discovery candidate; it does not independently verify an exact current research program, eligibility, or funding.</x:v>
      </x:c>
      <x:c r="H2150" s="17" t="str">
        <x:v>Pass 2 Stage 2 candidate funnel</x:v>
      </x:c>
      <x:c r="I2150" s="17" t="str">
        <x:v>Graduate audit pipeline</x:v>
      </x:c>
      <x:c r="J2150" s="17" t="str">
        <x:v>derived</x:v>
      </x:c>
      <x:c r="K2150" s="17" t="str">
        <x:v>2026-09-11</x:v>
      </x:c>
      <x:c r="L2150" s="17" t="str">
        <x:v>Not cycle-specific</x:v>
      </x:c>
      <x:c r="M2150" s="17" t="str">
        <x:v>low</x:v>
      </x:c>
      <x:c r="N2150" s="17" t="str">
        <x:v>Discovery evidence only</x:v>
      </x:c>
      <x:c r="O2150" s="17" t="str">
        <x:v>Use the source_record_paths field to trace the underlying discovery inputs.</x:v>
      </x:c>
      <x:c r="P2150" s="18" t="e">
        <x:f>HYPERLINK("https://www.psu.edu","Open source")</x:f>
        <x:v>HYPERLINK is not implemented. linkLocation=https://www.psu.edu, friendlyName=Open source</x:v>
      </x:c>
    </x:row>
    <x:row r="2151" ht="46" customHeight="1">
      <x:c r="A2151" s="17" t="str">
        <x:v>stage3src:94fbeefce90ea2a723d0</x:v>
      </x:c>
      <x:c r="B2151" s="17" t="str">
        <x:v>program</x:v>
      </x:c>
      <x:c r="C2151" s="17" t="str">
        <x:v>Pennsylvania State University-Main Campus</x:v>
      </x:c>
      <x:c r="D2151" s="17" t="str">
        <x:v>us:ipeds:214777:program:unclear:ipeds-discovery-signal-information-science-studies-cip-11-0401</x:v>
      </x:c>
      <x:c r="E2151" s="17" t="str"/>
      <x:c r="F2151" s="17" t="str">
        <x:v>discovery</x:v>
      </x:c>
      <x:c r="G2151" s="17" t="str">
        <x:v>Stage 2 recorded this row as a discovery candidate; it does not independently verify an exact current research program, eligibility, or funding.</x:v>
      </x:c>
      <x:c r="H2151" s="17" t="str">
        <x:v>Pass 2 Stage 2 candidate funnel</x:v>
      </x:c>
      <x:c r="I2151" s="17" t="str">
        <x:v>Graduate audit pipeline</x:v>
      </x:c>
      <x:c r="J2151" s="17" t="str">
        <x:v>derived</x:v>
      </x:c>
      <x:c r="K2151" s="17" t="str">
        <x:v>2026-09-11</x:v>
      </x:c>
      <x:c r="L2151" s="17" t="str">
        <x:v>Not cycle-specific</x:v>
      </x:c>
      <x:c r="M2151" s="17" t="str">
        <x:v>low</x:v>
      </x:c>
      <x:c r="N2151" s="17" t="str">
        <x:v>Discovery evidence only</x:v>
      </x:c>
      <x:c r="O2151" s="17" t="str">
        <x:v>Use the source_record_paths field to trace the underlying discovery inputs.</x:v>
      </x:c>
      <x:c r="P2151" s="18" t="e">
        <x:f>HYPERLINK("https://www.psu.edu","Open source")</x:f>
        <x:v>HYPERLINK is not implemented. linkLocation=https://www.psu.edu, friendlyName=Open source</x:v>
      </x:c>
    </x:row>
    <x:row r="2152" ht="46" customHeight="1">
      <x:c r="A2152" s="17" t="str">
        <x:v>stage3src:a1740c4b791ad2c4e480</x:v>
      </x:c>
      <x:c r="B2152" s="17" t="str">
        <x:v>program</x:v>
      </x:c>
      <x:c r="C2152" s="17" t="str">
        <x:v>University of Pennsylvania</x:v>
      </x:c>
      <x:c r="D2152" s="17" t="str">
        <x:v>us:ipeds:215062:program:unclear:ipeds-discovery-signal-artificial-intelligence-cip-11-0102</x:v>
      </x:c>
      <x:c r="E2152" s="17" t="str"/>
      <x:c r="F2152" s="17" t="str">
        <x:v>discovery</x:v>
      </x:c>
      <x:c r="G2152" s="17" t="str">
        <x:v>Stage 2 recorded this row as a discovery candidate; it does not independently verify an exact current research program, eligibility, or funding.</x:v>
      </x:c>
      <x:c r="H2152" s="17" t="str">
        <x:v>Pass 2 Stage 2 candidate funnel</x:v>
      </x:c>
      <x:c r="I2152" s="17" t="str">
        <x:v>Graduate audit pipeline</x:v>
      </x:c>
      <x:c r="J2152" s="17" t="str">
        <x:v>derived</x:v>
      </x:c>
      <x:c r="K2152" s="17" t="str">
        <x:v>2026-09-11</x:v>
      </x:c>
      <x:c r="L2152" s="17" t="str">
        <x:v>Not cycle-specific</x:v>
      </x:c>
      <x:c r="M2152" s="17" t="str">
        <x:v>low</x:v>
      </x:c>
      <x:c r="N2152" s="17" t="str">
        <x:v>Discovery evidence only</x:v>
      </x:c>
      <x:c r="O2152" s="17" t="str">
        <x:v>Use the source_record_paths field to trace the underlying discovery inputs.</x:v>
      </x:c>
      <x:c r="P2152" s="18" t="e">
        <x:f>HYPERLINK("https://www.upenn.edu","Open source")</x:f>
        <x:v>HYPERLINK is not implemented. linkLocation=https://www.upenn.edu, friendlyName=Open source</x:v>
      </x:c>
    </x:row>
    <x:row r="2153" ht="46" customHeight="1">
      <x:c r="A2153" s="17" t="str">
        <x:v>stage3src:c8c98f4fa24600be9a68</x:v>
      </x:c>
      <x:c r="B2153" s="17" t="str">
        <x:v>program</x:v>
      </x:c>
      <x:c r="C2153" s="17" t="str">
        <x:v>University of Pennsylvania</x:v>
      </x:c>
      <x:c r="D2153" s="17" t="str">
        <x:v>us:ipeds:215062:program:unclear:ipeds-discovery-signal-computer-and-information-sciences-general-cip-11-0101</x:v>
      </x:c>
      <x:c r="E2153" s="17" t="str"/>
      <x:c r="F2153" s="17" t="str">
        <x:v>discovery</x:v>
      </x:c>
      <x:c r="G2153" s="17" t="str">
        <x:v>Stage 2 recorded this row as a discovery candidate; it does not independently verify an exact current research program, eligibility, or funding.</x:v>
      </x:c>
      <x:c r="H2153" s="17" t="str">
        <x:v>Pass 2 Stage 2 candidate funnel</x:v>
      </x:c>
      <x:c r="I2153" s="17" t="str">
        <x:v>Graduate audit pipeline</x:v>
      </x:c>
      <x:c r="J2153" s="17" t="str">
        <x:v>derived</x:v>
      </x:c>
      <x:c r="K2153" s="17" t="str">
        <x:v>2026-09-11</x:v>
      </x:c>
      <x:c r="L2153" s="17" t="str">
        <x:v>Not cycle-specific</x:v>
      </x:c>
      <x:c r="M2153" s="17" t="str">
        <x:v>low</x:v>
      </x:c>
      <x:c r="N2153" s="17" t="str">
        <x:v>Discovery evidence only</x:v>
      </x:c>
      <x:c r="O2153" s="17" t="str">
        <x:v>Use the source_record_paths field to trace the underlying discovery inputs.</x:v>
      </x:c>
      <x:c r="P2153" s="18" t="e">
        <x:f>HYPERLINK("https://www.upenn.edu","Open source")</x:f>
        <x:v>HYPERLINK is not implemented. linkLocation=https://www.upenn.edu, friendlyName=Open source</x:v>
      </x:c>
    </x:row>
    <x:row r="2154" ht="46" customHeight="1">
      <x:c r="A2154" s="17" t="str">
        <x:v>stage3src:1d4d4b4806f355b639a6</x:v>
      </x:c>
      <x:c r="B2154" s="17" t="str">
        <x:v>program</x:v>
      </x:c>
      <x:c r="C2154" s="17" t="str">
        <x:v>University of Pennsylvania</x:v>
      </x:c>
      <x:c r="D2154" s="17" t="str">
        <x:v>us:ipeds:215062:program:unclear:ipeds-discovery-signal-computer-science-cip-11-0701</x:v>
      </x:c>
      <x:c r="E2154" s="17" t="str"/>
      <x:c r="F2154" s="17" t="str">
        <x:v>discovery</x:v>
      </x:c>
      <x:c r="G2154" s="17" t="str">
        <x:v>Stage 2 recorded this row as a discovery candidate; it does not independently verify an exact current research program, eligibility, or funding.</x:v>
      </x:c>
      <x:c r="H2154" s="17" t="str">
        <x:v>Pass 2 Stage 2 candidate funnel</x:v>
      </x:c>
      <x:c r="I2154" s="17" t="str">
        <x:v>Graduate audit pipeline</x:v>
      </x:c>
      <x:c r="J2154" s="17" t="str">
        <x:v>derived</x:v>
      </x:c>
      <x:c r="K2154" s="17" t="str">
        <x:v>2026-09-11</x:v>
      </x:c>
      <x:c r="L2154" s="17" t="str">
        <x:v>Not cycle-specific</x:v>
      </x:c>
      <x:c r="M2154" s="17" t="str">
        <x:v>low</x:v>
      </x:c>
      <x:c r="N2154" s="17" t="str">
        <x:v>Discovery evidence only</x:v>
      </x:c>
      <x:c r="O2154" s="17" t="str">
        <x:v>Use the source_record_paths field to trace the underlying discovery inputs.</x:v>
      </x:c>
      <x:c r="P2154" s="18" t="e">
        <x:f>HYPERLINK("https://www.upenn.edu","Open source")</x:f>
        <x:v>HYPERLINK is not implemented. linkLocation=https://www.upenn.edu, friendlyName=Open source</x:v>
      </x:c>
    </x:row>
    <x:row r="2155" ht="46" customHeight="1">
      <x:c r="A2155" s="17" t="str">
        <x:v>stage3src:58d2974d2a430477587e</x:v>
      </x:c>
      <x:c r="B2155" s="17" t="str">
        <x:v>program</x:v>
      </x:c>
      <x:c r="C2155" s="17" t="str">
        <x:v>University of Pennsylvania</x:v>
      </x:c>
      <x:c r="D2155" s="17" t="str">
        <x:v>us:ipeds:215062:program:unclear:ipeds-discovery-signal-electrical-and-electronics-engineering-cip-14-1001</x:v>
      </x:c>
      <x:c r="E2155" s="17" t="str"/>
      <x:c r="F2155" s="17" t="str">
        <x:v>discovery</x:v>
      </x:c>
      <x:c r="G2155" s="17" t="str">
        <x:v>Stage 2 recorded this row as a discovery candidate; it does not independently verify an exact current research program, eligibility, or funding.</x:v>
      </x:c>
      <x:c r="H2155" s="17" t="str">
        <x:v>Pass 2 Stage 2 candidate funnel</x:v>
      </x:c>
      <x:c r="I2155" s="17" t="str">
        <x:v>Graduate audit pipeline</x:v>
      </x:c>
      <x:c r="J2155" s="17" t="str">
        <x:v>derived</x:v>
      </x:c>
      <x:c r="K2155" s="17" t="str">
        <x:v>2026-09-11</x:v>
      </x:c>
      <x:c r="L2155" s="17" t="str">
        <x:v>Not cycle-specific</x:v>
      </x:c>
      <x:c r="M2155" s="17" t="str">
        <x:v>low</x:v>
      </x:c>
      <x:c r="N2155" s="17" t="str">
        <x:v>Discovery evidence only</x:v>
      </x:c>
      <x:c r="O2155" s="17" t="str">
        <x:v>Use the source_record_paths field to trace the underlying discovery inputs.</x:v>
      </x:c>
      <x:c r="P2155" s="18" t="e">
        <x:f>HYPERLINK("https://www.upenn.edu","Open source")</x:f>
        <x:v>HYPERLINK is not implemented. linkLocation=https://www.upenn.edu, friendlyName=Open source</x:v>
      </x:c>
    </x:row>
    <x:row r="2156" ht="46" customHeight="1">
      <x:c r="A2156" s="17" t="str">
        <x:v>stage3src:042b42b2a5b7249c2247</x:v>
      </x:c>
      <x:c r="B2156" s="17" t="str">
        <x:v>program</x:v>
      </x:c>
      <x:c r="C2156" s="17" t="str">
        <x:v>University of Pittsburgh-Pittsburgh Campus</x:v>
      </x:c>
      <x:c r="D2156" s="17" t="str">
        <x:v>us:ipeds:215293:program:phd:phd-in-computer-science</x:v>
      </x:c>
      <x:c r="E2156" s="17" t="str"/>
      <x:c r="F2156" s="17" t="str">
        <x:v>admissions|eligibility|language|fees|funding|tuition</x:v>
      </x:c>
      <x:c r="G2156" s="17" t="str">
        <x:v>USD 85 fee, limited waivers, U.S.-bachelor English waiver, multiple-application mechanics, and non-universal doctoral assistance.</x:v>
      </x:c>
      <x:c r="H2156" s="17" t="str">
        <x:v>Graduate Admissions FAQs</x:v>
      </x:c>
      <x:c r="I2156" s="17" t="str">
        <x:v>University of Pittsburgh School of Computing and Information</x:v>
      </x:c>
      <x:c r="J2156" s="17" t="str">
        <x:v>official</x:v>
      </x:c>
      <x:c r="K2156" s="17" t="str">
        <x:v>2026-09-11</x:v>
      </x:c>
      <x:c r="L2156" s="17" t="str">
        <x:v>Current guidance checked 2026-09-11</x:v>
      </x:c>
      <x:c r="M2156" s="17" t="str">
        <x:v>high</x:v>
      </x:c>
      <x:c r="N2156" s="17" t="str">
        <x:v>official page checked</x:v>
      </x:c>
      <x:c r="O2156" s="17" t="str"/>
      <x:c r="P2156" s="18" t="e">
        <x:f>HYPERLINK("https://www.sci.pitt.edu/admissions/graduate-admissions-faqs","Open source")</x:f>
        <x:v>HYPERLINK is not implemented. linkLocation=https://www.sci.pitt.edu/admissions/graduate-admissions-faqs, friendlyName=Open source</x:v>
      </x:c>
    </x:row>
    <x:row r="2157" ht="46" customHeight="1">
      <x:c r="A2157" s="17" t="str">
        <x:v>stage3src:3bcab51c42f2e821ee40</x:v>
      </x:c>
      <x:c r="B2157" s="17" t="str">
        <x:v>program</x:v>
      </x:c>
      <x:c r="C2157" s="17" t="str">
        <x:v>University of Pittsburgh-Pittsburgh Campus</x:v>
      </x:c>
      <x:c r="D2157" s="17" t="str">
        <x:v>us:ipeds:215293:program:phd:phd-in-computer-science</x:v>
      </x:c>
      <x:c r="E2157" s="17" t="str"/>
      <x:c r="F2157" s="17" t="str">
        <x:v>admissions|deadline</x:v>
      </x:c>
      <x:c r="G2157" s="17" t="str">
        <x:v>Recurring January 15 fall deadline for Computer Science PhD applicants.</x:v>
      </x:c>
      <x:c r="H2157" s="17" t="str">
        <x:v>Graduate Admissions Deadlines</x:v>
      </x:c>
      <x:c r="I2157" s="17" t="str">
        <x:v>University of Pittsburgh School of Computing and Information</x:v>
      </x:c>
      <x:c r="J2157" s="17" t="str">
        <x:v>official</x:v>
      </x:c>
      <x:c r="K2157" s="17" t="str">
        <x:v>2026-09-11</x:v>
      </x:c>
      <x:c r="L2157" s="17" t="str">
        <x:v>Current recurring deadline checked 2026-09-11</x:v>
      </x:c>
      <x:c r="M2157" s="17" t="str">
        <x:v>high</x:v>
      </x:c>
      <x:c r="N2157" s="17" t="str">
        <x:v>official page checked</x:v>
      </x:c>
      <x:c r="O2157" s="17" t="str"/>
      <x:c r="P2157" s="18" t="e">
        <x:f>HYPERLINK("https://www.sci.pitt.edu/graduate-admissions-deadlines","Open source")</x:f>
        <x:v>HYPERLINK is not implemented. linkLocation=https://www.sci.pitt.edu/graduate-admissions-deadlines, friendlyName=Open source</x:v>
      </x:c>
    </x:row>
    <x:row r="2158" ht="46" customHeight="1">
      <x:c r="A2158" s="17" t="str">
        <x:v>stage3src:6591b15cd123d035950e</x:v>
      </x:c>
      <x:c r="B2158" s="17" t="str">
        <x:v>program</x:v>
      </x:c>
      <x:c r="C2158" s="17" t="str">
        <x:v>University of Pittsburgh-Pittsburgh Campus</x:v>
      </x:c>
      <x:c r="D2158" s="17" t="str">
        <x:v>us:ipeds:215293:program:phd:phd-in-computer-science</x:v>
      </x:c>
      <x:c r="E2158" s="17" t="str"/>
      <x:c r="F2158" s="17" t="str">
        <x:v>program|research|eligibility|funding</x:v>
      </x:c>
      <x:c r="G2158" s="17" t="str">
        <x:v>Current CS graduate research route and the department's non-universal graduate-support description.</x:v>
      </x:c>
      <x:c r="H2158" s="17" t="str">
        <x:v>Computer Science Graduate Program</x:v>
      </x:c>
      <x:c r="I2158" s="17" t="str">
        <x:v>University of Pittsburgh</x:v>
      </x:c>
      <x:c r="J2158" s="17" t="str">
        <x:v>official</x:v>
      </x:c>
      <x:c r="K2158" s="17" t="str">
        <x:v>2026-09-11</x:v>
      </x:c>
      <x:c r="L2158" s="17" t="str">
        <x:v>Current page checked 2026-09-11</x:v>
      </x:c>
      <x:c r="M2158" s="17" t="str">
        <x:v>high</x:v>
      </x:c>
      <x:c r="N2158" s="17" t="str">
        <x:v>official page checked</x:v>
      </x:c>
      <x:c r="O2158" s="17" t="str"/>
      <x:c r="P2158" s="18" t="e">
        <x:f>HYPERLINK("https://intranet.cs.pitt.edu/grad/","Open source")</x:f>
        <x:v>HYPERLINK is not implemented. linkLocation=https://intranet.cs.pitt.edu/grad/, friendlyName=Open source</x:v>
      </x:c>
    </x:row>
    <x:row r="2159" ht="46" customHeight="1">
      <x:c r="A2159" s="17" t="str">
        <x:v>stage3src:fbfcf00758bacb5d0ecb</x:v>
      </x:c>
      <x:c r="B2159" s="17" t="str">
        <x:v>program</x:v>
      </x:c>
      <x:c r="C2159" s="17" t="str">
        <x:v>University of Pittsburgh-Pittsburgh Campus</x:v>
      </x:c>
      <x:c r="D2159" s="17" t="str">
        <x:v>us:ipeds:215293:program:unclear:ipeds-discovery-signal-artificial-intelligence-cip-11-0102</x:v>
      </x:c>
      <x:c r="E2159" s="17" t="str"/>
      <x:c r="F2159" s="17" t="str">
        <x:v>discovery</x:v>
      </x:c>
      <x:c r="G2159" s="17" t="str">
        <x:v>Stage 2 recorded this row as a discovery candidate; it does not independently verify an exact current research program, eligibility, or funding.</x:v>
      </x:c>
      <x:c r="H2159" s="17" t="str">
        <x:v>Pass 2 Stage 2 candidate funnel</x:v>
      </x:c>
      <x:c r="I2159" s="17" t="str">
        <x:v>Graduate audit pipeline</x:v>
      </x:c>
      <x:c r="J2159" s="17" t="str">
        <x:v>derived</x:v>
      </x:c>
      <x:c r="K2159" s="17" t="str">
        <x:v>2026-09-11</x:v>
      </x:c>
      <x:c r="L2159" s="17" t="str">
        <x:v>Not cycle-specific</x:v>
      </x:c>
      <x:c r="M2159" s="17" t="str">
        <x:v>low</x:v>
      </x:c>
      <x:c r="N2159" s="17" t="str">
        <x:v>Discovery evidence only</x:v>
      </x:c>
      <x:c r="O2159" s="17" t="str">
        <x:v>Use the source_record_paths field to trace the underlying discovery inputs.</x:v>
      </x:c>
      <x:c r="P2159" s="18" t="e">
        <x:f>HYPERLINK("https://www.pitt.edu","Open source")</x:f>
        <x:v>HYPERLINK is not implemented. linkLocation=https://www.pitt.edu, friendlyName=Open source</x:v>
      </x:c>
    </x:row>
    <x:row r="2160" ht="46" customHeight="1">
      <x:c r="A2160" s="17" t="str">
        <x:v>stage3src:268a6a1e2d9ce7488adb</x:v>
      </x:c>
      <x:c r="B2160" s="17" t="str">
        <x:v>program</x:v>
      </x:c>
      <x:c r="C2160" s="17" t="str">
        <x:v>University of Pittsburgh-Pittsburgh Campus</x:v>
      </x:c>
      <x:c r="D2160" s="17" t="str">
        <x:v>us:ipeds:215293:program:unclear:ipeds-discovery-signal-computer-science-cip-11-0701</x:v>
      </x:c>
      <x:c r="E2160" s="17" t="str"/>
      <x:c r="F2160" s="17" t="str">
        <x:v>discovery</x:v>
      </x:c>
      <x:c r="G2160" s="17" t="str">
        <x:v>Stage 2 recorded this row as a discovery candidate; it does not independently verify an exact current research program, eligibility, or funding.</x:v>
      </x:c>
      <x:c r="H2160" s="17" t="str">
        <x:v>Pass 2 Stage 2 candidate funnel</x:v>
      </x:c>
      <x:c r="I2160" s="17" t="str">
        <x:v>Graduate audit pipeline</x:v>
      </x:c>
      <x:c r="J2160" s="17" t="str">
        <x:v>derived</x:v>
      </x:c>
      <x:c r="K2160" s="17" t="str">
        <x:v>2026-09-11</x:v>
      </x:c>
      <x:c r="L2160" s="17" t="str">
        <x:v>Not cycle-specific</x:v>
      </x:c>
      <x:c r="M2160" s="17" t="str">
        <x:v>low</x:v>
      </x:c>
      <x:c r="N2160" s="17" t="str">
        <x:v>Discovery evidence only</x:v>
      </x:c>
      <x:c r="O2160" s="17" t="str">
        <x:v>Use the source_record_paths field to trace the underlying discovery inputs.</x:v>
      </x:c>
      <x:c r="P2160" s="18" t="e">
        <x:f>HYPERLINK("https://www.pitt.edu","Open source")</x:f>
        <x:v>HYPERLINK is not implemented. linkLocation=https://www.pitt.edu, friendlyName=Open source</x:v>
      </x:c>
    </x:row>
    <x:row r="2161" ht="46" customHeight="1">
      <x:c r="A2161" s="17" t="str">
        <x:v>stage3src:9d04e0fd60e291cd016e</x:v>
      </x:c>
      <x:c r="B2161" s="17" t="str">
        <x:v>program</x:v>
      </x:c>
      <x:c r="C2161" s="17" t="str">
        <x:v>University of Pittsburgh-Pittsburgh Campus</x:v>
      </x:c>
      <x:c r="D2161" s="17" t="str">
        <x:v>us:ipeds:215293:program:unclear:ipeds-discovery-signal-computer-systems-networking-and-telecommunications-cip-11-0901</x:v>
      </x:c>
      <x:c r="E2161" s="17" t="str"/>
      <x:c r="F2161" s="17" t="str">
        <x:v>discovery</x:v>
      </x:c>
      <x:c r="G2161" s="17" t="str">
        <x:v>Stage 2 recorded this row as a discovery candidate; it does not independently verify an exact current research program, eligibility, or funding.</x:v>
      </x:c>
      <x:c r="H2161" s="17" t="str">
        <x:v>Pass 2 Stage 2 candidate funnel</x:v>
      </x:c>
      <x:c r="I2161" s="17" t="str">
        <x:v>Graduate audit pipeline</x:v>
      </x:c>
      <x:c r="J2161" s="17" t="str">
        <x:v>derived</x:v>
      </x:c>
      <x:c r="K2161" s="17" t="str">
        <x:v>2026-09-11</x:v>
      </x:c>
      <x:c r="L2161" s="17" t="str">
        <x:v>Not cycle-specific</x:v>
      </x:c>
      <x:c r="M2161" s="17" t="str">
        <x:v>low</x:v>
      </x:c>
      <x:c r="N2161" s="17" t="str">
        <x:v>Discovery evidence only</x:v>
      </x:c>
      <x:c r="O2161" s="17" t="str">
        <x:v>Use the source_record_paths field to trace the underlying discovery inputs.</x:v>
      </x:c>
      <x:c r="P2161" s="18" t="e">
        <x:f>HYPERLINK("https://www.pitt.edu","Open source")</x:f>
        <x:v>HYPERLINK is not implemented. linkLocation=https://www.pitt.edu, friendlyName=Open source</x:v>
      </x:c>
    </x:row>
    <x:row r="2162" ht="46" customHeight="1">
      <x:c r="A2162" s="17" t="str">
        <x:v>stage3src:b3359a9c5efbebcc6700</x:v>
      </x:c>
      <x:c r="B2162" s="17" t="str">
        <x:v>program</x:v>
      </x:c>
      <x:c r="C2162" s="17" t="str">
        <x:v>University of Pittsburgh-Pittsburgh Campus</x:v>
      </x:c>
      <x:c r="D2162" s="17" t="str">
        <x:v>us:ipeds:215293:program:unclear:ipeds-discovery-signal-electrical-and-electronics-engineering-cip-14-1001</x:v>
      </x:c>
      <x:c r="E2162" s="17" t="str"/>
      <x:c r="F2162" s="17" t="str">
        <x:v>discovery</x:v>
      </x:c>
      <x:c r="G2162" s="17" t="str">
        <x:v>Stage 2 recorded this row as a discovery candidate; it does not independently verify an exact current research program, eligibility, or funding.</x:v>
      </x:c>
      <x:c r="H2162" s="17" t="str">
        <x:v>Pass 2 Stage 2 candidate funnel</x:v>
      </x:c>
      <x:c r="I2162" s="17" t="str">
        <x:v>Graduate audit pipeline</x:v>
      </x:c>
      <x:c r="J2162" s="17" t="str">
        <x:v>derived</x:v>
      </x:c>
      <x:c r="K2162" s="17" t="str">
        <x:v>2026-09-11</x:v>
      </x:c>
      <x:c r="L2162" s="17" t="str">
        <x:v>Not cycle-specific</x:v>
      </x:c>
      <x:c r="M2162" s="17" t="str">
        <x:v>low</x:v>
      </x:c>
      <x:c r="N2162" s="17" t="str">
        <x:v>Discovery evidence only</x:v>
      </x:c>
      <x:c r="O2162" s="17" t="str">
        <x:v>Use the source_record_paths field to trace the underlying discovery inputs.</x:v>
      </x:c>
      <x:c r="P2162" s="18" t="e">
        <x:f>HYPERLINK("https://www.pitt.edu","Open source")</x:f>
        <x:v>HYPERLINK is not implemented. linkLocation=https://www.pitt.edu, friendlyName=Open source</x:v>
      </x:c>
    </x:row>
    <x:row r="2163" ht="46" customHeight="1">
      <x:c r="A2163" s="17" t="str">
        <x:v>stage3src:ee89ff2e53f5a5c16378</x:v>
      </x:c>
      <x:c r="B2163" s="17" t="str">
        <x:v>program</x:v>
      </x:c>
      <x:c r="C2163" s="17" t="str">
        <x:v>University of Pittsburgh-Pittsburgh Campus</x:v>
      </x:c>
      <x:c r="D2163" s="17" t="str">
        <x:v>us:ipeds:215293:program:unclear:ipeds-discovery-signal-informatics-cip-11-0104</x:v>
      </x:c>
      <x:c r="E2163" s="17" t="str"/>
      <x:c r="F2163" s="17" t="str">
        <x:v>discovery</x:v>
      </x:c>
      <x:c r="G2163" s="17" t="str">
        <x:v>Stage 2 recorded this row as a discovery candidate; it does not independently verify an exact current research program, eligibility, or funding.</x:v>
      </x:c>
      <x:c r="H2163" s="17" t="str">
        <x:v>Pass 2 Stage 2 candidate funnel</x:v>
      </x:c>
      <x:c r="I2163" s="17" t="str">
        <x:v>Graduate audit pipeline</x:v>
      </x:c>
      <x:c r="J2163" s="17" t="str">
        <x:v>derived</x:v>
      </x:c>
      <x:c r="K2163" s="17" t="str">
        <x:v>2026-09-11</x:v>
      </x:c>
      <x:c r="L2163" s="17" t="str">
        <x:v>Not cycle-specific</x:v>
      </x:c>
      <x:c r="M2163" s="17" t="str">
        <x:v>low</x:v>
      </x:c>
      <x:c r="N2163" s="17" t="str">
        <x:v>Discovery evidence only</x:v>
      </x:c>
      <x:c r="O2163" s="17" t="str">
        <x:v>Use the source_record_paths field to trace the underlying discovery inputs.</x:v>
      </x:c>
      <x:c r="P2163" s="18" t="e">
        <x:f>HYPERLINK("https://www.pitt.edu","Open source")</x:f>
        <x:v>HYPERLINK is not implemented. linkLocation=https://www.pitt.edu, friendlyName=Open source</x:v>
      </x:c>
    </x:row>
    <x:row r="2164" ht="46" customHeight="1">
      <x:c r="A2164" s="17" t="str">
        <x:v>stage3src:7176816754bd868fb519</x:v>
      </x:c>
      <x:c r="B2164" s="17" t="str">
        <x:v>program</x:v>
      </x:c>
      <x:c r="C2164" s="17" t="str">
        <x:v>University of Pittsburgh-Pittsburgh Campus</x:v>
      </x:c>
      <x:c r="D2164" s="17" t="str">
        <x:v>us:ipeds:215293:program:unclear:ipeds-discovery-signal-information-science-studies-cip-11-0401</x:v>
      </x:c>
      <x:c r="E2164" s="17" t="str"/>
      <x:c r="F2164" s="17" t="str">
        <x:v>discovery</x:v>
      </x:c>
      <x:c r="G2164" s="17" t="str">
        <x:v>Stage 2 recorded this row as a discovery candidate; it does not independently verify an exact current research program, eligibility, or funding.</x:v>
      </x:c>
      <x:c r="H2164" s="17" t="str">
        <x:v>Pass 2 Stage 2 candidate funnel</x:v>
      </x:c>
      <x:c r="I2164" s="17" t="str">
        <x:v>Graduate audit pipeline</x:v>
      </x:c>
      <x:c r="J2164" s="17" t="str">
        <x:v>derived</x:v>
      </x:c>
      <x:c r="K2164" s="17" t="str">
        <x:v>2026-09-11</x:v>
      </x:c>
      <x:c r="L2164" s="17" t="str">
        <x:v>Not cycle-specific</x:v>
      </x:c>
      <x:c r="M2164" s="17" t="str">
        <x:v>low</x:v>
      </x:c>
      <x:c r="N2164" s="17" t="str">
        <x:v>Discovery evidence only</x:v>
      </x:c>
      <x:c r="O2164" s="17" t="str">
        <x:v>Use the source_record_paths field to trace the underlying discovery inputs.</x:v>
      </x:c>
      <x:c r="P2164" s="18" t="e">
        <x:f>HYPERLINK("https://www.pitt.edu","Open source")</x:f>
        <x:v>HYPERLINK is not implemented. linkLocation=https://www.pitt.edu, friendlyName=Open source</x:v>
      </x:c>
    </x:row>
    <x:row r="2165" ht="46" customHeight="1">
      <x:c r="A2165" s="17" t="str">
        <x:v>stage3src:699f4384b919e9bb5aa1</x:v>
      </x:c>
      <x:c r="B2165" s="17" t="str">
        <x:v>program</x:v>
      </x:c>
      <x:c r="C2165" s="17" t="str">
        <x:v>Point Park University</x:v>
      </x:c>
      <x:c r="D2165" s="17" t="str">
        <x:v>us:ipeds:215442:program:unclear:ipeds-discovery-signal-information-science-studies-cip-11-0401</x:v>
      </x:c>
      <x:c r="E2165" s="17" t="str"/>
      <x:c r="F2165" s="17" t="str">
        <x:v>discovery</x:v>
      </x:c>
      <x:c r="G2165" s="17" t="str">
        <x:v>Stage 2 recorded this row as a discovery candidate; it does not independently verify an exact current research program, eligibility, or funding.</x:v>
      </x:c>
      <x:c r="H2165" s="17" t="str">
        <x:v>Pass 2 Stage 2 candidate funnel</x:v>
      </x:c>
      <x:c r="I2165" s="17" t="str">
        <x:v>Graduate audit pipeline</x:v>
      </x:c>
      <x:c r="J2165" s="17" t="str">
        <x:v>derived</x:v>
      </x:c>
      <x:c r="K2165" s="17" t="str">
        <x:v>2026-09-11</x:v>
      </x:c>
      <x:c r="L2165" s="17" t="str">
        <x:v>Not cycle-specific</x:v>
      </x:c>
      <x:c r="M2165" s="17" t="str">
        <x:v>low</x:v>
      </x:c>
      <x:c r="N2165" s="17" t="str">
        <x:v>Discovery evidence only</x:v>
      </x:c>
      <x:c r="O2165" s="17" t="str">
        <x:v>Use the source_record_paths field to trace the underlying discovery inputs.</x:v>
      </x:c>
      <x:c r="P2165" s="18" t="e">
        <x:f>HYPERLINK("https://www.pointpark.edu","Open source")</x:f>
        <x:v>HYPERLINK is not implemented. linkLocation=https://www.pointpark.edu, friendlyName=Open source</x:v>
      </x:c>
    </x:row>
    <x:row r="2166" ht="46" customHeight="1">
      <x:c r="A2166" s="17" t="str">
        <x:v>stage3src:41cddeb32b2d5cd0ded4</x:v>
      </x:c>
      <x:c r="B2166" s="17" t="str">
        <x:v>program</x:v>
      </x:c>
      <x:c r="C2166" s="17" t="str">
        <x:v>Robert Morris University</x:v>
      </x:c>
      <x:c r="D2166" s="17" t="str">
        <x:v>us:ipeds:215655:program:unclear:ipeds-discovery-signal-computer-and-information-systems-security-auditing-information-assurance-cip-11-1003</x:v>
      </x:c>
      <x:c r="E2166" s="17" t="str"/>
      <x:c r="F2166" s="17" t="str">
        <x:v>discovery</x:v>
      </x:c>
      <x:c r="G2166" s="17" t="str">
        <x:v>Stage 2 recorded this row as a discovery candidate; it does not independently verify an exact current research program, eligibility, or funding.</x:v>
      </x:c>
      <x:c r="H2166" s="17" t="str">
        <x:v>Pass 2 Stage 2 candidate funnel</x:v>
      </x:c>
      <x:c r="I2166" s="17" t="str">
        <x:v>Graduate audit pipeline</x:v>
      </x:c>
      <x:c r="J2166" s="17" t="str">
        <x:v>derived</x:v>
      </x:c>
      <x:c r="K2166" s="17" t="str">
        <x:v>2026-09-11</x:v>
      </x:c>
      <x:c r="L2166" s="17" t="str">
        <x:v>Not cycle-specific</x:v>
      </x:c>
      <x:c r="M2166" s="17" t="str">
        <x:v>low</x:v>
      </x:c>
      <x:c r="N2166" s="17" t="str">
        <x:v>Discovery evidence only</x:v>
      </x:c>
      <x:c r="O2166" s="17" t="str">
        <x:v>Use the source_record_paths field to trace the underlying discovery inputs.</x:v>
      </x:c>
      <x:c r="P2166" s="18" t="e">
        <x:f>HYPERLINK("https://www.rmu.edu","Open source")</x:f>
        <x:v>HYPERLINK is not implemented. linkLocation=https://www.rmu.edu, friendlyName=Open source</x:v>
      </x:c>
    </x:row>
    <x:row r="2167" ht="46" customHeight="1">
      <x:c r="A2167" s="17" t="str">
        <x:v>stage3src:81090b071e3411500391</x:v>
      </x:c>
      <x:c r="B2167" s="17" t="str">
        <x:v>program</x:v>
      </x:c>
      <x:c r="C2167" s="17" t="str">
        <x:v>Robert Morris University</x:v>
      </x:c>
      <x:c r="D2167" s="17" t="str">
        <x:v>us:ipeds:215655:program:unclear:ipeds-discovery-signal-cyber-computer-forensics-and-counterterrorism-cip-43-0403</x:v>
      </x:c>
      <x:c r="E2167" s="17" t="str"/>
      <x:c r="F2167" s="17" t="str">
        <x:v>discovery</x:v>
      </x:c>
      <x:c r="G2167" s="17" t="str">
        <x:v>Stage 2 recorded this row as a discovery candidate; it does not independently verify an exact current research program, eligibility, or funding.</x:v>
      </x:c>
      <x:c r="H2167" s="17" t="str">
        <x:v>Pass 2 Stage 2 candidate funnel</x:v>
      </x:c>
      <x:c r="I2167" s="17" t="str">
        <x:v>Graduate audit pipeline</x:v>
      </x:c>
      <x:c r="J2167" s="17" t="str">
        <x:v>derived</x:v>
      </x:c>
      <x:c r="K2167" s="17" t="str">
        <x:v>2026-09-11</x:v>
      </x:c>
      <x:c r="L2167" s="17" t="str">
        <x:v>Not cycle-specific</x:v>
      </x:c>
      <x:c r="M2167" s="17" t="str">
        <x:v>low</x:v>
      </x:c>
      <x:c r="N2167" s="17" t="str">
        <x:v>Discovery evidence only</x:v>
      </x:c>
      <x:c r="O2167" s="17" t="str">
        <x:v>Use the source_record_paths field to trace the underlying discovery inputs.</x:v>
      </x:c>
      <x:c r="P2167" s="18" t="e">
        <x:f>HYPERLINK("https://www.rmu.edu","Open source")</x:f>
        <x:v>HYPERLINK is not implemented. linkLocation=https://www.rmu.edu, friendlyName=Open source</x:v>
      </x:c>
    </x:row>
    <x:row r="2168" ht="46" customHeight="1">
      <x:c r="A2168" s="17" t="str">
        <x:v>stage3src:1509bd3060d9dd21c8a0</x:v>
      </x:c>
      <x:c r="B2168" s="17" t="str">
        <x:v>program</x:v>
      </x:c>
      <x:c r="C2168" s="17" t="str">
        <x:v>Robert Morris University</x:v>
      </x:c>
      <x:c r="D2168" s="17" t="str">
        <x:v>us:ipeds:215655:program:unclear:ipeds-discovery-signal-information-science-studies-cip-11-0401</x:v>
      </x:c>
      <x:c r="E2168" s="17" t="str"/>
      <x:c r="F2168" s="17" t="str">
        <x:v>discovery</x:v>
      </x:c>
      <x:c r="G2168" s="17" t="str">
        <x:v>Stage 2 recorded this row as a discovery candidate; it does not independently verify an exact current research program, eligibility, or funding.</x:v>
      </x:c>
      <x:c r="H2168" s="17" t="str">
        <x:v>Pass 2 Stage 2 candidate funnel</x:v>
      </x:c>
      <x:c r="I2168" s="17" t="str">
        <x:v>Graduate audit pipeline</x:v>
      </x:c>
      <x:c r="J2168" s="17" t="str">
        <x:v>derived</x:v>
      </x:c>
      <x:c r="K2168" s="17" t="str">
        <x:v>2026-09-11</x:v>
      </x:c>
      <x:c r="L2168" s="17" t="str">
        <x:v>Not cycle-specific</x:v>
      </x:c>
      <x:c r="M2168" s="17" t="str">
        <x:v>low</x:v>
      </x:c>
      <x:c r="N2168" s="17" t="str">
        <x:v>Discovery evidence only</x:v>
      </x:c>
      <x:c r="O2168" s="17" t="str">
        <x:v>Use the source_record_paths field to trace the underlying discovery inputs.</x:v>
      </x:c>
      <x:c r="P2168" s="18" t="e">
        <x:f>HYPERLINK("https://www.rmu.edu","Open source")</x:f>
        <x:v>HYPERLINK is not implemented. linkLocation=https://www.rmu.edu, friendlyName=Open source</x:v>
      </x:c>
    </x:row>
    <x:row r="2169" ht="46" customHeight="1">
      <x:c r="A2169" s="17" t="str">
        <x:v>stage3src:f64e427185b305e04ffc</x:v>
      </x:c>
      <x:c r="B2169" s="17" t="str">
        <x:v>program</x:v>
      </x:c>
      <x:c r="C2169" s="17" t="str">
        <x:v>Robert Morris University</x:v>
      </x:c>
      <x:c r="D2169" s="17" t="str">
        <x:v>us:ipeds:215655:program:unclear:ipeds-discovery-signal-information-technology-cip-11-0103</x:v>
      </x:c>
      <x:c r="E2169" s="17" t="str"/>
      <x:c r="F2169" s="17" t="str">
        <x:v>discovery</x:v>
      </x:c>
      <x:c r="G2169" s="17" t="str">
        <x:v>Stage 2 recorded this row as a discovery candidate; it does not independently verify an exact current research program, eligibility, or funding.</x:v>
      </x:c>
      <x:c r="H2169" s="17" t="str">
        <x:v>Pass 2 Stage 2 candidate funnel</x:v>
      </x:c>
      <x:c r="I2169" s="17" t="str">
        <x:v>Graduate audit pipeline</x:v>
      </x:c>
      <x:c r="J2169" s="17" t="str">
        <x:v>derived</x:v>
      </x:c>
      <x:c r="K2169" s="17" t="str">
        <x:v>2026-09-11</x:v>
      </x:c>
      <x:c r="L2169" s="17" t="str">
        <x:v>Not cycle-specific</x:v>
      </x:c>
      <x:c r="M2169" s="17" t="str">
        <x:v>low</x:v>
      </x:c>
      <x:c r="N2169" s="17" t="str">
        <x:v>Discovery evidence only</x:v>
      </x:c>
      <x:c r="O2169" s="17" t="str">
        <x:v>Use the source_record_paths field to trace the underlying discovery inputs.</x:v>
      </x:c>
      <x:c r="P2169" s="18" t="e">
        <x:f>HYPERLINK("https://www.rmu.edu","Open source")</x:f>
        <x:v>HYPERLINK is not implemented. linkLocation=https://www.rmu.edu, friendlyName=Open source</x:v>
      </x:c>
    </x:row>
    <x:row r="2170" ht="46" customHeight="1">
      <x:c r="A2170" s="17" t="str">
        <x:v>stage3src:4775611627aaef28d0ea</x:v>
      </x:c>
      <x:c r="B2170" s="17" t="str">
        <x:v>program</x:v>
      </x:c>
      <x:c r="C2170" s="17" t="str">
        <x:v>Saint Joseph's University - Philadelphia</x:v>
      </x:c>
      <x:c r="D2170" s="17" t="str">
        <x:v>us:ipeds:215770:program:unclear:ipeds-discovery-signal-computer-and-information-systems-security-auditing-information-assurance-cip-11-1003</x:v>
      </x:c>
      <x:c r="E2170" s="17" t="str"/>
      <x:c r="F2170" s="17" t="str">
        <x:v>discovery</x:v>
      </x:c>
      <x:c r="G2170" s="17" t="str">
        <x:v>Stage 2 recorded this row as a discovery candidate; it does not independently verify an exact current research program, eligibility, or funding.</x:v>
      </x:c>
      <x:c r="H2170" s="17" t="str">
        <x:v>Pass 2 Stage 2 candidate funnel</x:v>
      </x:c>
      <x:c r="I2170" s="17" t="str">
        <x:v>Graduate audit pipeline</x:v>
      </x:c>
      <x:c r="J2170" s="17" t="str">
        <x:v>derived</x:v>
      </x:c>
      <x:c r="K2170" s="17" t="str">
        <x:v>2026-09-11</x:v>
      </x:c>
      <x:c r="L2170" s="17" t="str">
        <x:v>Not cycle-specific</x:v>
      </x:c>
      <x:c r="M2170" s="17" t="str">
        <x:v>low</x:v>
      </x:c>
      <x:c r="N2170" s="17" t="str">
        <x:v>Discovery evidence only</x:v>
      </x:c>
      <x:c r="O2170" s="17" t="str">
        <x:v>Use the source_record_paths field to trace the underlying discovery inputs.</x:v>
      </x:c>
      <x:c r="P2170" s="18" t="e">
        <x:f>HYPERLINK("https://www.sju.edu","Open source")</x:f>
        <x:v>HYPERLINK is not implemented. linkLocation=https://www.sju.edu, friendlyName=Open source</x:v>
      </x:c>
    </x:row>
    <x:row r="2171" ht="46" customHeight="1">
      <x:c r="A2171" s="17" t="str">
        <x:v>stage3src:6716e89ed18364a52c19</x:v>
      </x:c>
      <x:c r="B2171" s="17" t="str">
        <x:v>program</x:v>
      </x:c>
      <x:c r="C2171" s="17" t="str">
        <x:v>Saint Joseph's University - Philadelphia</x:v>
      </x:c>
      <x:c r="D2171" s="17" t="str">
        <x:v>us:ipeds:215770:program:unclear:ipeds-discovery-signal-computer-science-cip-11-0701</x:v>
      </x:c>
      <x:c r="E2171" s="17" t="str"/>
      <x:c r="F2171" s="17" t="str">
        <x:v>discovery</x:v>
      </x:c>
      <x:c r="G2171" s="17" t="str">
        <x:v>Stage 2 recorded this row as a discovery candidate; it does not independently verify an exact current research program, eligibility, or funding.</x:v>
      </x:c>
      <x:c r="H2171" s="17" t="str">
        <x:v>Pass 2 Stage 2 candidate funnel</x:v>
      </x:c>
      <x:c r="I2171" s="17" t="str">
        <x:v>Graduate audit pipeline</x:v>
      </x:c>
      <x:c r="J2171" s="17" t="str">
        <x:v>derived</x:v>
      </x:c>
      <x:c r="K2171" s="17" t="str">
        <x:v>2026-09-11</x:v>
      </x:c>
      <x:c r="L2171" s="17" t="str">
        <x:v>Not cycle-specific</x:v>
      </x:c>
      <x:c r="M2171" s="17" t="str">
        <x:v>low</x:v>
      </x:c>
      <x:c r="N2171" s="17" t="str">
        <x:v>Discovery evidence only</x:v>
      </x:c>
      <x:c r="O2171" s="17" t="str">
        <x:v>Use the source_record_paths field to trace the underlying discovery inputs.</x:v>
      </x:c>
      <x:c r="P2171" s="18" t="e">
        <x:f>HYPERLINK("https://www.sju.edu","Open source")</x:f>
        <x:v>HYPERLINK is not implemented. linkLocation=https://www.sju.edu, friendlyName=Open source</x:v>
      </x:c>
    </x:row>
    <x:row r="2172" ht="46" customHeight="1">
      <x:c r="A2172" s="17" t="str">
        <x:v>stage3src:aac3e1c3e66ae0869970</x:v>
      </x:c>
      <x:c r="B2172" s="17" t="str">
        <x:v>program</x:v>
      </x:c>
      <x:c r="C2172" s="17" t="str">
        <x:v>University of Scranton</x:v>
      </x:c>
      <x:c r="D2172" s="17" t="str">
        <x:v>us:ipeds:215929:program:unclear:ipeds-discovery-signal-computer-software-engineering-cip-14-0903</x:v>
      </x:c>
      <x:c r="E2172" s="17" t="str"/>
      <x:c r="F2172" s="17" t="str">
        <x:v>discovery</x:v>
      </x:c>
      <x:c r="G2172" s="17" t="str">
        <x:v>Stage 2 recorded this row as a discovery candidate; it does not independently verify an exact current research program, eligibility, or funding.</x:v>
      </x:c>
      <x:c r="H2172" s="17" t="str">
        <x:v>Pass 2 Stage 2 candidate funnel</x:v>
      </x:c>
      <x:c r="I2172" s="17" t="str">
        <x:v>Graduate audit pipeline</x:v>
      </x:c>
      <x:c r="J2172" s="17" t="str">
        <x:v>derived</x:v>
      </x:c>
      <x:c r="K2172" s="17" t="str">
        <x:v>2026-09-11</x:v>
      </x:c>
      <x:c r="L2172" s="17" t="str">
        <x:v>Not cycle-specific</x:v>
      </x:c>
      <x:c r="M2172" s="17" t="str">
        <x:v>low</x:v>
      </x:c>
      <x:c r="N2172" s="17" t="str">
        <x:v>Discovery evidence only</x:v>
      </x:c>
      <x:c r="O2172" s="17" t="str">
        <x:v>Use the source_record_paths field to trace the underlying discovery inputs.</x:v>
      </x:c>
      <x:c r="P2172" s="18" t="e">
        <x:f>HYPERLINK("https://www.scranton.edu","Open source")</x:f>
        <x:v>HYPERLINK is not implemented. linkLocation=https://www.scranton.edu, friendlyName=Open source</x:v>
      </x:c>
    </x:row>
    <x:row r="2173" ht="46" customHeight="1">
      <x:c r="A2173" s="17" t="str">
        <x:v>stage3src:8f468087d1d8b85f7749</x:v>
      </x:c>
      <x:c r="B2173" s="17" t="str">
        <x:v>program</x:v>
      </x:c>
      <x:c r="C2173" s="17" t="str">
        <x:v>University of Scranton</x:v>
      </x:c>
      <x:c r="D2173" s="17" t="str">
        <x:v>us:ipeds:215929:program:unclear:ipeds-discovery-signal-cyber-computer-forensics-and-counterterrorism-cip-43-0403</x:v>
      </x:c>
      <x:c r="E2173" s="17" t="str"/>
      <x:c r="F2173" s="17" t="str">
        <x:v>discovery</x:v>
      </x:c>
      <x:c r="G2173" s="17" t="str">
        <x:v>Stage 2 recorded this row as a discovery candidate; it does not independently verify an exact current research program, eligibility, or funding.</x:v>
      </x:c>
      <x:c r="H2173" s="17" t="str">
        <x:v>Pass 2 Stage 2 candidate funnel</x:v>
      </x:c>
      <x:c r="I2173" s="17" t="str">
        <x:v>Graduate audit pipeline</x:v>
      </x:c>
      <x:c r="J2173" s="17" t="str">
        <x:v>derived</x:v>
      </x:c>
      <x:c r="K2173" s="17" t="str">
        <x:v>2026-09-11</x:v>
      </x:c>
      <x:c r="L2173" s="17" t="str">
        <x:v>Not cycle-specific</x:v>
      </x:c>
      <x:c r="M2173" s="17" t="str">
        <x:v>low</x:v>
      </x:c>
      <x:c r="N2173" s="17" t="str">
        <x:v>Discovery evidence only</x:v>
      </x:c>
      <x:c r="O2173" s="17" t="str">
        <x:v>Use the source_record_paths field to trace the underlying discovery inputs.</x:v>
      </x:c>
      <x:c r="P2173" s="18" t="e">
        <x:f>HYPERLINK("https://www.scranton.edu","Open source")</x:f>
        <x:v>HYPERLINK is not implemented. linkLocation=https://www.scranton.edu, friendlyName=Open source</x:v>
      </x:c>
    </x:row>
    <x:row r="2174" ht="46" customHeight="1">
      <x:c r="A2174" s="17" t="str">
        <x:v>stage3src:e12b97176362506d9e58</x:v>
      </x:c>
      <x:c r="B2174" s="17" t="str">
        <x:v>program</x:v>
      </x:c>
      <x:c r="C2174" s="17" t="str">
        <x:v>Shippensburg University of Pennsylvania</x:v>
      </x:c>
      <x:c r="D2174" s="17" t="str">
        <x:v>us:ipeds:216010:program:unclear:ipeds-discovery-signal-computer-and-information-sciences-general-cip-11-0101</x:v>
      </x:c>
      <x:c r="E2174" s="17" t="str"/>
      <x:c r="F2174" s="17" t="str">
        <x:v>discovery</x:v>
      </x:c>
      <x:c r="G2174" s="17" t="str">
        <x:v>Stage 2 recorded this row as a discovery candidate; it does not independently verify an exact current research program, eligibility, or funding.</x:v>
      </x:c>
      <x:c r="H2174" s="17" t="str">
        <x:v>Pass 2 Stage 2 candidate funnel</x:v>
      </x:c>
      <x:c r="I2174" s="17" t="str">
        <x:v>Graduate audit pipeline</x:v>
      </x:c>
      <x:c r="J2174" s="17" t="str">
        <x:v>derived</x:v>
      </x:c>
      <x:c r="K2174" s="17" t="str">
        <x:v>2026-09-11</x:v>
      </x:c>
      <x:c r="L2174" s="17" t="str">
        <x:v>Not cycle-specific</x:v>
      </x:c>
      <x:c r="M2174" s="17" t="str">
        <x:v>low</x:v>
      </x:c>
      <x:c r="N2174" s="17" t="str">
        <x:v>Discovery evidence only</x:v>
      </x:c>
      <x:c r="O2174" s="17" t="str">
        <x:v>Use the source_record_paths field to trace the underlying discovery inputs.</x:v>
      </x:c>
      <x:c r="P2174" s="18" t="e">
        <x:f>HYPERLINK("https://www.ship.edu","Open source")</x:f>
        <x:v>HYPERLINK is not implemented. linkLocation=https://www.ship.edu, friendlyName=Open source</x:v>
      </x:c>
    </x:row>
    <x:row r="2175" ht="46" customHeight="1">
      <x:c r="A2175" s="17" t="str">
        <x:v>stage3src:1ac06dbe8a3667af9ca1</x:v>
      </x:c>
      <x:c r="B2175" s="17" t="str">
        <x:v>program</x:v>
      </x:c>
      <x:c r="C2175" s="17" t="str">
        <x:v>Slippery Rock University of Pennsylvania</x:v>
      </x:c>
      <x:c r="D2175" s="17" t="str">
        <x:v>us:ipeds:216038:program:unclear:ipeds-discovery-signal-informatics-cip-11-0104</x:v>
      </x:c>
      <x:c r="E2175" s="17" t="str"/>
      <x:c r="F2175" s="17" t="str">
        <x:v>discovery</x:v>
      </x:c>
      <x:c r="G2175" s="17" t="str">
        <x:v>Stage 2 recorded this row as a discovery candidate; it does not independently verify an exact current research program, eligibility, or funding.</x:v>
      </x:c>
      <x:c r="H2175" s="17" t="str">
        <x:v>Pass 2 Stage 2 candidate funnel</x:v>
      </x:c>
      <x:c r="I2175" s="17" t="str">
        <x:v>Graduate audit pipeline</x:v>
      </x:c>
      <x:c r="J2175" s="17" t="str">
        <x:v>derived</x:v>
      </x:c>
      <x:c r="K2175" s="17" t="str">
        <x:v>2026-09-11</x:v>
      </x:c>
      <x:c r="L2175" s="17" t="str">
        <x:v>Not cycle-specific</x:v>
      </x:c>
      <x:c r="M2175" s="17" t="str">
        <x:v>low</x:v>
      </x:c>
      <x:c r="N2175" s="17" t="str">
        <x:v>Discovery evidence only</x:v>
      </x:c>
      <x:c r="O2175" s="17" t="str">
        <x:v>Use the source_record_paths field to trace the underlying discovery inputs.</x:v>
      </x:c>
      <x:c r="P2175" s="18" t="e">
        <x:f>HYPERLINK("https://www.sru.edu","Open source")</x:f>
        <x:v>HYPERLINK is not implemented. linkLocation=https://www.sru.edu, friendlyName=Open source</x:v>
      </x:c>
    </x:row>
    <x:row r="2176" ht="46" customHeight="1">
      <x:c r="A2176" s="17" t="str">
        <x:v>stage3src:374a3c5b708629ae8041</x:v>
      </x:c>
      <x:c r="B2176" s="17" t="str">
        <x:v>program</x:v>
      </x:c>
      <x:c r="C2176" s="17" t="str">
        <x:v>Temple University</x:v>
      </x:c>
      <x:c r="D2176" s="17" t="str">
        <x:v>us:ipeds:216339:program:phd:computer-and-information-science-phd</x:v>
      </x:c>
      <x:c r="E2176" s="17" t="str"/>
      <x:c r="F2176" s="17" t="str">
        <x:v>program|research|eligibility|admissions|language|deadline|funding|tuition</x:v>
      </x:c>
      <x:c r="G2176" s="17" t="str">
        <x:v>Current PhD structure, bachelor's entry, prerequisites, English minima, GRE status, November 1 deadline, faculty-track admission, and assistantship tuition support.</x:v>
      </x:c>
      <x:c r="H2176" s="17" t="str">
        <x:v>Computer and Information Science PhD</x:v>
      </x:c>
      <x:c r="I2176" s="17" t="str">
        <x:v>Temple University 2026-27 Graduate Bulletin</x:v>
      </x:c>
      <x:c r="J2176" s="17" t="str">
        <x:v>official</x:v>
      </x:c>
      <x:c r="K2176" s="17" t="str">
        <x:v>2026-09-11</x:v>
      </x:c>
      <x:c r="L2176" s="17" t="str">
        <x:v>2026-27 bulletin checked 2026-09-11</x:v>
      </x:c>
      <x:c r="M2176" s="17" t="str">
        <x:v>high</x:v>
      </x:c>
      <x:c r="N2176" s="17" t="str">
        <x:v>official page checked</x:v>
      </x:c>
      <x:c r="O2176" s="17" t="str"/>
      <x:c r="P2176" s="18" t="e">
        <x:f>HYPERLINK("https://bulletin.temple.edu/graduate/scd/cst/computer-information-science-phd/","Open source")</x:f>
        <x:v>HYPERLINK is not implemented. linkLocation=https://bulletin.temple.edu/graduate/scd/cst/computer-information-science-phd/, friendlyName=Open source</x:v>
      </x:c>
    </x:row>
    <x:row r="2177" ht="46" customHeight="1">
      <x:c r="A2177" s="17" t="str">
        <x:v>stage3src:a8ba3ed8042a0ef5ef2e</x:v>
      </x:c>
      <x:c r="B2177" s="17" t="str">
        <x:v>program</x:v>
      </x:c>
      <x:c r="C2177" s="17" t="str">
        <x:v>Temple University</x:v>
      </x:c>
      <x:c r="D2177" s="17" t="str">
        <x:v>us:ipeds:216339:program:phd:computer-and-information-science-phd</x:v>
      </x:c>
      <x:c r="E2177" s="17" t="str"/>
      <x:c r="F2177" s="17" t="str">
        <x:v>admissions|eligibility|deadline|fees|funding</x:v>
      </x:c>
      <x:c r="G2177" s="17" t="str">
        <x:v>Master's not required, Computer Science major not mandatory, adviser-matching model, conflicting January 15 date, fee-waiver statement, and RA/TA support norm.</x:v>
      </x:c>
      <x:c r="H2177" s="17" t="str">
        <x:v>PhD Frequently Asked Questions</x:v>
      </x:c>
      <x:c r="I2177" s="17" t="str">
        <x:v>Temple University Department of Computer and Information Sciences</x:v>
      </x:c>
      <x:c r="J2177" s="17" t="str">
        <x:v>official</x:v>
      </x:c>
      <x:c r="K2177" s="17" t="str">
        <x:v>2026-09-11</x:v>
      </x:c>
      <x:c r="L2177" s="17" t="str">
        <x:v>Current page checked 2026-09-11</x:v>
      </x:c>
      <x:c r="M2177" s="17" t="str">
        <x:v>high</x:v>
      </x:c>
      <x:c r="N2177" s="17" t="str">
        <x:v>official page checked</x:v>
      </x:c>
      <x:c r="O2177" s="17" t="str"/>
      <x:c r="P2177" s="18" t="e">
        <x:f>HYPERLINK("https://cis.temple.edu/academics/graduate/phd_faq/","Open source")</x:f>
        <x:v>HYPERLINK is not implemented. linkLocation=https://cis.temple.edu/academics/graduate/phd_faq/, friendlyName=Open source</x:v>
      </x:c>
    </x:row>
    <x:row r="2178" ht="46" customHeight="1">
      <x:c r="A2178" s="17" t="str">
        <x:v>stage3src:d964607dd047e2d53580</x:v>
      </x:c>
      <x:c r="B2178" s="17" t="str">
        <x:v>program</x:v>
      </x:c>
      <x:c r="C2178" s="17" t="str">
        <x:v>Temple University</x:v>
      </x:c>
      <x:c r="D2178" s="17" t="str">
        <x:v>us:ipeds:216339:program:phd:computer-and-information-science-phd</x:v>
      </x:c>
      <x:c r="E2178" s="17" t="str"/>
      <x:c r="F2178" s="17" t="str">
        <x:v>funding|tuition|fees</x:v>
      </x:c>
      <x:c r="G2178" s="17" t="str">
        <x:v>Assistantship stipend and tuition treatment, 3.25 consideration and continuation standard, and distinction between tuition and fees.</x:v>
      </x:c>
      <x:c r="H2178" s="17" t="str">
        <x:v>Graduate Cost and Aid</x:v>
      </x:c>
      <x:c r="I2178" s="17" t="str">
        <x:v>Temple University Graduate Bulletin</x:v>
      </x:c>
      <x:c r="J2178" s="17" t="str">
        <x:v>official</x:v>
      </x:c>
      <x:c r="K2178" s="17" t="str">
        <x:v>2026-09-11</x:v>
      </x:c>
      <x:c r="L2178" s="17" t="str">
        <x:v>2026-27 bulletin checked 2026-09-11</x:v>
      </x:c>
      <x:c r="M2178" s="17" t="str">
        <x:v>high</x:v>
      </x:c>
      <x:c r="N2178" s="17" t="str">
        <x:v>official page checked</x:v>
      </x:c>
      <x:c r="O2178" s="17" t="str"/>
      <x:c r="P2178" s="18" t="e">
        <x:f>HYPERLINK("https://bulletin.temple.edu/graduate/cost-aid/","Open source")</x:f>
        <x:v>HYPERLINK is not implemented. linkLocation=https://bulletin.temple.edu/graduate/cost-aid/, friendlyName=Open source</x:v>
      </x:c>
    </x:row>
    <x:row r="2179" ht="46" customHeight="1">
      <x:c r="A2179" s="17" t="str">
        <x:v>stage3src:216b06c1bd2264aa8a80</x:v>
      </x:c>
      <x:c r="B2179" s="17" t="str">
        <x:v>program</x:v>
      </x:c>
      <x:c r="C2179" s="17" t="str">
        <x:v>Temple University</x:v>
      </x:c>
      <x:c r="D2179" s="17" t="str">
        <x:v>us:ipeds:216339:program:unclear:ipeds-discovery-signal-computer-and-information-sciences-general-cip-11-0101</x:v>
      </x:c>
      <x:c r="E2179" s="17" t="str"/>
      <x:c r="F2179" s="17" t="str">
        <x:v>discovery</x:v>
      </x:c>
      <x:c r="G2179" s="17" t="str">
        <x:v>Stage 2 recorded this row as a discovery candidate; it does not independently verify an exact current research program, eligibility, or funding.</x:v>
      </x:c>
      <x:c r="H2179" s="17" t="str">
        <x:v>Pass 2 Stage 2 candidate funnel</x:v>
      </x:c>
      <x:c r="I2179" s="17" t="str">
        <x:v>Graduate audit pipeline</x:v>
      </x:c>
      <x:c r="J2179" s="17" t="str">
        <x:v>derived</x:v>
      </x:c>
      <x:c r="K2179" s="17" t="str">
        <x:v>2026-09-11</x:v>
      </x:c>
      <x:c r="L2179" s="17" t="str">
        <x:v>Not cycle-specific</x:v>
      </x:c>
      <x:c r="M2179" s="17" t="str">
        <x:v>low</x:v>
      </x:c>
      <x:c r="N2179" s="17" t="str">
        <x:v>Discovery evidence only</x:v>
      </x:c>
      <x:c r="O2179" s="17" t="str">
        <x:v>Use the source_record_paths field to trace the underlying discovery inputs.</x:v>
      </x:c>
      <x:c r="P2179" s="18" t="e">
        <x:f>HYPERLINK("https://www.temple.edu","Open source")</x:f>
        <x:v>HYPERLINK is not implemented. linkLocation=https://www.temple.edu, friendlyName=Open source</x:v>
      </x:c>
    </x:row>
    <x:row r="2180" ht="46" customHeight="1">
      <x:c r="A2180" s="17" t="str">
        <x:v>stage3src:75f31fd050dde8abfd0e</x:v>
      </x:c>
      <x:c r="B2180" s="17" t="str">
        <x:v>program</x:v>
      </x:c>
      <x:c r="C2180" s="17" t="str">
        <x:v>Temple University</x:v>
      </x:c>
      <x:c r="D2180" s="17" t="str">
        <x:v>us:ipeds:216339:program:unclear:ipeds-discovery-signal-computer-and-information-systems-security-auditing-information-assurance-cip-11-1003</x:v>
      </x:c>
      <x:c r="E2180" s="17" t="str"/>
      <x:c r="F2180" s="17" t="str">
        <x:v>discovery</x:v>
      </x:c>
      <x:c r="G2180" s="17" t="str">
        <x:v>Stage 2 recorded this row as a discovery candidate; it does not independently verify an exact current research program, eligibility, or funding.</x:v>
      </x:c>
      <x:c r="H2180" s="17" t="str">
        <x:v>Pass 2 Stage 2 candidate funnel</x:v>
      </x:c>
      <x:c r="I2180" s="17" t="str">
        <x:v>Graduate audit pipeline</x:v>
      </x:c>
      <x:c r="J2180" s="17" t="str">
        <x:v>derived</x:v>
      </x:c>
      <x:c r="K2180" s="17" t="str">
        <x:v>2026-09-11</x:v>
      </x:c>
      <x:c r="L2180" s="17" t="str">
        <x:v>Not cycle-specific</x:v>
      </x:c>
      <x:c r="M2180" s="17" t="str">
        <x:v>low</x:v>
      </x:c>
      <x:c r="N2180" s="17" t="str">
        <x:v>Discovery evidence only</x:v>
      </x:c>
      <x:c r="O2180" s="17" t="str">
        <x:v>Use the source_record_paths field to trace the underlying discovery inputs.</x:v>
      </x:c>
      <x:c r="P2180" s="18" t="e">
        <x:f>HYPERLINK("https://www.temple.edu","Open source")</x:f>
        <x:v>HYPERLINK is not implemented. linkLocation=https://www.temple.edu, friendlyName=Open source</x:v>
      </x:c>
    </x:row>
    <x:row r="2181" ht="46" customHeight="1">
      <x:c r="A2181" s="17" t="str">
        <x:v>stage3src:c20dfaf29b89112be41f</x:v>
      </x:c>
      <x:c r="B2181" s="17" t="str">
        <x:v>program</x:v>
      </x:c>
      <x:c r="C2181" s="17" t="str">
        <x:v>Temple University</x:v>
      </x:c>
      <x:c r="D2181" s="17" t="str">
        <x:v>us:ipeds:216339:program:unclear:ipeds-discovery-signal-electrical-and-electronics-engineering-cip-14-1001</x:v>
      </x:c>
      <x:c r="E2181" s="17" t="str"/>
      <x:c r="F2181" s="17" t="str">
        <x:v>discovery</x:v>
      </x:c>
      <x:c r="G2181" s="17" t="str">
        <x:v>Stage 2 recorded this row as a discovery candidate; it does not independently verify an exact current research program, eligibility, or funding.</x:v>
      </x:c>
      <x:c r="H2181" s="17" t="str">
        <x:v>Pass 2 Stage 2 candidate funnel</x:v>
      </x:c>
      <x:c r="I2181" s="17" t="str">
        <x:v>Graduate audit pipeline</x:v>
      </x:c>
      <x:c r="J2181" s="17" t="str">
        <x:v>derived</x:v>
      </x:c>
      <x:c r="K2181" s="17" t="str">
        <x:v>2026-09-11</x:v>
      </x:c>
      <x:c r="L2181" s="17" t="str">
        <x:v>Not cycle-specific</x:v>
      </x:c>
      <x:c r="M2181" s="17" t="str">
        <x:v>low</x:v>
      </x:c>
      <x:c r="N2181" s="17" t="str">
        <x:v>Discovery evidence only</x:v>
      </x:c>
      <x:c r="O2181" s="17" t="str">
        <x:v>Use the source_record_paths field to trace the underlying discovery inputs.</x:v>
      </x:c>
      <x:c r="P2181" s="18" t="e">
        <x:f>HYPERLINK("https://www.temple.edu","Open source")</x:f>
        <x:v>HYPERLINK is not implemented. linkLocation=https://www.temple.edu, friendlyName=Open source</x:v>
      </x:c>
    </x:row>
    <x:row r="2182" ht="46" customHeight="1">
      <x:c r="A2182" s="17" t="str">
        <x:v>stage3src:99e7383df861cc683a58</x:v>
      </x:c>
      <x:c r="B2182" s="17" t="str">
        <x:v>program</x:v>
      </x:c>
      <x:c r="C2182" s="17" t="str">
        <x:v>Temple University</x:v>
      </x:c>
      <x:c r="D2182" s="17" t="str">
        <x:v>us:ipeds:216339:program:unclear:ipeds-discovery-signal-information-technology-cip-11-0103</x:v>
      </x:c>
      <x:c r="E2182" s="17" t="str"/>
      <x:c r="F2182" s="17" t="str">
        <x:v>discovery</x:v>
      </x:c>
      <x:c r="G2182" s="17" t="str">
        <x:v>Stage 2 recorded this row as a discovery candidate; it does not independently verify an exact current research program, eligibility, or funding.</x:v>
      </x:c>
      <x:c r="H2182" s="17" t="str">
        <x:v>Pass 2 Stage 2 candidate funnel</x:v>
      </x:c>
      <x:c r="I2182" s="17" t="str">
        <x:v>Graduate audit pipeline</x:v>
      </x:c>
      <x:c r="J2182" s="17" t="str">
        <x:v>derived</x:v>
      </x:c>
      <x:c r="K2182" s="17" t="str">
        <x:v>2026-09-11</x:v>
      </x:c>
      <x:c r="L2182" s="17" t="str">
        <x:v>Not cycle-specific</x:v>
      </x:c>
      <x:c r="M2182" s="17" t="str">
        <x:v>low</x:v>
      </x:c>
      <x:c r="N2182" s="17" t="str">
        <x:v>Discovery evidence only</x:v>
      </x:c>
      <x:c r="O2182" s="17" t="str">
        <x:v>Use the source_record_paths field to trace the underlying discovery inputs.</x:v>
      </x:c>
      <x:c r="P2182" s="18" t="e">
        <x:f>HYPERLINK("https://www.temple.edu","Open source")</x:f>
        <x:v>HYPERLINK is not implemented. linkLocation=https://www.temple.edu, friendlyName=Open source</x:v>
      </x:c>
    </x:row>
    <x:row r="2183" ht="46" customHeight="1">
      <x:c r="A2183" s="17" t="str">
        <x:v>stage3src:34a8e4b856684b57d7ed</x:v>
      </x:c>
      <x:c r="B2183" s="17" t="str">
        <x:v>program</x:v>
      </x:c>
      <x:c r="C2183" s="17" t="str">
        <x:v>Thomas Jefferson University</x:v>
      </x:c>
      <x:c r="D2183" s="17" t="str">
        <x:v>us:ipeds:216366:program:unclear:ipeds-discovery-signal-human-centered-technology-design-cip-11-0105</x:v>
      </x:c>
      <x:c r="E2183" s="17" t="str"/>
      <x:c r="F2183" s="17" t="str">
        <x:v>discovery</x:v>
      </x:c>
      <x:c r="G2183" s="17" t="str">
        <x:v>Stage 2 recorded this row as a discovery candidate; it does not independently verify an exact current research program, eligibility, or funding.</x:v>
      </x:c>
      <x:c r="H2183" s="17" t="str">
        <x:v>Pass 2 Stage 2 candidate funnel</x:v>
      </x:c>
      <x:c r="I2183" s="17" t="str">
        <x:v>Graduate audit pipeline</x:v>
      </x:c>
      <x:c r="J2183" s="17" t="str">
        <x:v>derived</x:v>
      </x:c>
      <x:c r="K2183" s="17" t="str">
        <x:v>2026-09-11</x:v>
      </x:c>
      <x:c r="L2183" s="17" t="str">
        <x:v>Not cycle-specific</x:v>
      </x:c>
      <x:c r="M2183" s="17" t="str">
        <x:v>low</x:v>
      </x:c>
      <x:c r="N2183" s="17" t="str">
        <x:v>Discovery evidence only</x:v>
      </x:c>
      <x:c r="O2183" s="17" t="str">
        <x:v>Use the source_record_paths field to trace the underlying discovery inputs.</x:v>
      </x:c>
      <x:c r="P2183" s="18" t="e">
        <x:f>HYPERLINK("https://www.jefferson.edu","Open source")</x:f>
        <x:v>HYPERLINK is not implemented. linkLocation=https://www.jefferson.edu, friendlyName=Open source</x:v>
      </x:c>
    </x:row>
    <x:row r="2184" ht="46" customHeight="1">
      <x:c r="A2184" s="17" t="str">
        <x:v>stage3src:8fce365e0a171ab964f9</x:v>
      </x:c>
      <x:c r="B2184" s="17" t="str">
        <x:v>program</x:v>
      </x:c>
      <x:c r="C2184" s="17" t="str">
        <x:v>Villanova University</x:v>
      </x:c>
      <x:c r="D2184" s="17" t="str">
        <x:v>us:ipeds:216597:program:unclear:ipeds-discovery-signal-computer-engineering-general-cip-14-0901</x:v>
      </x:c>
      <x:c r="E2184" s="17" t="str"/>
      <x:c r="F2184" s="17" t="str">
        <x:v>discovery</x:v>
      </x:c>
      <x:c r="G2184" s="17" t="str">
        <x:v>Stage 2 recorded this row as a discovery candidate; it does not independently verify an exact current research program, eligibility, or funding.</x:v>
      </x:c>
      <x:c r="H2184" s="17" t="str">
        <x:v>Pass 2 Stage 2 candidate funnel</x:v>
      </x:c>
      <x:c r="I2184" s="17" t="str">
        <x:v>Graduate audit pipeline</x:v>
      </x:c>
      <x:c r="J2184" s="17" t="str">
        <x:v>derived</x:v>
      </x:c>
      <x:c r="K2184" s="17" t="str">
        <x:v>2026-09-11</x:v>
      </x:c>
      <x:c r="L2184" s="17" t="str">
        <x:v>Not cycle-specific</x:v>
      </x:c>
      <x:c r="M2184" s="17" t="str">
        <x:v>low</x:v>
      </x:c>
      <x:c r="N2184" s="17" t="str">
        <x:v>Discovery evidence only</x:v>
      </x:c>
      <x:c r="O2184" s="17" t="str">
        <x:v>Use the source_record_paths field to trace the underlying discovery inputs.</x:v>
      </x:c>
      <x:c r="P2184" s="18" t="e">
        <x:f>HYPERLINK("https://www.villanova.edu","Open source")</x:f>
        <x:v>HYPERLINK is not implemented. linkLocation=https://www.villanova.edu, friendlyName=Open source</x:v>
      </x:c>
    </x:row>
    <x:row r="2185" ht="46" customHeight="1">
      <x:c r="A2185" s="17" t="str">
        <x:v>stage3src:e9e02de0860eeeaca1fd</x:v>
      </x:c>
      <x:c r="B2185" s="17" t="str">
        <x:v>program</x:v>
      </x:c>
      <x:c r="C2185" s="17" t="str">
        <x:v>Villanova University</x:v>
      </x:c>
      <x:c r="D2185" s="17" t="str">
        <x:v>us:ipeds:216597:program:unclear:ipeds-discovery-signal-computer-science-cip-11-0701</x:v>
      </x:c>
      <x:c r="E2185" s="17" t="str"/>
      <x:c r="F2185" s="17" t="str">
        <x:v>discovery</x:v>
      </x:c>
      <x:c r="G2185" s="17" t="str">
        <x:v>Stage 2 recorded this row as a discovery candidate; it does not independently verify an exact current research program, eligibility, or funding.</x:v>
      </x:c>
      <x:c r="H2185" s="17" t="str">
        <x:v>Pass 2 Stage 2 candidate funnel</x:v>
      </x:c>
      <x:c r="I2185" s="17" t="str">
        <x:v>Graduate audit pipeline</x:v>
      </x:c>
      <x:c r="J2185" s="17" t="str">
        <x:v>derived</x:v>
      </x:c>
      <x:c r="K2185" s="17" t="str">
        <x:v>2026-09-11</x:v>
      </x:c>
      <x:c r="L2185" s="17" t="str">
        <x:v>Not cycle-specific</x:v>
      </x:c>
      <x:c r="M2185" s="17" t="str">
        <x:v>low</x:v>
      </x:c>
      <x:c r="N2185" s="17" t="str">
        <x:v>Discovery evidence only</x:v>
      </x:c>
      <x:c r="O2185" s="17" t="str">
        <x:v>Use the source_record_paths field to trace the underlying discovery inputs.</x:v>
      </x:c>
      <x:c r="P2185" s="18" t="e">
        <x:f>HYPERLINK("https://www.villanova.edu","Open source")</x:f>
        <x:v>HYPERLINK is not implemented. linkLocation=https://www.villanova.edu, friendlyName=Open source</x:v>
      </x:c>
    </x:row>
    <x:row r="2186" ht="46" customHeight="1">
      <x:c r="A2186" s="17" t="str">
        <x:v>stage3src:3165085ac4526faaf750</x:v>
      </x:c>
      <x:c r="B2186" s="17" t="str">
        <x:v>program</x:v>
      </x:c>
      <x:c r="C2186" s="17" t="str">
        <x:v>Villanova University</x:v>
      </x:c>
      <x:c r="D2186" s="17" t="str">
        <x:v>us:ipeds:216597:program:unclear:ipeds-discovery-signal-computer-software-engineering-cip-14-0903</x:v>
      </x:c>
      <x:c r="E2186" s="17" t="str"/>
      <x:c r="F2186" s="17" t="str">
        <x:v>discovery</x:v>
      </x:c>
      <x:c r="G2186" s="17" t="str">
        <x:v>Stage 2 recorded this row as a discovery candidate; it does not independently verify an exact current research program, eligibility, or funding.</x:v>
      </x:c>
      <x:c r="H2186" s="17" t="str">
        <x:v>Pass 2 Stage 2 candidate funnel</x:v>
      </x:c>
      <x:c r="I2186" s="17" t="str">
        <x:v>Graduate audit pipeline</x:v>
      </x:c>
      <x:c r="J2186" s="17" t="str">
        <x:v>derived</x:v>
      </x:c>
      <x:c r="K2186" s="17" t="str">
        <x:v>2026-09-11</x:v>
      </x:c>
      <x:c r="L2186" s="17" t="str">
        <x:v>Not cycle-specific</x:v>
      </x:c>
      <x:c r="M2186" s="17" t="str">
        <x:v>low</x:v>
      </x:c>
      <x:c r="N2186" s="17" t="str">
        <x:v>Discovery evidence only</x:v>
      </x:c>
      <x:c r="O2186" s="17" t="str">
        <x:v>Use the source_record_paths field to trace the underlying discovery inputs.</x:v>
      </x:c>
      <x:c r="P2186" s="18" t="e">
        <x:f>HYPERLINK("https://www.villanova.edu","Open source")</x:f>
        <x:v>HYPERLINK is not implemented. linkLocation=https://www.villanova.edu, friendlyName=Open source</x:v>
      </x:c>
    </x:row>
    <x:row r="2187" ht="46" customHeight="1">
      <x:c r="A2187" s="17" t="str">
        <x:v>stage3src:619fee99266b7222dd61</x:v>
      </x:c>
      <x:c r="B2187" s="17" t="str">
        <x:v>program</x:v>
      </x:c>
      <x:c r="C2187" s="17" t="str">
        <x:v>Villanova University</x:v>
      </x:c>
      <x:c r="D2187" s="17" t="str">
        <x:v>us:ipeds:216597:program:unclear:ipeds-discovery-signal-electrical-and-electronics-engineering-cip-14-1001</x:v>
      </x:c>
      <x:c r="E2187" s="17" t="str"/>
      <x:c r="F2187" s="17" t="str">
        <x:v>discovery</x:v>
      </x:c>
      <x:c r="G2187" s="17" t="str">
        <x:v>Stage 2 recorded this row as a discovery candidate; it does not independently verify an exact current research program, eligibility, or funding.</x:v>
      </x:c>
      <x:c r="H2187" s="17" t="str">
        <x:v>Pass 2 Stage 2 candidate funnel</x:v>
      </x:c>
      <x:c r="I2187" s="17" t="str">
        <x:v>Graduate audit pipeline</x:v>
      </x:c>
      <x:c r="J2187" s="17" t="str">
        <x:v>derived</x:v>
      </x:c>
      <x:c r="K2187" s="17" t="str">
        <x:v>2026-09-11</x:v>
      </x:c>
      <x:c r="L2187" s="17" t="str">
        <x:v>Not cycle-specific</x:v>
      </x:c>
      <x:c r="M2187" s="17" t="str">
        <x:v>low</x:v>
      </x:c>
      <x:c r="N2187" s="17" t="str">
        <x:v>Discovery evidence only</x:v>
      </x:c>
      <x:c r="O2187" s="17" t="str">
        <x:v>Use the source_record_paths field to trace the underlying discovery inputs.</x:v>
      </x:c>
      <x:c r="P2187" s="18" t="e">
        <x:f>HYPERLINK("https://www.villanova.edu","Open source")</x:f>
        <x:v>HYPERLINK is not implemented. linkLocation=https://www.villanova.edu, friendlyName=Open source</x:v>
      </x:c>
    </x:row>
    <x:row r="2188" ht="46" customHeight="1">
      <x:c r="A2188" s="17" t="str">
        <x:v>stage3src:57fbd8a707ea7aae8cfd</x:v>
      </x:c>
      <x:c r="B2188" s="17" t="str">
        <x:v>program</x:v>
      </x:c>
      <x:c r="C2188" s="17" t="str">
        <x:v>West Chester University of Pennsylvania</x:v>
      </x:c>
      <x:c r="D2188" s="17" t="str">
        <x:v>us:ipeds:216764:program:unclear:ipeds-discovery-signal-computer-and-information-sciences-general-cip-11-0101</x:v>
      </x:c>
      <x:c r="E2188" s="17" t="str"/>
      <x:c r="F2188" s="17" t="str">
        <x:v>discovery</x:v>
      </x:c>
      <x:c r="G2188" s="17" t="str">
        <x:v>Stage 2 recorded this row as a discovery candidate; it does not independently verify an exact current research program, eligibility, or funding.</x:v>
      </x:c>
      <x:c r="H2188" s="17" t="str">
        <x:v>Pass 2 Stage 2 candidate funnel</x:v>
      </x:c>
      <x:c r="I2188" s="17" t="str">
        <x:v>Graduate audit pipeline</x:v>
      </x:c>
      <x:c r="J2188" s="17" t="str">
        <x:v>derived</x:v>
      </x:c>
      <x:c r="K2188" s="17" t="str">
        <x:v>2026-09-11</x:v>
      </x:c>
      <x:c r="L2188" s="17" t="str">
        <x:v>Not cycle-specific</x:v>
      </x:c>
      <x:c r="M2188" s="17" t="str">
        <x:v>low</x:v>
      </x:c>
      <x:c r="N2188" s="17" t="str">
        <x:v>Discovery evidence only</x:v>
      </x:c>
      <x:c r="O2188" s="17" t="str">
        <x:v>Use the source_record_paths field to trace the underlying discovery inputs.</x:v>
      </x:c>
      <x:c r="P2188" s="18" t="e">
        <x:f>HYPERLINK("https://www.wcupa.edu","Open source")</x:f>
        <x:v>HYPERLINK is not implemented. linkLocation=https://www.wcupa.edu, friendlyName=Open source</x:v>
      </x:c>
    </x:row>
    <x:row r="2189" ht="46" customHeight="1">
      <x:c r="A2189" s="17" t="str">
        <x:v>stage3src:a93730b82e5ce5ac58b8</x:v>
      </x:c>
      <x:c r="B2189" s="17" t="str">
        <x:v>program</x:v>
      </x:c>
      <x:c r="C2189" s="17" t="str">
        <x:v>Widener University</x:v>
      </x:c>
      <x:c r="D2189" s="17" t="str">
        <x:v>us:ipeds:216852:program:unclear:ipeds-discovery-signal-data-analytics-general-cip-30-7101</x:v>
      </x:c>
      <x:c r="E2189" s="17" t="str"/>
      <x:c r="F2189" s="17" t="str">
        <x:v>discovery</x:v>
      </x:c>
      <x:c r="G2189" s="17" t="str">
        <x:v>Stage 2 recorded this row as a discovery candidate; it does not independently verify an exact current research program, eligibility, or funding.</x:v>
      </x:c>
      <x:c r="H2189" s="17" t="str">
        <x:v>Pass 2 Stage 2 candidate funnel</x:v>
      </x:c>
      <x:c r="I2189" s="17" t="str">
        <x:v>Graduate audit pipeline</x:v>
      </x:c>
      <x:c r="J2189" s="17" t="str">
        <x:v>derived</x:v>
      </x:c>
      <x:c r="K2189" s="17" t="str">
        <x:v>2026-09-11</x:v>
      </x:c>
      <x:c r="L2189" s="17" t="str">
        <x:v>Not cycle-specific</x:v>
      </x:c>
      <x:c r="M2189" s="17" t="str">
        <x:v>low</x:v>
      </x:c>
      <x:c r="N2189" s="17" t="str">
        <x:v>Discovery evidence only</x:v>
      </x:c>
      <x:c r="O2189" s="17" t="str">
        <x:v>Use the source_record_paths field to trace the underlying discovery inputs.</x:v>
      </x:c>
      <x:c r="P2189" s="18" t="e">
        <x:f>HYPERLINK("https://www.widener.edu","Open source")</x:f>
        <x:v>HYPERLINK is not implemented. linkLocation=https://www.widener.edu, friendlyName=Open source</x:v>
      </x:c>
    </x:row>
    <x:row r="2190" ht="46" customHeight="1">
      <x:c r="A2190" s="17" t="str">
        <x:v>stage3src:edce2de7fd76834fdad6</x:v>
      </x:c>
      <x:c r="B2190" s="17" t="str">
        <x:v>program</x:v>
      </x:c>
      <x:c r="C2190" s="17" t="str">
        <x:v>Widener University</x:v>
      </x:c>
      <x:c r="D2190" s="17" t="str">
        <x:v>us:ipeds:216852:program:unclear:ipeds-discovery-signal-electrical-and-electronics-engineering-cip-14-1001</x:v>
      </x:c>
      <x:c r="E2190" s="17" t="str"/>
      <x:c r="F2190" s="17" t="str">
        <x:v>discovery</x:v>
      </x:c>
      <x:c r="G2190" s="17" t="str">
        <x:v>Stage 2 recorded this row as a discovery candidate; it does not independently verify an exact current research program, eligibility, or funding.</x:v>
      </x:c>
      <x:c r="H2190" s="17" t="str">
        <x:v>Pass 2 Stage 2 candidate funnel</x:v>
      </x:c>
      <x:c r="I2190" s="17" t="str">
        <x:v>Graduate audit pipeline</x:v>
      </x:c>
      <x:c r="J2190" s="17" t="str">
        <x:v>derived</x:v>
      </x:c>
      <x:c r="K2190" s="17" t="str">
        <x:v>2026-09-11</x:v>
      </x:c>
      <x:c r="L2190" s="17" t="str">
        <x:v>Not cycle-specific</x:v>
      </x:c>
      <x:c r="M2190" s="17" t="str">
        <x:v>low</x:v>
      </x:c>
      <x:c r="N2190" s="17" t="str">
        <x:v>Discovery evidence only</x:v>
      </x:c>
      <x:c r="O2190" s="17" t="str">
        <x:v>Use the source_record_paths field to trace the underlying discovery inputs.</x:v>
      </x:c>
      <x:c r="P2190" s="18" t="e">
        <x:f>HYPERLINK("https://www.widener.edu","Open source")</x:f>
        <x:v>HYPERLINK is not implemented. linkLocation=https://www.widener.edu, friendlyName=Open source</x:v>
      </x:c>
    </x:row>
    <x:row r="2191" ht="46" customHeight="1">
      <x:c r="A2191" s="17" t="str">
        <x:v>stage3src:f26e1bc58a4e0615b909</x:v>
      </x:c>
      <x:c r="B2191" s="17" t="str">
        <x:v>program</x:v>
      </x:c>
      <x:c r="C2191" s="17" t="str">
        <x:v>Widener University</x:v>
      </x:c>
      <x:c r="D2191" s="17" t="str">
        <x:v>us:ipeds:216852:program:unclear:ipeds-discovery-signal-mechatronics-robotics-and-automation-engineering-cip-14-4201</x:v>
      </x:c>
      <x:c r="E2191" s="17" t="str"/>
      <x:c r="F2191" s="17" t="str">
        <x:v>discovery</x:v>
      </x:c>
      <x:c r="G2191" s="17" t="str">
        <x:v>Stage 2 recorded this row as a discovery candidate; it does not independently verify an exact current research program, eligibility, or funding.</x:v>
      </x:c>
      <x:c r="H2191" s="17" t="str">
        <x:v>Pass 2 Stage 2 candidate funnel</x:v>
      </x:c>
      <x:c r="I2191" s="17" t="str">
        <x:v>Graduate audit pipeline</x:v>
      </x:c>
      <x:c r="J2191" s="17" t="str">
        <x:v>derived</x:v>
      </x:c>
      <x:c r="K2191" s="17" t="str">
        <x:v>2026-09-11</x:v>
      </x:c>
      <x:c r="L2191" s="17" t="str">
        <x:v>Not cycle-specific</x:v>
      </x:c>
      <x:c r="M2191" s="17" t="str">
        <x:v>low</x:v>
      </x:c>
      <x:c r="N2191" s="17" t="str">
        <x:v>Discovery evidence only</x:v>
      </x:c>
      <x:c r="O2191" s="17" t="str">
        <x:v>Use the source_record_paths field to trace the underlying discovery inputs.</x:v>
      </x:c>
      <x:c r="P2191" s="18" t="e">
        <x:f>HYPERLINK("https://www.widener.edu","Open source")</x:f>
        <x:v>HYPERLINK is not implemented. linkLocation=https://www.widener.edu, friendlyName=Open source</x:v>
      </x:c>
    </x:row>
    <x:row r="2192" ht="46" customHeight="1">
      <x:c r="A2192" s="17" t="str">
        <x:v>stage3src:130059c2ccdbdaabf49c</x:v>
      </x:c>
      <x:c r="B2192" s="17" t="str">
        <x:v>program</x:v>
      </x:c>
      <x:c r="C2192" s="17" t="str">
        <x:v>Brown University</x:v>
      </x:c>
      <x:c r="D2192" s="17" t="str">
        <x:v>us:ipeds:217156:program:phd:computer-science-phd</x:v>
      </x:c>
      <x:c r="E2192" s="17" t="str"/>
      <x:c r="F2192" s="17" t="str">
        <x:v>admissions|eligibility|language|funding</x:v>
      </x:c>
      <x:c r="G2192" s="17" t="str">
        <x:v>All PhD students including international students receive support; no advisor is required before entry; English-test exemption and holistic criteria are stated.</x:v>
      </x:c>
      <x:c r="H2192" s="17" t="str">
        <x:v>Frequently Asked Questions About Our Doctoral Program</x:v>
      </x:c>
      <x:c r="I2192" s="17" t="str">
        <x:v>Brown University Department of Computer Science</x:v>
      </x:c>
      <x:c r="J2192" s="17" t="str">
        <x:v>official</x:v>
      </x:c>
      <x:c r="K2192" s="17" t="str">
        <x:v>2026-09-10</x:v>
      </x:c>
      <x:c r="L2192" s="17" t="str">
        <x:v>Current page checked 2026-09-10</x:v>
      </x:c>
      <x:c r="M2192" s="17" t="str">
        <x:v>high</x:v>
      </x:c>
      <x:c r="N2192" s="17" t="str">
        <x:v>official page checked</x:v>
      </x:c>
      <x:c r="O2192" s="17" t="str"/>
      <x:c r="P2192" s="18" t="e">
        <x:f>HYPERLINK("https://cs.brown.edu/degrees/doctoral/faq/","Open source")</x:f>
        <x:v>HYPERLINK is not implemented. linkLocation=https://cs.brown.edu/degrees/doctoral/faq/, friendlyName=Open source</x:v>
      </x:c>
    </x:row>
    <x:row r="2193" ht="46" customHeight="1">
      <x:c r="A2193" s="17" t="str">
        <x:v>stage3src:37dcd0c301880335228f</x:v>
      </x:c>
      <x:c r="B2193" s="17" t="str">
        <x:v>program</x:v>
      </x:c>
      <x:c r="C2193" s="17" t="str">
        <x:v>Brown University</x:v>
      </x:c>
      <x:c r="D2193" s="17" t="str">
        <x:v>us:ipeds:217156:program:phd:computer-science-phd</x:v>
      </x:c>
      <x:c r="E2193" s="17" t="str"/>
      <x:c r="F2193" s="17" t="str">
        <x:v>admissions|eligibility|language|deadline|fees</x:v>
      </x:c>
      <x:c r="G2193" s="17" t="str">
        <x:v>Fall-only December 15 doctoral application route, materials, English-test expectation, and fee-waiver link.</x:v>
      </x:c>
      <x:c r="H2193" s="17" t="str">
        <x:v>Applying To Our Doctoral Program</x:v>
      </x:c>
      <x:c r="I2193" s="17" t="str">
        <x:v>Brown University Department of Computer Science</x:v>
      </x:c>
      <x:c r="J2193" s="17" t="str">
        <x:v>official</x:v>
      </x:c>
      <x:c r="K2193" s="17" t="str">
        <x:v>2026-09-10</x:v>
      </x:c>
      <x:c r="L2193" s="17" t="str">
        <x:v>Current page; year not printed</x:v>
      </x:c>
      <x:c r="M2193" s="17" t="str">
        <x:v>high</x:v>
      </x:c>
      <x:c r="N2193" s="17" t="str">
        <x:v>official page checked</x:v>
      </x:c>
      <x:c r="O2193" s="17" t="str"/>
      <x:c r="P2193" s="18" t="e">
        <x:f>HYPERLINK("https://cs.brown.edu/degrees/doctoral/applications/","Open source")</x:f>
        <x:v>HYPERLINK is not implemented. linkLocation=https://cs.brown.edu/degrees/doctoral/applications/, friendlyName=Open source</x:v>
      </x:c>
    </x:row>
    <x:row r="2194" ht="46" customHeight="1">
      <x:c r="A2194" s="17" t="str">
        <x:v>stage3src:3fc1175df78c380cb2a7</x:v>
      </x:c>
      <x:c r="B2194" s="17" t="str">
        <x:v>program</x:v>
      </x:c>
      <x:c r="C2194" s="17" t="str">
        <x:v>Brown University</x:v>
      </x:c>
      <x:c r="D2194" s="17" t="str">
        <x:v>us:ipeds:217156:program:phd:computer-science-phd</x:v>
      </x:c>
      <x:c r="E2194" s="17" t="str"/>
      <x:c r="F2194" s="17" t="str">
        <x:v>program|funding</x:v>
      </x:c>
      <x:c r="G2194" s="17" t="str">
        <x:v>Current PhD route, doctoral research structure, full tuition, health insurance, and stipend support.</x:v>
      </x:c>
      <x:c r="H2194" s="17" t="str">
        <x:v>Our PhD Program</x:v>
      </x:c>
      <x:c r="I2194" s="17" t="str">
        <x:v>Brown University Department of Computer Science</x:v>
      </x:c>
      <x:c r="J2194" s="17" t="str">
        <x:v>official</x:v>
      </x:c>
      <x:c r="K2194" s="17" t="str">
        <x:v>2026-09-10</x:v>
      </x:c>
      <x:c r="L2194" s="17" t="str">
        <x:v>Current page checked 2026-09-10</x:v>
      </x:c>
      <x:c r="M2194" s="17" t="str">
        <x:v>high</x:v>
      </x:c>
      <x:c r="N2194" s="17" t="str">
        <x:v>official page checked</x:v>
      </x:c>
      <x:c r="O2194" s="17" t="str"/>
      <x:c r="P2194" s="18" t="e">
        <x:f>HYPERLINK("https://cs.brown.edu/degrees/doctoral/","Open source")</x:f>
        <x:v>HYPERLINK is not implemented. linkLocation=https://cs.brown.edu/degrees/doctoral/, friendlyName=Open source</x:v>
      </x:c>
    </x:row>
    <x:row r="2195" ht="46" customHeight="1">
      <x:c r="A2195" s="17" t="str">
        <x:v>stage3src:2c2a2730e3c678eebd60</x:v>
      </x:c>
      <x:c r="B2195" s="17" t="str">
        <x:v>program</x:v>
      </x:c>
      <x:c r="C2195" s="17" t="str">
        <x:v>Brown University</x:v>
      </x:c>
      <x:c r="D2195" s="17" t="str">
        <x:v>us:ipeds:217156:program:unclear:ipeds-discovery-signal-computer-and-information-systems-security-auditing-information-assurance-cip-11-1003</x:v>
      </x:c>
      <x:c r="E2195" s="17" t="str"/>
      <x:c r="F2195" s="17" t="str">
        <x:v>discovery</x:v>
      </x:c>
      <x:c r="G2195" s="17" t="str">
        <x:v>Stage 2 recorded this row as a discovery candidate; it does not independently verify an exact current research program, eligibility, or funding.</x:v>
      </x:c>
      <x:c r="H2195" s="17" t="str">
        <x:v>Pass 2 Stage 2 candidate funnel</x:v>
      </x:c>
      <x:c r="I2195" s="17" t="str">
        <x:v>Graduate audit pipeline</x:v>
      </x:c>
      <x:c r="J2195" s="17" t="str">
        <x:v>derived</x:v>
      </x:c>
      <x:c r="K2195" s="17" t="str">
        <x:v>2026-09-11</x:v>
      </x:c>
      <x:c r="L2195" s="17" t="str">
        <x:v>Not cycle-specific</x:v>
      </x:c>
      <x:c r="M2195" s="17" t="str">
        <x:v>low</x:v>
      </x:c>
      <x:c r="N2195" s="17" t="str">
        <x:v>Discovery evidence only</x:v>
      </x:c>
      <x:c r="O2195" s="17" t="str">
        <x:v>Use the source_record_paths field to trace the underlying discovery inputs.</x:v>
      </x:c>
      <x:c r="P2195" s="18" t="e">
        <x:f>HYPERLINK("https://www.brown.edu","Open source")</x:f>
        <x:v>HYPERLINK is not implemented. linkLocation=https://www.brown.edu, friendlyName=Open source</x:v>
      </x:c>
    </x:row>
    <x:row r="2196" ht="46" customHeight="1">
      <x:c r="A2196" s="17" t="str">
        <x:v>stage3src:1f274b88bf79cf4474f4</x:v>
      </x:c>
      <x:c r="B2196" s="17" t="str">
        <x:v>program</x:v>
      </x:c>
      <x:c r="C2196" s="17" t="str">
        <x:v>Brown University</x:v>
      </x:c>
      <x:c r="D2196" s="17" t="str">
        <x:v>us:ipeds:217156:program:unclear:ipeds-discovery-signal-computer-science-cip-11-0701</x:v>
      </x:c>
      <x:c r="E2196" s="17" t="str"/>
      <x:c r="F2196" s="17" t="str">
        <x:v>discovery</x:v>
      </x:c>
      <x:c r="G2196" s="17" t="str">
        <x:v>Stage 2 recorded this row as a discovery candidate; it does not independently verify an exact current research program, eligibility, or funding.</x:v>
      </x:c>
      <x:c r="H2196" s="17" t="str">
        <x:v>Pass 2 Stage 2 candidate funnel</x:v>
      </x:c>
      <x:c r="I2196" s="17" t="str">
        <x:v>Graduate audit pipeline</x:v>
      </x:c>
      <x:c r="J2196" s="17" t="str">
        <x:v>derived</x:v>
      </x:c>
      <x:c r="K2196" s="17" t="str">
        <x:v>2026-09-11</x:v>
      </x:c>
      <x:c r="L2196" s="17" t="str">
        <x:v>Not cycle-specific</x:v>
      </x:c>
      <x:c r="M2196" s="17" t="str">
        <x:v>low</x:v>
      </x:c>
      <x:c r="N2196" s="17" t="str">
        <x:v>Discovery evidence only</x:v>
      </x:c>
      <x:c r="O2196" s="17" t="str">
        <x:v>Use the source_record_paths field to trace the underlying discovery inputs.</x:v>
      </x:c>
      <x:c r="P2196" s="18" t="e">
        <x:f>HYPERLINK("https://www.brown.edu","Open source")</x:f>
        <x:v>HYPERLINK is not implemented. linkLocation=https://www.brown.edu, friendlyName=Open source</x:v>
      </x:c>
    </x:row>
    <x:row r="2197" ht="46" customHeight="1">
      <x:c r="A2197" s="17" t="str">
        <x:v>stage3src:687975dc35d0002682a9</x:v>
      </x:c>
      <x:c r="B2197" s="17" t="str">
        <x:v>program</x:v>
      </x:c>
      <x:c r="C2197" s="17" t="str">
        <x:v>Brown University</x:v>
      </x:c>
      <x:c r="D2197" s="17" t="str">
        <x:v>us:ipeds:217156:program:unclear:ipeds-discovery-signal-data-science-general-cip-30-7001</x:v>
      </x:c>
      <x:c r="E2197" s="17" t="str"/>
      <x:c r="F2197" s="17" t="str">
        <x:v>discovery</x:v>
      </x:c>
      <x:c r="G2197" s="17" t="str">
        <x:v>Stage 2 recorded this row as a discovery candidate; it does not independently verify an exact current research program, eligibility, or funding.</x:v>
      </x:c>
      <x:c r="H2197" s="17" t="str">
        <x:v>Pass 2 Stage 2 candidate funnel</x:v>
      </x:c>
      <x:c r="I2197" s="17" t="str">
        <x:v>Graduate audit pipeline</x:v>
      </x:c>
      <x:c r="J2197" s="17" t="str">
        <x:v>derived</x:v>
      </x:c>
      <x:c r="K2197" s="17" t="str">
        <x:v>2026-09-11</x:v>
      </x:c>
      <x:c r="L2197" s="17" t="str">
        <x:v>Not cycle-specific</x:v>
      </x:c>
      <x:c r="M2197" s="17" t="str">
        <x:v>low</x:v>
      </x:c>
      <x:c r="N2197" s="17" t="str">
        <x:v>Discovery evidence only</x:v>
      </x:c>
      <x:c r="O2197" s="17" t="str">
        <x:v>Use the source_record_paths field to trace the underlying discovery inputs.</x:v>
      </x:c>
      <x:c r="P2197" s="18" t="e">
        <x:f>HYPERLINK("https://www.brown.edu","Open source")</x:f>
        <x:v>HYPERLINK is not implemented. linkLocation=https://www.brown.edu, friendlyName=Open source</x:v>
      </x:c>
    </x:row>
    <x:row r="2198" ht="46" customHeight="1">
      <x:c r="A2198" s="17" t="str">
        <x:v>stage3src:52c7ef5ee9b18efe6a93</x:v>
      </x:c>
      <x:c r="B2198" s="17" t="str">
        <x:v>program</x:v>
      </x:c>
      <x:c r="C2198" s="17" t="str">
        <x:v>Johnson &amp; Wales University-Providence</x:v>
      </x:c>
      <x:c r="D2198" s="17" t="str">
        <x:v>us:ipeds:217235:program:unclear:ipeds-discovery-signal-computer-and-information-systems-security-auditing-information-assurance-cip-11-1003</x:v>
      </x:c>
      <x:c r="E2198" s="17" t="str"/>
      <x:c r="F2198" s="17" t="str">
        <x:v>discovery</x:v>
      </x:c>
      <x:c r="G2198" s="17" t="str">
        <x:v>Stage 2 recorded this row as a discovery candidate; it does not independently verify an exact current research program, eligibility, or funding.</x:v>
      </x:c>
      <x:c r="H2198" s="17" t="str">
        <x:v>Pass 2 Stage 2 candidate funnel</x:v>
      </x:c>
      <x:c r="I2198" s="17" t="str">
        <x:v>Graduate audit pipeline</x:v>
      </x:c>
      <x:c r="J2198" s="17" t="str">
        <x:v>derived</x:v>
      </x:c>
      <x:c r="K2198" s="17" t="str">
        <x:v>2026-09-11</x:v>
      </x:c>
      <x:c r="L2198" s="17" t="str">
        <x:v>Not cycle-specific</x:v>
      </x:c>
      <x:c r="M2198" s="17" t="str">
        <x:v>low</x:v>
      </x:c>
      <x:c r="N2198" s="17" t="str">
        <x:v>Discovery evidence only</x:v>
      </x:c>
      <x:c r="O2198" s="17" t="str">
        <x:v>Use the source_record_paths field to trace the underlying discovery inputs.</x:v>
      </x:c>
      <x:c r="P2198" s="18" t="e">
        <x:f>HYPERLINK("https://www.jwu.edu/campuses/providence","Open source")</x:f>
        <x:v>HYPERLINK is not implemented. linkLocation=https://www.jwu.edu/campuses/providence, friendlyName=Open source</x:v>
      </x:c>
    </x:row>
    <x:row r="2199" ht="46" customHeight="1">
      <x:c r="A2199" s="17" t="str">
        <x:v>stage3src:caad51b4f3fe5c68667b</x:v>
      </x:c>
      <x:c r="B2199" s="17" t="str">
        <x:v>program</x:v>
      </x:c>
      <x:c r="C2199" s="17" t="str">
        <x:v>New England Institute of Technology</x:v>
      </x:c>
      <x:c r="D2199" s="17" t="str">
        <x:v>us:ipeds:217305:program:unclear:ipeds-discovery-signal-computer-and-information-systems-security-auditing-information-assurance-cip-11-1003</x:v>
      </x:c>
      <x:c r="E2199" s="17" t="str"/>
      <x:c r="F2199" s="17" t="str">
        <x:v>discovery</x:v>
      </x:c>
      <x:c r="G2199" s="17" t="str">
        <x:v>Stage 2 recorded this row as a discovery candidate; it does not independently verify an exact current research program, eligibility, or funding.</x:v>
      </x:c>
      <x:c r="H2199" s="17" t="str">
        <x:v>Pass 2 Stage 2 candidate funnel</x:v>
      </x:c>
      <x:c r="I2199" s="17" t="str">
        <x:v>Graduate audit pipeline</x:v>
      </x:c>
      <x:c r="J2199" s="17" t="str">
        <x:v>derived</x:v>
      </x:c>
      <x:c r="K2199" s="17" t="str">
        <x:v>2026-09-11</x:v>
      </x:c>
      <x:c r="L2199" s="17" t="str">
        <x:v>Not cycle-specific</x:v>
      </x:c>
      <x:c r="M2199" s="17" t="str">
        <x:v>low</x:v>
      </x:c>
      <x:c r="N2199" s="17" t="str">
        <x:v>Discovery evidence only</x:v>
      </x:c>
      <x:c r="O2199" s="17" t="str">
        <x:v>Use the source_record_paths field to trace the underlying discovery inputs.</x:v>
      </x:c>
      <x:c r="P2199" s="18" t="e">
        <x:f>HYPERLINK("https://www.neit.edu","Open source")</x:f>
        <x:v>HYPERLINK is not implemented. linkLocation=https://www.neit.edu, friendlyName=Open source</x:v>
      </x:c>
    </x:row>
    <x:row r="2200" ht="46" customHeight="1">
      <x:c r="A2200" s="17" t="str">
        <x:v>stage3src:f23fc4c65e9c10cfcdd4</x:v>
      </x:c>
      <x:c r="B2200" s="17" t="str">
        <x:v>program</x:v>
      </x:c>
      <x:c r="C2200" s="17" t="str">
        <x:v>Providence College</x:v>
      </x:c>
      <x:c r="D2200" s="17" t="str">
        <x:v>us:ipeds:217402:program:unclear:cross-path-catalog-review</x:v>
      </x:c>
      <x:c r="E2200" s="17" t="str"/>
      <x:c r="F2200" s="17" t="str">
        <x:v>discovery</x:v>
      </x:c>
      <x:c r="G2200" s="17" t="str">
        <x:v>Stage 2 recorded this row as a discovery candidate; it does not independently verify an exact current research program, eligibility, or funding.</x:v>
      </x:c>
      <x:c r="H2200" s="17" t="str">
        <x:v>Pass 2 Stage 2 candidate funnel</x:v>
      </x:c>
      <x:c r="I2200" s="17" t="str">
        <x:v>Graduate audit pipeline</x:v>
      </x:c>
      <x:c r="J2200" s="17" t="str">
        <x:v>derived</x:v>
      </x:c>
      <x:c r="K2200" s="17" t="str">
        <x:v>2026-09-11</x:v>
      </x:c>
      <x:c r="L2200" s="17" t="str">
        <x:v>Not cycle-specific</x:v>
      </x:c>
      <x:c r="M2200" s="17" t="str">
        <x:v>low</x:v>
      </x:c>
      <x:c r="N2200" s="17" t="str">
        <x:v>Discovery evidence only</x:v>
      </x:c>
      <x:c r="O2200" s="17" t="str">
        <x:v>Use the source_record_paths field to trace the underlying discovery inputs.</x:v>
      </x:c>
      <x:c r="P2200" s="18" t="e">
        <x:f>HYPERLINK("https://www.providence.edu","Open source")</x:f>
        <x:v>HYPERLINK is not implemented. linkLocation=https://www.providence.edu, friendlyName=Open source</x:v>
      </x:c>
    </x:row>
    <x:row r="2201" ht="46" customHeight="1">
      <x:c r="A2201" s="17" t="str">
        <x:v>stage3src:52326daa6397213296c1</x:v>
      </x:c>
      <x:c r="B2201" s="17" t="str">
        <x:v>program</x:v>
      </x:c>
      <x:c r="C2201" s="17" t="str">
        <x:v>University of Rhode Island</x:v>
      </x:c>
      <x:c r="D2201" s="17" t="str">
        <x:v>us:ipeds:217484:program:phd:computer-science-ph-d</x:v>
      </x:c>
      <x:c r="E2201" s="17" t="str"/>
      <x:c r="F2201" s="17" t="str">
        <x:v>program|research|eligibility</x:v>
      </x:c>
      <x:c r="G2201" s="17" t="str">
        <x:v>Current Computer Science PhD and research-doctorate route.</x:v>
      </x:c>
      <x:c r="H2201" s="17" t="str">
        <x:v>Computer Science Ph.D.</x:v>
      </x:c>
      <x:c r="I2201" s="17" t="str">
        <x:v>University of Rhode Island</x:v>
      </x:c>
      <x:c r="J2201" s="17" t="str">
        <x:v>official</x:v>
      </x:c>
      <x:c r="K2201" s="17" t="str">
        <x:v>2026-09-11</x:v>
      </x:c>
      <x:c r="L2201" s="17" t="str">
        <x:v>Current page checked 2026-09-11</x:v>
      </x:c>
      <x:c r="M2201" s="17" t="str">
        <x:v>high</x:v>
      </x:c>
      <x:c r="N2201" s="17" t="str">
        <x:v>official page checked</x:v>
      </x:c>
      <x:c r="O2201" s="17" t="str"/>
      <x:c r="P2201" s="18" t="e">
        <x:f>HYPERLINK("https://www.uri.edu/programs/program/computer-science-ph-d/","Open source")</x:f>
        <x:v>HYPERLINK is not implemented. linkLocation=https://www.uri.edu/programs/program/computer-science-ph-d/, friendlyName=Open source</x:v>
      </x:c>
    </x:row>
    <x:row r="2202" ht="46" customHeight="1">
      <x:c r="A2202" s="17" t="str">
        <x:v>stage3src:75a47cf955924a25dc93</x:v>
      </x:c>
      <x:c r="B2202" s="17" t="str">
        <x:v>program</x:v>
      </x:c>
      <x:c r="C2202" s="17" t="str">
        <x:v>University of Rhode Island</x:v>
      </x:c>
      <x:c r="D2202" s="17" t="str">
        <x:v>us:ipeds:217484:program:phd:computer-science-ph-d</x:v>
      </x:c>
      <x:c r="E2202" s="17" t="str"/>
      <x:c r="F2202" s="17" t="str">
        <x:v>admissions|eligibility|deadline|fees|language</x:v>
      </x:c>
      <x:c r="G2202" s="17" t="str">
        <x:v>Current Computer and Statistical Sciences PhD deadline listing, graduate admission process, GPA expectation, and international English framework.</x:v>
      </x:c>
      <x:c r="H2202" s="17" t="str">
        <x:v>Apply to the Graduate School</x:v>
      </x:c>
      <x:c r="I2202" s="17" t="str">
        <x:v>University of Rhode Island Graduate School</x:v>
      </x:c>
      <x:c r="J2202" s="17" t="str">
        <x:v>official</x:v>
      </x:c>
      <x:c r="K2202" s="17" t="str">
        <x:v>2026-09-11</x:v>
      </x:c>
      <x:c r="L2202" s="17" t="str">
        <x:v>Current page checked 2026-09-11</x:v>
      </x:c>
      <x:c r="M2202" s="17" t="str">
        <x:v>high</x:v>
      </x:c>
      <x:c r="N2202" s="17" t="str">
        <x:v>official page checked</x:v>
      </x:c>
      <x:c r="O2202" s="17" t="str"/>
      <x:c r="P2202" s="18" t="e">
        <x:f>HYPERLINK("https://web.uri.edu/graduate-school/apply/","Open source")</x:f>
        <x:v>HYPERLINK is not implemented. linkLocation=https://web.uri.edu/graduate-school/apply/, friendlyName=Open source</x:v>
      </x:c>
    </x:row>
    <x:row r="2203" ht="46" customHeight="1">
      <x:c r="A2203" s="17" t="str">
        <x:v>stage3src:a628e2bffc2f1813b1b6</x:v>
      </x:c>
      <x:c r="B2203" s="17" t="str">
        <x:v>program</x:v>
      </x:c>
      <x:c r="C2203" s="17" t="str">
        <x:v>University of Rhode Island</x:v>
      </x:c>
      <x:c r="D2203" s="17" t="str">
        <x:v>us:ipeds:217484:program:phd:computer-science-ph-d</x:v>
      </x:c>
      <x:c r="E2203" s="17" t="str"/>
      <x:c r="F2203" s="17" t="str">
        <x:v>funding|tuition|fees</x:v>
      </x:c>
      <x:c r="G2203" s="17" t="str">
        <x:v>2026-27 full-time assistantship stipend, 100% tuition remission, 40% standard-fee coverage, health-insurance waiver, and uncovered cost boundaries.</x:v>
      </x:c>
      <x:c r="H2203" s="17" t="str">
        <x:v>Graduate Assistantships</x:v>
      </x:c>
      <x:c r="I2203" s="17" t="str">
        <x:v>University of Rhode Island Graduate School</x:v>
      </x:c>
      <x:c r="J2203" s="17" t="str">
        <x:v>official</x:v>
      </x:c>
      <x:c r="K2203" s="17" t="str">
        <x:v>2026-09-11</x:v>
      </x:c>
      <x:c r="L2203" s="17" t="str">
        <x:v>2026-27 terms checked 2026-09-11</x:v>
      </x:c>
      <x:c r="M2203" s="17" t="str">
        <x:v>high</x:v>
      </x:c>
      <x:c r="N2203" s="17" t="str">
        <x:v>official page checked</x:v>
      </x:c>
      <x:c r="O2203" s="17" t="str"/>
      <x:c r="P2203" s="18" t="e">
        <x:f>HYPERLINK("https://web.uri.edu/graduate-school/funding/assistantships/","Open source")</x:f>
        <x:v>HYPERLINK is not implemented. linkLocation=https://web.uri.edu/graduate-school/funding/assistantships/, friendlyName=Open source</x:v>
      </x:c>
    </x:row>
    <x:row r="2204" ht="46" customHeight="1">
      <x:c r="A2204" s="17" t="str">
        <x:v>stage3src:cea55b44550637d03d16</x:v>
      </x:c>
      <x:c r="B2204" s="17" t="str">
        <x:v>program</x:v>
      </x:c>
      <x:c r="C2204" s="17" t="str">
        <x:v>University of Rhode Island</x:v>
      </x:c>
      <x:c r="D2204" s="17" t="str">
        <x:v>us:ipeds:217484:program:unclear:ipeds-discovery-signal-computer-and-information-sciences-general-cip-11-0101</x:v>
      </x:c>
      <x:c r="E2204" s="17" t="str"/>
      <x:c r="F2204" s="17" t="str">
        <x:v>discovery</x:v>
      </x:c>
      <x:c r="G2204" s="17" t="str">
        <x:v>Stage 2 recorded this row as a discovery candidate; it does not independently verify an exact current research program, eligibility, or funding.</x:v>
      </x:c>
      <x:c r="H2204" s="17" t="str">
        <x:v>Pass 2 Stage 2 candidate funnel</x:v>
      </x:c>
      <x:c r="I2204" s="17" t="str">
        <x:v>Graduate audit pipeline</x:v>
      </x:c>
      <x:c r="J2204" s="17" t="str">
        <x:v>derived</x:v>
      </x:c>
      <x:c r="K2204" s="17" t="str">
        <x:v>2026-09-11</x:v>
      </x:c>
      <x:c r="L2204" s="17" t="str">
        <x:v>Not cycle-specific</x:v>
      </x:c>
      <x:c r="M2204" s="17" t="str">
        <x:v>low</x:v>
      </x:c>
      <x:c r="N2204" s="17" t="str">
        <x:v>Discovery evidence only</x:v>
      </x:c>
      <x:c r="O2204" s="17" t="str">
        <x:v>Use the source_record_paths field to trace the underlying discovery inputs.</x:v>
      </x:c>
      <x:c r="P2204" s="18" t="e">
        <x:f>HYPERLINK("https://web.uri.edu","Open source")</x:f>
        <x:v>HYPERLINK is not implemented. linkLocation=https://web.uri.edu, friendlyName=Open source</x:v>
      </x:c>
    </x:row>
    <x:row r="2205" ht="46" customHeight="1">
      <x:c r="A2205" s="17" t="str">
        <x:v>stage3src:45c43d4ca1d37b9bf00c</x:v>
      </x:c>
      <x:c r="B2205" s="17" t="str">
        <x:v>program</x:v>
      </x:c>
      <x:c r="C2205" s="17" t="str">
        <x:v>University of Rhode Island</x:v>
      </x:c>
      <x:c r="D2205" s="17" t="str">
        <x:v>us:ipeds:217484:program:unclear:ipeds-discovery-signal-computer-and-information-systems-security-auditing-information-assurance-cip-11-1003</x:v>
      </x:c>
      <x:c r="E2205" s="17" t="str"/>
      <x:c r="F2205" s="17" t="str">
        <x:v>discovery</x:v>
      </x:c>
      <x:c r="G2205" s="17" t="str">
        <x:v>Stage 2 recorded this row as a discovery candidate; it does not independently verify an exact current research program, eligibility, or funding.</x:v>
      </x:c>
      <x:c r="H2205" s="17" t="str">
        <x:v>Pass 2 Stage 2 candidate funnel</x:v>
      </x:c>
      <x:c r="I2205" s="17" t="str">
        <x:v>Graduate audit pipeline</x:v>
      </x:c>
      <x:c r="J2205" s="17" t="str">
        <x:v>derived</x:v>
      </x:c>
      <x:c r="K2205" s="17" t="str">
        <x:v>2026-09-11</x:v>
      </x:c>
      <x:c r="L2205" s="17" t="str">
        <x:v>Not cycle-specific</x:v>
      </x:c>
      <x:c r="M2205" s="17" t="str">
        <x:v>low</x:v>
      </x:c>
      <x:c r="N2205" s="17" t="str">
        <x:v>Discovery evidence only</x:v>
      </x:c>
      <x:c r="O2205" s="17" t="str">
        <x:v>Use the source_record_paths field to trace the underlying discovery inputs.</x:v>
      </x:c>
      <x:c r="P2205" s="18" t="e">
        <x:f>HYPERLINK("https://web.uri.edu","Open source")</x:f>
        <x:v>HYPERLINK is not implemented. linkLocation=https://web.uri.edu, friendlyName=Open source</x:v>
      </x:c>
    </x:row>
    <x:row r="2206" ht="46" customHeight="1">
      <x:c r="A2206" s="17" t="str">
        <x:v>stage3src:766a51c2d85b744ea10f</x:v>
      </x:c>
      <x:c r="B2206" s="17" t="str">
        <x:v>program</x:v>
      </x:c>
      <x:c r="C2206" s="17" t="str">
        <x:v>University of Rhode Island</x:v>
      </x:c>
      <x:c r="D2206" s="17" t="str">
        <x:v>us:ipeds:217484:program:unclear:ipeds-discovery-signal-computer-science-cip-11-0701</x:v>
      </x:c>
      <x:c r="E2206" s="17" t="str"/>
      <x:c r="F2206" s="17" t="str">
        <x:v>discovery</x:v>
      </x:c>
      <x:c r="G2206" s="17" t="str">
        <x:v>Stage 2 recorded this row as a discovery candidate; it does not independently verify an exact current research program, eligibility, or funding.</x:v>
      </x:c>
      <x:c r="H2206" s="17" t="str">
        <x:v>Pass 2 Stage 2 candidate funnel</x:v>
      </x:c>
      <x:c r="I2206" s="17" t="str">
        <x:v>Graduate audit pipeline</x:v>
      </x:c>
      <x:c r="J2206" s="17" t="str">
        <x:v>derived</x:v>
      </x:c>
      <x:c r="K2206" s="17" t="str">
        <x:v>2026-09-11</x:v>
      </x:c>
      <x:c r="L2206" s="17" t="str">
        <x:v>Not cycle-specific</x:v>
      </x:c>
      <x:c r="M2206" s="17" t="str">
        <x:v>low</x:v>
      </x:c>
      <x:c r="N2206" s="17" t="str">
        <x:v>Discovery evidence only</x:v>
      </x:c>
      <x:c r="O2206" s="17" t="str">
        <x:v>Use the source_record_paths field to trace the underlying discovery inputs.</x:v>
      </x:c>
      <x:c r="P2206" s="18" t="e">
        <x:f>HYPERLINK("https://web.uri.edu","Open source")</x:f>
        <x:v>HYPERLINK is not implemented. linkLocation=https://web.uri.edu, friendlyName=Open source</x:v>
      </x:c>
    </x:row>
    <x:row r="2207" ht="46" customHeight="1">
      <x:c r="A2207" s="17" t="str">
        <x:v>stage3src:4ece4e67e76b3aac8a1b</x:v>
      </x:c>
      <x:c r="B2207" s="17" t="str">
        <x:v>program</x:v>
      </x:c>
      <x:c r="C2207" s="17" t="str">
        <x:v>University of Rhode Island</x:v>
      </x:c>
      <x:c r="D2207" s="17" t="str">
        <x:v>us:ipeds:217484:program:unclear:ipeds-discovery-signal-electrical-and-electronics-engineering-cip-14-1001</x:v>
      </x:c>
      <x:c r="E2207" s="17" t="str"/>
      <x:c r="F2207" s="17" t="str">
        <x:v>discovery</x:v>
      </x:c>
      <x:c r="G2207" s="17" t="str">
        <x:v>Stage 2 recorded this row as a discovery candidate; it does not independently verify an exact current research program, eligibility, or funding.</x:v>
      </x:c>
      <x:c r="H2207" s="17" t="str">
        <x:v>Pass 2 Stage 2 candidate funnel</x:v>
      </x:c>
      <x:c r="I2207" s="17" t="str">
        <x:v>Graduate audit pipeline</x:v>
      </x:c>
      <x:c r="J2207" s="17" t="str">
        <x:v>derived</x:v>
      </x:c>
      <x:c r="K2207" s="17" t="str">
        <x:v>2026-09-11</x:v>
      </x:c>
      <x:c r="L2207" s="17" t="str">
        <x:v>Not cycle-specific</x:v>
      </x:c>
      <x:c r="M2207" s="17" t="str">
        <x:v>low</x:v>
      </x:c>
      <x:c r="N2207" s="17" t="str">
        <x:v>Discovery evidence only</x:v>
      </x:c>
      <x:c r="O2207" s="17" t="str">
        <x:v>Use the source_record_paths field to trace the underlying discovery inputs.</x:v>
      </x:c>
      <x:c r="P2207" s="18" t="e">
        <x:f>HYPERLINK("https://web.uri.edu","Open source")</x:f>
        <x:v>HYPERLINK is not implemented. linkLocation=https://web.uri.edu, friendlyName=Open source</x:v>
      </x:c>
    </x:row>
    <x:row r="2208" ht="46" customHeight="1">
      <x:c r="A2208" s="17" t="str">
        <x:v>stage3src:de8941805f6a2e577878</x:v>
      </x:c>
      <x:c r="B2208" s="17" t="str">
        <x:v>program</x:v>
      </x:c>
      <x:c r="C2208" s="17" t="str">
        <x:v>Roger Williams University</x:v>
      </x:c>
      <x:c r="D2208" s="17" t="str">
        <x:v>us:ipeds:217518:program:unclear:ipeds-discovery-signal-computer-and-information-systems-security-auditing-information-assurance-cip-11-1003</x:v>
      </x:c>
      <x:c r="E2208" s="17" t="str"/>
      <x:c r="F2208" s="17" t="str">
        <x:v>discovery</x:v>
      </x:c>
      <x:c r="G2208" s="17" t="str">
        <x:v>Stage 2 recorded this row as a discovery candidate; it does not independently verify an exact current research program, eligibility, or funding.</x:v>
      </x:c>
      <x:c r="H2208" s="17" t="str">
        <x:v>Pass 2 Stage 2 candidate funnel</x:v>
      </x:c>
      <x:c r="I2208" s="17" t="str">
        <x:v>Graduate audit pipeline</x:v>
      </x:c>
      <x:c r="J2208" s="17" t="str">
        <x:v>derived</x:v>
      </x:c>
      <x:c r="K2208" s="17" t="str">
        <x:v>2026-09-11</x:v>
      </x:c>
      <x:c r="L2208" s="17" t="str">
        <x:v>Not cycle-specific</x:v>
      </x:c>
      <x:c r="M2208" s="17" t="str">
        <x:v>low</x:v>
      </x:c>
      <x:c r="N2208" s="17" t="str">
        <x:v>Discovery evidence only</x:v>
      </x:c>
      <x:c r="O2208" s="17" t="str">
        <x:v>Use the source_record_paths field to trace the underlying discovery inputs.</x:v>
      </x:c>
      <x:c r="P2208" s="18" t="e">
        <x:f>HYPERLINK("https://www.rwu.edu","Open source")</x:f>
        <x:v>HYPERLINK is not implemented. linkLocation=https://www.rwu.edu, friendlyName=Open source</x:v>
      </x:c>
    </x:row>
    <x:row r="2209" ht="46" customHeight="1">
      <x:c r="A2209" s="17" t="str">
        <x:v>stage3src:b74d1aa462d64c27098f</x:v>
      </x:c>
      <x:c r="B2209" s="17" t="str">
        <x:v>program</x:v>
      </x:c>
      <x:c r="C2209" s="17" t="str">
        <x:v>Charleston Southern University</x:v>
      </x:c>
      <x:c r="D2209" s="17" t="str">
        <x:v>us:ipeds:217688:program:unclear:ipeds-discovery-signal-computer-and-information-sciences-general-cip-11-0101</x:v>
      </x:c>
      <x:c r="E2209" s="17" t="str"/>
      <x:c r="F2209" s="17" t="str">
        <x:v>discovery</x:v>
      </x:c>
      <x:c r="G2209" s="17" t="str">
        <x:v>Stage 2 recorded this row as a discovery candidate; it does not independently verify an exact current research program, eligibility, or funding.</x:v>
      </x:c>
      <x:c r="H2209" s="17" t="str">
        <x:v>Pass 2 Stage 2 candidate funnel</x:v>
      </x:c>
      <x:c r="I2209" s="17" t="str">
        <x:v>Graduate audit pipeline</x:v>
      </x:c>
      <x:c r="J2209" s="17" t="str">
        <x:v>derived</x:v>
      </x:c>
      <x:c r="K2209" s="17" t="str">
        <x:v>2026-09-11</x:v>
      </x:c>
      <x:c r="L2209" s="17" t="str">
        <x:v>Not cycle-specific</x:v>
      </x:c>
      <x:c r="M2209" s="17" t="str">
        <x:v>low</x:v>
      </x:c>
      <x:c r="N2209" s="17" t="str">
        <x:v>Discovery evidence only</x:v>
      </x:c>
      <x:c r="O2209" s="17" t="str">
        <x:v>Use the source_record_paths field to trace the underlying discovery inputs.</x:v>
      </x:c>
      <x:c r="P2209" s="18" t="e">
        <x:f>HYPERLINK("https://www.charlestonsouthern.edu","Open source")</x:f>
        <x:v>HYPERLINK is not implemented. linkLocation=https://www.charlestonsouthern.edu, friendlyName=Open source</x:v>
      </x:c>
    </x:row>
    <x:row r="2210" ht="46" customHeight="1">
      <x:c r="A2210" s="17" t="str">
        <x:v>stage3src:a982562adc77f3892d59</x:v>
      </x:c>
      <x:c r="B2210" s="17" t="str">
        <x:v>program</x:v>
      </x:c>
      <x:c r="C2210" s="17" t="str">
        <x:v>College of Charleston</x:v>
      </x:c>
      <x:c r="D2210" s="17" t="str">
        <x:v>us:ipeds:217819:program:unclear:ipeds-discovery-signal-computer-and-information-sciences-other-cip-11-0199</x:v>
      </x:c>
      <x:c r="E2210" s="17" t="str"/>
      <x:c r="F2210" s="17" t="str">
        <x:v>discovery</x:v>
      </x:c>
      <x:c r="G2210" s="17" t="str">
        <x:v>Stage 2 recorded this row as a discovery candidate; it does not independently verify an exact current research program, eligibility, or funding.</x:v>
      </x:c>
      <x:c r="H2210" s="17" t="str">
        <x:v>Pass 2 Stage 2 candidate funnel</x:v>
      </x:c>
      <x:c r="I2210" s="17" t="str">
        <x:v>Graduate audit pipeline</x:v>
      </x:c>
      <x:c r="J2210" s="17" t="str">
        <x:v>derived</x:v>
      </x:c>
      <x:c r="K2210" s="17" t="str">
        <x:v>2026-09-11</x:v>
      </x:c>
      <x:c r="L2210" s="17" t="str">
        <x:v>Not cycle-specific</x:v>
      </x:c>
      <x:c r="M2210" s="17" t="str">
        <x:v>low</x:v>
      </x:c>
      <x:c r="N2210" s="17" t="str">
        <x:v>Discovery evidence only</x:v>
      </x:c>
      <x:c r="O2210" s="17" t="str">
        <x:v>Use the source_record_paths field to trace the underlying discovery inputs.</x:v>
      </x:c>
      <x:c r="P2210" s="18" t="e">
        <x:f>HYPERLINK("https://www.charleston.edu","Open source")</x:f>
        <x:v>HYPERLINK is not implemented. linkLocation=https://www.charleston.edu, friendlyName=Open source</x:v>
      </x:c>
    </x:row>
    <x:row r="2211" ht="46" customHeight="1">
      <x:c r="A2211" s="17" t="str">
        <x:v>stage3src:03323ffe0a1221df8c7e</x:v>
      </x:c>
      <x:c r="B2211" s="17" t="str">
        <x:v>program</x:v>
      </x:c>
      <x:c r="C2211" s="17" t="str">
        <x:v>College of Charleston</x:v>
      </x:c>
      <x:c r="D2211" s="17" t="str">
        <x:v>us:ipeds:217819:program:unclear:ipeds-discovery-signal-computer-science-cip-11-0701</x:v>
      </x:c>
      <x:c r="E2211" s="17" t="str"/>
      <x:c r="F2211" s="17" t="str">
        <x:v>discovery</x:v>
      </x:c>
      <x:c r="G2211" s="17" t="str">
        <x:v>Stage 2 recorded this row as a discovery candidate; it does not independently verify an exact current research program, eligibility, or funding.</x:v>
      </x:c>
      <x:c r="H2211" s="17" t="str">
        <x:v>Pass 2 Stage 2 candidate funnel</x:v>
      </x:c>
      <x:c r="I2211" s="17" t="str">
        <x:v>Graduate audit pipeline</x:v>
      </x:c>
      <x:c r="J2211" s="17" t="str">
        <x:v>derived</x:v>
      </x:c>
      <x:c r="K2211" s="17" t="str">
        <x:v>2026-09-11</x:v>
      </x:c>
      <x:c r="L2211" s="17" t="str">
        <x:v>Not cycle-specific</x:v>
      </x:c>
      <x:c r="M2211" s="17" t="str">
        <x:v>low</x:v>
      </x:c>
      <x:c r="N2211" s="17" t="str">
        <x:v>Discovery evidence only</x:v>
      </x:c>
      <x:c r="O2211" s="17" t="str">
        <x:v>Use the source_record_paths field to trace the underlying discovery inputs.</x:v>
      </x:c>
      <x:c r="P2211" s="18" t="e">
        <x:f>HYPERLINK("https://www.charleston.edu","Open source")</x:f>
        <x:v>HYPERLINK is not implemented. linkLocation=https://www.charleston.edu, friendlyName=Open source</x:v>
      </x:c>
    </x:row>
    <x:row r="2212" ht="46" customHeight="1">
      <x:c r="A2212" s="17" t="str">
        <x:v>stage3src:d2324515169f156c9273</x:v>
      </x:c>
      <x:c r="B2212" s="17" t="str">
        <x:v>program</x:v>
      </x:c>
      <x:c r="C2212" s="17" t="str">
        <x:v>College of Charleston</x:v>
      </x:c>
      <x:c r="D2212" s="17" t="str">
        <x:v>us:ipeds:217819:program:unclear:ipeds-discovery-signal-data-science-general-cip-30-7001</x:v>
      </x:c>
      <x:c r="E2212" s="17" t="str"/>
      <x:c r="F2212" s="17" t="str">
        <x:v>discovery</x:v>
      </x:c>
      <x:c r="G2212" s="17" t="str">
        <x:v>Stage 2 recorded this row as a discovery candidate; it does not independently verify an exact current research program, eligibility, or funding.</x:v>
      </x:c>
      <x:c r="H2212" s="17" t="str">
        <x:v>Pass 2 Stage 2 candidate funnel</x:v>
      </x:c>
      <x:c r="I2212" s="17" t="str">
        <x:v>Graduate audit pipeline</x:v>
      </x:c>
      <x:c r="J2212" s="17" t="str">
        <x:v>derived</x:v>
      </x:c>
      <x:c r="K2212" s="17" t="str">
        <x:v>2026-09-11</x:v>
      </x:c>
      <x:c r="L2212" s="17" t="str">
        <x:v>Not cycle-specific</x:v>
      </x:c>
      <x:c r="M2212" s="17" t="str">
        <x:v>low</x:v>
      </x:c>
      <x:c r="N2212" s="17" t="str">
        <x:v>Discovery evidence only</x:v>
      </x:c>
      <x:c r="O2212" s="17" t="str">
        <x:v>Use the source_record_paths field to trace the underlying discovery inputs.</x:v>
      </x:c>
      <x:c r="P2212" s="18" t="e">
        <x:f>HYPERLINK("https://www.charleston.edu","Open source")</x:f>
        <x:v>HYPERLINK is not implemented. linkLocation=https://www.charleston.edu, friendlyName=Open source</x:v>
      </x:c>
    </x:row>
    <x:row r="2213" ht="46" customHeight="1">
      <x:c r="A2213" s="17" t="str">
        <x:v>stage3src:6ed90c42b31bbd779be6</x:v>
      </x:c>
      <x:c r="B2213" s="17" t="str">
        <x:v>program</x:v>
      </x:c>
      <x:c r="C2213" s="17" t="str">
        <x:v>Citadel Military College of South Carolina</x:v>
      </x:c>
      <x:c r="D2213" s="17" t="str">
        <x:v>us:ipeds:217864:program:unclear:ipeds-discovery-signal-computer-science-cip-11-0701</x:v>
      </x:c>
      <x:c r="E2213" s="17" t="str"/>
      <x:c r="F2213" s="17" t="str">
        <x:v>discovery</x:v>
      </x:c>
      <x:c r="G2213" s="17" t="str">
        <x:v>Stage 2 recorded this row as a discovery candidate; it does not independently verify an exact current research program, eligibility, or funding.</x:v>
      </x:c>
      <x:c r="H2213" s="17" t="str">
        <x:v>Pass 2 Stage 2 candidate funnel</x:v>
      </x:c>
      <x:c r="I2213" s="17" t="str">
        <x:v>Graduate audit pipeline</x:v>
      </x:c>
      <x:c r="J2213" s="17" t="str">
        <x:v>derived</x:v>
      </x:c>
      <x:c r="K2213" s="17" t="str">
        <x:v>2026-09-11</x:v>
      </x:c>
      <x:c r="L2213" s="17" t="str">
        <x:v>Not cycle-specific</x:v>
      </x:c>
      <x:c r="M2213" s="17" t="str">
        <x:v>low</x:v>
      </x:c>
      <x:c r="N2213" s="17" t="str">
        <x:v>Discovery evidence only</x:v>
      </x:c>
      <x:c r="O2213" s="17" t="str">
        <x:v>Use the source_record_paths field to trace the underlying discovery inputs.</x:v>
      </x:c>
      <x:c r="P2213" s="18" t="e">
        <x:f>HYPERLINK("https://citadel.edu","Open source")</x:f>
        <x:v>HYPERLINK is not implemented. linkLocation=https://citadel.edu, friendlyName=Open source</x:v>
      </x:c>
    </x:row>
    <x:row r="2214" ht="46" customHeight="1">
      <x:c r="A2214" s="17" t="str">
        <x:v>stage3src:eca503f2d00f6499ac2a</x:v>
      </x:c>
      <x:c r="B2214" s="17" t="str">
        <x:v>program</x:v>
      </x:c>
      <x:c r="C2214" s="17" t="str">
        <x:v>Citadel Military College of South Carolina</x:v>
      </x:c>
      <x:c r="D2214" s="17" t="str">
        <x:v>us:ipeds:217864:program:unclear:ipeds-discovery-signal-electrical-and-electronics-engineering-cip-14-1001</x:v>
      </x:c>
      <x:c r="E2214" s="17" t="str"/>
      <x:c r="F2214" s="17" t="str">
        <x:v>discovery</x:v>
      </x:c>
      <x:c r="G2214" s="17" t="str">
        <x:v>Stage 2 recorded this row as a discovery candidate; it does not independently verify an exact current research program, eligibility, or funding.</x:v>
      </x:c>
      <x:c r="H2214" s="17" t="str">
        <x:v>Pass 2 Stage 2 candidate funnel</x:v>
      </x:c>
      <x:c r="I2214" s="17" t="str">
        <x:v>Graduate audit pipeline</x:v>
      </x:c>
      <x:c r="J2214" s="17" t="str">
        <x:v>derived</x:v>
      </x:c>
      <x:c r="K2214" s="17" t="str">
        <x:v>2026-09-11</x:v>
      </x:c>
      <x:c r="L2214" s="17" t="str">
        <x:v>Not cycle-specific</x:v>
      </x:c>
      <x:c r="M2214" s="17" t="str">
        <x:v>low</x:v>
      </x:c>
      <x:c r="N2214" s="17" t="str">
        <x:v>Discovery evidence only</x:v>
      </x:c>
      <x:c r="O2214" s="17" t="str">
        <x:v>Use the source_record_paths field to trace the underlying discovery inputs.</x:v>
      </x:c>
      <x:c r="P2214" s="18" t="e">
        <x:f>HYPERLINK("https://citadel.edu","Open source")</x:f>
        <x:v>HYPERLINK is not implemented. linkLocation=https://citadel.edu, friendlyName=Open source</x:v>
      </x:c>
    </x:row>
    <x:row r="2215" ht="46" customHeight="1">
      <x:c r="A2215" s="17" t="str">
        <x:v>stage3src:4d96f221ff326e470d59</x:v>
      </x:c>
      <x:c r="B2215" s="17" t="str">
        <x:v>program</x:v>
      </x:c>
      <x:c r="C2215" s="17" t="str">
        <x:v>Clemson University</x:v>
      </x:c>
      <x:c r="D2215" s="17" t="str">
        <x:v>us:ipeds:217882:program:phd:computer-science-phd</x:v>
      </x:c>
      <x:c r="E2215" s="17" t="str"/>
      <x:c r="F2215" s="17" t="str">
        <x:v>admissions|eligibility|deadline|funding|fees</x:v>
      </x:c>
      <x:c r="G2215" s="17" t="str">
        <x:v>Bachelor's eligibility, recurring Fall deadlines, competitive assistantship consideration, reduced tuition, and no funding guarantee.</x:v>
      </x:c>
      <x:c r="H2215" s="17" t="str">
        <x:v>Graduate Frequently Asked Questions</x:v>
      </x:c>
      <x:c r="I2215" s="17" t="str">
        <x:v>Clemson University School of Computing</x:v>
      </x:c>
      <x:c r="J2215" s="17" t="str">
        <x:v>official</x:v>
      </x:c>
      <x:c r="K2215" s="17" t="str">
        <x:v>2026-09-10</x:v>
      </x:c>
      <x:c r="L2215" s="17" t="str">
        <x:v>Current page checked 2026-09-10</x:v>
      </x:c>
      <x:c r="M2215" s="17" t="str">
        <x:v>high</x:v>
      </x:c>
      <x:c r="N2215" s="17" t="str">
        <x:v>official page checked</x:v>
      </x:c>
      <x:c r="O2215" s="17" t="str"/>
      <x:c r="P2215" s="18" t="e">
        <x:f>HYPERLINK("https://www.clemson.edu/cecas/departments/computing/academics/graduates/faq.html","Open source")</x:f>
        <x:v>HYPERLINK is not implemented. linkLocation=https://www.clemson.edu/cecas/departments/computing/academics/graduates/faq.html, friendlyName=Open source</x:v>
      </x:c>
    </x:row>
    <x:row r="2216" ht="46" customHeight="1">
      <x:c r="A2216" s="17" t="str">
        <x:v>stage3src:74a0afcef22a7f7021de</x:v>
      </x:c>
      <x:c r="B2216" s="17" t="str">
        <x:v>program</x:v>
      </x:c>
      <x:c r="C2216" s="17" t="str">
        <x:v>Clemson University</x:v>
      </x:c>
      <x:c r="D2216" s="17" t="str">
        <x:v>us:ipeds:217882:program:phd:computer-science-phd</x:v>
      </x:c>
      <x:c r="E2216" s="17" t="str"/>
      <x:c r="F2216" s="17" t="str">
        <x:v>program|admissions|eligibility|language</x:v>
      </x:c>
      <x:c r="G2216" s="17" t="str">
        <x:v>Current CS PhD, bachelor's-entry credit route, dissertation, research areas, GRE guidance, and international English rule.</x:v>
      </x:c>
      <x:c r="H2216" s="17" t="str">
        <x:v>Computer Science Ph.D.</x:v>
      </x:c>
      <x:c r="I2216" s="17" t="str">
        <x:v>Clemson University School of Computing</x:v>
      </x:c>
      <x:c r="J2216" s="17" t="str">
        <x:v>official</x:v>
      </x:c>
      <x:c r="K2216" s="17" t="str">
        <x:v>2026-09-10</x:v>
      </x:c>
      <x:c r="L2216" s="17" t="str">
        <x:v>Current page checked 2026-09-10</x:v>
      </x:c>
      <x:c r="M2216" s="17" t="str">
        <x:v>high</x:v>
      </x:c>
      <x:c r="N2216" s="17" t="str">
        <x:v>official page checked</x:v>
      </x:c>
      <x:c r="O2216" s="17" t="str"/>
      <x:c r="P2216" s="18" t="e">
        <x:f>HYPERLINK("https://www.clemson.edu/cecas/departments/computing/academics/graduates/degrees/phd-cs.html","Open source")</x:f>
        <x:v>HYPERLINK is not implemented. linkLocation=https://www.clemson.edu/cecas/departments/computing/academics/graduates/degrees/phd-cs.html, friendlyName=Open source</x:v>
      </x:c>
    </x:row>
    <x:row r="2217" ht="46" customHeight="1">
      <x:c r="A2217" s="17" t="str">
        <x:v>stage3src:7ec18f52a2dc98c8e4da</x:v>
      </x:c>
      <x:c r="B2217" s="17" t="str">
        <x:v>program</x:v>
      </x:c>
      <x:c r="C2217" s="17" t="str">
        <x:v>Clemson University</x:v>
      </x:c>
      <x:c r="D2217" s="17" t="str">
        <x:v>us:ipeds:217882:program:unclear:ipeds-discovery-signal-computer-and-information-sciences-general-cip-11-0101</x:v>
      </x:c>
      <x:c r="E2217" s="17" t="str"/>
      <x:c r="F2217" s="17" t="str">
        <x:v>discovery</x:v>
      </x:c>
      <x:c r="G2217" s="17" t="str">
        <x:v>Stage 2 recorded this row as a discovery candidate; it does not independently verify an exact current research program, eligibility, or funding.</x:v>
      </x:c>
      <x:c r="H2217" s="17" t="str">
        <x:v>Pass 2 Stage 2 candidate funnel</x:v>
      </x:c>
      <x:c r="I2217" s="17" t="str">
        <x:v>Graduate audit pipeline</x:v>
      </x:c>
      <x:c r="J2217" s="17" t="str">
        <x:v>derived</x:v>
      </x:c>
      <x:c r="K2217" s="17" t="str">
        <x:v>2026-09-11</x:v>
      </x:c>
      <x:c r="L2217" s="17" t="str">
        <x:v>Not cycle-specific</x:v>
      </x:c>
      <x:c r="M2217" s="17" t="str">
        <x:v>low</x:v>
      </x:c>
      <x:c r="N2217" s="17" t="str">
        <x:v>Discovery evidence only</x:v>
      </x:c>
      <x:c r="O2217" s="17" t="str">
        <x:v>Use the source_record_paths field to trace the underlying discovery inputs.</x:v>
      </x:c>
      <x:c r="P2217" s="18" t="e">
        <x:f>HYPERLINK("https://www.clemson.edu","Open source")</x:f>
        <x:v>HYPERLINK is not implemented. linkLocation=https://www.clemson.edu, friendlyName=Open source</x:v>
      </x:c>
    </x:row>
    <x:row r="2218" ht="46" customHeight="1">
      <x:c r="A2218" s="17" t="str">
        <x:v>stage3src:329bfbc5b28e456d5b31</x:v>
      </x:c>
      <x:c r="B2218" s="17" t="str">
        <x:v>program</x:v>
      </x:c>
      <x:c r="C2218" s="17" t="str">
        <x:v>Clemson University</x:v>
      </x:c>
      <x:c r="D2218" s="17" t="str">
        <x:v>us:ipeds:217882:program:unclear:ipeds-discovery-signal-computer-engineering-general-cip-14-0901</x:v>
      </x:c>
      <x:c r="E2218" s="17" t="str"/>
      <x:c r="F2218" s="17" t="str">
        <x:v>discovery</x:v>
      </x:c>
      <x:c r="G2218" s="17" t="str">
        <x:v>Stage 2 recorded this row as a discovery candidate; it does not independently verify an exact current research program, eligibility, or funding.</x:v>
      </x:c>
      <x:c r="H2218" s="17" t="str">
        <x:v>Pass 2 Stage 2 candidate funnel</x:v>
      </x:c>
      <x:c r="I2218" s="17" t="str">
        <x:v>Graduate audit pipeline</x:v>
      </x:c>
      <x:c r="J2218" s="17" t="str">
        <x:v>derived</x:v>
      </x:c>
      <x:c r="K2218" s="17" t="str">
        <x:v>2026-09-11</x:v>
      </x:c>
      <x:c r="L2218" s="17" t="str">
        <x:v>Not cycle-specific</x:v>
      </x:c>
      <x:c r="M2218" s="17" t="str">
        <x:v>low</x:v>
      </x:c>
      <x:c r="N2218" s="17" t="str">
        <x:v>Discovery evidence only</x:v>
      </x:c>
      <x:c r="O2218" s="17" t="str">
        <x:v>Use the source_record_paths field to trace the underlying discovery inputs.</x:v>
      </x:c>
      <x:c r="P2218" s="18" t="e">
        <x:f>HYPERLINK("https://www.clemson.edu","Open source")</x:f>
        <x:v>HYPERLINK is not implemented. linkLocation=https://www.clemson.edu, friendlyName=Open source</x:v>
      </x:c>
    </x:row>
    <x:row r="2219" ht="46" customHeight="1">
      <x:c r="A2219" s="17" t="str">
        <x:v>stage3src:783a0ba38e15c4aac26b</x:v>
      </x:c>
      <x:c r="B2219" s="17" t="str">
        <x:v>program</x:v>
      </x:c>
      <x:c r="C2219" s="17" t="str">
        <x:v>Clemson University</x:v>
      </x:c>
      <x:c r="D2219" s="17" t="str">
        <x:v>us:ipeds:217882:program:unclear:ipeds-discovery-signal-electrical-and-electronics-engineering-cip-14-1001</x:v>
      </x:c>
      <x:c r="E2219" s="17" t="str"/>
      <x:c r="F2219" s="17" t="str">
        <x:v>discovery</x:v>
      </x:c>
      <x:c r="G2219" s="17" t="str">
        <x:v>Stage 2 recorded this row as a discovery candidate; it does not independently verify an exact current research program, eligibility, or funding.</x:v>
      </x:c>
      <x:c r="H2219" s="17" t="str">
        <x:v>Pass 2 Stage 2 candidate funnel</x:v>
      </x:c>
      <x:c r="I2219" s="17" t="str">
        <x:v>Graduate audit pipeline</x:v>
      </x:c>
      <x:c r="J2219" s="17" t="str">
        <x:v>derived</x:v>
      </x:c>
      <x:c r="K2219" s="17" t="str">
        <x:v>2026-09-11</x:v>
      </x:c>
      <x:c r="L2219" s="17" t="str">
        <x:v>Not cycle-specific</x:v>
      </x:c>
      <x:c r="M2219" s="17" t="str">
        <x:v>low</x:v>
      </x:c>
      <x:c r="N2219" s="17" t="str">
        <x:v>Discovery evidence only</x:v>
      </x:c>
      <x:c r="O2219" s="17" t="str">
        <x:v>Use the source_record_paths field to trace the underlying discovery inputs.</x:v>
      </x:c>
      <x:c r="P2219" s="18" t="e">
        <x:f>HYPERLINK("https://www.clemson.edu","Open source")</x:f>
        <x:v>HYPERLINK is not implemented. linkLocation=https://www.clemson.edu, friendlyName=Open source</x:v>
      </x:c>
    </x:row>
    <x:row r="2220" ht="46" customHeight="1">
      <x:c r="A2220" s="17" t="str">
        <x:v>stage3src:7351eb10e97d7ece1000</x:v>
      </x:c>
      <x:c r="B2220" s="17" t="str">
        <x:v>program</x:v>
      </x:c>
      <x:c r="C2220" s="17" t="str">
        <x:v>Clemson University</x:v>
      </x:c>
      <x:c r="D2220" s="17" t="str">
        <x:v>us:ipeds:217882:program:unclear:ipeds-discovery-signal-informatics-cip-11-0104</x:v>
      </x:c>
      <x:c r="E2220" s="17" t="str"/>
      <x:c r="F2220" s="17" t="str">
        <x:v>discovery</x:v>
      </x:c>
      <x:c r="G2220" s="17" t="str">
        <x:v>Stage 2 recorded this row as a discovery candidate; it does not independently verify an exact current research program, eligibility, or funding.</x:v>
      </x:c>
      <x:c r="H2220" s="17" t="str">
        <x:v>Pass 2 Stage 2 candidate funnel</x:v>
      </x:c>
      <x:c r="I2220" s="17" t="str">
        <x:v>Graduate audit pipeline</x:v>
      </x:c>
      <x:c r="J2220" s="17" t="str">
        <x:v>derived</x:v>
      </x:c>
      <x:c r="K2220" s="17" t="str">
        <x:v>2026-09-11</x:v>
      </x:c>
      <x:c r="L2220" s="17" t="str">
        <x:v>Not cycle-specific</x:v>
      </x:c>
      <x:c r="M2220" s="17" t="str">
        <x:v>low</x:v>
      </x:c>
      <x:c r="N2220" s="17" t="str">
        <x:v>Discovery evidence only</x:v>
      </x:c>
      <x:c r="O2220" s="17" t="str">
        <x:v>Use the source_record_paths field to trace the underlying discovery inputs.</x:v>
      </x:c>
      <x:c r="P2220" s="18" t="e">
        <x:f>HYPERLINK("https://www.clemson.edu","Open source")</x:f>
        <x:v>HYPERLINK is not implemented. linkLocation=https://www.clemson.edu, friendlyName=Open source</x:v>
      </x:c>
    </x:row>
    <x:row r="2221" ht="46" customHeight="1">
      <x:c r="A2221" s="17" t="str">
        <x:v>stage3src:0e60e36403e1701f7a9a</x:v>
      </x:c>
      <x:c r="B2221" s="17" t="str">
        <x:v>program</x:v>
      </x:c>
      <x:c r="C2221" s="17" t="str">
        <x:v>University of South Carolina-Columbia</x:v>
      </x:c>
      <x:c r="D2221" s="17" t="str">
        <x:v>us:ipeds:218663:program:phd:doctor-of-philosophy-in-computer-science</x:v>
      </x:c>
      <x:c r="E2221" s="17" t="str"/>
      <x:c r="F2221" s="17" t="str">
        <x:v>funding|tuition</x:v>
      </x:c>
      <x:c r="G2221" s="17" t="str">
        <x:v>Automatic consideration for limited teaching assistantships, research-assistantship route, stipend, and tuition-supplement boundary.</x:v>
      </x:c>
      <x:c r="H2221" s="17" t="str">
        <x:v>Financial Support</x:v>
      </x:c>
      <x:c r="I2221" s="17" t="str">
        <x:v>University of South Carolina</x:v>
      </x:c>
      <x:c r="J2221" s="17" t="str">
        <x:v>official</x:v>
      </x:c>
      <x:c r="K2221" s="17" t="str">
        <x:v>2026-09-11</x:v>
      </x:c>
      <x:c r="L2221" s="17" t="str">
        <x:v>Current policy checked 2026-09-11</x:v>
      </x:c>
      <x:c r="M2221" s="17" t="str">
        <x:v>high</x:v>
      </x:c>
      <x:c r="N2221" s="17" t="str">
        <x:v>official page checked</x:v>
      </x:c>
      <x:c r="O2221" s="17" t="str"/>
      <x:c r="P2221" s="18" t="e">
        <x:f>HYPERLINK("https://cse.sc.edu/content/financial-support","Open source")</x:f>
        <x:v>HYPERLINK is not implemented. linkLocation=https://cse.sc.edu/content/financial-support, friendlyName=Open source</x:v>
      </x:c>
    </x:row>
    <x:row r="2222" ht="46" customHeight="1">
      <x:c r="A2222" s="17" t="str">
        <x:v>stage3src:3f261f13bcdc8fe06222</x:v>
      </x:c>
      <x:c r="B2222" s="17" t="str">
        <x:v>program</x:v>
      </x:c>
      <x:c r="C2222" s="17" t="str">
        <x:v>University of South Carolina-Columbia</x:v>
      </x:c>
      <x:c r="D2222" s="17" t="str">
        <x:v>us:ipeds:218663:program:phd:doctor-of-philosophy-in-computer-science</x:v>
      </x:c>
      <x:c r="E2222" s="17" t="str"/>
      <x:c r="F2222" s="17" t="str">
        <x:v>program|research</x:v>
      </x:c>
      <x:c r="G2222" s="17" t="str">
        <x:v>Current Computer Science PhD and doctoral research structure.</x:v>
      </x:c>
      <x:c r="H2222" s="17" t="str">
        <x:v>Computer Science PhD</x:v>
      </x:c>
      <x:c r="I2222" s="17" t="str">
        <x:v>University of South Carolina</x:v>
      </x:c>
      <x:c r="J2222" s="17" t="str">
        <x:v>official</x:v>
      </x:c>
      <x:c r="K2222" s="17" t="str">
        <x:v>2026-09-11</x:v>
      </x:c>
      <x:c r="L2222" s="17" t="str">
        <x:v>Current page checked 2026-09-11</x:v>
      </x:c>
      <x:c r="M2222" s="17" t="str">
        <x:v>high</x:v>
      </x:c>
      <x:c r="N2222" s="17" t="str">
        <x:v>official page checked</x:v>
      </x:c>
      <x:c r="O2222" s="17" t="str"/>
      <x:c r="P2222" s="18" t="e">
        <x:f>HYPERLINK("https://cse.sc.edu/graduate/phd","Open source")</x:f>
        <x:v>HYPERLINK is not implemented. linkLocation=https://cse.sc.edu/graduate/phd, friendlyName=Open source</x:v>
      </x:c>
    </x:row>
    <x:row r="2223" ht="46" customHeight="1">
      <x:c r="A2223" s="17" t="str">
        <x:v>stage3src:5f2b34dd3797bd8ab3d4</x:v>
      </x:c>
      <x:c r="B2223" s="17" t="str">
        <x:v>program</x:v>
      </x:c>
      <x:c r="C2223" s="17" t="str">
        <x:v>University of South Carolina-Columbia</x:v>
      </x:c>
      <x:c r="D2223" s="17" t="str">
        <x:v>us:ipeds:218663:program:phd:doctor-of-philosophy-in-computer-science</x:v>
      </x:c>
      <x:c r="E2223" s="17" t="str"/>
      <x:c r="F2223" s="17" t="str">
        <x:v>fees|admissions</x:v>
      </x:c>
      <x:c r="G2223" s="17" t="str">
        <x:v>Fall 2027 $50 per-primary-application fee and central no-waiver policy.</x:v>
      </x:c>
      <x:c r="H2223" s="17" t="str">
        <x:v>Apply to the Graduate School</x:v>
      </x:c>
      <x:c r="I2223" s="17" t="str">
        <x:v>University of South Carolina</x:v>
      </x:c>
      <x:c r="J2223" s="17" t="str">
        <x:v>official</x:v>
      </x:c>
      <x:c r="K2223" s="17" t="str">
        <x:v>2026-09-11</x:v>
      </x:c>
      <x:c r="L2223" s="17" t="str">
        <x:v>Policy effective 2026-08-01 checked 2026-09-11</x:v>
      </x:c>
      <x:c r="M2223" s="17" t="str">
        <x:v>high</x:v>
      </x:c>
      <x:c r="N2223" s="17" t="str">
        <x:v>official page checked</x:v>
      </x:c>
      <x:c r="O2223" s="17" t="str"/>
      <x:c r="P2223" s="18" t="e">
        <x:f>HYPERLINK("https://sc.edu/study/colleges_schools/graduate_school/apply/index.php?page=apply","Open source")</x:f>
        <x:v>HYPERLINK is not implemented. linkLocation=https://sc.edu/study/colleges_schools/graduate_school/apply/index.php?page=apply, friendlyName=Open source</x:v>
      </x:c>
    </x:row>
    <x:row r="2224" ht="46" customHeight="1">
      <x:c r="A2224" s="17" t="str">
        <x:v>stage3src:fef4b1f1893ac10a5270</x:v>
      </x:c>
      <x:c r="B2224" s="17" t="str">
        <x:v>program</x:v>
      </x:c>
      <x:c r="C2224" s="17" t="str">
        <x:v>University of South Carolina-Columbia</x:v>
      </x:c>
      <x:c r="D2224" s="17" t="str">
        <x:v>us:ipeds:218663:program:phd:doctor-of-philosophy-in-computer-science</x:v>
      </x:c>
      <x:c r="E2224" s="17" t="str"/>
      <x:c r="F2224" s="17" t="str">
        <x:v>admissions|eligibility|language|deadline</x:v>
      </x:c>
      <x:c r="G2224" s="17" t="str">
        <x:v>Bachelor's direct entry, international English rules, committee model, and recurring deadlines.</x:v>
      </x:c>
      <x:c r="H2224" s="17" t="str">
        <x:v>Admission Requirements to the Graduate Programs in CSE</x:v>
      </x:c>
      <x:c r="I2224" s="17" t="str">
        <x:v>University of South Carolina</x:v>
      </x:c>
      <x:c r="J2224" s="17" t="str">
        <x:v>official</x:v>
      </x:c>
      <x:c r="K2224" s="17" t="str">
        <x:v>2026-09-11</x:v>
      </x:c>
      <x:c r="L2224" s="17" t="str">
        <x:v>Current recurring cycle checked 2026-09-11</x:v>
      </x:c>
      <x:c r="M2224" s="17" t="str">
        <x:v>high</x:v>
      </x:c>
      <x:c r="N2224" s="17" t="str">
        <x:v>official page checked</x:v>
      </x:c>
      <x:c r="O2224" s="17" t="str"/>
      <x:c r="P2224" s="18" t="e">
        <x:f>HYPERLINK("https://www.cse.sc.edu/graduate/admissions","Open source")</x:f>
        <x:v>HYPERLINK is not implemented. linkLocation=https://www.cse.sc.edu/graduate/admissions, friendlyName=Open source</x:v>
      </x:c>
    </x:row>
    <x:row r="2225" ht="46" customHeight="1">
      <x:c r="A2225" s="17" t="str">
        <x:v>stage3src:4314f40d30416ba0b60d</x:v>
      </x:c>
      <x:c r="B2225" s="17" t="str">
        <x:v>program</x:v>
      </x:c>
      <x:c r="C2225" s="17" t="str">
        <x:v>University of South Carolina-Columbia</x:v>
      </x:c>
      <x:c r="D2225" s="17" t="str">
        <x:v>us:ipeds:218663:program:unclear:ipeds-discovery-signal-computer-engineering-general-cip-14-0901</x:v>
      </x:c>
      <x:c r="E2225" s="17" t="str"/>
      <x:c r="F2225" s="17" t="str">
        <x:v>discovery</x:v>
      </x:c>
      <x:c r="G2225" s="17" t="str">
        <x:v>Stage 2 recorded this row as a discovery candidate; it does not independently verify an exact current research program, eligibility, or funding.</x:v>
      </x:c>
      <x:c r="H2225" s="17" t="str">
        <x:v>Pass 2 Stage 2 candidate funnel</x:v>
      </x:c>
      <x:c r="I2225" s="17" t="str">
        <x:v>Graduate audit pipeline</x:v>
      </x:c>
      <x:c r="J2225" s="17" t="str">
        <x:v>derived</x:v>
      </x:c>
      <x:c r="K2225" s="17" t="str">
        <x:v>2026-09-11</x:v>
      </x:c>
      <x:c r="L2225" s="17" t="str">
        <x:v>Not cycle-specific</x:v>
      </x:c>
      <x:c r="M2225" s="17" t="str">
        <x:v>low</x:v>
      </x:c>
      <x:c r="N2225" s="17" t="str">
        <x:v>Discovery evidence only</x:v>
      </x:c>
      <x:c r="O2225" s="17" t="str">
        <x:v>Use the source_record_paths field to trace the underlying discovery inputs.</x:v>
      </x:c>
      <x:c r="P2225" s="18" t="e">
        <x:f>HYPERLINK("https://www.sc.edu","Open source")</x:f>
        <x:v>HYPERLINK is not implemented. linkLocation=https://www.sc.edu, friendlyName=Open source</x:v>
      </x:c>
    </x:row>
    <x:row r="2226" ht="46" customHeight="1">
      <x:c r="A2226" s="17" t="str">
        <x:v>stage3src:2d0d47f4a430d17b3a21</x:v>
      </x:c>
      <x:c r="B2226" s="17" t="str">
        <x:v>program</x:v>
      </x:c>
      <x:c r="C2226" s="17" t="str">
        <x:v>University of South Carolina-Columbia</x:v>
      </x:c>
      <x:c r="D2226" s="17" t="str">
        <x:v>us:ipeds:218663:program:unclear:ipeds-discovery-signal-computer-science-cip-11-0701</x:v>
      </x:c>
      <x:c r="E2226" s="17" t="str"/>
      <x:c r="F2226" s="17" t="str">
        <x:v>discovery</x:v>
      </x:c>
      <x:c r="G2226" s="17" t="str">
        <x:v>Stage 2 recorded this row as a discovery candidate; it does not independently verify an exact current research program, eligibility, or funding.</x:v>
      </x:c>
      <x:c r="H2226" s="17" t="str">
        <x:v>Pass 2 Stage 2 candidate funnel</x:v>
      </x:c>
      <x:c r="I2226" s="17" t="str">
        <x:v>Graduate audit pipeline</x:v>
      </x:c>
      <x:c r="J2226" s="17" t="str">
        <x:v>derived</x:v>
      </x:c>
      <x:c r="K2226" s="17" t="str">
        <x:v>2026-09-11</x:v>
      </x:c>
      <x:c r="L2226" s="17" t="str">
        <x:v>Not cycle-specific</x:v>
      </x:c>
      <x:c r="M2226" s="17" t="str">
        <x:v>low</x:v>
      </x:c>
      <x:c r="N2226" s="17" t="str">
        <x:v>Discovery evidence only</x:v>
      </x:c>
      <x:c r="O2226" s="17" t="str">
        <x:v>Use the source_record_paths field to trace the underlying discovery inputs.</x:v>
      </x:c>
      <x:c r="P2226" s="18" t="e">
        <x:f>HYPERLINK("https://www.sc.edu","Open source")</x:f>
        <x:v>HYPERLINK is not implemented. linkLocation=https://www.sc.edu, friendlyName=Open source</x:v>
      </x:c>
    </x:row>
    <x:row r="2227" ht="46" customHeight="1">
      <x:c r="A2227" s="17" t="str">
        <x:v>stage3src:68d84e5c56ad632251b8</x:v>
      </x:c>
      <x:c r="B2227" s="17" t="str">
        <x:v>program</x:v>
      </x:c>
      <x:c r="C2227" s="17" t="str">
        <x:v>University of South Carolina-Columbia</x:v>
      </x:c>
      <x:c r="D2227" s="17" t="str">
        <x:v>us:ipeds:218663:program:unclear:ipeds-discovery-signal-electrical-and-electronics-engineering-cip-14-1001</x:v>
      </x:c>
      <x:c r="E2227" s="17" t="str"/>
      <x:c r="F2227" s="17" t="str">
        <x:v>discovery</x:v>
      </x:c>
      <x:c r="G2227" s="17" t="str">
        <x:v>Stage 2 recorded this row as a discovery candidate; it does not independently verify an exact current research program, eligibility, or funding.</x:v>
      </x:c>
      <x:c r="H2227" s="17" t="str">
        <x:v>Pass 2 Stage 2 candidate funnel</x:v>
      </x:c>
      <x:c r="I2227" s="17" t="str">
        <x:v>Graduate audit pipeline</x:v>
      </x:c>
      <x:c r="J2227" s="17" t="str">
        <x:v>derived</x:v>
      </x:c>
      <x:c r="K2227" s="17" t="str">
        <x:v>2026-09-11</x:v>
      </x:c>
      <x:c r="L2227" s="17" t="str">
        <x:v>Not cycle-specific</x:v>
      </x:c>
      <x:c r="M2227" s="17" t="str">
        <x:v>low</x:v>
      </x:c>
      <x:c r="N2227" s="17" t="str">
        <x:v>Discovery evidence only</x:v>
      </x:c>
      <x:c r="O2227" s="17" t="str">
        <x:v>Use the source_record_paths field to trace the underlying discovery inputs.</x:v>
      </x:c>
      <x:c r="P2227" s="18" t="e">
        <x:f>HYPERLINK("https://www.sc.edu","Open source")</x:f>
        <x:v>HYPERLINK is not implemented. linkLocation=https://www.sc.edu, friendlyName=Open source</x:v>
      </x:c>
    </x:row>
    <x:row r="2228" ht="46" customHeight="1">
      <x:c r="A2228" s="17" t="str">
        <x:v>stage3src:7be90cfaed4886b3f643</x:v>
      </x:c>
      <x:c r="B2228" s="17" t="str">
        <x:v>program</x:v>
      </x:c>
      <x:c r="C2228" s="17" t="str">
        <x:v>University of South Carolina-Columbia</x:v>
      </x:c>
      <x:c r="D2228" s="17" t="str">
        <x:v>us:ipeds:218663:program:unclear:ipeds-discovery-signal-informatics-cip-11-0104</x:v>
      </x:c>
      <x:c r="E2228" s="17" t="str"/>
      <x:c r="F2228" s="17" t="str">
        <x:v>discovery</x:v>
      </x:c>
      <x:c r="G2228" s="17" t="str">
        <x:v>Stage 2 recorded this row as a discovery candidate; it does not independently verify an exact current research program, eligibility, or funding.</x:v>
      </x:c>
      <x:c r="H2228" s="17" t="str">
        <x:v>Pass 2 Stage 2 candidate funnel</x:v>
      </x:c>
      <x:c r="I2228" s="17" t="str">
        <x:v>Graduate audit pipeline</x:v>
      </x:c>
      <x:c r="J2228" s="17" t="str">
        <x:v>derived</x:v>
      </x:c>
      <x:c r="K2228" s="17" t="str">
        <x:v>2026-09-11</x:v>
      </x:c>
      <x:c r="L2228" s="17" t="str">
        <x:v>Not cycle-specific</x:v>
      </x:c>
      <x:c r="M2228" s="17" t="str">
        <x:v>low</x:v>
      </x:c>
      <x:c r="N2228" s="17" t="str">
        <x:v>Discovery evidence only</x:v>
      </x:c>
      <x:c r="O2228" s="17" t="str">
        <x:v>Use the source_record_paths field to trace the underlying discovery inputs.</x:v>
      </x:c>
      <x:c r="P2228" s="18" t="e">
        <x:f>HYPERLINK("https://www.sc.edu","Open source")</x:f>
        <x:v>HYPERLINK is not implemented. linkLocation=https://www.sc.edu, friendlyName=Open source</x:v>
      </x:c>
    </x:row>
    <x:row r="2229" ht="46" customHeight="1">
      <x:c r="A2229" s="17" t="str">
        <x:v>stage3src:09bca6c19dcb691a970a</x:v>
      </x:c>
      <x:c r="B2229" s="17" t="str">
        <x:v>program</x:v>
      </x:c>
      <x:c r="C2229" s="17" t="str">
        <x:v>University of South Carolina-Columbia</x:v>
      </x:c>
      <x:c r="D2229" s="17" t="str">
        <x:v>us:ipeds:218663:program:unclear:ipeds-discovery-signal-information-technology-cip-11-0103</x:v>
      </x:c>
      <x:c r="E2229" s="17" t="str"/>
      <x:c r="F2229" s="17" t="str">
        <x:v>discovery</x:v>
      </x:c>
      <x:c r="G2229" s="17" t="str">
        <x:v>Stage 2 recorded this row as a discovery candidate; it does not independently verify an exact current research program, eligibility, or funding.</x:v>
      </x:c>
      <x:c r="H2229" s="17" t="str">
        <x:v>Pass 2 Stage 2 candidate funnel</x:v>
      </x:c>
      <x:c r="I2229" s="17" t="str">
        <x:v>Graduate audit pipeline</x:v>
      </x:c>
      <x:c r="J2229" s="17" t="str">
        <x:v>derived</x:v>
      </x:c>
      <x:c r="K2229" s="17" t="str">
        <x:v>2026-09-11</x:v>
      </x:c>
      <x:c r="L2229" s="17" t="str">
        <x:v>Not cycle-specific</x:v>
      </x:c>
      <x:c r="M2229" s="17" t="str">
        <x:v>low</x:v>
      </x:c>
      <x:c r="N2229" s="17" t="str">
        <x:v>Discovery evidence only</x:v>
      </x:c>
      <x:c r="O2229" s="17" t="str">
        <x:v>Use the source_record_paths field to trace the underlying discovery inputs.</x:v>
      </x:c>
      <x:c r="P2229" s="18" t="e">
        <x:f>HYPERLINK("https://www.sc.edu","Open source")</x:f>
        <x:v>HYPERLINK is not implemented. linkLocation=https://www.sc.edu, friendlyName=Open source</x:v>
      </x:c>
    </x:row>
    <x:row r="2230" ht="46" customHeight="1">
      <x:c r="A2230" s="17" t="str">
        <x:v>stage3src:930582f90d389c4da829</x:v>
      </x:c>
      <x:c r="B2230" s="17" t="str">
        <x:v>program</x:v>
      </x:c>
      <x:c r="C2230" s="17" t="str">
        <x:v>Coastal Carolina University</x:v>
      </x:c>
      <x:c r="D2230" s="17" t="str">
        <x:v>us:ipeds:218724:program:unclear:ipeds-discovery-signal-computer-and-information-systems-security-auditing-information-assurance-cip-11-1003</x:v>
      </x:c>
      <x:c r="E2230" s="17" t="str"/>
      <x:c r="F2230" s="17" t="str">
        <x:v>discovery</x:v>
      </x:c>
      <x:c r="G2230" s="17" t="str">
        <x:v>Stage 2 recorded this row as a discovery candidate; it does not independently verify an exact current research program, eligibility, or funding.</x:v>
      </x:c>
      <x:c r="H2230" s="17" t="str">
        <x:v>Pass 2 Stage 2 candidate funnel</x:v>
      </x:c>
      <x:c r="I2230" s="17" t="str">
        <x:v>Graduate audit pipeline</x:v>
      </x:c>
      <x:c r="J2230" s="17" t="str">
        <x:v>derived</x:v>
      </x:c>
      <x:c r="K2230" s="17" t="str">
        <x:v>2026-09-11</x:v>
      </x:c>
      <x:c r="L2230" s="17" t="str">
        <x:v>Not cycle-specific</x:v>
      </x:c>
      <x:c r="M2230" s="17" t="str">
        <x:v>low</x:v>
      </x:c>
      <x:c r="N2230" s="17" t="str">
        <x:v>Discovery evidence only</x:v>
      </x:c>
      <x:c r="O2230" s="17" t="str">
        <x:v>Use the source_record_paths field to trace the underlying discovery inputs.</x:v>
      </x:c>
      <x:c r="P2230" s="18" t="e">
        <x:f>HYPERLINK("https://www.coastal.edu","Open source")</x:f>
        <x:v>HYPERLINK is not implemented. linkLocation=https://www.coastal.edu, friendlyName=Open source</x:v>
      </x:c>
    </x:row>
    <x:row r="2231" ht="46" customHeight="1">
      <x:c r="A2231" s="17" t="str">
        <x:v>stage3src:345c1e089f1b59302ac4</x:v>
      </x:c>
      <x:c r="B2231" s="17" t="str">
        <x:v>program</x:v>
      </x:c>
      <x:c r="C2231" s="17" t="str">
        <x:v>Dakota State University</x:v>
      </x:c>
      <x:c r="D2231" s="17" t="str">
        <x:v>us:ipeds:219082:program:unclear:ipeds-discovery-signal-computer-and-information-sciences-general-cip-11-0101</x:v>
      </x:c>
      <x:c r="E2231" s="17" t="str"/>
      <x:c r="F2231" s="17" t="str">
        <x:v>discovery</x:v>
      </x:c>
      <x:c r="G2231" s="17" t="str">
        <x:v>Stage 2 recorded this row as a discovery candidate; it does not independently verify an exact current research program, eligibility, or funding.</x:v>
      </x:c>
      <x:c r="H2231" s="17" t="str">
        <x:v>Pass 2 Stage 2 candidate funnel</x:v>
      </x:c>
      <x:c r="I2231" s="17" t="str">
        <x:v>Graduate audit pipeline</x:v>
      </x:c>
      <x:c r="J2231" s="17" t="str">
        <x:v>derived</x:v>
      </x:c>
      <x:c r="K2231" s="17" t="str">
        <x:v>2026-09-11</x:v>
      </x:c>
      <x:c r="L2231" s="17" t="str">
        <x:v>Not cycle-specific</x:v>
      </x:c>
      <x:c r="M2231" s="17" t="str">
        <x:v>low</x:v>
      </x:c>
      <x:c r="N2231" s="17" t="str">
        <x:v>Discovery evidence only</x:v>
      </x:c>
      <x:c r="O2231" s="17" t="str">
        <x:v>Use the source_record_paths field to trace the underlying discovery inputs.</x:v>
      </x:c>
      <x:c r="P2231" s="18" t="e">
        <x:f>HYPERLINK("https://dsu.edu","Open source")</x:f>
        <x:v>HYPERLINK is not implemented. linkLocation=https://dsu.edu, friendlyName=Open source</x:v>
      </x:c>
    </x:row>
    <x:row r="2232" ht="46" customHeight="1">
      <x:c r="A2232" s="17" t="str">
        <x:v>stage3src:4abd73ecd986fcf1a5e1</x:v>
      </x:c>
      <x:c r="B2232" s="17" t="str">
        <x:v>program</x:v>
      </x:c>
      <x:c r="C2232" s="17" t="str">
        <x:v>Dakota State University</x:v>
      </x:c>
      <x:c r="D2232" s="17" t="str">
        <x:v>us:ipeds:219082:program:unclear:ipeds-discovery-signal-computer-and-information-systems-security-auditing-information-assurance-cip-11-1003</x:v>
      </x:c>
      <x:c r="E2232" s="17" t="str"/>
      <x:c r="F2232" s="17" t="str">
        <x:v>discovery</x:v>
      </x:c>
      <x:c r="G2232" s="17" t="str">
        <x:v>Stage 2 recorded this row as a discovery candidate; it does not independently verify an exact current research program, eligibility, or funding.</x:v>
      </x:c>
      <x:c r="H2232" s="17" t="str">
        <x:v>Pass 2 Stage 2 candidate funnel</x:v>
      </x:c>
      <x:c r="I2232" s="17" t="str">
        <x:v>Graduate audit pipeline</x:v>
      </x:c>
      <x:c r="J2232" s="17" t="str">
        <x:v>derived</x:v>
      </x:c>
      <x:c r="K2232" s="17" t="str">
        <x:v>2026-09-11</x:v>
      </x:c>
      <x:c r="L2232" s="17" t="str">
        <x:v>Not cycle-specific</x:v>
      </x:c>
      <x:c r="M2232" s="17" t="str">
        <x:v>low</x:v>
      </x:c>
      <x:c r="N2232" s="17" t="str">
        <x:v>Discovery evidence only</x:v>
      </x:c>
      <x:c r="O2232" s="17" t="str">
        <x:v>Use the source_record_paths field to trace the underlying discovery inputs.</x:v>
      </x:c>
      <x:c r="P2232" s="18" t="e">
        <x:f>HYPERLINK("https://dsu.edu","Open source")</x:f>
        <x:v>HYPERLINK is not implemented. linkLocation=https://dsu.edu, friendlyName=Open source</x:v>
      </x:c>
    </x:row>
    <x:row r="2233" ht="46" customHeight="1">
      <x:c r="A2233" s="17" t="str">
        <x:v>stage3src:8a2edbeecd3be67bcc91</x:v>
      </x:c>
      <x:c r="B2233" s="17" t="str">
        <x:v>program</x:v>
      </x:c>
      <x:c r="C2233" s="17" t="str">
        <x:v>Dakota State University</x:v>
      </x:c>
      <x:c r="D2233" s="17" t="str">
        <x:v>us:ipeds:219082:program:unclear:ipeds-discovery-signal-information-science-studies-cip-11-0401</x:v>
      </x:c>
      <x:c r="E2233" s="17" t="str"/>
      <x:c r="F2233" s="17" t="str">
        <x:v>discovery</x:v>
      </x:c>
      <x:c r="G2233" s="17" t="str">
        <x:v>Stage 2 recorded this row as a discovery candidate; it does not independently verify an exact current research program, eligibility, or funding.</x:v>
      </x:c>
      <x:c r="H2233" s="17" t="str">
        <x:v>Pass 2 Stage 2 candidate funnel</x:v>
      </x:c>
      <x:c r="I2233" s="17" t="str">
        <x:v>Graduate audit pipeline</x:v>
      </x:c>
      <x:c r="J2233" s="17" t="str">
        <x:v>derived</x:v>
      </x:c>
      <x:c r="K2233" s="17" t="str">
        <x:v>2026-09-11</x:v>
      </x:c>
      <x:c r="L2233" s="17" t="str">
        <x:v>Not cycle-specific</x:v>
      </x:c>
      <x:c r="M2233" s="17" t="str">
        <x:v>low</x:v>
      </x:c>
      <x:c r="N2233" s="17" t="str">
        <x:v>Discovery evidence only</x:v>
      </x:c>
      <x:c r="O2233" s="17" t="str">
        <x:v>Use the source_record_paths field to trace the underlying discovery inputs.</x:v>
      </x:c>
      <x:c r="P2233" s="18" t="e">
        <x:f>HYPERLINK("https://dsu.edu","Open source")</x:f>
        <x:v>HYPERLINK is not implemented. linkLocation=https://dsu.edu, friendlyName=Open source</x:v>
      </x:c>
    </x:row>
    <x:row r="2234" ht="46" customHeight="1">
      <x:c r="A2234" s="17" t="str">
        <x:v>stage3src:791a0f4c8089d8aa7580</x:v>
      </x:c>
      <x:c r="B2234" s="17" t="str">
        <x:v>program</x:v>
      </x:c>
      <x:c r="C2234" s="17" t="str">
        <x:v>South Dakota School of Mines and Technology</x:v>
      </x:c>
      <x:c r="D2234" s="17" t="str">
        <x:v>us:ipeds:219347:program:unclear:ipeds-discovery-signal-artificial-intelligence-cip-11-0102</x:v>
      </x:c>
      <x:c r="E2234" s="17" t="str"/>
      <x:c r="F2234" s="17" t="str">
        <x:v>discovery</x:v>
      </x:c>
      <x:c r="G2234" s="17" t="str">
        <x:v>Stage 2 recorded this row as a discovery candidate; it does not independently verify an exact current research program, eligibility, or funding.</x:v>
      </x:c>
      <x:c r="H2234" s="17" t="str">
        <x:v>Pass 2 Stage 2 candidate funnel</x:v>
      </x:c>
      <x:c r="I2234" s="17" t="str">
        <x:v>Graduate audit pipeline</x:v>
      </x:c>
      <x:c r="J2234" s="17" t="str">
        <x:v>derived</x:v>
      </x:c>
      <x:c r="K2234" s="17" t="str">
        <x:v>2026-09-11</x:v>
      </x:c>
      <x:c r="L2234" s="17" t="str">
        <x:v>Not cycle-specific</x:v>
      </x:c>
      <x:c r="M2234" s="17" t="str">
        <x:v>low</x:v>
      </x:c>
      <x:c r="N2234" s="17" t="str">
        <x:v>Discovery evidence only</x:v>
      </x:c>
      <x:c r="O2234" s="17" t="str">
        <x:v>Use the source_record_paths field to trace the underlying discovery inputs.</x:v>
      </x:c>
      <x:c r="P2234" s="18" t="e">
        <x:f>HYPERLINK("https://www.sdsmt.edu","Open source")</x:f>
        <x:v>HYPERLINK is not implemented. linkLocation=https://www.sdsmt.edu, friendlyName=Open source</x:v>
      </x:c>
    </x:row>
    <x:row r="2235" ht="46" customHeight="1">
      <x:c r="A2235" s="17" t="str">
        <x:v>stage3src:20fcd5851d4f85d1df41</x:v>
      </x:c>
      <x:c r="B2235" s="17" t="str">
        <x:v>program</x:v>
      </x:c>
      <x:c r="C2235" s="17" t="str">
        <x:v>South Dakota School of Mines and Technology</x:v>
      </x:c>
      <x:c r="D2235" s="17" t="str">
        <x:v>us:ipeds:219347:program:unclear:ipeds-discovery-signal-data-science-general-cip-30-7001</x:v>
      </x:c>
      <x:c r="E2235" s="17" t="str"/>
      <x:c r="F2235" s="17" t="str">
        <x:v>discovery</x:v>
      </x:c>
      <x:c r="G2235" s="17" t="str">
        <x:v>Stage 2 recorded this row as a discovery candidate; it does not independently verify an exact current research program, eligibility, or funding.</x:v>
      </x:c>
      <x:c r="H2235" s="17" t="str">
        <x:v>Pass 2 Stage 2 candidate funnel</x:v>
      </x:c>
      <x:c r="I2235" s="17" t="str">
        <x:v>Graduate audit pipeline</x:v>
      </x:c>
      <x:c r="J2235" s="17" t="str">
        <x:v>derived</x:v>
      </x:c>
      <x:c r="K2235" s="17" t="str">
        <x:v>2026-09-11</x:v>
      </x:c>
      <x:c r="L2235" s="17" t="str">
        <x:v>Not cycle-specific</x:v>
      </x:c>
      <x:c r="M2235" s="17" t="str">
        <x:v>low</x:v>
      </x:c>
      <x:c r="N2235" s="17" t="str">
        <x:v>Discovery evidence only</x:v>
      </x:c>
      <x:c r="O2235" s="17" t="str">
        <x:v>Use the source_record_paths field to trace the underlying discovery inputs.</x:v>
      </x:c>
      <x:c r="P2235" s="18" t="e">
        <x:f>HYPERLINK("https://www.sdsmt.edu","Open source")</x:f>
        <x:v>HYPERLINK is not implemented. linkLocation=https://www.sdsmt.edu, friendlyName=Open source</x:v>
      </x:c>
    </x:row>
    <x:row r="2236" ht="46" customHeight="1">
      <x:c r="A2236" s="17" t="str">
        <x:v>stage3src:a813542457d8434f8620</x:v>
      </x:c>
      <x:c r="B2236" s="17" t="str">
        <x:v>program</x:v>
      </x:c>
      <x:c r="C2236" s="17" t="str">
        <x:v>South Dakota School of Mines and Technology</x:v>
      </x:c>
      <x:c r="D2236" s="17" t="str">
        <x:v>us:ipeds:219347:program:unclear:ipeds-discovery-signal-electrical-and-electronics-engineering-cip-14-1001</x:v>
      </x:c>
      <x:c r="E2236" s="17" t="str"/>
      <x:c r="F2236" s="17" t="str">
        <x:v>discovery</x:v>
      </x:c>
      <x:c r="G2236" s="17" t="str">
        <x:v>Stage 2 recorded this row as a discovery candidate; it does not independently verify an exact current research program, eligibility, or funding.</x:v>
      </x:c>
      <x:c r="H2236" s="17" t="str">
        <x:v>Pass 2 Stage 2 candidate funnel</x:v>
      </x:c>
      <x:c r="I2236" s="17" t="str">
        <x:v>Graduate audit pipeline</x:v>
      </x:c>
      <x:c r="J2236" s="17" t="str">
        <x:v>derived</x:v>
      </x:c>
      <x:c r="K2236" s="17" t="str">
        <x:v>2026-09-11</x:v>
      </x:c>
      <x:c r="L2236" s="17" t="str">
        <x:v>Not cycle-specific</x:v>
      </x:c>
      <x:c r="M2236" s="17" t="str">
        <x:v>low</x:v>
      </x:c>
      <x:c r="N2236" s="17" t="str">
        <x:v>Discovery evidence only</x:v>
      </x:c>
      <x:c r="O2236" s="17" t="str">
        <x:v>Use the source_record_paths field to trace the underlying discovery inputs.</x:v>
      </x:c>
      <x:c r="P2236" s="18" t="e">
        <x:f>HYPERLINK("https://www.sdsmt.edu","Open source")</x:f>
        <x:v>HYPERLINK is not implemented. linkLocation=https://www.sdsmt.edu, friendlyName=Open source</x:v>
      </x:c>
    </x:row>
    <x:row r="2237" ht="46" customHeight="1">
      <x:c r="A2237" s="17" t="str">
        <x:v>stage3src:eb459a3b1fff26da988d</x:v>
      </x:c>
      <x:c r="B2237" s="17" t="str">
        <x:v>program</x:v>
      </x:c>
      <x:c r="C2237" s="17" t="str">
        <x:v>South Dakota State University</x:v>
      </x:c>
      <x:c r="D2237" s="17" t="str">
        <x:v>us:ipeds:219356:program:unclear:ipeds-discovery-signal-computer-and-information-sciences-general-cip-11-0101</x:v>
      </x:c>
      <x:c r="E2237" s="17" t="str"/>
      <x:c r="F2237" s="17" t="str">
        <x:v>discovery</x:v>
      </x:c>
      <x:c r="G2237" s="17" t="str">
        <x:v>Stage 2 recorded this row as a discovery candidate; it does not independently verify an exact current research program, eligibility, or funding.</x:v>
      </x:c>
      <x:c r="H2237" s="17" t="str">
        <x:v>Pass 2 Stage 2 candidate funnel</x:v>
      </x:c>
      <x:c r="I2237" s="17" t="str">
        <x:v>Graduate audit pipeline</x:v>
      </x:c>
      <x:c r="J2237" s="17" t="str">
        <x:v>derived</x:v>
      </x:c>
      <x:c r="K2237" s="17" t="str">
        <x:v>2026-09-11</x:v>
      </x:c>
      <x:c r="L2237" s="17" t="str">
        <x:v>Not cycle-specific</x:v>
      </x:c>
      <x:c r="M2237" s="17" t="str">
        <x:v>low</x:v>
      </x:c>
      <x:c r="N2237" s="17" t="str">
        <x:v>Discovery evidence only</x:v>
      </x:c>
      <x:c r="O2237" s="17" t="str">
        <x:v>Use the source_record_paths field to trace the underlying discovery inputs.</x:v>
      </x:c>
      <x:c r="P2237" s="18" t="e">
        <x:f>HYPERLINK("https://www.sdstate.edu","Open source")</x:f>
        <x:v>HYPERLINK is not implemented. linkLocation=https://www.sdstate.edu, friendlyName=Open source</x:v>
      </x:c>
    </x:row>
    <x:row r="2238" ht="46" customHeight="1">
      <x:c r="A2238" s="17" t="str">
        <x:v>stage3src:e4db36e98936d7207e61</x:v>
      </x:c>
      <x:c r="B2238" s="17" t="str">
        <x:v>program</x:v>
      </x:c>
      <x:c r="C2238" s="17" t="str">
        <x:v>South Dakota State University</x:v>
      </x:c>
      <x:c r="D2238" s="17" t="str">
        <x:v>us:ipeds:219356:program:unclear:ipeds-discovery-signal-data-science-general-cip-30-7001</x:v>
      </x:c>
      <x:c r="E2238" s="17" t="str"/>
      <x:c r="F2238" s="17" t="str">
        <x:v>discovery</x:v>
      </x:c>
      <x:c r="G2238" s="17" t="str">
        <x:v>Stage 2 recorded this row as a discovery candidate; it does not independently verify an exact current research program, eligibility, or funding.</x:v>
      </x:c>
      <x:c r="H2238" s="17" t="str">
        <x:v>Pass 2 Stage 2 candidate funnel</x:v>
      </x:c>
      <x:c r="I2238" s="17" t="str">
        <x:v>Graduate audit pipeline</x:v>
      </x:c>
      <x:c r="J2238" s="17" t="str">
        <x:v>derived</x:v>
      </x:c>
      <x:c r="K2238" s="17" t="str">
        <x:v>2026-09-11</x:v>
      </x:c>
      <x:c r="L2238" s="17" t="str">
        <x:v>Not cycle-specific</x:v>
      </x:c>
      <x:c r="M2238" s="17" t="str">
        <x:v>low</x:v>
      </x:c>
      <x:c r="N2238" s="17" t="str">
        <x:v>Discovery evidence only</x:v>
      </x:c>
      <x:c r="O2238" s="17" t="str">
        <x:v>Use the source_record_paths field to trace the underlying discovery inputs.</x:v>
      </x:c>
      <x:c r="P2238" s="18" t="e">
        <x:f>HYPERLINK("https://www.sdstate.edu","Open source")</x:f>
        <x:v>HYPERLINK is not implemented. linkLocation=https://www.sdstate.edu, friendlyName=Open source</x:v>
      </x:c>
    </x:row>
    <x:row r="2239" ht="46" customHeight="1">
      <x:c r="A2239" s="17" t="str">
        <x:v>stage3src:a482ea3c53dc04301131</x:v>
      </x:c>
      <x:c r="B2239" s="17" t="str">
        <x:v>program</x:v>
      </x:c>
      <x:c r="C2239" s="17" t="str">
        <x:v>South Dakota State University</x:v>
      </x:c>
      <x:c r="D2239" s="17" t="str">
        <x:v>us:ipeds:219356:program:unclear:ipeds-discovery-signal-electrical-and-electronics-engineering-cip-14-1001</x:v>
      </x:c>
      <x:c r="E2239" s="17" t="str"/>
      <x:c r="F2239" s="17" t="str">
        <x:v>discovery</x:v>
      </x:c>
      <x:c r="G2239" s="17" t="str">
        <x:v>Stage 2 recorded this row as a discovery candidate; it does not independently verify an exact current research program, eligibility, or funding.</x:v>
      </x:c>
      <x:c r="H2239" s="17" t="str">
        <x:v>Pass 2 Stage 2 candidate funnel</x:v>
      </x:c>
      <x:c r="I2239" s="17" t="str">
        <x:v>Graduate audit pipeline</x:v>
      </x:c>
      <x:c r="J2239" s="17" t="str">
        <x:v>derived</x:v>
      </x:c>
      <x:c r="K2239" s="17" t="str">
        <x:v>2026-09-11</x:v>
      </x:c>
      <x:c r="L2239" s="17" t="str">
        <x:v>Not cycle-specific</x:v>
      </x:c>
      <x:c r="M2239" s="17" t="str">
        <x:v>low</x:v>
      </x:c>
      <x:c r="N2239" s="17" t="str">
        <x:v>Discovery evidence only</x:v>
      </x:c>
      <x:c r="O2239" s="17" t="str">
        <x:v>Use the source_record_paths field to trace the underlying discovery inputs.</x:v>
      </x:c>
      <x:c r="P2239" s="18" t="e">
        <x:f>HYPERLINK("https://www.sdstate.edu","Open source")</x:f>
        <x:v>HYPERLINK is not implemented. linkLocation=https://www.sdstate.edu, friendlyName=Open source</x:v>
      </x:c>
    </x:row>
    <x:row r="2240" ht="46" customHeight="1">
      <x:c r="A2240" s="17" t="str">
        <x:v>stage3src:35f83453d7b5e70433dc</x:v>
      </x:c>
      <x:c r="B2240" s="17" t="str">
        <x:v>program</x:v>
      </x:c>
      <x:c r="C2240" s="17" t="str">
        <x:v>University of South Dakota</x:v>
      </x:c>
      <x:c r="D2240" s="17" t="str">
        <x:v>us:ipeds:219471:program:unclear:ipeds-discovery-signal-computer-and-information-sciences-general-cip-11-0101</x:v>
      </x:c>
      <x:c r="E2240" s="17" t="str"/>
      <x:c r="F2240" s="17" t="str">
        <x:v>discovery</x:v>
      </x:c>
      <x:c r="G2240" s="17" t="str">
        <x:v>Stage 2 recorded this row as a discovery candidate; it does not independently verify an exact current research program, eligibility, or funding.</x:v>
      </x:c>
      <x:c r="H2240" s="17" t="str">
        <x:v>Pass 2 Stage 2 candidate funnel</x:v>
      </x:c>
      <x:c r="I2240" s="17" t="str">
        <x:v>Graduate audit pipeline</x:v>
      </x:c>
      <x:c r="J2240" s="17" t="str">
        <x:v>derived</x:v>
      </x:c>
      <x:c r="K2240" s="17" t="str">
        <x:v>2026-09-11</x:v>
      </x:c>
      <x:c r="L2240" s="17" t="str">
        <x:v>Not cycle-specific</x:v>
      </x:c>
      <x:c r="M2240" s="17" t="str">
        <x:v>low</x:v>
      </x:c>
      <x:c r="N2240" s="17" t="str">
        <x:v>Discovery evidence only</x:v>
      </x:c>
      <x:c r="O2240" s="17" t="str">
        <x:v>Use the source_record_paths field to trace the underlying discovery inputs.</x:v>
      </x:c>
      <x:c r="P2240" s="18" t="e">
        <x:f>HYPERLINK("https://www.usd.edu","Open source")</x:f>
        <x:v>HYPERLINK is not implemented. linkLocation=https://www.usd.edu, friendlyName=Open source</x:v>
      </x:c>
    </x:row>
    <x:row r="2241" ht="46" customHeight="1">
      <x:c r="A2241" s="17" t="str">
        <x:v>stage3src:050a1f95b8a834ca9ec8</x:v>
      </x:c>
      <x:c r="B2241" s="17" t="str">
        <x:v>program</x:v>
      </x:c>
      <x:c r="C2241" s="17" t="str">
        <x:v>Christian Brothers University</x:v>
      </x:c>
      <x:c r="D2241" s="17" t="str">
        <x:v>us:ipeds:219833:program:unclear:ipeds-discovery-signal-data-science-general-cip-30-7001</x:v>
      </x:c>
      <x:c r="E2241" s="17" t="str"/>
      <x:c r="F2241" s="17" t="str">
        <x:v>discovery</x:v>
      </x:c>
      <x:c r="G2241" s="17" t="str">
        <x:v>Stage 2 recorded this row as a discovery candidate; it does not independently verify an exact current research program, eligibility, or funding.</x:v>
      </x:c>
      <x:c r="H2241" s="17" t="str">
        <x:v>Pass 2 Stage 2 candidate funnel</x:v>
      </x:c>
      <x:c r="I2241" s="17" t="str">
        <x:v>Graduate audit pipeline</x:v>
      </x:c>
      <x:c r="J2241" s="17" t="str">
        <x:v>derived</x:v>
      </x:c>
      <x:c r="K2241" s="17" t="str">
        <x:v>2026-09-11</x:v>
      </x:c>
      <x:c r="L2241" s="17" t="str">
        <x:v>Not cycle-specific</x:v>
      </x:c>
      <x:c r="M2241" s="17" t="str">
        <x:v>low</x:v>
      </x:c>
      <x:c r="N2241" s="17" t="str">
        <x:v>Discovery evidence only</x:v>
      </x:c>
      <x:c r="O2241" s="17" t="str">
        <x:v>Use the source_record_paths field to trace the underlying discovery inputs.</x:v>
      </x:c>
      <x:c r="P2241" s="18" t="e">
        <x:f>HYPERLINK("https://www.cbu.edu","Open source")</x:f>
        <x:v>HYPERLINK is not implemented. linkLocation=https://www.cbu.edu, friendlyName=Open source</x:v>
      </x:c>
    </x:row>
    <x:row r="2242" ht="46" customHeight="1">
      <x:c r="A2242" s="17" t="str">
        <x:v>stage3src:959f51c473e65d81d305</x:v>
      </x:c>
      <x:c r="B2242" s="17" t="str">
        <x:v>program</x:v>
      </x:c>
      <x:c r="C2242" s="17" t="str">
        <x:v>Lipscomb University</x:v>
      </x:c>
      <x:c r="D2242" s="17" t="str">
        <x:v>us:ipeds:219976:program:unclear:ipeds-discovery-signal-computer-software-engineering-cip-14-0903</x:v>
      </x:c>
      <x:c r="E2242" s="17" t="str"/>
      <x:c r="F2242" s="17" t="str">
        <x:v>discovery</x:v>
      </x:c>
      <x:c r="G2242" s="17" t="str">
        <x:v>Stage 2 recorded this row as a discovery candidate; it does not independently verify an exact current research program, eligibility, or funding.</x:v>
      </x:c>
      <x:c r="H2242" s="17" t="str">
        <x:v>Pass 2 Stage 2 candidate funnel</x:v>
      </x:c>
      <x:c r="I2242" s="17" t="str">
        <x:v>Graduate audit pipeline</x:v>
      </x:c>
      <x:c r="J2242" s="17" t="str">
        <x:v>derived</x:v>
      </x:c>
      <x:c r="K2242" s="17" t="str">
        <x:v>2026-09-11</x:v>
      </x:c>
      <x:c r="L2242" s="17" t="str">
        <x:v>Not cycle-specific</x:v>
      </x:c>
      <x:c r="M2242" s="17" t="str">
        <x:v>low</x:v>
      </x:c>
      <x:c r="N2242" s="17" t="str">
        <x:v>Discovery evidence only</x:v>
      </x:c>
      <x:c r="O2242" s="17" t="str">
        <x:v>Use the source_record_paths field to trace the underlying discovery inputs.</x:v>
      </x:c>
      <x:c r="P2242" s="18" t="e">
        <x:f>HYPERLINK("https://www.lipscomb.edu","Open source")</x:f>
        <x:v>HYPERLINK is not implemented. linkLocation=https://www.lipscomb.edu, friendlyName=Open source</x:v>
      </x:c>
    </x:row>
    <x:row r="2243" ht="46" customHeight="1">
      <x:c r="A2243" s="17" t="str">
        <x:v>stage3src:1d6a7ffc4be8b7ce2cbf</x:v>
      </x:c>
      <x:c r="B2243" s="17" t="str">
        <x:v>program</x:v>
      </x:c>
      <x:c r="C2243" s="17" t="str">
        <x:v>Lipscomb University</x:v>
      </x:c>
      <x:c r="D2243" s="17" t="str">
        <x:v>us:ipeds:219976:program:unclear:ipeds-discovery-signal-informatics-cip-11-0104</x:v>
      </x:c>
      <x:c r="E2243" s="17" t="str"/>
      <x:c r="F2243" s="17" t="str">
        <x:v>discovery</x:v>
      </x:c>
      <x:c r="G2243" s="17" t="str">
        <x:v>Stage 2 recorded this row as a discovery candidate; it does not independently verify an exact current research program, eligibility, or funding.</x:v>
      </x:c>
      <x:c r="H2243" s="17" t="str">
        <x:v>Pass 2 Stage 2 candidate funnel</x:v>
      </x:c>
      <x:c r="I2243" s="17" t="str">
        <x:v>Graduate audit pipeline</x:v>
      </x:c>
      <x:c r="J2243" s="17" t="str">
        <x:v>derived</x:v>
      </x:c>
      <x:c r="K2243" s="17" t="str">
        <x:v>2026-09-11</x:v>
      </x:c>
      <x:c r="L2243" s="17" t="str">
        <x:v>Not cycle-specific</x:v>
      </x:c>
      <x:c r="M2243" s="17" t="str">
        <x:v>low</x:v>
      </x:c>
      <x:c r="N2243" s="17" t="str">
        <x:v>Discovery evidence only</x:v>
      </x:c>
      <x:c r="O2243" s="17" t="str">
        <x:v>Use the source_record_paths field to trace the underlying discovery inputs.</x:v>
      </x:c>
      <x:c r="P2243" s="18" t="e">
        <x:f>HYPERLINK("https://www.lipscomb.edu","Open source")</x:f>
        <x:v>HYPERLINK is not implemented. linkLocation=https://www.lipscomb.edu, friendlyName=Open source</x:v>
      </x:c>
    </x:row>
    <x:row r="2244" ht="46" customHeight="1">
      <x:c r="A2244" s="17" t="str">
        <x:v>stage3src:a47b488aece4fe4be857</x:v>
      </x:c>
      <x:c r="B2244" s="17" t="str">
        <x:v>program</x:v>
      </x:c>
      <x:c r="C2244" s="17" t="str">
        <x:v>East Tennessee State University</x:v>
      </x:c>
      <x:c r="D2244" s="17" t="str">
        <x:v>us:ipeds:220075:program:unclear:ipeds-discovery-signal-computer-and-information-sciences-general-cip-11-0101</x:v>
      </x:c>
      <x:c r="E2244" s="17" t="str"/>
      <x:c r="F2244" s="17" t="str">
        <x:v>discovery</x:v>
      </x:c>
      <x:c r="G2244" s="17" t="str">
        <x:v>Stage 2 recorded this row as a discovery candidate; it does not independently verify an exact current research program, eligibility, or funding.</x:v>
      </x:c>
      <x:c r="H2244" s="17" t="str">
        <x:v>Pass 2 Stage 2 candidate funnel</x:v>
      </x:c>
      <x:c r="I2244" s="17" t="str">
        <x:v>Graduate audit pipeline</x:v>
      </x:c>
      <x:c r="J2244" s="17" t="str">
        <x:v>derived</x:v>
      </x:c>
      <x:c r="K2244" s="17" t="str">
        <x:v>2026-09-11</x:v>
      </x:c>
      <x:c r="L2244" s="17" t="str">
        <x:v>Not cycle-specific</x:v>
      </x:c>
      <x:c r="M2244" s="17" t="str">
        <x:v>low</x:v>
      </x:c>
      <x:c r="N2244" s="17" t="str">
        <x:v>Discovery evidence only</x:v>
      </x:c>
      <x:c r="O2244" s="17" t="str">
        <x:v>Use the source_record_paths field to trace the underlying discovery inputs.</x:v>
      </x:c>
      <x:c r="P2244" s="18" t="e">
        <x:f>HYPERLINK("https://www.etsu.edu","Open source")</x:f>
        <x:v>HYPERLINK is not implemented. linkLocation=https://www.etsu.edu, friendlyName=Open source</x:v>
      </x:c>
    </x:row>
    <x:row r="2245" ht="46" customHeight="1">
      <x:c r="A2245" s="17" t="str">
        <x:v>stage3src:09d25a246df858ca13d3</x:v>
      </x:c>
      <x:c r="B2245" s="17" t="str">
        <x:v>program</x:v>
      </x:c>
      <x:c r="C2245" s="17" t="str">
        <x:v>East Tennessee State University</x:v>
      </x:c>
      <x:c r="D2245" s="17" t="str">
        <x:v>us:ipeds:220075:program:unclear:ipeds-discovery-signal-data-science-general-cip-30-7001</x:v>
      </x:c>
      <x:c r="E2245" s="17" t="str"/>
      <x:c r="F2245" s="17" t="str">
        <x:v>discovery</x:v>
      </x:c>
      <x:c r="G2245" s="17" t="str">
        <x:v>Stage 2 recorded this row as a discovery candidate; it does not independently verify an exact current research program, eligibility, or funding.</x:v>
      </x:c>
      <x:c r="H2245" s="17" t="str">
        <x:v>Pass 2 Stage 2 candidate funnel</x:v>
      </x:c>
      <x:c r="I2245" s="17" t="str">
        <x:v>Graduate audit pipeline</x:v>
      </x:c>
      <x:c r="J2245" s="17" t="str">
        <x:v>derived</x:v>
      </x:c>
      <x:c r="K2245" s="17" t="str">
        <x:v>2026-09-11</x:v>
      </x:c>
      <x:c r="L2245" s="17" t="str">
        <x:v>Not cycle-specific</x:v>
      </x:c>
      <x:c r="M2245" s="17" t="str">
        <x:v>low</x:v>
      </x:c>
      <x:c r="N2245" s="17" t="str">
        <x:v>Discovery evidence only</x:v>
      </x:c>
      <x:c r="O2245" s="17" t="str">
        <x:v>Use the source_record_paths field to trace the underlying discovery inputs.</x:v>
      </x:c>
      <x:c r="P2245" s="18" t="e">
        <x:f>HYPERLINK("https://www.etsu.edu","Open source")</x:f>
        <x:v>HYPERLINK is not implemented. linkLocation=https://www.etsu.edu, friendlyName=Open source</x:v>
      </x:c>
    </x:row>
    <x:row r="2246" ht="46" customHeight="1">
      <x:c r="A2246" s="17" t="str">
        <x:v>stage3src:ce32cf412351f56d7d31</x:v>
      </x:c>
      <x:c r="B2246" s="17" t="str">
        <x:v>program</x:v>
      </x:c>
      <x:c r="C2246" s="17" t="str">
        <x:v>East Tennessee State University</x:v>
      </x:c>
      <x:c r="D2246" s="17" t="str">
        <x:v>us:ipeds:220075:program:unclear:ipeds-discovery-signal-information-technology-cip-11-0103</x:v>
      </x:c>
      <x:c r="E2246" s="17" t="str"/>
      <x:c r="F2246" s="17" t="str">
        <x:v>discovery</x:v>
      </x:c>
      <x:c r="G2246" s="17" t="str">
        <x:v>Stage 2 recorded this row as a discovery candidate; it does not independently verify an exact current research program, eligibility, or funding.</x:v>
      </x:c>
      <x:c r="H2246" s="17" t="str">
        <x:v>Pass 2 Stage 2 candidate funnel</x:v>
      </x:c>
      <x:c r="I2246" s="17" t="str">
        <x:v>Graduate audit pipeline</x:v>
      </x:c>
      <x:c r="J2246" s="17" t="str">
        <x:v>derived</x:v>
      </x:c>
      <x:c r="K2246" s="17" t="str">
        <x:v>2026-09-11</x:v>
      </x:c>
      <x:c r="L2246" s="17" t="str">
        <x:v>Not cycle-specific</x:v>
      </x:c>
      <x:c r="M2246" s="17" t="str">
        <x:v>low</x:v>
      </x:c>
      <x:c r="N2246" s="17" t="str">
        <x:v>Discovery evidence only</x:v>
      </x:c>
      <x:c r="O2246" s="17" t="str">
        <x:v>Use the source_record_paths field to trace the underlying discovery inputs.</x:v>
      </x:c>
      <x:c r="P2246" s="18" t="e">
        <x:f>HYPERLINK("https://www.etsu.edu","Open source")</x:f>
        <x:v>HYPERLINK is not implemented. linkLocation=https://www.etsu.edu, friendlyName=Open source</x:v>
      </x:c>
    </x:row>
    <x:row r="2247" ht="46" customHeight="1">
      <x:c r="A2247" s="17" t="str">
        <x:v>stage3src:af6c89a8cc401a4cdbb3</x:v>
      </x:c>
      <x:c r="B2247" s="17" t="str">
        <x:v>program</x:v>
      </x:c>
      <x:c r="C2247" s="17" t="str">
        <x:v>South College</x:v>
      </x:c>
      <x:c r="D2247" s="17" t="str">
        <x:v>us:ipeds:220552:program:unclear:ipeds-discovery-signal-artificial-intelligence-cip-11-0102</x:v>
      </x:c>
      <x:c r="E2247" s="17" t="str"/>
      <x:c r="F2247" s="17" t="str">
        <x:v>discovery</x:v>
      </x:c>
      <x:c r="G2247" s="17" t="str">
        <x:v>Stage 2 recorded this row as a discovery candidate; it does not independently verify an exact current research program, eligibility, or funding.</x:v>
      </x:c>
      <x:c r="H2247" s="17" t="str">
        <x:v>Pass 2 Stage 2 candidate funnel</x:v>
      </x:c>
      <x:c r="I2247" s="17" t="str">
        <x:v>Graduate audit pipeline</x:v>
      </x:c>
      <x:c r="J2247" s="17" t="str">
        <x:v>derived</x:v>
      </x:c>
      <x:c r="K2247" s="17" t="str">
        <x:v>2026-09-11</x:v>
      </x:c>
      <x:c r="L2247" s="17" t="str">
        <x:v>Not cycle-specific</x:v>
      </x:c>
      <x:c r="M2247" s="17" t="str">
        <x:v>low</x:v>
      </x:c>
      <x:c r="N2247" s="17" t="str">
        <x:v>Discovery evidence only</x:v>
      </x:c>
      <x:c r="O2247" s="17" t="str">
        <x:v>Use the source_record_paths field to trace the underlying discovery inputs.</x:v>
      </x:c>
      <x:c r="P2247" s="18" t="e">
        <x:f>HYPERLINK("https://www.south.edu","Open source")</x:f>
        <x:v>HYPERLINK is not implemented. linkLocation=https://www.south.edu, friendlyName=Open source</x:v>
      </x:c>
    </x:row>
    <x:row r="2248" ht="46" customHeight="1">
      <x:c r="A2248" s="17" t="str">
        <x:v>stage3src:06bbd7fb2f24db431d73</x:v>
      </x:c>
      <x:c r="B2248" s="17" t="str">
        <x:v>program</x:v>
      </x:c>
      <x:c r="C2248" s="17" t="str">
        <x:v>South College</x:v>
      </x:c>
      <x:c r="D2248" s="17" t="str">
        <x:v>us:ipeds:220552:program:unclear:ipeds-discovery-signal-computer-and-information-systems-security-auditing-information-assurance-cip-11-1003</x:v>
      </x:c>
      <x:c r="E2248" s="17" t="str"/>
      <x:c r="F2248" s="17" t="str">
        <x:v>discovery</x:v>
      </x:c>
      <x:c r="G2248" s="17" t="str">
        <x:v>Stage 2 recorded this row as a discovery candidate; it does not independently verify an exact current research program, eligibility, or funding.</x:v>
      </x:c>
      <x:c r="H2248" s="17" t="str">
        <x:v>Pass 2 Stage 2 candidate funnel</x:v>
      </x:c>
      <x:c r="I2248" s="17" t="str">
        <x:v>Graduate audit pipeline</x:v>
      </x:c>
      <x:c r="J2248" s="17" t="str">
        <x:v>derived</x:v>
      </x:c>
      <x:c r="K2248" s="17" t="str">
        <x:v>2026-09-11</x:v>
      </x:c>
      <x:c r="L2248" s="17" t="str">
        <x:v>Not cycle-specific</x:v>
      </x:c>
      <x:c r="M2248" s="17" t="str">
        <x:v>low</x:v>
      </x:c>
      <x:c r="N2248" s="17" t="str">
        <x:v>Discovery evidence only</x:v>
      </x:c>
      <x:c r="O2248" s="17" t="str">
        <x:v>Use the source_record_paths field to trace the underlying discovery inputs.</x:v>
      </x:c>
      <x:c r="P2248" s="18" t="e">
        <x:f>HYPERLINK("https://www.south.edu","Open source")</x:f>
        <x:v>HYPERLINK is not implemented. linkLocation=https://www.south.edu, friendlyName=Open source</x:v>
      </x:c>
    </x:row>
    <x:row r="2249" ht="46" customHeight="1">
      <x:c r="A2249" s="17" t="str">
        <x:v>stage3src:393945ec326b539695fc</x:v>
      </x:c>
      <x:c r="B2249" s="17" t="str">
        <x:v>program</x:v>
      </x:c>
      <x:c r="C2249" s="17" t="str">
        <x:v>South College</x:v>
      </x:c>
      <x:c r="D2249" s="17" t="str">
        <x:v>us:ipeds:220552:program:unclear:ipeds-discovery-signal-cyber-computer-forensics-and-counterterrorism-cip-43-0403</x:v>
      </x:c>
      <x:c r="E2249" s="17" t="str"/>
      <x:c r="F2249" s="17" t="str">
        <x:v>discovery</x:v>
      </x:c>
      <x:c r="G2249" s="17" t="str">
        <x:v>Stage 2 recorded this row as a discovery candidate; it does not independently verify an exact current research program, eligibility, or funding.</x:v>
      </x:c>
      <x:c r="H2249" s="17" t="str">
        <x:v>Pass 2 Stage 2 candidate funnel</x:v>
      </x:c>
      <x:c r="I2249" s="17" t="str">
        <x:v>Graduate audit pipeline</x:v>
      </x:c>
      <x:c r="J2249" s="17" t="str">
        <x:v>derived</x:v>
      </x:c>
      <x:c r="K2249" s="17" t="str">
        <x:v>2026-09-11</x:v>
      </x:c>
      <x:c r="L2249" s="17" t="str">
        <x:v>Not cycle-specific</x:v>
      </x:c>
      <x:c r="M2249" s="17" t="str">
        <x:v>low</x:v>
      </x:c>
      <x:c r="N2249" s="17" t="str">
        <x:v>Discovery evidence only</x:v>
      </x:c>
      <x:c r="O2249" s="17" t="str">
        <x:v>Use the source_record_paths field to trace the underlying discovery inputs.</x:v>
      </x:c>
      <x:c r="P2249" s="18" t="e">
        <x:f>HYPERLINK("https://www.south.edu","Open source")</x:f>
        <x:v>HYPERLINK is not implemented. linkLocation=https://www.south.edu, friendlyName=Open source</x:v>
      </x:c>
    </x:row>
    <x:row r="2250" ht="46" customHeight="1">
      <x:c r="A2250" s="17" t="str">
        <x:v>stage3src:7f61fdbbde9af9d6cb11</x:v>
      </x:c>
      <x:c r="B2250" s="17" t="str">
        <x:v>program</x:v>
      </x:c>
      <x:c r="C2250" s="17" t="str">
        <x:v>Meharry Medical College</x:v>
      </x:c>
      <x:c r="D2250" s="17" t="str">
        <x:v>us:ipeds:220792:program:unclear:ipeds-discovery-signal-data-science-general-cip-30-7001</x:v>
      </x:c>
      <x:c r="E2250" s="17" t="str"/>
      <x:c r="F2250" s="17" t="str">
        <x:v>discovery</x:v>
      </x:c>
      <x:c r="G2250" s="17" t="str">
        <x:v>Stage 2 recorded this row as a discovery candidate; it does not independently verify an exact current research program, eligibility, or funding.</x:v>
      </x:c>
      <x:c r="H2250" s="17" t="str">
        <x:v>Pass 2 Stage 2 candidate funnel</x:v>
      </x:c>
      <x:c r="I2250" s="17" t="str">
        <x:v>Graduate audit pipeline</x:v>
      </x:c>
      <x:c r="J2250" s="17" t="str">
        <x:v>derived</x:v>
      </x:c>
      <x:c r="K2250" s="17" t="str">
        <x:v>2026-09-11</x:v>
      </x:c>
      <x:c r="L2250" s="17" t="str">
        <x:v>Not cycle-specific</x:v>
      </x:c>
      <x:c r="M2250" s="17" t="str">
        <x:v>low</x:v>
      </x:c>
      <x:c r="N2250" s="17" t="str">
        <x:v>Discovery evidence only</x:v>
      </x:c>
      <x:c r="O2250" s="17" t="str">
        <x:v>Use the source_record_paths field to trace the underlying discovery inputs.</x:v>
      </x:c>
      <x:c r="P2250" s="18" t="e">
        <x:f>HYPERLINK("https://www.mmc.edu","Open source")</x:f>
        <x:v>HYPERLINK is not implemented. linkLocation=https://www.mmc.edu, friendlyName=Open source</x:v>
      </x:c>
    </x:row>
    <x:row r="2251" ht="46" customHeight="1">
      <x:c r="A2251" s="17" t="str">
        <x:v>stage3src:58fa4b4ad36853274b17</x:v>
      </x:c>
      <x:c r="B2251" s="17" t="str">
        <x:v>program</x:v>
      </x:c>
      <x:c r="C2251" s="17" t="str">
        <x:v>University of Memphis</x:v>
      </x:c>
      <x:c r="D2251" s="17" t="str">
        <x:v>us:ipeds:220862:program:phd:phd-in-computer-science</x:v>
      </x:c>
      <x:c r="E2251" s="17" t="str"/>
      <x:c r="F2251" s="17" t="str">
        <x:v>admissions|eligibility|language|deadline|funding</x:v>
      </x:c>
      <x:c r="G2251" s="17" t="str">
        <x:v>Degree and GPA routes, prerequisites, GRE requirement, English thresholds, fall deadline, and most-PhD-students funding statement.</x:v>
      </x:c>
      <x:c r="H2251" s="17" t="str">
        <x:v>Graduate Admissions</x:v>
      </x:c>
      <x:c r="I2251" s="17" t="str">
        <x:v>University of Memphis Department of Computer Science</x:v>
      </x:c>
      <x:c r="J2251" s="17" t="str">
        <x:v>official</x:v>
      </x:c>
      <x:c r="K2251" s="17" t="str">
        <x:v>2026-09-11</x:v>
      </x:c>
      <x:c r="L2251" s="17" t="str">
        <x:v>Current page checked 2026-09-11</x:v>
      </x:c>
      <x:c r="M2251" s="17" t="str">
        <x:v>high</x:v>
      </x:c>
      <x:c r="N2251" s="17" t="str">
        <x:v>official page checked</x:v>
      </x:c>
      <x:c r="O2251" s="17" t="str"/>
      <x:c r="P2251" s="18" t="e">
        <x:f>HYPERLINK("https://www.memphis.edu/cs/future_students/graduate.php","Open source")</x:f>
        <x:v>HYPERLINK is not implemented. linkLocation=https://www.memphis.edu/cs/future_students/graduate.php, friendlyName=Open source</x:v>
      </x:c>
    </x:row>
    <x:row r="2252" ht="46" customHeight="1">
      <x:c r="A2252" s="17" t="str">
        <x:v>stage3src:6ba11ada45413ef18622</x:v>
      </x:c>
      <x:c r="B2252" s="17" t="str">
        <x:v>program</x:v>
      </x:c>
      <x:c r="C2252" s="17" t="str">
        <x:v>University of Memphis</x:v>
      </x:c>
      <x:c r="D2252" s="17" t="str">
        <x:v>us:ipeds:220862:program:phd:phd-in-computer-science</x:v>
      </x:c>
      <x:c r="E2252" s="17" t="str"/>
      <x:c r="F2252" s="17" t="str">
        <x:v>program|research</x:v>
      </x:c>
      <x:c r="G2252" s="17" t="str">
        <x:v>Current Computer Science PhD and dissertation-based research route.</x:v>
      </x:c>
      <x:c r="H2252" s="17" t="str">
        <x:v>PhD in Computer Science</x:v>
      </x:c>
      <x:c r="I2252" s="17" t="str">
        <x:v>University of Memphis</x:v>
      </x:c>
      <x:c r="J2252" s="17" t="str">
        <x:v>official</x:v>
      </x:c>
      <x:c r="K2252" s="17" t="str">
        <x:v>2026-09-11</x:v>
      </x:c>
      <x:c r="L2252" s="17" t="str">
        <x:v>Current page checked 2026-09-11</x:v>
      </x:c>
      <x:c r="M2252" s="17" t="str">
        <x:v>high</x:v>
      </x:c>
      <x:c r="N2252" s="17" t="str">
        <x:v>official page checked</x:v>
      </x:c>
      <x:c r="O2252" s="17" t="str"/>
      <x:c r="P2252" s="18" t="e">
        <x:f>HYPERLINK("https://www.memphis.edu/cs/programs/phd_computer_science.php","Open source")</x:f>
        <x:v>HYPERLINK is not implemented. linkLocation=https://www.memphis.edu/cs/programs/phd_computer_science.php, friendlyName=Open source</x:v>
      </x:c>
    </x:row>
    <x:row r="2253" ht="46" customHeight="1">
      <x:c r="A2253" s="17" t="str">
        <x:v>stage3src:d11fd82d7c06d00c114f</x:v>
      </x:c>
      <x:c r="B2253" s="17" t="str">
        <x:v>program</x:v>
      </x:c>
      <x:c r="C2253" s="17" t="str">
        <x:v>University of Memphis</x:v>
      </x:c>
      <x:c r="D2253" s="17" t="str">
        <x:v>us:ipeds:220862:program:phd:phd-in-computer-science</x:v>
      </x:c>
      <x:c r="E2253" s="17" t="str"/>
      <x:c r="F2253" s="17" t="str">
        <x:v>admissions|fees</x:v>
      </x:c>
      <x:c r="G2253" s="17" t="str">
        <x:v>Published guidance for fee handling after a prior graduate application fee.</x:v>
      </x:c>
      <x:c r="H2253" s="17" t="str">
        <x:v>Graduate Admissions FAQ</x:v>
      </x:c>
      <x:c r="I2253" s="17" t="str">
        <x:v>University of Memphis</x:v>
      </x:c>
      <x:c r="J2253" s="17" t="str">
        <x:v>official</x:v>
      </x:c>
      <x:c r="K2253" s="17" t="str">
        <x:v>2026-09-11</x:v>
      </x:c>
      <x:c r="L2253" s="17" t="str">
        <x:v>Current page checked 2026-09-11</x:v>
      </x:c>
      <x:c r="M2253" s="17" t="str">
        <x:v>high</x:v>
      </x:c>
      <x:c r="N2253" s="17" t="str">
        <x:v>official page checked</x:v>
      </x:c>
      <x:c r="O2253" s="17" t="str"/>
      <x:c r="P2253" s="18" t="e">
        <x:f>HYPERLINK("https://www.memphis.edu/graduateadmissions/future/faq.php","Open source")</x:f>
        <x:v>HYPERLINK is not implemented. linkLocation=https://www.memphis.edu/graduateadmissions/future/faq.php, friendlyName=Open source</x:v>
      </x:c>
    </x:row>
    <x:row r="2254" ht="46" customHeight="1">
      <x:c r="A2254" s="17" t="str">
        <x:v>stage3src:ee61399e3ab6975275eb</x:v>
      </x:c>
      <x:c r="B2254" s="17" t="str">
        <x:v>program</x:v>
      </x:c>
      <x:c r="C2254" s="17" t="str">
        <x:v>University of Memphis</x:v>
      </x:c>
      <x:c r="D2254" s="17" t="str">
        <x:v>us:ipeds:220862:program:phd:phd-in-computer-science</x:v>
      </x:c>
      <x:c r="E2254" s="17" t="str"/>
      <x:c r="F2254" s="17" t="str">
        <x:v>admissions|fees|funding</x:v>
      </x:c>
      <x:c r="G2254" s="17" t="str">
        <x:v>International application fee and department-controlled assistantship mechanism.</x:v>
      </x:c>
      <x:c r="H2254" s="17" t="str">
        <x:v>Graduate Admission Procedures</x:v>
      </x:c>
      <x:c r="I2254" s="17" t="str">
        <x:v>University of Memphis</x:v>
      </x:c>
      <x:c r="J2254" s="17" t="str">
        <x:v>official</x:v>
      </x:c>
      <x:c r="K2254" s="17" t="str">
        <x:v>2026-09-11</x:v>
      </x:c>
      <x:c r="L2254" s="17" t="str">
        <x:v>Current page checked 2026-09-11</x:v>
      </x:c>
      <x:c r="M2254" s="17" t="str">
        <x:v>high</x:v>
      </x:c>
      <x:c r="N2254" s="17" t="str">
        <x:v>official page checked</x:v>
      </x:c>
      <x:c r="O2254" s="17" t="str"/>
      <x:c r="P2254" s="18" t="e">
        <x:f>HYPERLINK("https://www.memphis.edu/graduateadmissions/future/admproc.php","Open source")</x:f>
        <x:v>HYPERLINK is not implemented. linkLocation=https://www.memphis.edu/graduateadmissions/future/admproc.php, friendlyName=Open source</x:v>
      </x:c>
    </x:row>
    <x:row r="2255" ht="46" customHeight="1">
      <x:c r="A2255" s="17" t="str">
        <x:v>stage3src:a57b6ef4dc5979955bbd</x:v>
      </x:c>
      <x:c r="B2255" s="17" t="str">
        <x:v>program</x:v>
      </x:c>
      <x:c r="C2255" s="17" t="str">
        <x:v>University of Memphis</x:v>
      </x:c>
      <x:c r="D2255" s="17" t="str">
        <x:v>us:ipeds:220862:program:unclear:ipeds-discovery-signal-computer-science-cip-11-0701</x:v>
      </x:c>
      <x:c r="E2255" s="17" t="str"/>
      <x:c r="F2255" s="17" t="str">
        <x:v>discovery</x:v>
      </x:c>
      <x:c r="G2255" s="17" t="str">
        <x:v>Stage 2 recorded this row as a discovery candidate; it does not independently verify an exact current research program, eligibility, or funding.</x:v>
      </x:c>
      <x:c r="H2255" s="17" t="str">
        <x:v>Pass 2 Stage 2 candidate funnel</x:v>
      </x:c>
      <x:c r="I2255" s="17" t="str">
        <x:v>Graduate audit pipeline</x:v>
      </x:c>
      <x:c r="J2255" s="17" t="str">
        <x:v>derived</x:v>
      </x:c>
      <x:c r="K2255" s="17" t="str">
        <x:v>2026-09-11</x:v>
      </x:c>
      <x:c r="L2255" s="17" t="str">
        <x:v>Not cycle-specific</x:v>
      </x:c>
      <x:c r="M2255" s="17" t="str">
        <x:v>low</x:v>
      </x:c>
      <x:c r="N2255" s="17" t="str">
        <x:v>Discovery evidence only</x:v>
      </x:c>
      <x:c r="O2255" s="17" t="str">
        <x:v>Use the source_record_paths field to trace the underlying discovery inputs.</x:v>
      </x:c>
      <x:c r="P2255" s="18" t="e">
        <x:f>HYPERLINK("https://www.memphis.edu","Open source")</x:f>
        <x:v>HYPERLINK is not implemented. linkLocation=https://www.memphis.edu, friendlyName=Open source</x:v>
      </x:c>
    </x:row>
    <x:row r="2256" ht="46" customHeight="1">
      <x:c r="A2256" s="17" t="str">
        <x:v>stage3src:a3f010bdc494e5a03737</x:v>
      </x:c>
      <x:c r="B2256" s="17" t="str">
        <x:v>program</x:v>
      </x:c>
      <x:c r="C2256" s="17" t="str">
        <x:v>University of Memphis</x:v>
      </x:c>
      <x:c r="D2256" s="17" t="str">
        <x:v>us:ipeds:220862:program:unclear:ipeds-discovery-signal-data-science-general-cip-30-7001</x:v>
      </x:c>
      <x:c r="E2256" s="17" t="str"/>
      <x:c r="F2256" s="17" t="str">
        <x:v>discovery</x:v>
      </x:c>
      <x:c r="G2256" s="17" t="str">
        <x:v>Stage 2 recorded this row as a discovery candidate; it does not independently verify an exact current research program, eligibility, or funding.</x:v>
      </x:c>
      <x:c r="H2256" s="17" t="str">
        <x:v>Pass 2 Stage 2 candidate funnel</x:v>
      </x:c>
      <x:c r="I2256" s="17" t="str">
        <x:v>Graduate audit pipeline</x:v>
      </x:c>
      <x:c r="J2256" s="17" t="str">
        <x:v>derived</x:v>
      </x:c>
      <x:c r="K2256" s="17" t="str">
        <x:v>2026-09-11</x:v>
      </x:c>
      <x:c r="L2256" s="17" t="str">
        <x:v>Not cycle-specific</x:v>
      </x:c>
      <x:c r="M2256" s="17" t="str">
        <x:v>low</x:v>
      </x:c>
      <x:c r="N2256" s="17" t="str">
        <x:v>Discovery evidence only</x:v>
      </x:c>
      <x:c r="O2256" s="17" t="str">
        <x:v>Use the source_record_paths field to trace the underlying discovery inputs.</x:v>
      </x:c>
      <x:c r="P2256" s="18" t="e">
        <x:f>HYPERLINK("https://www.memphis.edu","Open source")</x:f>
        <x:v>HYPERLINK is not implemented. linkLocation=https://www.memphis.edu, friendlyName=Open source</x:v>
      </x:c>
    </x:row>
    <x:row r="2257" ht="46" customHeight="1">
      <x:c r="A2257" s="17" t="str">
        <x:v>stage3src:86980c5dc858e2c50e95</x:v>
      </x:c>
      <x:c r="B2257" s="17" t="str">
        <x:v>program</x:v>
      </x:c>
      <x:c r="C2257" s="17" t="str">
        <x:v>University of Memphis</x:v>
      </x:c>
      <x:c r="D2257" s="17" t="str">
        <x:v>us:ipeds:220862:program:unclear:ipeds-discovery-signal-electrical-and-electronics-engineering-cip-14-1001</x:v>
      </x:c>
      <x:c r="E2257" s="17" t="str"/>
      <x:c r="F2257" s="17" t="str">
        <x:v>discovery</x:v>
      </x:c>
      <x:c r="G2257" s="17" t="str">
        <x:v>Stage 2 recorded this row as a discovery candidate; it does not independently verify an exact current research program, eligibility, or funding.</x:v>
      </x:c>
      <x:c r="H2257" s="17" t="str">
        <x:v>Pass 2 Stage 2 candidate funnel</x:v>
      </x:c>
      <x:c r="I2257" s="17" t="str">
        <x:v>Graduate audit pipeline</x:v>
      </x:c>
      <x:c r="J2257" s="17" t="str">
        <x:v>derived</x:v>
      </x:c>
      <x:c r="K2257" s="17" t="str">
        <x:v>2026-09-11</x:v>
      </x:c>
      <x:c r="L2257" s="17" t="str">
        <x:v>Not cycle-specific</x:v>
      </x:c>
      <x:c r="M2257" s="17" t="str">
        <x:v>low</x:v>
      </x:c>
      <x:c r="N2257" s="17" t="str">
        <x:v>Discovery evidence only</x:v>
      </x:c>
      <x:c r="O2257" s="17" t="str">
        <x:v>Use the source_record_paths field to trace the underlying discovery inputs.</x:v>
      </x:c>
      <x:c r="P2257" s="18" t="e">
        <x:f>HYPERLINK("https://www.memphis.edu","Open source")</x:f>
        <x:v>HYPERLINK is not implemented. linkLocation=https://www.memphis.edu, friendlyName=Open source</x:v>
      </x:c>
    </x:row>
    <x:row r="2258" ht="46" customHeight="1">
      <x:c r="A2258" s="17" t="str">
        <x:v>stage3src:10ca3f8ed91fc1794194</x:v>
      </x:c>
      <x:c r="B2258" s="17" t="str">
        <x:v>program</x:v>
      </x:c>
      <x:c r="C2258" s="17" t="str">
        <x:v>University of Memphis</x:v>
      </x:c>
      <x:c r="D2258" s="17" t="str">
        <x:v>us:ipeds:220862:program:unclear:ipeds-discovery-signal-information-technology-cip-11-0103</x:v>
      </x:c>
      <x:c r="E2258" s="17" t="str"/>
      <x:c r="F2258" s="17" t="str">
        <x:v>discovery</x:v>
      </x:c>
      <x:c r="G2258" s="17" t="str">
        <x:v>Stage 2 recorded this row as a discovery candidate; it does not independently verify an exact current research program, eligibility, or funding.</x:v>
      </x:c>
      <x:c r="H2258" s="17" t="str">
        <x:v>Pass 2 Stage 2 candidate funnel</x:v>
      </x:c>
      <x:c r="I2258" s="17" t="str">
        <x:v>Graduate audit pipeline</x:v>
      </x:c>
      <x:c r="J2258" s="17" t="str">
        <x:v>derived</x:v>
      </x:c>
      <x:c r="K2258" s="17" t="str">
        <x:v>2026-09-11</x:v>
      </x:c>
      <x:c r="L2258" s="17" t="str">
        <x:v>Not cycle-specific</x:v>
      </x:c>
      <x:c r="M2258" s="17" t="str">
        <x:v>low</x:v>
      </x:c>
      <x:c r="N2258" s="17" t="str">
        <x:v>Discovery evidence only</x:v>
      </x:c>
      <x:c r="O2258" s="17" t="str">
        <x:v>Use the source_record_paths field to trace the underlying discovery inputs.</x:v>
      </x:c>
      <x:c r="P2258" s="18" t="e">
        <x:f>HYPERLINK("https://www.memphis.edu","Open source")</x:f>
        <x:v>HYPERLINK is not implemented. linkLocation=https://www.memphis.edu, friendlyName=Open source</x:v>
      </x:c>
    </x:row>
    <x:row r="2259" ht="46" customHeight="1">
      <x:c r="A2259" s="17" t="str">
        <x:v>stage3src:6139329c56195bd4c204</x:v>
      </x:c>
      <x:c r="B2259" s="17" t="str">
        <x:v>program</x:v>
      </x:c>
      <x:c r="C2259" s="17" t="str">
        <x:v>Middle Tennessee State University</x:v>
      </x:c>
      <x:c r="D2259" s="17" t="str">
        <x:v>us:ipeds:220978:program:unclear:ipeds-discovery-signal-computer-science-cip-11-0701</x:v>
      </x:c>
      <x:c r="E2259" s="17" t="str"/>
      <x:c r="F2259" s="17" t="str">
        <x:v>discovery</x:v>
      </x:c>
      <x:c r="G2259" s="17" t="str">
        <x:v>Stage 2 recorded this row as a discovery candidate; it does not independently verify an exact current research program, eligibility, or funding.</x:v>
      </x:c>
      <x:c r="H2259" s="17" t="str">
        <x:v>Pass 2 Stage 2 candidate funnel</x:v>
      </x:c>
      <x:c r="I2259" s="17" t="str">
        <x:v>Graduate audit pipeline</x:v>
      </x:c>
      <x:c r="J2259" s="17" t="str">
        <x:v>derived</x:v>
      </x:c>
      <x:c r="K2259" s="17" t="str">
        <x:v>2026-09-11</x:v>
      </x:c>
      <x:c r="L2259" s="17" t="str">
        <x:v>Not cycle-specific</x:v>
      </x:c>
      <x:c r="M2259" s="17" t="str">
        <x:v>low</x:v>
      </x:c>
      <x:c r="N2259" s="17" t="str">
        <x:v>Discovery evidence only</x:v>
      </x:c>
      <x:c r="O2259" s="17" t="str">
        <x:v>Use the source_record_paths field to trace the underlying discovery inputs.</x:v>
      </x:c>
      <x:c r="P2259" s="18" t="e">
        <x:f>HYPERLINK("https://www.mtsu.edu","Open source")</x:f>
        <x:v>HYPERLINK is not implemented. linkLocation=https://www.mtsu.edu, friendlyName=Open source</x:v>
      </x:c>
    </x:row>
    <x:row r="2260" ht="46" customHeight="1">
      <x:c r="A2260" s="17" t="str">
        <x:v>stage3src:d445f16eb29937caa198</x:v>
      </x:c>
      <x:c r="B2260" s="17" t="str">
        <x:v>program</x:v>
      </x:c>
      <x:c r="C2260" s="17" t="str">
        <x:v>Middle Tennessee State University</x:v>
      </x:c>
      <x:c r="D2260" s="17" t="str">
        <x:v>us:ipeds:220978:program:unclear:ipeds-discovery-signal-data-science-general-cip-30-7001</x:v>
      </x:c>
      <x:c r="E2260" s="17" t="str"/>
      <x:c r="F2260" s="17" t="str">
        <x:v>discovery</x:v>
      </x:c>
      <x:c r="G2260" s="17" t="str">
        <x:v>Stage 2 recorded this row as a discovery candidate; it does not independently verify an exact current research program, eligibility, or funding.</x:v>
      </x:c>
      <x:c r="H2260" s="17" t="str">
        <x:v>Pass 2 Stage 2 candidate funnel</x:v>
      </x:c>
      <x:c r="I2260" s="17" t="str">
        <x:v>Graduate audit pipeline</x:v>
      </x:c>
      <x:c r="J2260" s="17" t="str">
        <x:v>derived</x:v>
      </x:c>
      <x:c r="K2260" s="17" t="str">
        <x:v>2026-09-11</x:v>
      </x:c>
      <x:c r="L2260" s="17" t="str">
        <x:v>Not cycle-specific</x:v>
      </x:c>
      <x:c r="M2260" s="17" t="str">
        <x:v>low</x:v>
      </x:c>
      <x:c r="N2260" s="17" t="str">
        <x:v>Discovery evidence only</x:v>
      </x:c>
      <x:c r="O2260" s="17" t="str">
        <x:v>Use the source_record_paths field to trace the underlying discovery inputs.</x:v>
      </x:c>
      <x:c r="P2260" s="18" t="e">
        <x:f>HYPERLINK("https://www.mtsu.edu","Open source")</x:f>
        <x:v>HYPERLINK is not implemented. linkLocation=https://www.mtsu.edu, friendlyName=Open source</x:v>
      </x:c>
    </x:row>
    <x:row r="2261" ht="46" customHeight="1">
      <x:c r="A2261" s="17" t="str">
        <x:v>stage3src:23ed27beed4f2d633c4a</x:v>
      </x:c>
      <x:c r="B2261" s="17" t="str">
        <x:v>program</x:v>
      </x:c>
      <x:c r="C2261" s="17" t="str">
        <x:v>Middle Tennessee State University</x:v>
      </x:c>
      <x:c r="D2261" s="17" t="str">
        <x:v>us:ipeds:220978:program:unclear:ipeds-discovery-signal-information-technology-cip-11-0103</x:v>
      </x:c>
      <x:c r="E2261" s="17" t="str"/>
      <x:c r="F2261" s="17" t="str">
        <x:v>discovery</x:v>
      </x:c>
      <x:c r="G2261" s="17" t="str">
        <x:v>Stage 2 recorded this row as a discovery candidate; it does not independently verify an exact current research program, eligibility, or funding.</x:v>
      </x:c>
      <x:c r="H2261" s="17" t="str">
        <x:v>Pass 2 Stage 2 candidate funnel</x:v>
      </x:c>
      <x:c r="I2261" s="17" t="str">
        <x:v>Graduate audit pipeline</x:v>
      </x:c>
      <x:c r="J2261" s="17" t="str">
        <x:v>derived</x:v>
      </x:c>
      <x:c r="K2261" s="17" t="str">
        <x:v>2026-09-11</x:v>
      </x:c>
      <x:c r="L2261" s="17" t="str">
        <x:v>Not cycle-specific</x:v>
      </x:c>
      <x:c r="M2261" s="17" t="str">
        <x:v>low</x:v>
      </x:c>
      <x:c r="N2261" s="17" t="str">
        <x:v>Discovery evidence only</x:v>
      </x:c>
      <x:c r="O2261" s="17" t="str">
        <x:v>Use the source_record_paths field to trace the underlying discovery inputs.</x:v>
      </x:c>
      <x:c r="P2261" s="18" t="e">
        <x:f>HYPERLINK("https://www.mtsu.edu","Open source")</x:f>
        <x:v>HYPERLINK is not implemented. linkLocation=https://www.mtsu.edu, friendlyName=Open source</x:v>
      </x:c>
    </x:row>
    <x:row r="2262" ht="46" customHeight="1">
      <x:c r="A2262" s="17" t="str">
        <x:v>stage3src:d53e417b568fe604f6f1</x:v>
      </x:c>
      <x:c r="B2262" s="17" t="str">
        <x:v>program</x:v>
      </x:c>
      <x:c r="C2262" s="17" t="str">
        <x:v>Southern Adventist University</x:v>
      </x:c>
      <x:c r="D2262" s="17" t="str">
        <x:v>us:ipeds:221661:program:unclear:ipeds-discovery-signal-computer-science-cip-11-0701</x:v>
      </x:c>
      <x:c r="E2262" s="17" t="str"/>
      <x:c r="F2262" s="17" t="str">
        <x:v>discovery</x:v>
      </x:c>
      <x:c r="G2262" s="17" t="str">
        <x:v>Stage 2 recorded this row as a discovery candidate; it does not independently verify an exact current research program, eligibility, or funding.</x:v>
      </x:c>
      <x:c r="H2262" s="17" t="str">
        <x:v>Pass 2 Stage 2 candidate funnel</x:v>
      </x:c>
      <x:c r="I2262" s="17" t="str">
        <x:v>Graduate audit pipeline</x:v>
      </x:c>
      <x:c r="J2262" s="17" t="str">
        <x:v>derived</x:v>
      </x:c>
      <x:c r="K2262" s="17" t="str">
        <x:v>2026-09-11</x:v>
      </x:c>
      <x:c r="L2262" s="17" t="str">
        <x:v>Not cycle-specific</x:v>
      </x:c>
      <x:c r="M2262" s="17" t="str">
        <x:v>low</x:v>
      </x:c>
      <x:c r="N2262" s="17" t="str">
        <x:v>Discovery evidence only</x:v>
      </x:c>
      <x:c r="O2262" s="17" t="str">
        <x:v>Use the source_record_paths field to trace the underlying discovery inputs.</x:v>
      </x:c>
      <x:c r="P2262" s="18" t="e">
        <x:f>HYPERLINK("https://www.southern.edu","Open source")</x:f>
        <x:v>HYPERLINK is not implemented. linkLocation=https://www.southern.edu, friendlyName=Open source</x:v>
      </x:c>
    </x:row>
    <x:row r="2263" ht="46" customHeight="1">
      <x:c r="A2263" s="17" t="str">
        <x:v>stage3src:5bd83dcc0adc548ce616</x:v>
      </x:c>
      <x:c r="B2263" s="17" t="str">
        <x:v>program</x:v>
      </x:c>
      <x:c r="C2263" s="17" t="str">
        <x:v>The University of Tennessee-Chattanooga</x:v>
      </x:c>
      <x:c r="D2263" s="17" t="str">
        <x:v>us:ipeds:221740:program:unclear:ipeds-discovery-signal-computer-science-cip-11-0701</x:v>
      </x:c>
      <x:c r="E2263" s="17" t="str"/>
      <x:c r="F2263" s="17" t="str">
        <x:v>discovery</x:v>
      </x:c>
      <x:c r="G2263" s="17" t="str">
        <x:v>Stage 2 recorded this row as a discovery candidate; it does not independently verify an exact current research program, eligibility, or funding.</x:v>
      </x:c>
      <x:c r="H2263" s="17" t="str">
        <x:v>Pass 2 Stage 2 candidate funnel</x:v>
      </x:c>
      <x:c r="I2263" s="17" t="str">
        <x:v>Graduate audit pipeline</x:v>
      </x:c>
      <x:c r="J2263" s="17" t="str">
        <x:v>derived</x:v>
      </x:c>
      <x:c r="K2263" s="17" t="str">
        <x:v>2026-09-11</x:v>
      </x:c>
      <x:c r="L2263" s="17" t="str">
        <x:v>Not cycle-specific</x:v>
      </x:c>
      <x:c r="M2263" s="17" t="str">
        <x:v>low</x:v>
      </x:c>
      <x:c r="N2263" s="17" t="str">
        <x:v>Discovery evidence only</x:v>
      </x:c>
      <x:c r="O2263" s="17" t="str">
        <x:v>Use the source_record_paths field to trace the underlying discovery inputs.</x:v>
      </x:c>
      <x:c r="P2263" s="18" t="e">
        <x:f>HYPERLINK("https://utc.edu","Open source")</x:f>
        <x:v>HYPERLINK is not implemented. linkLocation=https://utc.edu, friendlyName=Open source</x:v>
      </x:c>
    </x:row>
    <x:row r="2264" ht="46" customHeight="1">
      <x:c r="A2264" s="17" t="str">
        <x:v>stage3src:16f1418e9ee96698eb85</x:v>
      </x:c>
      <x:c r="B2264" s="17" t="str">
        <x:v>program</x:v>
      </x:c>
      <x:c r="C2264" s="17" t="str">
        <x:v>The University of Tennessee-Knoxville</x:v>
      </x:c>
      <x:c r="D2264" s="17" t="str">
        <x:v>us:ipeds:221759:program:phd:computer-science-phd</x:v>
      </x:c>
      <x:c r="E2264" s="17" t="str"/>
      <x:c r="F2264" s="17" t="str">
        <x:v>program</x:v>
      </x:c>
      <x:c r="G2264" s="17" t="str">
        <x:v>Current research-focused Computer Science PhD.</x:v>
      </x:c>
      <x:c r="H2264" s="17" t="str">
        <x:v>Computer Science PhD</x:v>
      </x:c>
      <x:c r="I2264" s="17" t="str">
        <x:v>University of Tennessee Tickle College of Engineering</x:v>
      </x:c>
      <x:c r="J2264" s="17" t="str">
        <x:v>official</x:v>
      </x:c>
      <x:c r="K2264" s="17" t="str">
        <x:v>2026-09-10</x:v>
      </x:c>
      <x:c r="L2264" s="17" t="str">
        <x:v>Current page checked 2026-09-10</x:v>
      </x:c>
      <x:c r="M2264" s="17" t="str">
        <x:v>high</x:v>
      </x:c>
      <x:c r="N2264" s="17" t="str">
        <x:v>Official indexed page checked; automated GET returned HTTP 403</x:v>
      </x:c>
      <x:c r="O2264" s="17" t="str">
        <x:v>The official page was readable through indexed web evidence but blocked the independent automated URL check.</x:v>
      </x:c>
      <x:c r="P2264" s="18" t="e">
        <x:f>HYPERLINK("https://tickle.utk.edu/academics/graduate-programs/computer-science-phd/","Open source")</x:f>
        <x:v>HYPERLINK is not implemented. linkLocation=https://tickle.utk.edu/academics/graduate-programs/computer-science-phd/, friendlyName=Open source</x:v>
      </x:c>
    </x:row>
    <x:row r="2265" ht="46" customHeight="1">
      <x:c r="A2265" s="17" t="str">
        <x:v>stage3src:32dc0d6e15c65643396a</x:v>
      </x:c>
      <x:c r="B2265" s="17" t="str">
        <x:v>program</x:v>
      </x:c>
      <x:c r="C2265" s="17" t="str">
        <x:v>The University of Tennessee-Knoxville</x:v>
      </x:c>
      <x:c r="D2265" s="17" t="str">
        <x:v>us:ipeds:221759:program:phd:computer-science-phd</x:v>
      </x:c>
      <x:c r="E2265" s="17" t="str"/>
      <x:c r="F2265" s="17" t="str">
        <x:v>admissions|eligibility|language|deadline|fees|funding</x:v>
      </x:c>
      <x:c r="G2265" s="17" t="str">
        <x:v>BS route, advisor requirement, competitive GRA/GTA model, processing timeline, English rules, and no department fee waiver.</x:v>
      </x:c>
      <x:c r="H2265" s="17" t="str">
        <x:v>Graduate Admissions</x:v>
      </x:c>
      <x:c r="I2265" s="17" t="str">
        <x:v>UTK Min H. Kao Department of EECS</x:v>
      </x:c>
      <x:c r="J2265" s="17" t="str">
        <x:v>official</x:v>
      </x:c>
      <x:c r="K2265" s="17" t="str">
        <x:v>2026-09-10</x:v>
      </x:c>
      <x:c r="L2265" s="17" t="str">
        <x:v>Current page checked 2026-09-10</x:v>
      </x:c>
      <x:c r="M2265" s="17" t="str">
        <x:v>high</x:v>
      </x:c>
      <x:c r="N2265" s="17" t="str">
        <x:v>official page checked</x:v>
      </x:c>
      <x:c r="O2265" s="17" t="str"/>
      <x:c r="P2265" s="18" t="e">
        <x:f>HYPERLINK("https://eecs.utk.edu/graduate/graduate-admissions/","Open source")</x:f>
        <x:v>HYPERLINK is not implemented. linkLocation=https://eecs.utk.edu/graduate/graduate-admissions/, friendlyName=Open source</x:v>
      </x:c>
    </x:row>
    <x:row r="2266" ht="46" customHeight="1">
      <x:c r="A2266" s="17" t="str">
        <x:v>stage3src:4dab976768924a80e1cd</x:v>
      </x:c>
      <x:c r="B2266" s="17" t="str">
        <x:v>program</x:v>
      </x:c>
      <x:c r="C2266" s="17" t="str">
        <x:v>The University of Tennessee-Knoxville</x:v>
      </x:c>
      <x:c r="D2266" s="17" t="str">
        <x:v>us:ipeds:221759:program:phd:computer-science-phd</x:v>
      </x:c>
      <x:c r="E2266" s="17" t="str"/>
      <x:c r="F2266" s="17" t="str">
        <x:v>admissions|eligibility|language|fees|funding</x:v>
      </x:c>
      <x:c r="G2266" s="17" t="str">
        <x:v>Assistantship incidence, faculty selection, tuition, fees, health insurance, stipend form, and maximum support duration.</x:v>
      </x:c>
      <x:c r="H2266" s="17" t="str">
        <x:v>EECS Graduate Handbook</x:v>
      </x:c>
      <x:c r="I2266" s="17" t="str">
        <x:v>UTK Min H. Kao Department of EECS</x:v>
      </x:c>
      <x:c r="J2266" s="17" t="str">
        <x:v>official</x:v>
      </x:c>
      <x:c r="K2266" s="17" t="str">
        <x:v>2026-09-10</x:v>
      </x:c>
      <x:c r="L2266" s="17" t="str">
        <x:v>2025 handbook checked 2026-09-10</x:v>
      </x:c>
      <x:c r="M2266" s="17" t="str">
        <x:v>high</x:v>
      </x:c>
      <x:c r="N2266" s="17" t="str">
        <x:v>official page checked</x:v>
      </x:c>
      <x:c r="O2266" s="17" t="str"/>
      <x:c r="P2266" s="18" t="e">
        <x:f>HYPERLINK("https://eecs.utk.edu/wp-content/uploads/2025/10/2025-EECS-graduate-handbook.pdf","Open source")</x:f>
        <x:v>HYPERLINK is not implemented. linkLocation=https://eecs.utk.edu/wp-content/uploads/2025/10/2025-EECS-graduate-handbook.pdf, friendlyName=Open source</x:v>
      </x:c>
    </x:row>
    <x:row r="2267" ht="46" customHeight="1">
      <x:c r="A2267" s="17" t="str">
        <x:v>stage3src:88e34bb7078c159d7286</x:v>
      </x:c>
      <x:c r="B2267" s="17" t="str">
        <x:v>program</x:v>
      </x:c>
      <x:c r="C2267" s="17" t="str">
        <x:v>The University of Tennessee-Knoxville</x:v>
      </x:c>
      <x:c r="D2267" s="17" t="str">
        <x:v>us:ipeds:221759:program:unclear:ipeds-discovery-signal-computer-engineering-general-cip-14-0901</x:v>
      </x:c>
      <x:c r="E2267" s="17" t="str"/>
      <x:c r="F2267" s="17" t="str">
        <x:v>discovery</x:v>
      </x:c>
      <x:c r="G2267" s="17" t="str">
        <x:v>Stage 2 recorded this row as a discovery candidate; it does not independently verify an exact current research program, eligibility, or funding.</x:v>
      </x:c>
      <x:c r="H2267" s="17" t="str">
        <x:v>Pass 2 Stage 2 candidate funnel</x:v>
      </x:c>
      <x:c r="I2267" s="17" t="str">
        <x:v>Graduate audit pipeline</x:v>
      </x:c>
      <x:c r="J2267" s="17" t="str">
        <x:v>derived</x:v>
      </x:c>
      <x:c r="K2267" s="17" t="str">
        <x:v>2026-09-11</x:v>
      </x:c>
      <x:c r="L2267" s="17" t="str">
        <x:v>Not cycle-specific</x:v>
      </x:c>
      <x:c r="M2267" s="17" t="str">
        <x:v>low</x:v>
      </x:c>
      <x:c r="N2267" s="17" t="str">
        <x:v>Discovery evidence only</x:v>
      </x:c>
      <x:c r="O2267" s="17" t="str">
        <x:v>Use the source_record_paths field to trace the underlying discovery inputs.</x:v>
      </x:c>
      <x:c r="P2267" s="18" t="e">
        <x:f>HYPERLINK("https://www.utk.edu","Open source")</x:f>
        <x:v>HYPERLINK is not implemented. linkLocation=https://www.utk.edu, friendlyName=Open source</x:v>
      </x:c>
    </x:row>
    <x:row r="2268" ht="46" customHeight="1">
      <x:c r="A2268" s="17" t="str">
        <x:v>stage3src:7b5fc3cfb4fa8028748a</x:v>
      </x:c>
      <x:c r="B2268" s="17" t="str">
        <x:v>program</x:v>
      </x:c>
      <x:c r="C2268" s="17" t="str">
        <x:v>The University of Tennessee-Knoxville</x:v>
      </x:c>
      <x:c r="D2268" s="17" t="str">
        <x:v>us:ipeds:221759:program:unclear:ipeds-discovery-signal-computer-science-cip-11-0701</x:v>
      </x:c>
      <x:c r="E2268" s="17" t="str"/>
      <x:c r="F2268" s="17" t="str">
        <x:v>discovery</x:v>
      </x:c>
      <x:c r="G2268" s="17" t="str">
        <x:v>Stage 2 recorded this row as a discovery candidate; it does not independently verify an exact current research program, eligibility, or funding.</x:v>
      </x:c>
      <x:c r="H2268" s="17" t="str">
        <x:v>Pass 2 Stage 2 candidate funnel</x:v>
      </x:c>
      <x:c r="I2268" s="17" t="str">
        <x:v>Graduate audit pipeline</x:v>
      </x:c>
      <x:c r="J2268" s="17" t="str">
        <x:v>derived</x:v>
      </x:c>
      <x:c r="K2268" s="17" t="str">
        <x:v>2026-09-11</x:v>
      </x:c>
      <x:c r="L2268" s="17" t="str">
        <x:v>Not cycle-specific</x:v>
      </x:c>
      <x:c r="M2268" s="17" t="str">
        <x:v>low</x:v>
      </x:c>
      <x:c r="N2268" s="17" t="str">
        <x:v>Discovery evidence only</x:v>
      </x:c>
      <x:c r="O2268" s="17" t="str">
        <x:v>Use the source_record_paths field to trace the underlying discovery inputs.</x:v>
      </x:c>
      <x:c r="P2268" s="18" t="e">
        <x:f>HYPERLINK("https://www.utk.edu","Open source")</x:f>
        <x:v>HYPERLINK is not implemented. linkLocation=https://www.utk.edu, friendlyName=Open source</x:v>
      </x:c>
    </x:row>
    <x:row r="2269" ht="46" customHeight="1">
      <x:c r="A2269" s="17" t="str">
        <x:v>stage3src:79b21a4d5d6dbeb29b95</x:v>
      </x:c>
      <x:c r="B2269" s="17" t="str">
        <x:v>program</x:v>
      </x:c>
      <x:c r="C2269" s="17" t="str">
        <x:v>The University of Tennessee-Knoxville</x:v>
      </x:c>
      <x:c r="D2269" s="17" t="str">
        <x:v>us:ipeds:221759:program:unclear:ipeds-discovery-signal-electrical-and-electronics-engineering-cip-14-1001</x:v>
      </x:c>
      <x:c r="E2269" s="17" t="str"/>
      <x:c r="F2269" s="17" t="str">
        <x:v>discovery</x:v>
      </x:c>
      <x:c r="G2269" s="17" t="str">
        <x:v>Stage 2 recorded this row as a discovery candidate; it does not independently verify an exact current research program, eligibility, or funding.</x:v>
      </x:c>
      <x:c r="H2269" s="17" t="str">
        <x:v>Pass 2 Stage 2 candidate funnel</x:v>
      </x:c>
      <x:c r="I2269" s="17" t="str">
        <x:v>Graduate audit pipeline</x:v>
      </x:c>
      <x:c r="J2269" s="17" t="str">
        <x:v>derived</x:v>
      </x:c>
      <x:c r="K2269" s="17" t="str">
        <x:v>2026-09-11</x:v>
      </x:c>
      <x:c r="L2269" s="17" t="str">
        <x:v>Not cycle-specific</x:v>
      </x:c>
      <x:c r="M2269" s="17" t="str">
        <x:v>low</x:v>
      </x:c>
      <x:c r="N2269" s="17" t="str">
        <x:v>Discovery evidence only</x:v>
      </x:c>
      <x:c r="O2269" s="17" t="str">
        <x:v>Use the source_record_paths field to trace the underlying discovery inputs.</x:v>
      </x:c>
      <x:c r="P2269" s="18" t="e">
        <x:f>HYPERLINK("https://www.utk.edu","Open source")</x:f>
        <x:v>HYPERLINK is not implemented. linkLocation=https://www.utk.edu, friendlyName=Open source</x:v>
      </x:c>
    </x:row>
    <x:row r="2270" ht="46" customHeight="1">
      <x:c r="A2270" s="17" t="str">
        <x:v>stage3src:d33051b1e5434403d2b0</x:v>
      </x:c>
      <x:c r="B2270" s="17" t="str">
        <x:v>program</x:v>
      </x:c>
      <x:c r="C2270" s="17" t="str">
        <x:v>Tennessee State University</x:v>
      </x:c>
      <x:c r="D2270" s="17" t="str">
        <x:v>us:ipeds:221838:program:unclear:ipeds-discovery-signal-computer-engineering-general-cip-14-0901</x:v>
      </x:c>
      <x:c r="E2270" s="17" t="str"/>
      <x:c r="F2270" s="17" t="str">
        <x:v>discovery</x:v>
      </x:c>
      <x:c r="G2270" s="17" t="str">
        <x:v>Stage 2 recorded this row as a discovery candidate; it does not independently verify an exact current research program, eligibility, or funding.</x:v>
      </x:c>
      <x:c r="H2270" s="17" t="str">
        <x:v>Pass 2 Stage 2 candidate funnel</x:v>
      </x:c>
      <x:c r="I2270" s="17" t="str">
        <x:v>Graduate audit pipeline</x:v>
      </x:c>
      <x:c r="J2270" s="17" t="str">
        <x:v>derived</x:v>
      </x:c>
      <x:c r="K2270" s="17" t="str">
        <x:v>2026-09-11</x:v>
      </x:c>
      <x:c r="L2270" s="17" t="str">
        <x:v>Not cycle-specific</x:v>
      </x:c>
      <x:c r="M2270" s="17" t="str">
        <x:v>low</x:v>
      </x:c>
      <x:c r="N2270" s="17" t="str">
        <x:v>Discovery evidence only</x:v>
      </x:c>
      <x:c r="O2270" s="17" t="str">
        <x:v>Use the source_record_paths field to trace the underlying discovery inputs.</x:v>
      </x:c>
      <x:c r="P2270" s="18" t="e">
        <x:f>HYPERLINK("https://www.tnstate.edu","Open source")</x:f>
        <x:v>HYPERLINK is not implemented. linkLocation=https://www.tnstate.edu, friendlyName=Open source</x:v>
      </x:c>
    </x:row>
    <x:row r="2271" ht="46" customHeight="1">
      <x:c r="A2271" s="17" t="str">
        <x:v>stage3src:163ccb360bf410ea067f</x:v>
      </x:c>
      <x:c r="B2271" s="17" t="str">
        <x:v>program</x:v>
      </x:c>
      <x:c r="C2271" s="17" t="str">
        <x:v>Tennessee State University</x:v>
      </x:c>
      <x:c r="D2271" s="17" t="str">
        <x:v>us:ipeds:221838:program:unclear:ipeds-discovery-signal-computer-science-cip-11-0701</x:v>
      </x:c>
      <x:c r="E2271" s="17" t="str"/>
      <x:c r="F2271" s="17" t="str">
        <x:v>discovery</x:v>
      </x:c>
      <x:c r="G2271" s="17" t="str">
        <x:v>Stage 2 recorded this row as a discovery candidate; it does not independently verify an exact current research program, eligibility, or funding.</x:v>
      </x:c>
      <x:c r="H2271" s="17" t="str">
        <x:v>Pass 2 Stage 2 candidate funnel</x:v>
      </x:c>
      <x:c r="I2271" s="17" t="str">
        <x:v>Graduate audit pipeline</x:v>
      </x:c>
      <x:c r="J2271" s="17" t="str">
        <x:v>derived</x:v>
      </x:c>
      <x:c r="K2271" s="17" t="str">
        <x:v>2026-09-11</x:v>
      </x:c>
      <x:c r="L2271" s="17" t="str">
        <x:v>Not cycle-specific</x:v>
      </x:c>
      <x:c r="M2271" s="17" t="str">
        <x:v>low</x:v>
      </x:c>
      <x:c r="N2271" s="17" t="str">
        <x:v>Discovery evidence only</x:v>
      </x:c>
      <x:c r="O2271" s="17" t="str">
        <x:v>Use the source_record_paths field to trace the underlying discovery inputs.</x:v>
      </x:c>
      <x:c r="P2271" s="18" t="e">
        <x:f>HYPERLINK("https://www.tnstate.edu","Open source")</x:f>
        <x:v>HYPERLINK is not implemented. linkLocation=https://www.tnstate.edu, friendlyName=Open source</x:v>
      </x:c>
    </x:row>
    <x:row r="2272" ht="46" customHeight="1">
      <x:c r="A2272" s="17" t="str">
        <x:v>stage3src:48b80ae40c91a113203e</x:v>
      </x:c>
      <x:c r="B2272" s="17" t="str">
        <x:v>program</x:v>
      </x:c>
      <x:c r="C2272" s="17" t="str">
        <x:v>Tennessee Technological University</x:v>
      </x:c>
      <x:c r="D2272" s="17" t="str">
        <x:v>us:ipeds:221847:program:phd:computer-science-phd</x:v>
      </x:c>
      <x:c r="E2272" s="17" t="str"/>
      <x:c r="F2272" s="17" t="str">
        <x:v>admissions|deadline|fees|language</x:v>
      </x:c>
      <x:c r="G2272" s="17" t="str">
        <x:v>International application fee and latest explicit international deadline cycle.</x:v>
      </x:c>
      <x:c r="H2272" s="17" t="str">
        <x:v>Apply to Graduate Studies</x:v>
      </x:c>
      <x:c r="I2272" s="17" t="str">
        <x:v>Tennessee Technological University</x:v>
      </x:c>
      <x:c r="J2272" s="17" t="str">
        <x:v>official</x:v>
      </x:c>
      <x:c r="K2272" s="17" t="str">
        <x:v>2026-09-11</x:v>
      </x:c>
      <x:c r="L2272" s="17" t="str">
        <x:v>Latest cycle checked 2026-09-11</x:v>
      </x:c>
      <x:c r="M2272" s="17" t="str">
        <x:v>high</x:v>
      </x:c>
      <x:c r="N2272" s="17" t="str">
        <x:v>official page checked</x:v>
      </x:c>
      <x:c r="O2272" s="17" t="str"/>
      <x:c r="P2272" s="18" t="e">
        <x:f>HYPERLINK("https://www.tntech.edu/graduatestudies/admissions/apply.php","Open source")</x:f>
        <x:v>HYPERLINK is not implemented. linkLocation=https://www.tntech.edu/graduatestudies/admissions/apply.php, friendlyName=Open source</x:v>
      </x:c>
    </x:row>
    <x:row r="2273" ht="46" customHeight="1">
      <x:c r="A2273" s="17" t="str">
        <x:v>stage3src:6aff28d66d6b3cc6be29</x:v>
      </x:c>
      <x:c r="B2273" s="17" t="str">
        <x:v>program</x:v>
      </x:c>
      <x:c r="C2273" s="17" t="str">
        <x:v>Tennessee Technological University</x:v>
      </x:c>
      <x:c r="D2273" s="17" t="str">
        <x:v>us:ipeds:221847:program:phd:computer-science-phd</x:v>
      </x:c>
      <x:c r="E2273" s="17" t="str"/>
      <x:c r="F2273" s="17" t="str">
        <x:v>funding|tuition|fees|summer</x:v>
      </x:c>
      <x:c r="G2273" s="17" t="str">
        <x:v>Competitive TA and RA mechanism, stipend and tuition benefits, partial fee coverage, and summer distinction.</x:v>
      </x:c>
      <x:c r="H2273" s="17" t="str">
        <x:v>Graduate Assistantships</x:v>
      </x:c>
      <x:c r="I2273" s="17" t="str">
        <x:v>Tennessee Technological University</x:v>
      </x:c>
      <x:c r="J2273" s="17" t="str">
        <x:v>official</x:v>
      </x:c>
      <x:c r="K2273" s="17" t="str">
        <x:v>2026-09-11</x:v>
      </x:c>
      <x:c r="L2273" s="17" t="str">
        <x:v>Current page checked 2026-09-11</x:v>
      </x:c>
      <x:c r="M2273" s="17" t="str">
        <x:v>high</x:v>
      </x:c>
      <x:c r="N2273" s="17" t="str">
        <x:v>official page checked</x:v>
      </x:c>
      <x:c r="O2273" s="17" t="str"/>
      <x:c r="P2273" s="18" t="e">
        <x:f>HYPERLINK("https://www.tntech.edu/engineering/programs/csc/graduate-assistantships.php","Open source")</x:f>
        <x:v>HYPERLINK is not implemented. linkLocation=https://www.tntech.edu/engineering/programs/csc/graduate-assistantships.php, friendlyName=Open source</x:v>
      </x:c>
    </x:row>
    <x:row r="2274" ht="46" customHeight="1">
      <x:c r="A2274" s="17" t="str">
        <x:v>stage3src:c2573195fc13052d5e0f</x:v>
      </x:c>
      <x:c r="B2274" s="17" t="str">
        <x:v>program</x:v>
      </x:c>
      <x:c r="C2274" s="17" t="str">
        <x:v>Tennessee Technological University</x:v>
      </x:c>
      <x:c r="D2274" s="17" t="str">
        <x:v>us:ipeds:221847:program:phd:computer-science-phd</x:v>
      </x:c>
      <x:c r="E2274" s="17" t="str"/>
      <x:c r="F2274" s="17" t="str">
        <x:v>program|research|eligibility</x:v>
      </x:c>
      <x:c r="G2274" s="17" t="str">
        <x:v>Current Computer Science PhD and direct BS-to-PhD pathway.</x:v>
      </x:c>
      <x:c r="H2274" s="17" t="str">
        <x:v>Computer Science Ph.D. Program</x:v>
      </x:c>
      <x:c r="I2274" s="17" t="str">
        <x:v>Tennessee Technological University</x:v>
      </x:c>
      <x:c r="J2274" s="17" t="str">
        <x:v>official</x:v>
      </x:c>
      <x:c r="K2274" s="17" t="str">
        <x:v>2026-09-11</x:v>
      </x:c>
      <x:c r="L2274" s="17" t="str">
        <x:v>Current page checked 2026-09-11</x:v>
      </x:c>
      <x:c r="M2274" s="17" t="str">
        <x:v>high</x:v>
      </x:c>
      <x:c r="N2274" s="17" t="str">
        <x:v>official page checked</x:v>
      </x:c>
      <x:c r="O2274" s="17" t="str"/>
      <x:c r="P2274" s="18" t="e">
        <x:f>HYPERLINK("https://www.tntech.edu/engineering/programs/csc/ph.d-program.php","Open source")</x:f>
        <x:v>HYPERLINK is not implemented. linkLocation=https://www.tntech.edu/engineering/programs/csc/ph.d-program.php, friendlyName=Open source</x:v>
      </x:c>
    </x:row>
    <x:row r="2275" ht="46" customHeight="1">
      <x:c r="A2275" s="17" t="str">
        <x:v>stage3src:0afdc60084f497b82a43</x:v>
      </x:c>
      <x:c r="B2275" s="17" t="str">
        <x:v>program</x:v>
      </x:c>
      <x:c r="C2275" s="17" t="str">
        <x:v>Tennessee Technological University</x:v>
      </x:c>
      <x:c r="D2275" s="17" t="str">
        <x:v>us:ipeds:221847:program:unclear:ipeds-discovery-signal-computer-science-cip-11-0701</x:v>
      </x:c>
      <x:c r="E2275" s="17" t="str"/>
      <x:c r="F2275" s="17" t="str">
        <x:v>discovery</x:v>
      </x:c>
      <x:c r="G2275" s="17" t="str">
        <x:v>Stage 2 recorded this row as a discovery candidate; it does not independently verify an exact current research program, eligibility, or funding.</x:v>
      </x:c>
      <x:c r="H2275" s="17" t="str">
        <x:v>Pass 2 Stage 2 candidate funnel</x:v>
      </x:c>
      <x:c r="I2275" s="17" t="str">
        <x:v>Graduate audit pipeline</x:v>
      </x:c>
      <x:c r="J2275" s="17" t="str">
        <x:v>derived</x:v>
      </x:c>
      <x:c r="K2275" s="17" t="str">
        <x:v>2026-09-11</x:v>
      </x:c>
      <x:c r="L2275" s="17" t="str">
        <x:v>Not cycle-specific</x:v>
      </x:c>
      <x:c r="M2275" s="17" t="str">
        <x:v>low</x:v>
      </x:c>
      <x:c r="N2275" s="17" t="str">
        <x:v>Discovery evidence only</x:v>
      </x:c>
      <x:c r="O2275" s="17" t="str">
        <x:v>Use the source_record_paths field to trace the underlying discovery inputs.</x:v>
      </x:c>
      <x:c r="P2275" s="18" t="e">
        <x:f>HYPERLINK("https://www.tntech.edu","Open source")</x:f>
        <x:v>HYPERLINK is not implemented. linkLocation=https://www.tntech.edu, friendlyName=Open source</x:v>
      </x:c>
    </x:row>
    <x:row r="2276" ht="46" customHeight="1">
      <x:c r="A2276" s="17" t="str">
        <x:v>stage3src:7883341a38276e7a4645</x:v>
      </x:c>
      <x:c r="B2276" s="17" t="str">
        <x:v>program</x:v>
      </x:c>
      <x:c r="C2276" s="17" t="str">
        <x:v>Tennessee Technological University</x:v>
      </x:c>
      <x:c r="D2276" s="17" t="str">
        <x:v>us:ipeds:221847:program:unclear:ipeds-discovery-signal-electrical-and-electronics-engineering-cip-14-1001</x:v>
      </x:c>
      <x:c r="E2276" s="17" t="str"/>
      <x:c r="F2276" s="17" t="str">
        <x:v>discovery</x:v>
      </x:c>
      <x:c r="G2276" s="17" t="str">
        <x:v>Stage 2 recorded this row as a discovery candidate; it does not independently verify an exact current research program, eligibility, or funding.</x:v>
      </x:c>
      <x:c r="H2276" s="17" t="str">
        <x:v>Pass 2 Stage 2 candidate funnel</x:v>
      </x:c>
      <x:c r="I2276" s="17" t="str">
        <x:v>Graduate audit pipeline</x:v>
      </x:c>
      <x:c r="J2276" s="17" t="str">
        <x:v>derived</x:v>
      </x:c>
      <x:c r="K2276" s="17" t="str">
        <x:v>2026-09-11</x:v>
      </x:c>
      <x:c r="L2276" s="17" t="str">
        <x:v>Not cycle-specific</x:v>
      </x:c>
      <x:c r="M2276" s="17" t="str">
        <x:v>low</x:v>
      </x:c>
      <x:c r="N2276" s="17" t="str">
        <x:v>Discovery evidence only</x:v>
      </x:c>
      <x:c r="O2276" s="17" t="str">
        <x:v>Use the source_record_paths field to trace the underlying discovery inputs.</x:v>
      </x:c>
      <x:c r="P2276" s="18" t="e">
        <x:f>HYPERLINK("https://www.tntech.edu","Open source")</x:f>
        <x:v>HYPERLINK is not implemented. linkLocation=https://www.tntech.edu, friendlyName=Open source</x:v>
      </x:c>
    </x:row>
    <x:row r="2277" ht="46" customHeight="1">
      <x:c r="A2277" s="17" t="str">
        <x:v>stage3src:8ac6607154cc1dc4c0ba</x:v>
      </x:c>
      <x:c r="B2277" s="17" t="str">
        <x:v>program</x:v>
      </x:c>
      <x:c r="C2277" s="17" t="str">
        <x:v>Vanderbilt University</x:v>
      </x:c>
      <x:c r="D2277" s="17" t="str">
        <x:v>us:ipeds:221999:program:phd:computer-science-phd</x:v>
      </x:c>
      <x:c r="E2277" s="17" t="str"/>
      <x:c r="F2277" s="17" t="str">
        <x:v>fees|deadline|program</x:v>
      </x:c>
      <x:c r="G2277" s="17" t="str">
        <x:v>Fall 2027 final deadlines, GRE, full doctoral assistance, insurance, and fees</x:v>
      </x:c>
      <x:c r="H2277" s="17" t="str">
        <x:v>Graduate Programs in Engineering</x:v>
      </x:c>
      <x:c r="I2277" s="17" t="str">
        <x:v>Vanderbilt University</x:v>
      </x:c>
      <x:c r="J2277" s="17" t="str">
        <x:v>Official</x:v>
      </x:c>
      <x:c r="K2277" s="17" t="str">
        <x:v>2026-09-09</x:v>
      </x:c>
      <x:c r="L2277" s="17" t="str">
        <x:v>Fall 2027</x:v>
      </x:c>
      <x:c r="M2277" s="17" t="str">
        <x:v>High</x:v>
      </x:c>
      <x:c r="N2277" s="17" t="str">
        <x:v>Verified</x:v>
      </x:c>
      <x:c r="O2277" s="17" t="str"/>
      <x:c r="P2277" s="18" t="e">
        <x:f>HYPERLINK("https://engineering.vanderbilt.edu/graduate-admissions/","Open source")</x:f>
        <x:v>HYPERLINK is not implemented. linkLocation=https://engineering.vanderbilt.edu/graduate-admissions/, friendlyName=Open source</x:v>
      </x:c>
    </x:row>
    <x:row r="2278" ht="46" customHeight="1">
      <x:c r="A2278" s="17" t="str">
        <x:v>stage3src:976ea03140a453feda76</x:v>
      </x:c>
      <x:c r="B2278" s="17" t="str">
        <x:v>program</x:v>
      </x:c>
      <x:c r="C2278" s="17" t="str">
        <x:v>Vanderbilt University</x:v>
      </x:c>
      <x:c r="D2278" s="17" t="str">
        <x:v>us:ipeds:221999:program:phd:computer-science-phd</x:v>
      </x:c>
      <x:c r="E2278" s="17" t="str"/>
      <x:c r="F2278" s="17" t="str">
        <x:v>funding|fees|deadline|admissions|program</x:v>
      </x:c>
      <x:c r="G2278" s="17" t="str">
        <x:v>Fall 2027 deadlines, $95 fee, waiver rule, funding, contacts, and active PhD</x:v>
      </x:c>
      <x:c r="H2278" s="17" t="str">
        <x:v>Computer Science PhD Program</x:v>
      </x:c>
      <x:c r="I2278" s="17" t="str">
        <x:v>Vanderbilt University</x:v>
      </x:c>
      <x:c r="J2278" s="17" t="str">
        <x:v>Official</x:v>
      </x:c>
      <x:c r="K2278" s="17" t="str">
        <x:v>2026-09-09</x:v>
      </x:c>
      <x:c r="L2278" s="17" t="str">
        <x:v>Fall 2027</x:v>
      </x:c>
      <x:c r="M2278" s="17" t="str">
        <x:v>High</x:v>
      </x:c>
      <x:c r="N2278" s="17" t="str">
        <x:v>Verified</x:v>
      </x:c>
      <x:c r="O2278" s="17" t="str"/>
      <x:c r="P2278" s="18" t="e">
        <x:f>HYPERLINK("https://computing.vanderbilt.edu/csphd/","Open source")</x:f>
        <x:v>HYPERLINK is not implemented. linkLocation=https://computing.vanderbilt.edu/csphd/, friendlyName=Open source</x:v>
      </x:c>
    </x:row>
    <x:row r="2279" ht="46" customHeight="1">
      <x:c r="A2279" s="17" t="str">
        <x:v>stage3src:845e0cf2cb9af0e374c4</x:v>
      </x:c>
      <x:c r="B2279" s="17" t="str">
        <x:v>program</x:v>
      </x:c>
      <x:c r="C2279" s="17" t="str">
        <x:v>Vanderbilt University</x:v>
      </x:c>
      <x:c r="D2279" s="17" t="str">
        <x:v>us:ipeds:221999:program:unclear:ipeds-discovery-signal-computer-science-cip-11-0701</x:v>
      </x:c>
      <x:c r="E2279" s="17" t="str"/>
      <x:c r="F2279" s="17" t="str">
        <x:v>discovery</x:v>
      </x:c>
      <x:c r="G2279" s="17" t="str">
        <x:v>Stage 2 recorded this row as a discovery candidate; it does not independently verify an exact current research program, eligibility, or funding.</x:v>
      </x:c>
      <x:c r="H2279" s="17" t="str">
        <x:v>Pass 2 Stage 2 candidate funnel</x:v>
      </x:c>
      <x:c r="I2279" s="17" t="str">
        <x:v>Graduate audit pipeline</x:v>
      </x:c>
      <x:c r="J2279" s="17" t="str">
        <x:v>derived</x:v>
      </x:c>
      <x:c r="K2279" s="17" t="str">
        <x:v>2026-09-11</x:v>
      </x:c>
      <x:c r="L2279" s="17" t="str">
        <x:v>Not cycle-specific</x:v>
      </x:c>
      <x:c r="M2279" s="17" t="str">
        <x:v>low</x:v>
      </x:c>
      <x:c r="N2279" s="17" t="str">
        <x:v>Discovery evidence only</x:v>
      </x:c>
      <x:c r="O2279" s="17" t="str">
        <x:v>Use the source_record_paths field to trace the underlying discovery inputs.</x:v>
      </x:c>
      <x:c r="P2279" s="18" t="e">
        <x:f>HYPERLINK("https://www.vanderbilt.edu","Open source")</x:f>
        <x:v>HYPERLINK is not implemented. linkLocation=https://www.vanderbilt.edu, friendlyName=Open source</x:v>
      </x:c>
    </x:row>
    <x:row r="2280" ht="46" customHeight="1">
      <x:c r="A2280" s="17" t="str">
        <x:v>stage3src:962a4e646e3dc4c4b36d</x:v>
      </x:c>
      <x:c r="B2280" s="17" t="str">
        <x:v>program</x:v>
      </x:c>
      <x:c r="C2280" s="17" t="str">
        <x:v>Vanderbilt University</x:v>
      </x:c>
      <x:c r="D2280" s="17" t="str">
        <x:v>us:ipeds:221999:program:unclear:ipeds-discovery-signal-electrical-and-electronics-engineering-cip-14-1001</x:v>
      </x:c>
      <x:c r="E2280" s="17" t="str"/>
      <x:c r="F2280" s="17" t="str">
        <x:v>discovery</x:v>
      </x:c>
      <x:c r="G2280" s="17" t="str">
        <x:v>Stage 2 recorded this row as a discovery candidate; it does not independently verify an exact current research program, eligibility, or funding.</x:v>
      </x:c>
      <x:c r="H2280" s="17" t="str">
        <x:v>Pass 2 Stage 2 candidate funnel</x:v>
      </x:c>
      <x:c r="I2280" s="17" t="str">
        <x:v>Graduate audit pipeline</x:v>
      </x:c>
      <x:c r="J2280" s="17" t="str">
        <x:v>derived</x:v>
      </x:c>
      <x:c r="K2280" s="17" t="str">
        <x:v>2026-09-11</x:v>
      </x:c>
      <x:c r="L2280" s="17" t="str">
        <x:v>Not cycle-specific</x:v>
      </x:c>
      <x:c r="M2280" s="17" t="str">
        <x:v>low</x:v>
      </x:c>
      <x:c r="N2280" s="17" t="str">
        <x:v>Discovery evidence only</x:v>
      </x:c>
      <x:c r="O2280" s="17" t="str">
        <x:v>Use the source_record_paths field to trace the underlying discovery inputs.</x:v>
      </x:c>
      <x:c r="P2280" s="18" t="e">
        <x:f>HYPERLINK("https://www.vanderbilt.edu","Open source")</x:f>
        <x:v>HYPERLINK is not implemented. linkLocation=https://www.vanderbilt.edu, friendlyName=Open source</x:v>
      </x:c>
    </x:row>
    <x:row r="2281" ht="46" customHeight="1">
      <x:c r="A2281" s="17" t="str">
        <x:v>stage3src:ea935ffc88257eb2335f</x:v>
      </x:c>
      <x:c r="B2281" s="17" t="str">
        <x:v>program</x:v>
      </x:c>
      <x:c r="C2281" s="17" t="str">
        <x:v>Abilene Christian University</x:v>
      </x:c>
      <x:c r="D2281" s="17" t="str">
        <x:v>us:ipeds:222178:program:unclear:ipeds-discovery-signal-information-technology-cip-11-0103</x:v>
      </x:c>
      <x:c r="E2281" s="17" t="str"/>
      <x:c r="F2281" s="17" t="str">
        <x:v>discovery</x:v>
      </x:c>
      <x:c r="G2281" s="17" t="str">
        <x:v>Stage 2 recorded this row as a discovery candidate; it does not independently verify an exact current research program, eligibility, or funding.</x:v>
      </x:c>
      <x:c r="H2281" s="17" t="str">
        <x:v>Pass 2 Stage 2 candidate funnel</x:v>
      </x:c>
      <x:c r="I2281" s="17" t="str">
        <x:v>Graduate audit pipeline</x:v>
      </x:c>
      <x:c r="J2281" s="17" t="str">
        <x:v>derived</x:v>
      </x:c>
      <x:c r="K2281" s="17" t="str">
        <x:v>2026-09-11</x:v>
      </x:c>
      <x:c r="L2281" s="17" t="str">
        <x:v>Not cycle-specific</x:v>
      </x:c>
      <x:c r="M2281" s="17" t="str">
        <x:v>low</x:v>
      </x:c>
      <x:c r="N2281" s="17" t="str">
        <x:v>Discovery evidence only</x:v>
      </x:c>
      <x:c r="O2281" s="17" t="str">
        <x:v>Use the source_record_paths field to trace the underlying discovery inputs.</x:v>
      </x:c>
      <x:c r="P2281" s="18" t="e">
        <x:f>HYPERLINK("https://www.acu.edu","Open source")</x:f>
        <x:v>HYPERLINK is not implemented. linkLocation=https://www.acu.edu, friendlyName=Open source</x:v>
      </x:c>
    </x:row>
    <x:row r="2282" ht="46" customHeight="1">
      <x:c r="A2282" s="17" t="str">
        <x:v>stage3src:0c4a453cc360e95b7348</x:v>
      </x:c>
      <x:c r="B2282" s="17" t="str">
        <x:v>program</x:v>
      </x:c>
      <x:c r="C2282" s="17" t="str">
        <x:v>Angelo State University</x:v>
      </x:c>
      <x:c r="D2282" s="17" t="str">
        <x:v>us:ipeds:222831:program:unclear:ipeds-discovery-signal-computer-and-information-sciences-general-cip-11-0101</x:v>
      </x:c>
      <x:c r="E2282" s="17" t="str"/>
      <x:c r="F2282" s="17" t="str">
        <x:v>discovery</x:v>
      </x:c>
      <x:c r="G2282" s="17" t="str">
        <x:v>Stage 2 recorded this row as a discovery candidate; it does not independently verify an exact current research program, eligibility, or funding.</x:v>
      </x:c>
      <x:c r="H2282" s="17" t="str">
        <x:v>Pass 2 Stage 2 candidate funnel</x:v>
      </x:c>
      <x:c r="I2282" s="17" t="str">
        <x:v>Graduate audit pipeline</x:v>
      </x:c>
      <x:c r="J2282" s="17" t="str">
        <x:v>derived</x:v>
      </x:c>
      <x:c r="K2282" s="17" t="str">
        <x:v>2026-09-11</x:v>
      </x:c>
      <x:c r="L2282" s="17" t="str">
        <x:v>Not cycle-specific</x:v>
      </x:c>
      <x:c r="M2282" s="17" t="str">
        <x:v>low</x:v>
      </x:c>
      <x:c r="N2282" s="17" t="str">
        <x:v>Discovery evidence only</x:v>
      </x:c>
      <x:c r="O2282" s="17" t="str">
        <x:v>Use the source_record_paths field to trace the underlying discovery inputs.</x:v>
      </x:c>
      <x:c r="P2282" s="18" t="e">
        <x:f>HYPERLINK("https://www.angelo.edu","Open source")</x:f>
        <x:v>HYPERLINK is not implemented. linkLocation=https://www.angelo.edu, friendlyName=Open source</x:v>
      </x:c>
    </x:row>
    <x:row r="2283" ht="46" customHeight="1">
      <x:c r="A2283" s="17" t="str">
        <x:v>stage3src:2a54085b128e99777a9e</x:v>
      </x:c>
      <x:c r="B2283" s="17" t="str">
        <x:v>program</x:v>
      </x:c>
      <x:c r="C2283" s="17" t="str">
        <x:v>Baylor University</x:v>
      </x:c>
      <x:c r="D2283" s="17" t="str">
        <x:v>us:ipeds:223232:program:phd:ph-d-in-computer-science</x:v>
      </x:c>
      <x:c r="E2283" s="17" t="str"/>
      <x:c r="F2283" s="17" t="str">
        <x:v>program|eligibility|funding|tuition|health</x:v>
      </x:c>
      <x:c r="G2283" s="17" t="str">
        <x:v>Current Computer Science PhD, bachelor's-entry route, dissertation structure, and typical tuition, insurance, and multi-year assistantship support.</x:v>
      </x:c>
      <x:c r="H2283" s="17" t="str">
        <x:v>Ph.D. in Computer Science</x:v>
      </x:c>
      <x:c r="I2283" s="17" t="str">
        <x:v>Baylor University</x:v>
      </x:c>
      <x:c r="J2283" s="17" t="str">
        <x:v>official</x:v>
      </x:c>
      <x:c r="K2283" s="17" t="str">
        <x:v>2026-09-10</x:v>
      </x:c>
      <x:c r="L2283" s="17" t="str">
        <x:v>Current page checked 2026-09-10</x:v>
      </x:c>
      <x:c r="M2283" s="17" t="str">
        <x:v>high</x:v>
      </x:c>
      <x:c r="N2283" s="17" t="str">
        <x:v>official page checked</x:v>
      </x:c>
      <x:c r="O2283" s="17" t="str"/>
      <x:c r="P2283" s="18" t="e">
        <x:f>HYPERLINK("https://www.ecs.baylor.edu/students-academics/degree-programs/graduate/phd-cs","Open source")</x:f>
        <x:v>HYPERLINK is not implemented. linkLocation=https://www.ecs.baylor.edu/students-academics/degree-programs/graduate/phd-cs, friendlyName=Open source</x:v>
      </x:c>
    </x:row>
    <x:row r="2284" ht="46" customHeight="1">
      <x:c r="A2284" s="17" t="str">
        <x:v>stage3src:2cd700cca1d2ee111658</x:v>
      </x:c>
      <x:c r="B2284" s="17" t="str">
        <x:v>program</x:v>
      </x:c>
      <x:c r="C2284" s="17" t="str">
        <x:v>Baylor University</x:v>
      </x:c>
      <x:c r="D2284" s="17" t="str">
        <x:v>us:ipeds:223232:program:phd:ph-d-in-computer-science</x:v>
      </x:c>
      <x:c r="E2284" s="17" t="str"/>
      <x:c r="F2284" s="17" t="str">
        <x:v>admissions|eligibility|language|fees</x:v>
      </x:c>
      <x:c r="G2284" s="17" t="str">
        <x:v>Application materials, international English route, optional PhD GRE, and non-waivable USD 50 fee.</x:v>
      </x:c>
      <x:c r="H2284" s="17" t="str">
        <x:v>Graduate Application Requirements</x:v>
      </x:c>
      <x:c r="I2284" s="17" t="str">
        <x:v>Baylor University</x:v>
      </x:c>
      <x:c r="J2284" s="17" t="str">
        <x:v>official</x:v>
      </x:c>
      <x:c r="K2284" s="17" t="str">
        <x:v>2026-09-10</x:v>
      </x:c>
      <x:c r="L2284" s="17" t="str">
        <x:v>Current requirements checked 2026-09-10</x:v>
      </x:c>
      <x:c r="M2284" s="17" t="str">
        <x:v>high</x:v>
      </x:c>
      <x:c r="N2284" s="17" t="str">
        <x:v>official page checked</x:v>
      </x:c>
      <x:c r="O2284" s="17" t="str"/>
      <x:c r="P2284" s="18" t="e">
        <x:f>HYPERLINK("https://www.ecs.baylor.edu/departments/computer-science/graduate-application-requirements","Open source")</x:f>
        <x:v>HYPERLINK is not implemented. linkLocation=https://www.ecs.baylor.edu/departments/computer-science/graduate-application-requirements, friendlyName=Open source</x:v>
      </x:c>
    </x:row>
    <x:row r="2285" ht="46" customHeight="1">
      <x:c r="A2285" s="17" t="str">
        <x:v>stage3src:8f68fd0e0b8cc23f07e4</x:v>
      </x:c>
      <x:c r="B2285" s="17" t="str">
        <x:v>program</x:v>
      </x:c>
      <x:c r="C2285" s="17" t="str">
        <x:v>Baylor University</x:v>
      </x:c>
      <x:c r="D2285" s="17" t="str">
        <x:v>us:ipeds:223232:program:phd:ph-d-in-computer-science</x:v>
      </x:c>
      <x:c r="E2285" s="17" t="str"/>
      <x:c r="F2285" s="17" t="str">
        <x:v>program|admissions|deadline|funding</x:v>
      </x:c>
      <x:c r="G2285" s="17" t="str">
        <x:v>Computer Science PhD is current and the recurring fall financial-aid deadline is February 15.</x:v>
      </x:c>
      <x:c r="H2285" s="17" t="str">
        <x:v>Degrees and Programs</x:v>
      </x:c>
      <x:c r="I2285" s="17" t="str">
        <x:v>Baylor University Graduate School</x:v>
      </x:c>
      <x:c r="J2285" s="17" t="str">
        <x:v>official</x:v>
      </x:c>
      <x:c r="K2285" s="17" t="str">
        <x:v>2026-09-10</x:v>
      </x:c>
      <x:c r="L2285" s="17" t="str">
        <x:v>Current recurring deadline; Fall 2027 not separately labeled</x:v>
      </x:c>
      <x:c r="M2285" s="17" t="str">
        <x:v>high</x:v>
      </x:c>
      <x:c r="N2285" s="17" t="str">
        <x:v>official page checked</x:v>
      </x:c>
      <x:c r="O2285" s="17" t="str"/>
      <x:c r="P2285" s="18" t="e">
        <x:f>HYPERLINK("https://graduate.baylor.edu/programs","Open source")</x:f>
        <x:v>HYPERLINK is not implemented. linkLocation=https://graduate.baylor.edu/programs, friendlyName=Open source</x:v>
      </x:c>
    </x:row>
    <x:row r="2286" ht="46" customHeight="1">
      <x:c r="A2286" s="17" t="str">
        <x:v>stage3src:ef14c01455cbd0c00cb2</x:v>
      </x:c>
      <x:c r="B2286" s="17" t="str">
        <x:v>program</x:v>
      </x:c>
      <x:c r="C2286" s="17" t="str">
        <x:v>Baylor University</x:v>
      </x:c>
      <x:c r="D2286" s="17" t="str">
        <x:v>us:ipeds:223232:program:unclear:ipeds-discovery-signal-computer-science-cip-11-0701</x:v>
      </x:c>
      <x:c r="E2286" s="17" t="str"/>
      <x:c r="F2286" s="17" t="str">
        <x:v>discovery</x:v>
      </x:c>
      <x:c r="G2286" s="17" t="str">
        <x:v>Stage 2 recorded this row as a discovery candidate; it does not independently verify an exact current research program, eligibility, or funding.</x:v>
      </x:c>
      <x:c r="H2286" s="17" t="str">
        <x:v>Pass 2 Stage 2 candidate funnel</x:v>
      </x:c>
      <x:c r="I2286" s="17" t="str">
        <x:v>Graduate audit pipeline</x:v>
      </x:c>
      <x:c r="J2286" s="17" t="str">
        <x:v>derived</x:v>
      </x:c>
      <x:c r="K2286" s="17" t="str">
        <x:v>2026-09-11</x:v>
      </x:c>
      <x:c r="L2286" s="17" t="str">
        <x:v>Not cycle-specific</x:v>
      </x:c>
      <x:c r="M2286" s="17" t="str">
        <x:v>low</x:v>
      </x:c>
      <x:c r="N2286" s="17" t="str">
        <x:v>Discovery evidence only</x:v>
      </x:c>
      <x:c r="O2286" s="17" t="str">
        <x:v>Use the source_record_paths field to trace the underlying discovery inputs.</x:v>
      </x:c>
      <x:c r="P2286" s="18" t="e">
        <x:f>HYPERLINK("https://www.baylor.edu","Open source")</x:f>
        <x:v>HYPERLINK is not implemented. linkLocation=https://www.baylor.edu, friendlyName=Open source</x:v>
      </x:c>
    </x:row>
    <x:row r="2287" ht="46" customHeight="1">
      <x:c r="A2287" s="17" t="str">
        <x:v>stage3src:9806c9a3570365e77544</x:v>
      </x:c>
      <x:c r="B2287" s="17" t="str">
        <x:v>program</x:v>
      </x:c>
      <x:c r="C2287" s="17" t="str">
        <x:v>Baylor University</x:v>
      </x:c>
      <x:c r="D2287" s="17" t="str">
        <x:v>us:ipeds:223232:program:unclear:ipeds-discovery-signal-information-science-studies-cip-11-0401</x:v>
      </x:c>
      <x:c r="E2287" s="17" t="str"/>
      <x:c r="F2287" s="17" t="str">
        <x:v>discovery</x:v>
      </x:c>
      <x:c r="G2287" s="17" t="str">
        <x:v>Stage 2 recorded this row as a discovery candidate; it does not independently verify an exact current research program, eligibility, or funding.</x:v>
      </x:c>
      <x:c r="H2287" s="17" t="str">
        <x:v>Pass 2 Stage 2 candidate funnel</x:v>
      </x:c>
      <x:c r="I2287" s="17" t="str">
        <x:v>Graduate audit pipeline</x:v>
      </x:c>
      <x:c r="J2287" s="17" t="str">
        <x:v>derived</x:v>
      </x:c>
      <x:c r="K2287" s="17" t="str">
        <x:v>2026-09-11</x:v>
      </x:c>
      <x:c r="L2287" s="17" t="str">
        <x:v>Not cycle-specific</x:v>
      </x:c>
      <x:c r="M2287" s="17" t="str">
        <x:v>low</x:v>
      </x:c>
      <x:c r="N2287" s="17" t="str">
        <x:v>Discovery evidence only</x:v>
      </x:c>
      <x:c r="O2287" s="17" t="str">
        <x:v>Use the source_record_paths field to trace the underlying discovery inputs.</x:v>
      </x:c>
      <x:c r="P2287" s="18" t="e">
        <x:f>HYPERLINK("https://www.baylor.edu","Open source")</x:f>
        <x:v>HYPERLINK is not implemented. linkLocation=https://www.baylor.edu, friendlyName=Open source</x:v>
      </x:c>
    </x:row>
    <x:row r="2288" ht="46" customHeight="1">
      <x:c r="A2288" s="17" t="str">
        <x:v>stage3src:b1f3bed7cd4e6d49fdc2</x:v>
      </x:c>
      <x:c r="B2288" s="17" t="str">
        <x:v>program</x:v>
      </x:c>
      <x:c r="C2288" s="17" t="str">
        <x:v>Texas A &amp; M University-Corpus Christi</x:v>
      </x:c>
      <x:c r="D2288" s="17" t="str">
        <x:v>us:ipeds:224147:program:unclear:ipeds-discovery-signal-computer-and-information-sciences-general-cip-11-0101</x:v>
      </x:c>
      <x:c r="E2288" s="17" t="str"/>
      <x:c r="F2288" s="17" t="str">
        <x:v>discovery</x:v>
      </x:c>
      <x:c r="G2288" s="17" t="str">
        <x:v>Stage 2 recorded this row as a discovery candidate; it does not independently verify an exact current research program, eligibility, or funding.</x:v>
      </x:c>
      <x:c r="H2288" s="17" t="str">
        <x:v>Pass 2 Stage 2 candidate funnel</x:v>
      </x:c>
      <x:c r="I2288" s="17" t="str">
        <x:v>Graduate audit pipeline</x:v>
      </x:c>
      <x:c r="J2288" s="17" t="str">
        <x:v>derived</x:v>
      </x:c>
      <x:c r="K2288" s="17" t="str">
        <x:v>2026-09-11</x:v>
      </x:c>
      <x:c r="L2288" s="17" t="str">
        <x:v>Not cycle-specific</x:v>
      </x:c>
      <x:c r="M2288" s="17" t="str">
        <x:v>low</x:v>
      </x:c>
      <x:c r="N2288" s="17" t="str">
        <x:v>Discovery evidence only</x:v>
      </x:c>
      <x:c r="O2288" s="17" t="str">
        <x:v>Use the source_record_paths field to trace the underlying discovery inputs.</x:v>
      </x:c>
      <x:c r="P2288" s="18" t="e">
        <x:f>HYPERLINK("https://www.tamucc.edu","Open source")</x:f>
        <x:v>HYPERLINK is not implemented. linkLocation=https://www.tamucc.edu, friendlyName=Open source</x:v>
      </x:c>
    </x:row>
    <x:row r="2289" ht="46" customHeight="1">
      <x:c r="A2289" s="17" t="str">
        <x:v>stage3src:8254a8f82e5938ef4877</x:v>
      </x:c>
      <x:c r="B2289" s="17" t="str">
        <x:v>program</x:v>
      </x:c>
      <x:c r="C2289" s="17" t="str">
        <x:v>Dallas Baptist University</x:v>
      </x:c>
      <x:c r="D2289" s="17" t="str">
        <x:v>us:ipeds:224226:program:unclear:ipeds-discovery-signal-computer-and-information-systems-security-auditing-information-assurance-cip-11-1003</x:v>
      </x:c>
      <x:c r="E2289" s="17" t="str"/>
      <x:c r="F2289" s="17" t="str">
        <x:v>discovery</x:v>
      </x:c>
      <x:c r="G2289" s="17" t="str">
        <x:v>Stage 2 recorded this row as a discovery candidate; it does not independently verify an exact current research program, eligibility, or funding.</x:v>
      </x:c>
      <x:c r="H2289" s="17" t="str">
        <x:v>Pass 2 Stage 2 candidate funnel</x:v>
      </x:c>
      <x:c r="I2289" s="17" t="str">
        <x:v>Graduate audit pipeline</x:v>
      </x:c>
      <x:c r="J2289" s="17" t="str">
        <x:v>derived</x:v>
      </x:c>
      <x:c r="K2289" s="17" t="str">
        <x:v>2026-09-11</x:v>
      </x:c>
      <x:c r="L2289" s="17" t="str">
        <x:v>Not cycle-specific</x:v>
      </x:c>
      <x:c r="M2289" s="17" t="str">
        <x:v>low</x:v>
      </x:c>
      <x:c r="N2289" s="17" t="str">
        <x:v>Discovery evidence only</x:v>
      </x:c>
      <x:c r="O2289" s="17" t="str">
        <x:v>Use the source_record_paths field to trace the underlying discovery inputs.</x:v>
      </x:c>
      <x:c r="P2289" s="18" t="e">
        <x:f>HYPERLINK("https://www.dbu.edu","Open source")</x:f>
        <x:v>HYPERLINK is not implemented. linkLocation=https://www.dbu.edu, friendlyName=Open source</x:v>
      </x:c>
    </x:row>
    <x:row r="2290" ht="46" customHeight="1">
      <x:c r="A2290" s="17" t="str">
        <x:v>stage3src:f0de39d3bc8c986776fa</x:v>
      </x:c>
      <x:c r="B2290" s="17" t="str">
        <x:v>program</x:v>
      </x:c>
      <x:c r="C2290" s="17" t="str">
        <x:v>Dallas Baptist University</x:v>
      </x:c>
      <x:c r="D2290" s="17" t="str">
        <x:v>us:ipeds:224226:program:unclear:ipeds-discovery-signal-information-science-studies-cip-11-0401</x:v>
      </x:c>
      <x:c r="E2290" s="17" t="str"/>
      <x:c r="F2290" s="17" t="str">
        <x:v>discovery</x:v>
      </x:c>
      <x:c r="G2290" s="17" t="str">
        <x:v>Stage 2 recorded this row as a discovery candidate; it does not independently verify an exact current research program, eligibility, or funding.</x:v>
      </x:c>
      <x:c r="H2290" s="17" t="str">
        <x:v>Pass 2 Stage 2 candidate funnel</x:v>
      </x:c>
      <x:c r="I2290" s="17" t="str">
        <x:v>Graduate audit pipeline</x:v>
      </x:c>
      <x:c r="J2290" s="17" t="str">
        <x:v>derived</x:v>
      </x:c>
      <x:c r="K2290" s="17" t="str">
        <x:v>2026-09-11</x:v>
      </x:c>
      <x:c r="L2290" s="17" t="str">
        <x:v>Not cycle-specific</x:v>
      </x:c>
      <x:c r="M2290" s="17" t="str">
        <x:v>low</x:v>
      </x:c>
      <x:c r="N2290" s="17" t="str">
        <x:v>Discovery evidence only</x:v>
      </x:c>
      <x:c r="O2290" s="17" t="str">
        <x:v>Use the source_record_paths field to trace the underlying discovery inputs.</x:v>
      </x:c>
      <x:c r="P2290" s="18" t="e">
        <x:f>HYPERLINK("https://www.dbu.edu","Open source")</x:f>
        <x:v>HYPERLINK is not implemented. linkLocation=https://www.dbu.edu, friendlyName=Open source</x:v>
      </x:c>
    </x:row>
    <x:row r="2291" ht="46" customHeight="1">
      <x:c r="A2291" s="17" t="str">
        <x:v>stage3src:aaf108f5c7b6f3bc8918</x:v>
      </x:c>
      <x:c r="B2291" s="17" t="str">
        <x:v>program</x:v>
      </x:c>
      <x:c r="C2291" s="17" t="str">
        <x:v>University of Dallas</x:v>
      </x:c>
      <x:c r="D2291" s="17" t="str">
        <x:v>us:ipeds:224323:program:unclear:ipeds-discovery-signal-computer-and-information-systems-security-auditing-information-assurance-cip-11-1003</x:v>
      </x:c>
      <x:c r="E2291" s="17" t="str"/>
      <x:c r="F2291" s="17" t="str">
        <x:v>discovery</x:v>
      </x:c>
      <x:c r="G2291" s="17" t="str">
        <x:v>Stage 2 recorded this row as a discovery candidate; it does not independently verify an exact current research program, eligibility, or funding.</x:v>
      </x:c>
      <x:c r="H2291" s="17" t="str">
        <x:v>Pass 2 Stage 2 candidate funnel</x:v>
      </x:c>
      <x:c r="I2291" s="17" t="str">
        <x:v>Graduate audit pipeline</x:v>
      </x:c>
      <x:c r="J2291" s="17" t="str">
        <x:v>derived</x:v>
      </x:c>
      <x:c r="K2291" s="17" t="str">
        <x:v>2026-09-11</x:v>
      </x:c>
      <x:c r="L2291" s="17" t="str">
        <x:v>Not cycle-specific</x:v>
      </x:c>
      <x:c r="M2291" s="17" t="str">
        <x:v>low</x:v>
      </x:c>
      <x:c r="N2291" s="17" t="str">
        <x:v>Discovery evidence only</x:v>
      </x:c>
      <x:c r="O2291" s="17" t="str">
        <x:v>Use the source_record_paths field to trace the underlying discovery inputs.</x:v>
      </x:c>
      <x:c r="P2291" s="18" t="e">
        <x:f>HYPERLINK("https://udallas.edu","Open source")</x:f>
        <x:v>HYPERLINK is not implemented. linkLocation=https://udallas.edu, friendlyName=Open source</x:v>
      </x:c>
    </x:row>
    <x:row r="2292" ht="46" customHeight="1">
      <x:c r="A2292" s="17" t="str">
        <x:v>stage3src:2d3975ed889c69f3cbe6</x:v>
      </x:c>
      <x:c r="B2292" s="17" t="str">
        <x:v>program</x:v>
      </x:c>
      <x:c r="C2292" s="17" t="str">
        <x:v>East Texas A&amp;M University</x:v>
      </x:c>
      <x:c r="D2292" s="17" t="str">
        <x:v>us:ipeds:224554:program:unclear:ipeds-discovery-signal-computer-and-information-sciences-general-cip-11-0101</x:v>
      </x:c>
      <x:c r="E2292" s="17" t="str"/>
      <x:c r="F2292" s="17" t="str">
        <x:v>discovery</x:v>
      </x:c>
      <x:c r="G2292" s="17" t="str">
        <x:v>Stage 2 recorded this row as a discovery candidate; it does not independently verify an exact current research program, eligibility, or funding.</x:v>
      </x:c>
      <x:c r="H2292" s="17" t="str">
        <x:v>Pass 2 Stage 2 candidate funnel</x:v>
      </x:c>
      <x:c r="I2292" s="17" t="str">
        <x:v>Graduate audit pipeline</x:v>
      </x:c>
      <x:c r="J2292" s="17" t="str">
        <x:v>derived</x:v>
      </x:c>
      <x:c r="K2292" s="17" t="str">
        <x:v>2026-09-11</x:v>
      </x:c>
      <x:c r="L2292" s="17" t="str">
        <x:v>Not cycle-specific</x:v>
      </x:c>
      <x:c r="M2292" s="17" t="str">
        <x:v>low</x:v>
      </x:c>
      <x:c r="N2292" s="17" t="str">
        <x:v>Discovery evidence only</x:v>
      </x:c>
      <x:c r="O2292" s="17" t="str">
        <x:v>Use the source_record_paths field to trace the underlying discovery inputs.</x:v>
      </x:c>
      <x:c r="P2292" s="18" t="e">
        <x:f>HYPERLINK("https://www.tamuc.edu","Open source")</x:f>
        <x:v>HYPERLINK is not implemented. linkLocation=https://www.tamuc.edu, friendlyName=Open source</x:v>
      </x:c>
    </x:row>
    <x:row r="2293" ht="46" customHeight="1">
      <x:c r="A2293" s="17" t="str">
        <x:v>stage3src:338380c11f4154acefe4</x:v>
      </x:c>
      <x:c r="B2293" s="17" t="str">
        <x:v>program</x:v>
      </x:c>
      <x:c r="C2293" s="17" t="str">
        <x:v>Hallmark University</x:v>
      </x:c>
      <x:c r="D2293" s="17" t="str">
        <x:v>us:ipeds:225201:program:unclear:ipeds-discovery-signal-computer-and-information-systems-security-auditing-information-assurance-cip-11-1003</x:v>
      </x:c>
      <x:c r="E2293" s="17" t="str"/>
      <x:c r="F2293" s="17" t="str">
        <x:v>discovery</x:v>
      </x:c>
      <x:c r="G2293" s="17" t="str">
        <x:v>Stage 2 recorded this row as a discovery candidate; it does not independently verify an exact current research program, eligibility, or funding.</x:v>
      </x:c>
      <x:c r="H2293" s="17" t="str">
        <x:v>Pass 2 Stage 2 candidate funnel</x:v>
      </x:c>
      <x:c r="I2293" s="17" t="str">
        <x:v>Graduate audit pipeline</x:v>
      </x:c>
      <x:c r="J2293" s="17" t="str">
        <x:v>derived</x:v>
      </x:c>
      <x:c r="K2293" s="17" t="str">
        <x:v>2026-09-11</x:v>
      </x:c>
      <x:c r="L2293" s="17" t="str">
        <x:v>Not cycle-specific</x:v>
      </x:c>
      <x:c r="M2293" s="17" t="str">
        <x:v>low</x:v>
      </x:c>
      <x:c r="N2293" s="17" t="str">
        <x:v>Discovery evidence only</x:v>
      </x:c>
      <x:c r="O2293" s="17" t="str">
        <x:v>Use the source_record_paths field to trace the underlying discovery inputs.</x:v>
      </x:c>
      <x:c r="P2293" s="18" t="e">
        <x:f>HYPERLINK("https://www.hallmarkuniversity.edu","Open source")</x:f>
        <x:v>HYPERLINK is not implemented. linkLocation=https://www.hallmarkuniversity.edu, friendlyName=Open source</x:v>
      </x:c>
    </x:row>
    <x:row r="2294" ht="46" customHeight="1">
      <x:c r="A2294" s="17" t="str">
        <x:v>stage3src:347f97c1214cff4b0f2c</x:v>
      </x:c>
      <x:c r="B2294" s="17" t="str">
        <x:v>program</x:v>
      </x:c>
      <x:c r="C2294" s="17" t="str">
        <x:v>University of Houston-Clear Lake</x:v>
      </x:c>
      <x:c r="D2294" s="17" t="str">
        <x:v>us:ipeds:225414:program:unclear:ipeds-discovery-signal-computer-and-information-sciences-general-cip-11-0101</x:v>
      </x:c>
      <x:c r="E2294" s="17" t="str"/>
      <x:c r="F2294" s="17" t="str">
        <x:v>discovery</x:v>
      </x:c>
      <x:c r="G2294" s="17" t="str">
        <x:v>Stage 2 recorded this row as a discovery candidate; it does not independently verify an exact current research program, eligibility, or funding.</x:v>
      </x:c>
      <x:c r="H2294" s="17" t="str">
        <x:v>Pass 2 Stage 2 candidate funnel</x:v>
      </x:c>
      <x:c r="I2294" s="17" t="str">
        <x:v>Graduate audit pipeline</x:v>
      </x:c>
      <x:c r="J2294" s="17" t="str">
        <x:v>derived</x:v>
      </x:c>
      <x:c r="K2294" s="17" t="str">
        <x:v>2026-09-11</x:v>
      </x:c>
      <x:c r="L2294" s="17" t="str">
        <x:v>Not cycle-specific</x:v>
      </x:c>
      <x:c r="M2294" s="17" t="str">
        <x:v>low</x:v>
      </x:c>
      <x:c r="N2294" s="17" t="str">
        <x:v>Discovery evidence only</x:v>
      </x:c>
      <x:c r="O2294" s="17" t="str">
        <x:v>Use the source_record_paths field to trace the underlying discovery inputs.</x:v>
      </x:c>
      <x:c r="P2294" s="18" t="e">
        <x:f>HYPERLINK("https://www.uhcl.edu","Open source")</x:f>
        <x:v>HYPERLINK is not implemented. linkLocation=https://www.uhcl.edu, friendlyName=Open source</x:v>
      </x:c>
    </x:row>
    <x:row r="2295" ht="46" customHeight="1">
      <x:c r="A2295" s="17" t="str">
        <x:v>stage3src:66fd84285bbd6425cc2c</x:v>
      </x:c>
      <x:c r="B2295" s="17" t="str">
        <x:v>program</x:v>
      </x:c>
      <x:c r="C2295" s="17" t="str">
        <x:v>University of Houston-Clear Lake</x:v>
      </x:c>
      <x:c r="D2295" s="17" t="str">
        <x:v>us:ipeds:225414:program:unclear:ipeds-discovery-signal-computer-engineering-general-cip-14-0901</x:v>
      </x:c>
      <x:c r="E2295" s="17" t="str"/>
      <x:c r="F2295" s="17" t="str">
        <x:v>discovery</x:v>
      </x:c>
      <x:c r="G2295" s="17" t="str">
        <x:v>Stage 2 recorded this row as a discovery candidate; it does not independently verify an exact current research program, eligibility, or funding.</x:v>
      </x:c>
      <x:c r="H2295" s="17" t="str">
        <x:v>Pass 2 Stage 2 candidate funnel</x:v>
      </x:c>
      <x:c r="I2295" s="17" t="str">
        <x:v>Graduate audit pipeline</x:v>
      </x:c>
      <x:c r="J2295" s="17" t="str">
        <x:v>derived</x:v>
      </x:c>
      <x:c r="K2295" s="17" t="str">
        <x:v>2026-09-11</x:v>
      </x:c>
      <x:c r="L2295" s="17" t="str">
        <x:v>Not cycle-specific</x:v>
      </x:c>
      <x:c r="M2295" s="17" t="str">
        <x:v>low</x:v>
      </x:c>
      <x:c r="N2295" s="17" t="str">
        <x:v>Discovery evidence only</x:v>
      </x:c>
      <x:c r="O2295" s="17" t="str">
        <x:v>Use the source_record_paths field to trace the underlying discovery inputs.</x:v>
      </x:c>
      <x:c r="P2295" s="18" t="e">
        <x:f>HYPERLINK("https://www.uhcl.edu","Open source")</x:f>
        <x:v>HYPERLINK is not implemented. linkLocation=https://www.uhcl.edu, friendlyName=Open source</x:v>
      </x:c>
    </x:row>
    <x:row r="2296" ht="46" customHeight="1">
      <x:c r="A2296" s="17" t="str">
        <x:v>stage3src:6ef455cf66866e570ba1</x:v>
      </x:c>
      <x:c r="B2296" s="17" t="str">
        <x:v>program</x:v>
      </x:c>
      <x:c r="C2296" s="17" t="str">
        <x:v>University of Houston-Clear Lake</x:v>
      </x:c>
      <x:c r="D2296" s="17" t="str">
        <x:v>us:ipeds:225414:program:unclear:ipeds-discovery-signal-computer-science-cip-11-0701</x:v>
      </x:c>
      <x:c r="E2296" s="17" t="str"/>
      <x:c r="F2296" s="17" t="str">
        <x:v>discovery</x:v>
      </x:c>
      <x:c r="G2296" s="17" t="str">
        <x:v>Stage 2 recorded this row as a discovery candidate; it does not independently verify an exact current research program, eligibility, or funding.</x:v>
      </x:c>
      <x:c r="H2296" s="17" t="str">
        <x:v>Pass 2 Stage 2 candidate funnel</x:v>
      </x:c>
      <x:c r="I2296" s="17" t="str">
        <x:v>Graduate audit pipeline</x:v>
      </x:c>
      <x:c r="J2296" s="17" t="str">
        <x:v>derived</x:v>
      </x:c>
      <x:c r="K2296" s="17" t="str">
        <x:v>2026-09-11</x:v>
      </x:c>
      <x:c r="L2296" s="17" t="str">
        <x:v>Not cycle-specific</x:v>
      </x:c>
      <x:c r="M2296" s="17" t="str">
        <x:v>low</x:v>
      </x:c>
      <x:c r="N2296" s="17" t="str">
        <x:v>Discovery evidence only</x:v>
      </x:c>
      <x:c r="O2296" s="17" t="str">
        <x:v>Use the source_record_paths field to trace the underlying discovery inputs.</x:v>
      </x:c>
      <x:c r="P2296" s="18" t="e">
        <x:f>HYPERLINK("https://www.uhcl.edu","Open source")</x:f>
        <x:v>HYPERLINK is not implemented. linkLocation=https://www.uhcl.edu, friendlyName=Open source</x:v>
      </x:c>
    </x:row>
    <x:row r="2297" ht="46" customHeight="1">
      <x:c r="A2297" s="17" t="str">
        <x:v>stage3src:fe8183cefaf86ba7463e</x:v>
      </x:c>
      <x:c r="B2297" s="17" t="str">
        <x:v>program</x:v>
      </x:c>
      <x:c r="C2297" s="17" t="str">
        <x:v>University of Houston-Clear Lake</x:v>
      </x:c>
      <x:c r="D2297" s="17" t="str">
        <x:v>us:ipeds:225414:program:unclear:ipeds-discovery-signal-computer-software-engineering-cip-14-0903</x:v>
      </x:c>
      <x:c r="E2297" s="17" t="str"/>
      <x:c r="F2297" s="17" t="str">
        <x:v>discovery</x:v>
      </x:c>
      <x:c r="G2297" s="17" t="str">
        <x:v>Stage 2 recorded this row as a discovery candidate; it does not independently verify an exact current research program, eligibility, or funding.</x:v>
      </x:c>
      <x:c r="H2297" s="17" t="str">
        <x:v>Pass 2 Stage 2 candidate funnel</x:v>
      </x:c>
      <x:c r="I2297" s="17" t="str">
        <x:v>Graduate audit pipeline</x:v>
      </x:c>
      <x:c r="J2297" s="17" t="str">
        <x:v>derived</x:v>
      </x:c>
      <x:c r="K2297" s="17" t="str">
        <x:v>2026-09-11</x:v>
      </x:c>
      <x:c r="L2297" s="17" t="str">
        <x:v>Not cycle-specific</x:v>
      </x:c>
      <x:c r="M2297" s="17" t="str">
        <x:v>low</x:v>
      </x:c>
      <x:c r="N2297" s="17" t="str">
        <x:v>Discovery evidence only</x:v>
      </x:c>
      <x:c r="O2297" s="17" t="str">
        <x:v>Use the source_record_paths field to trace the underlying discovery inputs.</x:v>
      </x:c>
      <x:c r="P2297" s="18" t="e">
        <x:f>HYPERLINK("https://www.uhcl.edu","Open source")</x:f>
        <x:v>HYPERLINK is not implemented. linkLocation=https://www.uhcl.edu, friendlyName=Open source</x:v>
      </x:c>
    </x:row>
    <x:row r="2298" ht="46" customHeight="1">
      <x:c r="A2298" s="17" t="str">
        <x:v>stage3src:f32736077534b2b993ef</x:v>
      </x:c>
      <x:c r="B2298" s="17" t="str">
        <x:v>program</x:v>
      </x:c>
      <x:c r="C2298" s="17" t="str">
        <x:v>University of Houston-Clear Lake</x:v>
      </x:c>
      <x:c r="D2298" s="17" t="str">
        <x:v>us:ipeds:225414:program:unclear:ipeds-discovery-signal-information-science-studies-cip-11-0401</x:v>
      </x:c>
      <x:c r="E2298" s="17" t="str"/>
      <x:c r="F2298" s="17" t="str">
        <x:v>discovery</x:v>
      </x:c>
      <x:c r="G2298" s="17" t="str">
        <x:v>Stage 2 recorded this row as a discovery candidate; it does not independently verify an exact current research program, eligibility, or funding.</x:v>
      </x:c>
      <x:c r="H2298" s="17" t="str">
        <x:v>Pass 2 Stage 2 candidate funnel</x:v>
      </x:c>
      <x:c r="I2298" s="17" t="str">
        <x:v>Graduate audit pipeline</x:v>
      </x:c>
      <x:c r="J2298" s="17" t="str">
        <x:v>derived</x:v>
      </x:c>
      <x:c r="K2298" s="17" t="str">
        <x:v>2026-09-11</x:v>
      </x:c>
      <x:c r="L2298" s="17" t="str">
        <x:v>Not cycle-specific</x:v>
      </x:c>
      <x:c r="M2298" s="17" t="str">
        <x:v>low</x:v>
      </x:c>
      <x:c r="N2298" s="17" t="str">
        <x:v>Discovery evidence only</x:v>
      </x:c>
      <x:c r="O2298" s="17" t="str">
        <x:v>Use the source_record_paths field to trace the underlying discovery inputs.</x:v>
      </x:c>
      <x:c r="P2298" s="18" t="e">
        <x:f>HYPERLINK("https://www.uhcl.edu","Open source")</x:f>
        <x:v>HYPERLINK is not implemented. linkLocation=https://www.uhcl.edu, friendlyName=Open source</x:v>
      </x:c>
    </x:row>
    <x:row r="2299" ht="46" customHeight="1">
      <x:c r="A2299" s="17" t="str">
        <x:v>stage3src:7bdca9d736c3347a1d1a</x:v>
      </x:c>
      <x:c r="B2299" s="17" t="str">
        <x:v>program</x:v>
      </x:c>
      <x:c r="C2299" s="17" t="str">
        <x:v>University of Houston-Downtown</x:v>
      </x:c>
      <x:c r="D2299" s="17" t="str">
        <x:v>us:ipeds:225432:program:unclear:ipeds-discovery-signal-artificial-intelligence-cip-11-0102</x:v>
      </x:c>
      <x:c r="E2299" s="17" t="str"/>
      <x:c r="F2299" s="17" t="str">
        <x:v>discovery</x:v>
      </x:c>
      <x:c r="G2299" s="17" t="str">
        <x:v>Stage 2 recorded this row as a discovery candidate; it does not independently verify an exact current research program, eligibility, or funding.</x:v>
      </x:c>
      <x:c r="H2299" s="17" t="str">
        <x:v>Pass 2 Stage 2 candidate funnel</x:v>
      </x:c>
      <x:c r="I2299" s="17" t="str">
        <x:v>Graduate audit pipeline</x:v>
      </x:c>
      <x:c r="J2299" s="17" t="str">
        <x:v>derived</x:v>
      </x:c>
      <x:c r="K2299" s="17" t="str">
        <x:v>2026-09-11</x:v>
      </x:c>
      <x:c r="L2299" s="17" t="str">
        <x:v>Not cycle-specific</x:v>
      </x:c>
      <x:c r="M2299" s="17" t="str">
        <x:v>low</x:v>
      </x:c>
      <x:c r="N2299" s="17" t="str">
        <x:v>Discovery evidence only</x:v>
      </x:c>
      <x:c r="O2299" s="17" t="str">
        <x:v>Use the source_record_paths field to trace the underlying discovery inputs.</x:v>
      </x:c>
      <x:c r="P2299" s="18" t="e">
        <x:f>HYPERLINK("https://www.uhd.edu","Open source")</x:f>
        <x:v>HYPERLINK is not implemented. linkLocation=https://www.uhd.edu, friendlyName=Open source</x:v>
      </x:c>
    </x:row>
    <x:row r="2300" ht="46" customHeight="1">
      <x:c r="A2300" s="17" t="str">
        <x:v>stage3src:b4ec379aa3e50848b304</x:v>
      </x:c>
      <x:c r="B2300" s="17" t="str">
        <x:v>program</x:v>
      </x:c>
      <x:c r="C2300" s="17" t="str">
        <x:v>University of Houston-Downtown</x:v>
      </x:c>
      <x:c r="D2300" s="17" t="str">
        <x:v>us:ipeds:225432:program:unclear:ipeds-discovery-signal-data-analytics-general-cip-30-7101</x:v>
      </x:c>
      <x:c r="E2300" s="17" t="str"/>
      <x:c r="F2300" s="17" t="str">
        <x:v>discovery</x:v>
      </x:c>
      <x:c r="G2300" s="17" t="str">
        <x:v>Stage 2 recorded this row as a discovery candidate; it does not independently verify an exact current research program, eligibility, or funding.</x:v>
      </x:c>
      <x:c r="H2300" s="17" t="str">
        <x:v>Pass 2 Stage 2 candidate funnel</x:v>
      </x:c>
      <x:c r="I2300" s="17" t="str">
        <x:v>Graduate audit pipeline</x:v>
      </x:c>
      <x:c r="J2300" s="17" t="str">
        <x:v>derived</x:v>
      </x:c>
      <x:c r="K2300" s="17" t="str">
        <x:v>2026-09-11</x:v>
      </x:c>
      <x:c r="L2300" s="17" t="str">
        <x:v>Not cycle-specific</x:v>
      </x:c>
      <x:c r="M2300" s="17" t="str">
        <x:v>low</x:v>
      </x:c>
      <x:c r="N2300" s="17" t="str">
        <x:v>Discovery evidence only</x:v>
      </x:c>
      <x:c r="O2300" s="17" t="str">
        <x:v>Use the source_record_paths field to trace the underlying discovery inputs.</x:v>
      </x:c>
      <x:c r="P2300" s="18" t="e">
        <x:f>HYPERLINK("https://www.uhd.edu","Open source")</x:f>
        <x:v>HYPERLINK is not implemented. linkLocation=https://www.uhd.edu, friendlyName=Open source</x:v>
      </x:c>
    </x:row>
    <x:row r="2301" ht="46" customHeight="1">
      <x:c r="A2301" s="17" t="str">
        <x:v>stage3src:8f672612c08b5cdf54ba</x:v>
      </x:c>
      <x:c r="B2301" s="17" t="str">
        <x:v>program</x:v>
      </x:c>
      <x:c r="C2301" s="17" t="str">
        <x:v>University of Houston-Victoria</x:v>
      </x:c>
      <x:c r="D2301" s="17" t="str">
        <x:v>us:ipeds:225502:program:unclear:ipeds-discovery-signal-computer-science-cip-11-0701</x:v>
      </x:c>
      <x:c r="E2301" s="17" t="str"/>
      <x:c r="F2301" s="17" t="str">
        <x:v>discovery</x:v>
      </x:c>
      <x:c r="G2301" s="17" t="str">
        <x:v>Stage 2 recorded this row as a discovery candidate; it does not independently verify an exact current research program, eligibility, or funding.</x:v>
      </x:c>
      <x:c r="H2301" s="17" t="str">
        <x:v>Pass 2 Stage 2 candidate funnel</x:v>
      </x:c>
      <x:c r="I2301" s="17" t="str">
        <x:v>Graduate audit pipeline</x:v>
      </x:c>
      <x:c r="J2301" s="17" t="str">
        <x:v>derived</x:v>
      </x:c>
      <x:c r="K2301" s="17" t="str">
        <x:v>2026-09-11</x:v>
      </x:c>
      <x:c r="L2301" s="17" t="str">
        <x:v>Not cycle-specific</x:v>
      </x:c>
      <x:c r="M2301" s="17" t="str">
        <x:v>low</x:v>
      </x:c>
      <x:c r="N2301" s="17" t="str">
        <x:v>Discovery evidence only</x:v>
      </x:c>
      <x:c r="O2301" s="17" t="str">
        <x:v>Use the source_record_paths field to trace the underlying discovery inputs.</x:v>
      </x:c>
      <x:c r="P2301" s="18" t="e">
        <x:f>HYPERLINK("https://uhv.edu","Open source")</x:f>
        <x:v>HYPERLINK is not implemented. linkLocation=https://uhv.edu, friendlyName=Open source</x:v>
      </x:c>
    </x:row>
    <x:row r="2302" ht="46" customHeight="1">
      <x:c r="A2302" s="17" t="str">
        <x:v>stage3src:72dd58c5217726342eea</x:v>
      </x:c>
      <x:c r="B2302" s="17" t="str">
        <x:v>program</x:v>
      </x:c>
      <x:c r="C2302" s="17" t="str">
        <x:v>University of Houston-Victoria</x:v>
      </x:c>
      <x:c r="D2302" s="17" t="str">
        <x:v>us:ipeds:225502:program:unclear:ipeds-discovery-signal-information-science-studies-cip-11-0401</x:v>
      </x:c>
      <x:c r="E2302" s="17" t="str"/>
      <x:c r="F2302" s="17" t="str">
        <x:v>discovery</x:v>
      </x:c>
      <x:c r="G2302" s="17" t="str">
        <x:v>Stage 2 recorded this row as a discovery candidate; it does not independently verify an exact current research program, eligibility, or funding.</x:v>
      </x:c>
      <x:c r="H2302" s="17" t="str">
        <x:v>Pass 2 Stage 2 candidate funnel</x:v>
      </x:c>
      <x:c r="I2302" s="17" t="str">
        <x:v>Graduate audit pipeline</x:v>
      </x:c>
      <x:c r="J2302" s="17" t="str">
        <x:v>derived</x:v>
      </x:c>
      <x:c r="K2302" s="17" t="str">
        <x:v>2026-09-11</x:v>
      </x:c>
      <x:c r="L2302" s="17" t="str">
        <x:v>Not cycle-specific</x:v>
      </x:c>
      <x:c r="M2302" s="17" t="str">
        <x:v>low</x:v>
      </x:c>
      <x:c r="N2302" s="17" t="str">
        <x:v>Discovery evidence only</x:v>
      </x:c>
      <x:c r="O2302" s="17" t="str">
        <x:v>Use the source_record_paths field to trace the underlying discovery inputs.</x:v>
      </x:c>
      <x:c r="P2302" s="18" t="e">
        <x:f>HYPERLINK("https://uhv.edu","Open source")</x:f>
        <x:v>HYPERLINK is not implemented. linkLocation=https://uhv.edu, friendlyName=Open source</x:v>
      </x:c>
    </x:row>
    <x:row r="2303" ht="46" customHeight="1">
      <x:c r="A2303" s="17" t="str">
        <x:v>stage3src:2f9ef8fdd32b1de5d4db</x:v>
      </x:c>
      <x:c r="B2303" s="17" t="str">
        <x:v>program</x:v>
      </x:c>
      <x:c r="C2303" s="17" t="str">
        <x:v>University of Houston</x:v>
      </x:c>
      <x:c r="D2303" s="17" t="str">
        <x:v>us:ipeds:225511:program:phd:phd-in-computer-science</x:v>
      </x:c>
      <x:c r="E2303" s="17" t="str"/>
      <x:c r="F2303" s="17" t="str">
        <x:v>funding|fees</x:v>
      </x:c>
      <x:c r="G2303" s="17" t="str">
        <x:v>Typical assistantship funding, Graduate Tuition Fellowship coverage, nonresident waiver, and Presidential Fellowship route.</x:v>
      </x:c>
      <x:c r="H2303" s="17" t="str">
        <x:v>Graduate Funding</x:v>
      </x:c>
      <x:c r="I2303" s="17" t="str">
        <x:v>University of Houston Department of Computer Science</x:v>
      </x:c>
      <x:c r="J2303" s="17" t="str">
        <x:v>official</x:v>
      </x:c>
      <x:c r="K2303" s="17" t="str">
        <x:v>2026-09-10</x:v>
      </x:c>
      <x:c r="L2303" s="17" t="str">
        <x:v>Current page checked 2026-09-10</x:v>
      </x:c>
      <x:c r="M2303" s="17" t="str">
        <x:v>high</x:v>
      </x:c>
      <x:c r="N2303" s="17" t="str">
        <x:v>official page checked</x:v>
      </x:c>
      <x:c r="O2303" s="17" t="str"/>
      <x:c r="P2303" s="18" t="e">
        <x:f>HYPERLINK("https://www.uh.edu/nsm/computer-science/graduate/admissions/funding/","Open source")</x:f>
        <x:v>HYPERLINK is not implemented. linkLocation=https://www.uh.edu/nsm/computer-science/graduate/admissions/funding/, friendlyName=Open source</x:v>
      </x:c>
    </x:row>
    <x:row r="2304" ht="46" customHeight="1">
      <x:c r="A2304" s="17" t="str">
        <x:v>stage3src:34c57f6622a257a9d6c9</x:v>
      </x:c>
      <x:c r="B2304" s="17" t="str">
        <x:v>program</x:v>
      </x:c>
      <x:c r="C2304" s="17" t="str">
        <x:v>University of Houston</x:v>
      </x:c>
      <x:c r="D2304" s="17" t="str">
        <x:v>us:ipeds:225511:program:phd:phd-in-computer-science</x:v>
      </x:c>
      <x:c r="E2304" s="17" t="str"/>
      <x:c r="F2304" s="17" t="str">
        <x:v>admissions|eligibility|language|deadline|fees</x:v>
      </x:c>
      <x:c r="G2304" s="17" t="str">
        <x:v>Bachelor's route, GPA floor, international English requirements, recurring deadline, fee, optional GRE, and research review.</x:v>
      </x:c>
      <x:c r="H2304" s="17" t="str">
        <x:v>Graduate Admissions</x:v>
      </x:c>
      <x:c r="I2304" s="17" t="str">
        <x:v>University of Houston Department of Computer Science</x:v>
      </x:c>
      <x:c r="J2304" s="17" t="str">
        <x:v>official</x:v>
      </x:c>
      <x:c r="K2304" s="17" t="str">
        <x:v>2026-09-10</x:v>
      </x:c>
      <x:c r="L2304" s="17" t="str">
        <x:v>Current cycle checked 2026-09-10</x:v>
      </x:c>
      <x:c r="M2304" s="17" t="str">
        <x:v>high</x:v>
      </x:c>
      <x:c r="N2304" s="17" t="str">
        <x:v>official page checked</x:v>
      </x:c>
      <x:c r="O2304" s="17" t="str"/>
      <x:c r="P2304" s="18" t="e">
        <x:f>HYPERLINK("https://www.uh.edu/nsm/computer-science/graduate/admissions/","Open source")</x:f>
        <x:v>HYPERLINK is not implemented. linkLocation=https://www.uh.edu/nsm/computer-science/graduate/admissions/, friendlyName=Open source</x:v>
      </x:c>
    </x:row>
    <x:row r="2305" ht="46" customHeight="1">
      <x:c r="A2305" s="17" t="str">
        <x:v>stage3src:dd978a792a19bda37b68</x:v>
      </x:c>
      <x:c r="B2305" s="17" t="str">
        <x:v>program</x:v>
      </x:c>
      <x:c r="C2305" s="17" t="str">
        <x:v>University of Houston</x:v>
      </x:c>
      <x:c r="D2305" s="17" t="str">
        <x:v>us:ipeds:225511:program:phd:phd-in-computer-science</x:v>
      </x:c>
      <x:c r="E2305" s="17" t="str"/>
      <x:c r="F2305" s="17" t="str">
        <x:v>program</x:v>
      </x:c>
      <x:c r="G2305" s="17" t="str">
        <x:v>Current 66-hour research doctorate, advisor timeline, dissertation, and defense.</x:v>
      </x:c>
      <x:c r="H2305" s="17" t="str">
        <x:v>Ph.D. Program</x:v>
      </x:c>
      <x:c r="I2305" s="17" t="str">
        <x:v>University of Houston Department of Computer Science</x:v>
      </x:c>
      <x:c r="J2305" s="17" t="str">
        <x:v>official</x:v>
      </x:c>
      <x:c r="K2305" s="17" t="str">
        <x:v>2026-09-10</x:v>
      </x:c>
      <x:c r="L2305" s="17" t="str">
        <x:v>Current page checked 2026-09-10</x:v>
      </x:c>
      <x:c r="M2305" s="17" t="str">
        <x:v>high</x:v>
      </x:c>
      <x:c r="N2305" s="17" t="str">
        <x:v>official page checked</x:v>
      </x:c>
      <x:c r="O2305" s="17" t="str"/>
      <x:c r="P2305" s="18" t="e">
        <x:f>HYPERLINK("https://www.uh.edu/nsm/computer-science/graduate/phd/index.php","Open source")</x:f>
        <x:v>HYPERLINK is not implemented. linkLocation=https://www.uh.edu/nsm/computer-science/graduate/phd/index.php, friendlyName=Open source</x:v>
      </x:c>
    </x:row>
    <x:row r="2306" ht="46" customHeight="1">
      <x:c r="A2306" s="17" t="str">
        <x:v>stage3src:aed505d8e86fb13bcf9d</x:v>
      </x:c>
      <x:c r="B2306" s="17" t="str">
        <x:v>program</x:v>
      </x:c>
      <x:c r="C2306" s="17" t="str">
        <x:v>University of Houston</x:v>
      </x:c>
      <x:c r="D2306" s="17" t="str">
        <x:v>us:ipeds:225511:program:unclear:ipeds-discovery-signal-computer-and-information-sciences-general-cip-11-0101</x:v>
      </x:c>
      <x:c r="E2306" s="17" t="str"/>
      <x:c r="F2306" s="17" t="str">
        <x:v>discovery</x:v>
      </x:c>
      <x:c r="G2306" s="17" t="str">
        <x:v>Stage 2 recorded this row as a discovery candidate; it does not independently verify an exact current research program, eligibility, or funding.</x:v>
      </x:c>
      <x:c r="H2306" s="17" t="str">
        <x:v>Pass 2 Stage 2 candidate funnel</x:v>
      </x:c>
      <x:c r="I2306" s="17" t="str">
        <x:v>Graduate audit pipeline</x:v>
      </x:c>
      <x:c r="J2306" s="17" t="str">
        <x:v>derived</x:v>
      </x:c>
      <x:c r="K2306" s="17" t="str">
        <x:v>2026-09-11</x:v>
      </x:c>
      <x:c r="L2306" s="17" t="str">
        <x:v>Not cycle-specific</x:v>
      </x:c>
      <x:c r="M2306" s="17" t="str">
        <x:v>low</x:v>
      </x:c>
      <x:c r="N2306" s="17" t="str">
        <x:v>Discovery evidence only</x:v>
      </x:c>
      <x:c r="O2306" s="17" t="str">
        <x:v>Use the source_record_paths field to trace the underlying discovery inputs.</x:v>
      </x:c>
      <x:c r="P2306" s="18" t="e">
        <x:f>HYPERLINK("https://www.uh.edu","Open source")</x:f>
        <x:v>HYPERLINK is not implemented. linkLocation=https://www.uh.edu, friendlyName=Open source</x:v>
      </x:c>
    </x:row>
    <x:row r="2307" ht="46" customHeight="1">
      <x:c r="A2307" s="17" t="str">
        <x:v>stage3src:2b87dc0a21f81f02ab29</x:v>
      </x:c>
      <x:c r="B2307" s="17" t="str">
        <x:v>program</x:v>
      </x:c>
      <x:c r="C2307" s="17" t="str">
        <x:v>University of Houston</x:v>
      </x:c>
      <x:c r="D2307" s="17" t="str">
        <x:v>us:ipeds:225511:program:unclear:ipeds-discovery-signal-computer-and-information-systems-security-auditing-information-assurance-cip-11-1003</x:v>
      </x:c>
      <x:c r="E2307" s="17" t="str"/>
      <x:c r="F2307" s="17" t="str">
        <x:v>discovery</x:v>
      </x:c>
      <x:c r="G2307" s="17" t="str">
        <x:v>Stage 2 recorded this row as a discovery candidate; it does not independently verify an exact current research program, eligibility, or funding.</x:v>
      </x:c>
      <x:c r="H2307" s="17" t="str">
        <x:v>Pass 2 Stage 2 candidate funnel</x:v>
      </x:c>
      <x:c r="I2307" s="17" t="str">
        <x:v>Graduate audit pipeline</x:v>
      </x:c>
      <x:c r="J2307" s="17" t="str">
        <x:v>derived</x:v>
      </x:c>
      <x:c r="K2307" s="17" t="str">
        <x:v>2026-09-11</x:v>
      </x:c>
      <x:c r="L2307" s="17" t="str">
        <x:v>Not cycle-specific</x:v>
      </x:c>
      <x:c r="M2307" s="17" t="str">
        <x:v>low</x:v>
      </x:c>
      <x:c r="N2307" s="17" t="str">
        <x:v>Discovery evidence only</x:v>
      </x:c>
      <x:c r="O2307" s="17" t="str">
        <x:v>Use the source_record_paths field to trace the underlying discovery inputs.</x:v>
      </x:c>
      <x:c r="P2307" s="18" t="e">
        <x:f>HYPERLINK("https://www.uh.edu","Open source")</x:f>
        <x:v>HYPERLINK is not implemented. linkLocation=https://www.uh.edu, friendlyName=Open source</x:v>
      </x:c>
    </x:row>
    <x:row r="2308" ht="46" customHeight="1">
      <x:c r="A2308" s="17" t="str">
        <x:v>stage3src:faab0bb3538b2beed573</x:v>
      </x:c>
      <x:c r="B2308" s="17" t="str">
        <x:v>program</x:v>
      </x:c>
      <x:c r="C2308" s="17" t="str">
        <x:v>University of Houston</x:v>
      </x:c>
      <x:c r="D2308" s="17" t="str">
        <x:v>us:ipeds:225511:program:unclear:ipeds-discovery-signal-computer-engineering-general-cip-14-0901</x:v>
      </x:c>
      <x:c r="E2308" s="17" t="str"/>
      <x:c r="F2308" s="17" t="str">
        <x:v>discovery</x:v>
      </x:c>
      <x:c r="G2308" s="17" t="str">
        <x:v>Stage 2 recorded this row as a discovery candidate; it does not independently verify an exact current research program, eligibility, or funding.</x:v>
      </x:c>
      <x:c r="H2308" s="17" t="str">
        <x:v>Pass 2 Stage 2 candidate funnel</x:v>
      </x:c>
      <x:c r="I2308" s="17" t="str">
        <x:v>Graduate audit pipeline</x:v>
      </x:c>
      <x:c r="J2308" s="17" t="str">
        <x:v>derived</x:v>
      </x:c>
      <x:c r="K2308" s="17" t="str">
        <x:v>2026-09-11</x:v>
      </x:c>
      <x:c r="L2308" s="17" t="str">
        <x:v>Not cycle-specific</x:v>
      </x:c>
      <x:c r="M2308" s="17" t="str">
        <x:v>low</x:v>
      </x:c>
      <x:c r="N2308" s="17" t="str">
        <x:v>Discovery evidence only</x:v>
      </x:c>
      <x:c r="O2308" s="17" t="str">
        <x:v>Use the source_record_paths field to trace the underlying discovery inputs.</x:v>
      </x:c>
      <x:c r="P2308" s="18" t="e">
        <x:f>HYPERLINK("https://www.uh.edu","Open source")</x:f>
        <x:v>HYPERLINK is not implemented. linkLocation=https://www.uh.edu, friendlyName=Open source</x:v>
      </x:c>
    </x:row>
    <x:row r="2309" ht="46" customHeight="1">
      <x:c r="A2309" s="17" t="str">
        <x:v>stage3src:544b9b669c6342a9e2a0</x:v>
      </x:c>
      <x:c r="B2309" s="17" t="str">
        <x:v>program</x:v>
      </x:c>
      <x:c r="C2309" s="17" t="str">
        <x:v>University of Houston</x:v>
      </x:c>
      <x:c r="D2309" s="17" t="str">
        <x:v>us:ipeds:225511:program:unclear:ipeds-discovery-signal-electrical-and-electronics-engineering-cip-14-1001</x:v>
      </x:c>
      <x:c r="E2309" s="17" t="str"/>
      <x:c r="F2309" s="17" t="str">
        <x:v>discovery</x:v>
      </x:c>
      <x:c r="G2309" s="17" t="str">
        <x:v>Stage 2 recorded this row as a discovery candidate; it does not independently verify an exact current research program, eligibility, or funding.</x:v>
      </x:c>
      <x:c r="H2309" s="17" t="str">
        <x:v>Pass 2 Stage 2 candidate funnel</x:v>
      </x:c>
      <x:c r="I2309" s="17" t="str">
        <x:v>Graduate audit pipeline</x:v>
      </x:c>
      <x:c r="J2309" s="17" t="str">
        <x:v>derived</x:v>
      </x:c>
      <x:c r="K2309" s="17" t="str">
        <x:v>2026-09-11</x:v>
      </x:c>
      <x:c r="L2309" s="17" t="str">
        <x:v>Not cycle-specific</x:v>
      </x:c>
      <x:c r="M2309" s="17" t="str">
        <x:v>low</x:v>
      </x:c>
      <x:c r="N2309" s="17" t="str">
        <x:v>Discovery evidence only</x:v>
      </x:c>
      <x:c r="O2309" s="17" t="str">
        <x:v>Use the source_record_paths field to trace the underlying discovery inputs.</x:v>
      </x:c>
      <x:c r="P2309" s="18" t="e">
        <x:f>HYPERLINK("https://www.uh.edu","Open source")</x:f>
        <x:v>HYPERLINK is not implemented. linkLocation=https://www.uh.edu, friendlyName=Open source</x:v>
      </x:c>
    </x:row>
    <x:row r="2310" ht="46" customHeight="1">
      <x:c r="A2310" s="17" t="str">
        <x:v>stage3src:e91c911b4f7e54130a9d</x:v>
      </x:c>
      <x:c r="B2310" s="17" t="str">
        <x:v>program</x:v>
      </x:c>
      <x:c r="C2310" s="17" t="str">
        <x:v>University of Houston</x:v>
      </x:c>
      <x:c r="D2310" s="17" t="str">
        <x:v>us:ipeds:225511:program:unclear:ipeds-discovery-signal-information-science-studies-cip-11-0401</x:v>
      </x:c>
      <x:c r="E2310" s="17" t="str"/>
      <x:c r="F2310" s="17" t="str">
        <x:v>discovery</x:v>
      </x:c>
      <x:c r="G2310" s="17" t="str">
        <x:v>Stage 2 recorded this row as a discovery candidate; it does not independently verify an exact current research program, eligibility, or funding.</x:v>
      </x:c>
      <x:c r="H2310" s="17" t="str">
        <x:v>Pass 2 Stage 2 candidate funnel</x:v>
      </x:c>
      <x:c r="I2310" s="17" t="str">
        <x:v>Graduate audit pipeline</x:v>
      </x:c>
      <x:c r="J2310" s="17" t="str">
        <x:v>derived</x:v>
      </x:c>
      <x:c r="K2310" s="17" t="str">
        <x:v>2026-09-11</x:v>
      </x:c>
      <x:c r="L2310" s="17" t="str">
        <x:v>Not cycle-specific</x:v>
      </x:c>
      <x:c r="M2310" s="17" t="str">
        <x:v>low</x:v>
      </x:c>
      <x:c r="N2310" s="17" t="str">
        <x:v>Discovery evidence only</x:v>
      </x:c>
      <x:c r="O2310" s="17" t="str">
        <x:v>Use the source_record_paths field to trace the underlying discovery inputs.</x:v>
      </x:c>
      <x:c r="P2310" s="18" t="e">
        <x:f>HYPERLINK("https://www.uh.edu","Open source")</x:f>
        <x:v>HYPERLINK is not implemented. linkLocation=https://www.uh.edu, friendlyName=Open source</x:v>
      </x:c>
    </x:row>
    <x:row r="2311" ht="46" customHeight="1">
      <x:c r="A2311" s="17" t="str">
        <x:v>stage3src:faf50004ba070fd5aa5e</x:v>
      </x:c>
      <x:c r="B2311" s="17" t="str">
        <x:v>program</x:v>
      </x:c>
      <x:c r="C2311" s="17" t="str">
        <x:v>Lamar University</x:v>
      </x:c>
      <x:c r="D2311" s="17" t="str">
        <x:v>us:ipeds:226091:program:unclear:ipeds-discovery-signal-computer-science-cip-11-0701</x:v>
      </x:c>
      <x:c r="E2311" s="17" t="str"/>
      <x:c r="F2311" s="17" t="str">
        <x:v>discovery</x:v>
      </x:c>
      <x:c r="G2311" s="17" t="str">
        <x:v>Stage 2 recorded this row as a discovery candidate; it does not independently verify an exact current research program, eligibility, or funding.</x:v>
      </x:c>
      <x:c r="H2311" s="17" t="str">
        <x:v>Pass 2 Stage 2 candidate funnel</x:v>
      </x:c>
      <x:c r="I2311" s="17" t="str">
        <x:v>Graduate audit pipeline</x:v>
      </x:c>
      <x:c r="J2311" s="17" t="str">
        <x:v>derived</x:v>
      </x:c>
      <x:c r="K2311" s="17" t="str">
        <x:v>2026-09-11</x:v>
      </x:c>
      <x:c r="L2311" s="17" t="str">
        <x:v>Not cycle-specific</x:v>
      </x:c>
      <x:c r="M2311" s="17" t="str">
        <x:v>low</x:v>
      </x:c>
      <x:c r="N2311" s="17" t="str">
        <x:v>Discovery evidence only</x:v>
      </x:c>
      <x:c r="O2311" s="17" t="str">
        <x:v>Use the source_record_paths field to trace the underlying discovery inputs.</x:v>
      </x:c>
      <x:c r="P2311" s="18" t="e">
        <x:f>HYPERLINK("https://www.lamar.edu","Open source")</x:f>
        <x:v>HYPERLINK is not implemented. linkLocation=https://www.lamar.edu, friendlyName=Open source</x:v>
      </x:c>
    </x:row>
    <x:row r="2312" ht="46" customHeight="1">
      <x:c r="A2312" s="17" t="str">
        <x:v>stage3src:6eee6a0aa91dfae47f6a</x:v>
      </x:c>
      <x:c r="B2312" s="17" t="str">
        <x:v>program</x:v>
      </x:c>
      <x:c r="C2312" s="17" t="str">
        <x:v>Lamar University</x:v>
      </x:c>
      <x:c r="D2312" s="17" t="str">
        <x:v>us:ipeds:226091:program:unclear:ipeds-discovery-signal-information-science-studies-cip-11-0401</x:v>
      </x:c>
      <x:c r="E2312" s="17" t="str"/>
      <x:c r="F2312" s="17" t="str">
        <x:v>discovery</x:v>
      </x:c>
      <x:c r="G2312" s="17" t="str">
        <x:v>Stage 2 recorded this row as a discovery candidate; it does not independently verify an exact current research program, eligibility, or funding.</x:v>
      </x:c>
      <x:c r="H2312" s="17" t="str">
        <x:v>Pass 2 Stage 2 candidate funnel</x:v>
      </x:c>
      <x:c r="I2312" s="17" t="str">
        <x:v>Graduate audit pipeline</x:v>
      </x:c>
      <x:c r="J2312" s="17" t="str">
        <x:v>derived</x:v>
      </x:c>
      <x:c r="K2312" s="17" t="str">
        <x:v>2026-09-11</x:v>
      </x:c>
      <x:c r="L2312" s="17" t="str">
        <x:v>Not cycle-specific</x:v>
      </x:c>
      <x:c r="M2312" s="17" t="str">
        <x:v>low</x:v>
      </x:c>
      <x:c r="N2312" s="17" t="str">
        <x:v>Discovery evidence only</x:v>
      </x:c>
      <x:c r="O2312" s="17" t="str">
        <x:v>Use the source_record_paths field to trace the underlying discovery inputs.</x:v>
      </x:c>
      <x:c r="P2312" s="18" t="e">
        <x:f>HYPERLINK("https://www.lamar.edu","Open source")</x:f>
        <x:v>HYPERLINK is not implemented. linkLocation=https://www.lamar.edu, friendlyName=Open source</x:v>
      </x:c>
    </x:row>
    <x:row r="2313" ht="46" customHeight="1">
      <x:c r="A2313" s="17" t="str">
        <x:v>stage3src:f2ced2a001d5f0507bec</x:v>
      </x:c>
      <x:c r="B2313" s="17" t="str">
        <x:v>program</x:v>
      </x:c>
      <x:c r="C2313" s="17" t="str">
        <x:v>Texas A &amp; M International University</x:v>
      </x:c>
      <x:c r="D2313" s="17" t="str">
        <x:v>us:ipeds:226152:program:unclear:ipeds-discovery-signal-information-science-studies-cip-11-0401</x:v>
      </x:c>
      <x:c r="E2313" s="17" t="str"/>
      <x:c r="F2313" s="17" t="str">
        <x:v>discovery</x:v>
      </x:c>
      <x:c r="G2313" s="17" t="str">
        <x:v>Stage 2 recorded this row as a discovery candidate; it does not independently verify an exact current research program, eligibility, or funding.</x:v>
      </x:c>
      <x:c r="H2313" s="17" t="str">
        <x:v>Pass 2 Stage 2 candidate funnel</x:v>
      </x:c>
      <x:c r="I2313" s="17" t="str">
        <x:v>Graduate audit pipeline</x:v>
      </x:c>
      <x:c r="J2313" s="17" t="str">
        <x:v>derived</x:v>
      </x:c>
      <x:c r="K2313" s="17" t="str">
        <x:v>2026-09-11</x:v>
      </x:c>
      <x:c r="L2313" s="17" t="str">
        <x:v>Not cycle-specific</x:v>
      </x:c>
      <x:c r="M2313" s="17" t="str">
        <x:v>low</x:v>
      </x:c>
      <x:c r="N2313" s="17" t="str">
        <x:v>Discovery evidence only</x:v>
      </x:c>
      <x:c r="O2313" s="17" t="str">
        <x:v>Use the source_record_paths field to trace the underlying discovery inputs.</x:v>
      </x:c>
      <x:c r="P2313" s="18" t="e">
        <x:f>HYPERLINK("https://www.tamiu.edu","Open source")</x:f>
        <x:v>HYPERLINK is not implemented. linkLocation=https://www.tamiu.edu, friendlyName=Open source</x:v>
      </x:c>
    </x:row>
    <x:row r="2314" ht="46" customHeight="1">
      <x:c r="A2314" s="17" t="str">
        <x:v>stage3src:b4963266657a8435223a</x:v>
      </x:c>
      <x:c r="B2314" s="17" t="str">
        <x:v>program</x:v>
      </x:c>
      <x:c r="C2314" s="17" t="str">
        <x:v>LeTourneau University</x:v>
      </x:c>
      <x:c r="D2314" s="17" t="str">
        <x:v>us:ipeds:226231:program:unclear:ipeds-discovery-signal-electrical-and-electronics-engineering-cip-14-1001</x:v>
      </x:c>
      <x:c r="E2314" s="17" t="str"/>
      <x:c r="F2314" s="17" t="str">
        <x:v>discovery</x:v>
      </x:c>
      <x:c r="G2314" s="17" t="str">
        <x:v>Stage 2 recorded this row as a discovery candidate; it does not independently verify an exact current research program, eligibility, or funding.</x:v>
      </x:c>
      <x:c r="H2314" s="17" t="str">
        <x:v>Pass 2 Stage 2 candidate funnel</x:v>
      </x:c>
      <x:c r="I2314" s="17" t="str">
        <x:v>Graduate audit pipeline</x:v>
      </x:c>
      <x:c r="J2314" s="17" t="str">
        <x:v>derived</x:v>
      </x:c>
      <x:c r="K2314" s="17" t="str">
        <x:v>2026-09-11</x:v>
      </x:c>
      <x:c r="L2314" s="17" t="str">
        <x:v>Not cycle-specific</x:v>
      </x:c>
      <x:c r="M2314" s="17" t="str">
        <x:v>low</x:v>
      </x:c>
      <x:c r="N2314" s="17" t="str">
        <x:v>Discovery evidence only</x:v>
      </x:c>
      <x:c r="O2314" s="17" t="str">
        <x:v>Use the source_record_paths field to trace the underlying discovery inputs.</x:v>
      </x:c>
      <x:c r="P2314" s="18" t="e">
        <x:f>HYPERLINK("https://www.letu.edu","Open source")</x:f>
        <x:v>HYPERLINK is not implemented. linkLocation=https://www.letu.edu, friendlyName=Open source</x:v>
      </x:c>
    </x:row>
    <x:row r="2315" ht="46" customHeight="1">
      <x:c r="A2315" s="17" t="str">
        <x:v>stage3src:6065387526c281443a25</x:v>
      </x:c>
      <x:c r="B2315" s="17" t="str">
        <x:v>program</x:v>
      </x:c>
      <x:c r="C2315" s="17" t="str">
        <x:v>University of Mary Hardin-Baylor</x:v>
      </x:c>
      <x:c r="D2315" s="17" t="str">
        <x:v>us:ipeds:226471:program:unclear:ipeds-discovery-signal-information-science-studies-cip-11-0401</x:v>
      </x:c>
      <x:c r="E2315" s="17" t="str"/>
      <x:c r="F2315" s="17" t="str">
        <x:v>discovery</x:v>
      </x:c>
      <x:c r="G2315" s="17" t="str">
        <x:v>Stage 2 recorded this row as a discovery candidate; it does not independently verify an exact current research program, eligibility, or funding.</x:v>
      </x:c>
      <x:c r="H2315" s="17" t="str">
        <x:v>Pass 2 Stage 2 candidate funnel</x:v>
      </x:c>
      <x:c r="I2315" s="17" t="str">
        <x:v>Graduate audit pipeline</x:v>
      </x:c>
      <x:c r="J2315" s="17" t="str">
        <x:v>derived</x:v>
      </x:c>
      <x:c r="K2315" s="17" t="str">
        <x:v>2026-09-11</x:v>
      </x:c>
      <x:c r="L2315" s="17" t="str">
        <x:v>Not cycle-specific</x:v>
      </x:c>
      <x:c r="M2315" s="17" t="str">
        <x:v>low</x:v>
      </x:c>
      <x:c r="N2315" s="17" t="str">
        <x:v>Discovery evidence only</x:v>
      </x:c>
      <x:c r="O2315" s="17" t="str">
        <x:v>Use the source_record_paths field to trace the underlying discovery inputs.</x:v>
      </x:c>
      <x:c r="P2315" s="18" t="e">
        <x:f>HYPERLINK("https://go.umhb.edu","Open source")</x:f>
        <x:v>HYPERLINK is not implemented. linkLocation=https://go.umhb.edu, friendlyName=Open source</x:v>
      </x:c>
    </x:row>
    <x:row r="2316" ht="46" customHeight="1">
      <x:c r="A2316" s="17" t="str">
        <x:v>stage3src:dd31c3bcac27e46150f9</x:v>
      </x:c>
      <x:c r="B2316" s="17" t="str">
        <x:v>program</x:v>
      </x:c>
      <x:c r="C2316" s="17" t="str">
        <x:v>Midwestern State University</x:v>
      </x:c>
      <x:c r="D2316" s="17" t="str">
        <x:v>us:ipeds:226833:program:unclear:ipeds-discovery-signal-computer-and-information-sciences-general-cip-11-0101</x:v>
      </x:c>
      <x:c r="E2316" s="17" t="str"/>
      <x:c r="F2316" s="17" t="str">
        <x:v>discovery</x:v>
      </x:c>
      <x:c r="G2316" s="17" t="str">
        <x:v>Stage 2 recorded this row as a discovery candidate; it does not independently verify an exact current research program, eligibility, or funding.</x:v>
      </x:c>
      <x:c r="H2316" s="17" t="str">
        <x:v>Pass 2 Stage 2 candidate funnel</x:v>
      </x:c>
      <x:c r="I2316" s="17" t="str">
        <x:v>Graduate audit pipeline</x:v>
      </x:c>
      <x:c r="J2316" s="17" t="str">
        <x:v>derived</x:v>
      </x:c>
      <x:c r="K2316" s="17" t="str">
        <x:v>2026-09-11</x:v>
      </x:c>
      <x:c r="L2316" s="17" t="str">
        <x:v>Not cycle-specific</x:v>
      </x:c>
      <x:c r="M2316" s="17" t="str">
        <x:v>low</x:v>
      </x:c>
      <x:c r="N2316" s="17" t="str">
        <x:v>Discovery evidence only</x:v>
      </x:c>
      <x:c r="O2316" s="17" t="str">
        <x:v>Use the source_record_paths field to trace the underlying discovery inputs.</x:v>
      </x:c>
      <x:c r="P2316" s="18" t="e">
        <x:f>HYPERLINK("https://www.msutexas.edu","Open source")</x:f>
        <x:v>HYPERLINK is not implemented. linkLocation=https://www.msutexas.edu, friendlyName=Open source</x:v>
      </x:c>
    </x:row>
    <x:row r="2317" ht="46" customHeight="1">
      <x:c r="A2317" s="17" t="str">
        <x:v>stage3src:6f0b0b231f1208b413bc</x:v>
      </x:c>
      <x:c r="B2317" s="17" t="str">
        <x:v>program</x:v>
      </x:c>
      <x:c r="C2317" s="17" t="str">
        <x:v>University of North Texas</x:v>
      </x:c>
      <x:c r="D2317" s="17" t="str">
        <x:v>us:ipeds:227216:program:phd:ph-d-in-computer-science-and-engineering</x:v>
      </x:c>
      <x:c r="E2317" s="17" t="str"/>
      <x:c r="F2317" s="17" t="str">
        <x:v>funding|tuition|fees|deadline</x:v>
      </x:c>
      <x:c r="G2317" s="17" t="str">
        <x:v>Limited TA, TF, and RA availability, separate application, doctoral eligibility, and in-state tuition treatment for half-time funded international students.</x:v>
      </x:c>
      <x:c r="H2317" s="17" t="str">
        <x:v>Graduate Assistantship</x:v>
      </x:c>
      <x:c r="I2317" s="17" t="str">
        <x:v>University of North Texas Computer Science and Engineering</x:v>
      </x:c>
      <x:c r="J2317" s="17" t="str">
        <x:v>official</x:v>
      </x:c>
      <x:c r="K2317" s="17" t="str">
        <x:v>2026-09-10</x:v>
      </x:c>
      <x:c r="L2317" s="17" t="str">
        <x:v>Latest 2026 assistantship window; Fall 2027 pending</x:v>
      </x:c>
      <x:c r="M2317" s="17" t="str">
        <x:v>high</x:v>
      </x:c>
      <x:c r="N2317" s="17" t="str">
        <x:v>official page checked</x:v>
      </x:c>
      <x:c r="O2317" s="17" t="str"/>
      <x:c r="P2317" s="18" t="e">
        <x:f>HYPERLINK("https://engineering.unt.edu/cse/students/graduate-assistantship.html","Open source")</x:f>
        <x:v>HYPERLINK is not implemented. linkLocation=https://engineering.unt.edu/cse/students/graduate-assistantship.html, friendlyName=Open source</x:v>
      </x:c>
    </x:row>
    <x:row r="2318" ht="46" customHeight="1">
      <x:c r="A2318" s="17" t="str">
        <x:v>stage3src:beacfc7c6ba8bb330df9</x:v>
      </x:c>
      <x:c r="B2318" s="17" t="str">
        <x:v>program</x:v>
      </x:c>
      <x:c r="C2318" s="17" t="str">
        <x:v>University of North Texas</x:v>
      </x:c>
      <x:c r="D2318" s="17" t="str">
        <x:v>us:ipeds:227216:program:phd:ph-d-in-computer-science-and-engineering</x:v>
      </x:c>
      <x:c r="E2318" s="17" t="str"/>
      <x:c r="F2318" s="17" t="str">
        <x:v>program|research|eligibility|funding</x:v>
      </x:c>
      <x:c r="G2318" s="17" t="str">
        <x:v>Current doctorate, bachelor's and master's credit routes, software and security research, and general assistantship signal.</x:v>
      </x:c>
      <x:c r="H2318" s="17" t="str">
        <x:v>Computer Science and Engineering Ph.D.</x:v>
      </x:c>
      <x:c r="I2318" s="17" t="str">
        <x:v>University of North Texas</x:v>
      </x:c>
      <x:c r="J2318" s="17" t="str">
        <x:v>official</x:v>
      </x:c>
      <x:c r="K2318" s="17" t="str">
        <x:v>2026-09-10</x:v>
      </x:c>
      <x:c r="L2318" s="17" t="str">
        <x:v>Current page checked 2026-09-10</x:v>
      </x:c>
      <x:c r="M2318" s="17" t="str">
        <x:v>high</x:v>
      </x:c>
      <x:c r="N2318" s="17" t="str">
        <x:v>official page checked</x:v>
      </x:c>
      <x:c r="O2318" s="17" t="str"/>
      <x:c r="P2318" s="18" t="e">
        <x:f>HYPERLINK("https://www.unt.edu/academics/programs/computer-science-and-engineering-phd.html","Open source")</x:f>
        <x:v>HYPERLINK is not implemented. linkLocation=https://www.unt.edu/academics/programs/computer-science-and-engineering-phd.html, friendlyName=Open source</x:v>
      </x:c>
    </x:row>
    <x:row r="2319" ht="46" customHeight="1">
      <x:c r="A2319" s="17" t="str">
        <x:v>stage3src:cde959b77cdef5d625db</x:v>
      </x:c>
      <x:c r="B2319" s="17" t="str">
        <x:v>program</x:v>
      </x:c>
      <x:c r="C2319" s="17" t="str">
        <x:v>University of North Texas</x:v>
      </x:c>
      <x:c r="D2319" s="17" t="str">
        <x:v>us:ipeds:227216:program:phd:ph-d-in-computer-science-and-engineering</x:v>
      </x:c>
      <x:c r="E2319" s="17" t="str"/>
      <x:c r="F2319" s="17" t="str">
        <x:v>admissions|eligibility|language|deadline</x:v>
      </x:c>
      <x:c r="G2319" s="17" t="str">
        <x:v>Published 3.5 PhD GPA benchmark, optional GRE, international hard date, and recurring January 15 funding-priority deadline.</x:v>
      </x:c>
      <x:c r="H2319" s="17" t="str">
        <x:v>Graduate Admissions</x:v>
      </x:c>
      <x:c r="I2319" s="17" t="str">
        <x:v>University of North Texas Computer Science and Engineering</x:v>
      </x:c>
      <x:c r="J2319" s="17" t="str">
        <x:v>official</x:v>
      </x:c>
      <x:c r="K2319" s="17" t="str">
        <x:v>2026-09-10</x:v>
      </x:c>
      <x:c r="L2319" s="17" t="str">
        <x:v>Current recurring guidance checked 2026-09-10</x:v>
      </x:c>
      <x:c r="M2319" s="17" t="str">
        <x:v>high</x:v>
      </x:c>
      <x:c r="N2319" s="17" t="str">
        <x:v>official page checked</x:v>
      </x:c>
      <x:c r="O2319" s="17" t="str"/>
      <x:c r="P2319" s="18" t="e">
        <x:f>HYPERLINK("https://engineering.unt.edu/cse/graduate/admissions.html","Open source")</x:f>
        <x:v>HYPERLINK is not implemented. linkLocation=https://engineering.unt.edu/cse/graduate/admissions.html, friendlyName=Open source</x:v>
      </x:c>
    </x:row>
    <x:row r="2320" ht="46" customHeight="1">
      <x:c r="A2320" s="17" t="str">
        <x:v>stage3src:dc6c60036ca4d4cdf8da</x:v>
      </x:c>
      <x:c r="B2320" s="17" t="str">
        <x:v>program</x:v>
      </x:c>
      <x:c r="C2320" s="17" t="str">
        <x:v>University of North Texas</x:v>
      </x:c>
      <x:c r="D2320" s="17" t="str">
        <x:v>us:ipeds:227216:program:unclear:ipeds-discovery-signal-artificial-intelligence-cip-11-0102</x:v>
      </x:c>
      <x:c r="E2320" s="17" t="str"/>
      <x:c r="F2320" s="17" t="str">
        <x:v>discovery</x:v>
      </x:c>
      <x:c r="G2320" s="17" t="str">
        <x:v>Stage 2 recorded this row as a discovery candidate; it does not independently verify an exact current research program, eligibility, or funding.</x:v>
      </x:c>
      <x:c r="H2320" s="17" t="str">
        <x:v>Pass 2 Stage 2 candidate funnel</x:v>
      </x:c>
      <x:c r="I2320" s="17" t="str">
        <x:v>Graduate audit pipeline</x:v>
      </x:c>
      <x:c r="J2320" s="17" t="str">
        <x:v>derived</x:v>
      </x:c>
      <x:c r="K2320" s="17" t="str">
        <x:v>2026-09-11</x:v>
      </x:c>
      <x:c r="L2320" s="17" t="str">
        <x:v>Not cycle-specific</x:v>
      </x:c>
      <x:c r="M2320" s="17" t="str">
        <x:v>low</x:v>
      </x:c>
      <x:c r="N2320" s="17" t="str">
        <x:v>Discovery evidence only</x:v>
      </x:c>
      <x:c r="O2320" s="17" t="str">
        <x:v>Use the source_record_paths field to trace the underlying discovery inputs.</x:v>
      </x:c>
      <x:c r="P2320" s="18" t="e">
        <x:f>HYPERLINK("https://www.unt.edu","Open source")</x:f>
        <x:v>HYPERLINK is not implemented. linkLocation=https://www.unt.edu, friendlyName=Open source</x:v>
      </x:c>
    </x:row>
    <x:row r="2321" ht="46" customHeight="1">
      <x:c r="A2321" s="17" t="str">
        <x:v>stage3src:3b396bee2466d689530d</x:v>
      </x:c>
      <x:c r="B2321" s="17" t="str">
        <x:v>program</x:v>
      </x:c>
      <x:c r="C2321" s="17" t="str">
        <x:v>University of North Texas</x:v>
      </x:c>
      <x:c r="D2321" s="17" t="str">
        <x:v>us:ipeds:227216:program:unclear:ipeds-discovery-signal-computer-and-information-sciences-general-cip-11-0101</x:v>
      </x:c>
      <x:c r="E2321" s="17" t="str"/>
      <x:c r="F2321" s="17" t="str">
        <x:v>discovery</x:v>
      </x:c>
      <x:c r="G2321" s="17" t="str">
        <x:v>Stage 2 recorded this row as a discovery candidate; it does not independently verify an exact current research program, eligibility, or funding.</x:v>
      </x:c>
      <x:c r="H2321" s="17" t="str">
        <x:v>Pass 2 Stage 2 candidate funnel</x:v>
      </x:c>
      <x:c r="I2321" s="17" t="str">
        <x:v>Graduate audit pipeline</x:v>
      </x:c>
      <x:c r="J2321" s="17" t="str">
        <x:v>derived</x:v>
      </x:c>
      <x:c r="K2321" s="17" t="str">
        <x:v>2026-09-11</x:v>
      </x:c>
      <x:c r="L2321" s="17" t="str">
        <x:v>Not cycle-specific</x:v>
      </x:c>
      <x:c r="M2321" s="17" t="str">
        <x:v>low</x:v>
      </x:c>
      <x:c r="N2321" s="17" t="str">
        <x:v>Discovery evidence only</x:v>
      </x:c>
      <x:c r="O2321" s="17" t="str">
        <x:v>Use the source_record_paths field to trace the underlying discovery inputs.</x:v>
      </x:c>
      <x:c r="P2321" s="18" t="e">
        <x:f>HYPERLINK("https://www.unt.edu","Open source")</x:f>
        <x:v>HYPERLINK is not implemented. linkLocation=https://www.unt.edu, friendlyName=Open source</x:v>
      </x:c>
    </x:row>
    <x:row r="2322" ht="46" customHeight="1">
      <x:c r="A2322" s="17" t="str">
        <x:v>stage3src:c55c02960d63ef34d228</x:v>
      </x:c>
      <x:c r="B2322" s="17" t="str">
        <x:v>program</x:v>
      </x:c>
      <x:c r="C2322" s="17" t="str">
        <x:v>University of North Texas</x:v>
      </x:c>
      <x:c r="D2322" s="17" t="str">
        <x:v>us:ipeds:227216:program:unclear:ipeds-discovery-signal-computer-and-information-systems-security-auditing-information-assurance-cip-11-1003</x:v>
      </x:c>
      <x:c r="E2322" s="17" t="str"/>
      <x:c r="F2322" s="17" t="str">
        <x:v>discovery</x:v>
      </x:c>
      <x:c r="G2322" s="17" t="str">
        <x:v>Stage 2 recorded this row as a discovery candidate; it does not independently verify an exact current research program, eligibility, or funding.</x:v>
      </x:c>
      <x:c r="H2322" s="17" t="str">
        <x:v>Pass 2 Stage 2 candidate funnel</x:v>
      </x:c>
      <x:c r="I2322" s="17" t="str">
        <x:v>Graduate audit pipeline</x:v>
      </x:c>
      <x:c r="J2322" s="17" t="str">
        <x:v>derived</x:v>
      </x:c>
      <x:c r="K2322" s="17" t="str">
        <x:v>2026-09-11</x:v>
      </x:c>
      <x:c r="L2322" s="17" t="str">
        <x:v>Not cycle-specific</x:v>
      </x:c>
      <x:c r="M2322" s="17" t="str">
        <x:v>low</x:v>
      </x:c>
      <x:c r="N2322" s="17" t="str">
        <x:v>Discovery evidence only</x:v>
      </x:c>
      <x:c r="O2322" s="17" t="str">
        <x:v>Use the source_record_paths field to trace the underlying discovery inputs.</x:v>
      </x:c>
      <x:c r="P2322" s="18" t="e">
        <x:f>HYPERLINK("https://www.unt.edu","Open source")</x:f>
        <x:v>HYPERLINK is not implemented. linkLocation=https://www.unt.edu, friendlyName=Open source</x:v>
      </x:c>
    </x:row>
    <x:row r="2323" ht="46" customHeight="1">
      <x:c r="A2323" s="17" t="str">
        <x:v>stage3src:5d03528a902ce97724b9</x:v>
      </x:c>
      <x:c r="B2323" s="17" t="str">
        <x:v>program</x:v>
      </x:c>
      <x:c r="C2323" s="17" t="str">
        <x:v>University of North Texas</x:v>
      </x:c>
      <x:c r="D2323" s="17" t="str">
        <x:v>us:ipeds:227216:program:unclear:ipeds-discovery-signal-computer-engineering-general-cip-14-0901</x:v>
      </x:c>
      <x:c r="E2323" s="17" t="str"/>
      <x:c r="F2323" s="17" t="str">
        <x:v>discovery</x:v>
      </x:c>
      <x:c r="G2323" s="17" t="str">
        <x:v>Stage 2 recorded this row as a discovery candidate; it does not independently verify an exact current research program, eligibility, or funding.</x:v>
      </x:c>
      <x:c r="H2323" s="17" t="str">
        <x:v>Pass 2 Stage 2 candidate funnel</x:v>
      </x:c>
      <x:c r="I2323" s="17" t="str">
        <x:v>Graduate audit pipeline</x:v>
      </x:c>
      <x:c r="J2323" s="17" t="str">
        <x:v>derived</x:v>
      </x:c>
      <x:c r="K2323" s="17" t="str">
        <x:v>2026-09-11</x:v>
      </x:c>
      <x:c r="L2323" s="17" t="str">
        <x:v>Not cycle-specific</x:v>
      </x:c>
      <x:c r="M2323" s="17" t="str">
        <x:v>low</x:v>
      </x:c>
      <x:c r="N2323" s="17" t="str">
        <x:v>Discovery evidence only</x:v>
      </x:c>
      <x:c r="O2323" s="17" t="str">
        <x:v>Use the source_record_paths field to trace the underlying discovery inputs.</x:v>
      </x:c>
      <x:c r="P2323" s="18" t="e">
        <x:f>HYPERLINK("https://www.unt.edu","Open source")</x:f>
        <x:v>HYPERLINK is not implemented. linkLocation=https://www.unt.edu, friendlyName=Open source</x:v>
      </x:c>
    </x:row>
    <x:row r="2324" ht="46" customHeight="1">
      <x:c r="A2324" s="17" t="str">
        <x:v>stage3src:3148f7baafd36d82cb7f</x:v>
      </x:c>
      <x:c r="B2324" s="17" t="str">
        <x:v>program</x:v>
      </x:c>
      <x:c r="C2324" s="17" t="str">
        <x:v>University of North Texas</x:v>
      </x:c>
      <x:c r="D2324" s="17" t="str">
        <x:v>us:ipeds:227216:program:unclear:ipeds-discovery-signal-data-science-general-cip-30-7001</x:v>
      </x:c>
      <x:c r="E2324" s="17" t="str"/>
      <x:c r="F2324" s="17" t="str">
        <x:v>discovery</x:v>
      </x:c>
      <x:c r="G2324" s="17" t="str">
        <x:v>Stage 2 recorded this row as a discovery candidate; it does not independently verify an exact current research program, eligibility, or funding.</x:v>
      </x:c>
      <x:c r="H2324" s="17" t="str">
        <x:v>Pass 2 Stage 2 candidate funnel</x:v>
      </x:c>
      <x:c r="I2324" s="17" t="str">
        <x:v>Graduate audit pipeline</x:v>
      </x:c>
      <x:c r="J2324" s="17" t="str">
        <x:v>derived</x:v>
      </x:c>
      <x:c r="K2324" s="17" t="str">
        <x:v>2026-09-11</x:v>
      </x:c>
      <x:c r="L2324" s="17" t="str">
        <x:v>Not cycle-specific</x:v>
      </x:c>
      <x:c r="M2324" s="17" t="str">
        <x:v>low</x:v>
      </x:c>
      <x:c r="N2324" s="17" t="str">
        <x:v>Discovery evidence only</x:v>
      </x:c>
      <x:c r="O2324" s="17" t="str">
        <x:v>Use the source_record_paths field to trace the underlying discovery inputs.</x:v>
      </x:c>
      <x:c r="P2324" s="18" t="e">
        <x:f>HYPERLINK("https://www.unt.edu","Open source")</x:f>
        <x:v>HYPERLINK is not implemented. linkLocation=https://www.unt.edu, friendlyName=Open source</x:v>
      </x:c>
    </x:row>
    <x:row r="2325" ht="46" customHeight="1">
      <x:c r="A2325" s="17" t="str">
        <x:v>stage3src:b7ad0e8ea5a859d39ee3</x:v>
      </x:c>
      <x:c r="B2325" s="17" t="str">
        <x:v>program</x:v>
      </x:c>
      <x:c r="C2325" s="17" t="str">
        <x:v>University of North Texas</x:v>
      </x:c>
      <x:c r="D2325" s="17" t="str">
        <x:v>us:ipeds:227216:program:unclear:ipeds-discovery-signal-electrical-and-electronics-engineering-cip-14-1001</x:v>
      </x:c>
      <x:c r="E2325" s="17" t="str"/>
      <x:c r="F2325" s="17" t="str">
        <x:v>discovery</x:v>
      </x:c>
      <x:c r="G2325" s="17" t="str">
        <x:v>Stage 2 recorded this row as a discovery candidate; it does not independently verify an exact current research program, eligibility, or funding.</x:v>
      </x:c>
      <x:c r="H2325" s="17" t="str">
        <x:v>Pass 2 Stage 2 candidate funnel</x:v>
      </x:c>
      <x:c r="I2325" s="17" t="str">
        <x:v>Graduate audit pipeline</x:v>
      </x:c>
      <x:c r="J2325" s="17" t="str">
        <x:v>derived</x:v>
      </x:c>
      <x:c r="K2325" s="17" t="str">
        <x:v>2026-09-11</x:v>
      </x:c>
      <x:c r="L2325" s="17" t="str">
        <x:v>Not cycle-specific</x:v>
      </x:c>
      <x:c r="M2325" s="17" t="str">
        <x:v>low</x:v>
      </x:c>
      <x:c r="N2325" s="17" t="str">
        <x:v>Discovery evidence only</x:v>
      </x:c>
      <x:c r="O2325" s="17" t="str">
        <x:v>Use the source_record_paths field to trace the underlying discovery inputs.</x:v>
      </x:c>
      <x:c r="P2325" s="18" t="e">
        <x:f>HYPERLINK("https://www.unt.edu","Open source")</x:f>
        <x:v>HYPERLINK is not implemented. linkLocation=https://www.unt.edu, friendlyName=Open source</x:v>
      </x:c>
    </x:row>
    <x:row r="2326" ht="46" customHeight="1">
      <x:c r="A2326" s="17" t="str">
        <x:v>stage3src:bb832409a3f3a09af387</x:v>
      </x:c>
      <x:c r="B2326" s="17" t="str">
        <x:v>program</x:v>
      </x:c>
      <x:c r="C2326" s="17" t="str">
        <x:v>University of North Texas</x:v>
      </x:c>
      <x:c r="D2326" s="17" t="str">
        <x:v>us:ipeds:227216:program:unclear:ipeds-discovery-signal-information-science-studies-cip-11-0401</x:v>
      </x:c>
      <x:c r="E2326" s="17" t="str"/>
      <x:c r="F2326" s="17" t="str">
        <x:v>discovery</x:v>
      </x:c>
      <x:c r="G2326" s="17" t="str">
        <x:v>Stage 2 recorded this row as a discovery candidate; it does not independently verify an exact current research program, eligibility, or funding.</x:v>
      </x:c>
      <x:c r="H2326" s="17" t="str">
        <x:v>Pass 2 Stage 2 candidate funnel</x:v>
      </x:c>
      <x:c r="I2326" s="17" t="str">
        <x:v>Graduate audit pipeline</x:v>
      </x:c>
      <x:c r="J2326" s="17" t="str">
        <x:v>derived</x:v>
      </x:c>
      <x:c r="K2326" s="17" t="str">
        <x:v>2026-09-11</x:v>
      </x:c>
      <x:c r="L2326" s="17" t="str">
        <x:v>Not cycle-specific</x:v>
      </x:c>
      <x:c r="M2326" s="17" t="str">
        <x:v>low</x:v>
      </x:c>
      <x:c r="N2326" s="17" t="str">
        <x:v>Discovery evidence only</x:v>
      </x:c>
      <x:c r="O2326" s="17" t="str">
        <x:v>Use the source_record_paths field to trace the underlying discovery inputs.</x:v>
      </x:c>
      <x:c r="P2326" s="18" t="e">
        <x:f>HYPERLINK("https://www.unt.edu","Open source")</x:f>
        <x:v>HYPERLINK is not implemented. linkLocation=https://www.unt.edu, friendlyName=Open source</x:v>
      </x:c>
    </x:row>
    <x:row r="2327" ht="46" customHeight="1">
      <x:c r="A2327" s="17" t="str">
        <x:v>stage3src:a033b945f0fa1be41ec1</x:v>
      </x:c>
      <x:c r="B2327" s="17" t="str">
        <x:v>program</x:v>
      </x:c>
      <x:c r="C2327" s="17" t="str">
        <x:v>University of North Texas</x:v>
      </x:c>
      <x:c r="D2327" s="17" t="str">
        <x:v>us:ipeds:227216:program:unclear:ipeds-discovery-signal-information-technology-cip-11-0103</x:v>
      </x:c>
      <x:c r="E2327" s="17" t="str"/>
      <x:c r="F2327" s="17" t="str">
        <x:v>discovery</x:v>
      </x:c>
      <x:c r="G2327" s="17" t="str">
        <x:v>Stage 2 recorded this row as a discovery candidate; it does not independently verify an exact current research program, eligibility, or funding.</x:v>
      </x:c>
      <x:c r="H2327" s="17" t="str">
        <x:v>Pass 2 Stage 2 candidate funnel</x:v>
      </x:c>
      <x:c r="I2327" s="17" t="str">
        <x:v>Graduate audit pipeline</x:v>
      </x:c>
      <x:c r="J2327" s="17" t="str">
        <x:v>derived</x:v>
      </x:c>
      <x:c r="K2327" s="17" t="str">
        <x:v>2026-09-11</x:v>
      </x:c>
      <x:c r="L2327" s="17" t="str">
        <x:v>Not cycle-specific</x:v>
      </x:c>
      <x:c r="M2327" s="17" t="str">
        <x:v>low</x:v>
      </x:c>
      <x:c r="N2327" s="17" t="str">
        <x:v>Discovery evidence only</x:v>
      </x:c>
      <x:c r="O2327" s="17" t="str">
        <x:v>Use the source_record_paths field to trace the underlying discovery inputs.</x:v>
      </x:c>
      <x:c r="P2327" s="18" t="e">
        <x:f>HYPERLINK("https://www.unt.edu","Open source")</x:f>
        <x:v>HYPERLINK is not implemented. linkLocation=https://www.unt.edu, friendlyName=Open source</x:v>
      </x:c>
    </x:row>
    <x:row r="2328" ht="46" customHeight="1">
      <x:c r="A2328" s="17" t="str">
        <x:v>stage3src:144c93767aabbbfc4e6e</x:v>
      </x:c>
      <x:c r="B2328" s="17" t="str">
        <x:v>program</x:v>
      </x:c>
      <x:c r="C2328" s="17" t="str">
        <x:v>Our Lady of the Lake University</x:v>
      </x:c>
      <x:c r="D2328" s="17" t="str">
        <x:v>us:ipeds:227331:program:unclear:ipeds-discovery-signal-computer-and-information-systems-security-auditing-information-assurance-cip-11-1003</x:v>
      </x:c>
      <x:c r="E2328" s="17" t="str"/>
      <x:c r="F2328" s="17" t="str">
        <x:v>discovery</x:v>
      </x:c>
      <x:c r="G2328" s="17" t="str">
        <x:v>Stage 2 recorded this row as a discovery candidate; it does not independently verify an exact current research program, eligibility, or funding.</x:v>
      </x:c>
      <x:c r="H2328" s="17" t="str">
        <x:v>Pass 2 Stage 2 candidate funnel</x:v>
      </x:c>
      <x:c r="I2328" s="17" t="str">
        <x:v>Graduate audit pipeline</x:v>
      </x:c>
      <x:c r="J2328" s="17" t="str">
        <x:v>derived</x:v>
      </x:c>
      <x:c r="K2328" s="17" t="str">
        <x:v>2026-09-11</x:v>
      </x:c>
      <x:c r="L2328" s="17" t="str">
        <x:v>Not cycle-specific</x:v>
      </x:c>
      <x:c r="M2328" s="17" t="str">
        <x:v>low</x:v>
      </x:c>
      <x:c r="N2328" s="17" t="str">
        <x:v>Discovery evidence only</x:v>
      </x:c>
      <x:c r="O2328" s="17" t="str">
        <x:v>Use the source_record_paths field to trace the underlying discovery inputs.</x:v>
      </x:c>
      <x:c r="P2328" s="18" t="e">
        <x:f>HYPERLINK("https://www.ollusa.edu","Open source")</x:f>
        <x:v>HYPERLINK is not implemented. linkLocation=https://www.ollusa.edu, friendlyName=Open source</x:v>
      </x:c>
    </x:row>
    <x:row r="2329" ht="46" customHeight="1">
      <x:c r="A2329" s="17" t="str">
        <x:v>stage3src:09fd23542c45316f4417</x:v>
      </x:c>
      <x:c r="B2329" s="17" t="str">
        <x:v>program</x:v>
      </x:c>
      <x:c r="C2329" s="17" t="str">
        <x:v>The University of Texas Rio Grande Valley</x:v>
      </x:c>
      <x:c r="D2329" s="17" t="str">
        <x:v>us:ipeds:227368:program:unclear:ipeds-discovery-signal-computer-science-cip-11-0701</x:v>
      </x:c>
      <x:c r="E2329" s="17" t="str"/>
      <x:c r="F2329" s="17" t="str">
        <x:v>discovery</x:v>
      </x:c>
      <x:c r="G2329" s="17" t="str">
        <x:v>Stage 2 recorded this row as a discovery candidate; it does not independently verify an exact current research program, eligibility, or funding.</x:v>
      </x:c>
      <x:c r="H2329" s="17" t="str">
        <x:v>Pass 2 Stage 2 candidate funnel</x:v>
      </x:c>
      <x:c r="I2329" s="17" t="str">
        <x:v>Graduate audit pipeline</x:v>
      </x:c>
      <x:c r="J2329" s="17" t="str">
        <x:v>derived</x:v>
      </x:c>
      <x:c r="K2329" s="17" t="str">
        <x:v>2026-09-11</x:v>
      </x:c>
      <x:c r="L2329" s="17" t="str">
        <x:v>Not cycle-specific</x:v>
      </x:c>
      <x:c r="M2329" s="17" t="str">
        <x:v>low</x:v>
      </x:c>
      <x:c r="N2329" s="17" t="str">
        <x:v>Discovery evidence only</x:v>
      </x:c>
      <x:c r="O2329" s="17" t="str">
        <x:v>Use the source_record_paths field to trace the underlying discovery inputs.</x:v>
      </x:c>
      <x:c r="P2329" s="18" t="e">
        <x:f>HYPERLINK("https://www.utrgv.edu","Open source")</x:f>
        <x:v>HYPERLINK is not implemented. linkLocation=https://www.utrgv.edu, friendlyName=Open source</x:v>
      </x:c>
    </x:row>
    <x:row r="2330" ht="46" customHeight="1">
      <x:c r="A2330" s="17" t="str">
        <x:v>stage3src:a5b8ba24f7007d287bcd</x:v>
      </x:c>
      <x:c r="B2330" s="17" t="str">
        <x:v>program</x:v>
      </x:c>
      <x:c r="C2330" s="17" t="str">
        <x:v>The University of Texas Rio Grande Valley</x:v>
      </x:c>
      <x:c r="D2330" s="17" t="str">
        <x:v>us:ipeds:227368:program:unclear:ipeds-discovery-signal-electrical-and-electronics-engineering-cip-14-1001</x:v>
      </x:c>
      <x:c r="E2330" s="17" t="str"/>
      <x:c r="F2330" s="17" t="str">
        <x:v>discovery</x:v>
      </x:c>
      <x:c r="G2330" s="17" t="str">
        <x:v>Stage 2 recorded this row as a discovery candidate; it does not independently verify an exact current research program, eligibility, or funding.</x:v>
      </x:c>
      <x:c r="H2330" s="17" t="str">
        <x:v>Pass 2 Stage 2 candidate funnel</x:v>
      </x:c>
      <x:c r="I2330" s="17" t="str">
        <x:v>Graduate audit pipeline</x:v>
      </x:c>
      <x:c r="J2330" s="17" t="str">
        <x:v>derived</x:v>
      </x:c>
      <x:c r="K2330" s="17" t="str">
        <x:v>2026-09-11</x:v>
      </x:c>
      <x:c r="L2330" s="17" t="str">
        <x:v>Not cycle-specific</x:v>
      </x:c>
      <x:c r="M2330" s="17" t="str">
        <x:v>low</x:v>
      </x:c>
      <x:c r="N2330" s="17" t="str">
        <x:v>Discovery evidence only</x:v>
      </x:c>
      <x:c r="O2330" s="17" t="str">
        <x:v>Use the source_record_paths field to trace the underlying discovery inputs.</x:v>
      </x:c>
      <x:c r="P2330" s="18" t="e">
        <x:f>HYPERLINK("https://www.utrgv.edu","Open source")</x:f>
        <x:v>HYPERLINK is not implemented. linkLocation=https://www.utrgv.edu, friendlyName=Open source</x:v>
      </x:c>
    </x:row>
    <x:row r="2331" ht="46" customHeight="1">
      <x:c r="A2331" s="17" t="str">
        <x:v>stage3src:1ab6eccce218e5ad874e</x:v>
      </x:c>
      <x:c r="B2331" s="17" t="str">
        <x:v>program</x:v>
      </x:c>
      <x:c r="C2331" s="17" t="str">
        <x:v>The University of Texas Rio Grande Valley</x:v>
      </x:c>
      <x:c r="D2331" s="17" t="str">
        <x:v>us:ipeds:227368:program:unclear:ipeds-discovery-signal-information-technology-cip-11-0103</x:v>
      </x:c>
      <x:c r="E2331" s="17" t="str"/>
      <x:c r="F2331" s="17" t="str">
        <x:v>discovery</x:v>
      </x:c>
      <x:c r="G2331" s="17" t="str">
        <x:v>Stage 2 recorded this row as a discovery candidate; it does not independently verify an exact current research program, eligibility, or funding.</x:v>
      </x:c>
      <x:c r="H2331" s="17" t="str">
        <x:v>Pass 2 Stage 2 candidate funnel</x:v>
      </x:c>
      <x:c r="I2331" s="17" t="str">
        <x:v>Graduate audit pipeline</x:v>
      </x:c>
      <x:c r="J2331" s="17" t="str">
        <x:v>derived</x:v>
      </x:c>
      <x:c r="K2331" s="17" t="str">
        <x:v>2026-09-11</x:v>
      </x:c>
      <x:c r="L2331" s="17" t="str">
        <x:v>Not cycle-specific</x:v>
      </x:c>
      <x:c r="M2331" s="17" t="str">
        <x:v>low</x:v>
      </x:c>
      <x:c r="N2331" s="17" t="str">
        <x:v>Discovery evidence only</x:v>
      </x:c>
      <x:c r="O2331" s="17" t="str">
        <x:v>Use the source_record_paths field to trace the underlying discovery inputs.</x:v>
      </x:c>
      <x:c r="P2331" s="18" t="e">
        <x:f>HYPERLINK("https://www.utrgv.edu","Open source")</x:f>
        <x:v>HYPERLINK is not implemented. linkLocation=https://www.utrgv.edu, friendlyName=Open source</x:v>
      </x:c>
    </x:row>
    <x:row r="2332" ht="46" customHeight="1">
      <x:c r="A2332" s="17" t="str">
        <x:v>stage3src:9f3e73db58b803ff705e</x:v>
      </x:c>
      <x:c r="B2332" s="17" t="str">
        <x:v>program</x:v>
      </x:c>
      <x:c r="C2332" s="17" t="str">
        <x:v>Prairie View A &amp; M University</x:v>
      </x:c>
      <x:c r="D2332" s="17" t="str">
        <x:v>us:ipeds:227526:program:unclear:ipeds-discovery-signal-computer-and-information-sciences-general-cip-11-0101</x:v>
      </x:c>
      <x:c r="E2332" s="17" t="str"/>
      <x:c r="F2332" s="17" t="str">
        <x:v>discovery</x:v>
      </x:c>
      <x:c r="G2332" s="17" t="str">
        <x:v>Stage 2 recorded this row as a discovery candidate; it does not independently verify an exact current research program, eligibility, or funding.</x:v>
      </x:c>
      <x:c r="H2332" s="17" t="str">
        <x:v>Pass 2 Stage 2 candidate funnel</x:v>
      </x:c>
      <x:c r="I2332" s="17" t="str">
        <x:v>Graduate audit pipeline</x:v>
      </x:c>
      <x:c r="J2332" s="17" t="str">
        <x:v>derived</x:v>
      </x:c>
      <x:c r="K2332" s="17" t="str">
        <x:v>2026-09-11</x:v>
      </x:c>
      <x:c r="L2332" s="17" t="str">
        <x:v>Not cycle-specific</x:v>
      </x:c>
      <x:c r="M2332" s="17" t="str">
        <x:v>low</x:v>
      </x:c>
      <x:c r="N2332" s="17" t="str">
        <x:v>Discovery evidence only</x:v>
      </x:c>
      <x:c r="O2332" s="17" t="str">
        <x:v>Use the source_record_paths field to trace the underlying discovery inputs.</x:v>
      </x:c>
      <x:c r="P2332" s="18" t="e">
        <x:f>HYPERLINK("https://www.pvamu.edu","Open source")</x:f>
        <x:v>HYPERLINK is not implemented. linkLocation=https://www.pvamu.edu, friendlyName=Open source</x:v>
      </x:c>
    </x:row>
    <x:row r="2333" ht="46" customHeight="1">
      <x:c r="A2333" s="17" t="str">
        <x:v>stage3src:dcda4f1d897b5c54a44c</x:v>
      </x:c>
      <x:c r="B2333" s="17" t="str">
        <x:v>program</x:v>
      </x:c>
      <x:c r="C2333" s="17" t="str">
        <x:v>Prairie View A &amp; M University</x:v>
      </x:c>
      <x:c r="D2333" s="17" t="str">
        <x:v>us:ipeds:227526:program:unclear:ipeds-discovery-signal-electrical-and-electronics-engineering-cip-14-1001</x:v>
      </x:c>
      <x:c r="E2333" s="17" t="str"/>
      <x:c r="F2333" s="17" t="str">
        <x:v>discovery</x:v>
      </x:c>
      <x:c r="G2333" s="17" t="str">
        <x:v>Stage 2 recorded this row as a discovery candidate; it does not independently verify an exact current research program, eligibility, or funding.</x:v>
      </x:c>
      <x:c r="H2333" s="17" t="str">
        <x:v>Pass 2 Stage 2 candidate funnel</x:v>
      </x:c>
      <x:c r="I2333" s="17" t="str">
        <x:v>Graduate audit pipeline</x:v>
      </x:c>
      <x:c r="J2333" s="17" t="str">
        <x:v>derived</x:v>
      </x:c>
      <x:c r="K2333" s="17" t="str">
        <x:v>2026-09-11</x:v>
      </x:c>
      <x:c r="L2333" s="17" t="str">
        <x:v>Not cycle-specific</x:v>
      </x:c>
      <x:c r="M2333" s="17" t="str">
        <x:v>low</x:v>
      </x:c>
      <x:c r="N2333" s="17" t="str">
        <x:v>Discovery evidence only</x:v>
      </x:c>
      <x:c r="O2333" s="17" t="str">
        <x:v>Use the source_record_paths field to trace the underlying discovery inputs.</x:v>
      </x:c>
      <x:c r="P2333" s="18" t="e">
        <x:f>HYPERLINK("https://www.pvamu.edu","Open source")</x:f>
        <x:v>HYPERLINK is not implemented. linkLocation=https://www.pvamu.edu, friendlyName=Open source</x:v>
      </x:c>
    </x:row>
    <x:row r="2334" ht="46" customHeight="1">
      <x:c r="A2334" s="17" t="str">
        <x:v>stage3src:8dfaaa3211d9ea0d3fa8</x:v>
      </x:c>
      <x:c r="B2334" s="17" t="str">
        <x:v>program</x:v>
      </x:c>
      <x:c r="C2334" s="17" t="str">
        <x:v>Prairie View A &amp; M University</x:v>
      </x:c>
      <x:c r="D2334" s="17" t="str">
        <x:v>us:ipeds:227526:program:unclear:ipeds-discovery-signal-information-science-studies-cip-11-0401</x:v>
      </x:c>
      <x:c r="E2334" s="17" t="str"/>
      <x:c r="F2334" s="17" t="str">
        <x:v>discovery</x:v>
      </x:c>
      <x:c r="G2334" s="17" t="str">
        <x:v>Stage 2 recorded this row as a discovery candidate; it does not independently verify an exact current research program, eligibility, or funding.</x:v>
      </x:c>
      <x:c r="H2334" s="17" t="str">
        <x:v>Pass 2 Stage 2 candidate funnel</x:v>
      </x:c>
      <x:c r="I2334" s="17" t="str">
        <x:v>Graduate audit pipeline</x:v>
      </x:c>
      <x:c r="J2334" s="17" t="str">
        <x:v>derived</x:v>
      </x:c>
      <x:c r="K2334" s="17" t="str">
        <x:v>2026-09-11</x:v>
      </x:c>
      <x:c r="L2334" s="17" t="str">
        <x:v>Not cycle-specific</x:v>
      </x:c>
      <x:c r="M2334" s="17" t="str">
        <x:v>low</x:v>
      </x:c>
      <x:c r="N2334" s="17" t="str">
        <x:v>Discovery evidence only</x:v>
      </x:c>
      <x:c r="O2334" s="17" t="str">
        <x:v>Use the source_record_paths field to trace the underlying discovery inputs.</x:v>
      </x:c>
      <x:c r="P2334" s="18" t="e">
        <x:f>HYPERLINK("https://www.pvamu.edu","Open source")</x:f>
        <x:v>HYPERLINK is not implemented. linkLocation=https://www.pvamu.edu, friendlyName=Open source</x:v>
      </x:c>
    </x:row>
    <x:row r="2335" ht="46" customHeight="1">
      <x:c r="A2335" s="17" t="str">
        <x:v>stage3src:253ba94aaaef91f9cac9</x:v>
      </x:c>
      <x:c r="B2335" s="17" t="str">
        <x:v>program</x:v>
      </x:c>
      <x:c r="C2335" s="17" t="str">
        <x:v>Rice University</x:v>
      </x:c>
      <x:c r="D2335" s="17" t="str">
        <x:v>us:ipeds:227757:program:phd:ph-d-in-computer-science</x:v>
      </x:c>
      <x:c r="E2335" s="17" t="str"/>
      <x:c r="F2335" s="17" t="str">
        <x:v>program|research</x:v>
      </x:c>
      <x:c r="G2335" s="17" t="str">
        <x:v>Current Computer Science PhD, normal duration, original thesis research, and oral defense.</x:v>
      </x:c>
      <x:c r="H2335" s="17" t="str">
        <x:v>PhD Program</x:v>
      </x:c>
      <x:c r="I2335" s="17" t="str">
        <x:v>Rice University Computer Science</x:v>
      </x:c>
      <x:c r="J2335" s="17" t="str">
        <x:v>official</x:v>
      </x:c>
      <x:c r="K2335" s="17" t="str">
        <x:v>2026-09-10</x:v>
      </x:c>
      <x:c r="L2335" s="17" t="str">
        <x:v>Current page checked 2026-09-10</x:v>
      </x:c>
      <x:c r="M2335" s="17" t="str">
        <x:v>high</x:v>
      </x:c>
      <x:c r="N2335" s="17" t="str">
        <x:v>official page checked</x:v>
      </x:c>
      <x:c r="O2335" s="17" t="str"/>
      <x:c r="P2335" s="18" t="e">
        <x:f>HYPERLINK("https://compsci.rice.edu/academics/graduate-programs/phd-program","Open source")</x:f>
        <x:v>HYPERLINK is not implemented. linkLocation=https://compsci.rice.edu/academics/graduate-programs/phd-program, friendlyName=Open source</x:v>
      </x:c>
    </x:row>
    <x:row r="2336" ht="46" customHeight="1">
      <x:c r="A2336" s="17" t="str">
        <x:v>stage3src:3c717b99048b0512d2bc</x:v>
      </x:c>
      <x:c r="B2336" s="17" t="str">
        <x:v>program</x:v>
      </x:c>
      <x:c r="C2336" s="17" t="str">
        <x:v>Rice University</x:v>
      </x:c>
      <x:c r="D2336" s="17" t="str">
        <x:v>us:ipeds:227757:program:phd:ph-d-in-computer-science</x:v>
      </x:c>
      <x:c r="E2336" s="17" t="str"/>
      <x:c r="F2336" s="17" t="str">
        <x:v>admissions|eligibility|funding|tuition</x:v>
      </x:c>
      <x:c r="G2336" s="17" t="str">
        <x:v>Related-discipline application route and full PhD support through fellowships or research assistantships, including monthly stipend and tuition.</x:v>
      </x:c>
      <x:c r="H2336" s="17" t="str">
        <x:v>Graduate Admission</x:v>
      </x:c>
      <x:c r="I2336" s="17" t="str">
        <x:v>Rice University Computer Science</x:v>
      </x:c>
      <x:c r="J2336" s="17" t="str">
        <x:v>official</x:v>
      </x:c>
      <x:c r="K2336" s="17" t="str">
        <x:v>2026-09-10</x:v>
      </x:c>
      <x:c r="L2336" s="17" t="str">
        <x:v>Current guidance checked 2026-09-10</x:v>
      </x:c>
      <x:c r="M2336" s="17" t="str">
        <x:v>high</x:v>
      </x:c>
      <x:c r="N2336" s="17" t="str">
        <x:v>official page checked</x:v>
      </x:c>
      <x:c r="O2336" s="17" t="str"/>
      <x:c r="P2336" s="18" t="e">
        <x:f>HYPERLINK("https://compsci.rice.edu/academics/graduate-programs/graduate-admission","Open source")</x:f>
        <x:v>HYPERLINK is not implemented. linkLocation=https://compsci.rice.edu/academics/graduate-programs/graduate-admission, friendlyName=Open source</x:v>
      </x:c>
    </x:row>
    <x:row r="2337" ht="46" customHeight="1">
      <x:c r="A2337" s="17" t="str">
        <x:v>stage3src:a81353387df86cdcb560</x:v>
      </x:c>
      <x:c r="B2337" s="17" t="str">
        <x:v>program</x:v>
      </x:c>
      <x:c r="C2337" s="17" t="str">
        <x:v>Rice University</x:v>
      </x:c>
      <x:c r="D2337" s="17" t="str">
        <x:v>us:ipeds:227757:program:phd:ph-d-in-computer-science</x:v>
      </x:c>
      <x:c r="E2337" s="17" t="str"/>
      <x:c r="F2337" s="17" t="str">
        <x:v>admissions|eligibility|language|deadline|fees</x:v>
      </x:c>
      <x:c r="G2337" s="17" t="str">
        <x:v>Explicit January 1 Fall 2027 PhD deadline, no PhD application fee, English thresholds and degree-based routes, and application materials.</x:v>
      </x:c>
      <x:c r="H2337" s="17" t="str">
        <x:v>Graduate Program Application</x:v>
      </x:c>
      <x:c r="I2337" s="17" t="str">
        <x:v>Rice University Computer Science</x:v>
      </x:c>
      <x:c r="J2337" s="17" t="str">
        <x:v>official</x:v>
      </x:c>
      <x:c r="K2337" s="17" t="str">
        <x:v>2026-09-10</x:v>
      </x:c>
      <x:c r="L2337" s="17" t="str">
        <x:v>Fall 2027</x:v>
      </x:c>
      <x:c r="M2337" s="17" t="str">
        <x:v>high</x:v>
      </x:c>
      <x:c r="N2337" s="17" t="str">
        <x:v>official page checked</x:v>
      </x:c>
      <x:c r="O2337" s="17" t="str"/>
      <x:c r="P2337" s="18" t="e">
        <x:f>HYPERLINK("https://csweb.rice.edu/academics/graduate-programs/admission/graduate-program-application","Open source")</x:f>
        <x:v>HYPERLINK is not implemented. linkLocation=https://csweb.rice.edu/academics/graduate-programs/admission/graduate-program-application, friendlyName=Open source</x:v>
      </x:c>
    </x:row>
    <x:row r="2338" ht="46" customHeight="1">
      <x:c r="A2338" s="17" t="str">
        <x:v>stage3src:d1a53872b4985610f106</x:v>
      </x:c>
      <x:c r="B2338" s="17" t="str">
        <x:v>program</x:v>
      </x:c>
      <x:c r="C2338" s="17" t="str">
        <x:v>Rice University</x:v>
      </x:c>
      <x:c r="D2338" s="17" t="str">
        <x:v>us:ipeds:227757:program:unclear:ipeds-discovery-signal-computer-and-information-sciences-general-cip-11-0101</x:v>
      </x:c>
      <x:c r="E2338" s="17" t="str"/>
      <x:c r="F2338" s="17" t="str">
        <x:v>discovery</x:v>
      </x:c>
      <x:c r="G2338" s="17" t="str">
        <x:v>Stage 2 recorded this row as a discovery candidate; it does not independently verify an exact current research program, eligibility, or funding.</x:v>
      </x:c>
      <x:c r="H2338" s="17" t="str">
        <x:v>Pass 2 Stage 2 candidate funnel</x:v>
      </x:c>
      <x:c r="I2338" s="17" t="str">
        <x:v>Graduate audit pipeline</x:v>
      </x:c>
      <x:c r="J2338" s="17" t="str">
        <x:v>derived</x:v>
      </x:c>
      <x:c r="K2338" s="17" t="str">
        <x:v>2026-09-11</x:v>
      </x:c>
      <x:c r="L2338" s="17" t="str">
        <x:v>Not cycle-specific</x:v>
      </x:c>
      <x:c r="M2338" s="17" t="str">
        <x:v>low</x:v>
      </x:c>
      <x:c r="N2338" s="17" t="str">
        <x:v>Discovery evidence only</x:v>
      </x:c>
      <x:c r="O2338" s="17" t="str">
        <x:v>Use the source_record_paths field to trace the underlying discovery inputs.</x:v>
      </x:c>
      <x:c r="P2338" s="18" t="e">
        <x:f>HYPERLINK("https://www.rice.edu","Open source")</x:f>
        <x:v>HYPERLINK is not implemented. linkLocation=https://www.rice.edu, friendlyName=Open source</x:v>
      </x:c>
    </x:row>
    <x:row r="2339" ht="46" customHeight="1">
      <x:c r="A2339" s="17" t="str">
        <x:v>stage3src:b8f5822f58d6209de38b</x:v>
      </x:c>
      <x:c r="B2339" s="17" t="str">
        <x:v>program</x:v>
      </x:c>
      <x:c r="C2339" s="17" t="str">
        <x:v>Rice University</x:v>
      </x:c>
      <x:c r="D2339" s="17" t="str">
        <x:v>us:ipeds:227757:program:unclear:ipeds-discovery-signal-data-science-general-cip-30-7001</x:v>
      </x:c>
      <x:c r="E2339" s="17" t="str"/>
      <x:c r="F2339" s="17" t="str">
        <x:v>discovery</x:v>
      </x:c>
      <x:c r="G2339" s="17" t="str">
        <x:v>Stage 2 recorded this row as a discovery candidate; it does not independently verify an exact current research program, eligibility, or funding.</x:v>
      </x:c>
      <x:c r="H2339" s="17" t="str">
        <x:v>Pass 2 Stage 2 candidate funnel</x:v>
      </x:c>
      <x:c r="I2339" s="17" t="str">
        <x:v>Graduate audit pipeline</x:v>
      </x:c>
      <x:c r="J2339" s="17" t="str">
        <x:v>derived</x:v>
      </x:c>
      <x:c r="K2339" s="17" t="str">
        <x:v>2026-09-11</x:v>
      </x:c>
      <x:c r="L2339" s="17" t="str">
        <x:v>Not cycle-specific</x:v>
      </x:c>
      <x:c r="M2339" s="17" t="str">
        <x:v>low</x:v>
      </x:c>
      <x:c r="N2339" s="17" t="str">
        <x:v>Discovery evidence only</x:v>
      </x:c>
      <x:c r="O2339" s="17" t="str">
        <x:v>Use the source_record_paths field to trace the underlying discovery inputs.</x:v>
      </x:c>
      <x:c r="P2339" s="18" t="e">
        <x:f>HYPERLINK("https://www.rice.edu","Open source")</x:f>
        <x:v>HYPERLINK is not implemented. linkLocation=https://www.rice.edu, friendlyName=Open source</x:v>
      </x:c>
    </x:row>
    <x:row r="2340" ht="46" customHeight="1">
      <x:c r="A2340" s="17" t="str">
        <x:v>stage3src:55054709f40dc4ef31b2</x:v>
      </x:c>
      <x:c r="B2340" s="17" t="str">
        <x:v>program</x:v>
      </x:c>
      <x:c r="C2340" s="17" t="str">
        <x:v>Rice University</x:v>
      </x:c>
      <x:c r="D2340" s="17" t="str">
        <x:v>us:ipeds:227757:program:unclear:ipeds-discovery-signal-electrical-and-electronics-engineering-cip-14-1001</x:v>
      </x:c>
      <x:c r="E2340" s="17" t="str"/>
      <x:c r="F2340" s="17" t="str">
        <x:v>discovery</x:v>
      </x:c>
      <x:c r="G2340" s="17" t="str">
        <x:v>Stage 2 recorded this row as a discovery candidate; it does not independently verify an exact current research program, eligibility, or funding.</x:v>
      </x:c>
      <x:c r="H2340" s="17" t="str">
        <x:v>Pass 2 Stage 2 candidate funnel</x:v>
      </x:c>
      <x:c r="I2340" s="17" t="str">
        <x:v>Graduate audit pipeline</x:v>
      </x:c>
      <x:c r="J2340" s="17" t="str">
        <x:v>derived</x:v>
      </x:c>
      <x:c r="K2340" s="17" t="str">
        <x:v>2026-09-11</x:v>
      </x:c>
      <x:c r="L2340" s="17" t="str">
        <x:v>Not cycle-specific</x:v>
      </x:c>
      <x:c r="M2340" s="17" t="str">
        <x:v>low</x:v>
      </x:c>
      <x:c r="N2340" s="17" t="str">
        <x:v>Discovery evidence only</x:v>
      </x:c>
      <x:c r="O2340" s="17" t="str">
        <x:v>Use the source_record_paths field to trace the underlying discovery inputs.</x:v>
      </x:c>
      <x:c r="P2340" s="18" t="e">
        <x:f>HYPERLINK("https://www.rice.edu","Open source")</x:f>
        <x:v>HYPERLINK is not implemented. linkLocation=https://www.rice.edu, friendlyName=Open source</x:v>
      </x:c>
    </x:row>
    <x:row r="2341" ht="46" customHeight="1">
      <x:c r="A2341" s="17" t="str">
        <x:v>stage3src:aeaca55806f88635d17f</x:v>
      </x:c>
      <x:c r="B2341" s="17" t="str">
        <x:v>program</x:v>
      </x:c>
      <x:c r="C2341" s="17" t="str">
        <x:v>Sam Houston State University</x:v>
      </x:c>
      <x:c r="D2341" s="17" t="str">
        <x:v>us:ipeds:227881:program:unclear:ipeds-discovery-signal-computer-and-information-sciences-general-cip-11-0101</x:v>
      </x:c>
      <x:c r="E2341" s="17" t="str"/>
      <x:c r="F2341" s="17" t="str">
        <x:v>discovery</x:v>
      </x:c>
      <x:c r="G2341" s="17" t="str">
        <x:v>Stage 2 recorded this row as a discovery candidate; it does not independently verify an exact current research program, eligibility, or funding.</x:v>
      </x:c>
      <x:c r="H2341" s="17" t="str">
        <x:v>Pass 2 Stage 2 candidate funnel</x:v>
      </x:c>
      <x:c r="I2341" s="17" t="str">
        <x:v>Graduate audit pipeline</x:v>
      </x:c>
      <x:c r="J2341" s="17" t="str">
        <x:v>derived</x:v>
      </x:c>
      <x:c r="K2341" s="17" t="str">
        <x:v>2026-09-11</x:v>
      </x:c>
      <x:c r="L2341" s="17" t="str">
        <x:v>Not cycle-specific</x:v>
      </x:c>
      <x:c r="M2341" s="17" t="str">
        <x:v>low</x:v>
      </x:c>
      <x:c r="N2341" s="17" t="str">
        <x:v>Discovery evidence only</x:v>
      </x:c>
      <x:c r="O2341" s="17" t="str">
        <x:v>Use the source_record_paths field to trace the underlying discovery inputs.</x:v>
      </x:c>
      <x:c r="P2341" s="18" t="e">
        <x:f>HYPERLINK("https://www.shsu.edu","Open source")</x:f>
        <x:v>HYPERLINK is not implemented. linkLocation=https://www.shsu.edu, friendlyName=Open source</x:v>
      </x:c>
    </x:row>
    <x:row r="2342" ht="46" customHeight="1">
      <x:c r="A2342" s="17" t="str">
        <x:v>stage3src:aa8789c34fbe10a45dc2</x:v>
      </x:c>
      <x:c r="B2342" s="17" t="str">
        <x:v>program</x:v>
      </x:c>
      <x:c r="C2342" s="17" t="str">
        <x:v>Sam Houston State University</x:v>
      </x:c>
      <x:c r="D2342" s="17" t="str">
        <x:v>us:ipeds:227881:program:unclear:ipeds-discovery-signal-computer-and-information-systems-security-auditing-information-assurance-cip-11-1003</x:v>
      </x:c>
      <x:c r="E2342" s="17" t="str"/>
      <x:c r="F2342" s="17" t="str">
        <x:v>discovery</x:v>
      </x:c>
      <x:c r="G2342" s="17" t="str">
        <x:v>Stage 2 recorded this row as a discovery candidate; it does not independently verify an exact current research program, eligibility, or funding.</x:v>
      </x:c>
      <x:c r="H2342" s="17" t="str">
        <x:v>Pass 2 Stage 2 candidate funnel</x:v>
      </x:c>
      <x:c r="I2342" s="17" t="str">
        <x:v>Graduate audit pipeline</x:v>
      </x:c>
      <x:c r="J2342" s="17" t="str">
        <x:v>derived</x:v>
      </x:c>
      <x:c r="K2342" s="17" t="str">
        <x:v>2026-09-11</x:v>
      </x:c>
      <x:c r="L2342" s="17" t="str">
        <x:v>Not cycle-specific</x:v>
      </x:c>
      <x:c r="M2342" s="17" t="str">
        <x:v>low</x:v>
      </x:c>
      <x:c r="N2342" s="17" t="str">
        <x:v>Discovery evidence only</x:v>
      </x:c>
      <x:c r="O2342" s="17" t="str">
        <x:v>Use the source_record_paths field to trace the underlying discovery inputs.</x:v>
      </x:c>
      <x:c r="P2342" s="18" t="e">
        <x:f>HYPERLINK("https://www.shsu.edu","Open source")</x:f>
        <x:v>HYPERLINK is not implemented. linkLocation=https://www.shsu.edu, friendlyName=Open source</x:v>
      </x:c>
    </x:row>
    <x:row r="2343" ht="46" customHeight="1">
      <x:c r="A2343" s="17" t="str">
        <x:v>stage3src:5934793dbee7c166c519</x:v>
      </x:c>
      <x:c r="B2343" s="17" t="str">
        <x:v>program</x:v>
      </x:c>
      <x:c r="C2343" s="17" t="str">
        <x:v>St. Mary's University</x:v>
      </x:c>
      <x:c r="D2343" s="17" t="str">
        <x:v>us:ipeds:228149:program:unclear:ipeds-discovery-signal-computer-and-information-sciences-general-cip-11-0101</x:v>
      </x:c>
      <x:c r="E2343" s="17" t="str"/>
      <x:c r="F2343" s="17" t="str">
        <x:v>discovery</x:v>
      </x:c>
      <x:c r="G2343" s="17" t="str">
        <x:v>Stage 2 recorded this row as a discovery candidate; it does not independently verify an exact current research program, eligibility, or funding.</x:v>
      </x:c>
      <x:c r="H2343" s="17" t="str">
        <x:v>Pass 2 Stage 2 candidate funnel</x:v>
      </x:c>
      <x:c r="I2343" s="17" t="str">
        <x:v>Graduate audit pipeline</x:v>
      </x:c>
      <x:c r="J2343" s="17" t="str">
        <x:v>derived</x:v>
      </x:c>
      <x:c r="K2343" s="17" t="str">
        <x:v>2026-09-11</x:v>
      </x:c>
      <x:c r="L2343" s="17" t="str">
        <x:v>Not cycle-specific</x:v>
      </x:c>
      <x:c r="M2343" s="17" t="str">
        <x:v>low</x:v>
      </x:c>
      <x:c r="N2343" s="17" t="str">
        <x:v>Discovery evidence only</x:v>
      </x:c>
      <x:c r="O2343" s="17" t="str">
        <x:v>Use the source_record_paths field to trace the underlying discovery inputs.</x:v>
      </x:c>
      <x:c r="P2343" s="18" t="e">
        <x:f>HYPERLINK("https://www.stmarytx.edu","Open source")</x:f>
        <x:v>HYPERLINK is not implemented. linkLocation=https://www.stmarytx.edu, friendlyName=Open source</x:v>
      </x:c>
    </x:row>
    <x:row r="2344" ht="46" customHeight="1">
      <x:c r="A2344" s="17" t="str">
        <x:v>stage3src:49a48ac488352ffa93c1</x:v>
      </x:c>
      <x:c r="B2344" s="17" t="str">
        <x:v>program</x:v>
      </x:c>
      <x:c r="C2344" s="17" t="str">
        <x:v>St. Mary's University</x:v>
      </x:c>
      <x:c r="D2344" s="17" t="str">
        <x:v>us:ipeds:228149:program:unclear:ipeds-discovery-signal-computer-and-information-systems-security-auditing-information-assurance-cip-11-1003</x:v>
      </x:c>
      <x:c r="E2344" s="17" t="str"/>
      <x:c r="F2344" s="17" t="str">
        <x:v>discovery</x:v>
      </x:c>
      <x:c r="G2344" s="17" t="str">
        <x:v>Stage 2 recorded this row as a discovery candidate; it does not independently verify an exact current research program, eligibility, or funding.</x:v>
      </x:c>
      <x:c r="H2344" s="17" t="str">
        <x:v>Pass 2 Stage 2 candidate funnel</x:v>
      </x:c>
      <x:c r="I2344" s="17" t="str">
        <x:v>Graduate audit pipeline</x:v>
      </x:c>
      <x:c r="J2344" s="17" t="str">
        <x:v>derived</x:v>
      </x:c>
      <x:c r="K2344" s="17" t="str">
        <x:v>2026-09-11</x:v>
      </x:c>
      <x:c r="L2344" s="17" t="str">
        <x:v>Not cycle-specific</x:v>
      </x:c>
      <x:c r="M2344" s="17" t="str">
        <x:v>low</x:v>
      </x:c>
      <x:c r="N2344" s="17" t="str">
        <x:v>Discovery evidence only</x:v>
      </x:c>
      <x:c r="O2344" s="17" t="str">
        <x:v>Use the source_record_paths field to trace the underlying discovery inputs.</x:v>
      </x:c>
      <x:c r="P2344" s="18" t="e">
        <x:f>HYPERLINK("https://www.stmarytx.edu","Open source")</x:f>
        <x:v>HYPERLINK is not implemented. linkLocation=https://www.stmarytx.edu, friendlyName=Open source</x:v>
      </x:c>
    </x:row>
    <x:row r="2345" ht="46" customHeight="1">
      <x:c r="A2345" s="17" t="str">
        <x:v>stage3src:7532e569cffff8a8c0e9</x:v>
      </x:c>
      <x:c r="B2345" s="17" t="str">
        <x:v>program</x:v>
      </x:c>
      <x:c r="C2345" s="17" t="str">
        <x:v>St. Mary's University</x:v>
      </x:c>
      <x:c r="D2345" s="17" t="str">
        <x:v>us:ipeds:228149:program:unclear:ipeds-discovery-signal-computer-engineering-general-cip-14-0901</x:v>
      </x:c>
      <x:c r="E2345" s="17" t="str"/>
      <x:c r="F2345" s="17" t="str">
        <x:v>discovery</x:v>
      </x:c>
      <x:c r="G2345" s="17" t="str">
        <x:v>Stage 2 recorded this row as a discovery candidate; it does not independently verify an exact current research program, eligibility, or funding.</x:v>
      </x:c>
      <x:c r="H2345" s="17" t="str">
        <x:v>Pass 2 Stage 2 candidate funnel</x:v>
      </x:c>
      <x:c r="I2345" s="17" t="str">
        <x:v>Graduate audit pipeline</x:v>
      </x:c>
      <x:c r="J2345" s="17" t="str">
        <x:v>derived</x:v>
      </x:c>
      <x:c r="K2345" s="17" t="str">
        <x:v>2026-09-11</x:v>
      </x:c>
      <x:c r="L2345" s="17" t="str">
        <x:v>Not cycle-specific</x:v>
      </x:c>
      <x:c r="M2345" s="17" t="str">
        <x:v>low</x:v>
      </x:c>
      <x:c r="N2345" s="17" t="str">
        <x:v>Discovery evidence only</x:v>
      </x:c>
      <x:c r="O2345" s="17" t="str">
        <x:v>Use the source_record_paths field to trace the underlying discovery inputs.</x:v>
      </x:c>
      <x:c r="P2345" s="18" t="e">
        <x:f>HYPERLINK("https://www.stmarytx.edu","Open source")</x:f>
        <x:v>HYPERLINK is not implemented. linkLocation=https://www.stmarytx.edu, friendlyName=Open source</x:v>
      </x:c>
    </x:row>
    <x:row r="2346" ht="46" customHeight="1">
      <x:c r="A2346" s="17" t="str">
        <x:v>stage3src:ef62b2e947b1fcaf64d0</x:v>
      </x:c>
      <x:c r="B2346" s="17" t="str">
        <x:v>program</x:v>
      </x:c>
      <x:c r="C2346" s="17" t="str">
        <x:v>St. Mary's University</x:v>
      </x:c>
      <x:c r="D2346" s="17" t="str">
        <x:v>us:ipeds:228149:program:unclear:ipeds-discovery-signal-computer-science-cip-11-0701</x:v>
      </x:c>
      <x:c r="E2346" s="17" t="str"/>
      <x:c r="F2346" s="17" t="str">
        <x:v>discovery</x:v>
      </x:c>
      <x:c r="G2346" s="17" t="str">
        <x:v>Stage 2 recorded this row as a discovery candidate; it does not independently verify an exact current research program, eligibility, or funding.</x:v>
      </x:c>
      <x:c r="H2346" s="17" t="str">
        <x:v>Pass 2 Stage 2 candidate funnel</x:v>
      </x:c>
      <x:c r="I2346" s="17" t="str">
        <x:v>Graduate audit pipeline</x:v>
      </x:c>
      <x:c r="J2346" s="17" t="str">
        <x:v>derived</x:v>
      </x:c>
      <x:c r="K2346" s="17" t="str">
        <x:v>2026-09-11</x:v>
      </x:c>
      <x:c r="L2346" s="17" t="str">
        <x:v>Not cycle-specific</x:v>
      </x:c>
      <x:c r="M2346" s="17" t="str">
        <x:v>low</x:v>
      </x:c>
      <x:c r="N2346" s="17" t="str">
        <x:v>Discovery evidence only</x:v>
      </x:c>
      <x:c r="O2346" s="17" t="str">
        <x:v>Use the source_record_paths field to trace the underlying discovery inputs.</x:v>
      </x:c>
      <x:c r="P2346" s="18" t="e">
        <x:f>HYPERLINK("https://www.stmarytx.edu","Open source")</x:f>
        <x:v>HYPERLINK is not implemented. linkLocation=https://www.stmarytx.edu, friendlyName=Open source</x:v>
      </x:c>
    </x:row>
    <x:row r="2347" ht="46" customHeight="1">
      <x:c r="A2347" s="17" t="str">
        <x:v>stage3src:25100a77979fbc07e846</x:v>
      </x:c>
      <x:c r="B2347" s="17" t="str">
        <x:v>program</x:v>
      </x:c>
      <x:c r="C2347" s="17" t="str">
        <x:v>St. Mary's University</x:v>
      </x:c>
      <x:c r="D2347" s="17" t="str">
        <x:v>us:ipeds:228149:program:unclear:ipeds-discovery-signal-computer-software-engineering-cip-14-0903</x:v>
      </x:c>
      <x:c r="E2347" s="17" t="str"/>
      <x:c r="F2347" s="17" t="str">
        <x:v>discovery</x:v>
      </x:c>
      <x:c r="G2347" s="17" t="str">
        <x:v>Stage 2 recorded this row as a discovery candidate; it does not independently verify an exact current research program, eligibility, or funding.</x:v>
      </x:c>
      <x:c r="H2347" s="17" t="str">
        <x:v>Pass 2 Stage 2 candidate funnel</x:v>
      </x:c>
      <x:c r="I2347" s="17" t="str">
        <x:v>Graduate audit pipeline</x:v>
      </x:c>
      <x:c r="J2347" s="17" t="str">
        <x:v>derived</x:v>
      </x:c>
      <x:c r="K2347" s="17" t="str">
        <x:v>2026-09-11</x:v>
      </x:c>
      <x:c r="L2347" s="17" t="str">
        <x:v>Not cycle-specific</x:v>
      </x:c>
      <x:c r="M2347" s="17" t="str">
        <x:v>low</x:v>
      </x:c>
      <x:c r="N2347" s="17" t="str">
        <x:v>Discovery evidence only</x:v>
      </x:c>
      <x:c r="O2347" s="17" t="str">
        <x:v>Use the source_record_paths field to trace the underlying discovery inputs.</x:v>
      </x:c>
      <x:c r="P2347" s="18" t="e">
        <x:f>HYPERLINK("https://www.stmarytx.edu","Open source")</x:f>
        <x:v>HYPERLINK is not implemented. linkLocation=https://www.stmarytx.edu, friendlyName=Open source</x:v>
      </x:c>
    </x:row>
    <x:row r="2348" ht="46" customHeight="1">
      <x:c r="A2348" s="17" t="str">
        <x:v>stage3src:28a01b0ebb2f542184ad</x:v>
      </x:c>
      <x:c r="B2348" s="17" t="str">
        <x:v>program</x:v>
      </x:c>
      <x:c r="C2348" s="17" t="str">
        <x:v>St. Mary's University</x:v>
      </x:c>
      <x:c r="D2348" s="17" t="str">
        <x:v>us:ipeds:228149:program:unclear:ipeds-discovery-signal-electrical-and-electronics-engineering-cip-14-1001</x:v>
      </x:c>
      <x:c r="E2348" s="17" t="str"/>
      <x:c r="F2348" s="17" t="str">
        <x:v>discovery</x:v>
      </x:c>
      <x:c r="G2348" s="17" t="str">
        <x:v>Stage 2 recorded this row as a discovery candidate; it does not independently verify an exact current research program, eligibility, or funding.</x:v>
      </x:c>
      <x:c r="H2348" s="17" t="str">
        <x:v>Pass 2 Stage 2 candidate funnel</x:v>
      </x:c>
      <x:c r="I2348" s="17" t="str">
        <x:v>Graduate audit pipeline</x:v>
      </x:c>
      <x:c r="J2348" s="17" t="str">
        <x:v>derived</x:v>
      </x:c>
      <x:c r="K2348" s="17" t="str">
        <x:v>2026-09-11</x:v>
      </x:c>
      <x:c r="L2348" s="17" t="str">
        <x:v>Not cycle-specific</x:v>
      </x:c>
      <x:c r="M2348" s="17" t="str">
        <x:v>low</x:v>
      </x:c>
      <x:c r="N2348" s="17" t="str">
        <x:v>Discovery evidence only</x:v>
      </x:c>
      <x:c r="O2348" s="17" t="str">
        <x:v>Use the source_record_paths field to trace the underlying discovery inputs.</x:v>
      </x:c>
      <x:c r="P2348" s="18" t="e">
        <x:f>HYPERLINK("https://www.stmarytx.edu","Open source")</x:f>
        <x:v>HYPERLINK is not implemented. linkLocation=https://www.stmarytx.edu, friendlyName=Open source</x:v>
      </x:c>
    </x:row>
    <x:row r="2349" ht="46" customHeight="1">
      <x:c r="A2349" s="17" t="str">
        <x:v>stage3src:4924d5756b42e348a1f4</x:v>
      </x:c>
      <x:c r="B2349" s="17" t="str">
        <x:v>program</x:v>
      </x:c>
      <x:c r="C2349" s="17" t="str">
        <x:v>Southern Methodist University</x:v>
      </x:c>
      <x:c r="D2349" s="17" t="str">
        <x:v>us:ipeds:228246:program:phd:ph-d-in-computer-science</x:v>
      </x:c>
      <x:c r="E2349" s="17" t="str"/>
      <x:c r="F2349" s="17" t="str">
        <x:v>program|research|admissions|eligibility</x:v>
      </x:c>
      <x:c r="G2349" s="17" t="str">
        <x:v>Current Computer Science PhD, qualifying examination, proposal, and dissertation structure.</x:v>
      </x:c>
      <x:c r="H2349" s="17" t="str">
        <x:v>Computer Science Doctoral Programs</x:v>
      </x:c>
      <x:c r="I2349" s="17" t="str">
        <x:v>Southern Methodist University</x:v>
      </x:c>
      <x:c r="J2349" s="17" t="str">
        <x:v>official</x:v>
      </x:c>
      <x:c r="K2349" s="17" t="str">
        <x:v>2026-09-11</x:v>
      </x:c>
      <x:c r="L2349" s="17" t="str">
        <x:v>Current page checked 2026-09-11</x:v>
      </x:c>
      <x:c r="M2349" s="17" t="str">
        <x:v>high</x:v>
      </x:c>
      <x:c r="N2349" s="17" t="str">
        <x:v>official page checked</x:v>
      </x:c>
      <x:c r="O2349" s="17" t="str"/>
      <x:c r="P2349" s="18" t="e">
        <x:f>HYPERLINK("https://www.smu.edu/lyle/departments/cs/doctoral-programs","Open source")</x:f>
        <x:v>HYPERLINK is not implemented. linkLocation=https://www.smu.edu/lyle/departments/cs/doctoral-programs, friendlyName=Open source</x:v>
      </x:c>
    </x:row>
    <x:row r="2350" ht="46" customHeight="1">
      <x:c r="A2350" s="17" t="str">
        <x:v>stage3src:c7245c4c663193fbe814</x:v>
      </x:c>
      <x:c r="B2350" s="17" t="str">
        <x:v>program</x:v>
      </x:c>
      <x:c r="C2350" s="17" t="str">
        <x:v>Southern Methodist University</x:v>
      </x:c>
      <x:c r="D2350" s="17" t="str">
        <x:v>us:ipeds:228246:program:phd:ph-d-in-computer-science</x:v>
      </x:c>
      <x:c r="E2350" s="17" t="str"/>
      <x:c r="F2350" s="17" t="str">
        <x:v>funding|tuition|stipend|health|summer|admissions</x:v>
      </x:c>
      <x:c r="G2350" s="17" t="str">
        <x:v>Competitive tuition fellowships and department assistantships available to international doctoral applicants, with some named five-year support routes.</x:v>
      </x:c>
      <x:c r="H2350" s="17" t="str">
        <x:v>The International Applicant's Guide to a Ph.D.</x:v>
      </x:c>
      <x:c r="I2350" s="17" t="str">
        <x:v>Southern Methodist University</x:v>
      </x:c>
      <x:c r="J2350" s="17" t="str">
        <x:v>official</x:v>
      </x:c>
      <x:c r="K2350" s="17" t="str">
        <x:v>2026-09-11</x:v>
      </x:c>
      <x:c r="L2350" s="17" t="str">
        <x:v>Current guidance checked 2026-09-11</x:v>
      </x:c>
      <x:c r="M2350" s="17" t="str">
        <x:v>high</x:v>
      </x:c>
      <x:c r="N2350" s="17" t="str">
        <x:v>official page checked</x:v>
      </x:c>
      <x:c r="O2350" s="17" t="str"/>
      <x:c r="P2350" s="18" t="e">
        <x:f>HYPERLINK("https://grad.smu.edu/the-international-applicants-guide-to-a-phd","Open source")</x:f>
        <x:v>HYPERLINK is not implemented. linkLocation=https://grad.smu.edu/the-international-applicants-guide-to-a-phd, friendlyName=Open source</x:v>
      </x:c>
    </x:row>
    <x:row r="2351" ht="46" customHeight="1">
      <x:c r="A2351" s="17" t="str">
        <x:v>stage3src:51d6297f1ccd491f9328</x:v>
      </x:c>
      <x:c r="B2351" s="17" t="str">
        <x:v>program</x:v>
      </x:c>
      <x:c r="C2351" s="17" t="str">
        <x:v>Southern Methodist University</x:v>
      </x:c>
      <x:c r="D2351" s="17" t="str">
        <x:v>us:ipeds:228246:program:unclear:ipeds-discovery-signal-computer-and-information-systems-security-auditing-information-assurance-cip-11-1003</x:v>
      </x:c>
      <x:c r="E2351" s="17" t="str"/>
      <x:c r="F2351" s="17" t="str">
        <x:v>discovery</x:v>
      </x:c>
      <x:c r="G2351" s="17" t="str">
        <x:v>Stage 2 recorded this row as a discovery candidate; it does not independently verify an exact current research program, eligibility, or funding.</x:v>
      </x:c>
      <x:c r="H2351" s="17" t="str">
        <x:v>Pass 2 Stage 2 candidate funnel</x:v>
      </x:c>
      <x:c r="I2351" s="17" t="str">
        <x:v>Graduate audit pipeline</x:v>
      </x:c>
      <x:c r="J2351" s="17" t="str">
        <x:v>derived</x:v>
      </x:c>
      <x:c r="K2351" s="17" t="str">
        <x:v>2026-09-11</x:v>
      </x:c>
      <x:c r="L2351" s="17" t="str">
        <x:v>Not cycle-specific</x:v>
      </x:c>
      <x:c r="M2351" s="17" t="str">
        <x:v>low</x:v>
      </x:c>
      <x:c r="N2351" s="17" t="str">
        <x:v>Discovery evidence only</x:v>
      </x:c>
      <x:c r="O2351" s="17" t="str">
        <x:v>Use the source_record_paths field to trace the underlying discovery inputs.</x:v>
      </x:c>
      <x:c r="P2351" s="18" t="e">
        <x:f>HYPERLINK("https://www.smu.edu","Open source")</x:f>
        <x:v>HYPERLINK is not implemented. linkLocation=https://www.smu.edu, friendlyName=Open source</x:v>
      </x:c>
    </x:row>
    <x:row r="2352" ht="46" customHeight="1">
      <x:c r="A2352" s="17" t="str">
        <x:v>stage3src:8492594c5f9723b20f7c</x:v>
      </x:c>
      <x:c r="B2352" s="17" t="str">
        <x:v>program</x:v>
      </x:c>
      <x:c r="C2352" s="17" t="str">
        <x:v>Southern Methodist University</x:v>
      </x:c>
      <x:c r="D2352" s="17" t="str">
        <x:v>us:ipeds:228246:program:unclear:ipeds-discovery-signal-computer-engineering-general-cip-14-0901</x:v>
      </x:c>
      <x:c r="E2352" s="17" t="str"/>
      <x:c r="F2352" s="17" t="str">
        <x:v>discovery</x:v>
      </x:c>
      <x:c r="G2352" s="17" t="str">
        <x:v>Stage 2 recorded this row as a discovery candidate; it does not independently verify an exact current research program, eligibility, or funding.</x:v>
      </x:c>
      <x:c r="H2352" s="17" t="str">
        <x:v>Pass 2 Stage 2 candidate funnel</x:v>
      </x:c>
      <x:c r="I2352" s="17" t="str">
        <x:v>Graduate audit pipeline</x:v>
      </x:c>
      <x:c r="J2352" s="17" t="str">
        <x:v>derived</x:v>
      </x:c>
      <x:c r="K2352" s="17" t="str">
        <x:v>2026-09-11</x:v>
      </x:c>
      <x:c r="L2352" s="17" t="str">
        <x:v>Not cycle-specific</x:v>
      </x:c>
      <x:c r="M2352" s="17" t="str">
        <x:v>low</x:v>
      </x:c>
      <x:c r="N2352" s="17" t="str">
        <x:v>Discovery evidence only</x:v>
      </x:c>
      <x:c r="O2352" s="17" t="str">
        <x:v>Use the source_record_paths field to trace the underlying discovery inputs.</x:v>
      </x:c>
      <x:c r="P2352" s="18" t="e">
        <x:f>HYPERLINK("https://www.smu.edu","Open source")</x:f>
        <x:v>HYPERLINK is not implemented. linkLocation=https://www.smu.edu, friendlyName=Open source</x:v>
      </x:c>
    </x:row>
    <x:row r="2353" ht="46" customHeight="1">
      <x:c r="A2353" s="17" t="str">
        <x:v>stage3src:98776b83faca6fc9d1d4</x:v>
      </x:c>
      <x:c r="B2353" s="17" t="str">
        <x:v>program</x:v>
      </x:c>
      <x:c r="C2353" s="17" t="str">
        <x:v>Southern Methodist University</x:v>
      </x:c>
      <x:c r="D2353" s="17" t="str">
        <x:v>us:ipeds:228246:program:unclear:ipeds-discovery-signal-computer-engineering-other-cip-14-0999</x:v>
      </x:c>
      <x:c r="E2353" s="17" t="str"/>
      <x:c r="F2353" s="17" t="str">
        <x:v>discovery</x:v>
      </x:c>
      <x:c r="G2353" s="17" t="str">
        <x:v>Stage 2 recorded this row as a discovery candidate; it does not independently verify an exact current research program, eligibility, or funding.</x:v>
      </x:c>
      <x:c r="H2353" s="17" t="str">
        <x:v>Pass 2 Stage 2 candidate funnel</x:v>
      </x:c>
      <x:c r="I2353" s="17" t="str">
        <x:v>Graduate audit pipeline</x:v>
      </x:c>
      <x:c r="J2353" s="17" t="str">
        <x:v>derived</x:v>
      </x:c>
      <x:c r="K2353" s="17" t="str">
        <x:v>2026-09-11</x:v>
      </x:c>
      <x:c r="L2353" s="17" t="str">
        <x:v>Not cycle-specific</x:v>
      </x:c>
      <x:c r="M2353" s="17" t="str">
        <x:v>low</x:v>
      </x:c>
      <x:c r="N2353" s="17" t="str">
        <x:v>Discovery evidence only</x:v>
      </x:c>
      <x:c r="O2353" s="17" t="str">
        <x:v>Use the source_record_paths field to trace the underlying discovery inputs.</x:v>
      </x:c>
      <x:c r="P2353" s="18" t="e">
        <x:f>HYPERLINK("https://www.smu.edu","Open source")</x:f>
        <x:v>HYPERLINK is not implemented. linkLocation=https://www.smu.edu, friendlyName=Open source</x:v>
      </x:c>
    </x:row>
    <x:row r="2354" ht="46" customHeight="1">
      <x:c r="A2354" s="17" t="str">
        <x:v>stage3src:de9bc7c69d7675a095b1</x:v>
      </x:c>
      <x:c r="B2354" s="17" t="str">
        <x:v>program</x:v>
      </x:c>
      <x:c r="C2354" s="17" t="str">
        <x:v>Southern Methodist University</x:v>
      </x:c>
      <x:c r="D2354" s="17" t="str">
        <x:v>us:ipeds:228246:program:unclear:ipeds-discovery-signal-computer-science-cip-11-0701</x:v>
      </x:c>
      <x:c r="E2354" s="17" t="str"/>
      <x:c r="F2354" s="17" t="str">
        <x:v>discovery</x:v>
      </x:c>
      <x:c r="G2354" s="17" t="str">
        <x:v>Stage 2 recorded this row as a discovery candidate; it does not independently verify an exact current research program, eligibility, or funding.</x:v>
      </x:c>
      <x:c r="H2354" s="17" t="str">
        <x:v>Pass 2 Stage 2 candidate funnel</x:v>
      </x:c>
      <x:c r="I2354" s="17" t="str">
        <x:v>Graduate audit pipeline</x:v>
      </x:c>
      <x:c r="J2354" s="17" t="str">
        <x:v>derived</x:v>
      </x:c>
      <x:c r="K2354" s="17" t="str">
        <x:v>2026-09-11</x:v>
      </x:c>
      <x:c r="L2354" s="17" t="str">
        <x:v>Not cycle-specific</x:v>
      </x:c>
      <x:c r="M2354" s="17" t="str">
        <x:v>low</x:v>
      </x:c>
      <x:c r="N2354" s="17" t="str">
        <x:v>Discovery evidence only</x:v>
      </x:c>
      <x:c r="O2354" s="17" t="str">
        <x:v>Use the source_record_paths field to trace the underlying discovery inputs.</x:v>
      </x:c>
      <x:c r="P2354" s="18" t="e">
        <x:f>HYPERLINK("https://www.smu.edu","Open source")</x:f>
        <x:v>HYPERLINK is not implemented. linkLocation=https://www.smu.edu, friendlyName=Open source</x:v>
      </x:c>
    </x:row>
    <x:row r="2355" ht="46" customHeight="1">
      <x:c r="A2355" s="17" t="str">
        <x:v>stage3src:15085b10e999f5b2159e</x:v>
      </x:c>
      <x:c r="B2355" s="17" t="str">
        <x:v>program</x:v>
      </x:c>
      <x:c r="C2355" s="17" t="str">
        <x:v>Southern Methodist University</x:v>
      </x:c>
      <x:c r="D2355" s="17" t="str">
        <x:v>us:ipeds:228246:program:unclear:ipeds-discovery-signal-computer-software-engineering-cip-14-0903</x:v>
      </x:c>
      <x:c r="E2355" s="17" t="str"/>
      <x:c r="F2355" s="17" t="str">
        <x:v>discovery</x:v>
      </x:c>
      <x:c r="G2355" s="17" t="str">
        <x:v>Stage 2 recorded this row as a discovery candidate; it does not independently verify an exact current research program, eligibility, or funding.</x:v>
      </x:c>
      <x:c r="H2355" s="17" t="str">
        <x:v>Pass 2 Stage 2 candidate funnel</x:v>
      </x:c>
      <x:c r="I2355" s="17" t="str">
        <x:v>Graduate audit pipeline</x:v>
      </x:c>
      <x:c r="J2355" s="17" t="str">
        <x:v>derived</x:v>
      </x:c>
      <x:c r="K2355" s="17" t="str">
        <x:v>2026-09-11</x:v>
      </x:c>
      <x:c r="L2355" s="17" t="str">
        <x:v>Not cycle-specific</x:v>
      </x:c>
      <x:c r="M2355" s="17" t="str">
        <x:v>low</x:v>
      </x:c>
      <x:c r="N2355" s="17" t="str">
        <x:v>Discovery evidence only</x:v>
      </x:c>
      <x:c r="O2355" s="17" t="str">
        <x:v>Use the source_record_paths field to trace the underlying discovery inputs.</x:v>
      </x:c>
      <x:c r="P2355" s="18" t="e">
        <x:f>HYPERLINK("https://www.smu.edu","Open source")</x:f>
        <x:v>HYPERLINK is not implemented. linkLocation=https://www.smu.edu, friendlyName=Open source</x:v>
      </x:c>
    </x:row>
    <x:row r="2356" ht="46" customHeight="1">
      <x:c r="A2356" s="17" t="str">
        <x:v>stage3src:1d061aba4197c0aff505</x:v>
      </x:c>
      <x:c r="B2356" s="17" t="str">
        <x:v>program</x:v>
      </x:c>
      <x:c r="C2356" s="17" t="str">
        <x:v>Southern Methodist University</x:v>
      </x:c>
      <x:c r="D2356" s="17" t="str">
        <x:v>us:ipeds:228246:program:unclear:ipeds-discovery-signal-data-science-general-cip-30-7001</x:v>
      </x:c>
      <x:c r="E2356" s="17" t="str"/>
      <x:c r="F2356" s="17" t="str">
        <x:v>discovery</x:v>
      </x:c>
      <x:c r="G2356" s="17" t="str">
        <x:v>Stage 2 recorded this row as a discovery candidate; it does not independently verify an exact current research program, eligibility, or funding.</x:v>
      </x:c>
      <x:c r="H2356" s="17" t="str">
        <x:v>Pass 2 Stage 2 candidate funnel</x:v>
      </x:c>
      <x:c r="I2356" s="17" t="str">
        <x:v>Graduate audit pipeline</x:v>
      </x:c>
      <x:c r="J2356" s="17" t="str">
        <x:v>derived</x:v>
      </x:c>
      <x:c r="K2356" s="17" t="str">
        <x:v>2026-09-11</x:v>
      </x:c>
      <x:c r="L2356" s="17" t="str">
        <x:v>Not cycle-specific</x:v>
      </x:c>
      <x:c r="M2356" s="17" t="str">
        <x:v>low</x:v>
      </x:c>
      <x:c r="N2356" s="17" t="str">
        <x:v>Discovery evidence only</x:v>
      </x:c>
      <x:c r="O2356" s="17" t="str">
        <x:v>Use the source_record_paths field to trace the underlying discovery inputs.</x:v>
      </x:c>
      <x:c r="P2356" s="18" t="e">
        <x:f>HYPERLINK("https://www.smu.edu","Open source")</x:f>
        <x:v>HYPERLINK is not implemented. linkLocation=https://www.smu.edu, friendlyName=Open source</x:v>
      </x:c>
    </x:row>
    <x:row r="2357" ht="46" customHeight="1">
      <x:c r="A2357" s="17" t="str">
        <x:v>stage3src:13f13e03ce8562238d87</x:v>
      </x:c>
      <x:c r="B2357" s="17" t="str">
        <x:v>program</x:v>
      </x:c>
      <x:c r="C2357" s="17" t="str">
        <x:v>Southern Methodist University</x:v>
      </x:c>
      <x:c r="D2357" s="17" t="str">
        <x:v>us:ipeds:228246:program:unclear:ipeds-discovery-signal-electrical-and-electronics-engineering-cip-14-1001</x:v>
      </x:c>
      <x:c r="E2357" s="17" t="str"/>
      <x:c r="F2357" s="17" t="str">
        <x:v>discovery</x:v>
      </x:c>
      <x:c r="G2357" s="17" t="str">
        <x:v>Stage 2 recorded this row as a discovery candidate; it does not independently verify an exact current research program, eligibility, or funding.</x:v>
      </x:c>
      <x:c r="H2357" s="17" t="str">
        <x:v>Pass 2 Stage 2 candidate funnel</x:v>
      </x:c>
      <x:c r="I2357" s="17" t="str">
        <x:v>Graduate audit pipeline</x:v>
      </x:c>
      <x:c r="J2357" s="17" t="str">
        <x:v>derived</x:v>
      </x:c>
      <x:c r="K2357" s="17" t="str">
        <x:v>2026-09-11</x:v>
      </x:c>
      <x:c r="L2357" s="17" t="str">
        <x:v>Not cycle-specific</x:v>
      </x:c>
      <x:c r="M2357" s="17" t="str">
        <x:v>low</x:v>
      </x:c>
      <x:c r="N2357" s="17" t="str">
        <x:v>Discovery evidence only</x:v>
      </x:c>
      <x:c r="O2357" s="17" t="str">
        <x:v>Use the source_record_paths field to trace the underlying discovery inputs.</x:v>
      </x:c>
      <x:c r="P2357" s="18" t="e">
        <x:f>HYPERLINK("https://www.smu.edu","Open source")</x:f>
        <x:v>HYPERLINK is not implemented. linkLocation=https://www.smu.edu, friendlyName=Open source</x:v>
      </x:c>
    </x:row>
    <x:row r="2358" ht="46" customHeight="1">
      <x:c r="A2358" s="17" t="str">
        <x:v>stage3src:eab9089b450d1c5bab32</x:v>
      </x:c>
      <x:c r="B2358" s="17" t="str">
        <x:v>program</x:v>
      </x:c>
      <x:c r="C2358" s="17" t="str">
        <x:v>Southern Methodist University</x:v>
      </x:c>
      <x:c r="D2358" s="17" t="str">
        <x:v>us:ipeds:228246:program:unclear:ipeds-discovery-signal-information-science-studies-cip-11-0401</x:v>
      </x:c>
      <x:c r="E2358" s="17" t="str"/>
      <x:c r="F2358" s="17" t="str">
        <x:v>discovery</x:v>
      </x:c>
      <x:c r="G2358" s="17" t="str">
        <x:v>Stage 2 recorded this row as a discovery candidate; it does not independently verify an exact current research program, eligibility, or funding.</x:v>
      </x:c>
      <x:c r="H2358" s="17" t="str">
        <x:v>Pass 2 Stage 2 candidate funnel</x:v>
      </x:c>
      <x:c r="I2358" s="17" t="str">
        <x:v>Graduate audit pipeline</x:v>
      </x:c>
      <x:c r="J2358" s="17" t="str">
        <x:v>derived</x:v>
      </x:c>
      <x:c r="K2358" s="17" t="str">
        <x:v>2026-09-11</x:v>
      </x:c>
      <x:c r="L2358" s="17" t="str">
        <x:v>Not cycle-specific</x:v>
      </x:c>
      <x:c r="M2358" s="17" t="str">
        <x:v>low</x:v>
      </x:c>
      <x:c r="N2358" s="17" t="str">
        <x:v>Discovery evidence only</x:v>
      </x:c>
      <x:c r="O2358" s="17" t="str">
        <x:v>Use the source_record_paths field to trace the underlying discovery inputs.</x:v>
      </x:c>
      <x:c r="P2358" s="18" t="e">
        <x:f>HYPERLINK("https://www.smu.edu","Open source")</x:f>
        <x:v>HYPERLINK is not implemented. linkLocation=https://www.smu.edu, friendlyName=Open source</x:v>
      </x:c>
    </x:row>
    <x:row r="2359" ht="46" customHeight="1">
      <x:c r="A2359" s="17" t="str">
        <x:v>stage3src:c1eb0e901d9bed2de63e</x:v>
      </x:c>
      <x:c r="B2359" s="17" t="str">
        <x:v>program</x:v>
      </x:c>
      <x:c r="C2359" s="17" t="str">
        <x:v>Stephen F Austin State University</x:v>
      </x:c>
      <x:c r="D2359" s="17" t="str">
        <x:v>us:ipeds:228431:program:unclear:ipeds-discovery-signal-computer-and-information-systems-security-auditing-information-assurance-cip-11-1003</x:v>
      </x:c>
      <x:c r="E2359" s="17" t="str"/>
      <x:c r="F2359" s="17" t="str">
        <x:v>discovery</x:v>
      </x:c>
      <x:c r="G2359" s="17" t="str">
        <x:v>Stage 2 recorded this row as a discovery candidate; it does not independently verify an exact current research program, eligibility, or funding.</x:v>
      </x:c>
      <x:c r="H2359" s="17" t="str">
        <x:v>Pass 2 Stage 2 candidate funnel</x:v>
      </x:c>
      <x:c r="I2359" s="17" t="str">
        <x:v>Graduate audit pipeline</x:v>
      </x:c>
      <x:c r="J2359" s="17" t="str">
        <x:v>derived</x:v>
      </x:c>
      <x:c r="K2359" s="17" t="str">
        <x:v>2026-09-11</x:v>
      </x:c>
      <x:c r="L2359" s="17" t="str">
        <x:v>Not cycle-specific</x:v>
      </x:c>
      <x:c r="M2359" s="17" t="str">
        <x:v>low</x:v>
      </x:c>
      <x:c r="N2359" s="17" t="str">
        <x:v>Discovery evidence only</x:v>
      </x:c>
      <x:c r="O2359" s="17" t="str">
        <x:v>Use the source_record_paths field to trace the underlying discovery inputs.</x:v>
      </x:c>
      <x:c r="P2359" s="18" t="e">
        <x:f>HYPERLINK("https://www.sfasu.edu","Open source")</x:f>
        <x:v>HYPERLINK is not implemented. linkLocation=https://www.sfasu.edu, friendlyName=Open source</x:v>
      </x:c>
    </x:row>
    <x:row r="2360" ht="46" customHeight="1">
      <x:c r="A2360" s="17" t="str">
        <x:v>stage3src:249df5966accc2d42c5d</x:v>
      </x:c>
      <x:c r="B2360" s="17" t="str">
        <x:v>program</x:v>
      </x:c>
      <x:c r="C2360" s="17" t="str">
        <x:v>Texas State University</x:v>
      </x:c>
      <x:c r="D2360" s="17" t="str">
        <x:v>us:ipeds:228459:program:unclear:ipeds-discovery-signal-computer-science-cip-11-0701</x:v>
      </x:c>
      <x:c r="E2360" s="17" t="str"/>
      <x:c r="F2360" s="17" t="str">
        <x:v>discovery</x:v>
      </x:c>
      <x:c r="G2360" s="17" t="str">
        <x:v>Stage 2 recorded this row as a discovery candidate; it does not independently verify an exact current research program, eligibility, or funding.</x:v>
      </x:c>
      <x:c r="H2360" s="17" t="str">
        <x:v>Pass 2 Stage 2 candidate funnel</x:v>
      </x:c>
      <x:c r="I2360" s="17" t="str">
        <x:v>Graduate audit pipeline</x:v>
      </x:c>
      <x:c r="J2360" s="17" t="str">
        <x:v>derived</x:v>
      </x:c>
      <x:c r="K2360" s="17" t="str">
        <x:v>2026-09-11</x:v>
      </x:c>
      <x:c r="L2360" s="17" t="str">
        <x:v>Not cycle-specific</x:v>
      </x:c>
      <x:c r="M2360" s="17" t="str">
        <x:v>low</x:v>
      </x:c>
      <x:c r="N2360" s="17" t="str">
        <x:v>Discovery evidence only</x:v>
      </x:c>
      <x:c r="O2360" s="17" t="str">
        <x:v>Use the source_record_paths field to trace the underlying discovery inputs.</x:v>
      </x:c>
      <x:c r="P2360" s="18" t="e">
        <x:f>HYPERLINK("https://www.txst.edu","Open source")</x:f>
        <x:v>HYPERLINK is not implemented. linkLocation=https://www.txst.edu, friendlyName=Open source</x:v>
      </x:c>
    </x:row>
    <x:row r="2361" ht="46" customHeight="1">
      <x:c r="A2361" s="17" t="str">
        <x:v>stage3src:639c80976aa06a52c7a6</x:v>
      </x:c>
      <x:c r="B2361" s="17" t="str">
        <x:v>program</x:v>
      </x:c>
      <x:c r="C2361" s="17" t="str">
        <x:v>Texas State University</x:v>
      </x:c>
      <x:c r="D2361" s="17" t="str">
        <x:v>us:ipeds:228459:program:unclear:ipeds-discovery-signal-computer-software-engineering-cip-14-0903</x:v>
      </x:c>
      <x:c r="E2361" s="17" t="str"/>
      <x:c r="F2361" s="17" t="str">
        <x:v>discovery</x:v>
      </x:c>
      <x:c r="G2361" s="17" t="str">
        <x:v>Stage 2 recorded this row as a discovery candidate; it does not independently verify an exact current research program, eligibility, or funding.</x:v>
      </x:c>
      <x:c r="H2361" s="17" t="str">
        <x:v>Pass 2 Stage 2 candidate funnel</x:v>
      </x:c>
      <x:c r="I2361" s="17" t="str">
        <x:v>Graduate audit pipeline</x:v>
      </x:c>
      <x:c r="J2361" s="17" t="str">
        <x:v>derived</x:v>
      </x:c>
      <x:c r="K2361" s="17" t="str">
        <x:v>2026-09-11</x:v>
      </x:c>
      <x:c r="L2361" s="17" t="str">
        <x:v>Not cycle-specific</x:v>
      </x:c>
      <x:c r="M2361" s="17" t="str">
        <x:v>low</x:v>
      </x:c>
      <x:c r="N2361" s="17" t="str">
        <x:v>Discovery evidence only</x:v>
      </x:c>
      <x:c r="O2361" s="17" t="str">
        <x:v>Use the source_record_paths field to trace the underlying discovery inputs.</x:v>
      </x:c>
      <x:c r="P2361" s="18" t="e">
        <x:f>HYPERLINK("https://www.txst.edu","Open source")</x:f>
        <x:v>HYPERLINK is not implemented. linkLocation=https://www.txst.edu, friendlyName=Open source</x:v>
      </x:c>
    </x:row>
    <x:row r="2362" ht="46" customHeight="1">
      <x:c r="A2362" s="17" t="str">
        <x:v>stage3src:ccc40591b8663ba75769</x:v>
      </x:c>
      <x:c r="B2362" s="17" t="str">
        <x:v>program</x:v>
      </x:c>
      <x:c r="C2362" s="17" t="str">
        <x:v>Texas State University</x:v>
      </x:c>
      <x:c r="D2362" s="17" t="str">
        <x:v>us:ipeds:228459:program:unclear:ipeds-discovery-signal-information-science-studies-cip-11-0401</x:v>
      </x:c>
      <x:c r="E2362" s="17" t="str"/>
      <x:c r="F2362" s="17" t="str">
        <x:v>discovery</x:v>
      </x:c>
      <x:c r="G2362" s="17" t="str">
        <x:v>Stage 2 recorded this row as a discovery candidate; it does not independently verify an exact current research program, eligibility, or funding.</x:v>
      </x:c>
      <x:c r="H2362" s="17" t="str">
        <x:v>Pass 2 Stage 2 candidate funnel</x:v>
      </x:c>
      <x:c r="I2362" s="17" t="str">
        <x:v>Graduate audit pipeline</x:v>
      </x:c>
      <x:c r="J2362" s="17" t="str">
        <x:v>derived</x:v>
      </x:c>
      <x:c r="K2362" s="17" t="str">
        <x:v>2026-09-11</x:v>
      </x:c>
      <x:c r="L2362" s="17" t="str">
        <x:v>Not cycle-specific</x:v>
      </x:c>
      <x:c r="M2362" s="17" t="str">
        <x:v>low</x:v>
      </x:c>
      <x:c r="N2362" s="17" t="str">
        <x:v>Discovery evidence only</x:v>
      </x:c>
      <x:c r="O2362" s="17" t="str">
        <x:v>Use the source_record_paths field to trace the underlying discovery inputs.</x:v>
      </x:c>
      <x:c r="P2362" s="18" t="e">
        <x:f>HYPERLINK("https://www.txst.edu","Open source")</x:f>
        <x:v>HYPERLINK is not implemented. linkLocation=https://www.txst.edu, friendlyName=Open source</x:v>
      </x:c>
    </x:row>
    <x:row r="2363" ht="46" customHeight="1">
      <x:c r="A2363" s="17" t="str">
        <x:v>stage3src:296abd0f41a4de710a32</x:v>
      </x:c>
      <x:c r="B2363" s="17" t="str">
        <x:v>program</x:v>
      </x:c>
      <x:c r="C2363" s="17" t="str">
        <x:v>Tarleton State University</x:v>
      </x:c>
      <x:c r="D2363" s="17" t="str">
        <x:v>us:ipeds:228529:program:unclear:ipeds-discovery-signal-computer-engineering-general-cip-14-0901</x:v>
      </x:c>
      <x:c r="E2363" s="17" t="str"/>
      <x:c r="F2363" s="17" t="str">
        <x:v>discovery</x:v>
      </x:c>
      <x:c r="G2363" s="17" t="str">
        <x:v>Stage 2 recorded this row as a discovery candidate; it does not independently verify an exact current research program, eligibility, or funding.</x:v>
      </x:c>
      <x:c r="H2363" s="17" t="str">
        <x:v>Pass 2 Stage 2 candidate funnel</x:v>
      </x:c>
      <x:c r="I2363" s="17" t="str">
        <x:v>Graduate audit pipeline</x:v>
      </x:c>
      <x:c r="J2363" s="17" t="str">
        <x:v>derived</x:v>
      </x:c>
      <x:c r="K2363" s="17" t="str">
        <x:v>2026-09-11</x:v>
      </x:c>
      <x:c r="L2363" s="17" t="str">
        <x:v>Not cycle-specific</x:v>
      </x:c>
      <x:c r="M2363" s="17" t="str">
        <x:v>low</x:v>
      </x:c>
      <x:c r="N2363" s="17" t="str">
        <x:v>Discovery evidence only</x:v>
      </x:c>
      <x:c r="O2363" s="17" t="str">
        <x:v>Use the source_record_paths field to trace the underlying discovery inputs.</x:v>
      </x:c>
      <x:c r="P2363" s="18" t="e">
        <x:f>HYPERLINK("https://www.tarleton.edu","Open source")</x:f>
        <x:v>HYPERLINK is not implemented. linkLocation=https://www.tarleton.edu, friendlyName=Open source</x:v>
      </x:c>
    </x:row>
    <x:row r="2364" ht="46" customHeight="1">
      <x:c r="A2364" s="17" t="str">
        <x:v>stage3src:236d2cd5ce5dcaa2f976</x:v>
      </x:c>
      <x:c r="B2364" s="17" t="str">
        <x:v>program</x:v>
      </x:c>
      <x:c r="C2364" s="17" t="str">
        <x:v>Tarleton State University</x:v>
      </x:c>
      <x:c r="D2364" s="17" t="str">
        <x:v>us:ipeds:228529:program:unclear:ipeds-discovery-signal-information-science-studies-cip-11-0401</x:v>
      </x:c>
      <x:c r="E2364" s="17" t="str"/>
      <x:c r="F2364" s="17" t="str">
        <x:v>discovery</x:v>
      </x:c>
      <x:c r="G2364" s="17" t="str">
        <x:v>Stage 2 recorded this row as a discovery candidate; it does not independently verify an exact current research program, eligibility, or funding.</x:v>
      </x:c>
      <x:c r="H2364" s="17" t="str">
        <x:v>Pass 2 Stage 2 candidate funnel</x:v>
      </x:c>
      <x:c r="I2364" s="17" t="str">
        <x:v>Graduate audit pipeline</x:v>
      </x:c>
      <x:c r="J2364" s="17" t="str">
        <x:v>derived</x:v>
      </x:c>
      <x:c r="K2364" s="17" t="str">
        <x:v>2026-09-11</x:v>
      </x:c>
      <x:c r="L2364" s="17" t="str">
        <x:v>Not cycle-specific</x:v>
      </x:c>
      <x:c r="M2364" s="17" t="str">
        <x:v>low</x:v>
      </x:c>
      <x:c r="N2364" s="17" t="str">
        <x:v>Discovery evidence only</x:v>
      </x:c>
      <x:c r="O2364" s="17" t="str">
        <x:v>Use the source_record_paths field to trace the underlying discovery inputs.</x:v>
      </x:c>
      <x:c r="P2364" s="18" t="e">
        <x:f>HYPERLINK("https://www.tarleton.edu","Open source")</x:f>
        <x:v>HYPERLINK is not implemented. linkLocation=https://www.tarleton.edu, friendlyName=Open source</x:v>
      </x:c>
    </x:row>
    <x:row r="2365" ht="46" customHeight="1">
      <x:c r="A2365" s="17" t="str">
        <x:v>stage3src:8d86c3afe6a940f4ed75</x:v>
      </x:c>
      <x:c r="B2365" s="17" t="str">
        <x:v>program</x:v>
      </x:c>
      <x:c r="C2365" s="17" t="str">
        <x:v>Texas A&amp;M University-Kingsville</x:v>
      </x:c>
      <x:c r="D2365" s="17" t="str">
        <x:v>us:ipeds:228705:program:unclear:ipeds-discovery-signal-computer-and-information-sciences-general-cip-11-0101</x:v>
      </x:c>
      <x:c r="E2365" s="17" t="str"/>
      <x:c r="F2365" s="17" t="str">
        <x:v>discovery</x:v>
      </x:c>
      <x:c r="G2365" s="17" t="str">
        <x:v>Stage 2 recorded this row as a discovery candidate; it does not independently verify an exact current research program, eligibility, or funding.</x:v>
      </x:c>
      <x:c r="H2365" s="17" t="str">
        <x:v>Pass 2 Stage 2 candidate funnel</x:v>
      </x:c>
      <x:c r="I2365" s="17" t="str">
        <x:v>Graduate audit pipeline</x:v>
      </x:c>
      <x:c r="J2365" s="17" t="str">
        <x:v>derived</x:v>
      </x:c>
      <x:c r="K2365" s="17" t="str">
        <x:v>2026-09-11</x:v>
      </x:c>
      <x:c r="L2365" s="17" t="str">
        <x:v>Not cycle-specific</x:v>
      </x:c>
      <x:c r="M2365" s="17" t="str">
        <x:v>low</x:v>
      </x:c>
      <x:c r="N2365" s="17" t="str">
        <x:v>Discovery evidence only</x:v>
      </x:c>
      <x:c r="O2365" s="17" t="str">
        <x:v>Use the source_record_paths field to trace the underlying discovery inputs.</x:v>
      </x:c>
      <x:c r="P2365" s="18" t="e">
        <x:f>HYPERLINK("https://www.tamuk.edu","Open source")</x:f>
        <x:v>HYPERLINK is not implemented. linkLocation=https://www.tamuk.edu, friendlyName=Open source</x:v>
      </x:c>
    </x:row>
    <x:row r="2366" ht="46" customHeight="1">
      <x:c r="A2366" s="17" t="str">
        <x:v>stage3src:51a81dc4ea8eaf59761b</x:v>
      </x:c>
      <x:c r="B2366" s="17" t="str">
        <x:v>program</x:v>
      </x:c>
      <x:c r="C2366" s="17" t="str">
        <x:v>Texas A&amp;M University-Kingsville</x:v>
      </x:c>
      <x:c r="D2366" s="17" t="str">
        <x:v>us:ipeds:228705:program:unclear:ipeds-discovery-signal-electrical-and-electronics-engineering-cip-14-1001</x:v>
      </x:c>
      <x:c r="E2366" s="17" t="str"/>
      <x:c r="F2366" s="17" t="str">
        <x:v>discovery</x:v>
      </x:c>
      <x:c r="G2366" s="17" t="str">
        <x:v>Stage 2 recorded this row as a discovery candidate; it does not independently verify an exact current research program, eligibility, or funding.</x:v>
      </x:c>
      <x:c r="H2366" s="17" t="str">
        <x:v>Pass 2 Stage 2 candidate funnel</x:v>
      </x:c>
      <x:c r="I2366" s="17" t="str">
        <x:v>Graduate audit pipeline</x:v>
      </x:c>
      <x:c r="J2366" s="17" t="str">
        <x:v>derived</x:v>
      </x:c>
      <x:c r="K2366" s="17" t="str">
        <x:v>2026-09-11</x:v>
      </x:c>
      <x:c r="L2366" s="17" t="str">
        <x:v>Not cycle-specific</x:v>
      </x:c>
      <x:c r="M2366" s="17" t="str">
        <x:v>low</x:v>
      </x:c>
      <x:c r="N2366" s="17" t="str">
        <x:v>Discovery evidence only</x:v>
      </x:c>
      <x:c r="O2366" s="17" t="str">
        <x:v>Use the source_record_paths field to trace the underlying discovery inputs.</x:v>
      </x:c>
      <x:c r="P2366" s="18" t="e">
        <x:f>HYPERLINK("https://www.tamuk.edu","Open source")</x:f>
        <x:v>HYPERLINK is not implemented. linkLocation=https://www.tamuk.edu, friendlyName=Open source</x:v>
      </x:c>
    </x:row>
    <x:row r="2367" ht="46" customHeight="1">
      <x:c r="A2367" s="17" t="str">
        <x:v>stage3src:b83340f1646c662472c1</x:v>
      </x:c>
      <x:c r="B2367" s="17" t="str">
        <x:v>program</x:v>
      </x:c>
      <x:c r="C2367" s="17" t="str">
        <x:v>Texas A&amp;M University-Kingsville</x:v>
      </x:c>
      <x:c r="D2367" s="17" t="str">
        <x:v>us:ipeds:228705:program:unclear:ipeds-discovery-signal-mechatronics-robotics-and-automation-engineering-cip-14-4201</x:v>
      </x:c>
      <x:c r="E2367" s="17" t="str"/>
      <x:c r="F2367" s="17" t="str">
        <x:v>discovery</x:v>
      </x:c>
      <x:c r="G2367" s="17" t="str">
        <x:v>Stage 2 recorded this row as a discovery candidate; it does not independently verify an exact current research program, eligibility, or funding.</x:v>
      </x:c>
      <x:c r="H2367" s="17" t="str">
        <x:v>Pass 2 Stage 2 candidate funnel</x:v>
      </x:c>
      <x:c r="I2367" s="17" t="str">
        <x:v>Graduate audit pipeline</x:v>
      </x:c>
      <x:c r="J2367" s="17" t="str">
        <x:v>derived</x:v>
      </x:c>
      <x:c r="K2367" s="17" t="str">
        <x:v>2026-09-11</x:v>
      </x:c>
      <x:c r="L2367" s="17" t="str">
        <x:v>Not cycle-specific</x:v>
      </x:c>
      <x:c r="M2367" s="17" t="str">
        <x:v>low</x:v>
      </x:c>
      <x:c r="N2367" s="17" t="str">
        <x:v>Discovery evidence only</x:v>
      </x:c>
      <x:c r="O2367" s="17" t="str">
        <x:v>Use the source_record_paths field to trace the underlying discovery inputs.</x:v>
      </x:c>
      <x:c r="P2367" s="18" t="e">
        <x:f>HYPERLINK("https://www.tamuk.edu","Open source")</x:f>
        <x:v>HYPERLINK is not implemented. linkLocation=https://www.tamuk.edu, friendlyName=Open source</x:v>
      </x:c>
    </x:row>
    <x:row r="2368" ht="46" customHeight="1">
      <x:c r="A2368" s="17" t="str">
        <x:v>stage3src:917a9c7df4508007a571</x:v>
      </x:c>
      <x:c r="B2368" s="17" t="str">
        <x:v>program</x:v>
      </x:c>
      <x:c r="C2368" s="17" t="str">
        <x:v>Texas A&amp;M University-College Station</x:v>
      </x:c>
      <x:c r="D2368" s="17" t="str">
        <x:v>us:ipeds:228723:program:phd:doctor-of-philosophy-in-computer-science</x:v>
      </x:c>
      <x:c r="E2368" s="17" t="str"/>
      <x:c r="F2368" s="17" t="str">
        <x:v>funding|tuition|fees|health|summer|admissions</x:v>
      </x:c>
      <x:c r="G2368" s="17" t="str">
        <x:v>CSE assistantship resident-tuition and fee coverage, health-insurance eligibility, automatic funding consideration, and absence of a universal award guarantee.</x:v>
      </x:c>
      <x:c r="H2368" s="17" t="str">
        <x:v>CSE Graduate Programs Frequently Asked Questions</x:v>
      </x:c>
      <x:c r="I2368" s="17" t="str">
        <x:v>Texas A&amp;M University</x:v>
      </x:c>
      <x:c r="J2368" s="17" t="str">
        <x:v>official</x:v>
      </x:c>
      <x:c r="K2368" s="17" t="str">
        <x:v>2026-09-11</x:v>
      </x:c>
      <x:c r="L2368" s="17" t="str">
        <x:v>Current policy checked 2026-09-11</x:v>
      </x:c>
      <x:c r="M2368" s="17" t="str">
        <x:v>high</x:v>
      </x:c>
      <x:c r="N2368" s="17" t="str">
        <x:v>official page checked</x:v>
      </x:c>
      <x:c r="O2368" s="17" t="str"/>
      <x:c r="P2368" s="18" t="e">
        <x:f>HYPERLINK("https://engineering.tamu.edu/cse/academics/degrees/graduate/faq.html","Open source")</x:f>
        <x:v>HYPERLINK is not implemented. linkLocation=https://engineering.tamu.edu/cse/academics/degrees/graduate/faq.html, friendlyName=Open source</x:v>
      </x:c>
    </x:row>
    <x:row r="2369" ht="46" customHeight="1">
      <x:c r="A2369" s="17" t="str">
        <x:v>stage3src:e486e3a9a28af40865eb</x:v>
      </x:c>
      <x:c r="B2369" s="17" t="str">
        <x:v>program</x:v>
      </x:c>
      <x:c r="C2369" s="17" t="str">
        <x:v>Texas A&amp;M University-College Station</x:v>
      </x:c>
      <x:c r="D2369" s="17" t="str">
        <x:v>us:ipeds:228723:program:phd:doctor-of-philosophy-in-computer-science</x:v>
      </x:c>
      <x:c r="E2369" s="17" t="str"/>
      <x:c r="F2369" s="17" t="str">
        <x:v>program|research|admissions|eligibility</x:v>
      </x:c>
      <x:c r="G2369" s="17" t="str">
        <x:v>Current 96-credit pre-master's Computer Science PhD, software/systems breadth, research credits, and dissertation structure.</x:v>
      </x:c>
      <x:c r="H2369" s="17" t="str">
        <x:v>Doctor of Philosophy - Computer Science</x:v>
      </x:c>
      <x:c r="I2369" s="17" t="str">
        <x:v>Texas A&amp;M University</x:v>
      </x:c>
      <x:c r="J2369" s="17" t="str">
        <x:v>official</x:v>
      </x:c>
      <x:c r="K2369" s="17" t="str">
        <x:v>2026-09-11</x:v>
      </x:c>
      <x:c r="L2369" s="17" t="str">
        <x:v>Current page checked 2026-09-11</x:v>
      </x:c>
      <x:c r="M2369" s="17" t="str">
        <x:v>high</x:v>
      </x:c>
      <x:c r="N2369" s="17" t="str">
        <x:v>official page checked</x:v>
      </x:c>
      <x:c r="O2369" s="17" t="str"/>
      <x:c r="P2369" s="18" t="e">
        <x:f>HYPERLINK("https://engineering.tamu.edu/cse/academics/degrees/graduate/phd-cs.html","Open source")</x:f>
        <x:v>HYPERLINK is not implemented. linkLocation=https://engineering.tamu.edu/cse/academics/degrees/graduate/phd-cs.html, friendlyName=Open source</x:v>
      </x:c>
    </x:row>
    <x:row r="2370" ht="46" customHeight="1">
      <x:c r="A2370" s="17" t="str">
        <x:v>stage3src:5ca0410333fc6bced04d</x:v>
      </x:c>
      <x:c r="B2370" s="17" t="str">
        <x:v>program</x:v>
      </x:c>
      <x:c r="C2370" s="17" t="str">
        <x:v>Texas A&amp;M University-College Station</x:v>
      </x:c>
      <x:c r="D2370" s="17" t="str">
        <x:v>us:ipeds:228723:program:unclear:ipeds-discovery-signal-computer-engineering-general-cip-14-0901</x:v>
      </x:c>
      <x:c r="E2370" s="17" t="str"/>
      <x:c r="F2370" s="17" t="str">
        <x:v>discovery</x:v>
      </x:c>
      <x:c r="G2370" s="17" t="str">
        <x:v>Stage 2 recorded this row as a discovery candidate; it does not independently verify an exact current research program, eligibility, or funding.</x:v>
      </x:c>
      <x:c r="H2370" s="17" t="str">
        <x:v>Pass 2 Stage 2 candidate funnel</x:v>
      </x:c>
      <x:c r="I2370" s="17" t="str">
        <x:v>Graduate audit pipeline</x:v>
      </x:c>
      <x:c r="J2370" s="17" t="str">
        <x:v>derived</x:v>
      </x:c>
      <x:c r="K2370" s="17" t="str">
        <x:v>2026-09-11</x:v>
      </x:c>
      <x:c r="L2370" s="17" t="str">
        <x:v>Not cycle-specific</x:v>
      </x:c>
      <x:c r="M2370" s="17" t="str">
        <x:v>low</x:v>
      </x:c>
      <x:c r="N2370" s="17" t="str">
        <x:v>Discovery evidence only</x:v>
      </x:c>
      <x:c r="O2370" s="17" t="str">
        <x:v>Use the source_record_paths field to trace the underlying discovery inputs.</x:v>
      </x:c>
      <x:c r="P2370" s="18" t="e">
        <x:f>HYPERLINK("https://www.tamu.edu","Open source")</x:f>
        <x:v>HYPERLINK is not implemented. linkLocation=https://www.tamu.edu, friendlyName=Open source</x:v>
      </x:c>
    </x:row>
    <x:row r="2371" ht="46" customHeight="1">
      <x:c r="A2371" s="17" t="str">
        <x:v>stage3src:4b67d0b7d6521051d881</x:v>
      </x:c>
      <x:c r="B2371" s="17" t="str">
        <x:v>program</x:v>
      </x:c>
      <x:c r="C2371" s="17" t="str">
        <x:v>Texas A&amp;M University-College Station</x:v>
      </x:c>
      <x:c r="D2371" s="17" t="str">
        <x:v>us:ipeds:228723:program:unclear:ipeds-discovery-signal-computer-science-cip-11-0701</x:v>
      </x:c>
      <x:c r="E2371" s="17" t="str"/>
      <x:c r="F2371" s="17" t="str">
        <x:v>discovery</x:v>
      </x:c>
      <x:c r="G2371" s="17" t="str">
        <x:v>Stage 2 recorded this row as a discovery candidate; it does not independently verify an exact current research program, eligibility, or funding.</x:v>
      </x:c>
      <x:c r="H2371" s="17" t="str">
        <x:v>Pass 2 Stage 2 candidate funnel</x:v>
      </x:c>
      <x:c r="I2371" s="17" t="str">
        <x:v>Graduate audit pipeline</x:v>
      </x:c>
      <x:c r="J2371" s="17" t="str">
        <x:v>derived</x:v>
      </x:c>
      <x:c r="K2371" s="17" t="str">
        <x:v>2026-09-11</x:v>
      </x:c>
      <x:c r="L2371" s="17" t="str">
        <x:v>Not cycle-specific</x:v>
      </x:c>
      <x:c r="M2371" s="17" t="str">
        <x:v>low</x:v>
      </x:c>
      <x:c r="N2371" s="17" t="str">
        <x:v>Discovery evidence only</x:v>
      </x:c>
      <x:c r="O2371" s="17" t="str">
        <x:v>Use the source_record_paths field to trace the underlying discovery inputs.</x:v>
      </x:c>
      <x:c r="P2371" s="18" t="e">
        <x:f>HYPERLINK("https://www.tamu.edu","Open source")</x:f>
        <x:v>HYPERLINK is not implemented. linkLocation=https://www.tamu.edu, friendlyName=Open source</x:v>
      </x:c>
    </x:row>
    <x:row r="2372" ht="46" customHeight="1">
      <x:c r="A2372" s="17" t="str">
        <x:v>stage3src:cf0b32de1fcda4d81620</x:v>
      </x:c>
      <x:c r="B2372" s="17" t="str">
        <x:v>program</x:v>
      </x:c>
      <x:c r="C2372" s="17" t="str">
        <x:v>Texas A&amp;M University-College Station</x:v>
      </x:c>
      <x:c r="D2372" s="17" t="str">
        <x:v>us:ipeds:228723:program:unclear:ipeds-discovery-signal-data-science-general-cip-30-7001</x:v>
      </x:c>
      <x:c r="E2372" s="17" t="str"/>
      <x:c r="F2372" s="17" t="str">
        <x:v>discovery</x:v>
      </x:c>
      <x:c r="G2372" s="17" t="str">
        <x:v>Stage 2 recorded this row as a discovery candidate; it does not independently verify an exact current research program, eligibility, or funding.</x:v>
      </x:c>
      <x:c r="H2372" s="17" t="str">
        <x:v>Pass 2 Stage 2 candidate funnel</x:v>
      </x:c>
      <x:c r="I2372" s="17" t="str">
        <x:v>Graduate audit pipeline</x:v>
      </x:c>
      <x:c r="J2372" s="17" t="str">
        <x:v>derived</x:v>
      </x:c>
      <x:c r="K2372" s="17" t="str">
        <x:v>2026-09-11</x:v>
      </x:c>
      <x:c r="L2372" s="17" t="str">
        <x:v>Not cycle-specific</x:v>
      </x:c>
      <x:c r="M2372" s="17" t="str">
        <x:v>low</x:v>
      </x:c>
      <x:c r="N2372" s="17" t="str">
        <x:v>Discovery evidence only</x:v>
      </x:c>
      <x:c r="O2372" s="17" t="str">
        <x:v>Use the source_record_paths field to trace the underlying discovery inputs.</x:v>
      </x:c>
      <x:c r="P2372" s="18" t="e">
        <x:f>HYPERLINK("https://www.tamu.edu","Open source")</x:f>
        <x:v>HYPERLINK is not implemented. linkLocation=https://www.tamu.edu, friendlyName=Open source</x:v>
      </x:c>
    </x:row>
    <x:row r="2373" ht="46" customHeight="1">
      <x:c r="A2373" s="17" t="str">
        <x:v>stage3src:c8daa1729108ddd6a806</x:v>
      </x:c>
      <x:c r="B2373" s="17" t="str">
        <x:v>program</x:v>
      </x:c>
      <x:c r="C2373" s="17" t="str">
        <x:v>Texas A&amp;M University-College Station</x:v>
      </x:c>
      <x:c r="D2373" s="17" t="str">
        <x:v>us:ipeds:228723:program:unclear:ipeds-discovery-signal-electrical-and-electronics-engineering-cip-14-1001</x:v>
      </x:c>
      <x:c r="E2373" s="17" t="str"/>
      <x:c r="F2373" s="17" t="str">
        <x:v>discovery</x:v>
      </x:c>
      <x:c r="G2373" s="17" t="str">
        <x:v>Stage 2 recorded this row as a discovery candidate; it does not independently verify an exact current research program, eligibility, or funding.</x:v>
      </x:c>
      <x:c r="H2373" s="17" t="str">
        <x:v>Pass 2 Stage 2 candidate funnel</x:v>
      </x:c>
      <x:c r="I2373" s="17" t="str">
        <x:v>Graduate audit pipeline</x:v>
      </x:c>
      <x:c r="J2373" s="17" t="str">
        <x:v>derived</x:v>
      </x:c>
      <x:c r="K2373" s="17" t="str">
        <x:v>2026-09-11</x:v>
      </x:c>
      <x:c r="L2373" s="17" t="str">
        <x:v>Not cycle-specific</x:v>
      </x:c>
      <x:c r="M2373" s="17" t="str">
        <x:v>low</x:v>
      </x:c>
      <x:c r="N2373" s="17" t="str">
        <x:v>Discovery evidence only</x:v>
      </x:c>
      <x:c r="O2373" s="17" t="str">
        <x:v>Use the source_record_paths field to trace the underlying discovery inputs.</x:v>
      </x:c>
      <x:c r="P2373" s="18" t="e">
        <x:f>HYPERLINK("https://www.tamu.edu","Open source")</x:f>
        <x:v>HYPERLINK is not implemented. linkLocation=https://www.tamu.edu, friendlyName=Open source</x:v>
      </x:c>
    </x:row>
    <x:row r="2374" ht="46" customHeight="1">
      <x:c r="A2374" s="17" t="str">
        <x:v>stage3src:d4846e987207a3404bd9</x:v>
      </x:c>
      <x:c r="B2374" s="17" t="str">
        <x:v>program</x:v>
      </x:c>
      <x:c r="C2374" s="17" t="str">
        <x:v>Texas A&amp;M University-College Station</x:v>
      </x:c>
      <x:c r="D2374" s="17" t="str">
        <x:v>us:ipeds:228723:program:unclear:ipeds-discovery-signal-information-science-studies-cip-11-0401</x:v>
      </x:c>
      <x:c r="E2374" s="17" t="str"/>
      <x:c r="F2374" s="17" t="str">
        <x:v>discovery</x:v>
      </x:c>
      <x:c r="G2374" s="17" t="str">
        <x:v>Stage 2 recorded this row as a discovery candidate; it does not independently verify an exact current research program, eligibility, or funding.</x:v>
      </x:c>
      <x:c r="H2374" s="17" t="str">
        <x:v>Pass 2 Stage 2 candidate funnel</x:v>
      </x:c>
      <x:c r="I2374" s="17" t="str">
        <x:v>Graduate audit pipeline</x:v>
      </x:c>
      <x:c r="J2374" s="17" t="str">
        <x:v>derived</x:v>
      </x:c>
      <x:c r="K2374" s="17" t="str">
        <x:v>2026-09-11</x:v>
      </x:c>
      <x:c r="L2374" s="17" t="str">
        <x:v>Not cycle-specific</x:v>
      </x:c>
      <x:c r="M2374" s="17" t="str">
        <x:v>low</x:v>
      </x:c>
      <x:c r="N2374" s="17" t="str">
        <x:v>Discovery evidence only</x:v>
      </x:c>
      <x:c r="O2374" s="17" t="str">
        <x:v>Use the source_record_paths field to trace the underlying discovery inputs.</x:v>
      </x:c>
      <x:c r="P2374" s="18" t="e">
        <x:f>HYPERLINK("https://www.tamu.edu","Open source")</x:f>
        <x:v>HYPERLINK is not implemented. linkLocation=https://www.tamu.edu, friendlyName=Open source</x:v>
      </x:c>
    </x:row>
    <x:row r="2375" ht="46" customHeight="1">
      <x:c r="A2375" s="17" t="str">
        <x:v>stage3src:1888b6020e8870833c1e</x:v>
      </x:c>
      <x:c r="B2375" s="17" t="str">
        <x:v>program</x:v>
      </x:c>
      <x:c r="C2375" s="17" t="str">
        <x:v>The University of Texas at Arlington</x:v>
      </x:c>
      <x:c r="D2375" s="17" t="str">
        <x:v>us:ipeds:228769:program:phd:doctoral-degree-in-computer-science-computer-engineering</x:v>
      </x:c>
      <x:c r="E2375" s="17" t="str"/>
      <x:c r="F2375" s="17" t="str">
        <x:v>program|admissions|eligibility|language|deadline|fees|funding</x:v>
      </x:c>
      <x:c r="G2375" s="17" t="str">
        <x:v>Current doctorate, bachelor's entry, GPA and English thresholds, recurring deadlines, fee, faculty-contact guidance, and competitive aid considerations.</x:v>
      </x:c>
      <x:c r="H2375" s="17" t="str">
        <x:v>Doctoral Degree in Computer Science/Computer Engineering</x:v>
      </x:c>
      <x:c r="I2375" s="17" t="str">
        <x:v>The University of Texas at Arlington Department of Computer Science and Engineering</x:v>
      </x:c>
      <x:c r="J2375" s="17" t="str">
        <x:v>official</x:v>
      </x:c>
      <x:c r="K2375" s="17" t="str">
        <x:v>2026-09-10</x:v>
      </x:c>
      <x:c r="L2375" s="17" t="str">
        <x:v>Current page checked 2026-09-10</x:v>
      </x:c>
      <x:c r="M2375" s="17" t="str">
        <x:v>high</x:v>
      </x:c>
      <x:c r="N2375" s="17" t="str">
        <x:v>official page checked</x:v>
      </x:c>
      <x:c r="O2375" s="17" t="str"/>
      <x:c r="P2375" s="18" t="e">
        <x:f>HYPERLINK("https://www.uta.edu/academics/schools-colleges/engineering/academics/departments/cse/phd","Open source")</x:f>
        <x:v>HYPERLINK is not implemented. linkLocation=https://www.uta.edu/academics/schools-colleges/engineering/academics/departments/cse/phd, friendlyName=Open source</x:v>
      </x:c>
    </x:row>
    <x:row r="2376" ht="46" customHeight="1">
      <x:c r="A2376" s="17" t="str">
        <x:v>stage3src:cf40fac07e6dcc0fd70e</x:v>
      </x:c>
      <x:c r="B2376" s="17" t="str">
        <x:v>program</x:v>
      </x:c>
      <x:c r="C2376" s="17" t="str">
        <x:v>The University of Texas at Arlington</x:v>
      </x:c>
      <x:c r="D2376" s="17" t="str">
        <x:v>us:ipeds:228769:program:phd:doctoral-degree-in-computer-science-computer-engineering</x:v>
      </x:c>
      <x:c r="E2376" s="17" t="str"/>
      <x:c r="F2376" s="17" t="str">
        <x:v>funding|fees</x:v>
      </x:c>
      <x:c r="G2376" s="17" t="str">
        <x:v>Doctoral GTA and GRA routes may carry tuition support; awards remain appointment-specific.</x:v>
      </x:c>
      <x:c r="H2376" s="17" t="str">
        <x:v>Internal Funding</x:v>
      </x:c>
      <x:c r="I2376" s="17" t="str">
        <x:v>The University of Texas at Arlington Graduate School</x:v>
      </x:c>
      <x:c r="J2376" s="17" t="str">
        <x:v>official</x:v>
      </x:c>
      <x:c r="K2376" s="17" t="str">
        <x:v>2026-09-10</x:v>
      </x:c>
      <x:c r="L2376" s="17" t="str">
        <x:v>Current page checked 2026-09-10</x:v>
      </x:c>
      <x:c r="M2376" s="17" t="str">
        <x:v>high</x:v>
      </x:c>
      <x:c r="N2376" s="17" t="str">
        <x:v>official page checked</x:v>
      </x:c>
      <x:c r="O2376" s="17" t="str"/>
      <x:c r="P2376" s="18" t="e">
        <x:f>HYPERLINK("https://www.uta.edu/academics/schools-colleges/gradschool/funding/internal","Open source")</x:f>
        <x:v>HYPERLINK is not implemented. linkLocation=https://www.uta.edu/academics/schools-colleges/gradschool/funding/internal, friendlyName=Open source</x:v>
      </x:c>
    </x:row>
    <x:row r="2377" ht="46" customHeight="1">
      <x:c r="A2377" s="17" t="str">
        <x:v>stage3src:f6b97fc90a0a225fe839</x:v>
      </x:c>
      <x:c r="B2377" s="17" t="str">
        <x:v>program</x:v>
      </x:c>
      <x:c r="C2377" s="17" t="str">
        <x:v>The University of Texas at Arlington</x:v>
      </x:c>
      <x:c r="D2377" s="17" t="str">
        <x:v>us:ipeds:228769:program:phd:doctoral-degree-in-computer-science-computer-engineering</x:v>
      </x:c>
      <x:c r="E2377" s="17" t="str"/>
      <x:c r="F2377" s="17" t="str">
        <x:v>program|funding</x:v>
      </x:c>
      <x:c r="G2377" s="17" t="str">
        <x:v>Current CS PhD and availability of scholarships, fellowships, and assistantships.</x:v>
      </x:c>
      <x:c r="H2377" s="17" t="str">
        <x:v>Computer Science Ph.D.</x:v>
      </x:c>
      <x:c r="I2377" s="17" t="str">
        <x:v>The University of Texas at Arlington</x:v>
      </x:c>
      <x:c r="J2377" s="17" t="str">
        <x:v>official</x:v>
      </x:c>
      <x:c r="K2377" s="17" t="str">
        <x:v>2026-09-10</x:v>
      </x:c>
      <x:c r="L2377" s="17" t="str">
        <x:v>Current page checked 2026-09-10</x:v>
      </x:c>
      <x:c r="M2377" s="17" t="str">
        <x:v>high</x:v>
      </x:c>
      <x:c r="N2377" s="17" t="str">
        <x:v>official page checked</x:v>
      </x:c>
      <x:c r="O2377" s="17" t="str"/>
      <x:c r="P2377" s="18" t="e">
        <x:f>HYPERLINK("https://www.uta.edu/academics/programs/computer-science-phd?level=phd&amp;program=compsciphd","Open source")</x:f>
        <x:v>HYPERLINK is not implemented. linkLocation=https://www.uta.edu/academics/programs/computer-science-phd?level=phd&amp;program=compsciphd, friendlyName=Open source</x:v>
      </x:c>
    </x:row>
    <x:row r="2378" ht="46" customHeight="1">
      <x:c r="A2378" s="17" t="str">
        <x:v>stage3src:4bdab5c2c806fc073f76</x:v>
      </x:c>
      <x:c r="B2378" s="17" t="str">
        <x:v>program</x:v>
      </x:c>
      <x:c r="C2378" s="17" t="str">
        <x:v>The University of Texas at Arlington</x:v>
      </x:c>
      <x:c r="D2378" s="17" t="str">
        <x:v>us:ipeds:228769:program:unclear:ipeds-discovery-signal-computer-and-information-sciences-general-cip-11-0101</x:v>
      </x:c>
      <x:c r="E2378" s="17" t="str"/>
      <x:c r="F2378" s="17" t="str">
        <x:v>discovery</x:v>
      </x:c>
      <x:c r="G2378" s="17" t="str">
        <x:v>Stage 2 recorded this row as a discovery candidate; it does not independently verify an exact current research program, eligibility, or funding.</x:v>
      </x:c>
      <x:c r="H2378" s="17" t="str">
        <x:v>Pass 2 Stage 2 candidate funnel</x:v>
      </x:c>
      <x:c r="I2378" s="17" t="str">
        <x:v>Graduate audit pipeline</x:v>
      </x:c>
      <x:c r="J2378" s="17" t="str">
        <x:v>derived</x:v>
      </x:c>
      <x:c r="K2378" s="17" t="str">
        <x:v>2026-09-11</x:v>
      </x:c>
      <x:c r="L2378" s="17" t="str">
        <x:v>Not cycle-specific</x:v>
      </x:c>
      <x:c r="M2378" s="17" t="str">
        <x:v>low</x:v>
      </x:c>
      <x:c r="N2378" s="17" t="str">
        <x:v>Discovery evidence only</x:v>
      </x:c>
      <x:c r="O2378" s="17" t="str">
        <x:v>Use the source_record_paths field to trace the underlying discovery inputs.</x:v>
      </x:c>
      <x:c r="P2378" s="18" t="e">
        <x:f>HYPERLINK("https://www.uta.edu","Open source")</x:f>
        <x:v>HYPERLINK is not implemented. linkLocation=https://www.uta.edu, friendlyName=Open source</x:v>
      </x:c>
    </x:row>
    <x:row r="2379" ht="46" customHeight="1">
      <x:c r="A2379" s="17" t="str">
        <x:v>stage3src:4defda0739fd3635cde2</x:v>
      </x:c>
      <x:c r="B2379" s="17" t="str">
        <x:v>program</x:v>
      </x:c>
      <x:c r="C2379" s="17" t="str">
        <x:v>The University of Texas at Arlington</x:v>
      </x:c>
      <x:c r="D2379" s="17" t="str">
        <x:v>us:ipeds:228769:program:unclear:ipeds-discovery-signal-computer-engineering-general-cip-14-0901</x:v>
      </x:c>
      <x:c r="E2379" s="17" t="str"/>
      <x:c r="F2379" s="17" t="str">
        <x:v>discovery</x:v>
      </x:c>
      <x:c r="G2379" s="17" t="str">
        <x:v>Stage 2 recorded this row as a discovery candidate; it does not independently verify an exact current research program, eligibility, or funding.</x:v>
      </x:c>
      <x:c r="H2379" s="17" t="str">
        <x:v>Pass 2 Stage 2 candidate funnel</x:v>
      </x:c>
      <x:c r="I2379" s="17" t="str">
        <x:v>Graduate audit pipeline</x:v>
      </x:c>
      <x:c r="J2379" s="17" t="str">
        <x:v>derived</x:v>
      </x:c>
      <x:c r="K2379" s="17" t="str">
        <x:v>2026-09-11</x:v>
      </x:c>
      <x:c r="L2379" s="17" t="str">
        <x:v>Not cycle-specific</x:v>
      </x:c>
      <x:c r="M2379" s="17" t="str">
        <x:v>low</x:v>
      </x:c>
      <x:c r="N2379" s="17" t="str">
        <x:v>Discovery evidence only</x:v>
      </x:c>
      <x:c r="O2379" s="17" t="str">
        <x:v>Use the source_record_paths field to trace the underlying discovery inputs.</x:v>
      </x:c>
      <x:c r="P2379" s="18" t="e">
        <x:f>HYPERLINK("https://www.uta.edu","Open source")</x:f>
        <x:v>HYPERLINK is not implemented. linkLocation=https://www.uta.edu, friendlyName=Open source</x:v>
      </x:c>
    </x:row>
    <x:row r="2380" ht="46" customHeight="1">
      <x:c r="A2380" s="17" t="str">
        <x:v>stage3src:bd747d1fa9310baf295e</x:v>
      </x:c>
      <x:c r="B2380" s="17" t="str">
        <x:v>program</x:v>
      </x:c>
      <x:c r="C2380" s="17" t="str">
        <x:v>The University of Texas at Arlington</x:v>
      </x:c>
      <x:c r="D2380" s="17" t="str">
        <x:v>us:ipeds:228769:program:unclear:ipeds-discovery-signal-computer-software-engineering-cip-14-0903</x:v>
      </x:c>
      <x:c r="E2380" s="17" t="str"/>
      <x:c r="F2380" s="17" t="str">
        <x:v>discovery</x:v>
      </x:c>
      <x:c r="G2380" s="17" t="str">
        <x:v>Stage 2 recorded this row as a discovery candidate; it does not independently verify an exact current research program, eligibility, or funding.</x:v>
      </x:c>
      <x:c r="H2380" s="17" t="str">
        <x:v>Pass 2 Stage 2 candidate funnel</x:v>
      </x:c>
      <x:c r="I2380" s="17" t="str">
        <x:v>Graduate audit pipeline</x:v>
      </x:c>
      <x:c r="J2380" s="17" t="str">
        <x:v>derived</x:v>
      </x:c>
      <x:c r="K2380" s="17" t="str">
        <x:v>2026-09-11</x:v>
      </x:c>
      <x:c r="L2380" s="17" t="str">
        <x:v>Not cycle-specific</x:v>
      </x:c>
      <x:c r="M2380" s="17" t="str">
        <x:v>low</x:v>
      </x:c>
      <x:c r="N2380" s="17" t="str">
        <x:v>Discovery evidence only</x:v>
      </x:c>
      <x:c r="O2380" s="17" t="str">
        <x:v>Use the source_record_paths field to trace the underlying discovery inputs.</x:v>
      </x:c>
      <x:c r="P2380" s="18" t="e">
        <x:f>HYPERLINK("https://www.uta.edu","Open source")</x:f>
        <x:v>HYPERLINK is not implemented. linkLocation=https://www.uta.edu, friendlyName=Open source</x:v>
      </x:c>
    </x:row>
    <x:row r="2381" ht="46" customHeight="1">
      <x:c r="A2381" s="17" t="str">
        <x:v>stage3src:406125fb74022a1dc3b4</x:v>
      </x:c>
      <x:c r="B2381" s="17" t="str">
        <x:v>program</x:v>
      </x:c>
      <x:c r="C2381" s="17" t="str">
        <x:v>The University of Texas at Arlington</x:v>
      </x:c>
      <x:c r="D2381" s="17" t="str">
        <x:v>us:ipeds:228769:program:unclear:ipeds-discovery-signal-data-analytics-general-cip-30-7101</x:v>
      </x:c>
      <x:c r="E2381" s="17" t="str"/>
      <x:c r="F2381" s="17" t="str">
        <x:v>discovery</x:v>
      </x:c>
      <x:c r="G2381" s="17" t="str">
        <x:v>Stage 2 recorded this row as a discovery candidate; it does not independently verify an exact current research program, eligibility, or funding.</x:v>
      </x:c>
      <x:c r="H2381" s="17" t="str">
        <x:v>Pass 2 Stage 2 candidate funnel</x:v>
      </x:c>
      <x:c r="I2381" s="17" t="str">
        <x:v>Graduate audit pipeline</x:v>
      </x:c>
      <x:c r="J2381" s="17" t="str">
        <x:v>derived</x:v>
      </x:c>
      <x:c r="K2381" s="17" t="str">
        <x:v>2026-09-11</x:v>
      </x:c>
      <x:c r="L2381" s="17" t="str">
        <x:v>Not cycle-specific</x:v>
      </x:c>
      <x:c r="M2381" s="17" t="str">
        <x:v>low</x:v>
      </x:c>
      <x:c r="N2381" s="17" t="str">
        <x:v>Discovery evidence only</x:v>
      </x:c>
      <x:c r="O2381" s="17" t="str">
        <x:v>Use the source_record_paths field to trace the underlying discovery inputs.</x:v>
      </x:c>
      <x:c r="P2381" s="18" t="e">
        <x:f>HYPERLINK("https://www.uta.edu","Open source")</x:f>
        <x:v>HYPERLINK is not implemented. linkLocation=https://www.uta.edu, friendlyName=Open source</x:v>
      </x:c>
    </x:row>
    <x:row r="2382" ht="46" customHeight="1">
      <x:c r="A2382" s="17" t="str">
        <x:v>stage3src:1a0a9603014835a46ebe</x:v>
      </x:c>
      <x:c r="B2382" s="17" t="str">
        <x:v>program</x:v>
      </x:c>
      <x:c r="C2382" s="17" t="str">
        <x:v>The University of Texas at Arlington</x:v>
      </x:c>
      <x:c r="D2382" s="17" t="str">
        <x:v>us:ipeds:228769:program:unclear:ipeds-discovery-signal-electrical-and-electronics-engineering-cip-14-1001</x:v>
      </x:c>
      <x:c r="E2382" s="17" t="str"/>
      <x:c r="F2382" s="17" t="str">
        <x:v>discovery</x:v>
      </x:c>
      <x:c r="G2382" s="17" t="str">
        <x:v>Stage 2 recorded this row as a discovery candidate; it does not independently verify an exact current research program, eligibility, or funding.</x:v>
      </x:c>
      <x:c r="H2382" s="17" t="str">
        <x:v>Pass 2 Stage 2 candidate funnel</x:v>
      </x:c>
      <x:c r="I2382" s="17" t="str">
        <x:v>Graduate audit pipeline</x:v>
      </x:c>
      <x:c r="J2382" s="17" t="str">
        <x:v>derived</x:v>
      </x:c>
      <x:c r="K2382" s="17" t="str">
        <x:v>2026-09-11</x:v>
      </x:c>
      <x:c r="L2382" s="17" t="str">
        <x:v>Not cycle-specific</x:v>
      </x:c>
      <x:c r="M2382" s="17" t="str">
        <x:v>low</x:v>
      </x:c>
      <x:c r="N2382" s="17" t="str">
        <x:v>Discovery evidence only</x:v>
      </x:c>
      <x:c r="O2382" s="17" t="str">
        <x:v>Use the source_record_paths field to trace the underlying discovery inputs.</x:v>
      </x:c>
      <x:c r="P2382" s="18" t="e">
        <x:f>HYPERLINK("https://www.uta.edu","Open source")</x:f>
        <x:v>HYPERLINK is not implemented. linkLocation=https://www.uta.edu, friendlyName=Open source</x:v>
      </x:c>
    </x:row>
    <x:row r="2383" ht="46" customHeight="1">
      <x:c r="A2383" s="17" t="str">
        <x:v>stage3src:454965114cf9958a24d6</x:v>
      </x:c>
      <x:c r="B2383" s="17" t="str">
        <x:v>program</x:v>
      </x:c>
      <x:c r="C2383" s="17" t="str">
        <x:v>The University of Texas at Arlington</x:v>
      </x:c>
      <x:c r="D2383" s="17" t="str">
        <x:v>us:ipeds:228769:program:unclear:ipeds-discovery-signal-information-science-studies-cip-11-0401</x:v>
      </x:c>
      <x:c r="E2383" s="17" t="str"/>
      <x:c r="F2383" s="17" t="str">
        <x:v>discovery</x:v>
      </x:c>
      <x:c r="G2383" s="17" t="str">
        <x:v>Stage 2 recorded this row as a discovery candidate; it does not independently verify an exact current research program, eligibility, or funding.</x:v>
      </x:c>
      <x:c r="H2383" s="17" t="str">
        <x:v>Pass 2 Stage 2 candidate funnel</x:v>
      </x:c>
      <x:c r="I2383" s="17" t="str">
        <x:v>Graduate audit pipeline</x:v>
      </x:c>
      <x:c r="J2383" s="17" t="str">
        <x:v>derived</x:v>
      </x:c>
      <x:c r="K2383" s="17" t="str">
        <x:v>2026-09-11</x:v>
      </x:c>
      <x:c r="L2383" s="17" t="str">
        <x:v>Not cycle-specific</x:v>
      </x:c>
      <x:c r="M2383" s="17" t="str">
        <x:v>low</x:v>
      </x:c>
      <x:c r="N2383" s="17" t="str">
        <x:v>Discovery evidence only</x:v>
      </x:c>
      <x:c r="O2383" s="17" t="str">
        <x:v>Use the source_record_paths field to trace the underlying discovery inputs.</x:v>
      </x:c>
      <x:c r="P2383" s="18" t="e">
        <x:f>HYPERLINK("https://www.uta.edu","Open source")</x:f>
        <x:v>HYPERLINK is not implemented. linkLocation=https://www.uta.edu, friendlyName=Open source</x:v>
      </x:c>
    </x:row>
    <x:row r="2384" ht="46" customHeight="1">
      <x:c r="A2384" s="17" t="str">
        <x:v>stage3src:0b609d97bc8b44a399e9</x:v>
      </x:c>
      <x:c r="B2384" s="17" t="str">
        <x:v>program</x:v>
      </x:c>
      <x:c r="C2384" s="17" t="str">
        <x:v>The University of Texas at Austin</x:v>
      </x:c>
      <x:c r="D2384" s="17" t="str">
        <x:v>us:ipeds:228778:program:phd:computer-science-phd</x:v>
      </x:c>
      <x:c r="E2384" s="17" t="str"/>
      <x:c r="F2384" s="17" t="str">
        <x:v>funding|program</x:v>
      </x:c>
      <x:c r="G2384" s="17" t="str">
        <x:v>Most PhDs receive first-five-year support and assistantship benefits</x:v>
      </x:c>
      <x:c r="H2384" s="17" t="str">
        <x:v>Graduate Cost and Aid</x:v>
      </x:c>
      <x:c r="I2384" s="17" t="str">
        <x:v>The University of Texas at Austin</x:v>
      </x:c>
      <x:c r="J2384" s="17" t="str">
        <x:v>Official</x:v>
      </x:c>
      <x:c r="K2384" s="17" t="str">
        <x:v>2026-09-09</x:v>
      </x:c>
      <x:c r="L2384" s="17" t="str">
        <x:v>Current</x:v>
      </x:c>
      <x:c r="M2384" s="17" t="str">
        <x:v>High</x:v>
      </x:c>
      <x:c r="N2384" s="17" t="str">
        <x:v>Verified</x:v>
      </x:c>
      <x:c r="O2384" s="17" t="str"/>
      <x:c r="P2384" s="18" t="e">
        <x:f>HYPERLINK("https://www.cs.utexas.edu/graduate/cost-and-aid","Open source")</x:f>
        <x:v>HYPERLINK is not implemented. linkLocation=https://www.cs.utexas.edu/graduate/cost-and-aid, friendlyName=Open source</x:v>
      </x:c>
    </x:row>
    <x:row r="2385" ht="46" customHeight="1">
      <x:c r="A2385" s="17" t="str">
        <x:v>stage3src:495e530d1a1197fdb1d6</x:v>
      </x:c>
      <x:c r="B2385" s="17" t="str">
        <x:v>program</x:v>
      </x:c>
      <x:c r="C2385" s="17" t="str">
        <x:v>The University of Texas at Austin</x:v>
      </x:c>
      <x:c r="D2385" s="17" t="str">
        <x:v>us:ipeds:228778:program:phd:computer-science-phd</x:v>
      </x:c>
      <x:c r="E2385" s="17" t="str"/>
      <x:c r="F2385" s="17" t="str">
        <x:v>fees|eligibility</x:v>
      </x:c>
      <x:c r="G2385" s="17" t="str">
        <x:v>$65 domestic/$90 international fee and international waiver limitation</x:v>
      </x:c>
      <x:c r="H2385" s="17" t="str">
        <x:v>Apply for Graduate Admission</x:v>
      </x:c>
      <x:c r="I2385" s="17" t="str">
        <x:v>The University of Texas at Austin</x:v>
      </x:c>
      <x:c r="J2385" s="17" t="str">
        <x:v>Official</x:v>
      </x:c>
      <x:c r="K2385" s="17" t="str">
        <x:v>2026-09-09</x:v>
      </x:c>
      <x:c r="L2385" s="17" t="str">
        <x:v>Current</x:v>
      </x:c>
      <x:c r="M2385" s="17" t="str">
        <x:v>High</x:v>
      </x:c>
      <x:c r="N2385" s="17" t="str">
        <x:v>Verified</x:v>
      </x:c>
      <x:c r="O2385" s="17" t="str"/>
      <x:c r="P2385" s="18" t="e">
        <x:f>HYPERLINK("https://graduate.utexas.edu/admissions/apply","Open source")</x:f>
        <x:v>HYPERLINK is not implemented. linkLocation=https://graduate.utexas.edu/admissions/apply, friendlyName=Open source</x:v>
      </x:c>
    </x:row>
    <x:row r="2386" ht="46" customHeight="1">
      <x:c r="A2386" s="17" t="str">
        <x:v>stage3src:e3b98ce2449fb88f3dc8</x:v>
      </x:c>
      <x:c r="B2386" s="17" t="str">
        <x:v>program</x:v>
      </x:c>
      <x:c r="C2386" s="17" t="str">
        <x:v>The University of Texas at Austin</x:v>
      </x:c>
      <x:c r="D2386" s="17" t="str">
        <x:v>us:ipeds:228778:program:phd:computer-science-phd</x:v>
      </x:c>
      <x:c r="E2386" s="17" t="str"/>
      <x:c r="F2386" s="17" t="str">
        <x:v>deadline|eligibility|admissions|program</x:v>
      </x:c>
      <x:c r="G2386" s="17" t="str">
        <x:v>Bachelor/comparable degree, 3.0 upper-division GPA, current December 15 deadline, and admissions contact</x:v>
      </x:c>
      <x:c r="H2386" s="17" t="str">
        <x:v>Graduate Admissions</x:v>
      </x:c>
      <x:c r="I2386" s="17" t="str">
        <x:v>The University of Texas at Austin</x:v>
      </x:c>
      <x:c r="J2386" s="17" t="str">
        <x:v>Official</x:v>
      </x:c>
      <x:c r="K2386" s="17" t="str">
        <x:v>2026-09-09</x:v>
      </x:c>
      <x:c r="L2386" s="17" t="str">
        <x:v>Current; cycle not labeled</x:v>
      </x:c>
      <x:c r="M2386" s="17" t="str">
        <x:v>High</x:v>
      </x:c>
      <x:c r="N2386" s="17" t="str">
        <x:v>Verified</x:v>
      </x:c>
      <x:c r="O2386" s="17" t="str"/>
      <x:c r="P2386" s="18" t="e">
        <x:f>HYPERLINK("https://www.cs.utexas.edu/graduate/apply","Open source")</x:f>
        <x:v>HYPERLINK is not implemented. linkLocation=https://www.cs.utexas.edu/graduate/apply, friendlyName=Open source</x:v>
      </x:c>
    </x:row>
    <x:row r="2387" ht="46" customHeight="1">
      <x:c r="A2387" s="17" t="str">
        <x:v>stage3src:443b340ebbd3bd7c694a</x:v>
      </x:c>
      <x:c r="B2387" s="17" t="str">
        <x:v>program</x:v>
      </x:c>
      <x:c r="C2387" s="17" t="str">
        <x:v>The University of Texas at Austin</x:v>
      </x:c>
      <x:c r="D2387" s="17" t="str">
        <x:v>us:ipeds:228778:program:phd:ph-d-in-computer-science</x:v>
      </x:c>
      <x:c r="E2387" s="17" t="str"/>
      <x:c r="F2387" s="17" t="str">
        <x:v>program</x:v>
      </x:c>
      <x:c r="G2387" s="17" t="str">
        <x:v>Official research-degrees page describes an active Ph.D. with early research immersion and dissertation credit.</x:v>
      </x:c>
      <x:c r="H2387" s="17" t="str">
        <x:v>Ph.D. in Computer Science</x:v>
      </x:c>
      <x:c r="I2387" s="17" t="str">
        <x:v>The University of Texas at Austin</x:v>
      </x:c>
      <x:c r="J2387" s="17" t="str">
        <x:v>official</x:v>
      </x:c>
      <x:c r="K2387" s="17" t="str">
        <x:v>2026-09-09</x:v>
      </x:c>
      <x:c r="L2387" s="17" t="str">
        <x:v>Current page; Fall 2027 cycle not verified</x:v>
      </x:c>
      <x:c r="M2387" s="17" t="str">
        <x:v>high for page content; medium for future availability</x:v>
      </x:c>
      <x:c r="N2387" s="17" t="str">
        <x:v>opened official page</x:v>
      </x:c>
      <x:c r="O2387" s="17" t="str">
        <x:v>No inference about faculty recruiting or funding was made.</x:v>
      </x:c>
      <x:c r="P2387" s="18" t="e">
        <x:f>HYPERLINK("https://www.cs.utexas.edu/graduate/research-degrees","Open source")</x:f>
        <x:v>HYPERLINK is not implemented. linkLocation=https://www.cs.utexas.edu/graduate/research-degrees, friendlyName=Open source</x:v>
      </x:c>
    </x:row>
    <x:row r="2388" ht="46" customHeight="1">
      <x:c r="A2388" s="17" t="str">
        <x:v>stage3src:e9169d3f2b0eabc5733d</x:v>
      </x:c>
      <x:c r="B2388" s="17" t="str">
        <x:v>program</x:v>
      </x:c>
      <x:c r="C2388" s="17" t="str">
        <x:v>The University of Texas at Austin</x:v>
      </x:c>
      <x:c r="D2388" s="17" t="str">
        <x:v>us:ipeds:228778:program:unclear:ipeds-discovery-signal-computer-and-information-sciences-general-cip-11-0101</x:v>
      </x:c>
      <x:c r="E2388" s="17" t="str"/>
      <x:c r="F2388" s="17" t="str">
        <x:v>discovery</x:v>
      </x:c>
      <x:c r="G2388" s="17" t="str">
        <x:v>Stage 2 recorded this row as a discovery candidate; it does not independently verify an exact current research program, eligibility, or funding.</x:v>
      </x:c>
      <x:c r="H2388" s="17" t="str">
        <x:v>Pass 2 Stage 2 candidate funnel</x:v>
      </x:c>
      <x:c r="I2388" s="17" t="str">
        <x:v>Graduate audit pipeline</x:v>
      </x:c>
      <x:c r="J2388" s="17" t="str">
        <x:v>derived</x:v>
      </x:c>
      <x:c r="K2388" s="17" t="str">
        <x:v>2026-09-11</x:v>
      </x:c>
      <x:c r="L2388" s="17" t="str">
        <x:v>Not cycle-specific</x:v>
      </x:c>
      <x:c r="M2388" s="17" t="str">
        <x:v>low</x:v>
      </x:c>
      <x:c r="N2388" s="17" t="str">
        <x:v>Discovery evidence only</x:v>
      </x:c>
      <x:c r="O2388" s="17" t="str">
        <x:v>Use the source_record_paths field to trace the underlying discovery inputs.</x:v>
      </x:c>
      <x:c r="P2388" s="18" t="e">
        <x:f>HYPERLINK("https://www.utexas.edu","Open source")</x:f>
        <x:v>HYPERLINK is not implemented. linkLocation=https://www.utexas.edu, friendlyName=Open source</x:v>
      </x:c>
    </x:row>
    <x:row r="2389" ht="46" customHeight="1">
      <x:c r="A2389" s="17" t="str">
        <x:v>stage3src:d78e89a2d0dd68a54e90</x:v>
      </x:c>
      <x:c r="B2389" s="17" t="str">
        <x:v>program</x:v>
      </x:c>
      <x:c r="C2389" s="17" t="str">
        <x:v>The University of Texas at Austin</x:v>
      </x:c>
      <x:c r="D2389" s="17" t="str">
        <x:v>us:ipeds:228778:program:unclear:ipeds-discovery-signal-computer-and-information-systems-security-auditing-information-assurance-cip-11-1003</x:v>
      </x:c>
      <x:c r="E2389" s="17" t="str"/>
      <x:c r="F2389" s="17" t="str">
        <x:v>discovery</x:v>
      </x:c>
      <x:c r="G2389" s="17" t="str">
        <x:v>Stage 2 recorded this row as a discovery candidate; it does not independently verify an exact current research program, eligibility, or funding.</x:v>
      </x:c>
      <x:c r="H2389" s="17" t="str">
        <x:v>Pass 2 Stage 2 candidate funnel</x:v>
      </x:c>
      <x:c r="I2389" s="17" t="str">
        <x:v>Graduate audit pipeline</x:v>
      </x:c>
      <x:c r="J2389" s="17" t="str">
        <x:v>derived</x:v>
      </x:c>
      <x:c r="K2389" s="17" t="str">
        <x:v>2026-09-11</x:v>
      </x:c>
      <x:c r="L2389" s="17" t="str">
        <x:v>Not cycle-specific</x:v>
      </x:c>
      <x:c r="M2389" s="17" t="str">
        <x:v>low</x:v>
      </x:c>
      <x:c r="N2389" s="17" t="str">
        <x:v>Discovery evidence only</x:v>
      </x:c>
      <x:c r="O2389" s="17" t="str">
        <x:v>Use the source_record_paths field to trace the underlying discovery inputs.</x:v>
      </x:c>
      <x:c r="P2389" s="18" t="e">
        <x:f>HYPERLINK("https://www.utexas.edu","Open source")</x:f>
        <x:v>HYPERLINK is not implemented. linkLocation=https://www.utexas.edu, friendlyName=Open source</x:v>
      </x:c>
    </x:row>
    <x:row r="2390" ht="46" customHeight="1">
      <x:c r="A2390" s="17" t="str">
        <x:v>stage3src:8dfdc47f78ba1ccbdae2</x:v>
      </x:c>
      <x:c r="B2390" s="17" t="str">
        <x:v>program</x:v>
      </x:c>
      <x:c r="C2390" s="17" t="str">
        <x:v>The University of Texas at Austin</x:v>
      </x:c>
      <x:c r="D2390" s="17" t="str">
        <x:v>us:ipeds:228778:program:unclear:ipeds-discovery-signal-data-science-general-cip-30-7001</x:v>
      </x:c>
      <x:c r="E2390" s="17" t="str"/>
      <x:c r="F2390" s="17" t="str">
        <x:v>discovery</x:v>
      </x:c>
      <x:c r="G2390" s="17" t="str">
        <x:v>Stage 2 recorded this row as a discovery candidate; it does not independently verify an exact current research program, eligibility, or funding.</x:v>
      </x:c>
      <x:c r="H2390" s="17" t="str">
        <x:v>Pass 2 Stage 2 candidate funnel</x:v>
      </x:c>
      <x:c r="I2390" s="17" t="str">
        <x:v>Graduate audit pipeline</x:v>
      </x:c>
      <x:c r="J2390" s="17" t="str">
        <x:v>derived</x:v>
      </x:c>
      <x:c r="K2390" s="17" t="str">
        <x:v>2026-09-11</x:v>
      </x:c>
      <x:c r="L2390" s="17" t="str">
        <x:v>Not cycle-specific</x:v>
      </x:c>
      <x:c r="M2390" s="17" t="str">
        <x:v>low</x:v>
      </x:c>
      <x:c r="N2390" s="17" t="str">
        <x:v>Discovery evidence only</x:v>
      </x:c>
      <x:c r="O2390" s="17" t="str">
        <x:v>Use the source_record_paths field to trace the underlying discovery inputs.</x:v>
      </x:c>
      <x:c r="P2390" s="18" t="e">
        <x:f>HYPERLINK("https://www.utexas.edu","Open source")</x:f>
        <x:v>HYPERLINK is not implemented. linkLocation=https://www.utexas.edu, friendlyName=Open source</x:v>
      </x:c>
    </x:row>
    <x:row r="2391" ht="46" customHeight="1">
      <x:c r="A2391" s="17" t="str">
        <x:v>stage3src:87fad34778178d4d3c0c</x:v>
      </x:c>
      <x:c r="B2391" s="17" t="str">
        <x:v>program</x:v>
      </x:c>
      <x:c r="C2391" s="17" t="str">
        <x:v>The University of Texas at Austin</x:v>
      </x:c>
      <x:c r="D2391" s="17" t="str">
        <x:v>us:ipeds:228778:program:unclear:ipeds-discovery-signal-information-science-studies-cip-11-0401</x:v>
      </x:c>
      <x:c r="E2391" s="17" t="str"/>
      <x:c r="F2391" s="17" t="str">
        <x:v>discovery</x:v>
      </x:c>
      <x:c r="G2391" s="17" t="str">
        <x:v>Stage 2 recorded this row as a discovery candidate; it does not independently verify an exact current research program, eligibility, or funding.</x:v>
      </x:c>
      <x:c r="H2391" s="17" t="str">
        <x:v>Pass 2 Stage 2 candidate funnel</x:v>
      </x:c>
      <x:c r="I2391" s="17" t="str">
        <x:v>Graduate audit pipeline</x:v>
      </x:c>
      <x:c r="J2391" s="17" t="str">
        <x:v>derived</x:v>
      </x:c>
      <x:c r="K2391" s="17" t="str">
        <x:v>2026-09-11</x:v>
      </x:c>
      <x:c r="L2391" s="17" t="str">
        <x:v>Not cycle-specific</x:v>
      </x:c>
      <x:c r="M2391" s="17" t="str">
        <x:v>low</x:v>
      </x:c>
      <x:c r="N2391" s="17" t="str">
        <x:v>Discovery evidence only</x:v>
      </x:c>
      <x:c r="O2391" s="17" t="str">
        <x:v>Use the source_record_paths field to trace the underlying discovery inputs.</x:v>
      </x:c>
      <x:c r="P2391" s="18" t="e">
        <x:f>HYPERLINK("https://www.utexas.edu","Open source")</x:f>
        <x:v>HYPERLINK is not implemented. linkLocation=https://www.utexas.edu, friendlyName=Open source</x:v>
      </x:c>
    </x:row>
    <x:row r="2392" ht="46" customHeight="1">
      <x:c r="A2392" s="17" t="str">
        <x:v>stage3src:3ab42889ed2ca69451b4</x:v>
      </x:c>
      <x:c r="B2392" s="17" t="str">
        <x:v>program</x:v>
      </x:c>
      <x:c r="C2392" s="17" t="str">
        <x:v>The University of Texas at Dallas</x:v>
      </x:c>
      <x:c r="D2392" s="17" t="str">
        <x:v>us:ipeds:228787:program:phd:computer-science-phd</x:v>
      </x:c>
      <x:c r="E2392" s="17" t="str"/>
      <x:c r="F2392" s="17" t="str">
        <x:v>fees|admissions</x:v>
      </x:c>
      <x:c r="G2392" s="17" t="str">
        <x:v>$75 application fee</x:v>
      </x:c>
      <x:c r="H2392" s="17" t="str">
        <x:v>Deadlines and Fees</x:v>
      </x:c>
      <x:c r="I2392" s="17" t="str">
        <x:v>The University of Texas at Dallas</x:v>
      </x:c>
      <x:c r="J2392" s="17" t="str">
        <x:v>Official</x:v>
      </x:c>
      <x:c r="K2392" s="17" t="str">
        <x:v>2026-09-09</x:v>
      </x:c>
      <x:c r="L2392" s="17" t="str">
        <x:v>Current</x:v>
      </x:c>
      <x:c r="M2392" s="17" t="str">
        <x:v>High</x:v>
      </x:c>
      <x:c r="N2392" s="17" t="str">
        <x:v>Verified</x:v>
      </x:c>
      <x:c r="O2392" s="17" t="str"/>
      <x:c r="P2392" s="18" t="e">
        <x:f>HYPERLINK("https://graduate-admissions.utdallas.edu/apply-to-ut-dallas/deadlines-and-fees/","Open source")</x:f>
        <x:v>HYPERLINK is not implemented. linkLocation=https://graduate-admissions.utdallas.edu/apply-to-ut-dallas/deadlines-and-fees/, friendlyName=Open source</x:v>
      </x:c>
    </x:row>
    <x:row r="2393" ht="46" customHeight="1">
      <x:c r="A2393" s="17" t="str">
        <x:v>stage3src:3b78d034f9280629ea81</x:v>
      </x:c>
      <x:c r="B2393" s="17" t="str">
        <x:v>program</x:v>
      </x:c>
      <x:c r="C2393" s="17" t="str">
        <x:v>The University of Texas at Dallas</x:v>
      </x:c>
      <x:c r="D2393" s="17" t="str">
        <x:v>us:ipeds:228787:program:phd:computer-science-phd</x:v>
      </x:c>
      <x:c r="E2393" s="17" t="str"/>
      <x:c r="F2393" s="17" t="str">
        <x:v>admissions</x:v>
      </x:c>
      <x:c r="G2393" s="17" t="str">
        <x:v>Program contacts and current admissions summary</x:v>
      </x:c>
      <x:c r="H2393" s="17" t="str">
        <x:v>Computer Science PhD Fact Sheet</x:v>
      </x:c>
      <x:c r="I2393" s="17" t="str">
        <x:v>The University of Texas at Dallas</x:v>
      </x:c>
      <x:c r="J2393" s="17" t="str">
        <x:v>Official</x:v>
      </x:c>
      <x:c r="K2393" s="17" t="str">
        <x:v>2026-09-09</x:v>
      </x:c>
      <x:c r="L2393" s="17" t="str">
        <x:v>Current</x:v>
      </x:c>
      <x:c r="M2393" s="17" t="str">
        <x:v>High</x:v>
      </x:c>
      <x:c r="N2393" s="17" t="str">
        <x:v>Verified</x:v>
      </x:c>
      <x:c r="O2393" s="17" t="str"/>
      <x:c r="P2393" s="18" t="e">
        <x:f>HYPERLINK("https://academics.utdallas.edu/fact-sheets/ecs/phd-computer-science/","Open source")</x:f>
        <x:v>HYPERLINK is not implemented. linkLocation=https://academics.utdallas.edu/fact-sheets/ecs/phd-computer-science/, friendlyName=Open source</x:v>
      </x:c>
    </x:row>
    <x:row r="2394" ht="46" customHeight="1">
      <x:c r="A2394" s="17" t="str">
        <x:v>stage3src:4848834492bcee8419fd</x:v>
      </x:c>
      <x:c r="B2394" s="17" t="str">
        <x:v>program</x:v>
      </x:c>
      <x:c r="C2394" s="17" t="str">
        <x:v>The University of Texas at Dallas</x:v>
      </x:c>
      <x:c r="D2394" s="17" t="str">
        <x:v>us:ipeds:228787:program:phd:computer-science-phd</x:v>
      </x:c>
      <x:c r="E2394" s="17" t="str"/>
      <x:c r="F2394" s="17" t="str">
        <x:v>funding|eligibility</x:v>
      </x:c>
      <x:c r="G2394" s="17" t="str">
        <x:v>TA timing, no master's prerequisite for BS CS, and lack of funding guarantee</x:v>
      </x:c>
      <x:c r="H2394" s="17" t="str">
        <x:v>Admissions FAQ</x:v>
      </x:c>
      <x:c r="I2394" s="17" t="str">
        <x:v>The University of Texas at Dallas</x:v>
      </x:c>
      <x:c r="J2394" s="17" t="str">
        <x:v>Official</x:v>
      </x:c>
      <x:c r="K2394" s="17" t="str">
        <x:v>2026-09-09</x:v>
      </x:c>
      <x:c r="L2394" s="17" t="str">
        <x:v>Current with some stale wording</x:v>
      </x:c>
      <x:c r="M2394" s="17" t="str">
        <x:v>Medium</x:v>
      </x:c>
      <x:c r="N2394" s="17" t="str">
        <x:v>Verified</x:v>
      </x:c>
      <x:c r="O2394" s="17" t="str">
        <x:v>GRE language conflicts with newer catalog; discrepancy preserved.</x:v>
      </x:c>
      <x:c r="P2394" s="18" t="e">
        <x:f>HYPERLINK("https://cs.utdallas.edu/admissions/admissions-faq/","Open source")</x:f>
        <x:v>HYPERLINK is not implemented. linkLocation=https://cs.utdallas.edu/admissions/admissions-faq/, friendlyName=Open source</x:v>
      </x:c>
    </x:row>
    <x:row r="2395" ht="46" customHeight="1">
      <x:c r="A2395" s="17" t="str">
        <x:v>stage3src:59a9b8a2bb07e88f3ec5</x:v>
      </x:c>
      <x:c r="B2395" s="17" t="str">
        <x:v>program</x:v>
      </x:c>
      <x:c r="C2395" s="17" t="str">
        <x:v>The University of Texas at Dallas</x:v>
      </x:c>
      <x:c r="D2395" s="17" t="str">
        <x:v>us:ipeds:228787:program:phd:computer-science-phd</x:v>
      </x:c>
      <x:c r="E2395" s="17" t="str"/>
      <x:c r="F2395" s="17" t="str">
        <x:v>deadline|eligibility|program</x:v>
      </x:c>
      <x:c r="G2395" s="17" t="str">
        <x:v>Active PhD, BS-entry requirements, last-60 GPA, dissertation, and current deadline</x:v>
      </x:c>
      <x:c r="H2395" s="17" t="str">
        <x:v>Computer Science Graduate Catalog</x:v>
      </x:c>
      <x:c r="I2395" s="17" t="str">
        <x:v>The University of Texas at Dallas</x:v>
      </x:c>
      <x:c r="J2395" s="17" t="str">
        <x:v>Official</x:v>
      </x:c>
      <x:c r="K2395" s="17" t="str">
        <x:v>2026-09-09</x:v>
      </x:c>
      <x:c r="L2395" s="17" t="str">
        <x:v>2026–27; date not explicitly Fall 2027</x:v>
      </x:c>
      <x:c r="M2395" s="17" t="str">
        <x:v>High</x:v>
      </x:c>
      <x:c r="N2395" s="17" t="str">
        <x:v>Verified</x:v>
      </x:c>
      <x:c r="O2395" s="17" t="str"/>
      <x:c r="P2395" s="18" t="e">
        <x:f>HYPERLINK("https://catalog.utdallas.edu/2026/graduate/programs/ecs/computer-science","Open source")</x:f>
        <x:v>HYPERLINK is not implemented. linkLocation=https://catalog.utdallas.edu/2026/graduate/programs/ecs/computer-science, friendlyName=Open source</x:v>
      </x:c>
    </x:row>
    <x:row r="2396" ht="46" customHeight="1">
      <x:c r="A2396" s="17" t="str">
        <x:v>stage3src:3bda7b685a9015cb78c1</x:v>
      </x:c>
      <x:c r="B2396" s="17" t="str">
        <x:v>program</x:v>
      </x:c>
      <x:c r="C2396" s="17" t="str">
        <x:v>The University of Texas at Dallas</x:v>
      </x:c>
      <x:c r="D2396" s="17" t="str">
        <x:v>us:ipeds:228787:program:unclear:ipeds-discovery-signal-computer-and-information-sciences-general-cip-11-0101</x:v>
      </x:c>
      <x:c r="E2396" s="17" t="str"/>
      <x:c r="F2396" s="17" t="str">
        <x:v>discovery</x:v>
      </x:c>
      <x:c r="G2396" s="17" t="str">
        <x:v>Stage 2 recorded this row as a discovery candidate; it does not independently verify an exact current research program, eligibility, or funding.</x:v>
      </x:c>
      <x:c r="H2396" s="17" t="str">
        <x:v>Pass 2 Stage 2 candidate funnel</x:v>
      </x:c>
      <x:c r="I2396" s="17" t="str">
        <x:v>Graduate audit pipeline</x:v>
      </x:c>
      <x:c r="J2396" s="17" t="str">
        <x:v>derived</x:v>
      </x:c>
      <x:c r="K2396" s="17" t="str">
        <x:v>2026-09-11</x:v>
      </x:c>
      <x:c r="L2396" s="17" t="str">
        <x:v>Not cycle-specific</x:v>
      </x:c>
      <x:c r="M2396" s="17" t="str">
        <x:v>low</x:v>
      </x:c>
      <x:c r="N2396" s="17" t="str">
        <x:v>Discovery evidence only</x:v>
      </x:c>
      <x:c r="O2396" s="17" t="str">
        <x:v>Use the source_record_paths field to trace the underlying discovery inputs.</x:v>
      </x:c>
      <x:c r="P2396" s="18" t="e">
        <x:f>HYPERLINK("https://www.utdallas.edu","Open source")</x:f>
        <x:v>HYPERLINK is not implemented. linkLocation=https://www.utdallas.edu, friendlyName=Open source</x:v>
      </x:c>
    </x:row>
    <x:row r="2397" ht="46" customHeight="1">
      <x:c r="A2397" s="17" t="str">
        <x:v>stage3src:c648043e4430e1004a62</x:v>
      </x:c>
      <x:c r="B2397" s="17" t="str">
        <x:v>program</x:v>
      </x:c>
      <x:c r="C2397" s="17" t="str">
        <x:v>The University of Texas at Dallas</x:v>
      </x:c>
      <x:c r="D2397" s="17" t="str">
        <x:v>us:ipeds:228787:program:unclear:ipeds-discovery-signal-computer-and-information-systems-security-auditing-information-assurance-cip-11-1003</x:v>
      </x:c>
      <x:c r="E2397" s="17" t="str"/>
      <x:c r="F2397" s="17" t="str">
        <x:v>discovery</x:v>
      </x:c>
      <x:c r="G2397" s="17" t="str">
        <x:v>Stage 2 recorded this row as a discovery candidate; it does not independently verify an exact current research program, eligibility, or funding.</x:v>
      </x:c>
      <x:c r="H2397" s="17" t="str">
        <x:v>Pass 2 Stage 2 candidate funnel</x:v>
      </x:c>
      <x:c r="I2397" s="17" t="str">
        <x:v>Graduate audit pipeline</x:v>
      </x:c>
      <x:c r="J2397" s="17" t="str">
        <x:v>derived</x:v>
      </x:c>
      <x:c r="K2397" s="17" t="str">
        <x:v>2026-09-11</x:v>
      </x:c>
      <x:c r="L2397" s="17" t="str">
        <x:v>Not cycle-specific</x:v>
      </x:c>
      <x:c r="M2397" s="17" t="str">
        <x:v>low</x:v>
      </x:c>
      <x:c r="N2397" s="17" t="str">
        <x:v>Discovery evidence only</x:v>
      </x:c>
      <x:c r="O2397" s="17" t="str">
        <x:v>Use the source_record_paths field to trace the underlying discovery inputs.</x:v>
      </x:c>
      <x:c r="P2397" s="18" t="e">
        <x:f>HYPERLINK("https://www.utdallas.edu","Open source")</x:f>
        <x:v>HYPERLINK is not implemented. linkLocation=https://www.utdallas.edu, friendlyName=Open source</x:v>
      </x:c>
    </x:row>
    <x:row r="2398" ht="46" customHeight="1">
      <x:c r="A2398" s="17" t="str">
        <x:v>stage3src:3d67748c6ca4012341fd</x:v>
      </x:c>
      <x:c r="B2398" s="17" t="str">
        <x:v>program</x:v>
      </x:c>
      <x:c r="C2398" s="17" t="str">
        <x:v>The University of Texas at Dallas</x:v>
      </x:c>
      <x:c r="D2398" s="17" t="str">
        <x:v>us:ipeds:228787:program:unclear:ipeds-discovery-signal-computer-engineering-general-cip-14-0901</x:v>
      </x:c>
      <x:c r="E2398" s="17" t="str"/>
      <x:c r="F2398" s="17" t="str">
        <x:v>discovery</x:v>
      </x:c>
      <x:c r="G2398" s="17" t="str">
        <x:v>Stage 2 recorded this row as a discovery candidate; it does not independently verify an exact current research program, eligibility, or funding.</x:v>
      </x:c>
      <x:c r="H2398" s="17" t="str">
        <x:v>Pass 2 Stage 2 candidate funnel</x:v>
      </x:c>
      <x:c r="I2398" s="17" t="str">
        <x:v>Graduate audit pipeline</x:v>
      </x:c>
      <x:c r="J2398" s="17" t="str">
        <x:v>derived</x:v>
      </x:c>
      <x:c r="K2398" s="17" t="str">
        <x:v>2026-09-11</x:v>
      </x:c>
      <x:c r="L2398" s="17" t="str">
        <x:v>Not cycle-specific</x:v>
      </x:c>
      <x:c r="M2398" s="17" t="str">
        <x:v>low</x:v>
      </x:c>
      <x:c r="N2398" s="17" t="str">
        <x:v>Discovery evidence only</x:v>
      </x:c>
      <x:c r="O2398" s="17" t="str">
        <x:v>Use the source_record_paths field to trace the underlying discovery inputs.</x:v>
      </x:c>
      <x:c r="P2398" s="18" t="e">
        <x:f>HYPERLINK("https://www.utdallas.edu","Open source")</x:f>
        <x:v>HYPERLINK is not implemented. linkLocation=https://www.utdallas.edu, friendlyName=Open source</x:v>
      </x:c>
    </x:row>
    <x:row r="2399" ht="46" customHeight="1">
      <x:c r="A2399" s="17" t="str">
        <x:v>stage3src:58036af3f9eeb3c1e445</x:v>
      </x:c>
      <x:c r="B2399" s="17" t="str">
        <x:v>program</x:v>
      </x:c>
      <x:c r="C2399" s="17" t="str">
        <x:v>The University of Texas at Dallas</x:v>
      </x:c>
      <x:c r="D2399" s="17" t="str">
        <x:v>us:ipeds:228787:program:unclear:ipeds-discovery-signal-computer-software-engineering-cip-14-0903</x:v>
      </x:c>
      <x:c r="E2399" s="17" t="str"/>
      <x:c r="F2399" s="17" t="str">
        <x:v>discovery</x:v>
      </x:c>
      <x:c r="G2399" s="17" t="str">
        <x:v>Stage 2 recorded this row as a discovery candidate; it does not independently verify an exact current research program, eligibility, or funding.</x:v>
      </x:c>
      <x:c r="H2399" s="17" t="str">
        <x:v>Pass 2 Stage 2 candidate funnel</x:v>
      </x:c>
      <x:c r="I2399" s="17" t="str">
        <x:v>Graduate audit pipeline</x:v>
      </x:c>
      <x:c r="J2399" s="17" t="str">
        <x:v>derived</x:v>
      </x:c>
      <x:c r="K2399" s="17" t="str">
        <x:v>2026-09-11</x:v>
      </x:c>
      <x:c r="L2399" s="17" t="str">
        <x:v>Not cycle-specific</x:v>
      </x:c>
      <x:c r="M2399" s="17" t="str">
        <x:v>low</x:v>
      </x:c>
      <x:c r="N2399" s="17" t="str">
        <x:v>Discovery evidence only</x:v>
      </x:c>
      <x:c r="O2399" s="17" t="str">
        <x:v>Use the source_record_paths field to trace the underlying discovery inputs.</x:v>
      </x:c>
      <x:c r="P2399" s="18" t="e">
        <x:f>HYPERLINK("https://www.utdallas.edu","Open source")</x:f>
        <x:v>HYPERLINK is not implemented. linkLocation=https://www.utdallas.edu, friendlyName=Open source</x:v>
      </x:c>
    </x:row>
    <x:row r="2400" ht="46" customHeight="1">
      <x:c r="A2400" s="17" t="str">
        <x:v>stage3src:673b228823312868ac5e</x:v>
      </x:c>
      <x:c r="B2400" s="17" t="str">
        <x:v>program</x:v>
      </x:c>
      <x:c r="C2400" s="17" t="str">
        <x:v>The University of Texas at Dallas</x:v>
      </x:c>
      <x:c r="D2400" s="17" t="str">
        <x:v>us:ipeds:228787:program:unclear:ipeds-discovery-signal-electrical-and-electronics-engineering-cip-14-1001</x:v>
      </x:c>
      <x:c r="E2400" s="17" t="str"/>
      <x:c r="F2400" s="17" t="str">
        <x:v>discovery</x:v>
      </x:c>
      <x:c r="G2400" s="17" t="str">
        <x:v>Stage 2 recorded this row as a discovery candidate; it does not independently verify an exact current research program, eligibility, or funding.</x:v>
      </x:c>
      <x:c r="H2400" s="17" t="str">
        <x:v>Pass 2 Stage 2 candidate funnel</x:v>
      </x:c>
      <x:c r="I2400" s="17" t="str">
        <x:v>Graduate audit pipeline</x:v>
      </x:c>
      <x:c r="J2400" s="17" t="str">
        <x:v>derived</x:v>
      </x:c>
      <x:c r="K2400" s="17" t="str">
        <x:v>2026-09-11</x:v>
      </x:c>
      <x:c r="L2400" s="17" t="str">
        <x:v>Not cycle-specific</x:v>
      </x:c>
      <x:c r="M2400" s="17" t="str">
        <x:v>low</x:v>
      </x:c>
      <x:c r="N2400" s="17" t="str">
        <x:v>Discovery evidence only</x:v>
      </x:c>
      <x:c r="O2400" s="17" t="str">
        <x:v>Use the source_record_paths field to trace the underlying discovery inputs.</x:v>
      </x:c>
      <x:c r="P2400" s="18" t="e">
        <x:f>HYPERLINK("https://www.utdallas.edu","Open source")</x:f>
        <x:v>HYPERLINK is not implemented. linkLocation=https://www.utdallas.edu, friendlyName=Open source</x:v>
      </x:c>
    </x:row>
    <x:row r="2401" ht="46" customHeight="1">
      <x:c r="A2401" s="17" t="str">
        <x:v>stage3src:b01b48e6fbe34fe87d3e</x:v>
      </x:c>
      <x:c r="B2401" s="17" t="str">
        <x:v>program</x:v>
      </x:c>
      <x:c r="C2401" s="17" t="str">
        <x:v>The University of Texas at Dallas</x:v>
      </x:c>
      <x:c r="D2401" s="17" t="str">
        <x:v>us:ipeds:228787:program:unclear:ipeds-discovery-signal-information-science-studies-cip-11-0401</x:v>
      </x:c>
      <x:c r="E2401" s="17" t="str"/>
      <x:c r="F2401" s="17" t="str">
        <x:v>discovery</x:v>
      </x:c>
      <x:c r="G2401" s="17" t="str">
        <x:v>Stage 2 recorded this row as a discovery candidate; it does not independently verify an exact current research program, eligibility, or funding.</x:v>
      </x:c>
      <x:c r="H2401" s="17" t="str">
        <x:v>Pass 2 Stage 2 candidate funnel</x:v>
      </x:c>
      <x:c r="I2401" s="17" t="str">
        <x:v>Graduate audit pipeline</x:v>
      </x:c>
      <x:c r="J2401" s="17" t="str">
        <x:v>derived</x:v>
      </x:c>
      <x:c r="K2401" s="17" t="str">
        <x:v>2026-09-11</x:v>
      </x:c>
      <x:c r="L2401" s="17" t="str">
        <x:v>Not cycle-specific</x:v>
      </x:c>
      <x:c r="M2401" s="17" t="str">
        <x:v>low</x:v>
      </x:c>
      <x:c r="N2401" s="17" t="str">
        <x:v>Discovery evidence only</x:v>
      </x:c>
      <x:c r="O2401" s="17" t="str">
        <x:v>Use the source_record_paths field to trace the underlying discovery inputs.</x:v>
      </x:c>
      <x:c r="P2401" s="18" t="e">
        <x:f>HYPERLINK("https://www.utdallas.edu","Open source")</x:f>
        <x:v>HYPERLINK is not implemented. linkLocation=https://www.utdallas.edu, friendlyName=Open source</x:v>
      </x:c>
    </x:row>
    <x:row r="2402" ht="46" customHeight="1">
      <x:c r="A2402" s="17" t="str">
        <x:v>stage3src:602870151876149ca4e9</x:v>
      </x:c>
      <x:c r="B2402" s="17" t="str">
        <x:v>program</x:v>
      </x:c>
      <x:c r="C2402" s="17" t="str">
        <x:v>The University of Texas at El Paso</x:v>
      </x:c>
      <x:c r="D2402" s="17" t="str">
        <x:v>us:ipeds:228796:program:phd:doctor-of-philosophy-in-computer-science</x:v>
      </x:c>
      <x:c r="E2402" s="17" t="str"/>
      <x:c r="F2402" s="17" t="str">
        <x:v>program|research|eligibility|admissions</x:v>
      </x:c>
      <x:c r="G2402" s="17" t="str">
        <x:v>Current PhD, bachelor's-entry 72-hour structure, required preparation, dissertation research, and degree requirements.</x:v>
      </x:c>
      <x:c r="H2402" s="17" t="str">
        <x:v>Computer Science, PhD</x:v>
      </x:c>
      <x:c r="I2402" s="17" t="str">
        <x:v>UTEP 2026-27 Graduate Catalog</x:v>
      </x:c>
      <x:c r="J2402" s="17" t="str">
        <x:v>official</x:v>
      </x:c>
      <x:c r="K2402" s="17" t="str">
        <x:v>2026-09-11</x:v>
      </x:c>
      <x:c r="L2402" s="17" t="str">
        <x:v>2026-27 catalog checked 2026-09-11</x:v>
      </x:c>
      <x:c r="M2402" s="17" t="str">
        <x:v>high</x:v>
      </x:c>
      <x:c r="N2402" s="17" t="str">
        <x:v>official page checked</x:v>
      </x:c>
      <x:c r="O2402" s="17" t="str"/>
      <x:c r="P2402" s="18" t="e">
        <x:f>HYPERLINK("https://catalog.utep.edu/grad/college-of-engineering/computer-science/computer-science-phd/","Open source")</x:f>
        <x:v>HYPERLINK is not implemented. linkLocation=https://catalog.utep.edu/grad/college-of-engineering/computer-science/computer-science-phd/, friendlyName=Open source</x:v>
      </x:c>
    </x:row>
    <x:row r="2403" ht="46" customHeight="1">
      <x:c r="A2403" s="17" t="str">
        <x:v>stage3src:8fa93c62251f95c36cf1</x:v>
      </x:c>
      <x:c r="B2403" s="17" t="str">
        <x:v>program</x:v>
      </x:c>
      <x:c r="C2403" s="17" t="str">
        <x:v>The University of Texas at El Paso</x:v>
      </x:c>
      <x:c r="D2403" s="17" t="str">
        <x:v>us:ipeds:228796:program:phd:doctor-of-philosophy-in-computer-science</x:v>
      </x:c>
      <x:c r="E2403" s="17" t="str"/>
      <x:c r="F2403" s="17" t="str">
        <x:v>admissions|deadline|language|fees</x:v>
      </x:c>
      <x:c r="G2403" s="17" t="str">
        <x:v>Current program deadlines and materials, GRE-optional status, international English standards, degree-equivalency rules, and application fee.</x:v>
      </x:c>
      <x:c r="H2403" s="17" t="str">
        <x:v>Graduate Degrees and Programs</x:v>
      </x:c>
      <x:c r="I2403" s="17" t="str">
        <x:v>The University of Texas at El Paso Graduate School</x:v>
      </x:c>
      <x:c r="J2403" s="17" t="str">
        <x:v>official</x:v>
      </x:c>
      <x:c r="K2403" s="17" t="str">
        <x:v>2026-09-11</x:v>
      </x:c>
      <x:c r="L2403" s="17" t="str">
        <x:v>2026-27 table checked 2026-09-11</x:v>
      </x:c>
      <x:c r="M2403" s="17" t="str">
        <x:v>high</x:v>
      </x:c>
      <x:c r="N2403" s="17" t="str">
        <x:v>official page checked</x:v>
      </x:c>
      <x:c r="O2403" s="17" t="str"/>
      <x:c r="P2403" s="18" t="e">
        <x:f>HYPERLINK("https://www.utep.edu/graduate/future-students/degrees-and-programs.html","Open source")</x:f>
        <x:v>HYPERLINK is not implemented. linkLocation=https://www.utep.edu/graduate/future-students/degrees-and-programs.html, friendlyName=Open source</x:v>
      </x:c>
    </x:row>
    <x:row r="2404" ht="46" customHeight="1">
      <x:c r="A2404" s="17" t="str">
        <x:v>stage3src:f536e5a95a3e869e5e94</x:v>
      </x:c>
      <x:c r="B2404" s="17" t="str">
        <x:v>program</x:v>
      </x:c>
      <x:c r="C2404" s="17" t="str">
        <x:v>The University of Texas at El Paso</x:v>
      </x:c>
      <x:c r="D2404" s="17" t="str">
        <x:v>us:ipeds:228796:program:phd:doctor-of-philosophy-in-computer-science</x:v>
      </x:c>
      <x:c r="E2404" s="17" t="str"/>
      <x:c r="F2404" s="17" t="str">
        <x:v>funding|tuition|fees</x:v>
      </x:c>
      <x:c r="G2404" s="17" t="str">
        <x:v>Published doctoral tuition-remission mechanism and its appointment, enrollment, GPA, and milestone conditions.</x:v>
      </x:c>
      <x:c r="H2404" s="17" t="str">
        <x:v>Doctoral Tuition Remission</x:v>
      </x:c>
      <x:c r="I2404" s="17" t="str">
        <x:v>The University of Texas at El Paso Graduate School</x:v>
      </x:c>
      <x:c r="J2404" s="17" t="str">
        <x:v>official</x:v>
      </x:c>
      <x:c r="K2404" s="17" t="str">
        <x:v>2026-09-11</x:v>
      </x:c>
      <x:c r="L2404" s="17" t="str">
        <x:v>Current page checked 2026-09-11</x:v>
      </x:c>
      <x:c r="M2404" s="17" t="str">
        <x:v>high</x:v>
      </x:c>
      <x:c r="N2404" s="17" t="str">
        <x:v>official page checked</x:v>
      </x:c>
      <x:c r="O2404" s="17" t="str"/>
      <x:c r="P2404" s="18" t="e">
        <x:f>HYPERLINK("https://www.utep.edu/graduate/funding/doctoral-tuition-remission.html","Open source")</x:f>
        <x:v>HYPERLINK is not implemented. linkLocation=https://www.utep.edu/graduate/funding/doctoral-tuition-remission.html, friendlyName=Open source</x:v>
      </x:c>
    </x:row>
    <x:row r="2405" ht="46" customHeight="1">
      <x:c r="A2405" s="17" t="str">
        <x:v>stage3src:23f1d24a05386e5fb579</x:v>
      </x:c>
      <x:c r="B2405" s="17" t="str">
        <x:v>program</x:v>
      </x:c>
      <x:c r="C2405" s="17" t="str">
        <x:v>The University of Texas at El Paso</x:v>
      </x:c>
      <x:c r="D2405" s="17" t="str">
        <x:v>us:ipeds:228796:program:unclear:ipeds-discovery-signal-computer-and-information-sciences-general-cip-11-0101</x:v>
      </x:c>
      <x:c r="E2405" s="17" t="str"/>
      <x:c r="F2405" s="17" t="str">
        <x:v>discovery</x:v>
      </x:c>
      <x:c r="G2405" s="17" t="str">
        <x:v>Stage 2 recorded this row as a discovery candidate; it does not independently verify an exact current research program, eligibility, or funding.</x:v>
      </x:c>
      <x:c r="H2405" s="17" t="str">
        <x:v>Pass 2 Stage 2 candidate funnel</x:v>
      </x:c>
      <x:c r="I2405" s="17" t="str">
        <x:v>Graduate audit pipeline</x:v>
      </x:c>
      <x:c r="J2405" s="17" t="str">
        <x:v>derived</x:v>
      </x:c>
      <x:c r="K2405" s="17" t="str">
        <x:v>2026-09-11</x:v>
      </x:c>
      <x:c r="L2405" s="17" t="str">
        <x:v>Not cycle-specific</x:v>
      </x:c>
      <x:c r="M2405" s="17" t="str">
        <x:v>low</x:v>
      </x:c>
      <x:c r="N2405" s="17" t="str">
        <x:v>Discovery evidence only</x:v>
      </x:c>
      <x:c r="O2405" s="17" t="str">
        <x:v>Use the source_record_paths field to trace the underlying discovery inputs.</x:v>
      </x:c>
      <x:c r="P2405" s="18" t="e">
        <x:f>HYPERLINK("https://www.utep.edu","Open source")</x:f>
        <x:v>HYPERLINK is not implemented. linkLocation=https://www.utep.edu, friendlyName=Open source</x:v>
      </x:c>
    </x:row>
    <x:row r="2406" ht="46" customHeight="1">
      <x:c r="A2406" s="17" t="str">
        <x:v>stage3src:015f789131100a5c9572</x:v>
      </x:c>
      <x:c r="B2406" s="17" t="str">
        <x:v>program</x:v>
      </x:c>
      <x:c r="C2406" s="17" t="str">
        <x:v>The University of Texas at El Paso</x:v>
      </x:c>
      <x:c r="D2406" s="17" t="str">
        <x:v>us:ipeds:228796:program:unclear:ipeds-discovery-signal-computer-engineering-general-cip-14-0901</x:v>
      </x:c>
      <x:c r="E2406" s="17" t="str"/>
      <x:c r="F2406" s="17" t="str">
        <x:v>discovery</x:v>
      </x:c>
      <x:c r="G2406" s="17" t="str">
        <x:v>Stage 2 recorded this row as a discovery candidate; it does not independently verify an exact current research program, eligibility, or funding.</x:v>
      </x:c>
      <x:c r="H2406" s="17" t="str">
        <x:v>Pass 2 Stage 2 candidate funnel</x:v>
      </x:c>
      <x:c r="I2406" s="17" t="str">
        <x:v>Graduate audit pipeline</x:v>
      </x:c>
      <x:c r="J2406" s="17" t="str">
        <x:v>derived</x:v>
      </x:c>
      <x:c r="K2406" s="17" t="str">
        <x:v>2026-09-11</x:v>
      </x:c>
      <x:c r="L2406" s="17" t="str">
        <x:v>Not cycle-specific</x:v>
      </x:c>
      <x:c r="M2406" s="17" t="str">
        <x:v>low</x:v>
      </x:c>
      <x:c r="N2406" s="17" t="str">
        <x:v>Discovery evidence only</x:v>
      </x:c>
      <x:c r="O2406" s="17" t="str">
        <x:v>Use the source_record_paths field to trace the underlying discovery inputs.</x:v>
      </x:c>
      <x:c r="P2406" s="18" t="e">
        <x:f>HYPERLINK("https://www.utep.edu","Open source")</x:f>
        <x:v>HYPERLINK is not implemented. linkLocation=https://www.utep.edu, friendlyName=Open source</x:v>
      </x:c>
    </x:row>
    <x:row r="2407" ht="46" customHeight="1">
      <x:c r="A2407" s="17" t="str">
        <x:v>stage3src:9d43cee51148afbc1eaf</x:v>
      </x:c>
      <x:c r="B2407" s="17" t="str">
        <x:v>program</x:v>
      </x:c>
      <x:c r="C2407" s="17" t="str">
        <x:v>The University of Texas at El Paso</x:v>
      </x:c>
      <x:c r="D2407" s="17" t="str">
        <x:v>us:ipeds:228796:program:unclear:ipeds-discovery-signal-computer-science-cip-11-0701</x:v>
      </x:c>
      <x:c r="E2407" s="17" t="str"/>
      <x:c r="F2407" s="17" t="str">
        <x:v>discovery</x:v>
      </x:c>
      <x:c r="G2407" s="17" t="str">
        <x:v>Stage 2 recorded this row as a discovery candidate; it does not independently verify an exact current research program, eligibility, or funding.</x:v>
      </x:c>
      <x:c r="H2407" s="17" t="str">
        <x:v>Pass 2 Stage 2 candidate funnel</x:v>
      </x:c>
      <x:c r="I2407" s="17" t="str">
        <x:v>Graduate audit pipeline</x:v>
      </x:c>
      <x:c r="J2407" s="17" t="str">
        <x:v>derived</x:v>
      </x:c>
      <x:c r="K2407" s="17" t="str">
        <x:v>2026-09-11</x:v>
      </x:c>
      <x:c r="L2407" s="17" t="str">
        <x:v>Not cycle-specific</x:v>
      </x:c>
      <x:c r="M2407" s="17" t="str">
        <x:v>low</x:v>
      </x:c>
      <x:c r="N2407" s="17" t="str">
        <x:v>Discovery evidence only</x:v>
      </x:c>
      <x:c r="O2407" s="17" t="str">
        <x:v>Use the source_record_paths field to trace the underlying discovery inputs.</x:v>
      </x:c>
      <x:c r="P2407" s="18" t="e">
        <x:f>HYPERLINK("https://www.utep.edu","Open source")</x:f>
        <x:v>HYPERLINK is not implemented. linkLocation=https://www.utep.edu, friendlyName=Open source</x:v>
      </x:c>
    </x:row>
    <x:row r="2408" ht="46" customHeight="1">
      <x:c r="A2408" s="17" t="str">
        <x:v>stage3src:d61cd6ef28371edcbd92</x:v>
      </x:c>
      <x:c r="B2408" s="17" t="str">
        <x:v>program</x:v>
      </x:c>
      <x:c r="C2408" s="17" t="str">
        <x:v>The University of Texas at El Paso</x:v>
      </x:c>
      <x:c r="D2408" s="17" t="str">
        <x:v>us:ipeds:228796:program:unclear:ipeds-discovery-signal-computer-software-engineering-cip-14-0903</x:v>
      </x:c>
      <x:c r="E2408" s="17" t="str"/>
      <x:c r="F2408" s="17" t="str">
        <x:v>discovery</x:v>
      </x:c>
      <x:c r="G2408" s="17" t="str">
        <x:v>Stage 2 recorded this row as a discovery candidate; it does not independently verify an exact current research program, eligibility, or funding.</x:v>
      </x:c>
      <x:c r="H2408" s="17" t="str">
        <x:v>Pass 2 Stage 2 candidate funnel</x:v>
      </x:c>
      <x:c r="I2408" s="17" t="str">
        <x:v>Graduate audit pipeline</x:v>
      </x:c>
      <x:c r="J2408" s="17" t="str">
        <x:v>derived</x:v>
      </x:c>
      <x:c r="K2408" s="17" t="str">
        <x:v>2026-09-11</x:v>
      </x:c>
      <x:c r="L2408" s="17" t="str">
        <x:v>Not cycle-specific</x:v>
      </x:c>
      <x:c r="M2408" s="17" t="str">
        <x:v>low</x:v>
      </x:c>
      <x:c r="N2408" s="17" t="str">
        <x:v>Discovery evidence only</x:v>
      </x:c>
      <x:c r="O2408" s="17" t="str">
        <x:v>Use the source_record_paths field to trace the underlying discovery inputs.</x:v>
      </x:c>
      <x:c r="P2408" s="18" t="e">
        <x:f>HYPERLINK("https://www.utep.edu","Open source")</x:f>
        <x:v>HYPERLINK is not implemented. linkLocation=https://www.utep.edu, friendlyName=Open source</x:v>
      </x:c>
    </x:row>
    <x:row r="2409" ht="46" customHeight="1">
      <x:c r="A2409" s="17" t="str">
        <x:v>stage3src:3e4ae5df5b87f6016f9a</x:v>
      </x:c>
      <x:c r="B2409" s="17" t="str">
        <x:v>program</x:v>
      </x:c>
      <x:c r="C2409" s="17" t="str">
        <x:v>The University of Texas at El Paso</x:v>
      </x:c>
      <x:c r="D2409" s="17" t="str">
        <x:v>us:ipeds:228796:program:unclear:ipeds-discovery-signal-electrical-and-electronics-engineering-cip-14-1001</x:v>
      </x:c>
      <x:c r="E2409" s="17" t="str"/>
      <x:c r="F2409" s="17" t="str">
        <x:v>discovery</x:v>
      </x:c>
      <x:c r="G2409" s="17" t="str">
        <x:v>Stage 2 recorded this row as a discovery candidate; it does not independently verify an exact current research program, eligibility, or funding.</x:v>
      </x:c>
      <x:c r="H2409" s="17" t="str">
        <x:v>Pass 2 Stage 2 candidate funnel</x:v>
      </x:c>
      <x:c r="I2409" s="17" t="str">
        <x:v>Graduate audit pipeline</x:v>
      </x:c>
      <x:c r="J2409" s="17" t="str">
        <x:v>derived</x:v>
      </x:c>
      <x:c r="K2409" s="17" t="str">
        <x:v>2026-09-11</x:v>
      </x:c>
      <x:c r="L2409" s="17" t="str">
        <x:v>Not cycle-specific</x:v>
      </x:c>
      <x:c r="M2409" s="17" t="str">
        <x:v>low</x:v>
      </x:c>
      <x:c r="N2409" s="17" t="str">
        <x:v>Discovery evidence only</x:v>
      </x:c>
      <x:c r="O2409" s="17" t="str">
        <x:v>Use the source_record_paths field to trace the underlying discovery inputs.</x:v>
      </x:c>
      <x:c r="P2409" s="18" t="e">
        <x:f>HYPERLINK("https://www.utep.edu","Open source")</x:f>
        <x:v>HYPERLINK is not implemented. linkLocation=https://www.utep.edu, friendlyName=Open source</x:v>
      </x:c>
    </x:row>
    <x:row r="2410" ht="46" customHeight="1">
      <x:c r="A2410" s="17" t="str">
        <x:v>stage3src:605415077a7f1045e57b</x:v>
      </x:c>
      <x:c r="B2410" s="17" t="str">
        <x:v>program</x:v>
      </x:c>
      <x:c r="C2410" s="17" t="str">
        <x:v>The University of Texas at El Paso</x:v>
      </x:c>
      <x:c r="D2410" s="17" t="str">
        <x:v>us:ipeds:228796:program:unclear:ipeds-discovery-signal-information-science-studies-cip-11-0401</x:v>
      </x:c>
      <x:c r="E2410" s="17" t="str"/>
      <x:c r="F2410" s="17" t="str">
        <x:v>discovery</x:v>
      </x:c>
      <x:c r="G2410" s="17" t="str">
        <x:v>Stage 2 recorded this row as a discovery candidate; it does not independently verify an exact current research program, eligibility, or funding.</x:v>
      </x:c>
      <x:c r="H2410" s="17" t="str">
        <x:v>Pass 2 Stage 2 candidate funnel</x:v>
      </x:c>
      <x:c r="I2410" s="17" t="str">
        <x:v>Graduate audit pipeline</x:v>
      </x:c>
      <x:c r="J2410" s="17" t="str">
        <x:v>derived</x:v>
      </x:c>
      <x:c r="K2410" s="17" t="str">
        <x:v>2026-09-11</x:v>
      </x:c>
      <x:c r="L2410" s="17" t="str">
        <x:v>Not cycle-specific</x:v>
      </x:c>
      <x:c r="M2410" s="17" t="str">
        <x:v>low</x:v>
      </x:c>
      <x:c r="N2410" s="17" t="str">
        <x:v>Discovery evidence only</x:v>
      </x:c>
      <x:c r="O2410" s="17" t="str">
        <x:v>Use the source_record_paths field to trace the underlying discovery inputs.</x:v>
      </x:c>
      <x:c r="P2410" s="18" t="e">
        <x:f>HYPERLINK("https://www.utep.edu","Open source")</x:f>
        <x:v>HYPERLINK is not implemented. linkLocation=https://www.utep.edu, friendlyName=Open source</x:v>
      </x:c>
    </x:row>
    <x:row r="2411" ht="46" customHeight="1">
      <x:c r="A2411" s="17" t="str">
        <x:v>stage3src:e6d5f37e16a9fd200746</x:v>
      </x:c>
      <x:c r="B2411" s="17" t="str">
        <x:v>program</x:v>
      </x:c>
      <x:c r="C2411" s="17" t="str">
        <x:v>The University of Texas at Tyler</x:v>
      </x:c>
      <x:c r="D2411" s="17" t="str">
        <x:v>us:ipeds:228802:program:unclear:ipeds-discovery-signal-computer-and-information-sciences-general-cip-11-0101</x:v>
      </x:c>
      <x:c r="E2411" s="17" t="str"/>
      <x:c r="F2411" s="17" t="str">
        <x:v>discovery</x:v>
      </x:c>
      <x:c r="G2411" s="17" t="str">
        <x:v>Stage 2 recorded this row as a discovery candidate; it does not independently verify an exact current research program, eligibility, or funding.</x:v>
      </x:c>
      <x:c r="H2411" s="17" t="str">
        <x:v>Pass 2 Stage 2 candidate funnel</x:v>
      </x:c>
      <x:c r="I2411" s="17" t="str">
        <x:v>Graduate audit pipeline</x:v>
      </x:c>
      <x:c r="J2411" s="17" t="str">
        <x:v>derived</x:v>
      </x:c>
      <x:c r="K2411" s="17" t="str">
        <x:v>2026-09-11</x:v>
      </x:c>
      <x:c r="L2411" s="17" t="str">
        <x:v>Not cycle-specific</x:v>
      </x:c>
      <x:c r="M2411" s="17" t="str">
        <x:v>low</x:v>
      </x:c>
      <x:c r="N2411" s="17" t="str">
        <x:v>Discovery evidence only</x:v>
      </x:c>
      <x:c r="O2411" s="17" t="str">
        <x:v>Use the source_record_paths field to trace the underlying discovery inputs.</x:v>
      </x:c>
      <x:c r="P2411" s="18" t="e">
        <x:f>HYPERLINK("https://www.uttyler.edu","Open source")</x:f>
        <x:v>HYPERLINK is not implemented. linkLocation=https://www.uttyler.edu, friendlyName=Open source</x:v>
      </x:c>
    </x:row>
    <x:row r="2412" ht="46" customHeight="1">
      <x:c r="A2412" s="17" t="str">
        <x:v>stage3src:1f062917be7b81476326</x:v>
      </x:c>
      <x:c r="B2412" s="17" t="str">
        <x:v>program</x:v>
      </x:c>
      <x:c r="C2412" s="17" t="str">
        <x:v>The University of Texas at Tyler</x:v>
      </x:c>
      <x:c r="D2412" s="17" t="str">
        <x:v>us:ipeds:228802:program:unclear:ipeds-discovery-signal-computer-and-information-systems-security-auditing-information-assurance-cip-11-1003</x:v>
      </x:c>
      <x:c r="E2412" s="17" t="str"/>
      <x:c r="F2412" s="17" t="str">
        <x:v>discovery</x:v>
      </x:c>
      <x:c r="G2412" s="17" t="str">
        <x:v>Stage 2 recorded this row as a discovery candidate; it does not independently verify an exact current research program, eligibility, or funding.</x:v>
      </x:c>
      <x:c r="H2412" s="17" t="str">
        <x:v>Pass 2 Stage 2 candidate funnel</x:v>
      </x:c>
      <x:c r="I2412" s="17" t="str">
        <x:v>Graduate audit pipeline</x:v>
      </x:c>
      <x:c r="J2412" s="17" t="str">
        <x:v>derived</x:v>
      </x:c>
      <x:c r="K2412" s="17" t="str">
        <x:v>2026-09-11</x:v>
      </x:c>
      <x:c r="L2412" s="17" t="str">
        <x:v>Not cycle-specific</x:v>
      </x:c>
      <x:c r="M2412" s="17" t="str">
        <x:v>low</x:v>
      </x:c>
      <x:c r="N2412" s="17" t="str">
        <x:v>Discovery evidence only</x:v>
      </x:c>
      <x:c r="O2412" s="17" t="str">
        <x:v>Use the source_record_paths field to trace the underlying discovery inputs.</x:v>
      </x:c>
      <x:c r="P2412" s="18" t="e">
        <x:f>HYPERLINK("https://www.uttyler.edu","Open source")</x:f>
        <x:v>HYPERLINK is not implemented. linkLocation=https://www.uttyler.edu, friendlyName=Open source</x:v>
      </x:c>
    </x:row>
    <x:row r="2413" ht="46" customHeight="1">
      <x:c r="A2413" s="17" t="str">
        <x:v>stage3src:3e4d4e82d54d8ec24a0f</x:v>
      </x:c>
      <x:c r="B2413" s="17" t="str">
        <x:v>program</x:v>
      </x:c>
      <x:c r="C2413" s="17" t="str">
        <x:v>The University of Texas at Tyler</x:v>
      </x:c>
      <x:c r="D2413" s="17" t="str">
        <x:v>us:ipeds:228802:program:unclear:ipeds-discovery-signal-electrical-and-electronics-engineering-cip-14-1001</x:v>
      </x:c>
      <x:c r="E2413" s="17" t="str"/>
      <x:c r="F2413" s="17" t="str">
        <x:v>discovery</x:v>
      </x:c>
      <x:c r="G2413" s="17" t="str">
        <x:v>Stage 2 recorded this row as a discovery candidate; it does not independently verify an exact current research program, eligibility, or funding.</x:v>
      </x:c>
      <x:c r="H2413" s="17" t="str">
        <x:v>Pass 2 Stage 2 candidate funnel</x:v>
      </x:c>
      <x:c r="I2413" s="17" t="str">
        <x:v>Graduate audit pipeline</x:v>
      </x:c>
      <x:c r="J2413" s="17" t="str">
        <x:v>derived</x:v>
      </x:c>
      <x:c r="K2413" s="17" t="str">
        <x:v>2026-09-11</x:v>
      </x:c>
      <x:c r="L2413" s="17" t="str">
        <x:v>Not cycle-specific</x:v>
      </x:c>
      <x:c r="M2413" s="17" t="str">
        <x:v>low</x:v>
      </x:c>
      <x:c r="N2413" s="17" t="str">
        <x:v>Discovery evidence only</x:v>
      </x:c>
      <x:c r="O2413" s="17" t="str">
        <x:v>Use the source_record_paths field to trace the underlying discovery inputs.</x:v>
      </x:c>
      <x:c r="P2413" s="18" t="e">
        <x:f>HYPERLINK("https://www.uttyler.edu","Open source")</x:f>
        <x:v>HYPERLINK is not implemented. linkLocation=https://www.uttyler.edu, friendlyName=Open source</x:v>
      </x:c>
    </x:row>
    <x:row r="2414" ht="46" customHeight="1">
      <x:c r="A2414" s="17" t="str">
        <x:v>stage3src:6351aa912cfbfcf14003</x:v>
      </x:c>
      <x:c r="B2414" s="17" t="str">
        <x:v>program</x:v>
      </x:c>
      <x:c r="C2414" s="17" t="str">
        <x:v>The University of Texas Permian Basin</x:v>
      </x:c>
      <x:c r="D2414" s="17" t="str">
        <x:v>us:ipeds:229018:program:unclear:ipeds-discovery-signal-computer-and-information-sciences-general-cip-11-0101</x:v>
      </x:c>
      <x:c r="E2414" s="17" t="str"/>
      <x:c r="F2414" s="17" t="str">
        <x:v>discovery</x:v>
      </x:c>
      <x:c r="G2414" s="17" t="str">
        <x:v>Stage 2 recorded this row as a discovery candidate; it does not independently verify an exact current research program, eligibility, or funding.</x:v>
      </x:c>
      <x:c r="H2414" s="17" t="str">
        <x:v>Pass 2 Stage 2 candidate funnel</x:v>
      </x:c>
      <x:c r="I2414" s="17" t="str">
        <x:v>Graduate audit pipeline</x:v>
      </x:c>
      <x:c r="J2414" s="17" t="str">
        <x:v>derived</x:v>
      </x:c>
      <x:c r="K2414" s="17" t="str">
        <x:v>2026-09-11</x:v>
      </x:c>
      <x:c r="L2414" s="17" t="str">
        <x:v>Not cycle-specific</x:v>
      </x:c>
      <x:c r="M2414" s="17" t="str">
        <x:v>low</x:v>
      </x:c>
      <x:c r="N2414" s="17" t="str">
        <x:v>Discovery evidence only</x:v>
      </x:c>
      <x:c r="O2414" s="17" t="str">
        <x:v>Use the source_record_paths field to trace the underlying discovery inputs.</x:v>
      </x:c>
      <x:c r="P2414" s="18" t="e">
        <x:f>HYPERLINK("https://www.utpb.edu","Open source")</x:f>
        <x:v>HYPERLINK is not implemented. linkLocation=https://www.utpb.edu, friendlyName=Open source</x:v>
      </x:c>
    </x:row>
    <x:row r="2415" ht="46" customHeight="1">
      <x:c r="A2415" s="17" t="str">
        <x:v>stage3src:44cc2e2c7936e762b712</x:v>
      </x:c>
      <x:c r="B2415" s="17" t="str">
        <x:v>program</x:v>
      </x:c>
      <x:c r="C2415" s="17" t="str">
        <x:v>The University of Texas at San Antonio</x:v>
      </x:c>
      <x:c r="D2415" s="17" t="str">
        <x:v>us:ipeds:229027:program:phd:phd-in-computer-science</x:v>
      </x:c>
      <x:c r="E2415" s="17" t="str"/>
      <x:c r="F2415" s="17" t="str">
        <x:v>funding|fees</x:v>
      </x:c>
      <x:c r="G2415" s="17" t="str">
        <x:v>Published CS doctoral assistantship stipend, tuition-and-fee, insurance, and total package values.</x:v>
      </x:c>
      <x:c r="H2415" s="17" t="str">
        <x:v>Doctoral Funding</x:v>
      </x:c>
      <x:c r="I2415" s="17" t="str">
        <x:v>The University of Texas at San Antonio Graduate School</x:v>
      </x:c>
      <x:c r="J2415" s="17" t="str">
        <x:v>official</x:v>
      </x:c>
      <x:c r="K2415" s="17" t="str">
        <x:v>2026-09-10</x:v>
      </x:c>
      <x:c r="L2415" s="17" t="str">
        <x:v>Current page checked 2026-09-10</x:v>
      </x:c>
      <x:c r="M2415" s="17" t="str">
        <x:v>high</x:v>
      </x:c>
      <x:c r="N2415" s="17" t="str">
        <x:v>official page checked</x:v>
      </x:c>
      <x:c r="O2415" s="17" t="str"/>
      <x:c r="P2415" s="18" t="e">
        <x:f>HYPERLINK("https://graduateschool.utsa.edu/tuition-funding/assistantships/doctoral-funding.html","Open source")</x:f>
        <x:v>HYPERLINK is not implemented. linkLocation=https://graduateschool.utsa.edu/tuition-funding/assistantships/doctoral-funding.html, friendlyName=Open source</x:v>
      </x:c>
    </x:row>
    <x:row r="2416" ht="46" customHeight="1">
      <x:c r="A2416" s="17" t="str">
        <x:v>stage3src:cd614c31dad4fdb3b1f8</x:v>
      </x:c>
      <x:c r="B2416" s="17" t="str">
        <x:v>program</x:v>
      </x:c>
      <x:c r="C2416" s="17" t="str">
        <x:v>The University of Texas at San Antonio</x:v>
      </x:c>
      <x:c r="D2416" s="17" t="str">
        <x:v>us:ipeds:229027:program:phd:phd-in-computer-science</x:v>
      </x:c>
      <x:c r="E2416" s="17" t="str"/>
      <x:c r="F2416" s="17" t="str">
        <x:v>program|admissions|eligibility|deadline|funding|fees</x:v>
      </x:c>
      <x:c r="G2416" s="17" t="str">
        <x:v>Current CS PhD, bachelor's and international route, explicit Fall 2027 deadline, and full-time doctoral GTA/GRA package with stipend, tuition waiver, and insurance.</x:v>
      </x:c>
      <x:c r="H2416" s="17" t="str">
        <x:v>Computer Science Ph.D.</x:v>
      </x:c>
      <x:c r="I2416" s="17" t="str">
        <x:v>The University of Texas at San Antonio</x:v>
      </x:c>
      <x:c r="J2416" s="17" t="str">
        <x:v>official</x:v>
      </x:c>
      <x:c r="K2416" s="17" t="str">
        <x:v>2026-09-10</x:v>
      </x:c>
      <x:c r="L2416" s="17" t="str">
        <x:v>Fall 2027</x:v>
      </x:c>
      <x:c r="M2416" s="17" t="str">
        <x:v>high</x:v>
      </x:c>
      <x:c r="N2416" s="17" t="str">
        <x:v>official page checked</x:v>
      </x:c>
      <x:c r="O2416" s="17" t="str"/>
      <x:c r="P2416" s="18" t="e">
        <x:f>HYPERLINK("https://future.utsa.edu/programs/doctoral/computer-science/","Open source")</x:f>
        <x:v>HYPERLINK is not implemented. linkLocation=https://future.utsa.edu/programs/doctoral/computer-science/, friendlyName=Open source</x:v>
      </x:c>
    </x:row>
    <x:row r="2417" ht="46" customHeight="1">
      <x:c r="A2417" s="17" t="str">
        <x:v>stage3src:f96e25427f12130af95f</x:v>
      </x:c>
      <x:c r="B2417" s="17" t="str">
        <x:v>program</x:v>
      </x:c>
      <x:c r="C2417" s="17" t="str">
        <x:v>The University of Texas at San Antonio</x:v>
      </x:c>
      <x:c r="D2417" s="17" t="str">
        <x:v>us:ipeds:229027:program:unclear:ipeds-discovery-signal-artificial-intelligence-cip-11-0102</x:v>
      </x:c>
      <x:c r="E2417" s="17" t="str"/>
      <x:c r="F2417" s="17" t="str">
        <x:v>discovery</x:v>
      </x:c>
      <x:c r="G2417" s="17" t="str">
        <x:v>Stage 2 recorded this row as a discovery candidate; it does not independently verify an exact current research program, eligibility, or funding.</x:v>
      </x:c>
      <x:c r="H2417" s="17" t="str">
        <x:v>Pass 2 Stage 2 candidate funnel</x:v>
      </x:c>
      <x:c r="I2417" s="17" t="str">
        <x:v>Graduate audit pipeline</x:v>
      </x:c>
      <x:c r="J2417" s="17" t="str">
        <x:v>derived</x:v>
      </x:c>
      <x:c r="K2417" s="17" t="str">
        <x:v>2026-09-11</x:v>
      </x:c>
      <x:c r="L2417" s="17" t="str">
        <x:v>Not cycle-specific</x:v>
      </x:c>
      <x:c r="M2417" s="17" t="str">
        <x:v>low</x:v>
      </x:c>
      <x:c r="N2417" s="17" t="str">
        <x:v>Discovery evidence only</x:v>
      </x:c>
      <x:c r="O2417" s="17" t="str">
        <x:v>Use the source_record_paths field to trace the underlying discovery inputs.</x:v>
      </x:c>
      <x:c r="P2417" s="18" t="e">
        <x:f>HYPERLINK("https://www.utsa.edu","Open source")</x:f>
        <x:v>HYPERLINK is not implemented. linkLocation=https://www.utsa.edu, friendlyName=Open source</x:v>
      </x:c>
    </x:row>
    <x:row r="2418" ht="46" customHeight="1">
      <x:c r="A2418" s="17" t="str">
        <x:v>stage3src:6e8ede35071ad991585e</x:v>
      </x:c>
      <x:c r="B2418" s="17" t="str">
        <x:v>program</x:v>
      </x:c>
      <x:c r="C2418" s="17" t="str">
        <x:v>The University of Texas at San Antonio</x:v>
      </x:c>
      <x:c r="D2418" s="17" t="str">
        <x:v>us:ipeds:229027:program:unclear:ipeds-discovery-signal-computer-and-information-sciences-general-cip-11-0101</x:v>
      </x:c>
      <x:c r="E2418" s="17" t="str"/>
      <x:c r="F2418" s="17" t="str">
        <x:v>discovery</x:v>
      </x:c>
      <x:c r="G2418" s="17" t="str">
        <x:v>Stage 2 recorded this row as a discovery candidate; it does not independently verify an exact current research program, eligibility, or funding.</x:v>
      </x:c>
      <x:c r="H2418" s="17" t="str">
        <x:v>Pass 2 Stage 2 candidate funnel</x:v>
      </x:c>
      <x:c r="I2418" s="17" t="str">
        <x:v>Graduate audit pipeline</x:v>
      </x:c>
      <x:c r="J2418" s="17" t="str">
        <x:v>derived</x:v>
      </x:c>
      <x:c r="K2418" s="17" t="str">
        <x:v>2026-09-11</x:v>
      </x:c>
      <x:c r="L2418" s="17" t="str">
        <x:v>Not cycle-specific</x:v>
      </x:c>
      <x:c r="M2418" s="17" t="str">
        <x:v>low</x:v>
      </x:c>
      <x:c r="N2418" s="17" t="str">
        <x:v>Discovery evidence only</x:v>
      </x:c>
      <x:c r="O2418" s="17" t="str">
        <x:v>Use the source_record_paths field to trace the underlying discovery inputs.</x:v>
      </x:c>
      <x:c r="P2418" s="18" t="e">
        <x:f>HYPERLINK("https://www.utsa.edu","Open source")</x:f>
        <x:v>HYPERLINK is not implemented. linkLocation=https://www.utsa.edu, friendlyName=Open source</x:v>
      </x:c>
    </x:row>
    <x:row r="2419" ht="46" customHeight="1">
      <x:c r="A2419" s="17" t="str">
        <x:v>stage3src:57492b039266f591b30b</x:v>
      </x:c>
      <x:c r="B2419" s="17" t="str">
        <x:v>program</x:v>
      </x:c>
      <x:c r="C2419" s="17" t="str">
        <x:v>The University of Texas at San Antonio</x:v>
      </x:c>
      <x:c r="D2419" s="17" t="str">
        <x:v>us:ipeds:229027:program:unclear:ipeds-discovery-signal-computer-and-information-systems-security-auditing-information-assurance-cip-11-1003</x:v>
      </x:c>
      <x:c r="E2419" s="17" t="str"/>
      <x:c r="F2419" s="17" t="str">
        <x:v>discovery</x:v>
      </x:c>
      <x:c r="G2419" s="17" t="str">
        <x:v>Stage 2 recorded this row as a discovery candidate; it does not independently verify an exact current research program, eligibility, or funding.</x:v>
      </x:c>
      <x:c r="H2419" s="17" t="str">
        <x:v>Pass 2 Stage 2 candidate funnel</x:v>
      </x:c>
      <x:c r="I2419" s="17" t="str">
        <x:v>Graduate audit pipeline</x:v>
      </x:c>
      <x:c r="J2419" s="17" t="str">
        <x:v>derived</x:v>
      </x:c>
      <x:c r="K2419" s="17" t="str">
        <x:v>2026-09-11</x:v>
      </x:c>
      <x:c r="L2419" s="17" t="str">
        <x:v>Not cycle-specific</x:v>
      </x:c>
      <x:c r="M2419" s="17" t="str">
        <x:v>low</x:v>
      </x:c>
      <x:c r="N2419" s="17" t="str">
        <x:v>Discovery evidence only</x:v>
      </x:c>
      <x:c r="O2419" s="17" t="str">
        <x:v>Use the source_record_paths field to trace the underlying discovery inputs.</x:v>
      </x:c>
      <x:c r="P2419" s="18" t="e">
        <x:f>HYPERLINK("https://www.utsa.edu","Open source")</x:f>
        <x:v>HYPERLINK is not implemented. linkLocation=https://www.utsa.edu, friendlyName=Open source</x:v>
      </x:c>
    </x:row>
    <x:row r="2420" ht="46" customHeight="1">
      <x:c r="A2420" s="17" t="str">
        <x:v>stage3src:b79c2ed06da4266c698f</x:v>
      </x:c>
      <x:c r="B2420" s="17" t="str">
        <x:v>program</x:v>
      </x:c>
      <x:c r="C2420" s="17" t="str">
        <x:v>The University of Texas at San Antonio</x:v>
      </x:c>
      <x:c r="D2420" s="17" t="str">
        <x:v>us:ipeds:229027:program:unclear:ipeds-discovery-signal-computer-engineering-general-cip-14-0901</x:v>
      </x:c>
      <x:c r="E2420" s="17" t="str"/>
      <x:c r="F2420" s="17" t="str">
        <x:v>discovery</x:v>
      </x:c>
      <x:c r="G2420" s="17" t="str">
        <x:v>Stage 2 recorded this row as a discovery candidate; it does not independently verify an exact current research program, eligibility, or funding.</x:v>
      </x:c>
      <x:c r="H2420" s="17" t="str">
        <x:v>Pass 2 Stage 2 candidate funnel</x:v>
      </x:c>
      <x:c r="I2420" s="17" t="str">
        <x:v>Graduate audit pipeline</x:v>
      </x:c>
      <x:c r="J2420" s="17" t="str">
        <x:v>derived</x:v>
      </x:c>
      <x:c r="K2420" s="17" t="str">
        <x:v>2026-09-11</x:v>
      </x:c>
      <x:c r="L2420" s="17" t="str">
        <x:v>Not cycle-specific</x:v>
      </x:c>
      <x:c r="M2420" s="17" t="str">
        <x:v>low</x:v>
      </x:c>
      <x:c r="N2420" s="17" t="str">
        <x:v>Discovery evidence only</x:v>
      </x:c>
      <x:c r="O2420" s="17" t="str">
        <x:v>Use the source_record_paths field to trace the underlying discovery inputs.</x:v>
      </x:c>
      <x:c r="P2420" s="18" t="e">
        <x:f>HYPERLINK("https://www.utsa.edu","Open source")</x:f>
        <x:v>HYPERLINK is not implemented. linkLocation=https://www.utsa.edu, friendlyName=Open source</x:v>
      </x:c>
    </x:row>
    <x:row r="2421" ht="46" customHeight="1">
      <x:c r="A2421" s="17" t="str">
        <x:v>stage3src:b4fed2591bbd00bbf5bb</x:v>
      </x:c>
      <x:c r="B2421" s="17" t="str">
        <x:v>program</x:v>
      </x:c>
      <x:c r="C2421" s="17" t="str">
        <x:v>The University of Texas at San Antonio</x:v>
      </x:c>
      <x:c r="D2421" s="17" t="str">
        <x:v>us:ipeds:229027:program:unclear:ipeds-discovery-signal-computer-science-cip-11-0701</x:v>
      </x:c>
      <x:c r="E2421" s="17" t="str"/>
      <x:c r="F2421" s="17" t="str">
        <x:v>discovery</x:v>
      </x:c>
      <x:c r="G2421" s="17" t="str">
        <x:v>Stage 2 recorded this row as a discovery candidate; it does not independently verify an exact current research program, eligibility, or funding.</x:v>
      </x:c>
      <x:c r="H2421" s="17" t="str">
        <x:v>Pass 2 Stage 2 candidate funnel</x:v>
      </x:c>
      <x:c r="I2421" s="17" t="str">
        <x:v>Graduate audit pipeline</x:v>
      </x:c>
      <x:c r="J2421" s="17" t="str">
        <x:v>derived</x:v>
      </x:c>
      <x:c r="K2421" s="17" t="str">
        <x:v>2026-09-11</x:v>
      </x:c>
      <x:c r="L2421" s="17" t="str">
        <x:v>Not cycle-specific</x:v>
      </x:c>
      <x:c r="M2421" s="17" t="str">
        <x:v>low</x:v>
      </x:c>
      <x:c r="N2421" s="17" t="str">
        <x:v>Discovery evidence only</x:v>
      </x:c>
      <x:c r="O2421" s="17" t="str">
        <x:v>Use the source_record_paths field to trace the underlying discovery inputs.</x:v>
      </x:c>
      <x:c r="P2421" s="18" t="e">
        <x:f>HYPERLINK("https://www.utsa.edu","Open source")</x:f>
        <x:v>HYPERLINK is not implemented. linkLocation=https://www.utsa.edu, friendlyName=Open source</x:v>
      </x:c>
    </x:row>
    <x:row r="2422" ht="46" customHeight="1">
      <x:c r="A2422" s="17" t="str">
        <x:v>stage3src:039ffff3827e213c24bc</x:v>
      </x:c>
      <x:c r="B2422" s="17" t="str">
        <x:v>program</x:v>
      </x:c>
      <x:c r="C2422" s="17" t="str">
        <x:v>The University of Texas at San Antonio</x:v>
      </x:c>
      <x:c r="D2422" s="17" t="str">
        <x:v>us:ipeds:229027:program:unclear:ipeds-discovery-signal-data-analytics-general-cip-30-7101</x:v>
      </x:c>
      <x:c r="E2422" s="17" t="str"/>
      <x:c r="F2422" s="17" t="str">
        <x:v>discovery</x:v>
      </x:c>
      <x:c r="G2422" s="17" t="str">
        <x:v>Stage 2 recorded this row as a discovery candidate; it does not independently verify an exact current research program, eligibility, or funding.</x:v>
      </x:c>
      <x:c r="H2422" s="17" t="str">
        <x:v>Pass 2 Stage 2 candidate funnel</x:v>
      </x:c>
      <x:c r="I2422" s="17" t="str">
        <x:v>Graduate audit pipeline</x:v>
      </x:c>
      <x:c r="J2422" s="17" t="str">
        <x:v>derived</x:v>
      </x:c>
      <x:c r="K2422" s="17" t="str">
        <x:v>2026-09-11</x:v>
      </x:c>
      <x:c r="L2422" s="17" t="str">
        <x:v>Not cycle-specific</x:v>
      </x:c>
      <x:c r="M2422" s="17" t="str">
        <x:v>low</x:v>
      </x:c>
      <x:c r="N2422" s="17" t="str">
        <x:v>Discovery evidence only</x:v>
      </x:c>
      <x:c r="O2422" s="17" t="str">
        <x:v>Use the source_record_paths field to trace the underlying discovery inputs.</x:v>
      </x:c>
      <x:c r="P2422" s="18" t="e">
        <x:f>HYPERLINK("https://www.utsa.edu","Open source")</x:f>
        <x:v>HYPERLINK is not implemented. linkLocation=https://www.utsa.edu, friendlyName=Open source</x:v>
      </x:c>
    </x:row>
    <x:row r="2423" ht="46" customHeight="1">
      <x:c r="A2423" s="17" t="str">
        <x:v>stage3src:ea4b3099a74657c1828a</x:v>
      </x:c>
      <x:c r="B2423" s="17" t="str">
        <x:v>program</x:v>
      </x:c>
      <x:c r="C2423" s="17" t="str">
        <x:v>The University of Texas at San Antonio</x:v>
      </x:c>
      <x:c r="D2423" s="17" t="str">
        <x:v>us:ipeds:229027:program:unclear:ipeds-discovery-signal-electrical-and-electronics-engineering-cip-14-1001</x:v>
      </x:c>
      <x:c r="E2423" s="17" t="str"/>
      <x:c r="F2423" s="17" t="str">
        <x:v>discovery</x:v>
      </x:c>
      <x:c r="G2423" s="17" t="str">
        <x:v>Stage 2 recorded this row as a discovery candidate; it does not independently verify an exact current research program, eligibility, or funding.</x:v>
      </x:c>
      <x:c r="H2423" s="17" t="str">
        <x:v>Pass 2 Stage 2 candidate funnel</x:v>
      </x:c>
      <x:c r="I2423" s="17" t="str">
        <x:v>Graduate audit pipeline</x:v>
      </x:c>
      <x:c r="J2423" s="17" t="str">
        <x:v>derived</x:v>
      </x:c>
      <x:c r="K2423" s="17" t="str">
        <x:v>2026-09-11</x:v>
      </x:c>
      <x:c r="L2423" s="17" t="str">
        <x:v>Not cycle-specific</x:v>
      </x:c>
      <x:c r="M2423" s="17" t="str">
        <x:v>low</x:v>
      </x:c>
      <x:c r="N2423" s="17" t="str">
        <x:v>Discovery evidence only</x:v>
      </x:c>
      <x:c r="O2423" s="17" t="str">
        <x:v>Use the source_record_paths field to trace the underlying discovery inputs.</x:v>
      </x:c>
      <x:c r="P2423" s="18" t="e">
        <x:f>HYPERLINK("https://www.utsa.edu","Open source")</x:f>
        <x:v>HYPERLINK is not implemented. linkLocation=https://www.utsa.edu, friendlyName=Open source</x:v>
      </x:c>
    </x:row>
    <x:row r="2424" ht="46" customHeight="1">
      <x:c r="A2424" s="17" t="str">
        <x:v>stage3src:7ed6eb0cbf351a43e45c</x:v>
      </x:c>
      <x:c r="B2424" s="17" t="str">
        <x:v>program</x:v>
      </x:c>
      <x:c r="C2424" s="17" t="str">
        <x:v>The University of Texas at San Antonio</x:v>
      </x:c>
      <x:c r="D2424" s="17" t="str">
        <x:v>us:ipeds:229027:program:unclear:ipeds-discovery-signal-information-technology-cip-11-0103</x:v>
      </x:c>
      <x:c r="E2424" s="17" t="str"/>
      <x:c r="F2424" s="17" t="str">
        <x:v>discovery</x:v>
      </x:c>
      <x:c r="G2424" s="17" t="str">
        <x:v>Stage 2 recorded this row as a discovery candidate; it does not independently verify an exact current research program, eligibility, or funding.</x:v>
      </x:c>
      <x:c r="H2424" s="17" t="str">
        <x:v>Pass 2 Stage 2 candidate funnel</x:v>
      </x:c>
      <x:c r="I2424" s="17" t="str">
        <x:v>Graduate audit pipeline</x:v>
      </x:c>
      <x:c r="J2424" s="17" t="str">
        <x:v>derived</x:v>
      </x:c>
      <x:c r="K2424" s="17" t="str">
        <x:v>2026-09-11</x:v>
      </x:c>
      <x:c r="L2424" s="17" t="str">
        <x:v>Not cycle-specific</x:v>
      </x:c>
      <x:c r="M2424" s="17" t="str">
        <x:v>low</x:v>
      </x:c>
      <x:c r="N2424" s="17" t="str">
        <x:v>Discovery evidence only</x:v>
      </x:c>
      <x:c r="O2424" s="17" t="str">
        <x:v>Use the source_record_paths field to trace the underlying discovery inputs.</x:v>
      </x:c>
      <x:c r="P2424" s="18" t="e">
        <x:f>HYPERLINK("https://www.utsa.edu","Open source")</x:f>
        <x:v>HYPERLINK is not implemented. linkLocation=https://www.utsa.edu, friendlyName=Open source</x:v>
      </x:c>
    </x:row>
    <x:row r="2425" ht="46" customHeight="1">
      <x:c r="A2425" s="17" t="str">
        <x:v>stage3src:e234e027f55e3b1c32ef</x:v>
      </x:c>
      <x:c r="B2425" s="17" t="str">
        <x:v>program</x:v>
      </x:c>
      <x:c r="C2425" s="17" t="str">
        <x:v>Texas Southern University</x:v>
      </x:c>
      <x:c r="D2425" s="17" t="str">
        <x:v>us:ipeds:229063:program:unclear:ipeds-discovery-signal-computer-science-cip-11-0701</x:v>
      </x:c>
      <x:c r="E2425" s="17" t="str"/>
      <x:c r="F2425" s="17" t="str">
        <x:v>discovery</x:v>
      </x:c>
      <x:c r="G2425" s="17" t="str">
        <x:v>Stage 2 recorded this row as a discovery candidate; it does not independently verify an exact current research program, eligibility, or funding.</x:v>
      </x:c>
      <x:c r="H2425" s="17" t="str">
        <x:v>Pass 2 Stage 2 candidate funnel</x:v>
      </x:c>
      <x:c r="I2425" s="17" t="str">
        <x:v>Graduate audit pipeline</x:v>
      </x:c>
      <x:c r="J2425" s="17" t="str">
        <x:v>derived</x:v>
      </x:c>
      <x:c r="K2425" s="17" t="str">
        <x:v>2026-09-11</x:v>
      </x:c>
      <x:c r="L2425" s="17" t="str">
        <x:v>Not cycle-specific</x:v>
      </x:c>
      <x:c r="M2425" s="17" t="str">
        <x:v>low</x:v>
      </x:c>
      <x:c r="N2425" s="17" t="str">
        <x:v>Discovery evidence only</x:v>
      </x:c>
      <x:c r="O2425" s="17" t="str">
        <x:v>Use the source_record_paths field to trace the underlying discovery inputs.</x:v>
      </x:c>
      <x:c r="P2425" s="18" t="e">
        <x:f>HYPERLINK("https://www.tsu.edu","Open source")</x:f>
        <x:v>HYPERLINK is not implemented. linkLocation=https://www.tsu.edu, friendlyName=Open source</x:v>
      </x:c>
    </x:row>
    <x:row r="2426" ht="46" customHeight="1">
      <x:c r="A2426" s="17" t="str">
        <x:v>stage3src:37bcdfcad039747b2e47</x:v>
      </x:c>
      <x:c r="B2426" s="17" t="str">
        <x:v>program</x:v>
      </x:c>
      <x:c r="C2426" s="17" t="str">
        <x:v>Texas Tech University</x:v>
      </x:c>
      <x:c r="D2426" s="17" t="str">
        <x:v>us:ipeds:229115:program:unclear:ipeds-discovery-signal-computer-and-information-sciences-general-cip-11-0101</x:v>
      </x:c>
      <x:c r="E2426" s="17" t="str"/>
      <x:c r="F2426" s="17" t="str">
        <x:v>discovery</x:v>
      </x:c>
      <x:c r="G2426" s="17" t="str">
        <x:v>Stage 2 recorded this row as a discovery candidate; it does not independently verify an exact current research program, eligibility, or funding.</x:v>
      </x:c>
      <x:c r="H2426" s="17" t="str">
        <x:v>Pass 2 Stage 2 candidate funnel</x:v>
      </x:c>
      <x:c r="I2426" s="17" t="str">
        <x:v>Graduate audit pipeline</x:v>
      </x:c>
      <x:c r="J2426" s="17" t="str">
        <x:v>derived</x:v>
      </x:c>
      <x:c r="K2426" s="17" t="str">
        <x:v>2026-09-11</x:v>
      </x:c>
      <x:c r="L2426" s="17" t="str">
        <x:v>Not cycle-specific</x:v>
      </x:c>
      <x:c r="M2426" s="17" t="str">
        <x:v>low</x:v>
      </x:c>
      <x:c r="N2426" s="17" t="str">
        <x:v>Discovery evidence only</x:v>
      </x:c>
      <x:c r="O2426" s="17" t="str">
        <x:v>Use the source_record_paths field to trace the underlying discovery inputs.</x:v>
      </x:c>
      <x:c r="P2426" s="18" t="e">
        <x:f>HYPERLINK("https://www.ttu.edu","Open source")</x:f>
        <x:v>HYPERLINK is not implemented. linkLocation=https://www.ttu.edu, friendlyName=Open source</x:v>
      </x:c>
    </x:row>
    <x:row r="2427" ht="46" customHeight="1">
      <x:c r="A2427" s="17" t="str">
        <x:v>stage3src:9351243a3854aa7cc588</x:v>
      </x:c>
      <x:c r="B2427" s="17" t="str">
        <x:v>program</x:v>
      </x:c>
      <x:c r="C2427" s="17" t="str">
        <x:v>Texas Tech University</x:v>
      </x:c>
      <x:c r="D2427" s="17" t="str">
        <x:v>us:ipeds:229115:program:unclear:ipeds-discovery-signal-computer-software-engineering-cip-14-0903</x:v>
      </x:c>
      <x:c r="E2427" s="17" t="str"/>
      <x:c r="F2427" s="17" t="str">
        <x:v>discovery</x:v>
      </x:c>
      <x:c r="G2427" s="17" t="str">
        <x:v>Stage 2 recorded this row as a discovery candidate; it does not independently verify an exact current research program, eligibility, or funding.</x:v>
      </x:c>
      <x:c r="H2427" s="17" t="str">
        <x:v>Pass 2 Stage 2 candidate funnel</x:v>
      </x:c>
      <x:c r="I2427" s="17" t="str">
        <x:v>Graduate audit pipeline</x:v>
      </x:c>
      <x:c r="J2427" s="17" t="str">
        <x:v>derived</x:v>
      </x:c>
      <x:c r="K2427" s="17" t="str">
        <x:v>2026-09-11</x:v>
      </x:c>
      <x:c r="L2427" s="17" t="str">
        <x:v>Not cycle-specific</x:v>
      </x:c>
      <x:c r="M2427" s="17" t="str">
        <x:v>low</x:v>
      </x:c>
      <x:c r="N2427" s="17" t="str">
        <x:v>Discovery evidence only</x:v>
      </x:c>
      <x:c r="O2427" s="17" t="str">
        <x:v>Use the source_record_paths field to trace the underlying discovery inputs.</x:v>
      </x:c>
      <x:c r="P2427" s="18" t="e">
        <x:f>HYPERLINK("https://www.ttu.edu","Open source")</x:f>
        <x:v>HYPERLINK is not implemented. linkLocation=https://www.ttu.edu, friendlyName=Open source</x:v>
      </x:c>
    </x:row>
    <x:row r="2428" ht="46" customHeight="1">
      <x:c r="A2428" s="17" t="str">
        <x:v>stage3src:2a7c6f871e3f30454139</x:v>
      </x:c>
      <x:c r="B2428" s="17" t="str">
        <x:v>program</x:v>
      </x:c>
      <x:c r="C2428" s="17" t="str">
        <x:v>Texas Tech University</x:v>
      </x:c>
      <x:c r="D2428" s="17" t="str">
        <x:v>us:ipeds:229115:program:unclear:ipeds-discovery-signal-data-science-general-cip-30-7001</x:v>
      </x:c>
      <x:c r="E2428" s="17" t="str"/>
      <x:c r="F2428" s="17" t="str">
        <x:v>discovery</x:v>
      </x:c>
      <x:c r="G2428" s="17" t="str">
        <x:v>Stage 2 recorded this row as a discovery candidate; it does not independently verify an exact current research program, eligibility, or funding.</x:v>
      </x:c>
      <x:c r="H2428" s="17" t="str">
        <x:v>Pass 2 Stage 2 candidate funnel</x:v>
      </x:c>
      <x:c r="I2428" s="17" t="str">
        <x:v>Graduate audit pipeline</x:v>
      </x:c>
      <x:c r="J2428" s="17" t="str">
        <x:v>derived</x:v>
      </x:c>
      <x:c r="K2428" s="17" t="str">
        <x:v>2026-09-11</x:v>
      </x:c>
      <x:c r="L2428" s="17" t="str">
        <x:v>Not cycle-specific</x:v>
      </x:c>
      <x:c r="M2428" s="17" t="str">
        <x:v>low</x:v>
      </x:c>
      <x:c r="N2428" s="17" t="str">
        <x:v>Discovery evidence only</x:v>
      </x:c>
      <x:c r="O2428" s="17" t="str">
        <x:v>Use the source_record_paths field to trace the underlying discovery inputs.</x:v>
      </x:c>
      <x:c r="P2428" s="18" t="e">
        <x:f>HYPERLINK("https://www.ttu.edu","Open source")</x:f>
        <x:v>HYPERLINK is not implemented. linkLocation=https://www.ttu.edu, friendlyName=Open source</x:v>
      </x:c>
    </x:row>
    <x:row r="2429" ht="46" customHeight="1">
      <x:c r="A2429" s="17" t="str">
        <x:v>stage3src:8ecbe50a7af78b0d6681</x:v>
      </x:c>
      <x:c r="B2429" s="17" t="str">
        <x:v>program</x:v>
      </x:c>
      <x:c r="C2429" s="17" t="str">
        <x:v>Texas Tech University</x:v>
      </x:c>
      <x:c r="D2429" s="17" t="str">
        <x:v>us:ipeds:229115:program:unclear:ipeds-discovery-signal-electrical-and-electronics-engineering-cip-14-1001</x:v>
      </x:c>
      <x:c r="E2429" s="17" t="str"/>
      <x:c r="F2429" s="17" t="str">
        <x:v>discovery</x:v>
      </x:c>
      <x:c r="G2429" s="17" t="str">
        <x:v>Stage 2 recorded this row as a discovery candidate; it does not independently verify an exact current research program, eligibility, or funding.</x:v>
      </x:c>
      <x:c r="H2429" s="17" t="str">
        <x:v>Pass 2 Stage 2 candidate funnel</x:v>
      </x:c>
      <x:c r="I2429" s="17" t="str">
        <x:v>Graduate audit pipeline</x:v>
      </x:c>
      <x:c r="J2429" s="17" t="str">
        <x:v>derived</x:v>
      </x:c>
      <x:c r="K2429" s="17" t="str">
        <x:v>2026-09-11</x:v>
      </x:c>
      <x:c r="L2429" s="17" t="str">
        <x:v>Not cycle-specific</x:v>
      </x:c>
      <x:c r="M2429" s="17" t="str">
        <x:v>low</x:v>
      </x:c>
      <x:c r="N2429" s="17" t="str">
        <x:v>Discovery evidence only</x:v>
      </x:c>
      <x:c r="O2429" s="17" t="str">
        <x:v>Use the source_record_paths field to trace the underlying discovery inputs.</x:v>
      </x:c>
      <x:c r="P2429" s="18" t="e">
        <x:f>HYPERLINK("https://www.ttu.edu","Open source")</x:f>
        <x:v>HYPERLINK is not implemented. linkLocation=https://www.ttu.edu, friendlyName=Open source</x:v>
      </x:c>
    </x:row>
    <x:row r="2430" ht="46" customHeight="1">
      <x:c r="A2430" s="17" t="str">
        <x:v>stage3src:0c5a6906a1194bd42eb6</x:v>
      </x:c>
      <x:c r="B2430" s="17" t="str">
        <x:v>program</x:v>
      </x:c>
      <x:c r="C2430" s="17" t="str">
        <x:v>Texas Woman's University</x:v>
      </x:c>
      <x:c r="D2430" s="17" t="str">
        <x:v>us:ipeds:229179:program:unclear:ipeds-discovery-signal-informatics-cip-11-0104</x:v>
      </x:c>
      <x:c r="E2430" s="17" t="str"/>
      <x:c r="F2430" s="17" t="str">
        <x:v>discovery</x:v>
      </x:c>
      <x:c r="G2430" s="17" t="str">
        <x:v>Stage 2 recorded this row as a discovery candidate; it does not independently verify an exact current research program, eligibility, or funding.</x:v>
      </x:c>
      <x:c r="H2430" s="17" t="str">
        <x:v>Pass 2 Stage 2 candidate funnel</x:v>
      </x:c>
      <x:c r="I2430" s="17" t="str">
        <x:v>Graduate audit pipeline</x:v>
      </x:c>
      <x:c r="J2430" s="17" t="str">
        <x:v>derived</x:v>
      </x:c>
      <x:c r="K2430" s="17" t="str">
        <x:v>2026-09-11</x:v>
      </x:c>
      <x:c r="L2430" s="17" t="str">
        <x:v>Not cycle-specific</x:v>
      </x:c>
      <x:c r="M2430" s="17" t="str">
        <x:v>low</x:v>
      </x:c>
      <x:c r="N2430" s="17" t="str">
        <x:v>Discovery evidence only</x:v>
      </x:c>
      <x:c r="O2430" s="17" t="str">
        <x:v>Use the source_record_paths field to trace the underlying discovery inputs.</x:v>
      </x:c>
      <x:c r="P2430" s="18" t="e">
        <x:f>HYPERLINK("https://www.twu.edu","Open source")</x:f>
        <x:v>HYPERLINK is not implemented. linkLocation=https://www.twu.edu, friendlyName=Open source</x:v>
      </x:c>
    </x:row>
    <x:row r="2431" ht="46" customHeight="1">
      <x:c r="A2431" s="17" t="str">
        <x:v>stage3src:f9fa384d5422e851f786</x:v>
      </x:c>
      <x:c r="B2431" s="17" t="str">
        <x:v>program</x:v>
      </x:c>
      <x:c r="C2431" s="17" t="str">
        <x:v>West Texas A &amp; M University</x:v>
      </x:c>
      <x:c r="D2431" s="17" t="str">
        <x:v>us:ipeds:229814:program:unclear:ipeds-discovery-signal-computer-and-information-systems-security-auditing-information-assurance-cip-11-1003</x:v>
      </x:c>
      <x:c r="E2431" s="17" t="str"/>
      <x:c r="F2431" s="17" t="str">
        <x:v>discovery</x:v>
      </x:c>
      <x:c r="G2431" s="17" t="str">
        <x:v>Stage 2 recorded this row as a discovery candidate; it does not independently verify an exact current research program, eligibility, or funding.</x:v>
      </x:c>
      <x:c r="H2431" s="17" t="str">
        <x:v>Pass 2 Stage 2 candidate funnel</x:v>
      </x:c>
      <x:c r="I2431" s="17" t="str">
        <x:v>Graduate audit pipeline</x:v>
      </x:c>
      <x:c r="J2431" s="17" t="str">
        <x:v>derived</x:v>
      </x:c>
      <x:c r="K2431" s="17" t="str">
        <x:v>2026-09-11</x:v>
      </x:c>
      <x:c r="L2431" s="17" t="str">
        <x:v>Not cycle-specific</x:v>
      </x:c>
      <x:c r="M2431" s="17" t="str">
        <x:v>low</x:v>
      </x:c>
      <x:c r="N2431" s="17" t="str">
        <x:v>Discovery evidence only</x:v>
      </x:c>
      <x:c r="O2431" s="17" t="str">
        <x:v>Use the source_record_paths field to trace the underlying discovery inputs.</x:v>
      </x:c>
      <x:c r="P2431" s="18" t="e">
        <x:f>HYPERLINK("https://www.wtamu.edu","Open source")</x:f>
        <x:v>HYPERLINK is not implemented. linkLocation=https://www.wtamu.edu, friendlyName=Open source</x:v>
      </x:c>
    </x:row>
    <x:row r="2432" ht="46" customHeight="1">
      <x:c r="A2432" s="17" t="str">
        <x:v>stage3src:a96fd128dc54c990ea82</x:v>
      </x:c>
      <x:c r="B2432" s="17" t="str">
        <x:v>program</x:v>
      </x:c>
      <x:c r="C2432" s="17" t="str">
        <x:v>Brigham Young University</x:v>
      </x:c>
      <x:c r="D2432" s="17" t="str">
        <x:v>us:ipeds:230038:program:unclear:ipeds-discovery-signal-computer-science-cip-11-0701</x:v>
      </x:c>
      <x:c r="E2432" s="17" t="str"/>
      <x:c r="F2432" s="17" t="str">
        <x:v>discovery</x:v>
      </x:c>
      <x:c r="G2432" s="17" t="str">
        <x:v>Stage 2 recorded this row as a discovery candidate; it does not independently verify an exact current research program, eligibility, or funding.</x:v>
      </x:c>
      <x:c r="H2432" s="17" t="str">
        <x:v>Pass 2 Stage 2 candidate funnel</x:v>
      </x:c>
      <x:c r="I2432" s="17" t="str">
        <x:v>Graduate audit pipeline</x:v>
      </x:c>
      <x:c r="J2432" s="17" t="str">
        <x:v>derived</x:v>
      </x:c>
      <x:c r="K2432" s="17" t="str">
        <x:v>2026-09-11</x:v>
      </x:c>
      <x:c r="L2432" s="17" t="str">
        <x:v>Not cycle-specific</x:v>
      </x:c>
      <x:c r="M2432" s="17" t="str">
        <x:v>low</x:v>
      </x:c>
      <x:c r="N2432" s="17" t="str">
        <x:v>Discovery evidence only</x:v>
      </x:c>
      <x:c r="O2432" s="17" t="str">
        <x:v>Use the source_record_paths field to trace the underlying discovery inputs.</x:v>
      </x:c>
      <x:c r="P2432" s="18" t="e">
        <x:f>HYPERLINK("https://byu.edu","Open source")</x:f>
        <x:v>HYPERLINK is not implemented. linkLocation=https://byu.edu, friendlyName=Open source</x:v>
      </x:c>
    </x:row>
    <x:row r="2433" ht="46" customHeight="1">
      <x:c r="A2433" s="17" t="str">
        <x:v>stage3src:30cab7592839db3c1714</x:v>
      </x:c>
      <x:c r="B2433" s="17" t="str">
        <x:v>program</x:v>
      </x:c>
      <x:c r="C2433" s="17" t="str">
        <x:v>Brigham Young University</x:v>
      </x:c>
      <x:c r="D2433" s="17" t="str">
        <x:v>us:ipeds:230038:program:unclear:ipeds-discovery-signal-information-technology-cip-11-0103</x:v>
      </x:c>
      <x:c r="E2433" s="17" t="str"/>
      <x:c r="F2433" s="17" t="str">
        <x:v>discovery</x:v>
      </x:c>
      <x:c r="G2433" s="17" t="str">
        <x:v>Stage 2 recorded this row as a discovery candidate; it does not independently verify an exact current research program, eligibility, or funding.</x:v>
      </x:c>
      <x:c r="H2433" s="17" t="str">
        <x:v>Pass 2 Stage 2 candidate funnel</x:v>
      </x:c>
      <x:c r="I2433" s="17" t="str">
        <x:v>Graduate audit pipeline</x:v>
      </x:c>
      <x:c r="J2433" s="17" t="str">
        <x:v>derived</x:v>
      </x:c>
      <x:c r="K2433" s="17" t="str">
        <x:v>2026-09-11</x:v>
      </x:c>
      <x:c r="L2433" s="17" t="str">
        <x:v>Not cycle-specific</x:v>
      </x:c>
      <x:c r="M2433" s="17" t="str">
        <x:v>low</x:v>
      </x:c>
      <x:c r="N2433" s="17" t="str">
        <x:v>Discovery evidence only</x:v>
      </x:c>
      <x:c r="O2433" s="17" t="str">
        <x:v>Use the source_record_paths field to trace the underlying discovery inputs.</x:v>
      </x:c>
      <x:c r="P2433" s="18" t="e">
        <x:f>HYPERLINK("https://byu.edu","Open source")</x:f>
        <x:v>HYPERLINK is not implemented. linkLocation=https://byu.edu, friendlyName=Open source</x:v>
      </x:c>
    </x:row>
    <x:row r="2434" ht="46" customHeight="1">
      <x:c r="A2434" s="17" t="str">
        <x:v>stage3src:84ed6d4fb72a83a3ea42</x:v>
      </x:c>
      <x:c r="B2434" s="17" t="str">
        <x:v>program</x:v>
      </x:c>
      <x:c r="C2434" s="17" t="str">
        <x:v>Southern Utah University</x:v>
      </x:c>
      <x:c r="D2434" s="17" t="str">
        <x:v>us:ipeds:230603:program:unclear:ipeds-discovery-signal-computer-and-information-systems-security-auditing-information-assurance-cip-11-1003</x:v>
      </x:c>
      <x:c r="E2434" s="17" t="str"/>
      <x:c r="F2434" s="17" t="str">
        <x:v>discovery</x:v>
      </x:c>
      <x:c r="G2434" s="17" t="str">
        <x:v>Stage 2 recorded this row as a discovery candidate; it does not independently verify an exact current research program, eligibility, or funding.</x:v>
      </x:c>
      <x:c r="H2434" s="17" t="str">
        <x:v>Pass 2 Stage 2 candidate funnel</x:v>
      </x:c>
      <x:c r="I2434" s="17" t="str">
        <x:v>Graduate audit pipeline</x:v>
      </x:c>
      <x:c r="J2434" s="17" t="str">
        <x:v>derived</x:v>
      </x:c>
      <x:c r="K2434" s="17" t="str">
        <x:v>2026-09-11</x:v>
      </x:c>
      <x:c r="L2434" s="17" t="str">
        <x:v>Not cycle-specific</x:v>
      </x:c>
      <x:c r="M2434" s="17" t="str">
        <x:v>low</x:v>
      </x:c>
      <x:c r="N2434" s="17" t="str">
        <x:v>Discovery evidence only</x:v>
      </x:c>
      <x:c r="O2434" s="17" t="str">
        <x:v>Use the source_record_paths field to trace the underlying discovery inputs.</x:v>
      </x:c>
      <x:c r="P2434" s="18" t="e">
        <x:f>HYPERLINK("https://www.suu.edu","Open source")</x:f>
        <x:v>HYPERLINK is not implemented. linkLocation=https://www.suu.edu, friendlyName=Open source</x:v>
      </x:c>
    </x:row>
    <x:row r="2435" ht="46" customHeight="1">
      <x:c r="A2435" s="17" t="str">
        <x:v>stage3src:086fccbbf166cdfc3e60</x:v>
      </x:c>
      <x:c r="B2435" s="17" t="str">
        <x:v>program</x:v>
      </x:c>
      <x:c r="C2435" s="17" t="str">
        <x:v>Utah State University</x:v>
      </x:c>
      <x:c r="D2435" s="17" t="str">
        <x:v>us:ipeds:230728:program:unclear:ipeds-discovery-signal-computer-and-information-sciences-general-cip-11-0101</x:v>
      </x:c>
      <x:c r="E2435" s="17" t="str"/>
      <x:c r="F2435" s="17" t="str">
        <x:v>discovery</x:v>
      </x:c>
      <x:c r="G2435" s="17" t="str">
        <x:v>Stage 2 recorded this row as a discovery candidate; it does not independently verify an exact current research program, eligibility, or funding.</x:v>
      </x:c>
      <x:c r="H2435" s="17" t="str">
        <x:v>Pass 2 Stage 2 candidate funnel</x:v>
      </x:c>
      <x:c r="I2435" s="17" t="str">
        <x:v>Graduate audit pipeline</x:v>
      </x:c>
      <x:c r="J2435" s="17" t="str">
        <x:v>derived</x:v>
      </x:c>
      <x:c r="K2435" s="17" t="str">
        <x:v>2026-09-11</x:v>
      </x:c>
      <x:c r="L2435" s="17" t="str">
        <x:v>Not cycle-specific</x:v>
      </x:c>
      <x:c r="M2435" s="17" t="str">
        <x:v>low</x:v>
      </x:c>
      <x:c r="N2435" s="17" t="str">
        <x:v>Discovery evidence only</x:v>
      </x:c>
      <x:c r="O2435" s="17" t="str">
        <x:v>Use the source_record_paths field to trace the underlying discovery inputs.</x:v>
      </x:c>
      <x:c r="P2435" s="18" t="e">
        <x:f>HYPERLINK("https://www.usu.edu","Open source")</x:f>
        <x:v>HYPERLINK is not implemented. linkLocation=https://www.usu.edu, friendlyName=Open source</x:v>
      </x:c>
    </x:row>
    <x:row r="2436" ht="46" customHeight="1">
      <x:c r="A2436" s="17" t="str">
        <x:v>stage3src:dada899d02a847800bff</x:v>
      </x:c>
      <x:c r="B2436" s="17" t="str">
        <x:v>program</x:v>
      </x:c>
      <x:c r="C2436" s="17" t="str">
        <x:v>Utah State University</x:v>
      </x:c>
      <x:c r="D2436" s="17" t="str">
        <x:v>us:ipeds:230728:program:unclear:ipeds-discovery-signal-computer-engineering-general-cip-14-0901</x:v>
      </x:c>
      <x:c r="E2436" s="17" t="str"/>
      <x:c r="F2436" s="17" t="str">
        <x:v>discovery</x:v>
      </x:c>
      <x:c r="G2436" s="17" t="str">
        <x:v>Stage 2 recorded this row as a discovery candidate; it does not independently verify an exact current research program, eligibility, or funding.</x:v>
      </x:c>
      <x:c r="H2436" s="17" t="str">
        <x:v>Pass 2 Stage 2 candidate funnel</x:v>
      </x:c>
      <x:c r="I2436" s="17" t="str">
        <x:v>Graduate audit pipeline</x:v>
      </x:c>
      <x:c r="J2436" s="17" t="str">
        <x:v>derived</x:v>
      </x:c>
      <x:c r="K2436" s="17" t="str">
        <x:v>2026-09-11</x:v>
      </x:c>
      <x:c r="L2436" s="17" t="str">
        <x:v>Not cycle-specific</x:v>
      </x:c>
      <x:c r="M2436" s="17" t="str">
        <x:v>low</x:v>
      </x:c>
      <x:c r="N2436" s="17" t="str">
        <x:v>Discovery evidence only</x:v>
      </x:c>
      <x:c r="O2436" s="17" t="str">
        <x:v>Use the source_record_paths field to trace the underlying discovery inputs.</x:v>
      </x:c>
      <x:c r="P2436" s="18" t="e">
        <x:f>HYPERLINK("https://www.usu.edu","Open source")</x:f>
        <x:v>HYPERLINK is not implemented. linkLocation=https://www.usu.edu, friendlyName=Open source</x:v>
      </x:c>
    </x:row>
    <x:row r="2437" ht="46" customHeight="1">
      <x:c r="A2437" s="17" t="str">
        <x:v>stage3src:5aa0a394e4e6633ff4df</x:v>
      </x:c>
      <x:c r="B2437" s="17" t="str">
        <x:v>program</x:v>
      </x:c>
      <x:c r="C2437" s="17" t="str">
        <x:v>Utah State University</x:v>
      </x:c>
      <x:c r="D2437" s="17" t="str">
        <x:v>us:ipeds:230728:program:unclear:ipeds-discovery-signal-computer-science-cip-11-0701</x:v>
      </x:c>
      <x:c r="E2437" s="17" t="str"/>
      <x:c r="F2437" s="17" t="str">
        <x:v>discovery</x:v>
      </x:c>
      <x:c r="G2437" s="17" t="str">
        <x:v>Stage 2 recorded this row as a discovery candidate; it does not independently verify an exact current research program, eligibility, or funding.</x:v>
      </x:c>
      <x:c r="H2437" s="17" t="str">
        <x:v>Pass 2 Stage 2 candidate funnel</x:v>
      </x:c>
      <x:c r="I2437" s="17" t="str">
        <x:v>Graduate audit pipeline</x:v>
      </x:c>
      <x:c r="J2437" s="17" t="str">
        <x:v>derived</x:v>
      </x:c>
      <x:c r="K2437" s="17" t="str">
        <x:v>2026-09-11</x:v>
      </x:c>
      <x:c r="L2437" s="17" t="str">
        <x:v>Not cycle-specific</x:v>
      </x:c>
      <x:c r="M2437" s="17" t="str">
        <x:v>low</x:v>
      </x:c>
      <x:c r="N2437" s="17" t="str">
        <x:v>Discovery evidence only</x:v>
      </x:c>
      <x:c r="O2437" s="17" t="str">
        <x:v>Use the source_record_paths field to trace the underlying discovery inputs.</x:v>
      </x:c>
      <x:c r="P2437" s="18" t="e">
        <x:f>HYPERLINK("https://www.usu.edu","Open source")</x:f>
        <x:v>HYPERLINK is not implemented. linkLocation=https://www.usu.edu, friendlyName=Open source</x:v>
      </x:c>
    </x:row>
    <x:row r="2438" ht="46" customHeight="1">
      <x:c r="A2438" s="17" t="str">
        <x:v>stage3src:30c0376f5b31204595d4</x:v>
      </x:c>
      <x:c r="B2438" s="17" t="str">
        <x:v>program</x:v>
      </x:c>
      <x:c r="C2438" s="17" t="str">
        <x:v>Utah State University</x:v>
      </x:c>
      <x:c r="D2438" s="17" t="str">
        <x:v>us:ipeds:230728:program:unclear:ipeds-discovery-signal-electrical-and-electronics-engineering-cip-14-1001</x:v>
      </x:c>
      <x:c r="E2438" s="17" t="str"/>
      <x:c r="F2438" s="17" t="str">
        <x:v>discovery</x:v>
      </x:c>
      <x:c r="G2438" s="17" t="str">
        <x:v>Stage 2 recorded this row as a discovery candidate; it does not independently verify an exact current research program, eligibility, or funding.</x:v>
      </x:c>
      <x:c r="H2438" s="17" t="str">
        <x:v>Pass 2 Stage 2 candidate funnel</x:v>
      </x:c>
      <x:c r="I2438" s="17" t="str">
        <x:v>Graduate audit pipeline</x:v>
      </x:c>
      <x:c r="J2438" s="17" t="str">
        <x:v>derived</x:v>
      </x:c>
      <x:c r="K2438" s="17" t="str">
        <x:v>2026-09-11</x:v>
      </x:c>
      <x:c r="L2438" s="17" t="str">
        <x:v>Not cycle-specific</x:v>
      </x:c>
      <x:c r="M2438" s="17" t="str">
        <x:v>low</x:v>
      </x:c>
      <x:c r="N2438" s="17" t="str">
        <x:v>Discovery evidence only</x:v>
      </x:c>
      <x:c r="O2438" s="17" t="str">
        <x:v>Use the source_record_paths field to trace the underlying discovery inputs.</x:v>
      </x:c>
      <x:c r="P2438" s="18" t="e">
        <x:f>HYPERLINK("https://www.usu.edu","Open source")</x:f>
        <x:v>HYPERLINK is not implemented. linkLocation=https://www.usu.edu, friendlyName=Open source</x:v>
      </x:c>
    </x:row>
    <x:row r="2439" ht="46" customHeight="1">
      <x:c r="A2439" s="17" t="str">
        <x:v>stage3src:7aee2a4a808155e7650e</x:v>
      </x:c>
      <x:c r="B2439" s="17" t="str">
        <x:v>program</x:v>
      </x:c>
      <x:c r="C2439" s="17" t="str">
        <x:v>Utah Valley University</x:v>
      </x:c>
      <x:c r="D2439" s="17" t="str">
        <x:v>us:ipeds:230737:program:unclear:ipeds-discovery-signal-computer-and-information-systems-security-auditing-information-assurance-cip-11-1003</x:v>
      </x:c>
      <x:c r="E2439" s="17" t="str"/>
      <x:c r="F2439" s="17" t="str">
        <x:v>discovery</x:v>
      </x:c>
      <x:c r="G2439" s="17" t="str">
        <x:v>Stage 2 recorded this row as a discovery candidate; it does not independently verify an exact current research program, eligibility, or funding.</x:v>
      </x:c>
      <x:c r="H2439" s="17" t="str">
        <x:v>Pass 2 Stage 2 candidate funnel</x:v>
      </x:c>
      <x:c r="I2439" s="17" t="str">
        <x:v>Graduate audit pipeline</x:v>
      </x:c>
      <x:c r="J2439" s="17" t="str">
        <x:v>derived</x:v>
      </x:c>
      <x:c r="K2439" s="17" t="str">
        <x:v>2026-09-11</x:v>
      </x:c>
      <x:c r="L2439" s="17" t="str">
        <x:v>Not cycle-specific</x:v>
      </x:c>
      <x:c r="M2439" s="17" t="str">
        <x:v>low</x:v>
      </x:c>
      <x:c r="N2439" s="17" t="str">
        <x:v>Discovery evidence only</x:v>
      </x:c>
      <x:c r="O2439" s="17" t="str">
        <x:v>Use the source_record_paths field to trace the underlying discovery inputs.</x:v>
      </x:c>
      <x:c r="P2439" s="18" t="e">
        <x:f>HYPERLINK("https://www.uvu.edu","Open source")</x:f>
        <x:v>HYPERLINK is not implemented. linkLocation=https://www.uvu.edu, friendlyName=Open source</x:v>
      </x:c>
    </x:row>
    <x:row r="2440" ht="46" customHeight="1">
      <x:c r="A2440" s="17" t="str">
        <x:v>stage3src:8e276b7d950cb71a968e</x:v>
      </x:c>
      <x:c r="B2440" s="17" t="str">
        <x:v>program</x:v>
      </x:c>
      <x:c r="C2440" s="17" t="str">
        <x:v>Utah Valley University</x:v>
      </x:c>
      <x:c r="D2440" s="17" t="str">
        <x:v>us:ipeds:230737:program:unclear:ipeds-discovery-signal-computer-science-cip-11-0701</x:v>
      </x:c>
      <x:c r="E2440" s="17" t="str"/>
      <x:c r="F2440" s="17" t="str">
        <x:v>discovery</x:v>
      </x:c>
      <x:c r="G2440" s="17" t="str">
        <x:v>Stage 2 recorded this row as a discovery candidate; it does not independently verify an exact current research program, eligibility, or funding.</x:v>
      </x:c>
      <x:c r="H2440" s="17" t="str">
        <x:v>Pass 2 Stage 2 candidate funnel</x:v>
      </x:c>
      <x:c r="I2440" s="17" t="str">
        <x:v>Graduate audit pipeline</x:v>
      </x:c>
      <x:c r="J2440" s="17" t="str">
        <x:v>derived</x:v>
      </x:c>
      <x:c r="K2440" s="17" t="str">
        <x:v>2026-09-11</x:v>
      </x:c>
      <x:c r="L2440" s="17" t="str">
        <x:v>Not cycle-specific</x:v>
      </x:c>
      <x:c r="M2440" s="17" t="str">
        <x:v>low</x:v>
      </x:c>
      <x:c r="N2440" s="17" t="str">
        <x:v>Discovery evidence only</x:v>
      </x:c>
      <x:c r="O2440" s="17" t="str">
        <x:v>Use the source_record_paths field to trace the underlying discovery inputs.</x:v>
      </x:c>
      <x:c r="P2440" s="18" t="e">
        <x:f>HYPERLINK("https://www.uvu.edu","Open source")</x:f>
        <x:v>HYPERLINK is not implemented. linkLocation=https://www.uvu.edu, friendlyName=Open source</x:v>
      </x:c>
    </x:row>
    <x:row r="2441" ht="46" customHeight="1">
      <x:c r="A2441" s="17" t="str">
        <x:v>stage3src:208beafe18e886621929</x:v>
      </x:c>
      <x:c r="B2441" s="17" t="str">
        <x:v>program</x:v>
      </x:c>
      <x:c r="C2441" s="17" t="str">
        <x:v>University of Utah</x:v>
      </x:c>
      <x:c r="D2441" s="17" t="str">
        <x:v>us:ipeds:230764:program:phd:computing-phd</x:v>
      </x:c>
      <x:c r="E2441" s="17" t="str"/>
      <x:c r="F2441" s="17" t="str">
        <x:v>funding|fees</x:v>
      </x:c>
      <x:c r="G2441" s="17" t="str">
        <x:v>PhD students receive support conditional on good progress; 2026-2027 stipend, tuition benefit, health, and summer RA details.</x:v>
      </x:c>
      <x:c r="H2441" s="17" t="str">
        <x:v>Graduate Financial Support and Costs</x:v>
      </x:c>
      <x:c r="I2441" s="17" t="str">
        <x:v>University of Utah Kahlert School of Computing</x:v>
      </x:c>
      <x:c r="J2441" s="17" t="str">
        <x:v>official</x:v>
      </x:c>
      <x:c r="K2441" s="17" t="str">
        <x:v>2026-09-10</x:v>
      </x:c>
      <x:c r="L2441" s="17" t="str">
        <x:v>2026-2027 funding figures</x:v>
      </x:c>
      <x:c r="M2441" s="17" t="str">
        <x:v>high</x:v>
      </x:c>
      <x:c r="N2441" s="17" t="str">
        <x:v>official page checked</x:v>
      </x:c>
      <x:c r="O2441" s="17" t="str"/>
      <x:c r="P2441" s="18" t="e">
        <x:f>HYPERLINK("https://www.cs.utah.edu/graduate/prospective-students/admissions/graduate-financial-support-and-costs/","Open source")</x:f>
        <x:v>HYPERLINK is not implemented. linkLocation=https://www.cs.utah.edu/graduate/prospective-students/admissions/graduate-financial-support-and-costs/, friendlyName=Open source</x:v>
      </x:c>
    </x:row>
    <x:row r="2442" ht="46" customHeight="1">
      <x:c r="A2442" s="17" t="str">
        <x:v>stage3src:3440ae4818e59423593f</x:v>
      </x:c>
      <x:c r="B2442" s="17" t="str">
        <x:v>program</x:v>
      </x:c>
      <x:c r="C2442" s="17" t="str">
        <x:v>University of Utah</x:v>
      </x:c>
      <x:c r="D2442" s="17" t="str">
        <x:v>us:ipeds:230764:program:phd:computing-phd</x:v>
      </x:c>
      <x:c r="E2442" s="17" t="str"/>
      <x:c r="F2442" s="17" t="str">
        <x:v>program</x:v>
      </x:c>
      <x:c r="G2442" s="17" t="str">
        <x:v>Current research-focused PhD route and typical five-year structure.</x:v>
      </x:c>
      <x:c r="H2442" s="17" t="str">
        <x:v>Graduate Academic Program Overview</x:v>
      </x:c>
      <x:c r="I2442" s="17" t="str">
        <x:v>University of Utah Kahlert School of Computing</x:v>
      </x:c>
      <x:c r="J2442" s="17" t="str">
        <x:v>official</x:v>
      </x:c>
      <x:c r="K2442" s="17" t="str">
        <x:v>2026-09-10</x:v>
      </x:c>
      <x:c r="L2442" s="17" t="str">
        <x:v>Current page checked 2026-09-10</x:v>
      </x:c>
      <x:c r="M2442" s="17" t="str">
        <x:v>high</x:v>
      </x:c>
      <x:c r="N2442" s="17" t="str">
        <x:v>official page checked</x:v>
      </x:c>
      <x:c r="O2442" s="17" t="str"/>
      <x:c r="P2442" s="18" t="e">
        <x:f>HYPERLINK("https://www.cs.utah.edu/graduate/academic-programs/graduate-academic-program-overview/","Open source")</x:f>
        <x:v>HYPERLINK is not implemented. linkLocation=https://www.cs.utah.edu/graduate/academic-programs/graduate-academic-program-overview/, friendlyName=Open source</x:v>
      </x:c>
    </x:row>
    <x:row r="2443" ht="46" customHeight="1">
      <x:c r="A2443" s="17" t="str">
        <x:v>stage3src:8b628fc18b8fba09095d</x:v>
      </x:c>
      <x:c r="B2443" s="17" t="str">
        <x:v>program</x:v>
      </x:c>
      <x:c r="C2443" s="17" t="str">
        <x:v>University of Utah</x:v>
      </x:c>
      <x:c r="D2443" s="17" t="str">
        <x:v>us:ipeds:230764:program:phd:computing-phd</x:v>
      </x:c>
      <x:c r="E2443" s="17" t="str"/>
      <x:c r="F2443" s="17" t="str">
        <x:v>admissions|eligibility|language|deadline|fees</x:v>
      </x:c>
      <x:c r="G2443" s="17" t="str">
        <x:v>International PhD fee, current displayed deadline, and international transcript and English routing.</x:v>
      </x:c>
      <x:c r="H2443" s="17" t="str">
        <x:v>Admissions</x:v>
      </x:c>
      <x:c r="I2443" s="17" t="str">
        <x:v>University of Utah Kahlert School of Computing</x:v>
      </x:c>
      <x:c r="J2443" s="17" t="str">
        <x:v>official</x:v>
      </x:c>
      <x:c r="K2443" s="17" t="str">
        <x:v>2026-09-10</x:v>
      </x:c>
      <x:c r="L2443" s="17" t="str">
        <x:v>Current page displays December 15, 2027; Fall 2027 conflict flagged</x:v>
      </x:c>
      <x:c r="M2443" s="17" t="str">
        <x:v>high</x:v>
      </x:c>
      <x:c r="N2443" s="17" t="str">
        <x:v>official page checked</x:v>
      </x:c>
      <x:c r="O2443" s="17" t="str"/>
      <x:c r="P2443" s="18" t="e">
        <x:f>HYPERLINK("https://www.cs.utah.edu/graduate/prospective-students/admissions/","Open source")</x:f>
        <x:v>HYPERLINK is not implemented. linkLocation=https://www.cs.utah.edu/graduate/prospective-students/admissions/, friendlyName=Open source</x:v>
      </x:c>
    </x:row>
    <x:row r="2444" ht="46" customHeight="1">
      <x:c r="A2444" s="17" t="str">
        <x:v>stage3src:58f36f118d4fcbc40cd4</x:v>
      </x:c>
      <x:c r="B2444" s="17" t="str">
        <x:v>program</x:v>
      </x:c>
      <x:c r="C2444" s="17" t="str">
        <x:v>University of Utah</x:v>
      </x:c>
      <x:c r="D2444" s="17" t="str">
        <x:v>us:ipeds:230764:program:unclear:ipeds-discovery-signal-computer-and-information-sciences-general-cip-11-0101</x:v>
      </x:c>
      <x:c r="E2444" s="17" t="str"/>
      <x:c r="F2444" s="17" t="str">
        <x:v>discovery</x:v>
      </x:c>
      <x:c r="G2444" s="17" t="str">
        <x:v>Stage 2 recorded this row as a discovery candidate; it does not independently verify an exact current research program, eligibility, or funding.</x:v>
      </x:c>
      <x:c r="H2444" s="17" t="str">
        <x:v>Pass 2 Stage 2 candidate funnel</x:v>
      </x:c>
      <x:c r="I2444" s="17" t="str">
        <x:v>Graduate audit pipeline</x:v>
      </x:c>
      <x:c r="J2444" s="17" t="str">
        <x:v>derived</x:v>
      </x:c>
      <x:c r="K2444" s="17" t="str">
        <x:v>2026-09-11</x:v>
      </x:c>
      <x:c r="L2444" s="17" t="str">
        <x:v>Not cycle-specific</x:v>
      </x:c>
      <x:c r="M2444" s="17" t="str">
        <x:v>low</x:v>
      </x:c>
      <x:c r="N2444" s="17" t="str">
        <x:v>Discovery evidence only</x:v>
      </x:c>
      <x:c r="O2444" s="17" t="str">
        <x:v>Use the source_record_paths field to trace the underlying discovery inputs.</x:v>
      </x:c>
      <x:c r="P2444" s="18" t="e">
        <x:f>HYPERLINK("https://www.utah.edu","Open source")</x:f>
        <x:v>HYPERLINK is not implemented. linkLocation=https://www.utah.edu, friendlyName=Open source</x:v>
      </x:c>
    </x:row>
    <x:row r="2445" ht="46" customHeight="1">
      <x:c r="A2445" s="17" t="str">
        <x:v>stage3src:f2a706d32f1d6aa146b1</x:v>
      </x:c>
      <x:c r="B2445" s="17" t="str">
        <x:v>program</x:v>
      </x:c>
      <x:c r="C2445" s="17" t="str">
        <x:v>University of Utah</x:v>
      </x:c>
      <x:c r="D2445" s="17" t="str">
        <x:v>us:ipeds:230764:program:unclear:ipeds-discovery-signal-computer-and-information-systems-security-auditing-information-assurance-cip-11-1003</x:v>
      </x:c>
      <x:c r="E2445" s="17" t="str"/>
      <x:c r="F2445" s="17" t="str">
        <x:v>discovery</x:v>
      </x:c>
      <x:c r="G2445" s="17" t="str">
        <x:v>Stage 2 recorded this row as a discovery candidate; it does not independently verify an exact current research program, eligibility, or funding.</x:v>
      </x:c>
      <x:c r="H2445" s="17" t="str">
        <x:v>Pass 2 Stage 2 candidate funnel</x:v>
      </x:c>
      <x:c r="I2445" s="17" t="str">
        <x:v>Graduate audit pipeline</x:v>
      </x:c>
      <x:c r="J2445" s="17" t="str">
        <x:v>derived</x:v>
      </x:c>
      <x:c r="K2445" s="17" t="str">
        <x:v>2026-09-11</x:v>
      </x:c>
      <x:c r="L2445" s="17" t="str">
        <x:v>Not cycle-specific</x:v>
      </x:c>
      <x:c r="M2445" s="17" t="str">
        <x:v>low</x:v>
      </x:c>
      <x:c r="N2445" s="17" t="str">
        <x:v>Discovery evidence only</x:v>
      </x:c>
      <x:c r="O2445" s="17" t="str">
        <x:v>Use the source_record_paths field to trace the underlying discovery inputs.</x:v>
      </x:c>
      <x:c r="P2445" s="18" t="e">
        <x:f>HYPERLINK("https://www.utah.edu","Open source")</x:f>
        <x:v>HYPERLINK is not implemented. linkLocation=https://www.utah.edu, friendlyName=Open source</x:v>
      </x:c>
    </x:row>
    <x:row r="2446" ht="46" customHeight="1">
      <x:c r="A2446" s="17" t="str">
        <x:v>stage3src:61971ef7788f48eb08ca</x:v>
      </x:c>
      <x:c r="B2446" s="17" t="str">
        <x:v>program</x:v>
      </x:c>
      <x:c r="C2446" s="17" t="str">
        <x:v>University of Utah</x:v>
      </x:c>
      <x:c r="D2446" s="17" t="str">
        <x:v>us:ipeds:230764:program:unclear:ipeds-discovery-signal-computer-science-cip-11-0701</x:v>
      </x:c>
      <x:c r="E2446" s="17" t="str"/>
      <x:c r="F2446" s="17" t="str">
        <x:v>discovery</x:v>
      </x:c>
      <x:c r="G2446" s="17" t="str">
        <x:v>Stage 2 recorded this row as a discovery candidate; it does not independently verify an exact current research program, eligibility, or funding.</x:v>
      </x:c>
      <x:c r="H2446" s="17" t="str">
        <x:v>Pass 2 Stage 2 candidate funnel</x:v>
      </x:c>
      <x:c r="I2446" s="17" t="str">
        <x:v>Graduate audit pipeline</x:v>
      </x:c>
      <x:c r="J2446" s="17" t="str">
        <x:v>derived</x:v>
      </x:c>
      <x:c r="K2446" s="17" t="str">
        <x:v>2026-09-11</x:v>
      </x:c>
      <x:c r="L2446" s="17" t="str">
        <x:v>Not cycle-specific</x:v>
      </x:c>
      <x:c r="M2446" s="17" t="str">
        <x:v>low</x:v>
      </x:c>
      <x:c r="N2446" s="17" t="str">
        <x:v>Discovery evidence only</x:v>
      </x:c>
      <x:c r="O2446" s="17" t="str">
        <x:v>Use the source_record_paths field to trace the underlying discovery inputs.</x:v>
      </x:c>
      <x:c r="P2446" s="18" t="e">
        <x:f>HYPERLINK("https://www.utah.edu","Open source")</x:f>
        <x:v>HYPERLINK is not implemented. linkLocation=https://www.utah.edu, friendlyName=Open source</x:v>
      </x:c>
    </x:row>
    <x:row r="2447" ht="46" customHeight="1">
      <x:c r="A2447" s="17" t="str">
        <x:v>stage3src:9eba01165c702617b7ec</x:v>
      </x:c>
      <x:c r="B2447" s="17" t="str">
        <x:v>program</x:v>
      </x:c>
      <x:c r="C2447" s="17" t="str">
        <x:v>University of Utah</x:v>
      </x:c>
      <x:c r="D2447" s="17" t="str">
        <x:v>us:ipeds:230764:program:unclear:ipeds-discovery-signal-computer-software-engineering-cip-14-0903</x:v>
      </x:c>
      <x:c r="E2447" s="17" t="str"/>
      <x:c r="F2447" s="17" t="str">
        <x:v>discovery</x:v>
      </x:c>
      <x:c r="G2447" s="17" t="str">
        <x:v>Stage 2 recorded this row as a discovery candidate; it does not independently verify an exact current research program, eligibility, or funding.</x:v>
      </x:c>
      <x:c r="H2447" s="17" t="str">
        <x:v>Pass 2 Stage 2 candidate funnel</x:v>
      </x:c>
      <x:c r="I2447" s="17" t="str">
        <x:v>Graduate audit pipeline</x:v>
      </x:c>
      <x:c r="J2447" s="17" t="str">
        <x:v>derived</x:v>
      </x:c>
      <x:c r="K2447" s="17" t="str">
        <x:v>2026-09-11</x:v>
      </x:c>
      <x:c r="L2447" s="17" t="str">
        <x:v>Not cycle-specific</x:v>
      </x:c>
      <x:c r="M2447" s="17" t="str">
        <x:v>low</x:v>
      </x:c>
      <x:c r="N2447" s="17" t="str">
        <x:v>Discovery evidence only</x:v>
      </x:c>
      <x:c r="O2447" s="17" t="str">
        <x:v>Use the source_record_paths field to trace the underlying discovery inputs.</x:v>
      </x:c>
      <x:c r="P2447" s="18" t="e">
        <x:f>HYPERLINK("https://www.utah.edu","Open source")</x:f>
        <x:v>HYPERLINK is not implemented. linkLocation=https://www.utah.edu, friendlyName=Open source</x:v>
      </x:c>
    </x:row>
    <x:row r="2448" ht="46" customHeight="1">
      <x:c r="A2448" s="17" t="str">
        <x:v>stage3src:dce1b5d9b121e0c30b25</x:v>
      </x:c>
      <x:c r="B2448" s="17" t="str">
        <x:v>program</x:v>
      </x:c>
      <x:c r="C2448" s="17" t="str">
        <x:v>University of Utah</x:v>
      </x:c>
      <x:c r="D2448" s="17" t="str">
        <x:v>us:ipeds:230764:program:unclear:ipeds-discovery-signal-electrical-and-electronics-engineering-cip-14-1001</x:v>
      </x:c>
      <x:c r="E2448" s="17" t="str"/>
      <x:c r="F2448" s="17" t="str">
        <x:v>discovery</x:v>
      </x:c>
      <x:c r="G2448" s="17" t="str">
        <x:v>Stage 2 recorded this row as a discovery candidate; it does not independently verify an exact current research program, eligibility, or funding.</x:v>
      </x:c>
      <x:c r="H2448" s="17" t="str">
        <x:v>Pass 2 Stage 2 candidate funnel</x:v>
      </x:c>
      <x:c r="I2448" s="17" t="str">
        <x:v>Graduate audit pipeline</x:v>
      </x:c>
      <x:c r="J2448" s="17" t="str">
        <x:v>derived</x:v>
      </x:c>
      <x:c r="K2448" s="17" t="str">
        <x:v>2026-09-11</x:v>
      </x:c>
      <x:c r="L2448" s="17" t="str">
        <x:v>Not cycle-specific</x:v>
      </x:c>
      <x:c r="M2448" s="17" t="str">
        <x:v>low</x:v>
      </x:c>
      <x:c r="N2448" s="17" t="str">
        <x:v>Discovery evidence only</x:v>
      </x:c>
      <x:c r="O2448" s="17" t="str">
        <x:v>Use the source_record_paths field to trace the underlying discovery inputs.</x:v>
      </x:c>
      <x:c r="P2448" s="18" t="e">
        <x:f>HYPERLINK("https://www.utah.edu","Open source")</x:f>
        <x:v>HYPERLINK is not implemented. linkLocation=https://www.utah.edu, friendlyName=Open source</x:v>
      </x:c>
    </x:row>
    <x:row r="2449" ht="46" customHeight="1">
      <x:c r="A2449" s="17" t="str">
        <x:v>stage3src:9968b0752dd1a7c29aaf</x:v>
      </x:c>
      <x:c r="B2449" s="17" t="str">
        <x:v>program</x:v>
      </x:c>
      <x:c r="C2449" s="17" t="str">
        <x:v>University of Utah</x:v>
      </x:c>
      <x:c r="D2449" s="17" t="str">
        <x:v>us:ipeds:230764:program:unclear:ipeds-discovery-signal-information-science-studies-cip-11-0401</x:v>
      </x:c>
      <x:c r="E2449" s="17" t="str"/>
      <x:c r="F2449" s="17" t="str">
        <x:v>discovery</x:v>
      </x:c>
      <x:c r="G2449" s="17" t="str">
        <x:v>Stage 2 recorded this row as a discovery candidate; it does not independently verify an exact current research program, eligibility, or funding.</x:v>
      </x:c>
      <x:c r="H2449" s="17" t="str">
        <x:v>Pass 2 Stage 2 candidate funnel</x:v>
      </x:c>
      <x:c r="I2449" s="17" t="str">
        <x:v>Graduate audit pipeline</x:v>
      </x:c>
      <x:c r="J2449" s="17" t="str">
        <x:v>derived</x:v>
      </x:c>
      <x:c r="K2449" s="17" t="str">
        <x:v>2026-09-11</x:v>
      </x:c>
      <x:c r="L2449" s="17" t="str">
        <x:v>Not cycle-specific</x:v>
      </x:c>
      <x:c r="M2449" s="17" t="str">
        <x:v>low</x:v>
      </x:c>
      <x:c r="N2449" s="17" t="str">
        <x:v>Discovery evidence only</x:v>
      </x:c>
      <x:c r="O2449" s="17" t="str">
        <x:v>Use the source_record_paths field to trace the underlying discovery inputs.</x:v>
      </x:c>
      <x:c r="P2449" s="18" t="e">
        <x:f>HYPERLINK("https://www.utah.edu","Open source")</x:f>
        <x:v>HYPERLINK is not implemented. linkLocation=https://www.utah.edu, friendlyName=Open source</x:v>
      </x:c>
    </x:row>
    <x:row r="2450" ht="46" customHeight="1">
      <x:c r="A2450" s="17" t="str">
        <x:v>stage3src:286d9c02f1ef88aa8357</x:v>
      </x:c>
      <x:c r="B2450" s="17" t="str">
        <x:v>program</x:v>
      </x:c>
      <x:c r="C2450" s="17" t="str">
        <x:v>Weber State University</x:v>
      </x:c>
      <x:c r="D2450" s="17" t="str">
        <x:v>us:ipeds:230782:program:unclear:ipeds-discovery-signal-computer-engineering-general-cip-14-0901</x:v>
      </x:c>
      <x:c r="E2450" s="17" t="str"/>
      <x:c r="F2450" s="17" t="str">
        <x:v>discovery</x:v>
      </x:c>
      <x:c r="G2450" s="17" t="str">
        <x:v>Stage 2 recorded this row as a discovery candidate; it does not independently verify an exact current research program, eligibility, or funding.</x:v>
      </x:c>
      <x:c r="H2450" s="17" t="str">
        <x:v>Pass 2 Stage 2 candidate funnel</x:v>
      </x:c>
      <x:c r="I2450" s="17" t="str">
        <x:v>Graduate audit pipeline</x:v>
      </x:c>
      <x:c r="J2450" s="17" t="str">
        <x:v>derived</x:v>
      </x:c>
      <x:c r="K2450" s="17" t="str">
        <x:v>2026-09-11</x:v>
      </x:c>
      <x:c r="L2450" s="17" t="str">
        <x:v>Not cycle-specific</x:v>
      </x:c>
      <x:c r="M2450" s="17" t="str">
        <x:v>low</x:v>
      </x:c>
      <x:c r="N2450" s="17" t="str">
        <x:v>Discovery evidence only</x:v>
      </x:c>
      <x:c r="O2450" s="17" t="str">
        <x:v>Use the source_record_paths field to trace the underlying discovery inputs.</x:v>
      </x:c>
      <x:c r="P2450" s="18" t="e">
        <x:f>HYPERLINK("https://www.weber.edu","Open source")</x:f>
        <x:v>HYPERLINK is not implemented. linkLocation=https://www.weber.edu, friendlyName=Open source</x:v>
      </x:c>
    </x:row>
    <x:row r="2451" ht="46" customHeight="1">
      <x:c r="A2451" s="17" t="str">
        <x:v>stage3src:2ca77f7d8402aa00795f</x:v>
      </x:c>
      <x:c r="B2451" s="17" t="str">
        <x:v>program</x:v>
      </x:c>
      <x:c r="C2451" s="17" t="str">
        <x:v>Weber State University</x:v>
      </x:c>
      <x:c r="D2451" s="17" t="str">
        <x:v>us:ipeds:230782:program:unclear:ipeds-discovery-signal-computer-science-cip-11-0701</x:v>
      </x:c>
      <x:c r="E2451" s="17" t="str"/>
      <x:c r="F2451" s="17" t="str">
        <x:v>discovery</x:v>
      </x:c>
      <x:c r="G2451" s="17" t="str">
        <x:v>Stage 2 recorded this row as a discovery candidate; it does not independently verify an exact current research program, eligibility, or funding.</x:v>
      </x:c>
      <x:c r="H2451" s="17" t="str">
        <x:v>Pass 2 Stage 2 candidate funnel</x:v>
      </x:c>
      <x:c r="I2451" s="17" t="str">
        <x:v>Graduate audit pipeline</x:v>
      </x:c>
      <x:c r="J2451" s="17" t="str">
        <x:v>derived</x:v>
      </x:c>
      <x:c r="K2451" s="17" t="str">
        <x:v>2026-09-11</x:v>
      </x:c>
      <x:c r="L2451" s="17" t="str">
        <x:v>Not cycle-specific</x:v>
      </x:c>
      <x:c r="M2451" s="17" t="str">
        <x:v>low</x:v>
      </x:c>
      <x:c r="N2451" s="17" t="str">
        <x:v>Discovery evidence only</x:v>
      </x:c>
      <x:c r="O2451" s="17" t="str">
        <x:v>Use the source_record_paths field to trace the underlying discovery inputs.</x:v>
      </x:c>
      <x:c r="P2451" s="18" t="e">
        <x:f>HYPERLINK("https://www.weber.edu","Open source")</x:f>
        <x:v>HYPERLINK is not implemented. linkLocation=https://www.weber.edu, friendlyName=Open source</x:v>
      </x:c>
    </x:row>
    <x:row r="2452" ht="46" customHeight="1">
      <x:c r="A2452" s="17" t="str">
        <x:v>stage3src:c4ed53c4f7c317135646</x:v>
      </x:c>
      <x:c r="B2452" s="17" t="str">
        <x:v>program</x:v>
      </x:c>
      <x:c r="C2452" s="17" t="str">
        <x:v>Weber State University</x:v>
      </x:c>
      <x:c r="D2452" s="17" t="str">
        <x:v>us:ipeds:230782:program:unclear:ipeds-discovery-signal-data-science-general-cip-30-7001</x:v>
      </x:c>
      <x:c r="E2452" s="17" t="str"/>
      <x:c r="F2452" s="17" t="str">
        <x:v>discovery</x:v>
      </x:c>
      <x:c r="G2452" s="17" t="str">
        <x:v>Stage 2 recorded this row as a discovery candidate; it does not independently verify an exact current research program, eligibility, or funding.</x:v>
      </x:c>
      <x:c r="H2452" s="17" t="str">
        <x:v>Pass 2 Stage 2 candidate funnel</x:v>
      </x:c>
      <x:c r="I2452" s="17" t="str">
        <x:v>Graduate audit pipeline</x:v>
      </x:c>
      <x:c r="J2452" s="17" t="str">
        <x:v>derived</x:v>
      </x:c>
      <x:c r="K2452" s="17" t="str">
        <x:v>2026-09-11</x:v>
      </x:c>
      <x:c r="L2452" s="17" t="str">
        <x:v>Not cycle-specific</x:v>
      </x:c>
      <x:c r="M2452" s="17" t="str">
        <x:v>low</x:v>
      </x:c>
      <x:c r="N2452" s="17" t="str">
        <x:v>Discovery evidence only</x:v>
      </x:c>
      <x:c r="O2452" s="17" t="str">
        <x:v>Use the source_record_paths field to trace the underlying discovery inputs.</x:v>
      </x:c>
      <x:c r="P2452" s="18" t="e">
        <x:f>HYPERLINK("https://www.weber.edu","Open source")</x:f>
        <x:v>HYPERLINK is not implemented. linkLocation=https://www.weber.edu, friendlyName=Open source</x:v>
      </x:c>
    </x:row>
    <x:row r="2453" ht="46" customHeight="1">
      <x:c r="A2453" s="17" t="str">
        <x:v>stage3src:bbb58ed741a5878aa2cb</x:v>
      </x:c>
      <x:c r="B2453" s="17" t="str">
        <x:v>program</x:v>
      </x:c>
      <x:c r="C2453" s="17" t="str">
        <x:v>Weber State University</x:v>
      </x:c>
      <x:c r="D2453" s="17" t="str">
        <x:v>us:ipeds:230782:program:unclear:ipeds-discovery-signal-electrical-and-electronics-engineering-cip-14-1001</x:v>
      </x:c>
      <x:c r="E2453" s="17" t="str"/>
      <x:c r="F2453" s="17" t="str">
        <x:v>discovery</x:v>
      </x:c>
      <x:c r="G2453" s="17" t="str">
        <x:v>Stage 2 recorded this row as a discovery candidate; it does not independently verify an exact current research program, eligibility, or funding.</x:v>
      </x:c>
      <x:c r="H2453" s="17" t="str">
        <x:v>Pass 2 Stage 2 candidate funnel</x:v>
      </x:c>
      <x:c r="I2453" s="17" t="str">
        <x:v>Graduate audit pipeline</x:v>
      </x:c>
      <x:c r="J2453" s="17" t="str">
        <x:v>derived</x:v>
      </x:c>
      <x:c r="K2453" s="17" t="str">
        <x:v>2026-09-11</x:v>
      </x:c>
      <x:c r="L2453" s="17" t="str">
        <x:v>Not cycle-specific</x:v>
      </x:c>
      <x:c r="M2453" s="17" t="str">
        <x:v>low</x:v>
      </x:c>
      <x:c r="N2453" s="17" t="str">
        <x:v>Discovery evidence only</x:v>
      </x:c>
      <x:c r="O2453" s="17" t="str">
        <x:v>Use the source_record_paths field to trace the underlying discovery inputs.</x:v>
      </x:c>
      <x:c r="P2453" s="18" t="e">
        <x:f>HYPERLINK("https://www.weber.edu","Open source")</x:f>
        <x:v>HYPERLINK is not implemented. linkLocation=https://www.weber.edu, friendlyName=Open source</x:v>
      </x:c>
    </x:row>
    <x:row r="2454" ht="46" customHeight="1">
      <x:c r="A2454" s="17" t="str">
        <x:v>stage3src:856e09fa587d7931cb54</x:v>
      </x:c>
      <x:c r="B2454" s="17" t="str">
        <x:v>program</x:v>
      </x:c>
      <x:c r="C2454" s="17" t="str">
        <x:v>Champlain College</x:v>
      </x:c>
      <x:c r="D2454" s="17" t="str">
        <x:v>us:ipeds:230852:program:unclear:ipeds-discovery-signal-computer-and-information-systems-security-auditing-information-assurance-cip-11-1003</x:v>
      </x:c>
      <x:c r="E2454" s="17" t="str"/>
      <x:c r="F2454" s="17" t="str">
        <x:v>discovery</x:v>
      </x:c>
      <x:c r="G2454" s="17" t="str">
        <x:v>Stage 2 recorded this row as a discovery candidate; it does not independently verify an exact current research program, eligibility, or funding.</x:v>
      </x:c>
      <x:c r="H2454" s="17" t="str">
        <x:v>Pass 2 Stage 2 candidate funnel</x:v>
      </x:c>
      <x:c r="I2454" s="17" t="str">
        <x:v>Graduate audit pipeline</x:v>
      </x:c>
      <x:c r="J2454" s="17" t="str">
        <x:v>derived</x:v>
      </x:c>
      <x:c r="K2454" s="17" t="str">
        <x:v>2026-09-11</x:v>
      </x:c>
      <x:c r="L2454" s="17" t="str">
        <x:v>Not cycle-specific</x:v>
      </x:c>
      <x:c r="M2454" s="17" t="str">
        <x:v>low</x:v>
      </x:c>
      <x:c r="N2454" s="17" t="str">
        <x:v>Discovery evidence only</x:v>
      </x:c>
      <x:c r="O2454" s="17" t="str">
        <x:v>Use the source_record_paths field to trace the underlying discovery inputs.</x:v>
      </x:c>
      <x:c r="P2454" s="18" t="e">
        <x:f>HYPERLINK("https://www.champlain.edu","Open source")</x:f>
        <x:v>HYPERLINK is not implemented. linkLocation=https://www.champlain.edu, friendlyName=Open source</x:v>
      </x:c>
    </x:row>
    <x:row r="2455" ht="46" customHeight="1">
      <x:c r="A2455" s="17" t="str">
        <x:v>stage3src:a734da4d59e7c598c405</x:v>
      </x:c>
      <x:c r="B2455" s="17" t="str">
        <x:v>program</x:v>
      </x:c>
      <x:c r="C2455" s="17" t="str">
        <x:v>Champlain College</x:v>
      </x:c>
      <x:c r="D2455" s="17" t="str">
        <x:v>us:ipeds:230852:program:unclear:ipeds-discovery-signal-cyber-computer-forensics-and-counterterrorism-cip-43-0403</x:v>
      </x:c>
      <x:c r="E2455" s="17" t="str"/>
      <x:c r="F2455" s="17" t="str">
        <x:v>discovery</x:v>
      </x:c>
      <x:c r="G2455" s="17" t="str">
        <x:v>Stage 2 recorded this row as a discovery candidate; it does not independently verify an exact current research program, eligibility, or funding.</x:v>
      </x:c>
      <x:c r="H2455" s="17" t="str">
        <x:v>Pass 2 Stage 2 candidate funnel</x:v>
      </x:c>
      <x:c r="I2455" s="17" t="str">
        <x:v>Graduate audit pipeline</x:v>
      </x:c>
      <x:c r="J2455" s="17" t="str">
        <x:v>derived</x:v>
      </x:c>
      <x:c r="K2455" s="17" t="str">
        <x:v>2026-09-11</x:v>
      </x:c>
      <x:c r="L2455" s="17" t="str">
        <x:v>Not cycle-specific</x:v>
      </x:c>
      <x:c r="M2455" s="17" t="str">
        <x:v>low</x:v>
      </x:c>
      <x:c r="N2455" s="17" t="str">
        <x:v>Discovery evidence only</x:v>
      </x:c>
      <x:c r="O2455" s="17" t="str">
        <x:v>Use the source_record_paths field to trace the underlying discovery inputs.</x:v>
      </x:c>
      <x:c r="P2455" s="18" t="e">
        <x:f>HYPERLINK("https://www.champlain.edu","Open source")</x:f>
        <x:v>HYPERLINK is not implemented. linkLocation=https://www.champlain.edu, friendlyName=Open source</x:v>
      </x:c>
    </x:row>
    <x:row r="2456" ht="46" customHeight="1">
      <x:c r="A2456" s="17" t="str">
        <x:v>stage3src:b7c678f8ea6216a27a76</x:v>
      </x:c>
      <x:c r="B2456" s="17" t="str">
        <x:v>program</x:v>
      </x:c>
      <x:c r="C2456" s="17" t="str">
        <x:v>Champlain College</x:v>
      </x:c>
      <x:c r="D2456" s="17" t="str">
        <x:v>us:ipeds:230852:program:unclear:ipeds-discovery-signal-information-technology-cip-11-0103</x:v>
      </x:c>
      <x:c r="E2456" s="17" t="str"/>
      <x:c r="F2456" s="17" t="str">
        <x:v>discovery</x:v>
      </x:c>
      <x:c r="G2456" s="17" t="str">
        <x:v>Stage 2 recorded this row as a discovery candidate; it does not independently verify an exact current research program, eligibility, or funding.</x:v>
      </x:c>
      <x:c r="H2456" s="17" t="str">
        <x:v>Pass 2 Stage 2 candidate funnel</x:v>
      </x:c>
      <x:c r="I2456" s="17" t="str">
        <x:v>Graduate audit pipeline</x:v>
      </x:c>
      <x:c r="J2456" s="17" t="str">
        <x:v>derived</x:v>
      </x:c>
      <x:c r="K2456" s="17" t="str">
        <x:v>2026-09-11</x:v>
      </x:c>
      <x:c r="L2456" s="17" t="str">
        <x:v>Not cycle-specific</x:v>
      </x:c>
      <x:c r="M2456" s="17" t="str">
        <x:v>low</x:v>
      </x:c>
      <x:c r="N2456" s="17" t="str">
        <x:v>Discovery evidence only</x:v>
      </x:c>
      <x:c r="O2456" s="17" t="str">
        <x:v>Use the source_record_paths field to trace the underlying discovery inputs.</x:v>
      </x:c>
      <x:c r="P2456" s="18" t="e">
        <x:f>HYPERLINK("https://www.champlain.edu","Open source")</x:f>
        <x:v>HYPERLINK is not implemented. linkLocation=https://www.champlain.edu, friendlyName=Open source</x:v>
      </x:c>
    </x:row>
    <x:row r="2457" ht="46" customHeight="1">
      <x:c r="A2457" s="17" t="str">
        <x:v>stage3src:58ac32b7c3a012106219</x:v>
      </x:c>
      <x:c r="B2457" s="17" t="str">
        <x:v>program</x:v>
      </x:c>
      <x:c r="C2457" s="17" t="str">
        <x:v>Norwich University</x:v>
      </x:c>
      <x:c r="D2457" s="17" t="str">
        <x:v>us:ipeds:230995:program:unclear:ipeds-discovery-signal-information-science-studies-cip-11-0401</x:v>
      </x:c>
      <x:c r="E2457" s="17" t="str"/>
      <x:c r="F2457" s="17" t="str">
        <x:v>discovery</x:v>
      </x:c>
      <x:c r="G2457" s="17" t="str">
        <x:v>Stage 2 recorded this row as a discovery candidate; it does not independently verify an exact current research program, eligibility, or funding.</x:v>
      </x:c>
      <x:c r="H2457" s="17" t="str">
        <x:v>Pass 2 Stage 2 candidate funnel</x:v>
      </x:c>
      <x:c r="I2457" s="17" t="str">
        <x:v>Graduate audit pipeline</x:v>
      </x:c>
      <x:c r="J2457" s="17" t="str">
        <x:v>derived</x:v>
      </x:c>
      <x:c r="K2457" s="17" t="str">
        <x:v>2026-09-11</x:v>
      </x:c>
      <x:c r="L2457" s="17" t="str">
        <x:v>Not cycle-specific</x:v>
      </x:c>
      <x:c r="M2457" s="17" t="str">
        <x:v>low</x:v>
      </x:c>
      <x:c r="N2457" s="17" t="str">
        <x:v>Discovery evidence only</x:v>
      </x:c>
      <x:c r="O2457" s="17" t="str">
        <x:v>Use the source_record_paths field to trace the underlying discovery inputs.</x:v>
      </x:c>
      <x:c r="P2457" s="18" t="e">
        <x:f>HYPERLINK("https://www.norwich.edu","Open source")</x:f>
        <x:v>HYPERLINK is not implemented. linkLocation=https://www.norwich.edu, friendlyName=Open source</x:v>
      </x:c>
    </x:row>
    <x:row r="2458" ht="46" customHeight="1">
      <x:c r="A2458" s="17" t="str">
        <x:v>stage3src:66d963da26c9024257f3</x:v>
      </x:c>
      <x:c r="B2458" s="17" t="str">
        <x:v>program</x:v>
      </x:c>
      <x:c r="C2458" s="17" t="str">
        <x:v>Vermont State University</x:v>
      </x:c>
      <x:c r="D2458" s="17" t="str">
        <x:v>us:ipeds:231165:program:unclear:ipeds-discovery-signal-computer-software-engineering-cip-14-0903</x:v>
      </x:c>
      <x:c r="E2458" s="17" t="str"/>
      <x:c r="F2458" s="17" t="str">
        <x:v>discovery</x:v>
      </x:c>
      <x:c r="G2458" s="17" t="str">
        <x:v>Stage 2 recorded this row as a discovery candidate; it does not independently verify an exact current research program, eligibility, or funding.</x:v>
      </x:c>
      <x:c r="H2458" s="17" t="str">
        <x:v>Pass 2 Stage 2 candidate funnel</x:v>
      </x:c>
      <x:c r="I2458" s="17" t="str">
        <x:v>Graduate audit pipeline</x:v>
      </x:c>
      <x:c r="J2458" s="17" t="str">
        <x:v>derived</x:v>
      </x:c>
      <x:c r="K2458" s="17" t="str">
        <x:v>2026-09-11</x:v>
      </x:c>
      <x:c r="L2458" s="17" t="str">
        <x:v>Not cycle-specific</x:v>
      </x:c>
      <x:c r="M2458" s="17" t="str">
        <x:v>low</x:v>
      </x:c>
      <x:c r="N2458" s="17" t="str">
        <x:v>Discovery evidence only</x:v>
      </x:c>
      <x:c r="O2458" s="17" t="str">
        <x:v>Use the source_record_paths field to trace the underlying discovery inputs.</x:v>
      </x:c>
      <x:c r="P2458" s="18" t="e">
        <x:f>HYPERLINK("https://vermontstate.edu","Open source")</x:f>
        <x:v>HYPERLINK is not implemented. linkLocation=https://vermontstate.edu, friendlyName=Open source</x:v>
      </x:c>
    </x:row>
    <x:row r="2459" ht="46" customHeight="1">
      <x:c r="A2459" s="17" t="str">
        <x:v>stage3src:94bf1d011397f7633d07</x:v>
      </x:c>
      <x:c r="B2459" s="17" t="str">
        <x:v>program</x:v>
      </x:c>
      <x:c r="C2459" s="17" t="str">
        <x:v>University of Vermont</x:v>
      </x:c>
      <x:c r="D2459" s="17" t="str">
        <x:v>us:ipeds:231174:program:unclear:ipeds-discovery-signal-computer-science-cip-11-0701</x:v>
      </x:c>
      <x:c r="E2459" s="17" t="str"/>
      <x:c r="F2459" s="17" t="str">
        <x:v>discovery</x:v>
      </x:c>
      <x:c r="G2459" s="17" t="str">
        <x:v>Stage 2 recorded this row as a discovery candidate; it does not independently verify an exact current research program, eligibility, or funding.</x:v>
      </x:c>
      <x:c r="H2459" s="17" t="str">
        <x:v>Pass 2 Stage 2 candidate funnel</x:v>
      </x:c>
      <x:c r="I2459" s="17" t="str">
        <x:v>Graduate audit pipeline</x:v>
      </x:c>
      <x:c r="J2459" s="17" t="str">
        <x:v>derived</x:v>
      </x:c>
      <x:c r="K2459" s="17" t="str">
        <x:v>2026-09-11</x:v>
      </x:c>
      <x:c r="L2459" s="17" t="str">
        <x:v>Not cycle-specific</x:v>
      </x:c>
      <x:c r="M2459" s="17" t="str">
        <x:v>low</x:v>
      </x:c>
      <x:c r="N2459" s="17" t="str">
        <x:v>Discovery evidence only</x:v>
      </x:c>
      <x:c r="O2459" s="17" t="str">
        <x:v>Use the source_record_paths field to trace the underlying discovery inputs.</x:v>
      </x:c>
      <x:c r="P2459" s="18" t="e">
        <x:f>HYPERLINK("https://www.uvm.edu","Open source")</x:f>
        <x:v>HYPERLINK is not implemented. linkLocation=https://www.uvm.edu, friendlyName=Open source</x:v>
      </x:c>
    </x:row>
    <x:row r="2460" ht="46" customHeight="1">
      <x:c r="A2460" s="17" t="str">
        <x:v>stage3src:959ca2494a2a6f71379d</x:v>
      </x:c>
      <x:c r="B2460" s="17" t="str">
        <x:v>program</x:v>
      </x:c>
      <x:c r="C2460" s="17" t="str">
        <x:v>University of Vermont</x:v>
      </x:c>
      <x:c r="D2460" s="17" t="str">
        <x:v>us:ipeds:231174:program:unclear:ipeds-discovery-signal-electrical-and-electronics-engineering-cip-14-1001</x:v>
      </x:c>
      <x:c r="E2460" s="17" t="str"/>
      <x:c r="F2460" s="17" t="str">
        <x:v>discovery</x:v>
      </x:c>
      <x:c r="G2460" s="17" t="str">
        <x:v>Stage 2 recorded this row as a discovery candidate; it does not independently verify an exact current research program, eligibility, or funding.</x:v>
      </x:c>
      <x:c r="H2460" s="17" t="str">
        <x:v>Pass 2 Stage 2 candidate funnel</x:v>
      </x:c>
      <x:c r="I2460" s="17" t="str">
        <x:v>Graduate audit pipeline</x:v>
      </x:c>
      <x:c r="J2460" s="17" t="str">
        <x:v>derived</x:v>
      </x:c>
      <x:c r="K2460" s="17" t="str">
        <x:v>2026-09-11</x:v>
      </x:c>
      <x:c r="L2460" s="17" t="str">
        <x:v>Not cycle-specific</x:v>
      </x:c>
      <x:c r="M2460" s="17" t="str">
        <x:v>low</x:v>
      </x:c>
      <x:c r="N2460" s="17" t="str">
        <x:v>Discovery evidence only</x:v>
      </x:c>
      <x:c r="O2460" s="17" t="str">
        <x:v>Use the source_record_paths field to trace the underlying discovery inputs.</x:v>
      </x:c>
      <x:c r="P2460" s="18" t="e">
        <x:f>HYPERLINK("https://www.uvm.edu","Open source")</x:f>
        <x:v>HYPERLINK is not implemented. linkLocation=https://www.uvm.edu, friendlyName=Open source</x:v>
      </x:c>
    </x:row>
    <x:row r="2461" ht="46" customHeight="1">
      <x:c r="A2461" s="17" t="str">
        <x:v>stage3src:44883fbf9c48f1ce391d</x:v>
      </x:c>
      <x:c r="B2461" s="17" t="str">
        <x:v>program</x:v>
      </x:c>
      <x:c r="C2461" s="17" t="str">
        <x:v>William &amp; Mary</x:v>
      </x:c>
      <x:c r="D2461" s="17" t="str">
        <x:v>us:ipeds:231624:program:phd:computer-science-phd</x:v>
      </x:c>
      <x:c r="E2461" s="17" t="str"/>
      <x:c r="F2461" s="17" t="str">
        <x:v>fees|admissions</x:v>
      </x:c>
      <x:c r="G2461" s="17" t="str">
        <x:v>$50 application fee</x:v>
      </x:c>
      <x:c r="H2461" s="17" t="str">
        <x:v>Graduate Admission</x:v>
      </x:c>
      <x:c r="I2461" s="17" t="str">
        <x:v>William &amp; Mary</x:v>
      </x:c>
      <x:c r="J2461" s="17" t="str">
        <x:v>Official</x:v>
      </x:c>
      <x:c r="K2461" s="17" t="str">
        <x:v>2026-09-09</x:v>
      </x:c>
      <x:c r="L2461" s="17" t="str">
        <x:v>Current</x:v>
      </x:c>
      <x:c r="M2461" s="17" t="str">
        <x:v>High</x:v>
      </x:c>
      <x:c r="N2461" s="17" t="str">
        <x:v>Verified</x:v>
      </x:c>
      <x:c r="O2461" s="17" t="str"/>
      <x:c r="P2461" s="18" t="e">
        <x:f>HYPERLINK("https://catalog.wm.edu/graduate/school-computing-data-sciences-physics/admission/","Open source")</x:f>
        <x:v>HYPERLINK is not implemented. linkLocation=https://catalog.wm.edu/graduate/school-computing-data-sciences-physics/admission/, friendlyName=Open source</x:v>
      </x:c>
    </x:row>
    <x:row r="2462" ht="46" customHeight="1">
      <x:c r="A2462" s="17" t="str">
        <x:v>stage3src:addf1f6e1de10137b7ed</x:v>
      </x:c>
      <x:c r="B2462" s="17" t="str">
        <x:v>program</x:v>
      </x:c>
      <x:c r="C2462" s="17" t="str">
        <x:v>William &amp; Mary</x:v>
      </x:c>
      <x:c r="D2462" s="17" t="str">
        <x:v>us:ipeds:231624:program:phd:computer-science-phd</x:v>
      </x:c>
      <x:c r="E2462" s="17" t="str"/>
      <x:c r="F2462" s="17" t="str">
        <x:v>funding|deadline|eligibility|program</x:v>
      </x:c>
      <x:c r="G2462" s="17" t="str">
        <x:v>Active PhD, direct bachelor, current deadlines, no-advisor rule, and funding</x:v>
      </x:c>
      <x:c r="H2462" s="17" t="str">
        <x:v>Computer Science Graduate Admissions</x:v>
      </x:c>
      <x:c r="I2462" s="17" t="str">
        <x:v>William &amp; Mary</x:v>
      </x:c>
      <x:c r="J2462" s="17" t="str">
        <x:v>Official</x:v>
      </x:c>
      <x:c r="K2462" s="17" t="str">
        <x:v>2026-09-09</x:v>
      </x:c>
      <x:c r="L2462" s="17" t="str">
        <x:v>Current; cycle not labeled</x:v>
      </x:c>
      <x:c r="M2462" s="17" t="str">
        <x:v>High</x:v>
      </x:c>
      <x:c r="N2462" s="17" t="str">
        <x:v>Verified</x:v>
      </x:c>
      <x:c r="O2462" s="17" t="str"/>
      <x:c r="P2462" s="18" t="e">
        <x:f>HYPERLINK("https://cdsp.wm.edu/admissions/graduate/computer-science/","Open source")</x:f>
        <x:v>HYPERLINK is not implemented. linkLocation=https://cdsp.wm.edu/admissions/graduate/computer-science/, friendlyName=Open source</x:v>
      </x:c>
    </x:row>
    <x:row r="2463" ht="46" customHeight="1">
      <x:c r="A2463" s="17" t="str">
        <x:v>stage3src:74e7203f6db628090496</x:v>
      </x:c>
      <x:c r="B2463" s="17" t="str">
        <x:v>program</x:v>
      </x:c>
      <x:c r="C2463" s="17" t="str">
        <x:v>William &amp; Mary</x:v>
      </x:c>
      <x:c r="D2463" s="17" t="str">
        <x:v>us:ipeds:231624:program:unclear:ipeds-discovery-signal-computer-and-information-sciences-general-cip-11-0101</x:v>
      </x:c>
      <x:c r="E2463" s="17" t="str"/>
      <x:c r="F2463" s="17" t="str">
        <x:v>discovery</x:v>
      </x:c>
      <x:c r="G2463" s="17" t="str">
        <x:v>Stage 2 recorded this row as a discovery candidate; it does not independently verify an exact current research program, eligibility, or funding.</x:v>
      </x:c>
      <x:c r="H2463" s="17" t="str">
        <x:v>Pass 2 Stage 2 candidate funnel</x:v>
      </x:c>
      <x:c r="I2463" s="17" t="str">
        <x:v>Graduate audit pipeline</x:v>
      </x:c>
      <x:c r="J2463" s="17" t="str">
        <x:v>derived</x:v>
      </x:c>
      <x:c r="K2463" s="17" t="str">
        <x:v>2026-09-11</x:v>
      </x:c>
      <x:c r="L2463" s="17" t="str">
        <x:v>Not cycle-specific</x:v>
      </x:c>
      <x:c r="M2463" s="17" t="str">
        <x:v>low</x:v>
      </x:c>
      <x:c r="N2463" s="17" t="str">
        <x:v>Discovery evidence only</x:v>
      </x:c>
      <x:c r="O2463" s="17" t="str">
        <x:v>Use the source_record_paths field to trace the underlying discovery inputs.</x:v>
      </x:c>
      <x:c r="P2463" s="18" t="e">
        <x:f>HYPERLINK("https://www.wm.edu","Open source")</x:f>
        <x:v>HYPERLINK is not implemented. linkLocation=https://www.wm.edu, friendlyName=Open source</x:v>
      </x:c>
    </x:row>
    <x:row r="2464" ht="46" customHeight="1">
      <x:c r="A2464" s="17" t="str">
        <x:v>stage3src:1fb2731ddd36e66dd7a8</x:v>
      </x:c>
      <x:c r="B2464" s="17" t="str">
        <x:v>program</x:v>
      </x:c>
      <x:c r="C2464" s="17" t="str">
        <x:v>Regent University</x:v>
      </x:c>
      <x:c r="D2464" s="17" t="str">
        <x:v>us:ipeds:231651:program:unclear:ipeds-discovery-signal-cyber-computer-forensics-and-counterterrorism-cip-43-0403</x:v>
      </x:c>
      <x:c r="E2464" s="17" t="str"/>
      <x:c r="F2464" s="17" t="str">
        <x:v>discovery</x:v>
      </x:c>
      <x:c r="G2464" s="17" t="str">
        <x:v>Stage 2 recorded this row as a discovery candidate; it does not independently verify an exact current research program, eligibility, or funding.</x:v>
      </x:c>
      <x:c r="H2464" s="17" t="str">
        <x:v>Pass 2 Stage 2 candidate funnel</x:v>
      </x:c>
      <x:c r="I2464" s="17" t="str">
        <x:v>Graduate audit pipeline</x:v>
      </x:c>
      <x:c r="J2464" s="17" t="str">
        <x:v>derived</x:v>
      </x:c>
      <x:c r="K2464" s="17" t="str">
        <x:v>2026-09-11</x:v>
      </x:c>
      <x:c r="L2464" s="17" t="str">
        <x:v>Not cycle-specific</x:v>
      </x:c>
      <x:c r="M2464" s="17" t="str">
        <x:v>low</x:v>
      </x:c>
      <x:c r="N2464" s="17" t="str">
        <x:v>Discovery evidence only</x:v>
      </x:c>
      <x:c r="O2464" s="17" t="str">
        <x:v>Use the source_record_paths field to trace the underlying discovery inputs.</x:v>
      </x:c>
      <x:c r="P2464" s="18" t="e">
        <x:f>HYPERLINK("https://www.regent.edu","Open source")</x:f>
        <x:v>HYPERLINK is not implemented. linkLocation=https://www.regent.edu, friendlyName=Open source</x:v>
      </x:c>
    </x:row>
    <x:row r="2465" ht="46" customHeight="1">
      <x:c r="A2465" s="17" t="str">
        <x:v>stage3src:96ba6a4dc7f4725c65bd</x:v>
      </x:c>
      <x:c r="B2465" s="17" t="str">
        <x:v>program</x:v>
      </x:c>
      <x:c r="C2465" s="17" t="str">
        <x:v>George Mason University</x:v>
      </x:c>
      <x:c r="D2465" s="17" t="str">
        <x:v>us:ipeds:232186:program:phd:computer-science-phd</x:v>
      </x:c>
      <x:c r="E2465" s="17" t="str"/>
      <x:c r="F2465" s="17" t="str">
        <x:v>fees|admissions</x:v>
      </x:c>
      <x:c r="G2465" s="17" t="str">
        <x:v>$75 application fee and limited waivers</x:v>
      </x:c>
      <x:c r="H2465" s="17" t="str">
        <x:v>Prospective Students</x:v>
      </x:c>
      <x:c r="I2465" s="17" t="str">
        <x:v>George Mason University</x:v>
      </x:c>
      <x:c r="J2465" s="17" t="str">
        <x:v>Official</x:v>
      </x:c>
      <x:c r="K2465" s="17" t="str">
        <x:v>2026-09-09</x:v>
      </x:c>
      <x:c r="L2465" s="17" t="str">
        <x:v>Current</x:v>
      </x:c>
      <x:c r="M2465" s="17" t="str">
        <x:v>High</x:v>
      </x:c>
      <x:c r="N2465" s="17" t="str">
        <x:v>Verified</x:v>
      </x:c>
      <x:c r="O2465" s="17" t="str"/>
      <x:c r="P2465" s="18" t="e">
        <x:f>HYPERLINK("https://graduate.gmu.edu/studying-here/prospective-students","Open source")</x:f>
        <x:v>HYPERLINK is not implemented. linkLocation=https://graduate.gmu.edu/studying-here/prospective-students, friendlyName=Open source</x:v>
      </x:c>
    </x:row>
    <x:row r="2466" ht="46" customHeight="1">
      <x:c r="A2466" s="17" t="str">
        <x:v>stage3src:d2fa44618fd736bc4d5e</x:v>
      </x:c>
      <x:c r="B2466" s="17" t="str">
        <x:v>program</x:v>
      </x:c>
      <x:c r="C2466" s="17" t="str">
        <x:v>George Mason University</x:v>
      </x:c>
      <x:c r="D2466" s="17" t="str">
        <x:v>us:ipeds:232186:program:phd:computer-science-phd</x:v>
      </x:c>
      <x:c r="E2466" s="17" t="str"/>
      <x:c r="F2466" s="17" t="str">
        <x:v>program</x:v>
      </x:c>
      <x:c r="G2466" s="17" t="str">
        <x:v>Active CS PhD</x:v>
      </x:c>
      <x:c r="H2466" s="17" t="str">
        <x:v>Graduate Programs</x:v>
      </x:c>
      <x:c r="I2466" s="17" t="str">
        <x:v>George Mason University</x:v>
      </x:c>
      <x:c r="J2466" s="17" t="str">
        <x:v>Official</x:v>
      </x:c>
      <x:c r="K2466" s="17" t="str">
        <x:v>2026-09-09</x:v>
      </x:c>
      <x:c r="L2466" s="17" t="str">
        <x:v>Current</x:v>
      </x:c>
      <x:c r="M2466" s="17" t="str">
        <x:v>High</x:v>
      </x:c>
      <x:c r="N2466" s="17" t="str">
        <x:v>Verified</x:v>
      </x:c>
      <x:c r="O2466" s="17" t="str"/>
      <x:c r="P2466" s="18" t="e">
        <x:f>HYPERLINK("https://cs.gmu.edu/academics/graduate-programs","Open source")</x:f>
        <x:v>HYPERLINK is not implemented. linkLocation=https://cs.gmu.edu/academics/graduate-programs, friendlyName=Open source</x:v>
      </x:c>
    </x:row>
    <x:row r="2467" ht="46" customHeight="1">
      <x:c r="A2467" s="17" t="str">
        <x:v>stage3src:f2e9b8be9973b41a6d2d</x:v>
      </x:c>
      <x:c r="B2467" s="17" t="str">
        <x:v>program</x:v>
      </x:c>
      <x:c r="C2467" s="17" t="str">
        <x:v>George Mason University</x:v>
      </x:c>
      <x:c r="D2467" s="17" t="str">
        <x:v>us:ipeds:232186:program:phd:computer-science-phd</x:v>
      </x:c>
      <x:c r="E2467" s="17" t="str"/>
      <x:c r="F2467" s="17" t="str">
        <x:v>deadline</x:v>
      </x:c>
      <x:c r="G2467" s="17" t="str">
        <x:v>Latest published Fall 2026 deadlines; Fall 2027 unavailable</x:v>
      </x:c>
      <x:c r="H2467" s="17" t="str">
        <x:v>Program Deadlines and Requirements</x:v>
      </x:c>
      <x:c r="I2467" s="17" t="str">
        <x:v>George Mason University</x:v>
      </x:c>
      <x:c r="J2467" s="17" t="str">
        <x:v>Official</x:v>
      </x:c>
      <x:c r="K2467" s="17" t="str">
        <x:v>2026-09-09</x:v>
      </x:c>
      <x:c r="L2467" s="17" t="str">
        <x:v>Fall 2026</x:v>
      </x:c>
      <x:c r="M2467" s="17" t="str">
        <x:v>High</x:v>
      </x:c>
      <x:c r="N2467" s="17" t="str">
        <x:v>Verified</x:v>
      </x:c>
      <x:c r="O2467" s="17" t="str"/>
      <x:c r="P2467" s="18" t="e">
        <x:f>HYPERLINK("https://itsapps.gmu.edu/graduate-deadlines-and-requirements/Programs/Details/a3L1I0000002hg6UAA","Open source")</x:f>
        <x:v>HYPERLINK is not implemented. linkLocation=https://itsapps.gmu.edu/graduate-deadlines-and-requirements/Programs/Details/a3L1I0000002hg6UAA, friendlyName=Open source</x:v>
      </x:c>
    </x:row>
    <x:row r="2468" ht="46" customHeight="1">
      <x:c r="A2468" s="17" t="str">
        <x:v>stage3src:a64ad147ccac0507b267</x:v>
      </x:c>
      <x:c r="B2468" s="17" t="str">
        <x:v>program</x:v>
      </x:c>
      <x:c r="C2468" s="17" t="str">
        <x:v>George Mason University</x:v>
      </x:c>
      <x:c r="D2468" s="17" t="str">
        <x:v>us:ipeds:232186:program:phd:ph-d-in-computer-science</x:v>
      </x:c>
      <x:c r="E2468" s="17" t="str"/>
      <x:c r="F2468" s="17" t="str">
        <x:v>program</x:v>
      </x:c>
      <x:c r="G2468" s="17" t="str">
        <x:v>Official graduate-program page lists an active Ph.D. in Computer Science and research collaboration with faculty.</x:v>
      </x:c>
      <x:c r="H2468" s="17" t="str">
        <x:v>Ph.D. in Computer Science</x:v>
      </x:c>
      <x:c r="I2468" s="17" t="str">
        <x:v>George Mason University</x:v>
      </x:c>
      <x:c r="J2468" s="17" t="str">
        <x:v>official</x:v>
      </x:c>
      <x:c r="K2468" s="17" t="str">
        <x:v>2026-09-09</x:v>
      </x:c>
      <x:c r="L2468" s="17" t="str">
        <x:v>Current page; Fall 2027 cycle not verified</x:v>
      </x:c>
      <x:c r="M2468" s="17" t="str">
        <x:v>high for page content; medium for future availability</x:v>
      </x:c>
      <x:c r="N2468" s="17" t="str">
        <x:v>opened official page</x:v>
      </x:c>
      <x:c r="O2468" s="17" t="str">
        <x:v>No inference about faculty recruiting or funding was made.</x:v>
      </x:c>
      <x:c r="P2468" s="18" t="e">
        <x:f>HYPERLINK("https://cs.gmu.edu/academics/graduate-programs","Open source")</x:f>
        <x:v>HYPERLINK is not implemented. linkLocation=https://cs.gmu.edu/academics/graduate-programs, friendlyName=Open source</x:v>
      </x:c>
    </x:row>
    <x:row r="2469" ht="46" customHeight="1">
      <x:c r="A2469" s="17" t="str">
        <x:v>stage3src:4db698a71aaf4c57bdcc</x:v>
      </x:c>
      <x:c r="B2469" s="17" t="str">
        <x:v>program</x:v>
      </x:c>
      <x:c r="C2469" s="17" t="str">
        <x:v>George Mason University</x:v>
      </x:c>
      <x:c r="D2469" s="17" t="str">
        <x:v>us:ipeds:232186:program:unclear:ipeds-discovery-signal-computer-and-information-sciences-general-cip-11-0101</x:v>
      </x:c>
      <x:c r="E2469" s="17" t="str"/>
      <x:c r="F2469" s="17" t="str">
        <x:v>discovery</x:v>
      </x:c>
      <x:c r="G2469" s="17" t="str">
        <x:v>Stage 2 recorded this row as a discovery candidate; it does not independently verify an exact current research program, eligibility, or funding.</x:v>
      </x:c>
      <x:c r="H2469" s="17" t="str">
        <x:v>Pass 2 Stage 2 candidate funnel</x:v>
      </x:c>
      <x:c r="I2469" s="17" t="str">
        <x:v>Graduate audit pipeline</x:v>
      </x:c>
      <x:c r="J2469" s="17" t="str">
        <x:v>derived</x:v>
      </x:c>
      <x:c r="K2469" s="17" t="str">
        <x:v>2026-09-11</x:v>
      </x:c>
      <x:c r="L2469" s="17" t="str">
        <x:v>Not cycle-specific</x:v>
      </x:c>
      <x:c r="M2469" s="17" t="str">
        <x:v>low</x:v>
      </x:c>
      <x:c r="N2469" s="17" t="str">
        <x:v>Discovery evidence only</x:v>
      </x:c>
      <x:c r="O2469" s="17" t="str">
        <x:v>Use the source_record_paths field to trace the underlying discovery inputs.</x:v>
      </x:c>
      <x:c r="P2469" s="18" t="e">
        <x:f>HYPERLINK("https://www.gmu.edu","Open source")</x:f>
        <x:v>HYPERLINK is not implemented. linkLocation=https://www.gmu.edu, friendlyName=Open source</x:v>
      </x:c>
    </x:row>
    <x:row r="2470" ht="46" customHeight="1">
      <x:c r="A2470" s="17" t="str">
        <x:v>stage3src:ce113b442198841a69c3</x:v>
      </x:c>
      <x:c r="B2470" s="17" t="str">
        <x:v>program</x:v>
      </x:c>
      <x:c r="C2470" s="17" t="str">
        <x:v>George Mason University</x:v>
      </x:c>
      <x:c r="D2470" s="17" t="str">
        <x:v>us:ipeds:232186:program:unclear:ipeds-discovery-signal-computer-and-information-systems-security-auditing-information-assurance-cip-11-1003</x:v>
      </x:c>
      <x:c r="E2470" s="17" t="str"/>
      <x:c r="F2470" s="17" t="str">
        <x:v>discovery</x:v>
      </x:c>
      <x:c r="G2470" s="17" t="str">
        <x:v>Stage 2 recorded this row as a discovery candidate; it does not independently verify an exact current research program, eligibility, or funding.</x:v>
      </x:c>
      <x:c r="H2470" s="17" t="str">
        <x:v>Pass 2 Stage 2 candidate funnel</x:v>
      </x:c>
      <x:c r="I2470" s="17" t="str">
        <x:v>Graduate audit pipeline</x:v>
      </x:c>
      <x:c r="J2470" s="17" t="str">
        <x:v>derived</x:v>
      </x:c>
      <x:c r="K2470" s="17" t="str">
        <x:v>2026-09-11</x:v>
      </x:c>
      <x:c r="L2470" s="17" t="str">
        <x:v>Not cycle-specific</x:v>
      </x:c>
      <x:c r="M2470" s="17" t="str">
        <x:v>low</x:v>
      </x:c>
      <x:c r="N2470" s="17" t="str">
        <x:v>Discovery evidence only</x:v>
      </x:c>
      <x:c r="O2470" s="17" t="str">
        <x:v>Use the source_record_paths field to trace the underlying discovery inputs.</x:v>
      </x:c>
      <x:c r="P2470" s="18" t="e">
        <x:f>HYPERLINK("https://www.gmu.edu","Open source")</x:f>
        <x:v>HYPERLINK is not implemented. linkLocation=https://www.gmu.edu, friendlyName=Open source</x:v>
      </x:c>
    </x:row>
    <x:row r="2471" ht="46" customHeight="1">
      <x:c r="A2471" s="17" t="str">
        <x:v>stage3src:8cad8667b0022a9c9545</x:v>
      </x:c>
      <x:c r="B2471" s="17" t="str">
        <x:v>program</x:v>
      </x:c>
      <x:c r="C2471" s="17" t="str">
        <x:v>George Mason University</x:v>
      </x:c>
      <x:c r="D2471" s="17" t="str">
        <x:v>us:ipeds:232186:program:unclear:ipeds-discovery-signal-computer-engineering-general-cip-14-0901</x:v>
      </x:c>
      <x:c r="E2471" s="17" t="str"/>
      <x:c r="F2471" s="17" t="str">
        <x:v>discovery</x:v>
      </x:c>
      <x:c r="G2471" s="17" t="str">
        <x:v>Stage 2 recorded this row as a discovery candidate; it does not independently verify an exact current research program, eligibility, or funding.</x:v>
      </x:c>
      <x:c r="H2471" s="17" t="str">
        <x:v>Pass 2 Stage 2 candidate funnel</x:v>
      </x:c>
      <x:c r="I2471" s="17" t="str">
        <x:v>Graduate audit pipeline</x:v>
      </x:c>
      <x:c r="J2471" s="17" t="str">
        <x:v>derived</x:v>
      </x:c>
      <x:c r="K2471" s="17" t="str">
        <x:v>2026-09-11</x:v>
      </x:c>
      <x:c r="L2471" s="17" t="str">
        <x:v>Not cycle-specific</x:v>
      </x:c>
      <x:c r="M2471" s="17" t="str">
        <x:v>low</x:v>
      </x:c>
      <x:c r="N2471" s="17" t="str">
        <x:v>Discovery evidence only</x:v>
      </x:c>
      <x:c r="O2471" s="17" t="str">
        <x:v>Use the source_record_paths field to trace the underlying discovery inputs.</x:v>
      </x:c>
      <x:c r="P2471" s="18" t="e">
        <x:f>HYPERLINK("https://www.gmu.edu","Open source")</x:f>
        <x:v>HYPERLINK is not implemented. linkLocation=https://www.gmu.edu, friendlyName=Open source</x:v>
      </x:c>
    </x:row>
    <x:row r="2472" ht="46" customHeight="1">
      <x:c r="A2472" s="17" t="str">
        <x:v>stage3src:979e4142f5a140d1e094</x:v>
      </x:c>
      <x:c r="B2472" s="17" t="str">
        <x:v>program</x:v>
      </x:c>
      <x:c r="C2472" s="17" t="str">
        <x:v>George Mason University</x:v>
      </x:c>
      <x:c r="D2472" s="17" t="str">
        <x:v>us:ipeds:232186:program:unclear:ipeds-discovery-signal-computer-software-engineering-cip-14-0903</x:v>
      </x:c>
      <x:c r="E2472" s="17" t="str"/>
      <x:c r="F2472" s="17" t="str">
        <x:v>discovery</x:v>
      </x:c>
      <x:c r="G2472" s="17" t="str">
        <x:v>Stage 2 recorded this row as a discovery candidate; it does not independently verify an exact current research program, eligibility, or funding.</x:v>
      </x:c>
      <x:c r="H2472" s="17" t="str">
        <x:v>Pass 2 Stage 2 candidate funnel</x:v>
      </x:c>
      <x:c r="I2472" s="17" t="str">
        <x:v>Graduate audit pipeline</x:v>
      </x:c>
      <x:c r="J2472" s="17" t="str">
        <x:v>derived</x:v>
      </x:c>
      <x:c r="K2472" s="17" t="str">
        <x:v>2026-09-11</x:v>
      </x:c>
      <x:c r="L2472" s="17" t="str">
        <x:v>Not cycle-specific</x:v>
      </x:c>
      <x:c r="M2472" s="17" t="str">
        <x:v>low</x:v>
      </x:c>
      <x:c r="N2472" s="17" t="str">
        <x:v>Discovery evidence only</x:v>
      </x:c>
      <x:c r="O2472" s="17" t="str">
        <x:v>Use the source_record_paths field to trace the underlying discovery inputs.</x:v>
      </x:c>
      <x:c r="P2472" s="18" t="e">
        <x:f>HYPERLINK("https://www.gmu.edu","Open source")</x:f>
        <x:v>HYPERLINK is not implemented. linkLocation=https://www.gmu.edu, friendlyName=Open source</x:v>
      </x:c>
    </x:row>
    <x:row r="2473" ht="46" customHeight="1">
      <x:c r="A2473" s="17" t="str">
        <x:v>stage3src:c1281a05da48719e45de</x:v>
      </x:c>
      <x:c r="B2473" s="17" t="str">
        <x:v>program</x:v>
      </x:c>
      <x:c r="C2473" s="17" t="str">
        <x:v>George Mason University</x:v>
      </x:c>
      <x:c r="D2473" s="17" t="str">
        <x:v>us:ipeds:232186:program:unclear:ipeds-discovery-signal-computer-systems-networking-and-telecommunications-cip-11-0901</x:v>
      </x:c>
      <x:c r="E2473" s="17" t="str"/>
      <x:c r="F2473" s="17" t="str">
        <x:v>discovery</x:v>
      </x:c>
      <x:c r="G2473" s="17" t="str">
        <x:v>Stage 2 recorded this row as a discovery candidate; it does not independently verify an exact current research program, eligibility, or funding.</x:v>
      </x:c>
      <x:c r="H2473" s="17" t="str">
        <x:v>Pass 2 Stage 2 candidate funnel</x:v>
      </x:c>
      <x:c r="I2473" s="17" t="str">
        <x:v>Graduate audit pipeline</x:v>
      </x:c>
      <x:c r="J2473" s="17" t="str">
        <x:v>derived</x:v>
      </x:c>
      <x:c r="K2473" s="17" t="str">
        <x:v>2026-09-11</x:v>
      </x:c>
      <x:c r="L2473" s="17" t="str">
        <x:v>Not cycle-specific</x:v>
      </x:c>
      <x:c r="M2473" s="17" t="str">
        <x:v>low</x:v>
      </x:c>
      <x:c r="N2473" s="17" t="str">
        <x:v>Discovery evidence only</x:v>
      </x:c>
      <x:c r="O2473" s="17" t="str">
        <x:v>Use the source_record_paths field to trace the underlying discovery inputs.</x:v>
      </x:c>
      <x:c r="P2473" s="18" t="e">
        <x:f>HYPERLINK("https://www.gmu.edu","Open source")</x:f>
        <x:v>HYPERLINK is not implemented. linkLocation=https://www.gmu.edu, friendlyName=Open source</x:v>
      </x:c>
    </x:row>
    <x:row r="2474" ht="46" customHeight="1">
      <x:c r="A2474" s="17" t="str">
        <x:v>stage3src:1f7825d8f3bf376f37b2</x:v>
      </x:c>
      <x:c r="B2474" s="17" t="str">
        <x:v>program</x:v>
      </x:c>
      <x:c r="C2474" s="17" t="str">
        <x:v>George Mason University</x:v>
      </x:c>
      <x:c r="D2474" s="17" t="str">
        <x:v>us:ipeds:232186:program:unclear:ipeds-discovery-signal-cyber-computer-forensics-and-counterterrorism-cip-43-0403</x:v>
      </x:c>
      <x:c r="E2474" s="17" t="str"/>
      <x:c r="F2474" s="17" t="str">
        <x:v>discovery</x:v>
      </x:c>
      <x:c r="G2474" s="17" t="str">
        <x:v>Stage 2 recorded this row as a discovery candidate; it does not independently verify an exact current research program, eligibility, or funding.</x:v>
      </x:c>
      <x:c r="H2474" s="17" t="str">
        <x:v>Pass 2 Stage 2 candidate funnel</x:v>
      </x:c>
      <x:c r="I2474" s="17" t="str">
        <x:v>Graduate audit pipeline</x:v>
      </x:c>
      <x:c r="J2474" s="17" t="str">
        <x:v>derived</x:v>
      </x:c>
      <x:c r="K2474" s="17" t="str">
        <x:v>2026-09-11</x:v>
      </x:c>
      <x:c r="L2474" s="17" t="str">
        <x:v>Not cycle-specific</x:v>
      </x:c>
      <x:c r="M2474" s="17" t="str">
        <x:v>low</x:v>
      </x:c>
      <x:c r="N2474" s="17" t="str">
        <x:v>Discovery evidence only</x:v>
      </x:c>
      <x:c r="O2474" s="17" t="str">
        <x:v>Use the source_record_paths field to trace the underlying discovery inputs.</x:v>
      </x:c>
      <x:c r="P2474" s="18" t="e">
        <x:f>HYPERLINK("https://www.gmu.edu","Open source")</x:f>
        <x:v>HYPERLINK is not implemented. linkLocation=https://www.gmu.edu, friendlyName=Open source</x:v>
      </x:c>
    </x:row>
    <x:row r="2475" ht="46" customHeight="1">
      <x:c r="A2475" s="17" t="str">
        <x:v>stage3src:a159cb05faa3c8e0ad7e</x:v>
      </x:c>
      <x:c r="B2475" s="17" t="str">
        <x:v>program</x:v>
      </x:c>
      <x:c r="C2475" s="17" t="str">
        <x:v>George Mason University</x:v>
      </x:c>
      <x:c r="D2475" s="17" t="str">
        <x:v>us:ipeds:232186:program:unclear:ipeds-discovery-signal-data-analytics-general-cip-30-7101</x:v>
      </x:c>
      <x:c r="E2475" s="17" t="str"/>
      <x:c r="F2475" s="17" t="str">
        <x:v>discovery</x:v>
      </x:c>
      <x:c r="G2475" s="17" t="str">
        <x:v>Stage 2 recorded this row as a discovery candidate; it does not independently verify an exact current research program, eligibility, or funding.</x:v>
      </x:c>
      <x:c r="H2475" s="17" t="str">
        <x:v>Pass 2 Stage 2 candidate funnel</x:v>
      </x:c>
      <x:c r="I2475" s="17" t="str">
        <x:v>Graduate audit pipeline</x:v>
      </x:c>
      <x:c r="J2475" s="17" t="str">
        <x:v>derived</x:v>
      </x:c>
      <x:c r="K2475" s="17" t="str">
        <x:v>2026-09-11</x:v>
      </x:c>
      <x:c r="L2475" s="17" t="str">
        <x:v>Not cycle-specific</x:v>
      </x:c>
      <x:c r="M2475" s="17" t="str">
        <x:v>low</x:v>
      </x:c>
      <x:c r="N2475" s="17" t="str">
        <x:v>Discovery evidence only</x:v>
      </x:c>
      <x:c r="O2475" s="17" t="str">
        <x:v>Use the source_record_paths field to trace the underlying discovery inputs.</x:v>
      </x:c>
      <x:c r="P2475" s="18" t="e">
        <x:f>HYPERLINK("https://www.gmu.edu","Open source")</x:f>
        <x:v>HYPERLINK is not implemented. linkLocation=https://www.gmu.edu, friendlyName=Open source</x:v>
      </x:c>
    </x:row>
    <x:row r="2476" ht="46" customHeight="1">
      <x:c r="A2476" s="17" t="str">
        <x:v>stage3src:cbc6cb5c06a080490fa4</x:v>
      </x:c>
      <x:c r="B2476" s="17" t="str">
        <x:v>program</x:v>
      </x:c>
      <x:c r="C2476" s="17" t="str">
        <x:v>George Mason University</x:v>
      </x:c>
      <x:c r="D2476" s="17" t="str">
        <x:v>us:ipeds:232186:program:unclear:ipeds-discovery-signal-electrical-and-electronics-engineering-cip-14-1001</x:v>
      </x:c>
      <x:c r="E2476" s="17" t="str"/>
      <x:c r="F2476" s="17" t="str">
        <x:v>discovery</x:v>
      </x:c>
      <x:c r="G2476" s="17" t="str">
        <x:v>Stage 2 recorded this row as a discovery candidate; it does not independently verify an exact current research program, eligibility, or funding.</x:v>
      </x:c>
      <x:c r="H2476" s="17" t="str">
        <x:v>Pass 2 Stage 2 candidate funnel</x:v>
      </x:c>
      <x:c r="I2476" s="17" t="str">
        <x:v>Graduate audit pipeline</x:v>
      </x:c>
      <x:c r="J2476" s="17" t="str">
        <x:v>derived</x:v>
      </x:c>
      <x:c r="K2476" s="17" t="str">
        <x:v>2026-09-11</x:v>
      </x:c>
      <x:c r="L2476" s="17" t="str">
        <x:v>Not cycle-specific</x:v>
      </x:c>
      <x:c r="M2476" s="17" t="str">
        <x:v>low</x:v>
      </x:c>
      <x:c r="N2476" s="17" t="str">
        <x:v>Discovery evidence only</x:v>
      </x:c>
      <x:c r="O2476" s="17" t="str">
        <x:v>Use the source_record_paths field to trace the underlying discovery inputs.</x:v>
      </x:c>
      <x:c r="P2476" s="18" t="e">
        <x:f>HYPERLINK("https://www.gmu.edu","Open source")</x:f>
        <x:v>HYPERLINK is not implemented. linkLocation=https://www.gmu.edu, friendlyName=Open source</x:v>
      </x:c>
    </x:row>
    <x:row r="2477" ht="46" customHeight="1">
      <x:c r="A2477" s="17" t="str">
        <x:v>stage3src:1ad6fe7f3d74c53fca0b</x:v>
      </x:c>
      <x:c r="B2477" s="17" t="str">
        <x:v>program</x:v>
      </x:c>
      <x:c r="C2477" s="17" t="str">
        <x:v>George Mason University</x:v>
      </x:c>
      <x:c r="D2477" s="17" t="str">
        <x:v>us:ipeds:232186:program:unclear:ipeds-discovery-signal-information-science-studies-cip-11-0401</x:v>
      </x:c>
      <x:c r="E2477" s="17" t="str"/>
      <x:c r="F2477" s="17" t="str">
        <x:v>discovery</x:v>
      </x:c>
      <x:c r="G2477" s="17" t="str">
        <x:v>Stage 2 recorded this row as a discovery candidate; it does not independently verify an exact current research program, eligibility, or funding.</x:v>
      </x:c>
      <x:c r="H2477" s="17" t="str">
        <x:v>Pass 2 Stage 2 candidate funnel</x:v>
      </x:c>
      <x:c r="I2477" s="17" t="str">
        <x:v>Graduate audit pipeline</x:v>
      </x:c>
      <x:c r="J2477" s="17" t="str">
        <x:v>derived</x:v>
      </x:c>
      <x:c r="K2477" s="17" t="str">
        <x:v>2026-09-11</x:v>
      </x:c>
      <x:c r="L2477" s="17" t="str">
        <x:v>Not cycle-specific</x:v>
      </x:c>
      <x:c r="M2477" s="17" t="str">
        <x:v>low</x:v>
      </x:c>
      <x:c r="N2477" s="17" t="str">
        <x:v>Discovery evidence only</x:v>
      </x:c>
      <x:c r="O2477" s="17" t="str">
        <x:v>Use the source_record_paths field to trace the underlying discovery inputs.</x:v>
      </x:c>
      <x:c r="P2477" s="18" t="e">
        <x:f>HYPERLINK("https://www.gmu.edu","Open source")</x:f>
        <x:v>HYPERLINK is not implemented. linkLocation=https://www.gmu.edu, friendlyName=Open source</x:v>
      </x:c>
    </x:row>
    <x:row r="2478" ht="46" customHeight="1">
      <x:c r="A2478" s="17" t="str">
        <x:v>stage3src:b016f67a32532e55414b</x:v>
      </x:c>
      <x:c r="B2478" s="17" t="str">
        <x:v>program</x:v>
      </x:c>
      <x:c r="C2478" s="17" t="str">
        <x:v>George Mason University</x:v>
      </x:c>
      <x:c r="D2478" s="17" t="str">
        <x:v>us:ipeds:232186:program:unclear:ipeds-discovery-signal-information-technology-cip-11-0103</x:v>
      </x:c>
      <x:c r="E2478" s="17" t="str"/>
      <x:c r="F2478" s="17" t="str">
        <x:v>discovery</x:v>
      </x:c>
      <x:c r="G2478" s="17" t="str">
        <x:v>Stage 2 recorded this row as a discovery candidate; it does not independently verify an exact current research program, eligibility, or funding.</x:v>
      </x:c>
      <x:c r="H2478" s="17" t="str">
        <x:v>Pass 2 Stage 2 candidate funnel</x:v>
      </x:c>
      <x:c r="I2478" s="17" t="str">
        <x:v>Graduate audit pipeline</x:v>
      </x:c>
      <x:c r="J2478" s="17" t="str">
        <x:v>derived</x:v>
      </x:c>
      <x:c r="K2478" s="17" t="str">
        <x:v>2026-09-11</x:v>
      </x:c>
      <x:c r="L2478" s="17" t="str">
        <x:v>Not cycle-specific</x:v>
      </x:c>
      <x:c r="M2478" s="17" t="str">
        <x:v>low</x:v>
      </x:c>
      <x:c r="N2478" s="17" t="str">
        <x:v>Discovery evidence only</x:v>
      </x:c>
      <x:c r="O2478" s="17" t="str">
        <x:v>Use the source_record_paths field to trace the underlying discovery inputs.</x:v>
      </x:c>
      <x:c r="P2478" s="18" t="e">
        <x:f>HYPERLINK("https://www.gmu.edu","Open source")</x:f>
        <x:v>HYPERLINK is not implemented. linkLocation=https://www.gmu.edu, friendlyName=Open source</x:v>
      </x:c>
    </x:row>
    <x:row r="2479" ht="46" customHeight="1">
      <x:c r="A2479" s="17" t="str">
        <x:v>stage3src:7494386f54773c1a8b90</x:v>
      </x:c>
      <x:c r="B2479" s="17" t="str">
        <x:v>program</x:v>
      </x:c>
      <x:c r="C2479" s="17" t="str">
        <x:v>Hampton University</x:v>
      </x:c>
      <x:c r="D2479" s="17" t="str">
        <x:v>us:ipeds:232265:program:unclear:ipeds-discovery-signal-computer-and-information-sciences-general-cip-11-0101</x:v>
      </x:c>
      <x:c r="E2479" s="17" t="str"/>
      <x:c r="F2479" s="17" t="str">
        <x:v>discovery</x:v>
      </x:c>
      <x:c r="G2479" s="17" t="str">
        <x:v>Stage 2 recorded this row as a discovery candidate; it does not independently verify an exact current research program, eligibility, or funding.</x:v>
      </x:c>
      <x:c r="H2479" s="17" t="str">
        <x:v>Pass 2 Stage 2 candidate funnel</x:v>
      </x:c>
      <x:c r="I2479" s="17" t="str">
        <x:v>Graduate audit pipeline</x:v>
      </x:c>
      <x:c r="J2479" s="17" t="str">
        <x:v>derived</x:v>
      </x:c>
      <x:c r="K2479" s="17" t="str">
        <x:v>2026-09-11</x:v>
      </x:c>
      <x:c r="L2479" s="17" t="str">
        <x:v>Not cycle-specific</x:v>
      </x:c>
      <x:c r="M2479" s="17" t="str">
        <x:v>low</x:v>
      </x:c>
      <x:c r="N2479" s="17" t="str">
        <x:v>Discovery evidence only</x:v>
      </x:c>
      <x:c r="O2479" s="17" t="str">
        <x:v>Use the source_record_paths field to trace the underlying discovery inputs.</x:v>
      </x:c>
      <x:c r="P2479" s="18" t="e">
        <x:f>HYPERLINK("https://www.hamptonu.edu","Open source")</x:f>
        <x:v>HYPERLINK is not implemented. linkLocation=https://www.hamptonu.edu, friendlyName=Open source</x:v>
      </x:c>
    </x:row>
    <x:row r="2480" ht="46" customHeight="1">
      <x:c r="A2480" s="17" t="str">
        <x:v>stage3src:645765deac8fb73393c4</x:v>
      </x:c>
      <x:c r="B2480" s="17" t="str">
        <x:v>program</x:v>
      </x:c>
      <x:c r="C2480" s="17" t="str">
        <x:v>James Madison University</x:v>
      </x:c>
      <x:c r="D2480" s="17" t="str">
        <x:v>us:ipeds:232423:program:unclear:ipeds-discovery-signal-computer-and-information-sciences-general-cip-11-0101</x:v>
      </x:c>
      <x:c r="E2480" s="17" t="str"/>
      <x:c r="F2480" s="17" t="str">
        <x:v>discovery</x:v>
      </x:c>
      <x:c r="G2480" s="17" t="str">
        <x:v>Stage 2 recorded this row as a discovery candidate; it does not independently verify an exact current research program, eligibility, or funding.</x:v>
      </x:c>
      <x:c r="H2480" s="17" t="str">
        <x:v>Pass 2 Stage 2 candidate funnel</x:v>
      </x:c>
      <x:c r="I2480" s="17" t="str">
        <x:v>Graduate audit pipeline</x:v>
      </x:c>
      <x:c r="J2480" s="17" t="str">
        <x:v>derived</x:v>
      </x:c>
      <x:c r="K2480" s="17" t="str">
        <x:v>2026-09-11</x:v>
      </x:c>
      <x:c r="L2480" s="17" t="str">
        <x:v>Not cycle-specific</x:v>
      </x:c>
      <x:c r="M2480" s="17" t="str">
        <x:v>low</x:v>
      </x:c>
      <x:c r="N2480" s="17" t="str">
        <x:v>Discovery evidence only</x:v>
      </x:c>
      <x:c r="O2480" s="17" t="str">
        <x:v>Use the source_record_paths field to trace the underlying discovery inputs.</x:v>
      </x:c>
      <x:c r="P2480" s="18" t="e">
        <x:f>HYPERLINK("https://www.jmu.edu/index.shtml","Open source")</x:f>
        <x:v>HYPERLINK is not implemented. linkLocation=https://www.jmu.edu/index.shtml, friendlyName=Open source</x:v>
      </x:c>
    </x:row>
    <x:row r="2481" ht="46" customHeight="1">
      <x:c r="A2481" s="17" t="str">
        <x:v>stage3src:68ca666d8e35266d2914</x:v>
      </x:c>
      <x:c r="B2481" s="17" t="str">
        <x:v>program</x:v>
      </x:c>
      <x:c r="C2481" s="17" t="str">
        <x:v>Liberty University</x:v>
      </x:c>
      <x:c r="D2481" s="17" t="str">
        <x:v>us:ipeds:232557:program:unclear:ipeds-discovery-signal-informatics-cip-11-0104</x:v>
      </x:c>
      <x:c r="E2481" s="17" t="str"/>
      <x:c r="F2481" s="17" t="str">
        <x:v>discovery</x:v>
      </x:c>
      <x:c r="G2481" s="17" t="str">
        <x:v>Stage 2 recorded this row as a discovery candidate; it does not independently verify an exact current research program, eligibility, or funding.</x:v>
      </x:c>
      <x:c r="H2481" s="17" t="str">
        <x:v>Pass 2 Stage 2 candidate funnel</x:v>
      </x:c>
      <x:c r="I2481" s="17" t="str">
        <x:v>Graduate audit pipeline</x:v>
      </x:c>
      <x:c r="J2481" s="17" t="str">
        <x:v>derived</x:v>
      </x:c>
      <x:c r="K2481" s="17" t="str">
        <x:v>2026-09-11</x:v>
      </x:c>
      <x:c r="L2481" s="17" t="str">
        <x:v>Not cycle-specific</x:v>
      </x:c>
      <x:c r="M2481" s="17" t="str">
        <x:v>low</x:v>
      </x:c>
      <x:c r="N2481" s="17" t="str">
        <x:v>Discovery evidence only</x:v>
      </x:c>
      <x:c r="O2481" s="17" t="str">
        <x:v>Use the source_record_paths field to trace the underlying discovery inputs.</x:v>
      </x:c>
      <x:c r="P2481" s="18" t="e">
        <x:f>HYPERLINK("https://www.liberty.edu","Open source")</x:f>
        <x:v>HYPERLINK is not implemented. linkLocation=https://www.liberty.edu, friendlyName=Open source</x:v>
      </x:c>
    </x:row>
    <x:row r="2482" ht="46" customHeight="1">
      <x:c r="A2482" s="17" t="str">
        <x:v>stage3src:f10c49eb762c25b83299</x:v>
      </x:c>
      <x:c r="B2482" s="17" t="str">
        <x:v>program</x:v>
      </x:c>
      <x:c r="C2482" s="17" t="str">
        <x:v>Liberty University</x:v>
      </x:c>
      <x:c r="D2482" s="17" t="str">
        <x:v>us:ipeds:232557:program:unclear:ipeds-discovery-signal-information-technology-cip-11-0103</x:v>
      </x:c>
      <x:c r="E2482" s="17" t="str"/>
      <x:c r="F2482" s="17" t="str">
        <x:v>discovery</x:v>
      </x:c>
      <x:c r="G2482" s="17" t="str">
        <x:v>Stage 2 recorded this row as a discovery candidate; it does not independently verify an exact current research program, eligibility, or funding.</x:v>
      </x:c>
      <x:c r="H2482" s="17" t="str">
        <x:v>Pass 2 Stage 2 candidate funnel</x:v>
      </x:c>
      <x:c r="I2482" s="17" t="str">
        <x:v>Graduate audit pipeline</x:v>
      </x:c>
      <x:c r="J2482" s="17" t="str">
        <x:v>derived</x:v>
      </x:c>
      <x:c r="K2482" s="17" t="str">
        <x:v>2026-09-11</x:v>
      </x:c>
      <x:c r="L2482" s="17" t="str">
        <x:v>Not cycle-specific</x:v>
      </x:c>
      <x:c r="M2482" s="17" t="str">
        <x:v>low</x:v>
      </x:c>
      <x:c r="N2482" s="17" t="str">
        <x:v>Discovery evidence only</x:v>
      </x:c>
      <x:c r="O2482" s="17" t="str">
        <x:v>Use the source_record_paths field to trace the underlying discovery inputs.</x:v>
      </x:c>
      <x:c r="P2482" s="18" t="e">
        <x:f>HYPERLINK("https://www.liberty.edu","Open source")</x:f>
        <x:v>HYPERLINK is not implemented. linkLocation=https://www.liberty.edu, friendlyName=Open source</x:v>
      </x:c>
    </x:row>
    <x:row r="2483" ht="46" customHeight="1">
      <x:c r="A2483" s="17" t="str">
        <x:v>stage3src:930c301782edb5095e00</x:v>
      </x:c>
      <x:c r="B2483" s="17" t="str">
        <x:v>program</x:v>
      </x:c>
      <x:c r="C2483" s="17" t="str">
        <x:v>Marymount University</x:v>
      </x:c>
      <x:c r="D2483" s="17" t="str">
        <x:v>us:ipeds:232706:program:unclear:ipeds-discovery-signal-computer-and-information-systems-security-auditing-information-assurance-cip-11-1003</x:v>
      </x:c>
      <x:c r="E2483" s="17" t="str"/>
      <x:c r="F2483" s="17" t="str">
        <x:v>discovery</x:v>
      </x:c>
      <x:c r="G2483" s="17" t="str">
        <x:v>Stage 2 recorded this row as a discovery candidate; it does not independently verify an exact current research program, eligibility, or funding.</x:v>
      </x:c>
      <x:c r="H2483" s="17" t="str">
        <x:v>Pass 2 Stage 2 candidate funnel</x:v>
      </x:c>
      <x:c r="I2483" s="17" t="str">
        <x:v>Graduate audit pipeline</x:v>
      </x:c>
      <x:c r="J2483" s="17" t="str">
        <x:v>derived</x:v>
      </x:c>
      <x:c r="K2483" s="17" t="str">
        <x:v>2026-09-11</x:v>
      </x:c>
      <x:c r="L2483" s="17" t="str">
        <x:v>Not cycle-specific</x:v>
      </x:c>
      <x:c r="M2483" s="17" t="str">
        <x:v>low</x:v>
      </x:c>
      <x:c r="N2483" s="17" t="str">
        <x:v>Discovery evidence only</x:v>
      </x:c>
      <x:c r="O2483" s="17" t="str">
        <x:v>Use the source_record_paths field to trace the underlying discovery inputs.</x:v>
      </x:c>
      <x:c r="P2483" s="18" t="e">
        <x:f>HYPERLINK("https://www.marymount.edu","Open source")</x:f>
        <x:v>HYPERLINK is not implemented. linkLocation=https://www.marymount.edu, friendlyName=Open source</x:v>
      </x:c>
    </x:row>
    <x:row r="2484" ht="46" customHeight="1">
      <x:c r="A2484" s="17" t="str">
        <x:v>stage3src:cb919bb4c6e11bbb7109</x:v>
      </x:c>
      <x:c r="B2484" s="17" t="str">
        <x:v>program</x:v>
      </x:c>
      <x:c r="C2484" s="17" t="str">
        <x:v>Marymount University</x:v>
      </x:c>
      <x:c r="D2484" s="17" t="str">
        <x:v>us:ipeds:232706:program:unclear:ipeds-discovery-signal-information-technology-cip-11-0103</x:v>
      </x:c>
      <x:c r="E2484" s="17" t="str"/>
      <x:c r="F2484" s="17" t="str">
        <x:v>discovery</x:v>
      </x:c>
      <x:c r="G2484" s="17" t="str">
        <x:v>Stage 2 recorded this row as a discovery candidate; it does not independently verify an exact current research program, eligibility, or funding.</x:v>
      </x:c>
      <x:c r="H2484" s="17" t="str">
        <x:v>Pass 2 Stage 2 candidate funnel</x:v>
      </x:c>
      <x:c r="I2484" s="17" t="str">
        <x:v>Graduate audit pipeline</x:v>
      </x:c>
      <x:c r="J2484" s="17" t="str">
        <x:v>derived</x:v>
      </x:c>
      <x:c r="K2484" s="17" t="str">
        <x:v>2026-09-11</x:v>
      </x:c>
      <x:c r="L2484" s="17" t="str">
        <x:v>Not cycle-specific</x:v>
      </x:c>
      <x:c r="M2484" s="17" t="str">
        <x:v>low</x:v>
      </x:c>
      <x:c r="N2484" s="17" t="str">
        <x:v>Discovery evidence only</x:v>
      </x:c>
      <x:c r="O2484" s="17" t="str">
        <x:v>Use the source_record_paths field to trace the underlying discovery inputs.</x:v>
      </x:c>
      <x:c r="P2484" s="18" t="e">
        <x:f>HYPERLINK("https://www.marymount.edu","Open source")</x:f>
        <x:v>HYPERLINK is not implemented. linkLocation=https://www.marymount.edu, friendlyName=Open source</x:v>
      </x:c>
    </x:row>
    <x:row r="2485" ht="46" customHeight="1">
      <x:c r="A2485" s="17" t="str">
        <x:v>stage3src:0149ef74fc3caebfe696</x:v>
      </x:c>
      <x:c r="B2485" s="17" t="str">
        <x:v>program</x:v>
      </x:c>
      <x:c r="C2485" s="17" t="str">
        <x:v>American National University</x:v>
      </x:c>
      <x:c r="D2485" s="17" t="str">
        <x:v>us:ipeds:232797:program:unclear:ipeds-discovery-signal-computer-and-information-sciences-general-cip-11-0101</x:v>
      </x:c>
      <x:c r="E2485" s="17" t="str"/>
      <x:c r="F2485" s="17" t="str">
        <x:v>discovery</x:v>
      </x:c>
      <x:c r="G2485" s="17" t="str">
        <x:v>Stage 2 recorded this row as a discovery candidate; it does not independently verify an exact current research program, eligibility, or funding.</x:v>
      </x:c>
      <x:c r="H2485" s="17" t="str">
        <x:v>Pass 2 Stage 2 candidate funnel</x:v>
      </x:c>
      <x:c r="I2485" s="17" t="str">
        <x:v>Graduate audit pipeline</x:v>
      </x:c>
      <x:c r="J2485" s="17" t="str">
        <x:v>derived</x:v>
      </x:c>
      <x:c r="K2485" s="17" t="str">
        <x:v>2026-09-11</x:v>
      </x:c>
      <x:c r="L2485" s="17" t="str">
        <x:v>Not cycle-specific</x:v>
      </x:c>
      <x:c r="M2485" s="17" t="str">
        <x:v>low</x:v>
      </x:c>
      <x:c r="N2485" s="17" t="str">
        <x:v>Discovery evidence only</x:v>
      </x:c>
      <x:c r="O2485" s="17" t="str">
        <x:v>Use the source_record_paths field to trace the underlying discovery inputs.</x:v>
      </x:c>
      <x:c r="P2485" s="18" t="e">
        <x:f>HYPERLINK("https://www.an.edu/locations","Open source")</x:f>
        <x:v>HYPERLINK is not implemented. linkLocation=https://www.an.edu/locations, friendlyName=Open source</x:v>
      </x:c>
    </x:row>
    <x:row r="2486" ht="46" customHeight="1">
      <x:c r="A2486" s="17" t="str">
        <x:v>stage3src:ea8bf61ccb72e6f3849c</x:v>
      </x:c>
      <x:c r="B2486" s="17" t="str">
        <x:v>program</x:v>
      </x:c>
      <x:c r="C2486" s="17" t="str">
        <x:v>American National University</x:v>
      </x:c>
      <x:c r="D2486" s="17" t="str">
        <x:v>us:ipeds:232797:program:unclear:ipeds-discovery-signal-computer-and-information-systems-security-auditing-information-assurance-cip-11-1003</x:v>
      </x:c>
      <x:c r="E2486" s="17" t="str"/>
      <x:c r="F2486" s="17" t="str">
        <x:v>discovery</x:v>
      </x:c>
      <x:c r="G2486" s="17" t="str">
        <x:v>Stage 2 recorded this row as a discovery candidate; it does not independently verify an exact current research program, eligibility, or funding.</x:v>
      </x:c>
      <x:c r="H2486" s="17" t="str">
        <x:v>Pass 2 Stage 2 candidate funnel</x:v>
      </x:c>
      <x:c r="I2486" s="17" t="str">
        <x:v>Graduate audit pipeline</x:v>
      </x:c>
      <x:c r="J2486" s="17" t="str">
        <x:v>derived</x:v>
      </x:c>
      <x:c r="K2486" s="17" t="str">
        <x:v>2026-09-11</x:v>
      </x:c>
      <x:c r="L2486" s="17" t="str">
        <x:v>Not cycle-specific</x:v>
      </x:c>
      <x:c r="M2486" s="17" t="str">
        <x:v>low</x:v>
      </x:c>
      <x:c r="N2486" s="17" t="str">
        <x:v>Discovery evidence only</x:v>
      </x:c>
      <x:c r="O2486" s="17" t="str">
        <x:v>Use the source_record_paths field to trace the underlying discovery inputs.</x:v>
      </x:c>
      <x:c r="P2486" s="18" t="e">
        <x:f>HYPERLINK("https://www.an.edu/locations","Open source")</x:f>
        <x:v>HYPERLINK is not implemented. linkLocation=https://www.an.edu/locations, friendlyName=Open source</x:v>
      </x:c>
    </x:row>
    <x:row r="2487" ht="46" customHeight="1">
      <x:c r="A2487" s="17" t="str">
        <x:v>stage3src:dd0e2ce809df4c53ef28</x:v>
      </x:c>
      <x:c r="B2487" s="17" t="str">
        <x:v>program</x:v>
      </x:c>
      <x:c r="C2487" s="17" t="str">
        <x:v>American National University</x:v>
      </x:c>
      <x:c r="D2487" s="17" t="str">
        <x:v>us:ipeds:232797:program:unclear:ipeds-discovery-signal-information-technology-cip-11-0103</x:v>
      </x:c>
      <x:c r="E2487" s="17" t="str"/>
      <x:c r="F2487" s="17" t="str">
        <x:v>discovery</x:v>
      </x:c>
      <x:c r="G2487" s="17" t="str">
        <x:v>Stage 2 recorded this row as a discovery candidate; it does not independently verify an exact current research program, eligibility, or funding.</x:v>
      </x:c>
      <x:c r="H2487" s="17" t="str">
        <x:v>Pass 2 Stage 2 candidate funnel</x:v>
      </x:c>
      <x:c r="I2487" s="17" t="str">
        <x:v>Graduate audit pipeline</x:v>
      </x:c>
      <x:c r="J2487" s="17" t="str">
        <x:v>derived</x:v>
      </x:c>
      <x:c r="K2487" s="17" t="str">
        <x:v>2026-09-11</x:v>
      </x:c>
      <x:c r="L2487" s="17" t="str">
        <x:v>Not cycle-specific</x:v>
      </x:c>
      <x:c r="M2487" s="17" t="str">
        <x:v>low</x:v>
      </x:c>
      <x:c r="N2487" s="17" t="str">
        <x:v>Discovery evidence only</x:v>
      </x:c>
      <x:c r="O2487" s="17" t="str">
        <x:v>Use the source_record_paths field to trace the underlying discovery inputs.</x:v>
      </x:c>
      <x:c r="P2487" s="18" t="e">
        <x:f>HYPERLINK("https://www.an.edu/locations","Open source")</x:f>
        <x:v>HYPERLINK is not implemented. linkLocation=https://www.an.edu/locations, friendlyName=Open source</x:v>
      </x:c>
    </x:row>
    <x:row r="2488" ht="46" customHeight="1">
      <x:c r="A2488" s="17" t="str">
        <x:v>stage3src:a717013ba33aec3e2f21</x:v>
      </x:c>
      <x:c r="B2488" s="17" t="str">
        <x:v>program</x:v>
      </x:c>
      <x:c r="C2488" s="17" t="str">
        <x:v>Norfolk State University</x:v>
      </x:c>
      <x:c r="D2488" s="17" t="str">
        <x:v>us:ipeds:232937:program:unclear:ipeds-discovery-signal-computer-and-information-sciences-general-cip-11-0101</x:v>
      </x:c>
      <x:c r="E2488" s="17" t="str"/>
      <x:c r="F2488" s="17" t="str">
        <x:v>discovery</x:v>
      </x:c>
      <x:c r="G2488" s="17" t="str">
        <x:v>Stage 2 recorded this row as a discovery candidate; it does not independently verify an exact current research program, eligibility, or funding.</x:v>
      </x:c>
      <x:c r="H2488" s="17" t="str">
        <x:v>Pass 2 Stage 2 candidate funnel</x:v>
      </x:c>
      <x:c r="I2488" s="17" t="str">
        <x:v>Graduate audit pipeline</x:v>
      </x:c>
      <x:c r="J2488" s="17" t="str">
        <x:v>derived</x:v>
      </x:c>
      <x:c r="K2488" s="17" t="str">
        <x:v>2026-09-11</x:v>
      </x:c>
      <x:c r="L2488" s="17" t="str">
        <x:v>Not cycle-specific</x:v>
      </x:c>
      <x:c r="M2488" s="17" t="str">
        <x:v>low</x:v>
      </x:c>
      <x:c r="N2488" s="17" t="str">
        <x:v>Discovery evidence only</x:v>
      </x:c>
      <x:c r="O2488" s="17" t="str">
        <x:v>Use the source_record_paths field to trace the underlying discovery inputs.</x:v>
      </x:c>
      <x:c r="P2488" s="18" t="e">
        <x:f>HYPERLINK("https://www.nsu.edu","Open source")</x:f>
        <x:v>HYPERLINK is not implemented. linkLocation=https://www.nsu.edu, friendlyName=Open source</x:v>
      </x:c>
    </x:row>
    <x:row r="2489" ht="46" customHeight="1">
      <x:c r="A2489" s="17" t="str">
        <x:v>stage3src:577295b564f457edbfac</x:v>
      </x:c>
      <x:c r="B2489" s="17" t="str">
        <x:v>program</x:v>
      </x:c>
      <x:c r="C2489" s="17" t="str">
        <x:v>Norfolk State University</x:v>
      </x:c>
      <x:c r="D2489" s="17" t="str">
        <x:v>us:ipeds:232937:program:unclear:ipeds-discovery-signal-computer-and-information-systems-security-auditing-information-assurance-cip-11-1003</x:v>
      </x:c>
      <x:c r="E2489" s="17" t="str"/>
      <x:c r="F2489" s="17" t="str">
        <x:v>discovery</x:v>
      </x:c>
      <x:c r="G2489" s="17" t="str">
        <x:v>Stage 2 recorded this row as a discovery candidate; it does not independently verify an exact current research program, eligibility, or funding.</x:v>
      </x:c>
      <x:c r="H2489" s="17" t="str">
        <x:v>Pass 2 Stage 2 candidate funnel</x:v>
      </x:c>
      <x:c r="I2489" s="17" t="str">
        <x:v>Graduate audit pipeline</x:v>
      </x:c>
      <x:c r="J2489" s="17" t="str">
        <x:v>derived</x:v>
      </x:c>
      <x:c r="K2489" s="17" t="str">
        <x:v>2026-09-11</x:v>
      </x:c>
      <x:c r="L2489" s="17" t="str">
        <x:v>Not cycle-specific</x:v>
      </x:c>
      <x:c r="M2489" s="17" t="str">
        <x:v>low</x:v>
      </x:c>
      <x:c r="N2489" s="17" t="str">
        <x:v>Discovery evidence only</x:v>
      </x:c>
      <x:c r="O2489" s="17" t="str">
        <x:v>Use the source_record_paths field to trace the underlying discovery inputs.</x:v>
      </x:c>
      <x:c r="P2489" s="18" t="e">
        <x:f>HYPERLINK("https://www.nsu.edu","Open source")</x:f>
        <x:v>HYPERLINK is not implemented. linkLocation=https://www.nsu.edu, friendlyName=Open source</x:v>
      </x:c>
    </x:row>
    <x:row r="2490" ht="46" customHeight="1">
      <x:c r="A2490" s="17" t="str">
        <x:v>stage3src:27af5a2c41dc25d59541</x:v>
      </x:c>
      <x:c r="B2490" s="17" t="str">
        <x:v>program</x:v>
      </x:c>
      <x:c r="C2490" s="17" t="str">
        <x:v>Norfolk State University</x:v>
      </x:c>
      <x:c r="D2490" s="17" t="str">
        <x:v>us:ipeds:232937:program:unclear:ipeds-discovery-signal-electrical-and-electronics-engineering-cip-14-1001</x:v>
      </x:c>
      <x:c r="E2490" s="17" t="str"/>
      <x:c r="F2490" s="17" t="str">
        <x:v>discovery</x:v>
      </x:c>
      <x:c r="G2490" s="17" t="str">
        <x:v>Stage 2 recorded this row as a discovery candidate; it does not independently verify an exact current research program, eligibility, or funding.</x:v>
      </x:c>
      <x:c r="H2490" s="17" t="str">
        <x:v>Pass 2 Stage 2 candidate funnel</x:v>
      </x:c>
      <x:c r="I2490" s="17" t="str">
        <x:v>Graduate audit pipeline</x:v>
      </x:c>
      <x:c r="J2490" s="17" t="str">
        <x:v>derived</x:v>
      </x:c>
      <x:c r="K2490" s="17" t="str">
        <x:v>2026-09-11</x:v>
      </x:c>
      <x:c r="L2490" s="17" t="str">
        <x:v>Not cycle-specific</x:v>
      </x:c>
      <x:c r="M2490" s="17" t="str">
        <x:v>low</x:v>
      </x:c>
      <x:c r="N2490" s="17" t="str">
        <x:v>Discovery evidence only</x:v>
      </x:c>
      <x:c r="O2490" s="17" t="str">
        <x:v>Use the source_record_paths field to trace the underlying discovery inputs.</x:v>
      </x:c>
      <x:c r="P2490" s="18" t="e">
        <x:f>HYPERLINK("https://www.nsu.edu","Open source")</x:f>
        <x:v>HYPERLINK is not implemented. linkLocation=https://www.nsu.edu, friendlyName=Open source</x:v>
      </x:c>
    </x:row>
    <x:row r="2491" ht="46" customHeight="1">
      <x:c r="A2491" s="17" t="str">
        <x:v>stage3src:55aa0267feee053c6494</x:v>
      </x:c>
      <x:c r="B2491" s="17" t="str">
        <x:v>program</x:v>
      </x:c>
      <x:c r="C2491" s="17" t="str">
        <x:v>Old Dominion University</x:v>
      </x:c>
      <x:c r="D2491" s="17" t="str">
        <x:v>us:ipeds:232982:program:phd:computer-science-ph-d</x:v>
      </x:c>
      <x:c r="E2491" s="17" t="str"/>
      <x:c r="F2491" s="17" t="str">
        <x:v>program|research|funding|tuition</x:v>
      </x:c>
      <x:c r="G2491" s="17" t="str">
        <x:v>Current PhD, guaranteed initial assistantship, first-year stipend reference, 100% tuition waiver, and typical summer GRA range.</x:v>
      </x:c>
      <x:c r="H2491" s="17" t="str">
        <x:v>Computer Science (Ph.D.)</x:v>
      </x:c>
      <x:c r="I2491" s="17" t="str">
        <x:v>Old Dominion University</x:v>
      </x:c>
      <x:c r="J2491" s="17" t="str">
        <x:v>official</x:v>
      </x:c>
      <x:c r="K2491" s="17" t="str">
        <x:v>2026-09-11</x:v>
      </x:c>
      <x:c r="L2491" s="17" t="str">
        <x:v>Current page checked 2026-09-11</x:v>
      </x:c>
      <x:c r="M2491" s="17" t="str">
        <x:v>high</x:v>
      </x:c>
      <x:c r="N2491" s="17" t="str">
        <x:v>official page checked</x:v>
      </x:c>
      <x:c r="O2491" s="17" t="str"/>
      <x:c r="P2491" s="18" t="e">
        <x:f>HYPERLINK("https://www.odu.edu/academics/programs/doctoral/computer-science","Open source")</x:f>
        <x:v>HYPERLINK is not implemented. linkLocation=https://www.odu.edu/academics/programs/doctoral/computer-science, friendlyName=Open source</x:v>
      </x:c>
    </x:row>
    <x:row r="2492" ht="46" customHeight="1">
      <x:c r="A2492" s="17" t="str">
        <x:v>stage3src:64c2b7b8d2c43638d41a</x:v>
      </x:c>
      <x:c r="B2492" s="17" t="str">
        <x:v>program</x:v>
      </x:c>
      <x:c r="C2492" s="17" t="str">
        <x:v>Old Dominion University</x:v>
      </x:c>
      <x:c r="D2492" s="17" t="str">
        <x:v>us:ipeds:232982:program:phd:computer-science-ph-d</x:v>
      </x:c>
      <x:c r="E2492" s="17" t="str"/>
      <x:c r="F2492" s="17" t="str">
        <x:v>funding|tuition|fees</x:v>
      </x:c>
      <x:c r="G2492" s="17" t="str">
        <x:v>Departmental assistantship administration and published full tuition-waiver treatment for PhD appointments.</x:v>
      </x:c>
      <x:c r="H2492" s="17" t="str">
        <x:v>Graduate Assistantships</x:v>
      </x:c>
      <x:c r="I2492" s="17" t="str">
        <x:v>Old Dominion University Department of Computer Science</x:v>
      </x:c>
      <x:c r="J2492" s="17" t="str">
        <x:v>official</x:v>
      </x:c>
      <x:c r="K2492" s="17" t="str">
        <x:v>2026-09-11</x:v>
      </x:c>
      <x:c r="L2492" s="17" t="str">
        <x:v>Current page checked 2026-09-11</x:v>
      </x:c>
      <x:c r="M2492" s="17" t="str">
        <x:v>high</x:v>
      </x:c>
      <x:c r="N2492" s="17" t="str">
        <x:v>official page checked</x:v>
      </x:c>
      <x:c r="O2492" s="17" t="str"/>
      <x:c r="P2492" s="18" t="e">
        <x:f>HYPERLINK("https://www.odu.edu/computer-science/academics/graduate/assistantships","Open source")</x:f>
        <x:v>HYPERLINK is not implemented. linkLocation=https://www.odu.edu/computer-science/academics/graduate/assistantships, friendlyName=Open source</x:v>
      </x:c>
    </x:row>
    <x:row r="2493" ht="46" customHeight="1">
      <x:c r="A2493" s="17" t="str">
        <x:v>stage3src:d8ad9fa155b04d32d8b0</x:v>
      </x:c>
      <x:c r="B2493" s="17" t="str">
        <x:v>program</x:v>
      </x:c>
      <x:c r="C2493" s="17" t="str">
        <x:v>Old Dominion University</x:v>
      </x:c>
      <x:c r="D2493" s="17" t="str">
        <x:v>us:ipeds:232982:program:phd:computer-science-ph-d</x:v>
      </x:c>
      <x:c r="E2493" s="17" t="str"/>
      <x:c r="F2493" s="17" t="str">
        <x:v>admissions|eligibility|language|deadline</x:v>
      </x:c>
      <x:c r="G2493" s="17" t="str">
        <x:v>Bachelor's or master's entry, international deadline, English minima, holistic review, prerequisite review, and faculty-contact expectation.</x:v>
      </x:c>
      <x:c r="H2493" s="17" t="str">
        <x:v>Ph.D. Admissions</x:v>
      </x:c>
      <x:c r="I2493" s="17" t="str">
        <x:v>Old Dominion University Department of Computer Science</x:v>
      </x:c>
      <x:c r="J2493" s="17" t="str">
        <x:v>official</x:v>
      </x:c>
      <x:c r="K2493" s="17" t="str">
        <x:v>2026-09-11</x:v>
      </x:c>
      <x:c r="L2493" s="17" t="str">
        <x:v>Current page checked 2026-09-11</x:v>
      </x:c>
      <x:c r="M2493" s="17" t="str">
        <x:v>high</x:v>
      </x:c>
      <x:c r="N2493" s="17" t="str">
        <x:v>official page checked</x:v>
      </x:c>
      <x:c r="O2493" s="17" t="str"/>
      <x:c r="P2493" s="18" t="e">
        <x:f>HYPERLINK("https://www.odu.edu/computer-science/academics/graduate/phd/admissions","Open source")</x:f>
        <x:v>HYPERLINK is not implemented. linkLocation=https://www.odu.edu/computer-science/academics/graduate/phd/admissions, friendlyName=Open source</x:v>
      </x:c>
    </x:row>
    <x:row r="2494" ht="46" customHeight="1">
      <x:c r="A2494" s="17" t="str">
        <x:v>stage3src:c027494a721e7759fc64</x:v>
      </x:c>
      <x:c r="B2494" s="17" t="str">
        <x:v>program</x:v>
      </x:c>
      <x:c r="C2494" s="17" t="str">
        <x:v>Old Dominion University</x:v>
      </x:c>
      <x:c r="D2494" s="17" t="str">
        <x:v>us:ipeds:232982:program:unclear:ipeds-discovery-signal-computer-and-information-sciences-general-cip-11-0101</x:v>
      </x:c>
      <x:c r="E2494" s="17" t="str"/>
      <x:c r="F2494" s="17" t="str">
        <x:v>discovery</x:v>
      </x:c>
      <x:c r="G2494" s="17" t="str">
        <x:v>Stage 2 recorded this row as a discovery candidate; it does not independently verify an exact current research program, eligibility, or funding.</x:v>
      </x:c>
      <x:c r="H2494" s="17" t="str">
        <x:v>Pass 2 Stage 2 candidate funnel</x:v>
      </x:c>
      <x:c r="I2494" s="17" t="str">
        <x:v>Graduate audit pipeline</x:v>
      </x:c>
      <x:c r="J2494" s="17" t="str">
        <x:v>derived</x:v>
      </x:c>
      <x:c r="K2494" s="17" t="str">
        <x:v>2026-09-11</x:v>
      </x:c>
      <x:c r="L2494" s="17" t="str">
        <x:v>Not cycle-specific</x:v>
      </x:c>
      <x:c r="M2494" s="17" t="str">
        <x:v>low</x:v>
      </x:c>
      <x:c r="N2494" s="17" t="str">
        <x:v>Discovery evidence only</x:v>
      </x:c>
      <x:c r="O2494" s="17" t="str">
        <x:v>Use the source_record_paths field to trace the underlying discovery inputs.</x:v>
      </x:c>
      <x:c r="P2494" s="18" t="e">
        <x:f>HYPERLINK("https://www.odu.edu","Open source")</x:f>
        <x:v>HYPERLINK is not implemented. linkLocation=https://www.odu.edu, friendlyName=Open source</x:v>
      </x:c>
    </x:row>
    <x:row r="2495" ht="46" customHeight="1">
      <x:c r="A2495" s="17" t="str">
        <x:v>stage3src:646c1308fcc3101b33fe</x:v>
      </x:c>
      <x:c r="B2495" s="17" t="str">
        <x:v>program</x:v>
      </x:c>
      <x:c r="C2495" s="17" t="str">
        <x:v>Old Dominion University</x:v>
      </x:c>
      <x:c r="D2495" s="17" t="str">
        <x:v>us:ipeds:232982:program:unclear:ipeds-discovery-signal-computer-and-information-systems-security-auditing-information-assurance-cip-11-1003</x:v>
      </x:c>
      <x:c r="E2495" s="17" t="str"/>
      <x:c r="F2495" s="17" t="str">
        <x:v>discovery</x:v>
      </x:c>
      <x:c r="G2495" s="17" t="str">
        <x:v>Stage 2 recorded this row as a discovery candidate; it does not independently verify an exact current research program, eligibility, or funding.</x:v>
      </x:c>
      <x:c r="H2495" s="17" t="str">
        <x:v>Pass 2 Stage 2 candidate funnel</x:v>
      </x:c>
      <x:c r="I2495" s="17" t="str">
        <x:v>Graduate audit pipeline</x:v>
      </x:c>
      <x:c r="J2495" s="17" t="str">
        <x:v>derived</x:v>
      </x:c>
      <x:c r="K2495" s="17" t="str">
        <x:v>2026-09-11</x:v>
      </x:c>
      <x:c r="L2495" s="17" t="str">
        <x:v>Not cycle-specific</x:v>
      </x:c>
      <x:c r="M2495" s="17" t="str">
        <x:v>low</x:v>
      </x:c>
      <x:c r="N2495" s="17" t="str">
        <x:v>Discovery evidence only</x:v>
      </x:c>
      <x:c r="O2495" s="17" t="str">
        <x:v>Use the source_record_paths field to trace the underlying discovery inputs.</x:v>
      </x:c>
      <x:c r="P2495" s="18" t="e">
        <x:f>HYPERLINK("https://www.odu.edu","Open source")</x:f>
        <x:v>HYPERLINK is not implemented. linkLocation=https://www.odu.edu, friendlyName=Open source</x:v>
      </x:c>
    </x:row>
    <x:row r="2496" ht="46" customHeight="1">
      <x:c r="A2496" s="17" t="str">
        <x:v>stage3src:9de7c30ce4741416f6ba</x:v>
      </x:c>
      <x:c r="B2496" s="17" t="str">
        <x:v>program</x:v>
      </x:c>
      <x:c r="C2496" s="17" t="str">
        <x:v>Old Dominion University</x:v>
      </x:c>
      <x:c r="D2496" s="17" t="str">
        <x:v>us:ipeds:232982:program:unclear:ipeds-discovery-signal-data-science-general-cip-30-7001</x:v>
      </x:c>
      <x:c r="E2496" s="17" t="str"/>
      <x:c r="F2496" s="17" t="str">
        <x:v>discovery</x:v>
      </x:c>
      <x:c r="G2496" s="17" t="str">
        <x:v>Stage 2 recorded this row as a discovery candidate; it does not independently verify an exact current research program, eligibility, or funding.</x:v>
      </x:c>
      <x:c r="H2496" s="17" t="str">
        <x:v>Pass 2 Stage 2 candidate funnel</x:v>
      </x:c>
      <x:c r="I2496" s="17" t="str">
        <x:v>Graduate audit pipeline</x:v>
      </x:c>
      <x:c r="J2496" s="17" t="str">
        <x:v>derived</x:v>
      </x:c>
      <x:c r="K2496" s="17" t="str">
        <x:v>2026-09-11</x:v>
      </x:c>
      <x:c r="L2496" s="17" t="str">
        <x:v>Not cycle-specific</x:v>
      </x:c>
      <x:c r="M2496" s="17" t="str">
        <x:v>low</x:v>
      </x:c>
      <x:c r="N2496" s="17" t="str">
        <x:v>Discovery evidence only</x:v>
      </x:c>
      <x:c r="O2496" s="17" t="str">
        <x:v>Use the source_record_paths field to trace the underlying discovery inputs.</x:v>
      </x:c>
      <x:c r="P2496" s="18" t="e">
        <x:f>HYPERLINK("https://www.odu.edu","Open source")</x:f>
        <x:v>HYPERLINK is not implemented. linkLocation=https://www.odu.edu, friendlyName=Open source</x:v>
      </x:c>
    </x:row>
    <x:row r="2497" ht="46" customHeight="1">
      <x:c r="A2497" s="17" t="str">
        <x:v>stage3src:f973128eeb692e0164a4</x:v>
      </x:c>
      <x:c r="B2497" s="17" t="str">
        <x:v>program</x:v>
      </x:c>
      <x:c r="C2497" s="17" t="str">
        <x:v>Strayer University-Virginia</x:v>
      </x:c>
      <x:c r="D2497" s="17" t="str">
        <x:v>us:ipeds:233684:program:unclear:ipeds-discovery-signal-computer-and-information-systems-security-auditing-information-assurance-cip-11-1003</x:v>
      </x:c>
      <x:c r="E2497" s="17" t="str"/>
      <x:c r="F2497" s="17" t="str">
        <x:v>discovery</x:v>
      </x:c>
      <x:c r="G2497" s="17" t="str">
        <x:v>Stage 2 recorded this row as a discovery candidate; it does not independently verify an exact current research program, eligibility, or funding.</x:v>
      </x:c>
      <x:c r="H2497" s="17" t="str">
        <x:v>Pass 2 Stage 2 candidate funnel</x:v>
      </x:c>
      <x:c r="I2497" s="17" t="str">
        <x:v>Graduate audit pipeline</x:v>
      </x:c>
      <x:c r="J2497" s="17" t="str">
        <x:v>derived</x:v>
      </x:c>
      <x:c r="K2497" s="17" t="str">
        <x:v>2026-09-11</x:v>
      </x:c>
      <x:c r="L2497" s="17" t="str">
        <x:v>Not cycle-specific</x:v>
      </x:c>
      <x:c r="M2497" s="17" t="str">
        <x:v>low</x:v>
      </x:c>
      <x:c r="N2497" s="17" t="str">
        <x:v>Discovery evidence only</x:v>
      </x:c>
      <x:c r="O2497" s="17" t="str">
        <x:v>Use the source_record_paths field to trace the underlying discovery inputs.</x:v>
      </x:c>
      <x:c r="P2497" s="18" t="e">
        <x:f>HYPERLINK("https://www.strayer.edu/campus-locations/virginia/arlington","Open source")</x:f>
        <x:v>HYPERLINK is not implemented. linkLocation=https://www.strayer.edu/campus-locations/virginia/arlington, friendlyName=Open source</x:v>
      </x:c>
    </x:row>
    <x:row r="2498" ht="46" customHeight="1">
      <x:c r="A2498" s="17" t="str">
        <x:v>stage3src:4bfb6b49bce39a1b18e9</x:v>
      </x:c>
      <x:c r="B2498" s="17" t="str">
        <x:v>program</x:v>
      </x:c>
      <x:c r="C2498" s="17" t="str">
        <x:v>Strayer University-Virginia</x:v>
      </x:c>
      <x:c r="D2498" s="17" t="str">
        <x:v>us:ipeds:233684:program:unclear:ipeds-discovery-signal-information-science-studies-cip-11-0401</x:v>
      </x:c>
      <x:c r="E2498" s="17" t="str"/>
      <x:c r="F2498" s="17" t="str">
        <x:v>discovery</x:v>
      </x:c>
      <x:c r="G2498" s="17" t="str">
        <x:v>Stage 2 recorded this row as a discovery candidate; it does not independently verify an exact current research program, eligibility, or funding.</x:v>
      </x:c>
      <x:c r="H2498" s="17" t="str">
        <x:v>Pass 2 Stage 2 candidate funnel</x:v>
      </x:c>
      <x:c r="I2498" s="17" t="str">
        <x:v>Graduate audit pipeline</x:v>
      </x:c>
      <x:c r="J2498" s="17" t="str">
        <x:v>derived</x:v>
      </x:c>
      <x:c r="K2498" s="17" t="str">
        <x:v>2026-09-11</x:v>
      </x:c>
      <x:c r="L2498" s="17" t="str">
        <x:v>Not cycle-specific</x:v>
      </x:c>
      <x:c r="M2498" s="17" t="str">
        <x:v>low</x:v>
      </x:c>
      <x:c r="N2498" s="17" t="str">
        <x:v>Discovery evidence only</x:v>
      </x:c>
      <x:c r="O2498" s="17" t="str">
        <x:v>Use the source_record_paths field to trace the underlying discovery inputs.</x:v>
      </x:c>
      <x:c r="P2498" s="18" t="e">
        <x:f>HYPERLINK("https://www.strayer.edu/campus-locations/virginia/arlington","Open source")</x:f>
        <x:v>HYPERLINK is not implemented. linkLocation=https://www.strayer.edu/campus-locations/virginia/arlington, friendlyName=Open source</x:v>
      </x:c>
    </x:row>
    <x:row r="2499" ht="46" customHeight="1">
      <x:c r="A2499" s="17" t="str">
        <x:v>stage3src:23b2c18339325fe25d7e</x:v>
      </x:c>
      <x:c r="B2499" s="17" t="str">
        <x:v>program</x:v>
      </x:c>
      <x:c r="C2499" s="17" t="str">
        <x:v>Virginia Polytechnic Institute and State University</x:v>
      </x:c>
      <x:c r="D2499" s="17" t="str">
        <x:v>us:ipeds:233921:program:phd:computer-science-phd</x:v>
      </x:c>
      <x:c r="E2499" s="17" t="str"/>
      <x:c r="F2499" s="17" t="str">
        <x:v>fees|admissions</x:v>
      </x:c>
      <x:c r="G2499" s="17" t="str">
        <x:v>$75 application fee</x:v>
      </x:c>
      <x:c r="H2499" s="17" t="str">
        <x:v>Application Fees</x:v>
      </x:c>
      <x:c r="I2499" s="17" t="str">
        <x:v>Virginia Polytechnic Institute and State University</x:v>
      </x:c>
      <x:c r="J2499" s="17" t="str">
        <x:v>Official</x:v>
      </x:c>
      <x:c r="K2499" s="17" t="str">
        <x:v>2026-09-09</x:v>
      </x:c>
      <x:c r="L2499" s="17" t="str">
        <x:v>Current</x:v>
      </x:c>
      <x:c r="M2499" s="17" t="str">
        <x:v>High</x:v>
      </x:c>
      <x:c r="N2499" s="17" t="str">
        <x:v>Verified</x:v>
      </x:c>
      <x:c r="O2499" s="17" t="str"/>
      <x:c r="P2499" s="18" t="e">
        <x:f>HYPERLINK("https://graduateschool.vt.edu/admissions/tuition-and-costs/Application_Fees.html","Open source")</x:f>
        <x:v>HYPERLINK is not implemented. linkLocation=https://graduateschool.vt.edu/admissions/tuition-and-costs/Application_Fees.html, friendlyName=Open source</x:v>
      </x:c>
    </x:row>
    <x:row r="2500" ht="46" customHeight="1">
      <x:c r="A2500" s="17" t="str">
        <x:v>stage3src:effc2464434d47c91ee3</x:v>
      </x:c>
      <x:c r="B2500" s="17" t="str">
        <x:v>program</x:v>
      </x:c>
      <x:c r="C2500" s="17" t="str">
        <x:v>Virginia Polytechnic Institute and State University</x:v>
      </x:c>
      <x:c r="D2500" s="17" t="str">
        <x:v>us:ipeds:233921:program:phd:computer-science-phd</x:v>
      </x:c>
      <x:c r="E2500" s="17" t="str"/>
      <x:c r="F2500" s="17" t="str">
        <x:v>funding|program</x:v>
      </x:c>
      <x:c r="G2500" s="17" t="str">
        <x:v>Five-year offer to 100% of admitted PhDs beginning Fall 2026, excluding summers</x:v>
      </x:c>
      <x:c r="H2500" s="17" t="str">
        <x:v>Graduate Funding</x:v>
      </x:c>
      <x:c r="I2500" s="17" t="str">
        <x:v>Virginia Polytechnic Institute and State University</x:v>
      </x:c>
      <x:c r="J2500" s="17" t="str">
        <x:v>Official</x:v>
      </x:c>
      <x:c r="K2500" s="17" t="str">
        <x:v>2026-09-09</x:v>
      </x:c>
      <x:c r="L2500" s="17" t="str">
        <x:v>Current</x:v>
      </x:c>
      <x:c r="M2500" s="17" t="str">
        <x:v>High</x:v>
      </x:c>
      <x:c r="N2500" s="17" t="str">
        <x:v>Verified</x:v>
      </x:c>
      <x:c r="O2500" s="17" t="str"/>
      <x:c r="P2500" s="18" t="e">
        <x:f>HYPERLINK("https://students.cs.vt.edu/Graduate/Funding.html","Open source")</x:f>
        <x:v>HYPERLINK is not implemented. linkLocation=https://students.cs.vt.edu/Graduate/Funding.html, friendlyName=Open source</x:v>
      </x:c>
    </x:row>
    <x:row r="2501" ht="46" customHeight="1">
      <x:c r="A2501" s="17" t="str">
        <x:v>stage3src:f1f6c042888a82aef354</x:v>
      </x:c>
      <x:c r="B2501" s="17" t="str">
        <x:v>program</x:v>
      </x:c>
      <x:c r="C2501" s="17" t="str">
        <x:v>Virginia Polytechnic Institute and State University</x:v>
      </x:c>
      <x:c r="D2501" s="17" t="str">
        <x:v>us:ipeds:233921:program:phd:computer-science-phd</x:v>
      </x:c>
      <x:c r="E2501" s="17" t="str"/>
      <x:c r="F2501" s="17" t="str">
        <x:v>language|eligibility|program</x:v>
      </x:c>
      <x:c r="G2501" s="17" t="str">
        <x:v>Active PhD, direct bachelor's route, GPA, English, and dissertation</x:v>
      </x:c>
      <x:c r="H2501" s="17" t="str">
        <x:v>Doctorate</x:v>
      </x:c>
      <x:c r="I2501" s="17" t="str">
        <x:v>Virginia Polytechnic Institute and State University</x:v>
      </x:c>
      <x:c r="J2501" s="17" t="str">
        <x:v>Official</x:v>
      </x:c>
      <x:c r="K2501" s="17" t="str">
        <x:v>2026-09-09</x:v>
      </x:c>
      <x:c r="L2501" s="17" t="str">
        <x:v>Current</x:v>
      </x:c>
      <x:c r="M2501" s="17" t="str">
        <x:v>High</x:v>
      </x:c>
      <x:c r="N2501" s="17" t="str">
        <x:v>Verified</x:v>
      </x:c>
      <x:c r="O2501" s="17" t="str"/>
      <x:c r="P2501" s="18" t="e">
        <x:f>HYPERLINK("https://website.cs.vt.edu/academic/graduate/future-grads/doctorate.html","Open source")</x:f>
        <x:v>HYPERLINK is not implemented. linkLocation=https://website.cs.vt.edu/academic/graduate/future-grads/doctorate.html, friendlyName=Open source</x:v>
      </x:c>
    </x:row>
    <x:row r="2502" ht="46" customHeight="1">
      <x:c r="A2502" s="17" t="str">
        <x:v>stage3src:f68886ff2befe77e0cc1</x:v>
      </x:c>
      <x:c r="B2502" s="17" t="str">
        <x:v>program</x:v>
      </x:c>
      <x:c r="C2502" s="17" t="str">
        <x:v>Virginia Polytechnic Institute and State University</x:v>
      </x:c>
      <x:c r="D2502" s="17" t="str">
        <x:v>us:ipeds:233921:program:phd:computer-science-phd</x:v>
      </x:c>
      <x:c r="E2502" s="17" t="str"/>
      <x:c r="F2502" s="17" t="str">
        <x:v>deadline</x:v>
      </x:c>
      <x:c r="G2502" s="17" t="str">
        <x:v>Fall 2027 December 1 deadline</x:v>
      </x:c>
      <x:c r="H2502" s="17" t="str">
        <x:v>Application Deadlines</x:v>
      </x:c>
      <x:c r="I2502" s="17" t="str">
        <x:v>Virginia Polytechnic Institute and State University</x:v>
      </x:c>
      <x:c r="J2502" s="17" t="str">
        <x:v>Official</x:v>
      </x:c>
      <x:c r="K2502" s="17" t="str">
        <x:v>2026-09-09</x:v>
      </x:c>
      <x:c r="L2502" s="17" t="str">
        <x:v>Fall 2027</x:v>
      </x:c>
      <x:c r="M2502" s="17" t="str">
        <x:v>High</x:v>
      </x:c>
      <x:c r="N2502" s="17" t="str">
        <x:v>Verified</x:v>
      </x:c>
      <x:c r="O2502" s="17" t="str"/>
      <x:c r="P2502" s="18" t="e">
        <x:f>HYPERLINK("https://website.cs.vt.edu/academic/graduate/future-grads/ApplicationDeadlines.html","Open source")</x:f>
        <x:v>HYPERLINK is not implemented. linkLocation=https://website.cs.vt.edu/academic/graduate/future-grads/ApplicationDeadlines.html, friendlyName=Open source</x:v>
      </x:c>
    </x:row>
    <x:row r="2503" ht="46" customHeight="1">
      <x:c r="A2503" s="17" t="str">
        <x:v>stage3src:d257412c45a7f20628c9</x:v>
      </x:c>
      <x:c r="B2503" s="17" t="str">
        <x:v>program</x:v>
      </x:c>
      <x:c r="C2503" s="17" t="str">
        <x:v>Virginia Polytechnic Institute and State University</x:v>
      </x:c>
      <x:c r="D2503" s="17" t="str">
        <x:v>us:ipeds:233921:program:phd:ph-d-in-computer-science-and-applications</x:v>
      </x:c>
      <x:c r="E2503" s="17" t="str"/>
      <x:c r="F2503" s="17" t="str">
        <x:v>funding|program</x:v>
      </x:c>
      <x:c r="G2503" s="17" t="str">
        <x:v>Official graduate-program page lists an active research Ph.D. and research-track funding opportunities.</x:v>
      </x:c>
      <x:c r="H2503" s="17" t="str">
        <x:v>Ph.D. in Computer Science and Applications</x:v>
      </x:c>
      <x:c r="I2503" s="17" t="str">
        <x:v>Virginia Polytechnic Institute and State University</x:v>
      </x:c>
      <x:c r="J2503" s="17" t="str">
        <x:v>official</x:v>
      </x:c>
      <x:c r="K2503" s="17" t="str">
        <x:v>2026-09-09</x:v>
      </x:c>
      <x:c r="L2503" s="17" t="str">
        <x:v>Current page; Fall 2027 cycle not verified</x:v>
      </x:c>
      <x:c r="M2503" s="17" t="str">
        <x:v>high for page content; medium for future availability</x:v>
      </x:c>
      <x:c r="N2503" s="17" t="str">
        <x:v>opened official page</x:v>
      </x:c>
      <x:c r="O2503" s="17" t="str">
        <x:v>No inference about faculty recruiting or funding was made.</x:v>
      </x:c>
      <x:c r="P2503" s="18" t="e">
        <x:f>HYPERLINK("https://website.cs.vt.edu/academic/graduate/future-grads.html","Open source")</x:f>
        <x:v>HYPERLINK is not implemented. linkLocation=https://website.cs.vt.edu/academic/graduate/future-grads.html, friendlyName=Open source</x:v>
      </x:c>
    </x:row>
    <x:row r="2504" ht="46" customHeight="1">
      <x:c r="A2504" s="17" t="str">
        <x:v>stage3src:8f5cdd5b095878c4d93f</x:v>
      </x:c>
      <x:c r="B2504" s="17" t="str">
        <x:v>program</x:v>
      </x:c>
      <x:c r="C2504" s="17" t="str">
        <x:v>Virginia Polytechnic Institute and State University</x:v>
      </x:c>
      <x:c r="D2504" s="17" t="str">
        <x:v>us:ipeds:233921:program:unclear:ipeds-discovery-signal-computer-and-information-sciences-general-cip-11-0101</x:v>
      </x:c>
      <x:c r="E2504" s="17" t="str"/>
      <x:c r="F2504" s="17" t="str">
        <x:v>discovery</x:v>
      </x:c>
      <x:c r="G2504" s="17" t="str">
        <x:v>Stage 2 recorded this row as a discovery candidate; it does not independently verify an exact current research program, eligibility, or funding.</x:v>
      </x:c>
      <x:c r="H2504" s="17" t="str">
        <x:v>Pass 2 Stage 2 candidate funnel</x:v>
      </x:c>
      <x:c r="I2504" s="17" t="str">
        <x:v>Graduate audit pipeline</x:v>
      </x:c>
      <x:c r="J2504" s="17" t="str">
        <x:v>derived</x:v>
      </x:c>
      <x:c r="K2504" s="17" t="str">
        <x:v>2026-09-11</x:v>
      </x:c>
      <x:c r="L2504" s="17" t="str">
        <x:v>Not cycle-specific</x:v>
      </x:c>
      <x:c r="M2504" s="17" t="str">
        <x:v>low</x:v>
      </x:c>
      <x:c r="N2504" s="17" t="str">
        <x:v>Discovery evidence only</x:v>
      </x:c>
      <x:c r="O2504" s="17" t="str">
        <x:v>Use the source_record_paths field to trace the underlying discovery inputs.</x:v>
      </x:c>
      <x:c r="P2504" s="18" t="e">
        <x:f>HYPERLINK("https://www.vt.edu","Open source")</x:f>
        <x:v>HYPERLINK is not implemented. linkLocation=https://www.vt.edu, friendlyName=Open source</x:v>
      </x:c>
    </x:row>
    <x:row r="2505" ht="46" customHeight="1">
      <x:c r="A2505" s="17" t="str">
        <x:v>stage3src:351e89ca005b2ec130a1</x:v>
      </x:c>
      <x:c r="B2505" s="17" t="str">
        <x:v>program</x:v>
      </x:c>
      <x:c r="C2505" s="17" t="str">
        <x:v>Virginia Polytechnic Institute and State University</x:v>
      </x:c>
      <x:c r="D2505" s="17" t="str">
        <x:v>us:ipeds:233921:program:unclear:ipeds-discovery-signal-computer-engineering-general-cip-14-0901</x:v>
      </x:c>
      <x:c r="E2505" s="17" t="str"/>
      <x:c r="F2505" s="17" t="str">
        <x:v>discovery</x:v>
      </x:c>
      <x:c r="G2505" s="17" t="str">
        <x:v>Stage 2 recorded this row as a discovery candidate; it does not independently verify an exact current research program, eligibility, or funding.</x:v>
      </x:c>
      <x:c r="H2505" s="17" t="str">
        <x:v>Pass 2 Stage 2 candidate funnel</x:v>
      </x:c>
      <x:c r="I2505" s="17" t="str">
        <x:v>Graduate audit pipeline</x:v>
      </x:c>
      <x:c r="J2505" s="17" t="str">
        <x:v>derived</x:v>
      </x:c>
      <x:c r="K2505" s="17" t="str">
        <x:v>2026-09-11</x:v>
      </x:c>
      <x:c r="L2505" s="17" t="str">
        <x:v>Not cycle-specific</x:v>
      </x:c>
      <x:c r="M2505" s="17" t="str">
        <x:v>low</x:v>
      </x:c>
      <x:c r="N2505" s="17" t="str">
        <x:v>Discovery evidence only</x:v>
      </x:c>
      <x:c r="O2505" s="17" t="str">
        <x:v>Use the source_record_paths field to trace the underlying discovery inputs.</x:v>
      </x:c>
      <x:c r="P2505" s="18" t="e">
        <x:f>HYPERLINK("https://www.vt.edu","Open source")</x:f>
        <x:v>HYPERLINK is not implemented. linkLocation=https://www.vt.edu, friendlyName=Open source</x:v>
      </x:c>
    </x:row>
    <x:row r="2506" ht="46" customHeight="1">
      <x:c r="A2506" s="17" t="str">
        <x:v>stage3src:9708eb34c370f5e990ed</x:v>
      </x:c>
      <x:c r="B2506" s="17" t="str">
        <x:v>program</x:v>
      </x:c>
      <x:c r="C2506" s="17" t="str">
        <x:v>Virginia Polytechnic Institute and State University</x:v>
      </x:c>
      <x:c r="D2506" s="17" t="str">
        <x:v>us:ipeds:233921:program:unclear:ipeds-discovery-signal-electrical-and-electronics-engineering-cip-14-1001</x:v>
      </x:c>
      <x:c r="E2506" s="17" t="str"/>
      <x:c r="F2506" s="17" t="str">
        <x:v>discovery</x:v>
      </x:c>
      <x:c r="G2506" s="17" t="str">
        <x:v>Stage 2 recorded this row as a discovery candidate; it does not independently verify an exact current research program, eligibility, or funding.</x:v>
      </x:c>
      <x:c r="H2506" s="17" t="str">
        <x:v>Pass 2 Stage 2 candidate funnel</x:v>
      </x:c>
      <x:c r="I2506" s="17" t="str">
        <x:v>Graduate audit pipeline</x:v>
      </x:c>
      <x:c r="J2506" s="17" t="str">
        <x:v>derived</x:v>
      </x:c>
      <x:c r="K2506" s="17" t="str">
        <x:v>2026-09-11</x:v>
      </x:c>
      <x:c r="L2506" s="17" t="str">
        <x:v>Not cycle-specific</x:v>
      </x:c>
      <x:c r="M2506" s="17" t="str">
        <x:v>low</x:v>
      </x:c>
      <x:c r="N2506" s="17" t="str">
        <x:v>Discovery evidence only</x:v>
      </x:c>
      <x:c r="O2506" s="17" t="str">
        <x:v>Use the source_record_paths field to trace the underlying discovery inputs.</x:v>
      </x:c>
      <x:c r="P2506" s="18" t="e">
        <x:f>HYPERLINK("https://www.vt.edu","Open source")</x:f>
        <x:v>HYPERLINK is not implemented. linkLocation=https://www.vt.edu, friendlyName=Open source</x:v>
      </x:c>
    </x:row>
    <x:row r="2507" ht="46" customHeight="1">
      <x:c r="A2507" s="17" t="str">
        <x:v>stage3src:410b8718f5fa8dc5019c</x:v>
      </x:c>
      <x:c r="B2507" s="17" t="str">
        <x:v>program</x:v>
      </x:c>
      <x:c r="C2507" s="17" t="str">
        <x:v>Virginia Commonwealth University</x:v>
      </x:c>
      <x:c r="D2507" s="17" t="str">
        <x:v>us:ipeds:234030:program:phd:doctor-of-philosophy-in-computer-science</x:v>
      </x:c>
      <x:c r="E2507" s="17" t="str"/>
      <x:c r="F2507" s="17" t="str">
        <x:v>funding|tuition|fees|health</x:v>
      </x:c>
      <x:c r="G2507" s="17" t="str">
        <x:v>Competitive assistantship structure, tuition and mandatory-fee coverage, stipend, eligibility conditions, and excluded health-insurance premium.</x:v>
      </x:c>
      <x:c r="H2507" s="17" t="str">
        <x:v>Graduate Assistantships</x:v>
      </x:c>
      <x:c r="I2507" s="17" t="str">
        <x:v>Virginia Commonwealth University College of Engineering</x:v>
      </x:c>
      <x:c r="J2507" s="17" t="str">
        <x:v>official</x:v>
      </x:c>
      <x:c r="K2507" s="17" t="str">
        <x:v>2026-09-10</x:v>
      </x:c>
      <x:c r="L2507" s="17" t="str">
        <x:v>Current policy checked 2026-09-10</x:v>
      </x:c>
      <x:c r="M2507" s="17" t="str">
        <x:v>high</x:v>
      </x:c>
      <x:c r="N2507" s="17" t="str">
        <x:v>official page checked</x:v>
      </x:c>
      <x:c r="O2507" s="17" t="str"/>
      <x:c r="P2507" s="18" t="e">
        <x:f>HYPERLINK("https://egr.vcu.edu/current-students/student-services/graduate/assistantships/","Open source")</x:f>
        <x:v>HYPERLINK is not implemented. linkLocation=https://egr.vcu.edu/current-students/student-services/graduate/assistantships/, friendlyName=Open source</x:v>
      </x:c>
    </x:row>
    <x:row r="2508" ht="46" customHeight="1">
      <x:c r="A2508" s="17" t="str">
        <x:v>stage3src:67ae0b7415dade17f267</x:v>
      </x:c>
      <x:c r="B2508" s="17" t="str">
        <x:v>program</x:v>
      </x:c>
      <x:c r="C2508" s="17" t="str">
        <x:v>Virginia Commonwealth University</x:v>
      </x:c>
      <x:c r="D2508" s="17" t="str">
        <x:v>us:ipeds:234030:program:phd:doctor-of-philosophy-in-computer-science</x:v>
      </x:c>
      <x:c r="E2508" s="17" t="str"/>
      <x:c r="F2508" s="17" t="str">
        <x:v>admissions|fees</x:v>
      </x:c>
      <x:c r="G2508" s="17" t="str">
        <x:v>Nonrefundable USD 70 fee for each graduate program application.</x:v>
      </x:c>
      <x:c r="H2508" s="17" t="str">
        <x:v>Graduate Studies at VCU</x:v>
      </x:c>
      <x:c r="I2508" s="17" t="str">
        <x:v>Virginia Commonwealth University Graduate School</x:v>
      </x:c>
      <x:c r="J2508" s="17" t="str">
        <x:v>official</x:v>
      </x:c>
      <x:c r="K2508" s="17" t="str">
        <x:v>2026-09-10</x:v>
      </x:c>
      <x:c r="L2508" s="17" t="str">
        <x:v>Current fee guidance checked 2026-09-10</x:v>
      </x:c>
      <x:c r="M2508" s="17" t="str">
        <x:v>high</x:v>
      </x:c>
      <x:c r="N2508" s="17" t="str">
        <x:v>official page checked</x:v>
      </x:c>
      <x:c r="O2508" s="17" t="str"/>
      <x:c r="P2508" s="18" t="e">
        <x:f>HYPERLINK("https://graduate.vcu.edu/prospective-students/uncovering-graduate-studies-at-vcu/graduate-studies-at-vcu/","Open source")</x:f>
        <x:v>HYPERLINK is not implemented. linkLocation=https://graduate.vcu.edu/prospective-students/uncovering-graduate-studies-at-vcu/graduate-studies-at-vcu/, friendlyName=Open source</x:v>
      </x:c>
    </x:row>
    <x:row r="2509" ht="46" customHeight="1">
      <x:c r="A2509" s="17" t="str">
        <x:v>stage3src:7fe3718919950a1d12c1</x:v>
      </x:c>
      <x:c r="B2509" s="17" t="str">
        <x:v>program</x:v>
      </x:c>
      <x:c r="C2509" s="17" t="str">
        <x:v>Virginia Commonwealth University</x:v>
      </x:c>
      <x:c r="D2509" s="17" t="str">
        <x:v>us:ipeds:234030:program:phd:doctor-of-philosophy-in-computer-science</x:v>
      </x:c>
      <x:c r="E2509" s="17" t="str"/>
      <x:c r="F2509" s="17" t="str">
        <x:v>admissions|eligibility|language|deadline|funding</x:v>
      </x:c>
      <x:c r="G2509" s="17" t="str">
        <x:v>International TOEFL/IELTS thresholds, recurring preferred dates, automatic doctoral funding consideration, advisor expectation, and admitted-doctoral funding model.</x:v>
      </x:c>
      <x:c r="H2509" s="17" t="str">
        <x:v>International Engineering Admissions</x:v>
      </x:c>
      <x:c r="I2509" s="17" t="str">
        <x:v>Virginia Commonwealth University College of Engineering</x:v>
      </x:c>
      <x:c r="J2509" s="17" t="str">
        <x:v>official</x:v>
      </x:c>
      <x:c r="K2509" s="17" t="str">
        <x:v>2026-09-10</x:v>
      </x:c>
      <x:c r="L2509" s="17" t="str">
        <x:v>Current recurring guidance checked 2026-09-10</x:v>
      </x:c>
      <x:c r="M2509" s="17" t="str">
        <x:v>high</x:v>
      </x:c>
      <x:c r="N2509" s="17" t="str">
        <x:v>official page checked</x:v>
      </x:c>
      <x:c r="O2509" s="17" t="str"/>
      <x:c r="P2509" s="18" t="e">
        <x:f>HYPERLINK("https://egr.vcu.edu/future-students/international/","Open source")</x:f>
        <x:v>HYPERLINK is not implemented. linkLocation=https://egr.vcu.edu/future-students/international/, friendlyName=Open source</x:v>
      </x:c>
    </x:row>
    <x:row r="2510" ht="46" customHeight="1">
      <x:c r="A2510" s="17" t="str">
        <x:v>stage3src:f07f273c3a670bcfc01d</x:v>
      </x:c>
      <x:c r="B2510" s="17" t="str">
        <x:v>program</x:v>
      </x:c>
      <x:c r="C2510" s="17" t="str">
        <x:v>Virginia Commonwealth University</x:v>
      </x:c>
      <x:c r="D2510" s="17" t="str">
        <x:v>us:ipeds:234030:program:phd:doctor-of-philosophy-in-computer-science</x:v>
      </x:c>
      <x:c r="E2510" s="17" t="str"/>
      <x:c r="F2510" s="17" t="str">
        <x:v>program|research|admissions|eligibility</x:v>
      </x:c>
      <x:c r="G2510" s="17" t="str">
        <x:v>Current Computer Science PhD, post-baccalaureate structure, research curriculum, and international application boundary.</x:v>
      </x:c>
      <x:c r="H2510" s="17" t="str">
        <x:v>Computer Science, Doctor of Philosophy</x:v>
      </x:c>
      <x:c r="I2510" s="17" t="str">
        <x:v>Virginia Commonwealth University</x:v>
      </x:c>
      <x:c r="J2510" s="17" t="str">
        <x:v>official</x:v>
      </x:c>
      <x:c r="K2510" s="17" t="str">
        <x:v>2026-09-10</x:v>
      </x:c>
      <x:c r="L2510" s="17" t="str">
        <x:v>Current bulletin checked 2026-09-10</x:v>
      </x:c>
      <x:c r="M2510" s="17" t="str">
        <x:v>high</x:v>
      </x:c>
      <x:c r="N2510" s="17" t="str">
        <x:v>official page checked</x:v>
      </x:c>
      <x:c r="O2510" s="17" t="str"/>
      <x:c r="P2510" s="18" t="e">
        <x:f>HYPERLINK("https://bulletin.vcu.edu/graduate/school-engineering/computer-science/computer-science-phd/","Open source")</x:f>
        <x:v>HYPERLINK is not implemented. linkLocation=https://bulletin.vcu.edu/graduate/school-engineering/computer-science/computer-science-phd/, friendlyName=Open source</x:v>
      </x:c>
    </x:row>
    <x:row r="2511" ht="46" customHeight="1">
      <x:c r="A2511" s="17" t="str">
        <x:v>stage3src:941e03377f74c21bb0e4</x:v>
      </x:c>
      <x:c r="B2511" s="17" t="str">
        <x:v>program</x:v>
      </x:c>
      <x:c r="C2511" s="17" t="str">
        <x:v>Virginia Commonwealth University</x:v>
      </x:c>
      <x:c r="D2511" s="17" t="str">
        <x:v>us:ipeds:234030:program:unclear:ipeds-discovery-signal-computer-and-information-sciences-general-cip-11-0101</x:v>
      </x:c>
      <x:c r="E2511" s="17" t="str"/>
      <x:c r="F2511" s="17" t="str">
        <x:v>discovery</x:v>
      </x:c>
      <x:c r="G2511" s="17" t="str">
        <x:v>Stage 2 recorded this row as a discovery candidate; it does not independently verify an exact current research program, eligibility, or funding.</x:v>
      </x:c>
      <x:c r="H2511" s="17" t="str">
        <x:v>Pass 2 Stage 2 candidate funnel</x:v>
      </x:c>
      <x:c r="I2511" s="17" t="str">
        <x:v>Graduate audit pipeline</x:v>
      </x:c>
      <x:c r="J2511" s="17" t="str">
        <x:v>derived</x:v>
      </x:c>
      <x:c r="K2511" s="17" t="str">
        <x:v>2026-09-11</x:v>
      </x:c>
      <x:c r="L2511" s="17" t="str">
        <x:v>Not cycle-specific</x:v>
      </x:c>
      <x:c r="M2511" s="17" t="str">
        <x:v>low</x:v>
      </x:c>
      <x:c r="N2511" s="17" t="str">
        <x:v>Discovery evidence only</x:v>
      </x:c>
      <x:c r="O2511" s="17" t="str">
        <x:v>Use the source_record_paths field to trace the underlying discovery inputs.</x:v>
      </x:c>
      <x:c r="P2511" s="18" t="e">
        <x:f>HYPERLINK("https://www.vcu.edu","Open source")</x:f>
        <x:v>HYPERLINK is not implemented. linkLocation=https://www.vcu.edu, friendlyName=Open source</x:v>
      </x:c>
    </x:row>
    <x:row r="2512" ht="46" customHeight="1">
      <x:c r="A2512" s="17" t="str">
        <x:v>stage3src:d4dec72e5e06dc857ebb</x:v>
      </x:c>
      <x:c r="B2512" s="17" t="str">
        <x:v>program</x:v>
      </x:c>
      <x:c r="C2512" s="17" t="str">
        <x:v>Virginia Commonwealth University</x:v>
      </x:c>
      <x:c r="D2512" s="17" t="str">
        <x:v>us:ipeds:234030:program:unclear:ipeds-discovery-signal-data-analytics-general-cip-30-7101</x:v>
      </x:c>
      <x:c r="E2512" s="17" t="str"/>
      <x:c r="F2512" s="17" t="str">
        <x:v>discovery</x:v>
      </x:c>
      <x:c r="G2512" s="17" t="str">
        <x:v>Stage 2 recorded this row as a discovery candidate; it does not independently verify an exact current research program, eligibility, or funding.</x:v>
      </x:c>
      <x:c r="H2512" s="17" t="str">
        <x:v>Pass 2 Stage 2 candidate funnel</x:v>
      </x:c>
      <x:c r="I2512" s="17" t="str">
        <x:v>Graduate audit pipeline</x:v>
      </x:c>
      <x:c r="J2512" s="17" t="str">
        <x:v>derived</x:v>
      </x:c>
      <x:c r="K2512" s="17" t="str">
        <x:v>2026-09-11</x:v>
      </x:c>
      <x:c r="L2512" s="17" t="str">
        <x:v>Not cycle-specific</x:v>
      </x:c>
      <x:c r="M2512" s="17" t="str">
        <x:v>low</x:v>
      </x:c>
      <x:c r="N2512" s="17" t="str">
        <x:v>Discovery evidence only</x:v>
      </x:c>
      <x:c r="O2512" s="17" t="str">
        <x:v>Use the source_record_paths field to trace the underlying discovery inputs.</x:v>
      </x:c>
      <x:c r="P2512" s="18" t="e">
        <x:f>HYPERLINK("https://www.vcu.edu","Open source")</x:f>
        <x:v>HYPERLINK is not implemented. linkLocation=https://www.vcu.edu, friendlyName=Open source</x:v>
      </x:c>
    </x:row>
    <x:row r="2513" ht="46" customHeight="1">
      <x:c r="A2513" s="17" t="str">
        <x:v>stage3src:de1934aec1acf4b00b5d</x:v>
      </x:c>
      <x:c r="B2513" s="17" t="str">
        <x:v>program</x:v>
      </x:c>
      <x:c r="C2513" s="17" t="str">
        <x:v>Virginia Commonwealth University</x:v>
      </x:c>
      <x:c r="D2513" s="17" t="str">
        <x:v>us:ipeds:234030:program:unclear:ipeds-discovery-signal-information-science-studies-cip-11-0401</x:v>
      </x:c>
      <x:c r="E2513" s="17" t="str"/>
      <x:c r="F2513" s="17" t="str">
        <x:v>discovery</x:v>
      </x:c>
      <x:c r="G2513" s="17" t="str">
        <x:v>Stage 2 recorded this row as a discovery candidate; it does not independently verify an exact current research program, eligibility, or funding.</x:v>
      </x:c>
      <x:c r="H2513" s="17" t="str">
        <x:v>Pass 2 Stage 2 candidate funnel</x:v>
      </x:c>
      <x:c r="I2513" s="17" t="str">
        <x:v>Graduate audit pipeline</x:v>
      </x:c>
      <x:c r="J2513" s="17" t="str">
        <x:v>derived</x:v>
      </x:c>
      <x:c r="K2513" s="17" t="str">
        <x:v>2026-09-11</x:v>
      </x:c>
      <x:c r="L2513" s="17" t="str">
        <x:v>Not cycle-specific</x:v>
      </x:c>
      <x:c r="M2513" s="17" t="str">
        <x:v>low</x:v>
      </x:c>
      <x:c r="N2513" s="17" t="str">
        <x:v>Discovery evidence only</x:v>
      </x:c>
      <x:c r="O2513" s="17" t="str">
        <x:v>Use the source_record_paths field to trace the underlying discovery inputs.</x:v>
      </x:c>
      <x:c r="P2513" s="18" t="e">
        <x:f>HYPERLINK("https://www.vcu.edu","Open source")</x:f>
        <x:v>HYPERLINK is not implemented. linkLocation=https://www.vcu.edu, friendlyName=Open source</x:v>
      </x:c>
    </x:row>
    <x:row r="2514" ht="46" customHeight="1">
      <x:c r="A2514" s="17" t="str">
        <x:v>stage3src:025e73fb61fc6ad47937</x:v>
      </x:c>
      <x:c r="B2514" s="17" t="str">
        <x:v>program</x:v>
      </x:c>
      <x:c r="C2514" s="17" t="str">
        <x:v>University of Virginia-Main Campus</x:v>
      </x:c>
      <x:c r="D2514" s="17" t="str">
        <x:v>us:ipeds:234076:program:phd:computer-science-phd</x:v>
      </x:c>
      <x:c r="E2514" s="17" t="str"/>
      <x:c r="F2514" s="17" t="str">
        <x:v>program|admissions|eligibility|language|deadline|funding|fees</x:v>
      </x:c>
      <x:c r="G2514" s="17" t="str">
        <x:v>Fall 2027 PhD route, background requirements, December 15 deadline, testing rule, and usual first-year funding package.</x:v>
      </x:c>
      <x:c r="H2514" s="17" t="str">
        <x:v>Ph.D. in Computer Science</x:v>
      </x:c>
      <x:c r="I2514" s="17" t="str">
        <x:v>University of Virginia School of Engineering and Applied Science</x:v>
      </x:c>
      <x:c r="J2514" s="17" t="str">
        <x:v>official</x:v>
      </x:c>
      <x:c r="K2514" s="17" t="str">
        <x:v>2026-09-10</x:v>
      </x:c>
      <x:c r="L2514" s="17" t="str">
        <x:v>Fall 2027</x:v>
      </x:c>
      <x:c r="M2514" s="17" t="str">
        <x:v>high</x:v>
      </x:c>
      <x:c r="N2514" s="17" t="str">
        <x:v>Official indexed page content checked; automated direct retrieval returned HTTP 403</x:v>
      </x:c>
      <x:c r="O2514" s="17" t="str">
        <x:v>Recheck interactively before Stage 4 reliance.</x:v>
      </x:c>
      <x:c r="P2514" s="18" t="e">
        <x:f>HYPERLINK("https://engineering.virginia.edu/department/computer-science/academics/graduate-programs/phd-computer-science","Open source")</x:f>
        <x:v>HYPERLINK is not implemented. linkLocation=https://engineering.virginia.edu/department/computer-science/academics/graduate-programs/phd-computer-science, friendlyName=Open source</x:v>
      </x:c>
    </x:row>
    <x:row r="2515" ht="46" customHeight="1">
      <x:c r="A2515" s="17" t="str">
        <x:v>stage3src:7d041d6901d31342bf18</x:v>
      </x:c>
      <x:c r="B2515" s="17" t="str">
        <x:v>program</x:v>
      </x:c>
      <x:c r="C2515" s="17" t="str">
        <x:v>University of Virginia-Main Campus</x:v>
      </x:c>
      <x:c r="D2515" s="17" t="str">
        <x:v>us:ipeds:234076:program:phd:computer-science-phd</x:v>
      </x:c>
      <x:c r="E2515" s="17" t="str"/>
      <x:c r="F2515" s="17" t="str">
        <x:v>admissions|fees|language</x:v>
      </x:c>
      <x:c r="G2515" s="17" t="str">
        <x:v>No application fee for 2027 Engineering graduate programs and current standardized-test guidance.</x:v>
      </x:c>
      <x:c r="H2515" s="17" t="str">
        <x:v>Graduate Admissions Frequently Asked Questions</x:v>
      </x:c>
      <x:c r="I2515" s="17" t="str">
        <x:v>University of Virginia School of Engineering and Applied Science</x:v>
      </x:c>
      <x:c r="J2515" s="17" t="str">
        <x:v>official</x:v>
      </x:c>
      <x:c r="K2515" s="17" t="str">
        <x:v>2026-09-10</x:v>
      </x:c>
      <x:c r="L2515" s="17" t="str">
        <x:v>2027 admission</x:v>
      </x:c>
      <x:c r="M2515" s="17" t="str">
        <x:v>high</x:v>
      </x:c>
      <x:c r="N2515" s="17" t="str">
        <x:v>Official indexed page content checked</x:v>
      </x:c>
      <x:c r="O2515" s="17" t="str"/>
      <x:c r="P2515" s="18" t="e">
        <x:f>HYPERLINK("https://engineering.virginia.edu/graduate-study/future-grad-students/graduate-admission/graduate-admissions-frequently-asked-questions","Open source")</x:f>
        <x:v>HYPERLINK is not implemented. linkLocation=https://engineering.virginia.edu/graduate-study/future-grad-students/graduate-admission/graduate-admissions-frequently-asked-questions, friendlyName=Open source</x:v>
      </x:c>
    </x:row>
    <x:row r="2516" ht="46" customHeight="1">
      <x:c r="A2516" s="17" t="str">
        <x:v>stage3src:6df9c95c36b9119c2c91</x:v>
      </x:c>
      <x:c r="B2516" s="17" t="str">
        <x:v>program</x:v>
      </x:c>
      <x:c r="C2516" s="17" t="str">
        <x:v>University of Virginia-Main Campus</x:v>
      </x:c>
      <x:c r="D2516" s="17" t="str">
        <x:v>us:ipeds:234076:program:unclear:ipeds-discovery-signal-computer-and-information-sciences-general-cip-11-0101</x:v>
      </x:c>
      <x:c r="E2516" s="17" t="str"/>
      <x:c r="F2516" s="17" t="str">
        <x:v>discovery</x:v>
      </x:c>
      <x:c r="G2516" s="17" t="str">
        <x:v>Stage 2 recorded this row as a discovery candidate; it does not independently verify an exact current research program, eligibility, or funding.</x:v>
      </x:c>
      <x:c r="H2516" s="17" t="str">
        <x:v>Pass 2 Stage 2 candidate funnel</x:v>
      </x:c>
      <x:c r="I2516" s="17" t="str">
        <x:v>Graduate audit pipeline</x:v>
      </x:c>
      <x:c r="J2516" s="17" t="str">
        <x:v>derived</x:v>
      </x:c>
      <x:c r="K2516" s="17" t="str">
        <x:v>2026-09-11</x:v>
      </x:c>
      <x:c r="L2516" s="17" t="str">
        <x:v>Not cycle-specific</x:v>
      </x:c>
      <x:c r="M2516" s="17" t="str">
        <x:v>low</x:v>
      </x:c>
      <x:c r="N2516" s="17" t="str">
        <x:v>Discovery evidence only</x:v>
      </x:c>
      <x:c r="O2516" s="17" t="str">
        <x:v>Use the source_record_paths field to trace the underlying discovery inputs.</x:v>
      </x:c>
      <x:c r="P2516" s="18" t="e">
        <x:f>HYPERLINK("https://www.virginia.edu","Open source")</x:f>
        <x:v>HYPERLINK is not implemented. linkLocation=https://www.virginia.edu, friendlyName=Open source</x:v>
      </x:c>
    </x:row>
    <x:row r="2517" ht="46" customHeight="1">
      <x:c r="A2517" s="17" t="str">
        <x:v>stage3src:c14823d528db4c34ea58</x:v>
      </x:c>
      <x:c r="B2517" s="17" t="str">
        <x:v>program</x:v>
      </x:c>
      <x:c r="C2517" s="17" t="str">
        <x:v>University of Virginia-Main Campus</x:v>
      </x:c>
      <x:c r="D2517" s="17" t="str">
        <x:v>us:ipeds:234076:program:unclear:ipeds-discovery-signal-computer-engineering-general-cip-14-0901</x:v>
      </x:c>
      <x:c r="E2517" s="17" t="str"/>
      <x:c r="F2517" s="17" t="str">
        <x:v>discovery</x:v>
      </x:c>
      <x:c r="G2517" s="17" t="str">
        <x:v>Stage 2 recorded this row as a discovery candidate; it does not independently verify an exact current research program, eligibility, or funding.</x:v>
      </x:c>
      <x:c r="H2517" s="17" t="str">
        <x:v>Pass 2 Stage 2 candidate funnel</x:v>
      </x:c>
      <x:c r="I2517" s="17" t="str">
        <x:v>Graduate audit pipeline</x:v>
      </x:c>
      <x:c r="J2517" s="17" t="str">
        <x:v>derived</x:v>
      </x:c>
      <x:c r="K2517" s="17" t="str">
        <x:v>2026-09-11</x:v>
      </x:c>
      <x:c r="L2517" s="17" t="str">
        <x:v>Not cycle-specific</x:v>
      </x:c>
      <x:c r="M2517" s="17" t="str">
        <x:v>low</x:v>
      </x:c>
      <x:c r="N2517" s="17" t="str">
        <x:v>Discovery evidence only</x:v>
      </x:c>
      <x:c r="O2517" s="17" t="str">
        <x:v>Use the source_record_paths field to trace the underlying discovery inputs.</x:v>
      </x:c>
      <x:c r="P2517" s="18" t="e">
        <x:f>HYPERLINK("https://www.virginia.edu","Open source")</x:f>
        <x:v>HYPERLINK is not implemented. linkLocation=https://www.virginia.edu, friendlyName=Open source</x:v>
      </x:c>
    </x:row>
    <x:row r="2518" ht="46" customHeight="1">
      <x:c r="A2518" s="17" t="str">
        <x:v>stage3src:1dfa9778c867374d4b85</x:v>
      </x:c>
      <x:c r="B2518" s="17" t="str">
        <x:v>program</x:v>
      </x:c>
      <x:c r="C2518" s="17" t="str">
        <x:v>University of Virginia-Main Campus</x:v>
      </x:c>
      <x:c r="D2518" s="17" t="str">
        <x:v>us:ipeds:234076:program:unclear:ipeds-discovery-signal-data-science-general-cip-30-7001</x:v>
      </x:c>
      <x:c r="E2518" s="17" t="str"/>
      <x:c r="F2518" s="17" t="str">
        <x:v>discovery</x:v>
      </x:c>
      <x:c r="G2518" s="17" t="str">
        <x:v>Stage 2 recorded this row as a discovery candidate; it does not independently verify an exact current research program, eligibility, or funding.</x:v>
      </x:c>
      <x:c r="H2518" s="17" t="str">
        <x:v>Pass 2 Stage 2 candidate funnel</x:v>
      </x:c>
      <x:c r="I2518" s="17" t="str">
        <x:v>Graduate audit pipeline</x:v>
      </x:c>
      <x:c r="J2518" s="17" t="str">
        <x:v>derived</x:v>
      </x:c>
      <x:c r="K2518" s="17" t="str">
        <x:v>2026-09-11</x:v>
      </x:c>
      <x:c r="L2518" s="17" t="str">
        <x:v>Not cycle-specific</x:v>
      </x:c>
      <x:c r="M2518" s="17" t="str">
        <x:v>low</x:v>
      </x:c>
      <x:c r="N2518" s="17" t="str">
        <x:v>Discovery evidence only</x:v>
      </x:c>
      <x:c r="O2518" s="17" t="str">
        <x:v>Use the source_record_paths field to trace the underlying discovery inputs.</x:v>
      </x:c>
      <x:c r="P2518" s="18" t="e">
        <x:f>HYPERLINK("https://www.virginia.edu","Open source")</x:f>
        <x:v>HYPERLINK is not implemented. linkLocation=https://www.virginia.edu, friendlyName=Open source</x:v>
      </x:c>
    </x:row>
    <x:row r="2519" ht="46" customHeight="1">
      <x:c r="A2519" s="17" t="str">
        <x:v>stage3src:f6c16b6ed372c0e5b624</x:v>
      </x:c>
      <x:c r="B2519" s="17" t="str">
        <x:v>program</x:v>
      </x:c>
      <x:c r="C2519" s="17" t="str">
        <x:v>University of Virginia-Main Campus</x:v>
      </x:c>
      <x:c r="D2519" s="17" t="str">
        <x:v>us:ipeds:234076:program:unclear:ipeds-discovery-signal-electrical-and-electronics-engineering-cip-14-1001</x:v>
      </x:c>
      <x:c r="E2519" s="17" t="str"/>
      <x:c r="F2519" s="17" t="str">
        <x:v>discovery</x:v>
      </x:c>
      <x:c r="G2519" s="17" t="str">
        <x:v>Stage 2 recorded this row as a discovery candidate; it does not independently verify an exact current research program, eligibility, or funding.</x:v>
      </x:c>
      <x:c r="H2519" s="17" t="str">
        <x:v>Pass 2 Stage 2 candidate funnel</x:v>
      </x:c>
      <x:c r="I2519" s="17" t="str">
        <x:v>Graduate audit pipeline</x:v>
      </x:c>
      <x:c r="J2519" s="17" t="str">
        <x:v>derived</x:v>
      </x:c>
      <x:c r="K2519" s="17" t="str">
        <x:v>2026-09-11</x:v>
      </x:c>
      <x:c r="L2519" s="17" t="str">
        <x:v>Not cycle-specific</x:v>
      </x:c>
      <x:c r="M2519" s="17" t="str">
        <x:v>low</x:v>
      </x:c>
      <x:c r="N2519" s="17" t="str">
        <x:v>Discovery evidence only</x:v>
      </x:c>
      <x:c r="O2519" s="17" t="str">
        <x:v>Use the source_record_paths field to trace the underlying discovery inputs.</x:v>
      </x:c>
      <x:c r="P2519" s="18" t="e">
        <x:f>HYPERLINK("https://www.virginia.edu","Open source")</x:f>
        <x:v>HYPERLINK is not implemented. linkLocation=https://www.virginia.edu, friendlyName=Open source</x:v>
      </x:c>
    </x:row>
    <x:row r="2520" ht="46" customHeight="1">
      <x:c r="A2520" s="17" t="str">
        <x:v>stage3src:31e6b87d1b3565a47a73</x:v>
      </x:c>
      <x:c r="B2520" s="17" t="str">
        <x:v>program</x:v>
      </x:c>
      <x:c r="C2520" s="17" t="str">
        <x:v>Virginia State University</x:v>
      </x:c>
      <x:c r="D2520" s="17" t="str">
        <x:v>us:ipeds:234155:program:unclear:ipeds-discovery-signal-computer-science-cip-11-0701</x:v>
      </x:c>
      <x:c r="E2520" s="17" t="str"/>
      <x:c r="F2520" s="17" t="str">
        <x:v>discovery</x:v>
      </x:c>
      <x:c r="G2520" s="17" t="str">
        <x:v>Stage 2 recorded this row as a discovery candidate; it does not independently verify an exact current research program, eligibility, or funding.</x:v>
      </x:c>
      <x:c r="H2520" s="17" t="str">
        <x:v>Pass 2 Stage 2 candidate funnel</x:v>
      </x:c>
      <x:c r="I2520" s="17" t="str">
        <x:v>Graduate audit pipeline</x:v>
      </x:c>
      <x:c r="J2520" s="17" t="str">
        <x:v>derived</x:v>
      </x:c>
      <x:c r="K2520" s="17" t="str">
        <x:v>2026-09-11</x:v>
      </x:c>
      <x:c r="L2520" s="17" t="str">
        <x:v>Not cycle-specific</x:v>
      </x:c>
      <x:c r="M2520" s="17" t="str">
        <x:v>low</x:v>
      </x:c>
      <x:c r="N2520" s="17" t="str">
        <x:v>Discovery evidence only</x:v>
      </x:c>
      <x:c r="O2520" s="17" t="str">
        <x:v>Use the source_record_paths field to trace the underlying discovery inputs.</x:v>
      </x:c>
      <x:c r="P2520" s="18" t="e">
        <x:f>HYPERLINK("https://www.vsu.edu","Open source")</x:f>
        <x:v>HYPERLINK is not implemented. linkLocation=https://www.vsu.edu, friendlyName=Open source</x:v>
      </x:c>
    </x:row>
    <x:row r="2521" ht="46" customHeight="1">
      <x:c r="A2521" s="17" t="str">
        <x:v>stage3src:e34485d5301ea473af10</x:v>
      </x:c>
      <x:c r="B2521" s="17" t="str">
        <x:v>program</x:v>
      </x:c>
      <x:c r="C2521" s="17" t="str">
        <x:v>Central Washington University</x:v>
      </x:c>
      <x:c r="D2521" s="17" t="str">
        <x:v>us:ipeds:234827:program:unclear:ipeds-discovery-signal-computer-and-information-systems-security-auditing-information-assurance-cip-11-1003</x:v>
      </x:c>
      <x:c r="E2521" s="17" t="str"/>
      <x:c r="F2521" s="17" t="str">
        <x:v>discovery</x:v>
      </x:c>
      <x:c r="G2521" s="17" t="str">
        <x:v>Stage 2 recorded this row as a discovery candidate; it does not independently verify an exact current research program, eligibility, or funding.</x:v>
      </x:c>
      <x:c r="H2521" s="17" t="str">
        <x:v>Pass 2 Stage 2 candidate funnel</x:v>
      </x:c>
      <x:c r="I2521" s="17" t="str">
        <x:v>Graduate audit pipeline</x:v>
      </x:c>
      <x:c r="J2521" s="17" t="str">
        <x:v>derived</x:v>
      </x:c>
      <x:c r="K2521" s="17" t="str">
        <x:v>2026-09-11</x:v>
      </x:c>
      <x:c r="L2521" s="17" t="str">
        <x:v>Not cycle-specific</x:v>
      </x:c>
      <x:c r="M2521" s="17" t="str">
        <x:v>low</x:v>
      </x:c>
      <x:c r="N2521" s="17" t="str">
        <x:v>Discovery evidence only</x:v>
      </x:c>
      <x:c r="O2521" s="17" t="str">
        <x:v>Use the source_record_paths field to trace the underlying discovery inputs.</x:v>
      </x:c>
      <x:c r="P2521" s="18" t="e">
        <x:f>HYPERLINK("https://www.cwu.edu","Open source")</x:f>
        <x:v>HYPERLINK is not implemented. linkLocation=https://www.cwu.edu, friendlyName=Open source</x:v>
      </x:c>
    </x:row>
    <x:row r="2522" ht="46" customHeight="1">
      <x:c r="A2522" s="17" t="str">
        <x:v>stage3src:1043900591acf14f3b27</x:v>
      </x:c>
      <x:c r="B2522" s="17" t="str">
        <x:v>program</x:v>
      </x:c>
      <x:c r="C2522" s="17" t="str">
        <x:v>Central Washington University</x:v>
      </x:c>
      <x:c r="D2522" s="17" t="str">
        <x:v>us:ipeds:234827:program:unclear:ipeds-discovery-signal-computer-science-cip-11-0701</x:v>
      </x:c>
      <x:c r="E2522" s="17" t="str"/>
      <x:c r="F2522" s="17" t="str">
        <x:v>discovery</x:v>
      </x:c>
      <x:c r="G2522" s="17" t="str">
        <x:v>Stage 2 recorded this row as a discovery candidate; it does not independently verify an exact current research program, eligibility, or funding.</x:v>
      </x:c>
      <x:c r="H2522" s="17" t="str">
        <x:v>Pass 2 Stage 2 candidate funnel</x:v>
      </x:c>
      <x:c r="I2522" s="17" t="str">
        <x:v>Graduate audit pipeline</x:v>
      </x:c>
      <x:c r="J2522" s="17" t="str">
        <x:v>derived</x:v>
      </x:c>
      <x:c r="K2522" s="17" t="str">
        <x:v>2026-09-11</x:v>
      </x:c>
      <x:c r="L2522" s="17" t="str">
        <x:v>Not cycle-specific</x:v>
      </x:c>
      <x:c r="M2522" s="17" t="str">
        <x:v>low</x:v>
      </x:c>
      <x:c r="N2522" s="17" t="str">
        <x:v>Discovery evidence only</x:v>
      </x:c>
      <x:c r="O2522" s="17" t="str">
        <x:v>Use the source_record_paths field to trace the underlying discovery inputs.</x:v>
      </x:c>
      <x:c r="P2522" s="18" t="e">
        <x:f>HYPERLINK("https://www.cwu.edu","Open source")</x:f>
        <x:v>HYPERLINK is not implemented. linkLocation=https://www.cwu.edu, friendlyName=Open source</x:v>
      </x:c>
    </x:row>
    <x:row r="2523" ht="46" customHeight="1">
      <x:c r="A2523" s="17" t="str">
        <x:v>stage3src:c36dc3018657e758ec7b</x:v>
      </x:c>
      <x:c r="B2523" s="17" t="str">
        <x:v>program</x:v>
      </x:c>
      <x:c r="C2523" s="17" t="str">
        <x:v>Central Washington University</x:v>
      </x:c>
      <x:c r="D2523" s="17" t="str">
        <x:v>us:ipeds:234827:program:unclear:ipeds-discovery-signal-information-technology-cip-11-0103</x:v>
      </x:c>
      <x:c r="E2523" s="17" t="str"/>
      <x:c r="F2523" s="17" t="str">
        <x:v>discovery</x:v>
      </x:c>
      <x:c r="G2523" s="17" t="str">
        <x:v>Stage 2 recorded this row as a discovery candidate; it does not independently verify an exact current research program, eligibility, or funding.</x:v>
      </x:c>
      <x:c r="H2523" s="17" t="str">
        <x:v>Pass 2 Stage 2 candidate funnel</x:v>
      </x:c>
      <x:c r="I2523" s="17" t="str">
        <x:v>Graduate audit pipeline</x:v>
      </x:c>
      <x:c r="J2523" s="17" t="str">
        <x:v>derived</x:v>
      </x:c>
      <x:c r="K2523" s="17" t="str">
        <x:v>2026-09-11</x:v>
      </x:c>
      <x:c r="L2523" s="17" t="str">
        <x:v>Not cycle-specific</x:v>
      </x:c>
      <x:c r="M2523" s="17" t="str">
        <x:v>low</x:v>
      </x:c>
      <x:c r="N2523" s="17" t="str">
        <x:v>Discovery evidence only</x:v>
      </x:c>
      <x:c r="O2523" s="17" t="str">
        <x:v>Use the source_record_paths field to trace the underlying discovery inputs.</x:v>
      </x:c>
      <x:c r="P2523" s="18" t="e">
        <x:f>HYPERLINK("https://www.cwu.edu","Open source")</x:f>
        <x:v>HYPERLINK is not implemented. linkLocation=https://www.cwu.edu, friendlyName=Open source</x:v>
      </x:c>
    </x:row>
    <x:row r="2524" ht="46" customHeight="1">
      <x:c r="A2524" s="17" t="str">
        <x:v>stage3src:ff1944e3ca91f225ec0d</x:v>
      </x:c>
      <x:c r="B2524" s="17" t="str">
        <x:v>program</x:v>
      </x:c>
      <x:c r="C2524" s="17" t="str">
        <x:v>City University of Seattle</x:v>
      </x:c>
      <x:c r="D2524" s="17" t="str">
        <x:v>us:ipeds:234915:program:unclear:ipeds-discovery-signal-artificial-intelligence-cip-11-0102</x:v>
      </x:c>
      <x:c r="E2524" s="17" t="str"/>
      <x:c r="F2524" s="17" t="str">
        <x:v>discovery</x:v>
      </x:c>
      <x:c r="G2524" s="17" t="str">
        <x:v>Stage 2 recorded this row as a discovery candidate; it does not independently verify an exact current research program, eligibility, or funding.</x:v>
      </x:c>
      <x:c r="H2524" s="17" t="str">
        <x:v>Pass 2 Stage 2 candidate funnel</x:v>
      </x:c>
      <x:c r="I2524" s="17" t="str">
        <x:v>Graduate audit pipeline</x:v>
      </x:c>
      <x:c r="J2524" s="17" t="str">
        <x:v>derived</x:v>
      </x:c>
      <x:c r="K2524" s="17" t="str">
        <x:v>2026-09-11</x:v>
      </x:c>
      <x:c r="L2524" s="17" t="str">
        <x:v>Not cycle-specific</x:v>
      </x:c>
      <x:c r="M2524" s="17" t="str">
        <x:v>low</x:v>
      </x:c>
      <x:c r="N2524" s="17" t="str">
        <x:v>Discovery evidence only</x:v>
      </x:c>
      <x:c r="O2524" s="17" t="str">
        <x:v>Use the source_record_paths field to trace the underlying discovery inputs.</x:v>
      </x:c>
      <x:c r="P2524" s="18" t="e">
        <x:f>HYPERLINK("https://www.cityu.edu","Open source")</x:f>
        <x:v>HYPERLINK is not implemented. linkLocation=https://www.cityu.edu, friendlyName=Open source</x:v>
      </x:c>
    </x:row>
    <x:row r="2525" ht="46" customHeight="1">
      <x:c r="A2525" s="17" t="str">
        <x:v>stage3src:38480fb1acbdd1abd6d9</x:v>
      </x:c>
      <x:c r="B2525" s="17" t="str">
        <x:v>program</x:v>
      </x:c>
      <x:c r="C2525" s="17" t="str">
        <x:v>City University of Seattle</x:v>
      </x:c>
      <x:c r="D2525" s="17" t="str">
        <x:v>us:ipeds:234915:program:unclear:ipeds-discovery-signal-computer-and-information-systems-security-auditing-information-assurance-cip-11-1003</x:v>
      </x:c>
      <x:c r="E2525" s="17" t="str"/>
      <x:c r="F2525" s="17" t="str">
        <x:v>discovery</x:v>
      </x:c>
      <x:c r="G2525" s="17" t="str">
        <x:v>Stage 2 recorded this row as a discovery candidate; it does not independently verify an exact current research program, eligibility, or funding.</x:v>
      </x:c>
      <x:c r="H2525" s="17" t="str">
        <x:v>Pass 2 Stage 2 candidate funnel</x:v>
      </x:c>
      <x:c r="I2525" s="17" t="str">
        <x:v>Graduate audit pipeline</x:v>
      </x:c>
      <x:c r="J2525" s="17" t="str">
        <x:v>derived</x:v>
      </x:c>
      <x:c r="K2525" s="17" t="str">
        <x:v>2026-09-11</x:v>
      </x:c>
      <x:c r="L2525" s="17" t="str">
        <x:v>Not cycle-specific</x:v>
      </x:c>
      <x:c r="M2525" s="17" t="str">
        <x:v>low</x:v>
      </x:c>
      <x:c r="N2525" s="17" t="str">
        <x:v>Discovery evidence only</x:v>
      </x:c>
      <x:c r="O2525" s="17" t="str">
        <x:v>Use the source_record_paths field to trace the underlying discovery inputs.</x:v>
      </x:c>
      <x:c r="P2525" s="18" t="e">
        <x:f>HYPERLINK("https://www.cityu.edu","Open source")</x:f>
        <x:v>HYPERLINK is not implemented. linkLocation=https://www.cityu.edu, friendlyName=Open source</x:v>
      </x:c>
    </x:row>
    <x:row r="2526" ht="46" customHeight="1">
      <x:c r="A2526" s="17" t="str">
        <x:v>stage3src:227c89e2564c48ba3653</x:v>
      </x:c>
      <x:c r="B2526" s="17" t="str">
        <x:v>program</x:v>
      </x:c>
      <x:c r="C2526" s="17" t="str">
        <x:v>City University of Seattle</x:v>
      </x:c>
      <x:c r="D2526" s="17" t="str">
        <x:v>us:ipeds:234915:program:unclear:ipeds-discovery-signal-computer-science-cip-11-0701</x:v>
      </x:c>
      <x:c r="E2526" s="17" t="str"/>
      <x:c r="F2526" s="17" t="str">
        <x:v>discovery</x:v>
      </x:c>
      <x:c r="G2526" s="17" t="str">
        <x:v>Stage 2 recorded this row as a discovery candidate; it does not independently verify an exact current research program, eligibility, or funding.</x:v>
      </x:c>
      <x:c r="H2526" s="17" t="str">
        <x:v>Pass 2 Stage 2 candidate funnel</x:v>
      </x:c>
      <x:c r="I2526" s="17" t="str">
        <x:v>Graduate audit pipeline</x:v>
      </x:c>
      <x:c r="J2526" s="17" t="str">
        <x:v>derived</x:v>
      </x:c>
      <x:c r="K2526" s="17" t="str">
        <x:v>2026-09-11</x:v>
      </x:c>
      <x:c r="L2526" s="17" t="str">
        <x:v>Not cycle-specific</x:v>
      </x:c>
      <x:c r="M2526" s="17" t="str">
        <x:v>low</x:v>
      </x:c>
      <x:c r="N2526" s="17" t="str">
        <x:v>Discovery evidence only</x:v>
      </x:c>
      <x:c r="O2526" s="17" t="str">
        <x:v>Use the source_record_paths field to trace the underlying discovery inputs.</x:v>
      </x:c>
      <x:c r="P2526" s="18" t="e">
        <x:f>HYPERLINK("https://www.cityu.edu","Open source")</x:f>
        <x:v>HYPERLINK is not implemented. linkLocation=https://www.cityu.edu, friendlyName=Open source</x:v>
      </x:c>
    </x:row>
    <x:row r="2527" ht="46" customHeight="1">
      <x:c r="A2527" s="17" t="str">
        <x:v>stage3src:d04a88cab1a56b7832d7</x:v>
      </x:c>
      <x:c r="B2527" s="17" t="str">
        <x:v>program</x:v>
      </x:c>
      <x:c r="C2527" s="17" t="str">
        <x:v>City University of Seattle</x:v>
      </x:c>
      <x:c r="D2527" s="17" t="str">
        <x:v>us:ipeds:234915:program:unclear:ipeds-discovery-signal-data-science-general-cip-30-7001</x:v>
      </x:c>
      <x:c r="E2527" s="17" t="str"/>
      <x:c r="F2527" s="17" t="str">
        <x:v>discovery</x:v>
      </x:c>
      <x:c r="G2527" s="17" t="str">
        <x:v>Stage 2 recorded this row as a discovery candidate; it does not independently verify an exact current research program, eligibility, or funding.</x:v>
      </x:c>
      <x:c r="H2527" s="17" t="str">
        <x:v>Pass 2 Stage 2 candidate funnel</x:v>
      </x:c>
      <x:c r="I2527" s="17" t="str">
        <x:v>Graduate audit pipeline</x:v>
      </x:c>
      <x:c r="J2527" s="17" t="str">
        <x:v>derived</x:v>
      </x:c>
      <x:c r="K2527" s="17" t="str">
        <x:v>2026-09-11</x:v>
      </x:c>
      <x:c r="L2527" s="17" t="str">
        <x:v>Not cycle-specific</x:v>
      </x:c>
      <x:c r="M2527" s="17" t="str">
        <x:v>low</x:v>
      </x:c>
      <x:c r="N2527" s="17" t="str">
        <x:v>Discovery evidence only</x:v>
      </x:c>
      <x:c r="O2527" s="17" t="str">
        <x:v>Use the source_record_paths field to trace the underlying discovery inputs.</x:v>
      </x:c>
      <x:c r="P2527" s="18" t="e">
        <x:f>HYPERLINK("https://www.cityu.edu","Open source")</x:f>
        <x:v>HYPERLINK is not implemented. linkLocation=https://www.cityu.edu, friendlyName=Open source</x:v>
      </x:c>
    </x:row>
    <x:row r="2528" ht="46" customHeight="1">
      <x:c r="A2528" s="17" t="str">
        <x:v>stage3src:8d32e3fb05b3a00eda9d</x:v>
      </x:c>
      <x:c r="B2528" s="17" t="str">
        <x:v>program</x:v>
      </x:c>
      <x:c r="C2528" s="17" t="str">
        <x:v>Eastern Washington University</x:v>
      </x:c>
      <x:c r="D2528" s="17" t="str">
        <x:v>us:ipeds:235097:program:unclear:ipeds-discovery-signal-computer-and-information-sciences-general-cip-11-0101</x:v>
      </x:c>
      <x:c r="E2528" s="17" t="str"/>
      <x:c r="F2528" s="17" t="str">
        <x:v>discovery</x:v>
      </x:c>
      <x:c r="G2528" s="17" t="str">
        <x:v>Stage 2 recorded this row as a discovery candidate; it does not independently verify an exact current research program, eligibility, or funding.</x:v>
      </x:c>
      <x:c r="H2528" s="17" t="str">
        <x:v>Pass 2 Stage 2 candidate funnel</x:v>
      </x:c>
      <x:c r="I2528" s="17" t="str">
        <x:v>Graduate audit pipeline</x:v>
      </x:c>
      <x:c r="J2528" s="17" t="str">
        <x:v>derived</x:v>
      </x:c>
      <x:c r="K2528" s="17" t="str">
        <x:v>2026-09-11</x:v>
      </x:c>
      <x:c r="L2528" s="17" t="str">
        <x:v>Not cycle-specific</x:v>
      </x:c>
      <x:c r="M2528" s="17" t="str">
        <x:v>low</x:v>
      </x:c>
      <x:c r="N2528" s="17" t="str">
        <x:v>Discovery evidence only</x:v>
      </x:c>
      <x:c r="O2528" s="17" t="str">
        <x:v>Use the source_record_paths field to trace the underlying discovery inputs.</x:v>
      </x:c>
      <x:c r="P2528" s="18" t="e">
        <x:f>HYPERLINK("https://www.ewu.edu","Open source")</x:f>
        <x:v>HYPERLINK is not implemented. linkLocation=https://www.ewu.edu, friendlyName=Open source</x:v>
      </x:c>
    </x:row>
    <x:row r="2529" ht="46" customHeight="1">
      <x:c r="A2529" s="17" t="str">
        <x:v>stage3src:8bb1e0093332c87d8acf</x:v>
      </x:c>
      <x:c r="B2529" s="17" t="str">
        <x:v>program</x:v>
      </x:c>
      <x:c r="C2529" s="17" t="str">
        <x:v>Saint Martin's University</x:v>
      </x:c>
      <x:c r="D2529" s="17" t="str">
        <x:v>us:ipeds:236452:program:unclear:ipeds-discovery-signal-computer-science-cip-11-0701</x:v>
      </x:c>
      <x:c r="E2529" s="17" t="str"/>
      <x:c r="F2529" s="17" t="str">
        <x:v>discovery</x:v>
      </x:c>
      <x:c r="G2529" s="17" t="str">
        <x:v>Stage 2 recorded this row as a discovery candidate; it does not independently verify an exact current research program, eligibility, or funding.</x:v>
      </x:c>
      <x:c r="H2529" s="17" t="str">
        <x:v>Pass 2 Stage 2 candidate funnel</x:v>
      </x:c>
      <x:c r="I2529" s="17" t="str">
        <x:v>Graduate audit pipeline</x:v>
      </x:c>
      <x:c r="J2529" s="17" t="str">
        <x:v>derived</x:v>
      </x:c>
      <x:c r="K2529" s="17" t="str">
        <x:v>2026-09-11</x:v>
      </x:c>
      <x:c r="L2529" s="17" t="str">
        <x:v>Not cycle-specific</x:v>
      </x:c>
      <x:c r="M2529" s="17" t="str">
        <x:v>low</x:v>
      </x:c>
      <x:c r="N2529" s="17" t="str">
        <x:v>Discovery evidence only</x:v>
      </x:c>
      <x:c r="O2529" s="17" t="str">
        <x:v>Use the source_record_paths field to trace the underlying discovery inputs.</x:v>
      </x:c>
      <x:c r="P2529" s="18" t="e">
        <x:f>HYPERLINK("https://www.stmartin.edu","Open source")</x:f>
        <x:v>HYPERLINK is not implemented. linkLocation=https://www.stmartin.edu, friendlyName=Open source</x:v>
      </x:c>
    </x:row>
    <x:row r="2530" ht="46" customHeight="1">
      <x:c r="A2530" s="17" t="str">
        <x:v>stage3src:7848564e036e8ab767aa</x:v>
      </x:c>
      <x:c r="B2530" s="17" t="str">
        <x:v>program</x:v>
      </x:c>
      <x:c r="C2530" s="17" t="str">
        <x:v>Seattle University</x:v>
      </x:c>
      <x:c r="D2530" s="17" t="str">
        <x:v>us:ipeds:236595:program:unclear:ipeds-discovery-signal-computer-science-cip-11-0701</x:v>
      </x:c>
      <x:c r="E2530" s="17" t="str"/>
      <x:c r="F2530" s="17" t="str">
        <x:v>discovery</x:v>
      </x:c>
      <x:c r="G2530" s="17" t="str">
        <x:v>Stage 2 recorded this row as a discovery candidate; it does not independently verify an exact current research program, eligibility, or funding.</x:v>
      </x:c>
      <x:c r="H2530" s="17" t="str">
        <x:v>Pass 2 Stage 2 candidate funnel</x:v>
      </x:c>
      <x:c r="I2530" s="17" t="str">
        <x:v>Graduate audit pipeline</x:v>
      </x:c>
      <x:c r="J2530" s="17" t="str">
        <x:v>derived</x:v>
      </x:c>
      <x:c r="K2530" s="17" t="str">
        <x:v>2026-09-11</x:v>
      </x:c>
      <x:c r="L2530" s="17" t="str">
        <x:v>Not cycle-specific</x:v>
      </x:c>
      <x:c r="M2530" s="17" t="str">
        <x:v>low</x:v>
      </x:c>
      <x:c r="N2530" s="17" t="str">
        <x:v>Discovery evidence only</x:v>
      </x:c>
      <x:c r="O2530" s="17" t="str">
        <x:v>Use the source_record_paths field to trace the underlying discovery inputs.</x:v>
      </x:c>
      <x:c r="P2530" s="18" t="e">
        <x:f>HYPERLINK("https://www.seattleu.edu","Open source")</x:f>
        <x:v>HYPERLINK is not implemented. linkLocation=https://www.seattleu.edu, friendlyName=Open source</x:v>
      </x:c>
    </x:row>
    <x:row r="2531" ht="46" customHeight="1">
      <x:c r="A2531" s="17" t="str">
        <x:v>stage3src:368200e03f4380c767b9</x:v>
      </x:c>
      <x:c r="B2531" s="17" t="str">
        <x:v>program</x:v>
      </x:c>
      <x:c r="C2531" s="17" t="str">
        <x:v>Seattle University</x:v>
      </x:c>
      <x:c r="D2531" s="17" t="str">
        <x:v>us:ipeds:236595:program:unclear:ipeds-discovery-signal-information-science-studies-cip-11-0401</x:v>
      </x:c>
      <x:c r="E2531" s="17" t="str"/>
      <x:c r="F2531" s="17" t="str">
        <x:v>discovery</x:v>
      </x:c>
      <x:c r="G2531" s="17" t="str">
        <x:v>Stage 2 recorded this row as a discovery candidate; it does not independently verify an exact current research program, eligibility, or funding.</x:v>
      </x:c>
      <x:c r="H2531" s="17" t="str">
        <x:v>Pass 2 Stage 2 candidate funnel</x:v>
      </x:c>
      <x:c r="I2531" s="17" t="str">
        <x:v>Graduate audit pipeline</x:v>
      </x:c>
      <x:c r="J2531" s="17" t="str">
        <x:v>derived</x:v>
      </x:c>
      <x:c r="K2531" s="17" t="str">
        <x:v>2026-09-11</x:v>
      </x:c>
      <x:c r="L2531" s="17" t="str">
        <x:v>Not cycle-specific</x:v>
      </x:c>
      <x:c r="M2531" s="17" t="str">
        <x:v>low</x:v>
      </x:c>
      <x:c r="N2531" s="17" t="str">
        <x:v>Discovery evidence only</x:v>
      </x:c>
      <x:c r="O2531" s="17" t="str">
        <x:v>Use the source_record_paths field to trace the underlying discovery inputs.</x:v>
      </x:c>
      <x:c r="P2531" s="18" t="e">
        <x:f>HYPERLINK("https://www.seattleu.edu","Open source")</x:f>
        <x:v>HYPERLINK is not implemented. linkLocation=https://www.seattleu.edu, friendlyName=Open source</x:v>
      </x:c>
    </x:row>
    <x:row r="2532" ht="46" customHeight="1">
      <x:c r="A2532" s="17" t="str">
        <x:v>stage3src:09b01f1c0ab8976cc0a1</x:v>
      </x:c>
      <x:c r="B2532" s="17" t="str">
        <x:v>program</x:v>
      </x:c>
      <x:c r="C2532" s="17" t="str">
        <x:v>Washington State University</x:v>
      </x:c>
      <x:c r="D2532" s="17" t="str">
        <x:v>us:ipeds:236939:program:phd:doctor-of-philosophy-in-computer-science</x:v>
      </x:c>
      <x:c r="E2532" s="17" t="str"/>
      <x:c r="F2532" s="17" t="str">
        <x:v>program|admissions|funding|tuition|fees|health</x:v>
      </x:c>
      <x:c r="G2532" s="17" t="str">
        <x:v>Automatic but competitive assistantship consideration, 2026-2027 stipends, tuition-waiver rules, health benefit, excluded fees, and semester renewal conditions.</x:v>
      </x:c>
      <x:c r="H2532" s="17" t="str">
        <x:v>Graduate Student Handbook 2025-2027</x:v>
      </x:c>
      <x:c r="I2532" s="17" t="str">
        <x:v>Washington State University EECS</x:v>
      </x:c>
      <x:c r="J2532" s="17" t="str">
        <x:v>official</x:v>
      </x:c>
      <x:c r="K2532" s="17" t="str">
        <x:v>2026-09-10</x:v>
      </x:c>
      <x:c r="L2532" s="17" t="str">
        <x:v>2025-2027 handbook</x:v>
      </x:c>
      <x:c r="M2532" s="17" t="str">
        <x:v>high</x:v>
      </x:c>
      <x:c r="N2532" s="17" t="str">
        <x:v>official page checked</x:v>
      </x:c>
      <x:c r="O2532" s="17" t="str"/>
      <x:c r="P2532" s="18" t="e">
        <x:f>HYPERLINK("https://school.eecs.wsu.edu/academics/graduate-program/current-students/graduate-student-handbook-2025-2027/","Open source")</x:f>
        <x:v>HYPERLINK is not implemented. linkLocation=https://school.eecs.wsu.edu/academics/graduate-program/current-students/graduate-student-handbook-2025-2027/, friendlyName=Open source</x:v>
      </x:c>
    </x:row>
    <x:row r="2533" ht="46" customHeight="1">
      <x:c r="A2533" s="17" t="str">
        <x:v>stage3src:d435bc53839919ee3c11</x:v>
      </x:c>
      <x:c r="B2533" s="17" t="str">
        <x:v>program</x:v>
      </x:c>
      <x:c r="C2533" s="17" t="str">
        <x:v>Washington State University</x:v>
      </x:c>
      <x:c r="D2533" s="17" t="str">
        <x:v>us:ipeds:236939:program:phd:doctor-of-philosophy-in-computer-science</x:v>
      </x:c>
      <x:c r="E2533" s="17" t="str"/>
      <x:c r="F2533" s="17" t="str">
        <x:v>admissions|eligibility|language</x:v>
      </x:c>
      <x:c r="G2533" s="17" t="str">
        <x:v>Equivalent four-year bachelor's, 3.0 GPA, transcript rules, and Nigeria citizenship or degree route for English proficiency.</x:v>
      </x:c>
      <x:c r="H2533" s="17" t="str">
        <x:v>International Student Requirements</x:v>
      </x:c>
      <x:c r="I2533" s="17" t="str">
        <x:v>Washington State University Graduate School</x:v>
      </x:c>
      <x:c r="J2533" s="17" t="str">
        <x:v>official</x:v>
      </x:c>
      <x:c r="K2533" s="17" t="str">
        <x:v>2026-09-10</x:v>
      </x:c>
      <x:c r="L2533" s="17" t="str">
        <x:v>Current guidance checked 2026-09-10</x:v>
      </x:c>
      <x:c r="M2533" s="17" t="str">
        <x:v>high</x:v>
      </x:c>
      <x:c r="N2533" s="17" t="str">
        <x:v>official page checked</x:v>
      </x:c>
      <x:c r="O2533" s="17" t="str"/>
      <x:c r="P2533" s="18" t="e">
        <x:f>HYPERLINK("https://gradschool.wsu.edu/international-requirements/","Open source")</x:f>
        <x:v>HYPERLINK is not implemented. linkLocation=https://gradschool.wsu.edu/international-requirements/, friendlyName=Open source</x:v>
      </x:c>
    </x:row>
    <x:row r="2534" ht="46" customHeight="1">
      <x:c r="A2534" s="17" t="str">
        <x:v>stage3src:f5ff7b800ad789a26c72</x:v>
      </x:c>
      <x:c r="B2534" s="17" t="str">
        <x:v>program</x:v>
      </x:c>
      <x:c r="C2534" s="17" t="str">
        <x:v>Washington State University</x:v>
      </x:c>
      <x:c r="D2534" s="17" t="str">
        <x:v>us:ipeds:236939:program:phd:doctor-of-philosophy-in-computer-science</x:v>
      </x:c>
      <x:c r="E2534" s="17" t="str"/>
      <x:c r="F2534" s="17" t="str">
        <x:v>program|admissions|deadline|language|eligibility|funding</x:v>
      </x:c>
      <x:c r="G2534" s="17" t="str">
        <x:v>Current Computer Science PhD, research credits, recurring January 10 fall priority deadline, TOEFL 93, and 47 of 52 students receiving assistantships.</x:v>
      </x:c>
      <x:c r="H2534" s="17" t="str">
        <x:v>Doctor of Philosophy in Computer Science</x:v>
      </x:c>
      <x:c r="I2534" s="17" t="str">
        <x:v>Washington State University Graduate School</x:v>
      </x:c>
      <x:c r="J2534" s="17" t="str">
        <x:v>official</x:v>
      </x:c>
      <x:c r="K2534" s="17" t="str">
        <x:v>2026-09-10</x:v>
      </x:c>
      <x:c r="L2534" s="17" t="str">
        <x:v>Current recurring cycle checked 2026-09-10</x:v>
      </x:c>
      <x:c r="M2534" s="17" t="str">
        <x:v>high</x:v>
      </x:c>
      <x:c r="N2534" s="17" t="str">
        <x:v>official page checked</x:v>
      </x:c>
      <x:c r="O2534" s="17" t="str"/>
      <x:c r="P2534" s="18" t="e">
        <x:f>HYPERLINK("https://gradschool.wsu.edu/degrees/doctor-of-philosophy-computer-science/","Open source")</x:f>
        <x:v>HYPERLINK is not implemented. linkLocation=https://gradschool.wsu.edu/degrees/doctor-of-philosophy-computer-science/, friendlyName=Open source</x:v>
      </x:c>
    </x:row>
    <x:row r="2535" ht="46" customHeight="1">
      <x:c r="A2535" s="17" t="str">
        <x:v>stage3src:4668a5bc2228b14ae265</x:v>
      </x:c>
      <x:c r="B2535" s="17" t="str">
        <x:v>program</x:v>
      </x:c>
      <x:c r="C2535" s="17" t="str">
        <x:v>Washington State University</x:v>
      </x:c>
      <x:c r="D2535" s="17" t="str">
        <x:v>us:ipeds:236939:program:unclear:ipeds-discovery-signal-computer-engineering-general-cip-14-0901</x:v>
      </x:c>
      <x:c r="E2535" s="17" t="str"/>
      <x:c r="F2535" s="17" t="str">
        <x:v>discovery</x:v>
      </x:c>
      <x:c r="G2535" s="17" t="str">
        <x:v>Stage 2 recorded this row as a discovery candidate; it does not independently verify an exact current research program, eligibility, or funding.</x:v>
      </x:c>
      <x:c r="H2535" s="17" t="str">
        <x:v>Pass 2 Stage 2 candidate funnel</x:v>
      </x:c>
      <x:c r="I2535" s="17" t="str">
        <x:v>Graduate audit pipeline</x:v>
      </x:c>
      <x:c r="J2535" s="17" t="str">
        <x:v>derived</x:v>
      </x:c>
      <x:c r="K2535" s="17" t="str">
        <x:v>2026-09-11</x:v>
      </x:c>
      <x:c r="L2535" s="17" t="str">
        <x:v>Not cycle-specific</x:v>
      </x:c>
      <x:c r="M2535" s="17" t="str">
        <x:v>low</x:v>
      </x:c>
      <x:c r="N2535" s="17" t="str">
        <x:v>Discovery evidence only</x:v>
      </x:c>
      <x:c r="O2535" s="17" t="str">
        <x:v>Use the source_record_paths field to trace the underlying discovery inputs.</x:v>
      </x:c>
      <x:c r="P2535" s="18" t="e">
        <x:f>HYPERLINK("https://wsu.edu","Open source")</x:f>
        <x:v>HYPERLINK is not implemented. linkLocation=https://wsu.edu, friendlyName=Open source</x:v>
      </x:c>
    </x:row>
    <x:row r="2536" ht="46" customHeight="1">
      <x:c r="A2536" s="17" t="str">
        <x:v>stage3src:6e7fdd951599471ce0c0</x:v>
      </x:c>
      <x:c r="B2536" s="17" t="str">
        <x:v>program</x:v>
      </x:c>
      <x:c r="C2536" s="17" t="str">
        <x:v>Washington State University</x:v>
      </x:c>
      <x:c r="D2536" s="17" t="str">
        <x:v>us:ipeds:236939:program:unclear:ipeds-discovery-signal-computer-science-cip-11-0701</x:v>
      </x:c>
      <x:c r="E2536" s="17" t="str"/>
      <x:c r="F2536" s="17" t="str">
        <x:v>discovery</x:v>
      </x:c>
      <x:c r="G2536" s="17" t="str">
        <x:v>Stage 2 recorded this row as a discovery candidate; it does not independently verify an exact current research program, eligibility, or funding.</x:v>
      </x:c>
      <x:c r="H2536" s="17" t="str">
        <x:v>Pass 2 Stage 2 candidate funnel</x:v>
      </x:c>
      <x:c r="I2536" s="17" t="str">
        <x:v>Graduate audit pipeline</x:v>
      </x:c>
      <x:c r="J2536" s="17" t="str">
        <x:v>derived</x:v>
      </x:c>
      <x:c r="K2536" s="17" t="str">
        <x:v>2026-09-11</x:v>
      </x:c>
      <x:c r="L2536" s="17" t="str">
        <x:v>Not cycle-specific</x:v>
      </x:c>
      <x:c r="M2536" s="17" t="str">
        <x:v>low</x:v>
      </x:c>
      <x:c r="N2536" s="17" t="str">
        <x:v>Discovery evidence only</x:v>
      </x:c>
      <x:c r="O2536" s="17" t="str">
        <x:v>Use the source_record_paths field to trace the underlying discovery inputs.</x:v>
      </x:c>
      <x:c r="P2536" s="18" t="e">
        <x:f>HYPERLINK("https://wsu.edu","Open source")</x:f>
        <x:v>HYPERLINK is not implemented. linkLocation=https://wsu.edu, friendlyName=Open source</x:v>
      </x:c>
    </x:row>
    <x:row r="2537" ht="46" customHeight="1">
      <x:c r="A2537" s="17" t="str">
        <x:v>stage3src:23535e68fd7e572d266d</x:v>
      </x:c>
      <x:c r="B2537" s="17" t="str">
        <x:v>program</x:v>
      </x:c>
      <x:c r="C2537" s="17" t="str">
        <x:v>Washington State University</x:v>
      </x:c>
      <x:c r="D2537" s="17" t="str">
        <x:v>us:ipeds:236939:program:unclear:ipeds-discovery-signal-computer-software-engineering-cip-14-0903</x:v>
      </x:c>
      <x:c r="E2537" s="17" t="str"/>
      <x:c r="F2537" s="17" t="str">
        <x:v>discovery</x:v>
      </x:c>
      <x:c r="G2537" s="17" t="str">
        <x:v>Stage 2 recorded this row as a discovery candidate; it does not independently verify an exact current research program, eligibility, or funding.</x:v>
      </x:c>
      <x:c r="H2537" s="17" t="str">
        <x:v>Pass 2 Stage 2 candidate funnel</x:v>
      </x:c>
      <x:c r="I2537" s="17" t="str">
        <x:v>Graduate audit pipeline</x:v>
      </x:c>
      <x:c r="J2537" s="17" t="str">
        <x:v>derived</x:v>
      </x:c>
      <x:c r="K2537" s="17" t="str">
        <x:v>2026-09-11</x:v>
      </x:c>
      <x:c r="L2537" s="17" t="str">
        <x:v>Not cycle-specific</x:v>
      </x:c>
      <x:c r="M2537" s="17" t="str">
        <x:v>low</x:v>
      </x:c>
      <x:c r="N2537" s="17" t="str">
        <x:v>Discovery evidence only</x:v>
      </x:c>
      <x:c r="O2537" s="17" t="str">
        <x:v>Use the source_record_paths field to trace the underlying discovery inputs.</x:v>
      </x:c>
      <x:c r="P2537" s="18" t="e">
        <x:f>HYPERLINK("https://wsu.edu","Open source")</x:f>
        <x:v>HYPERLINK is not implemented. linkLocation=https://wsu.edu, friendlyName=Open source</x:v>
      </x:c>
    </x:row>
    <x:row r="2538" ht="46" customHeight="1">
      <x:c r="A2538" s="17" t="str">
        <x:v>stage3src:3e10d99504118bd0d19e</x:v>
      </x:c>
      <x:c r="B2538" s="17" t="str">
        <x:v>program</x:v>
      </x:c>
      <x:c r="C2538" s="17" t="str">
        <x:v>Washington State University</x:v>
      </x:c>
      <x:c r="D2538" s="17" t="str">
        <x:v>us:ipeds:236939:program:unclear:ipeds-discovery-signal-electrical-and-electronics-engineering-cip-14-1001</x:v>
      </x:c>
      <x:c r="E2538" s="17" t="str"/>
      <x:c r="F2538" s="17" t="str">
        <x:v>discovery</x:v>
      </x:c>
      <x:c r="G2538" s="17" t="str">
        <x:v>Stage 2 recorded this row as a discovery candidate; it does not independently verify an exact current research program, eligibility, or funding.</x:v>
      </x:c>
      <x:c r="H2538" s="17" t="str">
        <x:v>Pass 2 Stage 2 candidate funnel</x:v>
      </x:c>
      <x:c r="I2538" s="17" t="str">
        <x:v>Graduate audit pipeline</x:v>
      </x:c>
      <x:c r="J2538" s="17" t="str">
        <x:v>derived</x:v>
      </x:c>
      <x:c r="K2538" s="17" t="str">
        <x:v>2026-09-11</x:v>
      </x:c>
      <x:c r="L2538" s="17" t="str">
        <x:v>Not cycle-specific</x:v>
      </x:c>
      <x:c r="M2538" s="17" t="str">
        <x:v>low</x:v>
      </x:c>
      <x:c r="N2538" s="17" t="str">
        <x:v>Discovery evidence only</x:v>
      </x:c>
      <x:c r="O2538" s="17" t="str">
        <x:v>Use the source_record_paths field to trace the underlying discovery inputs.</x:v>
      </x:c>
      <x:c r="P2538" s="18" t="e">
        <x:f>HYPERLINK("https://wsu.edu","Open source")</x:f>
        <x:v>HYPERLINK is not implemented. linkLocation=https://wsu.edu, friendlyName=Open source</x:v>
      </x:c>
    </x:row>
    <x:row r="2539" ht="46" customHeight="1">
      <x:c r="A2539" s="17" t="str">
        <x:v>stage3src:e5860402f29ff019d8d0</x:v>
      </x:c>
      <x:c r="B2539" s="17" t="str">
        <x:v>program</x:v>
      </x:c>
      <x:c r="C2539" s="17" t="str">
        <x:v>University of Washington-Seattle Campus</x:v>
      </x:c>
      <x:c r="D2539" s="17" t="str">
        <x:v>us:ipeds:236948:program:unclear:ipeds-discovery-signal-artificial-intelligence-cip-11-0102</x:v>
      </x:c>
      <x:c r="E2539" s="17" t="str"/>
      <x:c r="F2539" s="17" t="str">
        <x:v>discovery</x:v>
      </x:c>
      <x:c r="G2539" s="17" t="str">
        <x:v>Stage 2 recorded this row as a discovery candidate; it does not independently verify an exact current research program, eligibility, or funding.</x:v>
      </x:c>
      <x:c r="H2539" s="17" t="str">
        <x:v>Pass 2 Stage 2 candidate funnel</x:v>
      </x:c>
      <x:c r="I2539" s="17" t="str">
        <x:v>Graduate audit pipeline</x:v>
      </x:c>
      <x:c r="J2539" s="17" t="str">
        <x:v>derived</x:v>
      </x:c>
      <x:c r="K2539" s="17" t="str">
        <x:v>2026-09-11</x:v>
      </x:c>
      <x:c r="L2539" s="17" t="str">
        <x:v>Not cycle-specific</x:v>
      </x:c>
      <x:c r="M2539" s="17" t="str">
        <x:v>low</x:v>
      </x:c>
      <x:c r="N2539" s="17" t="str">
        <x:v>Discovery evidence only</x:v>
      </x:c>
      <x:c r="O2539" s="17" t="str">
        <x:v>Use the source_record_paths field to trace the underlying discovery inputs.</x:v>
      </x:c>
      <x:c r="P2539" s="18" t="e">
        <x:f>HYPERLINK("https://www.washington.edu","Open source")</x:f>
        <x:v>HYPERLINK is not implemented. linkLocation=https://www.washington.edu, friendlyName=Open source</x:v>
      </x:c>
    </x:row>
    <x:row r="2540" ht="46" customHeight="1">
      <x:c r="A2540" s="17" t="str">
        <x:v>stage3src:4693028bdd028c3de0fc</x:v>
      </x:c>
      <x:c r="B2540" s="17" t="str">
        <x:v>program</x:v>
      </x:c>
      <x:c r="C2540" s="17" t="str">
        <x:v>University of Washington-Seattle Campus</x:v>
      </x:c>
      <x:c r="D2540" s="17" t="str">
        <x:v>us:ipeds:236948:program:unclear:ipeds-discovery-signal-computer-and-information-sciences-general-cip-11-0101</x:v>
      </x:c>
      <x:c r="E2540" s="17" t="str"/>
      <x:c r="F2540" s="17" t="str">
        <x:v>discovery</x:v>
      </x:c>
      <x:c r="G2540" s="17" t="str">
        <x:v>Stage 2 recorded this row as a discovery candidate; it does not independently verify an exact current research program, eligibility, or funding.</x:v>
      </x:c>
      <x:c r="H2540" s="17" t="str">
        <x:v>Pass 2 Stage 2 candidate funnel</x:v>
      </x:c>
      <x:c r="I2540" s="17" t="str">
        <x:v>Graduate audit pipeline</x:v>
      </x:c>
      <x:c r="J2540" s="17" t="str">
        <x:v>derived</x:v>
      </x:c>
      <x:c r="K2540" s="17" t="str">
        <x:v>2026-09-11</x:v>
      </x:c>
      <x:c r="L2540" s="17" t="str">
        <x:v>Not cycle-specific</x:v>
      </x:c>
      <x:c r="M2540" s="17" t="str">
        <x:v>low</x:v>
      </x:c>
      <x:c r="N2540" s="17" t="str">
        <x:v>Discovery evidence only</x:v>
      </x:c>
      <x:c r="O2540" s="17" t="str">
        <x:v>Use the source_record_paths field to trace the underlying discovery inputs.</x:v>
      </x:c>
      <x:c r="P2540" s="18" t="e">
        <x:f>HYPERLINK("https://www.washington.edu","Open source")</x:f>
        <x:v>HYPERLINK is not implemented. linkLocation=https://www.washington.edu, friendlyName=Open source</x:v>
      </x:c>
    </x:row>
    <x:row r="2541" ht="46" customHeight="1">
      <x:c r="A2541" s="17" t="str">
        <x:v>stage3src:2180066863f081d5be09</x:v>
      </x:c>
      <x:c r="B2541" s="17" t="str">
        <x:v>program</x:v>
      </x:c>
      <x:c r="C2541" s="17" t="str">
        <x:v>University of Washington-Seattle Campus</x:v>
      </x:c>
      <x:c r="D2541" s="17" t="str">
        <x:v>us:ipeds:236948:program:unclear:ipeds-discovery-signal-computer-science-cip-11-0701</x:v>
      </x:c>
      <x:c r="E2541" s="17" t="str"/>
      <x:c r="F2541" s="17" t="str">
        <x:v>discovery</x:v>
      </x:c>
      <x:c r="G2541" s="17" t="str">
        <x:v>Stage 2 recorded this row as a discovery candidate; it does not independently verify an exact current research program, eligibility, or funding.</x:v>
      </x:c>
      <x:c r="H2541" s="17" t="str">
        <x:v>Pass 2 Stage 2 candidate funnel</x:v>
      </x:c>
      <x:c r="I2541" s="17" t="str">
        <x:v>Graduate audit pipeline</x:v>
      </x:c>
      <x:c r="J2541" s="17" t="str">
        <x:v>derived</x:v>
      </x:c>
      <x:c r="K2541" s="17" t="str">
        <x:v>2026-09-11</x:v>
      </x:c>
      <x:c r="L2541" s="17" t="str">
        <x:v>Not cycle-specific</x:v>
      </x:c>
      <x:c r="M2541" s="17" t="str">
        <x:v>low</x:v>
      </x:c>
      <x:c r="N2541" s="17" t="str">
        <x:v>Discovery evidence only</x:v>
      </x:c>
      <x:c r="O2541" s="17" t="str">
        <x:v>Use the source_record_paths field to trace the underlying discovery inputs.</x:v>
      </x:c>
      <x:c r="P2541" s="18" t="e">
        <x:f>HYPERLINK("https://www.washington.edu","Open source")</x:f>
        <x:v>HYPERLINK is not implemented. linkLocation=https://www.washington.edu, friendlyName=Open source</x:v>
      </x:c>
    </x:row>
    <x:row r="2542" ht="46" customHeight="1">
      <x:c r="A2542" s="17" t="str">
        <x:v>stage3src:9db7b2dc2d107b7890a2</x:v>
      </x:c>
      <x:c r="B2542" s="17" t="str">
        <x:v>program</x:v>
      </x:c>
      <x:c r="C2542" s="17" t="str">
        <x:v>University of Washington-Seattle Campus</x:v>
      </x:c>
      <x:c r="D2542" s="17" t="str">
        <x:v>us:ipeds:236948:program:unclear:ipeds-discovery-signal-electrical-and-electronics-engineering-cip-14-1001</x:v>
      </x:c>
      <x:c r="E2542" s="17" t="str"/>
      <x:c r="F2542" s="17" t="str">
        <x:v>discovery</x:v>
      </x:c>
      <x:c r="G2542" s="17" t="str">
        <x:v>Stage 2 recorded this row as a discovery candidate; it does not independently verify an exact current research program, eligibility, or funding.</x:v>
      </x:c>
      <x:c r="H2542" s="17" t="str">
        <x:v>Pass 2 Stage 2 candidate funnel</x:v>
      </x:c>
      <x:c r="I2542" s="17" t="str">
        <x:v>Graduate audit pipeline</x:v>
      </x:c>
      <x:c r="J2542" s="17" t="str">
        <x:v>derived</x:v>
      </x:c>
      <x:c r="K2542" s="17" t="str">
        <x:v>2026-09-11</x:v>
      </x:c>
      <x:c r="L2542" s="17" t="str">
        <x:v>Not cycle-specific</x:v>
      </x:c>
      <x:c r="M2542" s="17" t="str">
        <x:v>low</x:v>
      </x:c>
      <x:c r="N2542" s="17" t="str">
        <x:v>Discovery evidence only</x:v>
      </x:c>
      <x:c r="O2542" s="17" t="str">
        <x:v>Use the source_record_paths field to trace the underlying discovery inputs.</x:v>
      </x:c>
      <x:c r="P2542" s="18" t="e">
        <x:f>HYPERLINK("https://www.washington.edu","Open source")</x:f>
        <x:v>HYPERLINK is not implemented. linkLocation=https://www.washington.edu, friendlyName=Open source</x:v>
      </x:c>
    </x:row>
    <x:row r="2543" ht="46" customHeight="1">
      <x:c r="A2543" s="17" t="str">
        <x:v>stage3src:e019c4921ad380299137</x:v>
      </x:c>
      <x:c r="B2543" s="17" t="str">
        <x:v>program</x:v>
      </x:c>
      <x:c r="C2543" s="17" t="str">
        <x:v>University of Washington-Seattle Campus</x:v>
      </x:c>
      <x:c r="D2543" s="17" t="str">
        <x:v>us:ipeds:236948:program:unclear:ipeds-discovery-signal-human-centered-technology-design-cip-11-0105</x:v>
      </x:c>
      <x:c r="E2543" s="17" t="str"/>
      <x:c r="F2543" s="17" t="str">
        <x:v>discovery</x:v>
      </x:c>
      <x:c r="G2543" s="17" t="str">
        <x:v>Stage 2 recorded this row as a discovery candidate; it does not independently verify an exact current research program, eligibility, or funding.</x:v>
      </x:c>
      <x:c r="H2543" s="17" t="str">
        <x:v>Pass 2 Stage 2 candidate funnel</x:v>
      </x:c>
      <x:c r="I2543" s="17" t="str">
        <x:v>Graduate audit pipeline</x:v>
      </x:c>
      <x:c r="J2543" s="17" t="str">
        <x:v>derived</x:v>
      </x:c>
      <x:c r="K2543" s="17" t="str">
        <x:v>2026-09-11</x:v>
      </x:c>
      <x:c r="L2543" s="17" t="str">
        <x:v>Not cycle-specific</x:v>
      </x:c>
      <x:c r="M2543" s="17" t="str">
        <x:v>low</x:v>
      </x:c>
      <x:c r="N2543" s="17" t="str">
        <x:v>Discovery evidence only</x:v>
      </x:c>
      <x:c r="O2543" s="17" t="str">
        <x:v>Use the source_record_paths field to trace the underlying discovery inputs.</x:v>
      </x:c>
      <x:c r="P2543" s="18" t="e">
        <x:f>HYPERLINK("https://www.washington.edu","Open source")</x:f>
        <x:v>HYPERLINK is not implemented. linkLocation=https://www.washington.edu, friendlyName=Open source</x:v>
      </x:c>
    </x:row>
    <x:row r="2544" ht="46" customHeight="1">
      <x:c r="A2544" s="17" t="str">
        <x:v>stage3src:7ef4494c9f106d56ec07</x:v>
      </x:c>
      <x:c r="B2544" s="17" t="str">
        <x:v>program</x:v>
      </x:c>
      <x:c r="C2544" s="17" t="str">
        <x:v>University of Washington-Seattle Campus</x:v>
      </x:c>
      <x:c r="D2544" s="17" t="str">
        <x:v>us:ipeds:236948:program:unclear:ipeds-discovery-signal-information-science-studies-cip-11-0401</x:v>
      </x:c>
      <x:c r="E2544" s="17" t="str"/>
      <x:c r="F2544" s="17" t="str">
        <x:v>discovery</x:v>
      </x:c>
      <x:c r="G2544" s="17" t="str">
        <x:v>Stage 2 recorded this row as a discovery candidate; it does not independently verify an exact current research program, eligibility, or funding.</x:v>
      </x:c>
      <x:c r="H2544" s="17" t="str">
        <x:v>Pass 2 Stage 2 candidate funnel</x:v>
      </x:c>
      <x:c r="I2544" s="17" t="str">
        <x:v>Graduate audit pipeline</x:v>
      </x:c>
      <x:c r="J2544" s="17" t="str">
        <x:v>derived</x:v>
      </x:c>
      <x:c r="K2544" s="17" t="str">
        <x:v>2026-09-11</x:v>
      </x:c>
      <x:c r="L2544" s="17" t="str">
        <x:v>Not cycle-specific</x:v>
      </x:c>
      <x:c r="M2544" s="17" t="str">
        <x:v>low</x:v>
      </x:c>
      <x:c r="N2544" s="17" t="str">
        <x:v>Discovery evidence only</x:v>
      </x:c>
      <x:c r="O2544" s="17" t="str">
        <x:v>Use the source_record_paths field to trace the underlying discovery inputs.</x:v>
      </x:c>
      <x:c r="P2544" s="18" t="e">
        <x:f>HYPERLINK("https://www.washington.edu","Open source")</x:f>
        <x:v>HYPERLINK is not implemented. linkLocation=https://www.washington.edu, friendlyName=Open source</x:v>
      </x:c>
    </x:row>
    <x:row r="2545" ht="46" customHeight="1">
      <x:c r="A2545" s="17" t="str">
        <x:v>stage3src:251cf8ffab60d9d73db6</x:v>
      </x:c>
      <x:c r="B2545" s="17" t="str">
        <x:v>program</x:v>
      </x:c>
      <x:c r="C2545" s="17" t="str">
        <x:v>University of Washington-Seattle Campus</x:v>
      </x:c>
      <x:c r="D2545" s="17" t="str">
        <x:v>us:ipeds:236948:program:unclear:ipeds-discovery-signal-information-technology-cip-11-0103</x:v>
      </x:c>
      <x:c r="E2545" s="17" t="str"/>
      <x:c r="F2545" s="17" t="str">
        <x:v>discovery</x:v>
      </x:c>
      <x:c r="G2545" s="17" t="str">
        <x:v>Stage 2 recorded this row as a discovery candidate; it does not independently verify an exact current research program, eligibility, or funding.</x:v>
      </x:c>
      <x:c r="H2545" s="17" t="str">
        <x:v>Pass 2 Stage 2 candidate funnel</x:v>
      </x:c>
      <x:c r="I2545" s="17" t="str">
        <x:v>Graduate audit pipeline</x:v>
      </x:c>
      <x:c r="J2545" s="17" t="str">
        <x:v>derived</x:v>
      </x:c>
      <x:c r="K2545" s="17" t="str">
        <x:v>2026-09-11</x:v>
      </x:c>
      <x:c r="L2545" s="17" t="str">
        <x:v>Not cycle-specific</x:v>
      </x:c>
      <x:c r="M2545" s="17" t="str">
        <x:v>low</x:v>
      </x:c>
      <x:c r="N2545" s="17" t="str">
        <x:v>Discovery evidence only</x:v>
      </x:c>
      <x:c r="O2545" s="17" t="str">
        <x:v>Use the source_record_paths field to trace the underlying discovery inputs.</x:v>
      </x:c>
      <x:c r="P2545" s="18" t="e">
        <x:f>HYPERLINK("https://www.washington.edu","Open source")</x:f>
        <x:v>HYPERLINK is not implemented. linkLocation=https://www.washington.edu, friendlyName=Open source</x:v>
      </x:c>
    </x:row>
    <x:row r="2546" ht="46" customHeight="1">
      <x:c r="A2546" s="17" t="str">
        <x:v>stage3src:c0873c03e815177279dc</x:v>
      </x:c>
      <x:c r="B2546" s="17" t="str">
        <x:v>program</x:v>
      </x:c>
      <x:c r="C2546" s="17" t="str">
        <x:v>Western Washington University</x:v>
      </x:c>
      <x:c r="D2546" s="17" t="str">
        <x:v>us:ipeds:237011:program:unclear:ipeds-discovery-signal-computer-and-information-sciences-general-cip-11-0101</x:v>
      </x:c>
      <x:c r="E2546" s="17" t="str"/>
      <x:c r="F2546" s="17" t="str">
        <x:v>discovery</x:v>
      </x:c>
      <x:c r="G2546" s="17" t="str">
        <x:v>Stage 2 recorded this row as a discovery candidate; it does not independently verify an exact current research program, eligibility, or funding.</x:v>
      </x:c>
      <x:c r="H2546" s="17" t="str">
        <x:v>Pass 2 Stage 2 candidate funnel</x:v>
      </x:c>
      <x:c r="I2546" s="17" t="str">
        <x:v>Graduate audit pipeline</x:v>
      </x:c>
      <x:c r="J2546" s="17" t="str">
        <x:v>derived</x:v>
      </x:c>
      <x:c r="K2546" s="17" t="str">
        <x:v>2026-09-11</x:v>
      </x:c>
      <x:c r="L2546" s="17" t="str">
        <x:v>Not cycle-specific</x:v>
      </x:c>
      <x:c r="M2546" s="17" t="str">
        <x:v>low</x:v>
      </x:c>
      <x:c r="N2546" s="17" t="str">
        <x:v>Discovery evidence only</x:v>
      </x:c>
      <x:c r="O2546" s="17" t="str">
        <x:v>Use the source_record_paths field to trace the underlying discovery inputs.</x:v>
      </x:c>
      <x:c r="P2546" s="18" t="e">
        <x:f>HYPERLINK("https://wwu.edu","Open source")</x:f>
        <x:v>HYPERLINK is not implemented. linkLocation=https://wwu.edu, friendlyName=Open source</x:v>
      </x:c>
    </x:row>
    <x:row r="2547" ht="46" customHeight="1">
      <x:c r="A2547" s="17" t="str">
        <x:v>stage3src:b884b836a044267ae158</x:v>
      </x:c>
      <x:c r="B2547" s="17" t="str">
        <x:v>program</x:v>
      </x:c>
      <x:c r="C2547" s="17" t="str">
        <x:v>University of Charleston</x:v>
      </x:c>
      <x:c r="D2547" s="17" t="str">
        <x:v>us:ipeds:237312:program:unclear:ipeds-discovery-signal-cyber-computer-forensics-and-counterterrorism-cip-43-0403</x:v>
      </x:c>
      <x:c r="E2547" s="17" t="str"/>
      <x:c r="F2547" s="17" t="str">
        <x:v>discovery</x:v>
      </x:c>
      <x:c r="G2547" s="17" t="str">
        <x:v>Stage 2 recorded this row as a discovery candidate; it does not independently verify an exact current research program, eligibility, or funding.</x:v>
      </x:c>
      <x:c r="H2547" s="17" t="str">
        <x:v>Pass 2 Stage 2 candidate funnel</x:v>
      </x:c>
      <x:c r="I2547" s="17" t="str">
        <x:v>Graduate audit pipeline</x:v>
      </x:c>
      <x:c r="J2547" s="17" t="str">
        <x:v>derived</x:v>
      </x:c>
      <x:c r="K2547" s="17" t="str">
        <x:v>2026-09-11</x:v>
      </x:c>
      <x:c r="L2547" s="17" t="str">
        <x:v>Not cycle-specific</x:v>
      </x:c>
      <x:c r="M2547" s="17" t="str">
        <x:v>low</x:v>
      </x:c>
      <x:c r="N2547" s="17" t="str">
        <x:v>Discovery evidence only</x:v>
      </x:c>
      <x:c r="O2547" s="17" t="str">
        <x:v>Use the source_record_paths field to trace the underlying discovery inputs.</x:v>
      </x:c>
      <x:c r="P2547" s="18" t="e">
        <x:f>HYPERLINK("https://www.ucwv.edu","Open source")</x:f>
        <x:v>HYPERLINK is not implemented. linkLocation=https://www.ucwv.edu, friendlyName=Open source</x:v>
      </x:c>
    </x:row>
    <x:row r="2548" ht="46" customHeight="1">
      <x:c r="A2548" s="17" t="str">
        <x:v>stage3src:ff4d753a233c696eed60</x:v>
      </x:c>
      <x:c r="B2548" s="17" t="str">
        <x:v>program</x:v>
      </x:c>
      <x:c r="C2548" s="17" t="str">
        <x:v>Marshall University</x:v>
      </x:c>
      <x:c r="D2548" s="17" t="str">
        <x:v>us:ipeds:237525:program:unclear:ipeds-discovery-signal-computer-and-information-sciences-general-cip-11-0101</x:v>
      </x:c>
      <x:c r="E2548" s="17" t="str"/>
      <x:c r="F2548" s="17" t="str">
        <x:v>discovery</x:v>
      </x:c>
      <x:c r="G2548" s="17" t="str">
        <x:v>Stage 2 recorded this row as a discovery candidate; it does not independently verify an exact current research program, eligibility, or funding.</x:v>
      </x:c>
      <x:c r="H2548" s="17" t="str">
        <x:v>Pass 2 Stage 2 candidate funnel</x:v>
      </x:c>
      <x:c r="I2548" s="17" t="str">
        <x:v>Graduate audit pipeline</x:v>
      </x:c>
      <x:c r="J2548" s="17" t="str">
        <x:v>derived</x:v>
      </x:c>
      <x:c r="K2548" s="17" t="str">
        <x:v>2026-09-11</x:v>
      </x:c>
      <x:c r="L2548" s="17" t="str">
        <x:v>Not cycle-specific</x:v>
      </x:c>
      <x:c r="M2548" s="17" t="str">
        <x:v>low</x:v>
      </x:c>
      <x:c r="N2548" s="17" t="str">
        <x:v>Discovery evidence only</x:v>
      </x:c>
      <x:c r="O2548" s="17" t="str">
        <x:v>Use the source_record_paths field to trace the underlying discovery inputs.</x:v>
      </x:c>
      <x:c r="P2548" s="18" t="e">
        <x:f>HYPERLINK("https://www.marshall.edu","Open source")</x:f>
        <x:v>HYPERLINK is not implemented. linkLocation=https://www.marshall.edu, friendlyName=Open source</x:v>
      </x:c>
    </x:row>
    <x:row r="2549" ht="46" customHeight="1">
      <x:c r="A2549" s="17" t="str">
        <x:v>stage3src:3482120f13518355cfc4</x:v>
      </x:c>
      <x:c r="B2549" s="17" t="str">
        <x:v>program</x:v>
      </x:c>
      <x:c r="C2549" s="17" t="str">
        <x:v>Marshall University</x:v>
      </x:c>
      <x:c r="D2549" s="17" t="str">
        <x:v>us:ipeds:237525:program:unclear:ipeds-discovery-signal-computer-and-information-systems-security-auditing-information-assurance-cip-11-1003</x:v>
      </x:c>
      <x:c r="E2549" s="17" t="str"/>
      <x:c r="F2549" s="17" t="str">
        <x:v>discovery</x:v>
      </x:c>
      <x:c r="G2549" s="17" t="str">
        <x:v>Stage 2 recorded this row as a discovery candidate; it does not independently verify an exact current research program, eligibility, or funding.</x:v>
      </x:c>
      <x:c r="H2549" s="17" t="str">
        <x:v>Pass 2 Stage 2 candidate funnel</x:v>
      </x:c>
      <x:c r="I2549" s="17" t="str">
        <x:v>Graduate audit pipeline</x:v>
      </x:c>
      <x:c r="J2549" s="17" t="str">
        <x:v>derived</x:v>
      </x:c>
      <x:c r="K2549" s="17" t="str">
        <x:v>2026-09-11</x:v>
      </x:c>
      <x:c r="L2549" s="17" t="str">
        <x:v>Not cycle-specific</x:v>
      </x:c>
      <x:c r="M2549" s="17" t="str">
        <x:v>low</x:v>
      </x:c>
      <x:c r="N2549" s="17" t="str">
        <x:v>Discovery evidence only</x:v>
      </x:c>
      <x:c r="O2549" s="17" t="str">
        <x:v>Use the source_record_paths field to trace the underlying discovery inputs.</x:v>
      </x:c>
      <x:c r="P2549" s="18" t="e">
        <x:f>HYPERLINK("https://www.marshall.edu","Open source")</x:f>
        <x:v>HYPERLINK is not implemented. linkLocation=https://www.marshall.edu, friendlyName=Open source</x:v>
      </x:c>
    </x:row>
    <x:row r="2550" ht="46" customHeight="1">
      <x:c r="A2550" s="17" t="str">
        <x:v>stage3src:bf1e17412d4dffcd7a26</x:v>
      </x:c>
      <x:c r="B2550" s="17" t="str">
        <x:v>program</x:v>
      </x:c>
      <x:c r="C2550" s="17" t="str">
        <x:v>Marshall University</x:v>
      </x:c>
      <x:c r="D2550" s="17" t="str">
        <x:v>us:ipeds:237525:program:unclear:ipeds-discovery-signal-cyber-computer-forensics-and-counterterrorism-cip-43-0403</x:v>
      </x:c>
      <x:c r="E2550" s="17" t="str"/>
      <x:c r="F2550" s="17" t="str">
        <x:v>discovery</x:v>
      </x:c>
      <x:c r="G2550" s="17" t="str">
        <x:v>Stage 2 recorded this row as a discovery candidate; it does not independently verify an exact current research program, eligibility, or funding.</x:v>
      </x:c>
      <x:c r="H2550" s="17" t="str">
        <x:v>Pass 2 Stage 2 candidate funnel</x:v>
      </x:c>
      <x:c r="I2550" s="17" t="str">
        <x:v>Graduate audit pipeline</x:v>
      </x:c>
      <x:c r="J2550" s="17" t="str">
        <x:v>derived</x:v>
      </x:c>
      <x:c r="K2550" s="17" t="str">
        <x:v>2026-09-11</x:v>
      </x:c>
      <x:c r="L2550" s="17" t="str">
        <x:v>Not cycle-specific</x:v>
      </x:c>
      <x:c r="M2550" s="17" t="str">
        <x:v>low</x:v>
      </x:c>
      <x:c r="N2550" s="17" t="str">
        <x:v>Discovery evidence only</x:v>
      </x:c>
      <x:c r="O2550" s="17" t="str">
        <x:v>Use the source_record_paths field to trace the underlying discovery inputs.</x:v>
      </x:c>
      <x:c r="P2550" s="18" t="e">
        <x:f>HYPERLINK("https://www.marshall.edu","Open source")</x:f>
        <x:v>HYPERLINK is not implemented. linkLocation=https://www.marshall.edu, friendlyName=Open source</x:v>
      </x:c>
    </x:row>
    <x:row r="2551" ht="46" customHeight="1">
      <x:c r="A2551" s="17" t="str">
        <x:v>stage3src:c8242929a15f2da458dc</x:v>
      </x:c>
      <x:c r="B2551" s="17" t="str">
        <x:v>program</x:v>
      </x:c>
      <x:c r="C2551" s="17" t="str">
        <x:v>Marshall University</x:v>
      </x:c>
      <x:c r="D2551" s="17" t="str">
        <x:v>us:ipeds:237525:program:unclear:ipeds-discovery-signal-data-science-general-cip-30-7001</x:v>
      </x:c>
      <x:c r="E2551" s="17" t="str"/>
      <x:c r="F2551" s="17" t="str">
        <x:v>discovery</x:v>
      </x:c>
      <x:c r="G2551" s="17" t="str">
        <x:v>Stage 2 recorded this row as a discovery candidate; it does not independently verify an exact current research program, eligibility, or funding.</x:v>
      </x:c>
      <x:c r="H2551" s="17" t="str">
        <x:v>Pass 2 Stage 2 candidate funnel</x:v>
      </x:c>
      <x:c r="I2551" s="17" t="str">
        <x:v>Graduate audit pipeline</x:v>
      </x:c>
      <x:c r="J2551" s="17" t="str">
        <x:v>derived</x:v>
      </x:c>
      <x:c r="K2551" s="17" t="str">
        <x:v>2026-09-11</x:v>
      </x:c>
      <x:c r="L2551" s="17" t="str">
        <x:v>Not cycle-specific</x:v>
      </x:c>
      <x:c r="M2551" s="17" t="str">
        <x:v>low</x:v>
      </x:c>
      <x:c r="N2551" s="17" t="str">
        <x:v>Discovery evidence only</x:v>
      </x:c>
      <x:c r="O2551" s="17" t="str">
        <x:v>Use the source_record_paths field to trace the underlying discovery inputs.</x:v>
      </x:c>
      <x:c r="P2551" s="18" t="e">
        <x:f>HYPERLINK("https://www.marshall.edu","Open source")</x:f>
        <x:v>HYPERLINK is not implemented. linkLocation=https://www.marshall.edu, friendlyName=Open source</x:v>
      </x:c>
    </x:row>
    <x:row r="2552" ht="46" customHeight="1">
      <x:c r="A2552" s="17" t="str">
        <x:v>stage3src:e14d8fbeed01a2d0f742</x:v>
      </x:c>
      <x:c r="B2552" s="17" t="str">
        <x:v>program</x:v>
      </x:c>
      <x:c r="C2552" s="17" t="str">
        <x:v>Marshall University</x:v>
      </x:c>
      <x:c r="D2552" s="17" t="str">
        <x:v>us:ipeds:237525:program:unclear:ipeds-discovery-signal-electrical-and-electronics-engineering-cip-14-1001</x:v>
      </x:c>
      <x:c r="E2552" s="17" t="str"/>
      <x:c r="F2552" s="17" t="str">
        <x:v>discovery</x:v>
      </x:c>
      <x:c r="G2552" s="17" t="str">
        <x:v>Stage 2 recorded this row as a discovery candidate; it does not independently verify an exact current research program, eligibility, or funding.</x:v>
      </x:c>
      <x:c r="H2552" s="17" t="str">
        <x:v>Pass 2 Stage 2 candidate funnel</x:v>
      </x:c>
      <x:c r="I2552" s="17" t="str">
        <x:v>Graduate audit pipeline</x:v>
      </x:c>
      <x:c r="J2552" s="17" t="str">
        <x:v>derived</x:v>
      </x:c>
      <x:c r="K2552" s="17" t="str">
        <x:v>2026-09-11</x:v>
      </x:c>
      <x:c r="L2552" s="17" t="str">
        <x:v>Not cycle-specific</x:v>
      </x:c>
      <x:c r="M2552" s="17" t="str">
        <x:v>low</x:v>
      </x:c>
      <x:c r="N2552" s="17" t="str">
        <x:v>Discovery evidence only</x:v>
      </x:c>
      <x:c r="O2552" s="17" t="str">
        <x:v>Use the source_record_paths field to trace the underlying discovery inputs.</x:v>
      </x:c>
      <x:c r="P2552" s="18" t="e">
        <x:f>HYPERLINK("https://www.marshall.edu","Open source")</x:f>
        <x:v>HYPERLINK is not implemented. linkLocation=https://www.marshall.edu, friendlyName=Open source</x:v>
      </x:c>
    </x:row>
    <x:row r="2553" ht="46" customHeight="1">
      <x:c r="A2553" s="17" t="str">
        <x:v>stage3src:17e2afa1c489e0791f2b</x:v>
      </x:c>
      <x:c r="B2553" s="17" t="str">
        <x:v>program</x:v>
      </x:c>
      <x:c r="C2553" s="17" t="str">
        <x:v>Marshall University</x:v>
      </x:c>
      <x:c r="D2553" s="17" t="str">
        <x:v>us:ipeds:237525:program:unclear:ipeds-discovery-signal-information-science-studies-cip-11-0401</x:v>
      </x:c>
      <x:c r="E2553" s="17" t="str"/>
      <x:c r="F2553" s="17" t="str">
        <x:v>discovery</x:v>
      </x:c>
      <x:c r="G2553" s="17" t="str">
        <x:v>Stage 2 recorded this row as a discovery candidate; it does not independently verify an exact current research program, eligibility, or funding.</x:v>
      </x:c>
      <x:c r="H2553" s="17" t="str">
        <x:v>Pass 2 Stage 2 candidate funnel</x:v>
      </x:c>
      <x:c r="I2553" s="17" t="str">
        <x:v>Graduate audit pipeline</x:v>
      </x:c>
      <x:c r="J2553" s="17" t="str">
        <x:v>derived</x:v>
      </x:c>
      <x:c r="K2553" s="17" t="str">
        <x:v>2026-09-11</x:v>
      </x:c>
      <x:c r="L2553" s="17" t="str">
        <x:v>Not cycle-specific</x:v>
      </x:c>
      <x:c r="M2553" s="17" t="str">
        <x:v>low</x:v>
      </x:c>
      <x:c r="N2553" s="17" t="str">
        <x:v>Discovery evidence only</x:v>
      </x:c>
      <x:c r="O2553" s="17" t="str">
        <x:v>Use the source_record_paths field to trace the underlying discovery inputs.</x:v>
      </x:c>
      <x:c r="P2553" s="18" t="e">
        <x:f>HYPERLINK("https://www.marshall.edu","Open source")</x:f>
        <x:v>HYPERLINK is not implemented. linkLocation=https://www.marshall.edu, friendlyName=Open source</x:v>
      </x:c>
    </x:row>
    <x:row r="2554" ht="46" customHeight="1">
      <x:c r="A2554" s="17" t="str">
        <x:v>stage3src:52076365ba71b051ab6f</x:v>
      </x:c>
      <x:c r="B2554" s="17" t="str">
        <x:v>program</x:v>
      </x:c>
      <x:c r="C2554" s="17" t="str">
        <x:v>Salem University</x:v>
      </x:c>
      <x:c r="D2554" s="17" t="str">
        <x:v>us:ipeds:237783:program:unclear:ipeds-discovery-signal-cyber-computer-forensics-and-counterterrorism-cip-43-0403</x:v>
      </x:c>
      <x:c r="E2554" s="17" t="str"/>
      <x:c r="F2554" s="17" t="str">
        <x:v>discovery</x:v>
      </x:c>
      <x:c r="G2554" s="17" t="str">
        <x:v>Stage 2 recorded this row as a discovery candidate; it does not independently verify an exact current research program, eligibility, or funding.</x:v>
      </x:c>
      <x:c r="H2554" s="17" t="str">
        <x:v>Pass 2 Stage 2 candidate funnel</x:v>
      </x:c>
      <x:c r="I2554" s="17" t="str">
        <x:v>Graduate audit pipeline</x:v>
      </x:c>
      <x:c r="J2554" s="17" t="str">
        <x:v>derived</x:v>
      </x:c>
      <x:c r="K2554" s="17" t="str">
        <x:v>2026-09-11</x:v>
      </x:c>
      <x:c r="L2554" s="17" t="str">
        <x:v>Not cycle-specific</x:v>
      </x:c>
      <x:c r="M2554" s="17" t="str">
        <x:v>low</x:v>
      </x:c>
      <x:c r="N2554" s="17" t="str">
        <x:v>Discovery evidence only</x:v>
      </x:c>
      <x:c r="O2554" s="17" t="str">
        <x:v>Use the source_record_paths field to trace the underlying discovery inputs.</x:v>
      </x:c>
      <x:c r="P2554" s="18" t="e">
        <x:f>HYPERLINK("https://www.salemu.edu","Open source")</x:f>
        <x:v>HYPERLINK is not implemented. linkLocation=https://www.salemu.edu, friendlyName=Open source</x:v>
      </x:c>
    </x:row>
    <x:row r="2555" ht="46" customHeight="1">
      <x:c r="A2555" s="17" t="str">
        <x:v>stage3src:3b53e5a724f7ac841b2e</x:v>
      </x:c>
      <x:c r="B2555" s="17" t="str">
        <x:v>program</x:v>
      </x:c>
      <x:c r="C2555" s="17" t="str">
        <x:v>Salem University</x:v>
      </x:c>
      <x:c r="D2555" s="17" t="str">
        <x:v>us:ipeds:237783:program:unclear:ipeds-discovery-signal-information-technology-cip-11-0103</x:v>
      </x:c>
      <x:c r="E2555" s="17" t="str"/>
      <x:c r="F2555" s="17" t="str">
        <x:v>discovery</x:v>
      </x:c>
      <x:c r="G2555" s="17" t="str">
        <x:v>Stage 2 recorded this row as a discovery candidate; it does not independently verify an exact current research program, eligibility, or funding.</x:v>
      </x:c>
      <x:c r="H2555" s="17" t="str">
        <x:v>Pass 2 Stage 2 candidate funnel</x:v>
      </x:c>
      <x:c r="I2555" s="17" t="str">
        <x:v>Graduate audit pipeline</x:v>
      </x:c>
      <x:c r="J2555" s="17" t="str">
        <x:v>derived</x:v>
      </x:c>
      <x:c r="K2555" s="17" t="str">
        <x:v>2026-09-11</x:v>
      </x:c>
      <x:c r="L2555" s="17" t="str">
        <x:v>Not cycle-specific</x:v>
      </x:c>
      <x:c r="M2555" s="17" t="str">
        <x:v>low</x:v>
      </x:c>
      <x:c r="N2555" s="17" t="str">
        <x:v>Discovery evidence only</x:v>
      </x:c>
      <x:c r="O2555" s="17" t="str">
        <x:v>Use the source_record_paths field to trace the underlying discovery inputs.</x:v>
      </x:c>
      <x:c r="P2555" s="18" t="e">
        <x:f>HYPERLINK("https://www.salemu.edu","Open source")</x:f>
        <x:v>HYPERLINK is not implemented. linkLocation=https://www.salemu.edu, friendlyName=Open source</x:v>
      </x:c>
    </x:row>
    <x:row r="2556" ht="46" customHeight="1">
      <x:c r="A2556" s="17" t="str">
        <x:v>stage3src:76057e5b090ef4fc917b</x:v>
      </x:c>
      <x:c r="B2556" s="17" t="str">
        <x:v>program</x:v>
      </x:c>
      <x:c r="C2556" s="17" t="str">
        <x:v>West Virginia State University</x:v>
      </x:c>
      <x:c r="D2556" s="17" t="str">
        <x:v>us:ipeds:237899:program:unclear:ipeds-discovery-signal-computer-science-cip-11-0701</x:v>
      </x:c>
      <x:c r="E2556" s="17" t="str"/>
      <x:c r="F2556" s="17" t="str">
        <x:v>discovery</x:v>
      </x:c>
      <x:c r="G2556" s="17" t="str">
        <x:v>Stage 2 recorded this row as a discovery candidate; it does not independently verify an exact current research program, eligibility, or funding.</x:v>
      </x:c>
      <x:c r="H2556" s="17" t="str">
        <x:v>Pass 2 Stage 2 candidate funnel</x:v>
      </x:c>
      <x:c r="I2556" s="17" t="str">
        <x:v>Graduate audit pipeline</x:v>
      </x:c>
      <x:c r="J2556" s="17" t="str">
        <x:v>derived</x:v>
      </x:c>
      <x:c r="K2556" s="17" t="str">
        <x:v>2026-09-11</x:v>
      </x:c>
      <x:c r="L2556" s="17" t="str">
        <x:v>Not cycle-specific</x:v>
      </x:c>
      <x:c r="M2556" s="17" t="str">
        <x:v>low</x:v>
      </x:c>
      <x:c r="N2556" s="17" t="str">
        <x:v>Discovery evidence only</x:v>
      </x:c>
      <x:c r="O2556" s="17" t="str">
        <x:v>Use the source_record_paths field to trace the underlying discovery inputs.</x:v>
      </x:c>
      <x:c r="P2556" s="18" t="e">
        <x:f>HYPERLINK("https://www.wvstateu.edu","Open source")</x:f>
        <x:v>HYPERLINK is not implemented. linkLocation=https://www.wvstateu.edu, friendlyName=Open source</x:v>
      </x:c>
    </x:row>
    <x:row r="2557" ht="46" customHeight="1">
      <x:c r="A2557" s="17" t="str">
        <x:v>stage3src:0c8a8885ba0be3cd8031</x:v>
      </x:c>
      <x:c r="B2557" s="17" t="str">
        <x:v>program</x:v>
      </x:c>
      <x:c r="C2557" s="17" t="str">
        <x:v>West Virginia University</x:v>
      </x:c>
      <x:c r="D2557" s="17" t="str">
        <x:v>us:ipeds:238032:program:phd:ph-d-in-computer-science-and-information-science</x:v>
      </x:c>
      <x:c r="E2557" s="17" t="str"/>
      <x:c r="F2557" s="17" t="str">
        <x:v>program|research|eligibility|admissions</x:v>
      </x:c>
      <x:c r="G2557" s="17" t="str">
        <x:v>Current 2026-27 PhD, original-research requirement, bachelor's route, additional preparation, GPA, and typical duration.</x:v>
      </x:c>
      <x:c r="H2557" s="17" t="str">
        <x:v>Computer Science, Ph.D.</x:v>
      </x:c>
      <x:c r="I2557" s="17" t="str">
        <x:v>West Virginia University Academic Catalog</x:v>
      </x:c>
      <x:c r="J2557" s="17" t="str">
        <x:v>official</x:v>
      </x:c>
      <x:c r="K2557" s="17" t="str">
        <x:v>2026-09-10</x:v>
      </x:c>
      <x:c r="L2557" s="17" t="str">
        <x:v>2026-27 catalog checked 2026-09-11</x:v>
      </x:c>
      <x:c r="M2557" s="17" t="str">
        <x:v>high</x:v>
      </x:c>
      <x:c r="N2557" s="17" t="str">
        <x:v>official page checked</x:v>
      </x:c>
      <x:c r="O2557" s="17" t="str"/>
      <x:c r="P2557" s="18" t="e">
        <x:f>HYPERLINK("https://catalog.wvu.edu/graduate/collegeofengineeringandmineralresources/thelanedepartmentofcomputerscienceandelectricalengineering/cs/phd/","Open source")</x:f>
        <x:v>HYPERLINK is not implemented. linkLocation=https://catalog.wvu.edu/graduate/collegeofengineeringandmineralresources/thelanedepartmentofcomputerscienceandelectricalengineering/cs/phd/, friendlyName=Open source</x:v>
      </x:c>
    </x:row>
    <x:row r="2558" ht="46" customHeight="1">
      <x:c r="A2558" s="17" t="str">
        <x:v>stage3src:973f5b4625b0e12cc616</x:v>
      </x:c>
      <x:c r="B2558" s="17" t="str">
        <x:v>program</x:v>
      </x:c>
      <x:c r="C2558" s="17" t="str">
        <x:v>West Virginia University</x:v>
      </x:c>
      <x:c r="D2558" s="17" t="str">
        <x:v>us:ipeds:238032:program:phd:ph-d-in-computer-science-and-information-science</x:v>
      </x:c>
      <x:c r="E2558" s="17" t="str"/>
      <x:c r="F2558" s="17" t="str">
        <x:v>program|admissions|funding|tuition|fees</x:v>
      </x:c>
      <x:c r="G2558" s="17" t="str">
        <x:v>Departmental graduate routes, GTA/GRA support, best-effort limitation, and tuition-waiver exclusions.</x:v>
      </x:c>
      <x:c r="H2558" s="17" t="str">
        <x:v>Graduate programs</x:v>
      </x:c>
      <x:c r="I2558" s="17" t="str">
        <x:v>WVU Lane Department of Computer Science and Electrical Engineering</x:v>
      </x:c>
      <x:c r="J2558" s="17" t="str">
        <x:v>official</x:v>
      </x:c>
      <x:c r="K2558" s="17" t="str">
        <x:v>2026-09-10</x:v>
      </x:c>
      <x:c r="L2558" s="17" t="str">
        <x:v>Current page checked 2026-09-11</x:v>
      </x:c>
      <x:c r="M2558" s="17" t="str">
        <x:v>high</x:v>
      </x:c>
      <x:c r="N2558" s="17" t="str">
        <x:v>official page checked</x:v>
      </x:c>
      <x:c r="O2558" s="17" t="str"/>
      <x:c r="P2558" s="18" t="e">
        <x:f>HYPERLINK("https://lcsee.statler.wvu.edu/graduate","Open source")</x:f>
        <x:v>HYPERLINK is not implemented. linkLocation=https://lcsee.statler.wvu.edu/graduate, friendlyName=Open source</x:v>
      </x:c>
    </x:row>
    <x:row r="2559" ht="46" customHeight="1">
      <x:c r="A2559" s="17" t="str">
        <x:v>stage3src:5f6560fec68d82fb6e04</x:v>
      </x:c>
      <x:c r="B2559" s="17" t="str">
        <x:v>program</x:v>
      </x:c>
      <x:c r="C2559" s="17" t="str">
        <x:v>West Virginia University</x:v>
      </x:c>
      <x:c r="D2559" s="17" t="str">
        <x:v>us:ipeds:238032:program:unclear:ipeds-discovery-signal-computer-and-information-systems-security-auditing-information-assurance-cip-11-1003</x:v>
      </x:c>
      <x:c r="E2559" s="17" t="str"/>
      <x:c r="F2559" s="17" t="str">
        <x:v>discovery</x:v>
      </x:c>
      <x:c r="G2559" s="17" t="str">
        <x:v>Stage 2 recorded this row as a discovery candidate; it does not independently verify an exact current research program, eligibility, or funding.</x:v>
      </x:c>
      <x:c r="H2559" s="17" t="str">
        <x:v>Pass 2 Stage 2 candidate funnel</x:v>
      </x:c>
      <x:c r="I2559" s="17" t="str">
        <x:v>Graduate audit pipeline</x:v>
      </x:c>
      <x:c r="J2559" s="17" t="str">
        <x:v>derived</x:v>
      </x:c>
      <x:c r="K2559" s="17" t="str">
        <x:v>2026-09-11</x:v>
      </x:c>
      <x:c r="L2559" s="17" t="str">
        <x:v>Not cycle-specific</x:v>
      </x:c>
      <x:c r="M2559" s="17" t="str">
        <x:v>low</x:v>
      </x:c>
      <x:c r="N2559" s="17" t="str">
        <x:v>Discovery evidence only</x:v>
      </x:c>
      <x:c r="O2559" s="17" t="str">
        <x:v>Use the source_record_paths field to trace the underlying discovery inputs.</x:v>
      </x:c>
      <x:c r="P2559" s="18" t="e">
        <x:f>HYPERLINK("https://www.wvu.edu","Open source")</x:f>
        <x:v>HYPERLINK is not implemented. linkLocation=https://www.wvu.edu, friendlyName=Open source</x:v>
      </x:c>
    </x:row>
    <x:row r="2560" ht="46" customHeight="1">
      <x:c r="A2560" s="17" t="str">
        <x:v>stage3src:d66b4e3cb66ec127dfb9</x:v>
      </x:c>
      <x:c r="B2560" s="17" t="str">
        <x:v>program</x:v>
      </x:c>
      <x:c r="C2560" s="17" t="str">
        <x:v>West Virginia University</x:v>
      </x:c>
      <x:c r="D2560" s="17" t="str">
        <x:v>us:ipeds:238032:program:unclear:ipeds-discovery-signal-computer-science-cip-11-0701</x:v>
      </x:c>
      <x:c r="E2560" s="17" t="str"/>
      <x:c r="F2560" s="17" t="str">
        <x:v>discovery</x:v>
      </x:c>
      <x:c r="G2560" s="17" t="str">
        <x:v>Stage 2 recorded this row as a discovery candidate; it does not independently verify an exact current research program, eligibility, or funding.</x:v>
      </x:c>
      <x:c r="H2560" s="17" t="str">
        <x:v>Pass 2 Stage 2 candidate funnel</x:v>
      </x:c>
      <x:c r="I2560" s="17" t="str">
        <x:v>Graduate audit pipeline</x:v>
      </x:c>
      <x:c r="J2560" s="17" t="str">
        <x:v>derived</x:v>
      </x:c>
      <x:c r="K2560" s="17" t="str">
        <x:v>2026-09-11</x:v>
      </x:c>
      <x:c r="L2560" s="17" t="str">
        <x:v>Not cycle-specific</x:v>
      </x:c>
      <x:c r="M2560" s="17" t="str">
        <x:v>low</x:v>
      </x:c>
      <x:c r="N2560" s="17" t="str">
        <x:v>Discovery evidence only</x:v>
      </x:c>
      <x:c r="O2560" s="17" t="str">
        <x:v>Use the source_record_paths field to trace the underlying discovery inputs.</x:v>
      </x:c>
      <x:c r="P2560" s="18" t="e">
        <x:f>HYPERLINK("https://www.wvu.edu","Open source")</x:f>
        <x:v>HYPERLINK is not implemented. linkLocation=https://www.wvu.edu, friendlyName=Open source</x:v>
      </x:c>
    </x:row>
    <x:row r="2561" ht="46" customHeight="1">
      <x:c r="A2561" s="17" t="str">
        <x:v>stage3src:d96922cd1e2656c67420</x:v>
      </x:c>
      <x:c r="B2561" s="17" t="str">
        <x:v>program</x:v>
      </x:c>
      <x:c r="C2561" s="17" t="str">
        <x:v>West Virginia University</x:v>
      </x:c>
      <x:c r="D2561" s="17" t="str">
        <x:v>us:ipeds:238032:program:unclear:ipeds-discovery-signal-computer-software-engineering-cip-14-0903</x:v>
      </x:c>
      <x:c r="E2561" s="17" t="str"/>
      <x:c r="F2561" s="17" t="str">
        <x:v>discovery</x:v>
      </x:c>
      <x:c r="G2561" s="17" t="str">
        <x:v>Stage 2 recorded this row as a discovery candidate; it does not independently verify an exact current research program, eligibility, or funding.</x:v>
      </x:c>
      <x:c r="H2561" s="17" t="str">
        <x:v>Pass 2 Stage 2 candidate funnel</x:v>
      </x:c>
      <x:c r="I2561" s="17" t="str">
        <x:v>Graduate audit pipeline</x:v>
      </x:c>
      <x:c r="J2561" s="17" t="str">
        <x:v>derived</x:v>
      </x:c>
      <x:c r="K2561" s="17" t="str">
        <x:v>2026-09-11</x:v>
      </x:c>
      <x:c r="L2561" s="17" t="str">
        <x:v>Not cycle-specific</x:v>
      </x:c>
      <x:c r="M2561" s="17" t="str">
        <x:v>low</x:v>
      </x:c>
      <x:c r="N2561" s="17" t="str">
        <x:v>Discovery evidence only</x:v>
      </x:c>
      <x:c r="O2561" s="17" t="str">
        <x:v>Use the source_record_paths field to trace the underlying discovery inputs.</x:v>
      </x:c>
      <x:c r="P2561" s="18" t="e">
        <x:f>HYPERLINK("https://www.wvu.edu","Open source")</x:f>
        <x:v>HYPERLINK is not implemented. linkLocation=https://www.wvu.edu, friendlyName=Open source</x:v>
      </x:c>
    </x:row>
    <x:row r="2562" ht="46" customHeight="1">
      <x:c r="A2562" s="17" t="str">
        <x:v>stage3src:c506bc0407f31b7c9716</x:v>
      </x:c>
      <x:c r="B2562" s="17" t="str">
        <x:v>program</x:v>
      </x:c>
      <x:c r="C2562" s="17" t="str">
        <x:v>West Virginia University</x:v>
      </x:c>
      <x:c r="D2562" s="17" t="str">
        <x:v>us:ipeds:238032:program:unclear:ipeds-discovery-signal-electrical-and-electronics-engineering-cip-14-1001</x:v>
      </x:c>
      <x:c r="E2562" s="17" t="str"/>
      <x:c r="F2562" s="17" t="str">
        <x:v>discovery</x:v>
      </x:c>
      <x:c r="G2562" s="17" t="str">
        <x:v>Stage 2 recorded this row as a discovery candidate; it does not independently verify an exact current research program, eligibility, or funding.</x:v>
      </x:c>
      <x:c r="H2562" s="17" t="str">
        <x:v>Pass 2 Stage 2 candidate funnel</x:v>
      </x:c>
      <x:c r="I2562" s="17" t="str">
        <x:v>Graduate audit pipeline</x:v>
      </x:c>
      <x:c r="J2562" s="17" t="str">
        <x:v>derived</x:v>
      </x:c>
      <x:c r="K2562" s="17" t="str">
        <x:v>2026-09-11</x:v>
      </x:c>
      <x:c r="L2562" s="17" t="str">
        <x:v>Not cycle-specific</x:v>
      </x:c>
      <x:c r="M2562" s="17" t="str">
        <x:v>low</x:v>
      </x:c>
      <x:c r="N2562" s="17" t="str">
        <x:v>Discovery evidence only</x:v>
      </x:c>
      <x:c r="O2562" s="17" t="str">
        <x:v>Use the source_record_paths field to trace the underlying discovery inputs.</x:v>
      </x:c>
      <x:c r="P2562" s="18" t="e">
        <x:f>HYPERLINK("https://www.wvu.edu","Open source")</x:f>
        <x:v>HYPERLINK is not implemented. linkLocation=https://www.wvu.edu, friendlyName=Open source</x:v>
      </x:c>
    </x:row>
    <x:row r="2563" ht="46" customHeight="1">
      <x:c r="A2563" s="17" t="str">
        <x:v>stage3src:6bb8215927b537e0a5b2</x:v>
      </x:c>
      <x:c r="B2563" s="17" t="str">
        <x:v>program</x:v>
      </x:c>
      <x:c r="C2563" s="17" t="str">
        <x:v>Carroll University</x:v>
      </x:c>
      <x:c r="D2563" s="17" t="str">
        <x:v>us:ipeds:238458:program:unclear:ipeds-discovery-signal-computer-software-engineering-cip-14-0903</x:v>
      </x:c>
      <x:c r="E2563" s="17" t="str"/>
      <x:c r="F2563" s="17" t="str">
        <x:v>discovery</x:v>
      </x:c>
      <x:c r="G2563" s="17" t="str">
        <x:v>Stage 2 recorded this row as a discovery candidate; it does not independently verify an exact current research program, eligibility, or funding.</x:v>
      </x:c>
      <x:c r="H2563" s="17" t="str">
        <x:v>Pass 2 Stage 2 candidate funnel</x:v>
      </x:c>
      <x:c r="I2563" s="17" t="str">
        <x:v>Graduate audit pipeline</x:v>
      </x:c>
      <x:c r="J2563" s="17" t="str">
        <x:v>derived</x:v>
      </x:c>
      <x:c r="K2563" s="17" t="str">
        <x:v>2026-09-11</x:v>
      </x:c>
      <x:c r="L2563" s="17" t="str">
        <x:v>Not cycle-specific</x:v>
      </x:c>
      <x:c r="M2563" s="17" t="str">
        <x:v>low</x:v>
      </x:c>
      <x:c r="N2563" s="17" t="str">
        <x:v>Discovery evidence only</x:v>
      </x:c>
      <x:c r="O2563" s="17" t="str">
        <x:v>Use the source_record_paths field to trace the underlying discovery inputs.</x:v>
      </x:c>
      <x:c r="P2563" s="18" t="e">
        <x:f>HYPERLINK("https://www.carrollu.edu","Open source")</x:f>
        <x:v>HYPERLINK is not implemented. linkLocation=https://www.carrollu.edu, friendlyName=Open source</x:v>
      </x:c>
    </x:row>
    <x:row r="2564" ht="46" customHeight="1">
      <x:c r="A2564" s="17" t="str">
        <x:v>stage3src:e4644966c847a5473bcf</x:v>
      </x:c>
      <x:c r="B2564" s="17" t="str">
        <x:v>program</x:v>
      </x:c>
      <x:c r="C2564" s="17" t="str">
        <x:v>Concordia University-Wisconsin</x:v>
      </x:c>
      <x:c r="D2564" s="17" t="str">
        <x:v>us:ipeds:238616:program:unclear:ipeds-discovery-signal-computer-software-engineering-cip-14-0903</x:v>
      </x:c>
      <x:c r="E2564" s="17" t="str"/>
      <x:c r="F2564" s="17" t="str">
        <x:v>discovery</x:v>
      </x:c>
      <x:c r="G2564" s="17" t="str">
        <x:v>Stage 2 recorded this row as a discovery candidate; it does not independently verify an exact current research program, eligibility, or funding.</x:v>
      </x:c>
      <x:c r="H2564" s="17" t="str">
        <x:v>Pass 2 Stage 2 candidate funnel</x:v>
      </x:c>
      <x:c r="I2564" s="17" t="str">
        <x:v>Graduate audit pipeline</x:v>
      </x:c>
      <x:c r="J2564" s="17" t="str">
        <x:v>derived</x:v>
      </x:c>
      <x:c r="K2564" s="17" t="str">
        <x:v>2026-09-11</x:v>
      </x:c>
      <x:c r="L2564" s="17" t="str">
        <x:v>Not cycle-specific</x:v>
      </x:c>
      <x:c r="M2564" s="17" t="str">
        <x:v>low</x:v>
      </x:c>
      <x:c r="N2564" s="17" t="str">
        <x:v>Discovery evidence only</x:v>
      </x:c>
      <x:c r="O2564" s="17" t="str">
        <x:v>Use the source_record_paths field to trace the underlying discovery inputs.</x:v>
      </x:c>
      <x:c r="P2564" s="18" t="e">
        <x:f>HYPERLINK("https://www.cuw.edu","Open source")</x:f>
        <x:v>HYPERLINK is not implemented. linkLocation=https://www.cuw.edu, friendlyName=Open source</x:v>
      </x:c>
    </x:row>
    <x:row r="2565" ht="46" customHeight="1">
      <x:c r="A2565" s="17" t="str">
        <x:v>stage3src:6b1c1a92a6998fd3b7b2</x:v>
      </x:c>
      <x:c r="B2565" s="17" t="str">
        <x:v>program</x:v>
      </x:c>
      <x:c r="C2565" s="17" t="str">
        <x:v>Concordia University-Wisconsin</x:v>
      </x:c>
      <x:c r="D2565" s="17" t="str">
        <x:v>us:ipeds:238616:program:unclear:ipeds-discovery-signal-information-technology-cip-11-0103</x:v>
      </x:c>
      <x:c r="E2565" s="17" t="str"/>
      <x:c r="F2565" s="17" t="str">
        <x:v>discovery</x:v>
      </x:c>
      <x:c r="G2565" s="17" t="str">
        <x:v>Stage 2 recorded this row as a discovery candidate; it does not independently verify an exact current research program, eligibility, or funding.</x:v>
      </x:c>
      <x:c r="H2565" s="17" t="str">
        <x:v>Pass 2 Stage 2 candidate funnel</x:v>
      </x:c>
      <x:c r="I2565" s="17" t="str">
        <x:v>Graduate audit pipeline</x:v>
      </x:c>
      <x:c r="J2565" s="17" t="str">
        <x:v>derived</x:v>
      </x:c>
      <x:c r="K2565" s="17" t="str">
        <x:v>2026-09-11</x:v>
      </x:c>
      <x:c r="L2565" s="17" t="str">
        <x:v>Not cycle-specific</x:v>
      </x:c>
      <x:c r="M2565" s="17" t="str">
        <x:v>low</x:v>
      </x:c>
      <x:c r="N2565" s="17" t="str">
        <x:v>Discovery evidence only</x:v>
      </x:c>
      <x:c r="O2565" s="17" t="str">
        <x:v>Use the source_record_paths field to trace the underlying discovery inputs.</x:v>
      </x:c>
      <x:c r="P2565" s="18" t="e">
        <x:f>HYPERLINK("https://www.cuw.edu","Open source")</x:f>
        <x:v>HYPERLINK is not implemented. linkLocation=https://www.cuw.edu, friendlyName=Open source</x:v>
      </x:c>
    </x:row>
    <x:row r="2566" ht="46" customHeight="1">
      <x:c r="A2566" s="17" t="str">
        <x:v>stage3src:608adc7081c1c806367b</x:v>
      </x:c>
      <x:c r="B2566" s="17" t="str">
        <x:v>program</x:v>
      </x:c>
      <x:c r="C2566" s="17" t="str">
        <x:v>Marquette University</x:v>
      </x:c>
      <x:c r="D2566" s="17" t="str">
        <x:v>us:ipeds:239105:program:unclear:ipeds-discovery-signal-computer-and-information-sciences-general-cip-11-0101</x:v>
      </x:c>
      <x:c r="E2566" s="17" t="str"/>
      <x:c r="F2566" s="17" t="str">
        <x:v>discovery</x:v>
      </x:c>
      <x:c r="G2566" s="17" t="str">
        <x:v>Stage 2 recorded this row as a discovery candidate; it does not independently verify an exact current research program, eligibility, or funding.</x:v>
      </x:c>
      <x:c r="H2566" s="17" t="str">
        <x:v>Pass 2 Stage 2 candidate funnel</x:v>
      </x:c>
      <x:c r="I2566" s="17" t="str">
        <x:v>Graduate audit pipeline</x:v>
      </x:c>
      <x:c r="J2566" s="17" t="str">
        <x:v>derived</x:v>
      </x:c>
      <x:c r="K2566" s="17" t="str">
        <x:v>2026-09-11</x:v>
      </x:c>
      <x:c r="L2566" s="17" t="str">
        <x:v>Not cycle-specific</x:v>
      </x:c>
      <x:c r="M2566" s="17" t="str">
        <x:v>low</x:v>
      </x:c>
      <x:c r="N2566" s="17" t="str">
        <x:v>Discovery evidence only</x:v>
      </x:c>
      <x:c r="O2566" s="17" t="str">
        <x:v>Use the source_record_paths field to trace the underlying discovery inputs.</x:v>
      </x:c>
      <x:c r="P2566" s="18" t="e">
        <x:f>HYPERLINK("https://www.marquette.edu","Open source")</x:f>
        <x:v>HYPERLINK is not implemented. linkLocation=https://www.marquette.edu, friendlyName=Open source</x:v>
      </x:c>
    </x:row>
    <x:row r="2567" ht="46" customHeight="1">
      <x:c r="A2567" s="17" t="str">
        <x:v>stage3src:76026957ce276a0cd8d1</x:v>
      </x:c>
      <x:c r="B2567" s="17" t="str">
        <x:v>program</x:v>
      </x:c>
      <x:c r="C2567" s="17" t="str">
        <x:v>Marquette University</x:v>
      </x:c>
      <x:c r="D2567" s="17" t="str">
        <x:v>us:ipeds:239105:program:unclear:ipeds-discovery-signal-computer-science-cip-11-0701</x:v>
      </x:c>
      <x:c r="E2567" s="17" t="str"/>
      <x:c r="F2567" s="17" t="str">
        <x:v>discovery</x:v>
      </x:c>
      <x:c r="G2567" s="17" t="str">
        <x:v>Stage 2 recorded this row as a discovery candidate; it does not independently verify an exact current research program, eligibility, or funding.</x:v>
      </x:c>
      <x:c r="H2567" s="17" t="str">
        <x:v>Pass 2 Stage 2 candidate funnel</x:v>
      </x:c>
      <x:c r="I2567" s="17" t="str">
        <x:v>Graduate audit pipeline</x:v>
      </x:c>
      <x:c r="J2567" s="17" t="str">
        <x:v>derived</x:v>
      </x:c>
      <x:c r="K2567" s="17" t="str">
        <x:v>2026-09-11</x:v>
      </x:c>
      <x:c r="L2567" s="17" t="str">
        <x:v>Not cycle-specific</x:v>
      </x:c>
      <x:c r="M2567" s="17" t="str">
        <x:v>low</x:v>
      </x:c>
      <x:c r="N2567" s="17" t="str">
        <x:v>Discovery evidence only</x:v>
      </x:c>
      <x:c r="O2567" s="17" t="str">
        <x:v>Use the source_record_paths field to trace the underlying discovery inputs.</x:v>
      </x:c>
      <x:c r="P2567" s="18" t="e">
        <x:f>HYPERLINK("https://www.marquette.edu","Open source")</x:f>
        <x:v>HYPERLINK is not implemented. linkLocation=https://www.marquette.edu, friendlyName=Open source</x:v>
      </x:c>
    </x:row>
    <x:row r="2568" ht="46" customHeight="1">
      <x:c r="A2568" s="17" t="str">
        <x:v>stage3src:b98361097d34508db2f6</x:v>
      </x:c>
      <x:c r="B2568" s="17" t="str">
        <x:v>program</x:v>
      </x:c>
      <x:c r="C2568" s="17" t="str">
        <x:v>Marquette University</x:v>
      </x:c>
      <x:c r="D2568" s="17" t="str">
        <x:v>us:ipeds:239105:program:unclear:ipeds-discovery-signal-electrical-and-electronics-engineering-cip-14-1001</x:v>
      </x:c>
      <x:c r="E2568" s="17" t="str"/>
      <x:c r="F2568" s="17" t="str">
        <x:v>discovery</x:v>
      </x:c>
      <x:c r="G2568" s="17" t="str">
        <x:v>Stage 2 recorded this row as a discovery candidate; it does not independently verify an exact current research program, eligibility, or funding.</x:v>
      </x:c>
      <x:c r="H2568" s="17" t="str">
        <x:v>Pass 2 Stage 2 candidate funnel</x:v>
      </x:c>
      <x:c r="I2568" s="17" t="str">
        <x:v>Graduate audit pipeline</x:v>
      </x:c>
      <x:c r="J2568" s="17" t="str">
        <x:v>derived</x:v>
      </x:c>
      <x:c r="K2568" s="17" t="str">
        <x:v>2026-09-11</x:v>
      </x:c>
      <x:c r="L2568" s="17" t="str">
        <x:v>Not cycle-specific</x:v>
      </x:c>
      <x:c r="M2568" s="17" t="str">
        <x:v>low</x:v>
      </x:c>
      <x:c r="N2568" s="17" t="str">
        <x:v>Discovery evidence only</x:v>
      </x:c>
      <x:c r="O2568" s="17" t="str">
        <x:v>Use the source_record_paths field to trace the underlying discovery inputs.</x:v>
      </x:c>
      <x:c r="P2568" s="18" t="e">
        <x:f>HYPERLINK("https://www.marquette.edu","Open source")</x:f>
        <x:v>HYPERLINK is not implemented. linkLocation=https://www.marquette.edu, friendlyName=Open source</x:v>
      </x:c>
    </x:row>
    <x:row r="2569" ht="46" customHeight="1">
      <x:c r="A2569" s="17" t="str">
        <x:v>stage3src:73e739cabd15010c642b</x:v>
      </x:c>
      <x:c r="B2569" s="17" t="str">
        <x:v>program</x:v>
      </x:c>
      <x:c r="C2569" s="17" t="str">
        <x:v>Marquette University</x:v>
      </x:c>
      <x:c r="D2569" s="17" t="str">
        <x:v>us:ipeds:239105:program:unclear:ipeds-discovery-signal-information-science-studies-cip-11-0401</x:v>
      </x:c>
      <x:c r="E2569" s="17" t="str"/>
      <x:c r="F2569" s="17" t="str">
        <x:v>discovery</x:v>
      </x:c>
      <x:c r="G2569" s="17" t="str">
        <x:v>Stage 2 recorded this row as a discovery candidate; it does not independently verify an exact current research program, eligibility, or funding.</x:v>
      </x:c>
      <x:c r="H2569" s="17" t="str">
        <x:v>Pass 2 Stage 2 candidate funnel</x:v>
      </x:c>
      <x:c r="I2569" s="17" t="str">
        <x:v>Graduate audit pipeline</x:v>
      </x:c>
      <x:c r="J2569" s="17" t="str">
        <x:v>derived</x:v>
      </x:c>
      <x:c r="K2569" s="17" t="str">
        <x:v>2026-09-11</x:v>
      </x:c>
      <x:c r="L2569" s="17" t="str">
        <x:v>Not cycle-specific</x:v>
      </x:c>
      <x:c r="M2569" s="17" t="str">
        <x:v>low</x:v>
      </x:c>
      <x:c r="N2569" s="17" t="str">
        <x:v>Discovery evidence only</x:v>
      </x:c>
      <x:c r="O2569" s="17" t="str">
        <x:v>Use the source_record_paths field to trace the underlying discovery inputs.</x:v>
      </x:c>
      <x:c r="P2569" s="18" t="e">
        <x:f>HYPERLINK("https://www.marquette.edu","Open source")</x:f>
        <x:v>HYPERLINK is not implemented. linkLocation=https://www.marquette.edu, friendlyName=Open source</x:v>
      </x:c>
    </x:row>
    <x:row r="2570" ht="46" customHeight="1">
      <x:c r="A2570" s="17" t="str">
        <x:v>stage3src:24775fed940e076a506a</x:v>
      </x:c>
      <x:c r="B2570" s="17" t="str">
        <x:v>program</x:v>
      </x:c>
      <x:c r="C2570" s="17" t="str">
        <x:v>University of Wisconsin-Whitewater</x:v>
      </x:c>
      <x:c r="D2570" s="17" t="str">
        <x:v>us:ipeds:240189:program:unclear:ipeds-discovery-signal-computer-and-information-systems-security-auditing-information-assurance-cip-11-1003</x:v>
      </x:c>
      <x:c r="E2570" s="17" t="str"/>
      <x:c r="F2570" s="17" t="str">
        <x:v>discovery</x:v>
      </x:c>
      <x:c r="G2570" s="17" t="str">
        <x:v>Stage 2 recorded this row as a discovery candidate; it does not independently verify an exact current research program, eligibility, or funding.</x:v>
      </x:c>
      <x:c r="H2570" s="17" t="str">
        <x:v>Pass 2 Stage 2 candidate funnel</x:v>
      </x:c>
      <x:c r="I2570" s="17" t="str">
        <x:v>Graduate audit pipeline</x:v>
      </x:c>
      <x:c r="J2570" s="17" t="str">
        <x:v>derived</x:v>
      </x:c>
      <x:c r="K2570" s="17" t="str">
        <x:v>2026-09-11</x:v>
      </x:c>
      <x:c r="L2570" s="17" t="str">
        <x:v>Not cycle-specific</x:v>
      </x:c>
      <x:c r="M2570" s="17" t="str">
        <x:v>low</x:v>
      </x:c>
      <x:c r="N2570" s="17" t="str">
        <x:v>Discovery evidence only</x:v>
      </x:c>
      <x:c r="O2570" s="17" t="str">
        <x:v>Use the source_record_paths field to trace the underlying discovery inputs.</x:v>
      </x:c>
      <x:c r="P2570" s="18" t="e">
        <x:f>HYPERLINK("https://www.uww.edu","Open source")</x:f>
        <x:v>HYPERLINK is not implemented. linkLocation=https://www.uww.edu, friendlyName=Open source</x:v>
      </x:c>
    </x:row>
    <x:row r="2571" ht="46" customHeight="1">
      <x:c r="A2571" s="17" t="str">
        <x:v>stage3src:3f0ede2e97d03111fca4</x:v>
      </x:c>
      <x:c r="B2571" s="17" t="str">
        <x:v>program</x:v>
      </x:c>
      <x:c r="C2571" s="17" t="str">
        <x:v>University of Wisconsin-Whitewater</x:v>
      </x:c>
      <x:c r="D2571" s="17" t="str">
        <x:v>us:ipeds:240189:program:unclear:ipeds-discovery-signal-computer-science-cip-11-0701</x:v>
      </x:c>
      <x:c r="E2571" s="17" t="str"/>
      <x:c r="F2571" s="17" t="str">
        <x:v>discovery</x:v>
      </x:c>
      <x:c r="G2571" s="17" t="str">
        <x:v>Stage 2 recorded this row as a discovery candidate; it does not independently verify an exact current research program, eligibility, or funding.</x:v>
      </x:c>
      <x:c r="H2571" s="17" t="str">
        <x:v>Pass 2 Stage 2 candidate funnel</x:v>
      </x:c>
      <x:c r="I2571" s="17" t="str">
        <x:v>Graduate audit pipeline</x:v>
      </x:c>
      <x:c r="J2571" s="17" t="str">
        <x:v>derived</x:v>
      </x:c>
      <x:c r="K2571" s="17" t="str">
        <x:v>2026-09-11</x:v>
      </x:c>
      <x:c r="L2571" s="17" t="str">
        <x:v>Not cycle-specific</x:v>
      </x:c>
      <x:c r="M2571" s="17" t="str">
        <x:v>low</x:v>
      </x:c>
      <x:c r="N2571" s="17" t="str">
        <x:v>Discovery evidence only</x:v>
      </x:c>
      <x:c r="O2571" s="17" t="str">
        <x:v>Use the source_record_paths field to trace the underlying discovery inputs.</x:v>
      </x:c>
      <x:c r="P2571" s="18" t="e">
        <x:f>HYPERLINK("https://www.uww.edu","Open source")</x:f>
        <x:v>HYPERLINK is not implemented. linkLocation=https://www.uww.edu, friendlyName=Open source</x:v>
      </x:c>
    </x:row>
    <x:row r="2572" ht="46" customHeight="1">
      <x:c r="A2572" s="17" t="str">
        <x:v>stage3src:2ebc8b5e6f9cdc6694cf</x:v>
      </x:c>
      <x:c r="B2572" s="17" t="str">
        <x:v>program</x:v>
      </x:c>
      <x:c r="C2572" s="17" t="str">
        <x:v>University of Wisconsin-Eau Claire</x:v>
      </x:c>
      <x:c r="D2572" s="17" t="str">
        <x:v>us:ipeds:240268:program:unclear:ipeds-discovery-signal-data-science-general-cip-30-7001</x:v>
      </x:c>
      <x:c r="E2572" s="17" t="str"/>
      <x:c r="F2572" s="17" t="str">
        <x:v>discovery</x:v>
      </x:c>
      <x:c r="G2572" s="17" t="str">
        <x:v>Stage 2 recorded this row as a discovery candidate; it does not independently verify an exact current research program, eligibility, or funding.</x:v>
      </x:c>
      <x:c r="H2572" s="17" t="str">
        <x:v>Pass 2 Stage 2 candidate funnel</x:v>
      </x:c>
      <x:c r="I2572" s="17" t="str">
        <x:v>Graduate audit pipeline</x:v>
      </x:c>
      <x:c r="J2572" s="17" t="str">
        <x:v>derived</x:v>
      </x:c>
      <x:c r="K2572" s="17" t="str">
        <x:v>2026-09-11</x:v>
      </x:c>
      <x:c r="L2572" s="17" t="str">
        <x:v>Not cycle-specific</x:v>
      </x:c>
      <x:c r="M2572" s="17" t="str">
        <x:v>low</x:v>
      </x:c>
      <x:c r="N2572" s="17" t="str">
        <x:v>Discovery evidence only</x:v>
      </x:c>
      <x:c r="O2572" s="17" t="str">
        <x:v>Use the source_record_paths field to trace the underlying discovery inputs.</x:v>
      </x:c>
      <x:c r="P2572" s="18" t="e">
        <x:f>HYPERLINK("https://www.uwec.edu","Open source")</x:f>
        <x:v>HYPERLINK is not implemented. linkLocation=https://www.uwec.edu, friendlyName=Open source</x:v>
      </x:c>
    </x:row>
    <x:row r="2573" ht="46" customHeight="1">
      <x:c r="A2573" s="17" t="str">
        <x:v>stage3src:d8a99505217259f132f3</x:v>
      </x:c>
      <x:c r="B2573" s="17" t="str">
        <x:v>program</x:v>
      </x:c>
      <x:c r="C2573" s="17" t="str">
        <x:v>University of Wisconsin-Green Bay</x:v>
      </x:c>
      <x:c r="D2573" s="17" t="str">
        <x:v>us:ipeds:240277:program:unclear:ipeds-discovery-signal-computer-and-information-systems-security-auditing-information-assurance-cip-11-1003</x:v>
      </x:c>
      <x:c r="E2573" s="17" t="str"/>
      <x:c r="F2573" s="17" t="str">
        <x:v>discovery</x:v>
      </x:c>
      <x:c r="G2573" s="17" t="str">
        <x:v>Stage 2 recorded this row as a discovery candidate; it does not independently verify an exact current research program, eligibility, or funding.</x:v>
      </x:c>
      <x:c r="H2573" s="17" t="str">
        <x:v>Pass 2 Stage 2 candidate funnel</x:v>
      </x:c>
      <x:c r="I2573" s="17" t="str">
        <x:v>Graduate audit pipeline</x:v>
      </x:c>
      <x:c r="J2573" s="17" t="str">
        <x:v>derived</x:v>
      </x:c>
      <x:c r="K2573" s="17" t="str">
        <x:v>2026-09-11</x:v>
      </x:c>
      <x:c r="L2573" s="17" t="str">
        <x:v>Not cycle-specific</x:v>
      </x:c>
      <x:c r="M2573" s="17" t="str">
        <x:v>low</x:v>
      </x:c>
      <x:c r="N2573" s="17" t="str">
        <x:v>Discovery evidence only</x:v>
      </x:c>
      <x:c r="O2573" s="17" t="str">
        <x:v>Use the source_record_paths field to trace the underlying discovery inputs.</x:v>
      </x:c>
      <x:c r="P2573" s="18" t="e">
        <x:f>HYPERLINK("https://www.uwgb.edu","Open source")</x:f>
        <x:v>HYPERLINK is not implemented. linkLocation=https://www.uwgb.edu, friendlyName=Open source</x:v>
      </x:c>
    </x:row>
    <x:row r="2574" ht="46" customHeight="1">
      <x:c r="A2574" s="17" t="str">
        <x:v>stage3src:b8ae71a13f7d0cc006ca</x:v>
      </x:c>
      <x:c r="B2574" s="17" t="str">
        <x:v>program</x:v>
      </x:c>
      <x:c r="C2574" s="17" t="str">
        <x:v>University of Wisconsin-Green Bay</x:v>
      </x:c>
      <x:c r="D2574" s="17" t="str">
        <x:v>us:ipeds:240277:program:unclear:ipeds-discovery-signal-data-science-general-cip-30-7001</x:v>
      </x:c>
      <x:c r="E2574" s="17" t="str"/>
      <x:c r="F2574" s="17" t="str">
        <x:v>discovery</x:v>
      </x:c>
      <x:c r="G2574" s="17" t="str">
        <x:v>Stage 2 recorded this row as a discovery candidate; it does not independently verify an exact current research program, eligibility, or funding.</x:v>
      </x:c>
      <x:c r="H2574" s="17" t="str">
        <x:v>Pass 2 Stage 2 candidate funnel</x:v>
      </x:c>
      <x:c r="I2574" s="17" t="str">
        <x:v>Graduate audit pipeline</x:v>
      </x:c>
      <x:c r="J2574" s="17" t="str">
        <x:v>derived</x:v>
      </x:c>
      <x:c r="K2574" s="17" t="str">
        <x:v>2026-09-11</x:v>
      </x:c>
      <x:c r="L2574" s="17" t="str">
        <x:v>Not cycle-specific</x:v>
      </x:c>
      <x:c r="M2574" s="17" t="str">
        <x:v>low</x:v>
      </x:c>
      <x:c r="N2574" s="17" t="str">
        <x:v>Discovery evidence only</x:v>
      </x:c>
      <x:c r="O2574" s="17" t="str">
        <x:v>Use the source_record_paths field to trace the underlying discovery inputs.</x:v>
      </x:c>
      <x:c r="P2574" s="18" t="e">
        <x:f>HYPERLINK("https://www.uwgb.edu","Open source")</x:f>
        <x:v>HYPERLINK is not implemented. linkLocation=https://www.uwgb.edu, friendlyName=Open source</x:v>
      </x:c>
    </x:row>
    <x:row r="2575" ht="46" customHeight="1">
      <x:c r="A2575" s="17" t="str">
        <x:v>stage3src:be9e7da7cf1f53687ce6</x:v>
      </x:c>
      <x:c r="B2575" s="17" t="str">
        <x:v>program</x:v>
      </x:c>
      <x:c r="C2575" s="17" t="str">
        <x:v>University of Wisconsin-La Crosse</x:v>
      </x:c>
      <x:c r="D2575" s="17" t="str">
        <x:v>us:ipeds:240329:program:unclear:ipeds-discovery-signal-computer-and-information-systems-security-auditing-information-assurance-cip-11-1003</x:v>
      </x:c>
      <x:c r="E2575" s="17" t="str"/>
      <x:c r="F2575" s="17" t="str">
        <x:v>discovery</x:v>
      </x:c>
      <x:c r="G2575" s="17" t="str">
        <x:v>Stage 2 recorded this row as a discovery candidate; it does not independently verify an exact current research program, eligibility, or funding.</x:v>
      </x:c>
      <x:c r="H2575" s="17" t="str">
        <x:v>Pass 2 Stage 2 candidate funnel</x:v>
      </x:c>
      <x:c r="I2575" s="17" t="str">
        <x:v>Graduate audit pipeline</x:v>
      </x:c>
      <x:c r="J2575" s="17" t="str">
        <x:v>derived</x:v>
      </x:c>
      <x:c r="K2575" s="17" t="str">
        <x:v>2026-09-11</x:v>
      </x:c>
      <x:c r="L2575" s="17" t="str">
        <x:v>Not cycle-specific</x:v>
      </x:c>
      <x:c r="M2575" s="17" t="str">
        <x:v>low</x:v>
      </x:c>
      <x:c r="N2575" s="17" t="str">
        <x:v>Discovery evidence only</x:v>
      </x:c>
      <x:c r="O2575" s="17" t="str">
        <x:v>Use the source_record_paths field to trace the underlying discovery inputs.</x:v>
      </x:c>
      <x:c r="P2575" s="18" t="e">
        <x:f>HYPERLINK("https://www.uwlax.edu","Open source")</x:f>
        <x:v>HYPERLINK is not implemented. linkLocation=https://www.uwlax.edu, friendlyName=Open source</x:v>
      </x:c>
    </x:row>
    <x:row r="2576" ht="46" customHeight="1">
      <x:c r="A2576" s="17" t="str">
        <x:v>stage3src:37ffbb992a70b551aed5</x:v>
      </x:c>
      <x:c r="B2576" s="17" t="str">
        <x:v>program</x:v>
      </x:c>
      <x:c r="C2576" s="17" t="str">
        <x:v>University of Wisconsin-La Crosse</x:v>
      </x:c>
      <x:c r="D2576" s="17" t="str">
        <x:v>us:ipeds:240329:program:unclear:ipeds-discovery-signal-computer-software-engineering-cip-14-0903</x:v>
      </x:c>
      <x:c r="E2576" s="17" t="str"/>
      <x:c r="F2576" s="17" t="str">
        <x:v>discovery</x:v>
      </x:c>
      <x:c r="G2576" s="17" t="str">
        <x:v>Stage 2 recorded this row as a discovery candidate; it does not independently verify an exact current research program, eligibility, or funding.</x:v>
      </x:c>
      <x:c r="H2576" s="17" t="str">
        <x:v>Pass 2 Stage 2 candidate funnel</x:v>
      </x:c>
      <x:c r="I2576" s="17" t="str">
        <x:v>Graduate audit pipeline</x:v>
      </x:c>
      <x:c r="J2576" s="17" t="str">
        <x:v>derived</x:v>
      </x:c>
      <x:c r="K2576" s="17" t="str">
        <x:v>2026-09-11</x:v>
      </x:c>
      <x:c r="L2576" s="17" t="str">
        <x:v>Not cycle-specific</x:v>
      </x:c>
      <x:c r="M2576" s="17" t="str">
        <x:v>low</x:v>
      </x:c>
      <x:c r="N2576" s="17" t="str">
        <x:v>Discovery evidence only</x:v>
      </x:c>
      <x:c r="O2576" s="17" t="str">
        <x:v>Use the source_record_paths field to trace the underlying discovery inputs.</x:v>
      </x:c>
      <x:c r="P2576" s="18" t="e">
        <x:f>HYPERLINK("https://www.uwlax.edu","Open source")</x:f>
        <x:v>HYPERLINK is not implemented. linkLocation=https://www.uwlax.edu, friendlyName=Open source</x:v>
      </x:c>
    </x:row>
    <x:row r="2577" ht="46" customHeight="1">
      <x:c r="A2577" s="17" t="str">
        <x:v>stage3src:2abc7d2835c311673d19</x:v>
      </x:c>
      <x:c r="B2577" s="17" t="str">
        <x:v>program</x:v>
      </x:c>
      <x:c r="C2577" s="17" t="str">
        <x:v>University of Wisconsin-La Crosse</x:v>
      </x:c>
      <x:c r="D2577" s="17" t="str">
        <x:v>us:ipeds:240329:program:unclear:ipeds-discovery-signal-data-science-general-cip-30-7001</x:v>
      </x:c>
      <x:c r="E2577" s="17" t="str"/>
      <x:c r="F2577" s="17" t="str">
        <x:v>discovery</x:v>
      </x:c>
      <x:c r="G2577" s="17" t="str">
        <x:v>Stage 2 recorded this row as a discovery candidate; it does not independently verify an exact current research program, eligibility, or funding.</x:v>
      </x:c>
      <x:c r="H2577" s="17" t="str">
        <x:v>Pass 2 Stage 2 candidate funnel</x:v>
      </x:c>
      <x:c r="I2577" s="17" t="str">
        <x:v>Graduate audit pipeline</x:v>
      </x:c>
      <x:c r="J2577" s="17" t="str">
        <x:v>derived</x:v>
      </x:c>
      <x:c r="K2577" s="17" t="str">
        <x:v>2026-09-11</x:v>
      </x:c>
      <x:c r="L2577" s="17" t="str">
        <x:v>Not cycle-specific</x:v>
      </x:c>
      <x:c r="M2577" s="17" t="str">
        <x:v>low</x:v>
      </x:c>
      <x:c r="N2577" s="17" t="str">
        <x:v>Discovery evidence only</x:v>
      </x:c>
      <x:c r="O2577" s="17" t="str">
        <x:v>Use the source_record_paths field to trace the underlying discovery inputs.</x:v>
      </x:c>
      <x:c r="P2577" s="18" t="e">
        <x:f>HYPERLINK("https://www.uwlax.edu","Open source")</x:f>
        <x:v>HYPERLINK is not implemented. linkLocation=https://www.uwlax.edu, friendlyName=Open source</x:v>
      </x:c>
    </x:row>
    <x:row r="2578" ht="46" customHeight="1">
      <x:c r="A2578" s="17" t="str">
        <x:v>stage3src:8242dafc772acc2b7bda</x:v>
      </x:c>
      <x:c r="B2578" s="17" t="str">
        <x:v>program</x:v>
      </x:c>
      <x:c r="C2578" s="17" t="str">
        <x:v>University of Wisconsin-Oshkosh</x:v>
      </x:c>
      <x:c r="D2578" s="17" t="str">
        <x:v>us:ipeds:240365:program:unclear:ipeds-discovery-signal-computer-and-information-systems-security-auditing-information-assurance-cip-11-1003</x:v>
      </x:c>
      <x:c r="E2578" s="17" t="str"/>
      <x:c r="F2578" s="17" t="str">
        <x:v>discovery</x:v>
      </x:c>
      <x:c r="G2578" s="17" t="str">
        <x:v>Stage 2 recorded this row as a discovery candidate; it does not independently verify an exact current research program, eligibility, or funding.</x:v>
      </x:c>
      <x:c r="H2578" s="17" t="str">
        <x:v>Pass 2 Stage 2 candidate funnel</x:v>
      </x:c>
      <x:c r="I2578" s="17" t="str">
        <x:v>Graduate audit pipeline</x:v>
      </x:c>
      <x:c r="J2578" s="17" t="str">
        <x:v>derived</x:v>
      </x:c>
      <x:c r="K2578" s="17" t="str">
        <x:v>2026-09-11</x:v>
      </x:c>
      <x:c r="L2578" s="17" t="str">
        <x:v>Not cycle-specific</x:v>
      </x:c>
      <x:c r="M2578" s="17" t="str">
        <x:v>low</x:v>
      </x:c>
      <x:c r="N2578" s="17" t="str">
        <x:v>Discovery evidence only</x:v>
      </x:c>
      <x:c r="O2578" s="17" t="str">
        <x:v>Use the source_record_paths field to trace the underlying discovery inputs.</x:v>
      </x:c>
      <x:c r="P2578" s="18" t="e">
        <x:f>HYPERLINK("https://www.uwosh.edu","Open source")</x:f>
        <x:v>HYPERLINK is not implemented. linkLocation=https://www.uwosh.edu, friendlyName=Open source</x:v>
      </x:c>
    </x:row>
    <x:row r="2579" ht="46" customHeight="1">
      <x:c r="A2579" s="17" t="str">
        <x:v>stage3src:5fe346e6b949203a7226</x:v>
      </x:c>
      <x:c r="B2579" s="17" t="str">
        <x:v>program</x:v>
      </x:c>
      <x:c r="C2579" s="17" t="str">
        <x:v>University of Wisconsin-Oshkosh</x:v>
      </x:c>
      <x:c r="D2579" s="17" t="str">
        <x:v>us:ipeds:240365:program:unclear:ipeds-discovery-signal-data-science-general-cip-30-7001</x:v>
      </x:c>
      <x:c r="E2579" s="17" t="str"/>
      <x:c r="F2579" s="17" t="str">
        <x:v>discovery</x:v>
      </x:c>
      <x:c r="G2579" s="17" t="str">
        <x:v>Stage 2 recorded this row as a discovery candidate; it does not independently verify an exact current research program, eligibility, or funding.</x:v>
      </x:c>
      <x:c r="H2579" s="17" t="str">
        <x:v>Pass 2 Stage 2 candidate funnel</x:v>
      </x:c>
      <x:c r="I2579" s="17" t="str">
        <x:v>Graduate audit pipeline</x:v>
      </x:c>
      <x:c r="J2579" s="17" t="str">
        <x:v>derived</x:v>
      </x:c>
      <x:c r="K2579" s="17" t="str">
        <x:v>2026-09-11</x:v>
      </x:c>
      <x:c r="L2579" s="17" t="str">
        <x:v>Not cycle-specific</x:v>
      </x:c>
      <x:c r="M2579" s="17" t="str">
        <x:v>low</x:v>
      </x:c>
      <x:c r="N2579" s="17" t="str">
        <x:v>Discovery evidence only</x:v>
      </x:c>
      <x:c r="O2579" s="17" t="str">
        <x:v>Use the source_record_paths field to trace the underlying discovery inputs.</x:v>
      </x:c>
      <x:c r="P2579" s="18" t="e">
        <x:f>HYPERLINK("https://www.uwosh.edu","Open source")</x:f>
        <x:v>HYPERLINK is not implemented. linkLocation=https://www.uwosh.edu, friendlyName=Open source</x:v>
      </x:c>
    </x:row>
    <x:row r="2580" ht="46" customHeight="1">
      <x:c r="A2580" s="17" t="str">
        <x:v>stage3src:ec17c060e87ff8e2dce0</x:v>
      </x:c>
      <x:c r="B2580" s="17" t="str">
        <x:v>program</x:v>
      </x:c>
      <x:c r="C2580" s="17" t="str">
        <x:v>University of Wisconsin-Parkside</x:v>
      </x:c>
      <x:c r="D2580" s="17" t="str">
        <x:v>us:ipeds:240374:program:unclear:ipeds-discovery-signal-computer-and-information-systems-security-auditing-information-assurance-cip-11-1003</x:v>
      </x:c>
      <x:c r="E2580" s="17" t="str"/>
      <x:c r="F2580" s="17" t="str">
        <x:v>discovery</x:v>
      </x:c>
      <x:c r="G2580" s="17" t="str">
        <x:v>Stage 2 recorded this row as a discovery candidate; it does not independently verify an exact current research program, eligibility, or funding.</x:v>
      </x:c>
      <x:c r="H2580" s="17" t="str">
        <x:v>Pass 2 Stage 2 candidate funnel</x:v>
      </x:c>
      <x:c r="I2580" s="17" t="str">
        <x:v>Graduate audit pipeline</x:v>
      </x:c>
      <x:c r="J2580" s="17" t="str">
        <x:v>derived</x:v>
      </x:c>
      <x:c r="K2580" s="17" t="str">
        <x:v>2026-09-11</x:v>
      </x:c>
      <x:c r="L2580" s="17" t="str">
        <x:v>Not cycle-specific</x:v>
      </x:c>
      <x:c r="M2580" s="17" t="str">
        <x:v>low</x:v>
      </x:c>
      <x:c r="N2580" s="17" t="str">
        <x:v>Discovery evidence only</x:v>
      </x:c>
      <x:c r="O2580" s="17" t="str">
        <x:v>Use the source_record_paths field to trace the underlying discovery inputs.</x:v>
      </x:c>
      <x:c r="P2580" s="18" t="e">
        <x:f>HYPERLINK("https://www.uwp.edu","Open source")</x:f>
        <x:v>HYPERLINK is not implemented. linkLocation=https://www.uwp.edu, friendlyName=Open source</x:v>
      </x:c>
    </x:row>
    <x:row r="2581" ht="46" customHeight="1">
      <x:c r="A2581" s="17" t="str">
        <x:v>stage3src:dcd74aff147fac45c33f</x:v>
      </x:c>
      <x:c r="B2581" s="17" t="str">
        <x:v>program</x:v>
      </x:c>
      <x:c r="C2581" s="17" t="str">
        <x:v>University of Wisconsin-Parkside</x:v>
      </x:c>
      <x:c r="D2581" s="17" t="str">
        <x:v>us:ipeds:240374:program:unclear:ipeds-discovery-signal-information-technology-cip-11-0103</x:v>
      </x:c>
      <x:c r="E2581" s="17" t="str"/>
      <x:c r="F2581" s="17" t="str">
        <x:v>discovery</x:v>
      </x:c>
      <x:c r="G2581" s="17" t="str">
        <x:v>Stage 2 recorded this row as a discovery candidate; it does not independently verify an exact current research program, eligibility, or funding.</x:v>
      </x:c>
      <x:c r="H2581" s="17" t="str">
        <x:v>Pass 2 Stage 2 candidate funnel</x:v>
      </x:c>
      <x:c r="I2581" s="17" t="str">
        <x:v>Graduate audit pipeline</x:v>
      </x:c>
      <x:c r="J2581" s="17" t="str">
        <x:v>derived</x:v>
      </x:c>
      <x:c r="K2581" s="17" t="str">
        <x:v>2026-09-11</x:v>
      </x:c>
      <x:c r="L2581" s="17" t="str">
        <x:v>Not cycle-specific</x:v>
      </x:c>
      <x:c r="M2581" s="17" t="str">
        <x:v>low</x:v>
      </x:c>
      <x:c r="N2581" s="17" t="str">
        <x:v>Discovery evidence only</x:v>
      </x:c>
      <x:c r="O2581" s="17" t="str">
        <x:v>Use the source_record_paths field to trace the underlying discovery inputs.</x:v>
      </x:c>
      <x:c r="P2581" s="18" t="e">
        <x:f>HYPERLINK("https://www.uwp.edu","Open source")</x:f>
        <x:v>HYPERLINK is not implemented. linkLocation=https://www.uwp.edu, friendlyName=Open source</x:v>
      </x:c>
    </x:row>
    <x:row r="2582" ht="46" customHeight="1">
      <x:c r="A2582" s="17" t="str">
        <x:v>stage3src:ba0a85dce246588fad78</x:v>
      </x:c>
      <x:c r="B2582" s="17" t="str">
        <x:v>program</x:v>
      </x:c>
      <x:c r="C2582" s="17" t="str">
        <x:v>University of Wisconsin-Stout</x:v>
      </x:c>
      <x:c r="D2582" s="17" t="str">
        <x:v>us:ipeds:240417:program:unclear:ipeds-discovery-signal-computer-and-information-sciences-other-cip-11-0199</x:v>
      </x:c>
      <x:c r="E2582" s="17" t="str"/>
      <x:c r="F2582" s="17" t="str">
        <x:v>discovery</x:v>
      </x:c>
      <x:c r="G2582" s="17" t="str">
        <x:v>Stage 2 recorded this row as a discovery candidate; it does not independently verify an exact current research program, eligibility, or funding.</x:v>
      </x:c>
      <x:c r="H2582" s="17" t="str">
        <x:v>Pass 2 Stage 2 candidate funnel</x:v>
      </x:c>
      <x:c r="I2582" s="17" t="str">
        <x:v>Graduate audit pipeline</x:v>
      </x:c>
      <x:c r="J2582" s="17" t="str">
        <x:v>derived</x:v>
      </x:c>
      <x:c r="K2582" s="17" t="str">
        <x:v>2026-09-11</x:v>
      </x:c>
      <x:c r="L2582" s="17" t="str">
        <x:v>Not cycle-specific</x:v>
      </x:c>
      <x:c r="M2582" s="17" t="str">
        <x:v>low</x:v>
      </x:c>
      <x:c r="N2582" s="17" t="str">
        <x:v>Discovery evidence only</x:v>
      </x:c>
      <x:c r="O2582" s="17" t="str">
        <x:v>Use the source_record_paths field to trace the underlying discovery inputs.</x:v>
      </x:c>
      <x:c r="P2582" s="18" t="e">
        <x:f>HYPERLINK("https://www.uwstout.edu","Open source")</x:f>
        <x:v>HYPERLINK is not implemented. linkLocation=https://www.uwstout.edu, friendlyName=Open source</x:v>
      </x:c>
    </x:row>
    <x:row r="2583" ht="46" customHeight="1">
      <x:c r="A2583" s="17" t="str">
        <x:v>stage3src:e9555598011658861db9</x:v>
      </x:c>
      <x:c r="B2583" s="17" t="str">
        <x:v>program</x:v>
      </x:c>
      <x:c r="C2583" s="17" t="str">
        <x:v>University of Wisconsin-Superior</x:v>
      </x:c>
      <x:c r="D2583" s="17" t="str">
        <x:v>us:ipeds:240426:program:unclear:ipeds-discovery-signal-data-science-general-cip-30-7001</x:v>
      </x:c>
      <x:c r="E2583" s="17" t="str"/>
      <x:c r="F2583" s="17" t="str">
        <x:v>discovery</x:v>
      </x:c>
      <x:c r="G2583" s="17" t="str">
        <x:v>Stage 2 recorded this row as a discovery candidate; it does not independently verify an exact current research program, eligibility, or funding.</x:v>
      </x:c>
      <x:c r="H2583" s="17" t="str">
        <x:v>Pass 2 Stage 2 candidate funnel</x:v>
      </x:c>
      <x:c r="I2583" s="17" t="str">
        <x:v>Graduate audit pipeline</x:v>
      </x:c>
      <x:c r="J2583" s="17" t="str">
        <x:v>derived</x:v>
      </x:c>
      <x:c r="K2583" s="17" t="str">
        <x:v>2026-09-11</x:v>
      </x:c>
      <x:c r="L2583" s="17" t="str">
        <x:v>Not cycle-specific</x:v>
      </x:c>
      <x:c r="M2583" s="17" t="str">
        <x:v>low</x:v>
      </x:c>
      <x:c r="N2583" s="17" t="str">
        <x:v>Discovery evidence only</x:v>
      </x:c>
      <x:c r="O2583" s="17" t="str">
        <x:v>Use the source_record_paths field to trace the underlying discovery inputs.</x:v>
      </x:c>
      <x:c r="P2583" s="18" t="e">
        <x:f>HYPERLINK("https://www.uwsuper.edu","Open source")</x:f>
        <x:v>HYPERLINK is not implemented. linkLocation=https://www.uwsuper.edu, friendlyName=Open source</x:v>
      </x:c>
    </x:row>
    <x:row r="2584" ht="46" customHeight="1">
      <x:c r="A2584" s="17" t="str">
        <x:v>stage3src:474ee906a4b8d675400a</x:v>
      </x:c>
      <x:c r="B2584" s="17" t="str">
        <x:v>program</x:v>
      </x:c>
      <x:c r="C2584" s="17" t="str">
        <x:v>University of Wisconsin-Madison</x:v>
      </x:c>
      <x:c r="D2584" s="17" t="str">
        <x:v>us:ipeds:240444:program:phd:computer-sciences-phd</x:v>
      </x:c>
      <x:c r="E2584" s="17" t="str"/>
      <x:c r="F2584" s="17" t="str">
        <x:v>admissions|eligibility|language|fees</x:v>
      </x:c>
      <x:c r="G2584" s="17" t="str">
        <x:v>International applicants are accepted; the traditional MS/PhD uses one admissions pool and the department does not offer fee waivers.</x:v>
      </x:c>
      <x:c r="H2584" s="17" t="str">
        <x:v>Admissions</x:v>
      </x:c>
      <x:c r="I2584" s="17" t="str">
        <x:v>UW-Madison Department of Computer Sciences</x:v>
      </x:c>
      <x:c r="J2584" s="17" t="str">
        <x:v>official</x:v>
      </x:c>
      <x:c r="K2584" s="17" t="str">
        <x:v>2026-09-10</x:v>
      </x:c>
      <x:c r="L2584" s="17" t="str">
        <x:v>Current page checked 2026-09-10</x:v>
      </x:c>
      <x:c r="M2584" s="17" t="str">
        <x:v>high</x:v>
      </x:c>
      <x:c r="N2584" s="17" t="str">
        <x:v>official page checked</x:v>
      </x:c>
      <x:c r="O2584" s="17" t="str"/>
      <x:c r="P2584" s="18" t="e">
        <x:f>HYPERLINK("https://www.cs.wisc.edu/grad/programs/admissions/","Open source")</x:f>
        <x:v>HYPERLINK is not implemented. linkLocation=https://www.cs.wisc.edu/grad/programs/admissions/, friendlyName=Open source</x:v>
      </x:c>
    </x:row>
    <x:row r="2585" ht="46" customHeight="1">
      <x:c r="A2585" s="17" t="str">
        <x:v>stage3src:aeb412dfadcfd4e13bcd</x:v>
      </x:c>
      <x:c r="B2585" s="17" t="str">
        <x:v>program</x:v>
      </x:c>
      <x:c r="C2585" s="17" t="str">
        <x:v>University of Wisconsin-Madison</x:v>
      </x:c>
      <x:c r="D2585" s="17" t="str">
        <x:v>us:ipeds:240444:program:phd:computer-sciences-phd</x:v>
      </x:c>
      <x:c r="E2585" s="17" t="str"/>
      <x:c r="F2585" s="17" t="str">
        <x:v>program|admissions|eligibility|deadline</x:v>
      </x:c>
      <x:c r="G2585" s="17" t="str">
        <x:v>Current PhD route, research/dissertation requirements, fall-only December 15 deadline, preparation, and 3.00 program GPA requirement.</x:v>
      </x:c>
      <x:c r="H2585" s="17" t="str">
        <x:v>Computer Sciences, PhD</x:v>
      </x:c>
      <x:c r="I2585" s="17" t="str">
        <x:v>University of Wisconsin-Madison Graduate Guide</x:v>
      </x:c>
      <x:c r="J2585" s="17" t="str">
        <x:v>official</x:v>
      </x:c>
      <x:c r="K2585" s="17" t="str">
        <x:v>2026-09-10</x:v>
      </x:c>
      <x:c r="L2585" s="17" t="str">
        <x:v>2026-2027 Graduate Guide</x:v>
      </x:c>
      <x:c r="M2585" s="17" t="str">
        <x:v>high</x:v>
      </x:c>
      <x:c r="N2585" s="17" t="str">
        <x:v>Official current guide checked</x:v>
      </x:c>
      <x:c r="O2585" s="17" t="str"/>
      <x:c r="P2585" s="18" t="e">
        <x:f>HYPERLINK("https://guide.wisc.edu/graduate/computer-sciences/computer-sciences-phd/","Open source")</x:f>
        <x:v>HYPERLINK is not implemented. linkLocation=https://guide.wisc.edu/graduate/computer-sciences/computer-sciences-phd/, friendlyName=Open source</x:v>
      </x:c>
    </x:row>
    <x:row r="2586" ht="46" customHeight="1">
      <x:c r="A2586" s="17" t="str">
        <x:v>stage3src:e5a49e215a1f6b97280c</x:v>
      </x:c>
      <x:c r="B2586" s="17" t="str">
        <x:v>program</x:v>
      </x:c>
      <x:c r="C2586" s="17" t="str">
        <x:v>University of Wisconsin-Madison</x:v>
      </x:c>
      <x:c r="D2586" s="17" t="str">
        <x:v>us:ipeds:240444:program:phd:computer-sciences-phd</x:v>
      </x:c>
      <x:c r="E2586" s="17" t="str"/>
      <x:c r="F2586" s="17" t="str">
        <x:v>funding|fees</x:v>
      </x:c>
      <x:c r="G2586" s="17" t="str">
        <x:v>Many traditional MS/PhD admits receive a four-year guarantee consisting of tuition remission and stipend, but the page does not promise it to all admits.</x:v>
      </x:c>
      <x:c r="H2586" s="17" t="str">
        <x:v>Funding and Cost of Attendance</x:v>
      </x:c>
      <x:c r="I2586" s="17" t="str">
        <x:v>UW-Madison Department of Computer Sciences</x:v>
      </x:c>
      <x:c r="J2586" s="17" t="str">
        <x:v>official</x:v>
      </x:c>
      <x:c r="K2586" s="17" t="str">
        <x:v>2026-09-10</x:v>
      </x:c>
      <x:c r="L2586" s="17" t="str">
        <x:v>Current page checked 2026-09-10</x:v>
      </x:c>
      <x:c r="M2586" s="17" t="str">
        <x:v>high</x:v>
      </x:c>
      <x:c r="N2586" s="17" t="str">
        <x:v>official page checked</x:v>
      </x:c>
      <x:c r="O2586" s="17" t="str"/>
      <x:c r="P2586" s="18" t="e">
        <x:f>HYPERLINK("https://www.cs.wisc.edu/grad/programs/funding/","Open source")</x:f>
        <x:v>HYPERLINK is not implemented. linkLocation=https://www.cs.wisc.edu/grad/programs/funding/, friendlyName=Open source</x:v>
      </x:c>
    </x:row>
    <x:row r="2587" ht="46" customHeight="1">
      <x:c r="A2587" s="17" t="str">
        <x:v>stage3src:4b2b2caa7e844836871b</x:v>
      </x:c>
      <x:c r="B2587" s="17" t="str">
        <x:v>program</x:v>
      </x:c>
      <x:c r="C2587" s="17" t="str">
        <x:v>University of Wisconsin-Madison</x:v>
      </x:c>
      <x:c r="D2587" s="17" t="str">
        <x:v>us:ipeds:240444:program:unclear:ipeds-discovery-signal-computer-and-information-sciences-general-cip-11-0101</x:v>
      </x:c>
      <x:c r="E2587" s="17" t="str"/>
      <x:c r="F2587" s="17" t="str">
        <x:v>discovery</x:v>
      </x:c>
      <x:c r="G2587" s="17" t="str">
        <x:v>Stage 2 recorded this row as a discovery candidate; it does not independently verify an exact current research program, eligibility, or funding.</x:v>
      </x:c>
      <x:c r="H2587" s="17" t="str">
        <x:v>Pass 2 Stage 2 candidate funnel</x:v>
      </x:c>
      <x:c r="I2587" s="17" t="str">
        <x:v>Graduate audit pipeline</x:v>
      </x:c>
      <x:c r="J2587" s="17" t="str">
        <x:v>derived</x:v>
      </x:c>
      <x:c r="K2587" s="17" t="str">
        <x:v>2026-09-11</x:v>
      </x:c>
      <x:c r="L2587" s="17" t="str">
        <x:v>Not cycle-specific</x:v>
      </x:c>
      <x:c r="M2587" s="17" t="str">
        <x:v>low</x:v>
      </x:c>
      <x:c r="N2587" s="17" t="str">
        <x:v>Discovery evidence only</x:v>
      </x:c>
      <x:c r="O2587" s="17" t="str">
        <x:v>Use the source_record_paths field to trace the underlying discovery inputs.</x:v>
      </x:c>
      <x:c r="P2587" s="18" t="e">
        <x:f>HYPERLINK("https://www.wisc.edu","Open source")</x:f>
        <x:v>HYPERLINK is not implemented. linkLocation=https://www.wisc.edu, friendlyName=Open source</x:v>
      </x:c>
    </x:row>
    <x:row r="2588" ht="46" customHeight="1">
      <x:c r="A2588" s="17" t="str">
        <x:v>stage3src:c3e04fcf763094e35961</x:v>
      </x:c>
      <x:c r="B2588" s="17" t="str">
        <x:v>program</x:v>
      </x:c>
      <x:c r="C2588" s="17" t="str">
        <x:v>University of Wisconsin-Madison</x:v>
      </x:c>
      <x:c r="D2588" s="17" t="str">
        <x:v>us:ipeds:240444:program:unclear:ipeds-discovery-signal-data-science-general-cip-30-7001</x:v>
      </x:c>
      <x:c r="E2588" s="17" t="str"/>
      <x:c r="F2588" s="17" t="str">
        <x:v>discovery</x:v>
      </x:c>
      <x:c r="G2588" s="17" t="str">
        <x:v>Stage 2 recorded this row as a discovery candidate; it does not independently verify an exact current research program, eligibility, or funding.</x:v>
      </x:c>
      <x:c r="H2588" s="17" t="str">
        <x:v>Pass 2 Stage 2 candidate funnel</x:v>
      </x:c>
      <x:c r="I2588" s="17" t="str">
        <x:v>Graduate audit pipeline</x:v>
      </x:c>
      <x:c r="J2588" s="17" t="str">
        <x:v>derived</x:v>
      </x:c>
      <x:c r="K2588" s="17" t="str">
        <x:v>2026-09-11</x:v>
      </x:c>
      <x:c r="L2588" s="17" t="str">
        <x:v>Not cycle-specific</x:v>
      </x:c>
      <x:c r="M2588" s="17" t="str">
        <x:v>low</x:v>
      </x:c>
      <x:c r="N2588" s="17" t="str">
        <x:v>Discovery evidence only</x:v>
      </x:c>
      <x:c r="O2588" s="17" t="str">
        <x:v>Use the source_record_paths field to trace the underlying discovery inputs.</x:v>
      </x:c>
      <x:c r="P2588" s="18" t="e">
        <x:f>HYPERLINK("https://www.wisc.edu","Open source")</x:f>
        <x:v>HYPERLINK is not implemented. linkLocation=https://www.wisc.edu, friendlyName=Open source</x:v>
      </x:c>
    </x:row>
    <x:row r="2589" ht="46" customHeight="1">
      <x:c r="A2589" s="17" t="str">
        <x:v>stage3src:c5214ca8d3e7d0d06ff8</x:v>
      </x:c>
      <x:c r="B2589" s="17" t="str">
        <x:v>program</x:v>
      </x:c>
      <x:c r="C2589" s="17" t="str">
        <x:v>University of Wisconsin-Madison</x:v>
      </x:c>
      <x:c r="D2589" s="17" t="str">
        <x:v>us:ipeds:240444:program:unclear:ipeds-discovery-signal-electrical-and-electronics-engineering-cip-14-1001</x:v>
      </x:c>
      <x:c r="E2589" s="17" t="str"/>
      <x:c r="F2589" s="17" t="str">
        <x:v>discovery</x:v>
      </x:c>
      <x:c r="G2589" s="17" t="str">
        <x:v>Stage 2 recorded this row as a discovery candidate; it does not independently verify an exact current research program, eligibility, or funding.</x:v>
      </x:c>
      <x:c r="H2589" s="17" t="str">
        <x:v>Pass 2 Stage 2 candidate funnel</x:v>
      </x:c>
      <x:c r="I2589" s="17" t="str">
        <x:v>Graduate audit pipeline</x:v>
      </x:c>
      <x:c r="J2589" s="17" t="str">
        <x:v>derived</x:v>
      </x:c>
      <x:c r="K2589" s="17" t="str">
        <x:v>2026-09-11</x:v>
      </x:c>
      <x:c r="L2589" s="17" t="str">
        <x:v>Not cycle-specific</x:v>
      </x:c>
      <x:c r="M2589" s="17" t="str">
        <x:v>low</x:v>
      </x:c>
      <x:c r="N2589" s="17" t="str">
        <x:v>Discovery evidence only</x:v>
      </x:c>
      <x:c r="O2589" s="17" t="str">
        <x:v>Use the source_record_paths field to trace the underlying discovery inputs.</x:v>
      </x:c>
      <x:c r="P2589" s="18" t="e">
        <x:f>HYPERLINK("https://www.wisc.edu","Open source")</x:f>
        <x:v>HYPERLINK is not implemented. linkLocation=https://www.wisc.edu, friendlyName=Open source</x:v>
      </x:c>
    </x:row>
    <x:row r="2590" ht="46" customHeight="1">
      <x:c r="A2590" s="17" t="str">
        <x:v>stage3src:0f58ff37e8191612824c</x:v>
      </x:c>
      <x:c r="B2590" s="17" t="str">
        <x:v>program</x:v>
      </x:c>
      <x:c r="C2590" s="17" t="str">
        <x:v>University of Wisconsin-Madison</x:v>
      </x:c>
      <x:c r="D2590" s="17" t="str">
        <x:v>us:ipeds:240444:program:unclear:ipeds-discovery-signal-information-science-studies-cip-11-0401</x:v>
      </x:c>
      <x:c r="E2590" s="17" t="str"/>
      <x:c r="F2590" s="17" t="str">
        <x:v>discovery</x:v>
      </x:c>
      <x:c r="G2590" s="17" t="str">
        <x:v>Stage 2 recorded this row as a discovery candidate; it does not independently verify an exact current research program, eligibility, or funding.</x:v>
      </x:c>
      <x:c r="H2590" s="17" t="str">
        <x:v>Pass 2 Stage 2 candidate funnel</x:v>
      </x:c>
      <x:c r="I2590" s="17" t="str">
        <x:v>Graduate audit pipeline</x:v>
      </x:c>
      <x:c r="J2590" s="17" t="str">
        <x:v>derived</x:v>
      </x:c>
      <x:c r="K2590" s="17" t="str">
        <x:v>2026-09-11</x:v>
      </x:c>
      <x:c r="L2590" s="17" t="str">
        <x:v>Not cycle-specific</x:v>
      </x:c>
      <x:c r="M2590" s="17" t="str">
        <x:v>low</x:v>
      </x:c>
      <x:c r="N2590" s="17" t="str">
        <x:v>Discovery evidence only</x:v>
      </x:c>
      <x:c r="O2590" s="17" t="str">
        <x:v>Use the source_record_paths field to trace the underlying discovery inputs.</x:v>
      </x:c>
      <x:c r="P2590" s="18" t="e">
        <x:f>HYPERLINK("https://www.wisc.edu","Open source")</x:f>
        <x:v>HYPERLINK is not implemented. linkLocation=https://www.wisc.edu, friendlyName=Open source</x:v>
      </x:c>
    </x:row>
    <x:row r="2591" ht="46" customHeight="1">
      <x:c r="A2591" s="17" t="str">
        <x:v>stage3src:03ec85f9c2eb52ed23a0</x:v>
      </x:c>
      <x:c r="B2591" s="17" t="str">
        <x:v>program</x:v>
      </x:c>
      <x:c r="C2591" s="17" t="str">
        <x:v>University of Wisconsin-Milwaukee</x:v>
      </x:c>
      <x:c r="D2591" s="17" t="str">
        <x:v>us:ipeds:240453:program:phd:computer-science-phd</x:v>
      </x:c>
      <x:c r="E2591" s="17" t="str"/>
      <x:c r="F2591" s="17" t="str">
        <x:v>research|faculty</x:v>
      </x:c>
      <x:c r="G2591" s="17" t="str">
        <x:v>Current programming languages, static analysis, software correctness and testing, secure distributed systems, and edge/cloud security research areas.</x:v>
      </x:c>
      <x:c r="H2591" s="17" t="str">
        <x:v>Computer Science Research</x:v>
      </x:c>
      <x:c r="I2591" s="17" t="str">
        <x:v>University of Wisconsin-Milwaukee</x:v>
      </x:c>
      <x:c r="J2591" s="17" t="str">
        <x:v>official</x:v>
      </x:c>
      <x:c r="K2591" s="17" t="str">
        <x:v>2026-09-11</x:v>
      </x:c>
      <x:c r="L2591" s="17" t="str">
        <x:v>Current page checked 2026-09-11</x:v>
      </x:c>
      <x:c r="M2591" s="17" t="str">
        <x:v>high</x:v>
      </x:c>
      <x:c r="N2591" s="17" t="str">
        <x:v>official page checked</x:v>
      </x:c>
      <x:c r="O2591" s="17" t="str"/>
      <x:c r="P2591" s="18" t="e">
        <x:f>HYPERLINK("https://uwm.edu/engineering/departments/computer-science/research/","Open source")</x:f>
        <x:v>HYPERLINK is not implemented. linkLocation=https://uwm.edu/engineering/departments/computer-science/research/, friendlyName=Open source</x:v>
      </x:c>
    </x:row>
    <x:row r="2592" ht="46" customHeight="1">
      <x:c r="A2592" s="17" t="str">
        <x:v>stage3src:8bb37dedcf26df8c72d7</x:v>
      </x:c>
      <x:c r="B2592" s="17" t="str">
        <x:v>program</x:v>
      </x:c>
      <x:c r="C2592" s="17" t="str">
        <x:v>University of Wisconsin-Milwaukee</x:v>
      </x:c>
      <x:c r="D2592" s="17" t="str">
        <x:v>us:ipeds:240453:program:phd:computer-science-phd</x:v>
      </x:c>
      <x:c r="E2592" s="17" t="str"/>
      <x:c r="F2592" s="17" t="str">
        <x:v>program|research|admissions|eligibility|funding</x:v>
      </x:c>
      <x:c r="G2592" s="17" t="str">
        <x:v>Current Computer Science PhD, related bachelor's entry, dissertation milestones, merit admission, and post-admission TA/RA/fellowship mechanisms.</x:v>
      </x:c>
      <x:c r="H2592" s="17" t="str">
        <x:v>Computer Science PhD</x:v>
      </x:c>
      <x:c r="I2592" s="17" t="str">
        <x:v>University of Wisconsin-Milwaukee</x:v>
      </x:c>
      <x:c r="J2592" s="17" t="str">
        <x:v>official</x:v>
      </x:c>
      <x:c r="K2592" s="17" t="str">
        <x:v>2026-09-11</x:v>
      </x:c>
      <x:c r="L2592" s="17" t="str">
        <x:v>Current page checked 2026-09-11</x:v>
      </x:c>
      <x:c r="M2592" s="17" t="str">
        <x:v>high</x:v>
      </x:c>
      <x:c r="N2592" s="17" t="str">
        <x:v>official page checked</x:v>
      </x:c>
      <x:c r="O2592" s="17" t="str"/>
      <x:c r="P2592" s="18" t="e">
        <x:f>HYPERLINK("https://uwm.edu/engineering/academics/computer-science-phd/","Open source")</x:f>
        <x:v>HYPERLINK is not implemented. linkLocation=https://uwm.edu/engineering/academics/computer-science-phd/, friendlyName=Open source</x:v>
      </x:c>
    </x:row>
    <x:row r="2593" ht="46" customHeight="1">
      <x:c r="A2593" s="17" t="str">
        <x:v>stage3src:d7ad15e390e112b5c154</x:v>
      </x:c>
      <x:c r="B2593" s="17" t="str">
        <x:v>program</x:v>
      </x:c>
      <x:c r="C2593" s="17" t="str">
        <x:v>University of Wisconsin-Milwaukee</x:v>
      </x:c>
      <x:c r="D2593" s="17" t="str">
        <x:v>us:ipeds:240453:program:unclear:ipeds-discovery-signal-computer-science-cip-11-0701</x:v>
      </x:c>
      <x:c r="E2593" s="17" t="str"/>
      <x:c r="F2593" s="17" t="str">
        <x:v>discovery</x:v>
      </x:c>
      <x:c r="G2593" s="17" t="str">
        <x:v>Stage 2 recorded this row as a discovery candidate; it does not independently verify an exact current research program, eligibility, or funding.</x:v>
      </x:c>
      <x:c r="H2593" s="17" t="str">
        <x:v>Pass 2 Stage 2 candidate funnel</x:v>
      </x:c>
      <x:c r="I2593" s="17" t="str">
        <x:v>Graduate audit pipeline</x:v>
      </x:c>
      <x:c r="J2593" s="17" t="str">
        <x:v>derived</x:v>
      </x:c>
      <x:c r="K2593" s="17" t="str">
        <x:v>2026-09-11</x:v>
      </x:c>
      <x:c r="L2593" s="17" t="str">
        <x:v>Not cycle-specific</x:v>
      </x:c>
      <x:c r="M2593" s="17" t="str">
        <x:v>low</x:v>
      </x:c>
      <x:c r="N2593" s="17" t="str">
        <x:v>Discovery evidence only</x:v>
      </x:c>
      <x:c r="O2593" s="17" t="str">
        <x:v>Use the source_record_paths field to trace the underlying discovery inputs.</x:v>
      </x:c>
      <x:c r="P2593" s="18" t="e">
        <x:f>HYPERLINK("https://uwm.edu","Open source")</x:f>
        <x:v>HYPERLINK is not implemented. linkLocation=https://uwm.edu, friendlyName=Open source</x:v>
      </x:c>
    </x:row>
    <x:row r="2594" ht="46" customHeight="1">
      <x:c r="A2594" s="17" t="str">
        <x:v>stage3src:f2c57abe2016a4648d55</x:v>
      </x:c>
      <x:c r="B2594" s="17" t="str">
        <x:v>program</x:v>
      </x:c>
      <x:c r="C2594" s="17" t="str">
        <x:v>University of Wisconsin-Milwaukee</x:v>
      </x:c>
      <x:c r="D2594" s="17" t="str">
        <x:v>us:ipeds:240453:program:unclear:ipeds-discovery-signal-data-science-general-cip-30-7001</x:v>
      </x:c>
      <x:c r="E2594" s="17" t="str"/>
      <x:c r="F2594" s="17" t="str">
        <x:v>discovery</x:v>
      </x:c>
      <x:c r="G2594" s="17" t="str">
        <x:v>Stage 2 recorded this row as a discovery candidate; it does not independently verify an exact current research program, eligibility, or funding.</x:v>
      </x:c>
      <x:c r="H2594" s="17" t="str">
        <x:v>Pass 2 Stage 2 candidate funnel</x:v>
      </x:c>
      <x:c r="I2594" s="17" t="str">
        <x:v>Graduate audit pipeline</x:v>
      </x:c>
      <x:c r="J2594" s="17" t="str">
        <x:v>derived</x:v>
      </x:c>
      <x:c r="K2594" s="17" t="str">
        <x:v>2026-09-11</x:v>
      </x:c>
      <x:c r="L2594" s="17" t="str">
        <x:v>Not cycle-specific</x:v>
      </x:c>
      <x:c r="M2594" s="17" t="str">
        <x:v>low</x:v>
      </x:c>
      <x:c r="N2594" s="17" t="str">
        <x:v>Discovery evidence only</x:v>
      </x:c>
      <x:c r="O2594" s="17" t="str">
        <x:v>Use the source_record_paths field to trace the underlying discovery inputs.</x:v>
      </x:c>
      <x:c r="P2594" s="18" t="e">
        <x:f>HYPERLINK("https://uwm.edu","Open source")</x:f>
        <x:v>HYPERLINK is not implemented. linkLocation=https://uwm.edu, friendlyName=Open source</x:v>
      </x:c>
    </x:row>
    <x:row r="2595" ht="46" customHeight="1">
      <x:c r="A2595" s="17" t="str">
        <x:v>stage3src:a53c41a8352e2a1aa011</x:v>
      </x:c>
      <x:c r="B2595" s="17" t="str">
        <x:v>program</x:v>
      </x:c>
      <x:c r="C2595" s="17" t="str">
        <x:v>University of Wisconsin-Milwaukee</x:v>
      </x:c>
      <x:c r="D2595" s="17" t="str">
        <x:v>us:ipeds:240453:program:unclear:ipeds-discovery-signal-electrical-and-electronics-engineering-cip-14-1001</x:v>
      </x:c>
      <x:c r="E2595" s="17" t="str"/>
      <x:c r="F2595" s="17" t="str">
        <x:v>discovery</x:v>
      </x:c>
      <x:c r="G2595" s="17" t="str">
        <x:v>Stage 2 recorded this row as a discovery candidate; it does not independently verify an exact current research program, eligibility, or funding.</x:v>
      </x:c>
      <x:c r="H2595" s="17" t="str">
        <x:v>Pass 2 Stage 2 candidate funnel</x:v>
      </x:c>
      <x:c r="I2595" s="17" t="str">
        <x:v>Graduate audit pipeline</x:v>
      </x:c>
      <x:c r="J2595" s="17" t="str">
        <x:v>derived</x:v>
      </x:c>
      <x:c r="K2595" s="17" t="str">
        <x:v>2026-09-11</x:v>
      </x:c>
      <x:c r="L2595" s="17" t="str">
        <x:v>Not cycle-specific</x:v>
      </x:c>
      <x:c r="M2595" s="17" t="str">
        <x:v>low</x:v>
      </x:c>
      <x:c r="N2595" s="17" t="str">
        <x:v>Discovery evidence only</x:v>
      </x:c>
      <x:c r="O2595" s="17" t="str">
        <x:v>Use the source_record_paths field to trace the underlying discovery inputs.</x:v>
      </x:c>
      <x:c r="P2595" s="18" t="e">
        <x:f>HYPERLINK("https://uwm.edu","Open source")</x:f>
        <x:v>HYPERLINK is not implemented. linkLocation=https://uwm.edu, friendlyName=Open source</x:v>
      </x:c>
    </x:row>
    <x:row r="2596" ht="46" customHeight="1">
      <x:c r="A2596" s="17" t="str">
        <x:v>stage3src:2eab74fa2186aba35907</x:v>
      </x:c>
      <x:c r="B2596" s="17" t="str">
        <x:v>program</x:v>
      </x:c>
      <x:c r="C2596" s="17" t="str">
        <x:v>University of Wisconsin-Milwaukee</x:v>
      </x:c>
      <x:c r="D2596" s="17" t="str">
        <x:v>us:ipeds:240453:program:unclear:ipeds-discovery-signal-information-science-studies-cip-11-0401</x:v>
      </x:c>
      <x:c r="E2596" s="17" t="str"/>
      <x:c r="F2596" s="17" t="str">
        <x:v>discovery</x:v>
      </x:c>
      <x:c r="G2596" s="17" t="str">
        <x:v>Stage 2 recorded this row as a discovery candidate; it does not independently verify an exact current research program, eligibility, or funding.</x:v>
      </x:c>
      <x:c r="H2596" s="17" t="str">
        <x:v>Pass 2 Stage 2 candidate funnel</x:v>
      </x:c>
      <x:c r="I2596" s="17" t="str">
        <x:v>Graduate audit pipeline</x:v>
      </x:c>
      <x:c r="J2596" s="17" t="str">
        <x:v>derived</x:v>
      </x:c>
      <x:c r="K2596" s="17" t="str">
        <x:v>2026-09-11</x:v>
      </x:c>
      <x:c r="L2596" s="17" t="str">
        <x:v>Not cycle-specific</x:v>
      </x:c>
      <x:c r="M2596" s="17" t="str">
        <x:v>low</x:v>
      </x:c>
      <x:c r="N2596" s="17" t="str">
        <x:v>Discovery evidence only</x:v>
      </x:c>
      <x:c r="O2596" s="17" t="str">
        <x:v>Use the source_record_paths field to trace the underlying discovery inputs.</x:v>
      </x:c>
      <x:c r="P2596" s="18" t="e">
        <x:f>HYPERLINK("https://uwm.edu","Open source")</x:f>
        <x:v>HYPERLINK is not implemented. linkLocation=https://uwm.edu, friendlyName=Open source</x:v>
      </x:c>
    </x:row>
    <x:row r="2597" ht="46" customHeight="1">
      <x:c r="A2597" s="17" t="str">
        <x:v>stage3src:cf8ea850903890f2b56a</x:v>
      </x:c>
      <x:c r="B2597" s="17" t="str">
        <x:v>program</x:v>
      </x:c>
      <x:c r="C2597" s="17" t="str">
        <x:v>University of Wisconsin-Milwaukee</x:v>
      </x:c>
      <x:c r="D2597" s="17" t="str">
        <x:v>us:ipeds:240453:program:unclear:ipeds-discovery-signal-information-technology-cip-11-0103</x:v>
      </x:c>
      <x:c r="E2597" s="17" t="str"/>
      <x:c r="F2597" s="17" t="str">
        <x:v>discovery</x:v>
      </x:c>
      <x:c r="G2597" s="17" t="str">
        <x:v>Stage 2 recorded this row as a discovery candidate; it does not independently verify an exact current research program, eligibility, or funding.</x:v>
      </x:c>
      <x:c r="H2597" s="17" t="str">
        <x:v>Pass 2 Stage 2 candidate funnel</x:v>
      </x:c>
      <x:c r="I2597" s="17" t="str">
        <x:v>Graduate audit pipeline</x:v>
      </x:c>
      <x:c r="J2597" s="17" t="str">
        <x:v>derived</x:v>
      </x:c>
      <x:c r="K2597" s="17" t="str">
        <x:v>2026-09-11</x:v>
      </x:c>
      <x:c r="L2597" s="17" t="str">
        <x:v>Not cycle-specific</x:v>
      </x:c>
      <x:c r="M2597" s="17" t="str">
        <x:v>low</x:v>
      </x:c>
      <x:c r="N2597" s="17" t="str">
        <x:v>Discovery evidence only</x:v>
      </x:c>
      <x:c r="O2597" s="17" t="str">
        <x:v>Use the source_record_paths field to trace the underlying discovery inputs.</x:v>
      </x:c>
      <x:c r="P2597" s="18" t="e">
        <x:f>HYPERLINK("https://uwm.edu","Open source")</x:f>
        <x:v>HYPERLINK is not implemented. linkLocation=https://uwm.edu, friendlyName=Open source</x:v>
      </x:c>
    </x:row>
    <x:row r="2598" ht="46" customHeight="1">
      <x:c r="A2598" s="17" t="str">
        <x:v>stage3src:5a5e5c0467a3db1f18d1</x:v>
      </x:c>
      <x:c r="B2598" s="17" t="str">
        <x:v>program</x:v>
      </x:c>
      <x:c r="C2598" s="17" t="str">
        <x:v>University of Wisconsin-Platteville</x:v>
      </x:c>
      <x:c r="D2598" s="17" t="str">
        <x:v>us:ipeds:240462:program:unclear:ipeds-discovery-signal-computer-and-information-systems-security-auditing-information-assurance-cip-11-1003</x:v>
      </x:c>
      <x:c r="E2598" s="17" t="str"/>
      <x:c r="F2598" s="17" t="str">
        <x:v>discovery</x:v>
      </x:c>
      <x:c r="G2598" s="17" t="str">
        <x:v>Stage 2 recorded this row as a discovery candidate; it does not independently verify an exact current research program, eligibility, or funding.</x:v>
      </x:c>
      <x:c r="H2598" s="17" t="str">
        <x:v>Pass 2 Stage 2 candidate funnel</x:v>
      </x:c>
      <x:c r="I2598" s="17" t="str">
        <x:v>Graduate audit pipeline</x:v>
      </x:c>
      <x:c r="J2598" s="17" t="str">
        <x:v>derived</x:v>
      </x:c>
      <x:c r="K2598" s="17" t="str">
        <x:v>2026-09-11</x:v>
      </x:c>
      <x:c r="L2598" s="17" t="str">
        <x:v>Not cycle-specific</x:v>
      </x:c>
      <x:c r="M2598" s="17" t="str">
        <x:v>low</x:v>
      </x:c>
      <x:c r="N2598" s="17" t="str">
        <x:v>Discovery evidence only</x:v>
      </x:c>
      <x:c r="O2598" s="17" t="str">
        <x:v>Use the source_record_paths field to trace the underlying discovery inputs.</x:v>
      </x:c>
      <x:c r="P2598" s="18" t="e">
        <x:f>HYPERLINK("https://www.uwplatt.edu","Open source")</x:f>
        <x:v>HYPERLINK is not implemented. linkLocation=https://www.uwplatt.edu, friendlyName=Open source</x:v>
      </x:c>
    </x:row>
    <x:row r="2599" ht="46" customHeight="1">
      <x:c r="A2599" s="17" t="str">
        <x:v>stage3src:a893e20bf7f45838f23b</x:v>
      </x:c>
      <x:c r="B2599" s="17" t="str">
        <x:v>program</x:v>
      </x:c>
      <x:c r="C2599" s="17" t="str">
        <x:v>University of Wisconsin-River Falls</x:v>
      </x:c>
      <x:c r="D2599" s="17" t="str">
        <x:v>us:ipeds:240471:program:unclear:ipeds-discovery-signal-computer-and-information-systems-security-auditing-information-assurance-cip-11-1003</x:v>
      </x:c>
      <x:c r="E2599" s="17" t="str"/>
      <x:c r="F2599" s="17" t="str">
        <x:v>discovery</x:v>
      </x:c>
      <x:c r="G2599" s="17" t="str">
        <x:v>Stage 2 recorded this row as a discovery candidate; it does not independently verify an exact current research program, eligibility, or funding.</x:v>
      </x:c>
      <x:c r="H2599" s="17" t="str">
        <x:v>Pass 2 Stage 2 candidate funnel</x:v>
      </x:c>
      <x:c r="I2599" s="17" t="str">
        <x:v>Graduate audit pipeline</x:v>
      </x:c>
      <x:c r="J2599" s="17" t="str">
        <x:v>derived</x:v>
      </x:c>
      <x:c r="K2599" s="17" t="str">
        <x:v>2026-09-11</x:v>
      </x:c>
      <x:c r="L2599" s="17" t="str">
        <x:v>Not cycle-specific</x:v>
      </x:c>
      <x:c r="M2599" s="17" t="str">
        <x:v>low</x:v>
      </x:c>
      <x:c r="N2599" s="17" t="str">
        <x:v>Discovery evidence only</x:v>
      </x:c>
      <x:c r="O2599" s="17" t="str">
        <x:v>Use the source_record_paths field to trace the underlying discovery inputs.</x:v>
      </x:c>
      <x:c r="P2599" s="18" t="e">
        <x:f>HYPERLINK("https://www.uwrf.edu","Open source")</x:f>
        <x:v>HYPERLINK is not implemented. linkLocation=https://www.uwrf.edu, friendlyName=Open source</x:v>
      </x:c>
    </x:row>
    <x:row r="2600" ht="46" customHeight="1">
      <x:c r="A2600" s="17" t="str">
        <x:v>stage3src:01b2a6b3744d787c1a21</x:v>
      </x:c>
      <x:c r="B2600" s="17" t="str">
        <x:v>program</x:v>
      </x:c>
      <x:c r="C2600" s="17" t="str">
        <x:v>University of Wisconsin-River Falls</x:v>
      </x:c>
      <x:c r="D2600" s="17" t="str">
        <x:v>us:ipeds:240471:program:unclear:ipeds-discovery-signal-computer-science-cip-11-0701</x:v>
      </x:c>
      <x:c r="E2600" s="17" t="str"/>
      <x:c r="F2600" s="17" t="str">
        <x:v>discovery</x:v>
      </x:c>
      <x:c r="G2600" s="17" t="str">
        <x:v>Stage 2 recorded this row as a discovery candidate; it does not independently verify an exact current research program, eligibility, or funding.</x:v>
      </x:c>
      <x:c r="H2600" s="17" t="str">
        <x:v>Pass 2 Stage 2 candidate funnel</x:v>
      </x:c>
      <x:c r="I2600" s="17" t="str">
        <x:v>Graduate audit pipeline</x:v>
      </x:c>
      <x:c r="J2600" s="17" t="str">
        <x:v>derived</x:v>
      </x:c>
      <x:c r="K2600" s="17" t="str">
        <x:v>2026-09-11</x:v>
      </x:c>
      <x:c r="L2600" s="17" t="str">
        <x:v>Not cycle-specific</x:v>
      </x:c>
      <x:c r="M2600" s="17" t="str">
        <x:v>low</x:v>
      </x:c>
      <x:c r="N2600" s="17" t="str">
        <x:v>Discovery evidence only</x:v>
      </x:c>
      <x:c r="O2600" s="17" t="str">
        <x:v>Use the source_record_paths field to trace the underlying discovery inputs.</x:v>
      </x:c>
      <x:c r="P2600" s="18" t="e">
        <x:f>HYPERLINK("https://www.uwrf.edu","Open source")</x:f>
        <x:v>HYPERLINK is not implemented. linkLocation=https://www.uwrf.edu, friendlyName=Open source</x:v>
      </x:c>
    </x:row>
    <x:row r="2601" ht="46" customHeight="1">
      <x:c r="A2601" s="17" t="str">
        <x:v>stage3src:2a657c49729c8133affc</x:v>
      </x:c>
      <x:c r="B2601" s="17" t="str">
        <x:v>program</x:v>
      </x:c>
      <x:c r="C2601" s="17" t="str">
        <x:v>University of Wisconsin-Stevens Point</x:v>
      </x:c>
      <x:c r="D2601" s="17" t="str">
        <x:v>us:ipeds:240480:program:unclear:ipeds-discovery-signal-computer-and-information-systems-security-auditing-information-assurance-cip-11-1003</x:v>
      </x:c>
      <x:c r="E2601" s="17" t="str"/>
      <x:c r="F2601" s="17" t="str">
        <x:v>discovery</x:v>
      </x:c>
      <x:c r="G2601" s="17" t="str">
        <x:v>Stage 2 recorded this row as a discovery candidate; it does not independently verify an exact current research program, eligibility, or funding.</x:v>
      </x:c>
      <x:c r="H2601" s="17" t="str">
        <x:v>Pass 2 Stage 2 candidate funnel</x:v>
      </x:c>
      <x:c r="I2601" s="17" t="str">
        <x:v>Graduate audit pipeline</x:v>
      </x:c>
      <x:c r="J2601" s="17" t="str">
        <x:v>derived</x:v>
      </x:c>
      <x:c r="K2601" s="17" t="str">
        <x:v>2026-09-11</x:v>
      </x:c>
      <x:c r="L2601" s="17" t="str">
        <x:v>Not cycle-specific</x:v>
      </x:c>
      <x:c r="M2601" s="17" t="str">
        <x:v>low</x:v>
      </x:c>
      <x:c r="N2601" s="17" t="str">
        <x:v>Discovery evidence only</x:v>
      </x:c>
      <x:c r="O2601" s="17" t="str">
        <x:v>Use the source_record_paths field to trace the underlying discovery inputs.</x:v>
      </x:c>
      <x:c r="P2601" s="18" t="e">
        <x:f>HYPERLINK("https://www.uwsp.edu","Open source")</x:f>
        <x:v>HYPERLINK is not implemented. linkLocation=https://www.uwsp.edu, friendlyName=Open source</x:v>
      </x:c>
    </x:row>
    <x:row r="2602" ht="46" customHeight="1">
      <x:c r="A2602" s="17" t="str">
        <x:v>stage3src:351a6efc4c15e08ae26c</x:v>
      </x:c>
      <x:c r="B2602" s="17" t="str">
        <x:v>program</x:v>
      </x:c>
      <x:c r="C2602" s="17" t="str">
        <x:v>University of Wisconsin-Stevens Point</x:v>
      </x:c>
      <x:c r="D2602" s="17" t="str">
        <x:v>us:ipeds:240480:program:unclear:ipeds-discovery-signal-data-science-general-cip-30-7001</x:v>
      </x:c>
      <x:c r="E2602" s="17" t="str"/>
      <x:c r="F2602" s="17" t="str">
        <x:v>discovery</x:v>
      </x:c>
      <x:c r="G2602" s="17" t="str">
        <x:v>Stage 2 recorded this row as a discovery candidate; it does not independently verify an exact current research program, eligibility, or funding.</x:v>
      </x:c>
      <x:c r="H2602" s="17" t="str">
        <x:v>Pass 2 Stage 2 candidate funnel</x:v>
      </x:c>
      <x:c r="I2602" s="17" t="str">
        <x:v>Graduate audit pipeline</x:v>
      </x:c>
      <x:c r="J2602" s="17" t="str">
        <x:v>derived</x:v>
      </x:c>
      <x:c r="K2602" s="17" t="str">
        <x:v>2026-09-11</x:v>
      </x:c>
      <x:c r="L2602" s="17" t="str">
        <x:v>Not cycle-specific</x:v>
      </x:c>
      <x:c r="M2602" s="17" t="str">
        <x:v>low</x:v>
      </x:c>
      <x:c r="N2602" s="17" t="str">
        <x:v>Discovery evidence only</x:v>
      </x:c>
      <x:c r="O2602" s="17" t="str">
        <x:v>Use the source_record_paths field to trace the underlying discovery inputs.</x:v>
      </x:c>
      <x:c r="P2602" s="18" t="e">
        <x:f>HYPERLINK("https://www.uwsp.edu","Open source")</x:f>
        <x:v>HYPERLINK is not implemented. linkLocation=https://www.uwsp.edu, friendlyName=Open source</x:v>
      </x:c>
    </x:row>
    <x:row r="2603" ht="46" customHeight="1">
      <x:c r="A2603" s="17" t="str">
        <x:v>stage3src:8a8354d2bb2fe7306047</x:v>
      </x:c>
      <x:c r="B2603" s="17" t="str">
        <x:v>program</x:v>
      </x:c>
      <x:c r="C2603" s="17" t="str">
        <x:v>University of Wyoming</x:v>
      </x:c>
      <x:c r="D2603" s="17" t="str">
        <x:v>us:ipeds:240727:program:phd:phd-in-computer-science</x:v>
      </x:c>
      <x:c r="E2603" s="17" t="str"/>
      <x:c r="F2603" s="17" t="str">
        <x:v>tuition|fees</x:v>
      </x:c>
      <x:c r="G2603" s="17" t="str">
        <x:v>FY27 nonresident graduate tuition and fee schedule used to state the unfunded exposure.</x:v>
      </x:c>
      <x:c r="H2603" s="17" t="str">
        <x:v>Tuition and Fees</x:v>
      </x:c>
      <x:c r="I2603" s="17" t="str">
        <x:v>University of Wyoming</x:v>
      </x:c>
      <x:c r="J2603" s="17" t="str">
        <x:v>official</x:v>
      </x:c>
      <x:c r="K2603" s="17" t="str">
        <x:v>2026-09-11</x:v>
      </x:c>
      <x:c r="L2603" s="17" t="str">
        <x:v>FY27 checked 2026-09-11</x:v>
      </x:c>
      <x:c r="M2603" s="17" t="str">
        <x:v>high</x:v>
      </x:c>
      <x:c r="N2603" s="17" t="str">
        <x:v>official page checked</x:v>
      </x:c>
      <x:c r="O2603" s="17" t="str"/>
      <x:c r="P2603" s="18" t="e">
        <x:f>HYPERLINK("https://www.uwyo.edu/fsbo/student-financial-services/tuition-and-fees.html","Open source")</x:f>
        <x:v>HYPERLINK is not implemented. linkLocation=https://www.uwyo.edu/fsbo/student-financial-services/tuition-and-fees.html, friendlyName=Open source</x:v>
      </x:c>
    </x:row>
    <x:row r="2604" ht="46" customHeight="1">
      <x:c r="A2604" s="17" t="str">
        <x:v>stage3src:c5a2bd6a3ff0437308be</x:v>
      </x:c>
      <x:c r="B2604" s="17" t="str">
        <x:v>program</x:v>
      </x:c>
      <x:c r="C2604" s="17" t="str">
        <x:v>University of Wyoming</x:v>
      </x:c>
      <x:c r="D2604" s="17" t="str">
        <x:v>us:ipeds:240727:program:phd:phd-in-computer-science</x:v>
      </x:c>
      <x:c r="E2604" s="17" t="str"/>
      <x:c r="F2604" s="17" t="str">
        <x:v>program|research|eligibility|language|funding</x:v>
      </x:c>
      <x:c r="G2604" s="17" t="str">
        <x:v>Current CS PhD, direct bachelor's route, GPA, prerequisites, English thresholds, and majority-support statement.</x:v>
      </x:c>
      <x:c r="H2604" s="17" t="str">
        <x:v>Computer Science MS and PhD</x:v>
      </x:c>
      <x:c r="I2604" s="17" t="str">
        <x:v>University of Wyoming</x:v>
      </x:c>
      <x:c r="J2604" s="17" t="str">
        <x:v>official</x:v>
      </x:c>
      <x:c r="K2604" s="17" t="str">
        <x:v>2026-09-11</x:v>
      </x:c>
      <x:c r="L2604" s="17" t="str">
        <x:v>Current page checked 2026-09-11</x:v>
      </x:c>
      <x:c r="M2604" s="17" t="str">
        <x:v>high</x:v>
      </x:c>
      <x:c r="N2604" s="17" t="str">
        <x:v>official page checked</x:v>
      </x:c>
      <x:c r="O2604" s="17" t="str"/>
      <x:c r="P2604" s="18" t="e">
        <x:f>HYPERLINK("https://www.uwyo.edu/uw/degree-programs/computer-science-ms-phd.html","Open source")</x:f>
        <x:v>HYPERLINK is not implemented. linkLocation=https://www.uwyo.edu/uw/degree-programs/computer-science-ms-phd.html, friendlyName=Open source</x:v>
      </x:c>
    </x:row>
    <x:row r="2605" ht="46" customHeight="1">
      <x:c r="A2605" s="17" t="str">
        <x:v>stage3src:d811c78f74a96bec5154</x:v>
      </x:c>
      <x:c r="B2605" s="17" t="str">
        <x:v>program</x:v>
      </x:c>
      <x:c r="C2605" s="17" t="str">
        <x:v>University of Wyoming</x:v>
      </x:c>
      <x:c r="D2605" s="17" t="str">
        <x:v>us:ipeds:240727:program:phd:phd-in-computer-science</x:v>
      </x:c>
      <x:c r="E2605" s="17" t="str"/>
      <x:c r="F2605" s="17" t="str">
        <x:v>funding|tuition|fees|insurance</x:v>
      </x:c>
      <x:c r="G2605" s="17" t="str">
        <x:v>Estimated full-time doctoral stipend and tuition, mandatory-fee, and insurance benefit components.</x:v>
      </x:c>
      <x:c r="H2605" s="17" t="str">
        <x:v>Assistantship Funding</x:v>
      </x:c>
      <x:c r="I2605" s="17" t="str">
        <x:v>University of Wyoming Graduate Education</x:v>
      </x:c>
      <x:c r="J2605" s="17" t="str">
        <x:v>official</x:v>
      </x:c>
      <x:c r="K2605" s="17" t="str">
        <x:v>2026-09-11</x:v>
      </x:c>
      <x:c r="L2605" s="17" t="str">
        <x:v>Current package checked 2026-09-11</x:v>
      </x:c>
      <x:c r="M2605" s="17" t="str">
        <x:v>high</x:v>
      </x:c>
      <x:c r="N2605" s="17" t="str">
        <x:v>official page checked</x:v>
      </x:c>
      <x:c r="O2605" s="17" t="str"/>
      <x:c r="P2605" s="18" t="e">
        <x:f>HYPERLINK("https://www.uwyo.edu/uwgrad/enrolled-students/financial-assistance/assistantship-funding.html","Open source")</x:f>
        <x:v>HYPERLINK is not implemented. linkLocation=https://www.uwyo.edu/uwgrad/enrolled-students/financial-assistance/assistantship-funding.html, friendlyName=Open source</x:v>
      </x:c>
    </x:row>
    <x:row r="2606" ht="46" customHeight="1">
      <x:c r="A2606" s="17" t="str">
        <x:v>stage3src:e4f614c36ef38071efa7</x:v>
      </x:c>
      <x:c r="B2606" s="17" t="str">
        <x:v>program</x:v>
      </x:c>
      <x:c r="C2606" s="17" t="str">
        <x:v>University of Wyoming</x:v>
      </x:c>
      <x:c r="D2606" s="17" t="str">
        <x:v>us:ipeds:240727:program:phd:phd-in-computer-science</x:v>
      </x:c>
      <x:c r="E2606" s="17" t="str"/>
      <x:c r="F2606" s="17" t="str">
        <x:v>admissions|deadline|fees|funding|tuition</x:v>
      </x:c>
      <x:c r="G2606" s="17" t="str">
        <x:v>Computer Science admissions route, application fee, March 15 funding deadline, assistantship mechanisms, and five-year support ceiling.</x:v>
      </x:c>
      <x:c r="H2606" s="17" t="str">
        <x:v>Graduate Admissions</x:v>
      </x:c>
      <x:c r="I2606" s="17" t="str">
        <x:v>University of Wyoming EECS</x:v>
      </x:c>
      <x:c r="J2606" s="17" t="str">
        <x:v>official</x:v>
      </x:c>
      <x:c r="K2606" s="17" t="str">
        <x:v>2026-09-11</x:v>
      </x:c>
      <x:c r="L2606" s="17" t="str">
        <x:v>Current page checked 2026-09-11</x:v>
      </x:c>
      <x:c r="M2606" s="17" t="str">
        <x:v>high</x:v>
      </x:c>
      <x:c r="N2606" s="17" t="str">
        <x:v>official page checked</x:v>
      </x:c>
      <x:c r="O2606" s="17" t="str"/>
      <x:c r="P2606" s="18" t="e">
        <x:f>HYPERLINK("https://www.uwyo.edu/eecs/graduate/admissions.html","Open source")</x:f>
        <x:v>HYPERLINK is not implemented. linkLocation=https://www.uwyo.edu/eecs/graduate/admissions.html, friendlyName=Open source</x:v>
      </x:c>
    </x:row>
    <x:row r="2607" ht="46" customHeight="1">
      <x:c r="A2607" s="17" t="str">
        <x:v>stage3src:e288d276e3886c5a5256</x:v>
      </x:c>
      <x:c r="B2607" s="17" t="str">
        <x:v>program</x:v>
      </x:c>
      <x:c r="C2607" s="17" t="str">
        <x:v>University of Wyoming</x:v>
      </x:c>
      <x:c r="D2607" s="17" t="str">
        <x:v>us:ipeds:240727:program:unclear:ipeds-discovery-signal-computer-science-cip-11-0701</x:v>
      </x:c>
      <x:c r="E2607" s="17" t="str"/>
      <x:c r="F2607" s="17" t="str">
        <x:v>discovery</x:v>
      </x:c>
      <x:c r="G2607" s="17" t="str">
        <x:v>Stage 2 recorded this row as a discovery candidate; it does not independently verify an exact current research program, eligibility, or funding.</x:v>
      </x:c>
      <x:c r="H2607" s="17" t="str">
        <x:v>Pass 2 Stage 2 candidate funnel</x:v>
      </x:c>
      <x:c r="I2607" s="17" t="str">
        <x:v>Graduate audit pipeline</x:v>
      </x:c>
      <x:c r="J2607" s="17" t="str">
        <x:v>derived</x:v>
      </x:c>
      <x:c r="K2607" s="17" t="str">
        <x:v>2026-09-11</x:v>
      </x:c>
      <x:c r="L2607" s="17" t="str">
        <x:v>Not cycle-specific</x:v>
      </x:c>
      <x:c r="M2607" s="17" t="str">
        <x:v>low</x:v>
      </x:c>
      <x:c r="N2607" s="17" t="str">
        <x:v>Discovery evidence only</x:v>
      </x:c>
      <x:c r="O2607" s="17" t="str">
        <x:v>Use the source_record_paths field to trace the underlying discovery inputs.</x:v>
      </x:c>
      <x:c r="P2607" s="18" t="e">
        <x:f>HYPERLINK("https://www.uwyo.edu","Open source")</x:f>
        <x:v>HYPERLINK is not implemented. linkLocation=https://www.uwyo.edu, friendlyName=Open source</x:v>
      </x:c>
    </x:row>
    <x:row r="2608" ht="46" customHeight="1">
      <x:c r="A2608" s="17" t="str">
        <x:v>stage3src:9916d7df5602ec9252ff</x:v>
      </x:c>
      <x:c r="B2608" s="17" t="str">
        <x:v>program</x:v>
      </x:c>
      <x:c r="C2608" s="17" t="str">
        <x:v>University of Wyoming</x:v>
      </x:c>
      <x:c r="D2608" s="17" t="str">
        <x:v>us:ipeds:240727:program:unclear:ipeds-discovery-signal-electrical-and-electronics-engineering-cip-14-1001</x:v>
      </x:c>
      <x:c r="E2608" s="17" t="str"/>
      <x:c r="F2608" s="17" t="str">
        <x:v>discovery</x:v>
      </x:c>
      <x:c r="G2608" s="17" t="str">
        <x:v>Stage 2 recorded this row as a discovery candidate; it does not independently verify an exact current research program, eligibility, or funding.</x:v>
      </x:c>
      <x:c r="H2608" s="17" t="str">
        <x:v>Pass 2 Stage 2 candidate funnel</x:v>
      </x:c>
      <x:c r="I2608" s="17" t="str">
        <x:v>Graduate audit pipeline</x:v>
      </x:c>
      <x:c r="J2608" s="17" t="str">
        <x:v>derived</x:v>
      </x:c>
      <x:c r="K2608" s="17" t="str">
        <x:v>2026-09-11</x:v>
      </x:c>
      <x:c r="L2608" s="17" t="str">
        <x:v>Not cycle-specific</x:v>
      </x:c>
      <x:c r="M2608" s="17" t="str">
        <x:v>low</x:v>
      </x:c>
      <x:c r="N2608" s="17" t="str">
        <x:v>Discovery evidence only</x:v>
      </x:c>
      <x:c r="O2608" s="17" t="str">
        <x:v>Use the source_record_paths field to trace the underlying discovery inputs.</x:v>
      </x:c>
      <x:c r="P2608" s="18" t="e">
        <x:f>HYPERLINK("https://www.uwyo.edu","Open source")</x:f>
        <x:v>HYPERLINK is not implemented. linkLocation=https://www.uwyo.edu, friendlyName=Open source</x:v>
      </x:c>
    </x:row>
    <x:row r="2609" ht="46" customHeight="1">
      <x:c r="A2609" s="17" t="str">
        <x:v>stage3src:5a2964e37f509c085dcd</x:v>
      </x:c>
      <x:c r="B2609" s="17" t="str">
        <x:v>program</x:v>
      </x:c>
      <x:c r="C2609" s="17" t="str">
        <x:v>Universidad Ana G. Mendez-Cupey Campus</x:v>
      </x:c>
      <x:c r="D2609" s="17" t="str">
        <x:v>us:ipeds:241739:program:unclear:ipeds-discovery-signal-computer-and-information-systems-security-auditing-information-assurance-cip-11-1003</x:v>
      </x:c>
      <x:c r="E2609" s="17" t="str"/>
      <x:c r="F2609" s="17" t="str">
        <x:v>discovery</x:v>
      </x:c>
      <x:c r="G2609" s="17" t="str">
        <x:v>Stage 2 recorded this row as a discovery candidate; it does not independently verify an exact current research program, eligibility, or funding.</x:v>
      </x:c>
      <x:c r="H2609" s="17" t="str">
        <x:v>Pass 2 Stage 2 candidate funnel</x:v>
      </x:c>
      <x:c r="I2609" s="17" t="str">
        <x:v>Graduate audit pipeline</x:v>
      </x:c>
      <x:c r="J2609" s="17" t="str">
        <x:v>derived</x:v>
      </x:c>
      <x:c r="K2609" s="17" t="str">
        <x:v>2026-09-11</x:v>
      </x:c>
      <x:c r="L2609" s="17" t="str">
        <x:v>Not cycle-specific</x:v>
      </x:c>
      <x:c r="M2609" s="17" t="str">
        <x:v>low</x:v>
      </x:c>
      <x:c r="N2609" s="17" t="str">
        <x:v>Discovery evidence only</x:v>
      </x:c>
      <x:c r="O2609" s="17" t="str">
        <x:v>Use the source_record_paths field to trace the underlying discovery inputs.</x:v>
      </x:c>
      <x:c r="P2609" s="18" t="e">
        <x:f>HYPERLINK("https://uagm.edu","Open source")</x:f>
        <x:v>HYPERLINK is not implemented. linkLocation=https://uagm.edu, friendlyName=Open source</x:v>
      </x:c>
    </x:row>
    <x:row r="2610" ht="46" customHeight="1">
      <x:c r="A2610" s="17" t="str">
        <x:v>stage3src:7b142b1e0392d0f87256</x:v>
      </x:c>
      <x:c r="B2610" s="17" t="str">
        <x:v>program</x:v>
      </x:c>
      <x:c r="C2610" s="17" t="str">
        <x:v>Inter American University of Puerto Rico-Metro</x:v>
      </x:c>
      <x:c r="D2610" s="17" t="str">
        <x:v>us:ipeds:242653:program:unclear:ipeds-discovery-signal-computer-and-information-systems-security-auditing-information-assurance-cip-11-1003</x:v>
      </x:c>
      <x:c r="E2610" s="17" t="str"/>
      <x:c r="F2610" s="17" t="str">
        <x:v>discovery</x:v>
      </x:c>
      <x:c r="G2610" s="17" t="str">
        <x:v>Stage 2 recorded this row as a discovery candidate; it does not independently verify an exact current research program, eligibility, or funding.</x:v>
      </x:c>
      <x:c r="H2610" s="17" t="str">
        <x:v>Pass 2 Stage 2 candidate funnel</x:v>
      </x:c>
      <x:c r="I2610" s="17" t="str">
        <x:v>Graduate audit pipeline</x:v>
      </x:c>
      <x:c r="J2610" s="17" t="str">
        <x:v>derived</x:v>
      </x:c>
      <x:c r="K2610" s="17" t="str">
        <x:v>2026-09-11</x:v>
      </x:c>
      <x:c r="L2610" s="17" t="str">
        <x:v>Not cycle-specific</x:v>
      </x:c>
      <x:c r="M2610" s="17" t="str">
        <x:v>low</x:v>
      </x:c>
      <x:c r="N2610" s="17" t="str">
        <x:v>Discovery evidence only</x:v>
      </x:c>
      <x:c r="O2610" s="17" t="str">
        <x:v>Use the source_record_paths field to trace the underlying discovery inputs.</x:v>
      </x:c>
      <x:c r="P2610" s="18" t="e">
        <x:f>HYPERLINK("https://metro.inter.edu","Open source")</x:f>
        <x:v>HYPERLINK is not implemented. linkLocation=https://metro.inter.edu, friendlyName=Open source</x:v>
      </x:c>
    </x:row>
    <x:row r="2611" ht="46" customHeight="1">
      <x:c r="A2611" s="17" t="str">
        <x:v>stage3src:c21360cc334a2a9e186a</x:v>
      </x:c>
      <x:c r="B2611" s="17" t="str">
        <x:v>program</x:v>
      </x:c>
      <x:c r="C2611" s="17" t="str">
        <x:v>Inter American University of Puerto Rico-Fajardo</x:v>
      </x:c>
      <x:c r="D2611" s="17" t="str">
        <x:v>us:ipeds:242680:program:unclear:ipeds-discovery-signal-computer-science-cip-11-0701</x:v>
      </x:c>
      <x:c r="E2611" s="17" t="str"/>
      <x:c r="F2611" s="17" t="str">
        <x:v>discovery</x:v>
      </x:c>
      <x:c r="G2611" s="17" t="str">
        <x:v>Stage 2 recorded this row as a discovery candidate; it does not independently verify an exact current research program, eligibility, or funding.</x:v>
      </x:c>
      <x:c r="H2611" s="17" t="str">
        <x:v>Pass 2 Stage 2 candidate funnel</x:v>
      </x:c>
      <x:c r="I2611" s="17" t="str">
        <x:v>Graduate audit pipeline</x:v>
      </x:c>
      <x:c r="J2611" s="17" t="str">
        <x:v>derived</x:v>
      </x:c>
      <x:c r="K2611" s="17" t="str">
        <x:v>2026-09-11</x:v>
      </x:c>
      <x:c r="L2611" s="17" t="str">
        <x:v>Not cycle-specific</x:v>
      </x:c>
      <x:c r="M2611" s="17" t="str">
        <x:v>low</x:v>
      </x:c>
      <x:c r="N2611" s="17" t="str">
        <x:v>Discovery evidence only</x:v>
      </x:c>
      <x:c r="O2611" s="17" t="str">
        <x:v>Use the source_record_paths field to trace the underlying discovery inputs.</x:v>
      </x:c>
      <x:c r="P2611" s="18" t="e">
        <x:f>HYPERLINK("https://www.fajardo.inter.edu","Open source")</x:f>
        <x:v>HYPERLINK is not implemented. linkLocation=https://www.fajardo.inter.edu, friendlyName=Open source</x:v>
      </x:c>
    </x:row>
    <x:row r="2612" ht="46" customHeight="1">
      <x:c r="A2612" s="17" t="str">
        <x:v>stage3src:baf329566561a04e6ec4</x:v>
      </x:c>
      <x:c r="B2612" s="17" t="str">
        <x:v>program</x:v>
      </x:c>
      <x:c r="C2612" s="17" t="str">
        <x:v>Inter American University of Puerto Rico-Guayama</x:v>
      </x:c>
      <x:c r="D2612" s="17" t="str">
        <x:v>us:ipeds:242699:program:unclear:ipeds-discovery-signal-computer-systems-networking-and-telecommunications-cip-11-0901</x:v>
      </x:c>
      <x:c r="E2612" s="17" t="str"/>
      <x:c r="F2612" s="17" t="str">
        <x:v>discovery</x:v>
      </x:c>
      <x:c r="G2612" s="17" t="str">
        <x:v>Stage 2 recorded this row as a discovery candidate; it does not independently verify an exact current research program, eligibility, or funding.</x:v>
      </x:c>
      <x:c r="H2612" s="17" t="str">
        <x:v>Pass 2 Stage 2 candidate funnel</x:v>
      </x:c>
      <x:c r="I2612" s="17" t="str">
        <x:v>Graduate audit pipeline</x:v>
      </x:c>
      <x:c r="J2612" s="17" t="str">
        <x:v>derived</x:v>
      </x:c>
      <x:c r="K2612" s="17" t="str">
        <x:v>2026-09-11</x:v>
      </x:c>
      <x:c r="L2612" s="17" t="str">
        <x:v>Not cycle-specific</x:v>
      </x:c>
      <x:c r="M2612" s="17" t="str">
        <x:v>low</x:v>
      </x:c>
      <x:c r="N2612" s="17" t="str">
        <x:v>Discovery evidence only</x:v>
      </x:c>
      <x:c r="O2612" s="17" t="str">
        <x:v>Use the source_record_paths field to trace the underlying discovery inputs.</x:v>
      </x:c>
      <x:c r="P2612" s="18" t="e">
        <x:f>HYPERLINK("https://www.guayama.inter.edu","Open source")</x:f>
        <x:v>HYPERLINK is not implemented. linkLocation=https://www.guayama.inter.edu, friendlyName=Open source</x:v>
      </x:c>
    </x:row>
    <x:row r="2613" ht="46" customHeight="1">
      <x:c r="A2613" s="17" t="str">
        <x:v>stage3src:cec561098717634a5243</x:v>
      </x:c>
      <x:c r="B2613" s="17" t="str">
        <x:v>program</x:v>
      </x:c>
      <x:c r="C2613" s="17" t="str">
        <x:v>University of Puerto Rico-Mayaguez</x:v>
      </x:c>
      <x:c r="D2613" s="17" t="str">
        <x:v>us:ipeds:243197:program:unclear:ipeds-discovery-signal-computer-and-information-sciences-general-cip-11-0101</x:v>
      </x:c>
      <x:c r="E2613" s="17" t="str"/>
      <x:c r="F2613" s="17" t="str">
        <x:v>discovery</x:v>
      </x:c>
      <x:c r="G2613" s="17" t="str">
        <x:v>Stage 2 recorded this row as a discovery candidate; it does not independently verify an exact current research program, eligibility, or funding.</x:v>
      </x:c>
      <x:c r="H2613" s="17" t="str">
        <x:v>Pass 2 Stage 2 candidate funnel</x:v>
      </x:c>
      <x:c r="I2613" s="17" t="str">
        <x:v>Graduate audit pipeline</x:v>
      </x:c>
      <x:c r="J2613" s="17" t="str">
        <x:v>derived</x:v>
      </x:c>
      <x:c r="K2613" s="17" t="str">
        <x:v>2026-09-11</x:v>
      </x:c>
      <x:c r="L2613" s="17" t="str">
        <x:v>Not cycle-specific</x:v>
      </x:c>
      <x:c r="M2613" s="17" t="str">
        <x:v>low</x:v>
      </x:c>
      <x:c r="N2613" s="17" t="str">
        <x:v>Discovery evidence only</x:v>
      </x:c>
      <x:c r="O2613" s="17" t="str">
        <x:v>Use the source_record_paths field to trace the underlying discovery inputs.</x:v>
      </x:c>
      <x:c r="P2613" s="18" t="e">
        <x:f>HYPERLINK("https://www.uprm.edu","Open source")</x:f>
        <x:v>HYPERLINK is not implemented. linkLocation=https://www.uprm.edu, friendlyName=Open source</x:v>
      </x:c>
    </x:row>
    <x:row r="2614" ht="46" customHeight="1">
      <x:c r="A2614" s="17" t="str">
        <x:v>stage3src:ae660e31ec8f844751b6</x:v>
      </x:c>
      <x:c r="B2614" s="17" t="str">
        <x:v>program</x:v>
      </x:c>
      <x:c r="C2614" s="17" t="str">
        <x:v>University of Puerto Rico-Mayaguez</x:v>
      </x:c>
      <x:c r="D2614" s="17" t="str">
        <x:v>us:ipeds:243197:program:unclear:ipeds-discovery-signal-computer-engineering-general-cip-14-0901</x:v>
      </x:c>
      <x:c r="E2614" s="17" t="str"/>
      <x:c r="F2614" s="17" t="str">
        <x:v>discovery</x:v>
      </x:c>
      <x:c r="G2614" s="17" t="str">
        <x:v>Stage 2 recorded this row as a discovery candidate; it does not independently verify an exact current research program, eligibility, or funding.</x:v>
      </x:c>
      <x:c r="H2614" s="17" t="str">
        <x:v>Pass 2 Stage 2 candidate funnel</x:v>
      </x:c>
      <x:c r="I2614" s="17" t="str">
        <x:v>Graduate audit pipeline</x:v>
      </x:c>
      <x:c r="J2614" s="17" t="str">
        <x:v>derived</x:v>
      </x:c>
      <x:c r="K2614" s="17" t="str">
        <x:v>2026-09-11</x:v>
      </x:c>
      <x:c r="L2614" s="17" t="str">
        <x:v>Not cycle-specific</x:v>
      </x:c>
      <x:c r="M2614" s="17" t="str">
        <x:v>low</x:v>
      </x:c>
      <x:c r="N2614" s="17" t="str">
        <x:v>Discovery evidence only</x:v>
      </x:c>
      <x:c r="O2614" s="17" t="str">
        <x:v>Use the source_record_paths field to trace the underlying discovery inputs.</x:v>
      </x:c>
      <x:c r="P2614" s="18" t="e">
        <x:f>HYPERLINK("https://www.uprm.edu","Open source")</x:f>
        <x:v>HYPERLINK is not implemented. linkLocation=https://www.uprm.edu, friendlyName=Open source</x:v>
      </x:c>
    </x:row>
    <x:row r="2615" ht="46" customHeight="1">
      <x:c r="A2615" s="17" t="str">
        <x:v>stage3src:382735bf3354df99e464</x:v>
      </x:c>
      <x:c r="B2615" s="17" t="str">
        <x:v>program</x:v>
      </x:c>
      <x:c r="C2615" s="17" t="str">
        <x:v>University of Puerto Rico-Mayaguez</x:v>
      </x:c>
      <x:c r="D2615" s="17" t="str">
        <x:v>us:ipeds:243197:program:unclear:ipeds-discovery-signal-computer-science-cip-11-0701</x:v>
      </x:c>
      <x:c r="E2615" s="17" t="str"/>
      <x:c r="F2615" s="17" t="str">
        <x:v>discovery</x:v>
      </x:c>
      <x:c r="G2615" s="17" t="str">
        <x:v>Stage 2 recorded this row as a discovery candidate; it does not independently verify an exact current research program, eligibility, or funding.</x:v>
      </x:c>
      <x:c r="H2615" s="17" t="str">
        <x:v>Pass 2 Stage 2 candidate funnel</x:v>
      </x:c>
      <x:c r="I2615" s="17" t="str">
        <x:v>Graduate audit pipeline</x:v>
      </x:c>
      <x:c r="J2615" s="17" t="str">
        <x:v>derived</x:v>
      </x:c>
      <x:c r="K2615" s="17" t="str">
        <x:v>2026-09-11</x:v>
      </x:c>
      <x:c r="L2615" s="17" t="str">
        <x:v>Not cycle-specific</x:v>
      </x:c>
      <x:c r="M2615" s="17" t="str">
        <x:v>low</x:v>
      </x:c>
      <x:c r="N2615" s="17" t="str">
        <x:v>Discovery evidence only</x:v>
      </x:c>
      <x:c r="O2615" s="17" t="str">
        <x:v>Use the source_record_paths field to trace the underlying discovery inputs.</x:v>
      </x:c>
      <x:c r="P2615" s="18" t="e">
        <x:f>HYPERLINK("https://www.uprm.edu","Open source")</x:f>
        <x:v>HYPERLINK is not implemented. linkLocation=https://www.uprm.edu, friendlyName=Open source</x:v>
      </x:c>
    </x:row>
    <x:row r="2616" ht="46" customHeight="1">
      <x:c r="A2616" s="17" t="str">
        <x:v>stage3src:4d9cefb2bf9d558aae5a</x:v>
      </x:c>
      <x:c r="B2616" s="17" t="str">
        <x:v>program</x:v>
      </x:c>
      <x:c r="C2616" s="17" t="str">
        <x:v>University of Puerto Rico-Mayaguez</x:v>
      </x:c>
      <x:c r="D2616" s="17" t="str">
        <x:v>us:ipeds:243197:program:unclear:ipeds-discovery-signal-electrical-and-electronics-engineering-cip-14-1001</x:v>
      </x:c>
      <x:c r="E2616" s="17" t="str"/>
      <x:c r="F2616" s="17" t="str">
        <x:v>discovery</x:v>
      </x:c>
      <x:c r="G2616" s="17" t="str">
        <x:v>Stage 2 recorded this row as a discovery candidate; it does not independently verify an exact current research program, eligibility, or funding.</x:v>
      </x:c>
      <x:c r="H2616" s="17" t="str">
        <x:v>Pass 2 Stage 2 candidate funnel</x:v>
      </x:c>
      <x:c r="I2616" s="17" t="str">
        <x:v>Graduate audit pipeline</x:v>
      </x:c>
      <x:c r="J2616" s="17" t="str">
        <x:v>derived</x:v>
      </x:c>
      <x:c r="K2616" s="17" t="str">
        <x:v>2026-09-11</x:v>
      </x:c>
      <x:c r="L2616" s="17" t="str">
        <x:v>Not cycle-specific</x:v>
      </x:c>
      <x:c r="M2616" s="17" t="str">
        <x:v>low</x:v>
      </x:c>
      <x:c r="N2616" s="17" t="str">
        <x:v>Discovery evidence only</x:v>
      </x:c>
      <x:c r="O2616" s="17" t="str">
        <x:v>Use the source_record_paths field to trace the underlying discovery inputs.</x:v>
      </x:c>
      <x:c r="P2616" s="18" t="e">
        <x:f>HYPERLINK("https://www.uprm.edu","Open source")</x:f>
        <x:v>HYPERLINK is not implemented. linkLocation=https://www.uprm.edu, friendlyName=Open source</x:v>
      </x:c>
    </x:row>
    <x:row r="2617" ht="46" customHeight="1">
      <x:c r="A2617" s="17" t="str">
        <x:v>stage3src:196d457359acddd1bc14</x:v>
      </x:c>
      <x:c r="B2617" s="17" t="str">
        <x:v>program</x:v>
      </x:c>
      <x:c r="C2617" s="17" t="str">
        <x:v>University of Puerto Rico-Rio Piedras</x:v>
      </x:c>
      <x:c r="D2617" s="17" t="str">
        <x:v>us:ipeds:243221:program:unclear:ipeds-discovery-signal-information-science-studies-cip-11-0401</x:v>
      </x:c>
      <x:c r="E2617" s="17" t="str"/>
      <x:c r="F2617" s="17" t="str">
        <x:v>discovery</x:v>
      </x:c>
      <x:c r="G2617" s="17" t="str">
        <x:v>Stage 2 recorded this row as a discovery candidate; it does not independently verify an exact current research program, eligibility, or funding.</x:v>
      </x:c>
      <x:c r="H2617" s="17" t="str">
        <x:v>Pass 2 Stage 2 candidate funnel</x:v>
      </x:c>
      <x:c r="I2617" s="17" t="str">
        <x:v>Graduate audit pipeline</x:v>
      </x:c>
      <x:c r="J2617" s="17" t="str">
        <x:v>derived</x:v>
      </x:c>
      <x:c r="K2617" s="17" t="str">
        <x:v>2026-09-11</x:v>
      </x:c>
      <x:c r="L2617" s="17" t="str">
        <x:v>Not cycle-specific</x:v>
      </x:c>
      <x:c r="M2617" s="17" t="str">
        <x:v>low</x:v>
      </x:c>
      <x:c r="N2617" s="17" t="str">
        <x:v>Discovery evidence only</x:v>
      </x:c>
      <x:c r="O2617" s="17" t="str">
        <x:v>Use the source_record_paths field to trace the underlying discovery inputs.</x:v>
      </x:c>
      <x:c r="P2617" s="18" t="e">
        <x:f>HYPERLINK("https://www.uprrp.edu","Open source")</x:f>
        <x:v>HYPERLINK is not implemented. linkLocation=https://www.uprrp.edu, friendlyName=Open source</x:v>
      </x:c>
    </x:row>
    <x:row r="2618" ht="46" customHeight="1">
      <x:c r="A2618" s="17" t="str">
        <x:v>stage3src:31cd0c6d5cb82421d966</x:v>
      </x:c>
      <x:c r="B2618" s="17" t="str">
        <x:v>program</x:v>
      </x:c>
      <x:c r="C2618" s="17" t="str">
        <x:v>Universidad Ana G. Mendez-Carolina Campus</x:v>
      </x:c>
      <x:c r="D2618" s="17" t="str">
        <x:v>us:ipeds:243346:program:unclear:ipeds-discovery-signal-computer-and-information-systems-security-auditing-information-assurance-cip-11-1003</x:v>
      </x:c>
      <x:c r="E2618" s="17" t="str"/>
      <x:c r="F2618" s="17" t="str">
        <x:v>discovery</x:v>
      </x:c>
      <x:c r="G2618" s="17" t="str">
        <x:v>Stage 2 recorded this row as a discovery candidate; it does not independently verify an exact current research program, eligibility, or funding.</x:v>
      </x:c>
      <x:c r="H2618" s="17" t="str">
        <x:v>Pass 2 Stage 2 candidate funnel</x:v>
      </x:c>
      <x:c r="I2618" s="17" t="str">
        <x:v>Graduate audit pipeline</x:v>
      </x:c>
      <x:c r="J2618" s="17" t="str">
        <x:v>derived</x:v>
      </x:c>
      <x:c r="K2618" s="17" t="str">
        <x:v>2026-09-11</x:v>
      </x:c>
      <x:c r="L2618" s="17" t="str">
        <x:v>Not cycle-specific</x:v>
      </x:c>
      <x:c r="M2618" s="17" t="str">
        <x:v>low</x:v>
      </x:c>
      <x:c r="N2618" s="17" t="str">
        <x:v>Discovery evidence only</x:v>
      </x:c>
      <x:c r="O2618" s="17" t="str">
        <x:v>Use the source_record_paths field to trace the underlying discovery inputs.</x:v>
      </x:c>
      <x:c r="P2618" s="18" t="e">
        <x:f>HYPERLINK("https://uagm.edu","Open source")</x:f>
        <x:v>HYPERLINK is not implemented. linkLocation=https://uagm.edu, friendlyName=Open source</x:v>
      </x:c>
    </x:row>
    <x:row r="2619" ht="46" customHeight="1">
      <x:c r="A2619" s="17" t="str">
        <x:v>stage3src:48e4801fa7d28283b595</x:v>
      </x:c>
      <x:c r="B2619" s="17" t="str">
        <x:v>program</x:v>
      </x:c>
      <x:c r="C2619" s="17" t="str">
        <x:v>Universidad Politecnica de Puerto Rico</x:v>
      </x:c>
      <x:c r="D2619" s="17" t="str">
        <x:v>us:ipeds:243577:program:unclear:ipeds-discovery-signal-computer-and-information-sciences-general-cip-11-0101</x:v>
      </x:c>
      <x:c r="E2619" s="17" t="str"/>
      <x:c r="F2619" s="17" t="str">
        <x:v>discovery</x:v>
      </x:c>
      <x:c r="G2619" s="17" t="str">
        <x:v>Stage 2 recorded this row as a discovery candidate; it does not independently verify an exact current research program, eligibility, or funding.</x:v>
      </x:c>
      <x:c r="H2619" s="17" t="str">
        <x:v>Pass 2 Stage 2 candidate funnel</x:v>
      </x:c>
      <x:c r="I2619" s="17" t="str">
        <x:v>Graduate audit pipeline</x:v>
      </x:c>
      <x:c r="J2619" s="17" t="str">
        <x:v>derived</x:v>
      </x:c>
      <x:c r="K2619" s="17" t="str">
        <x:v>2026-09-11</x:v>
      </x:c>
      <x:c r="L2619" s="17" t="str">
        <x:v>Not cycle-specific</x:v>
      </x:c>
      <x:c r="M2619" s="17" t="str">
        <x:v>low</x:v>
      </x:c>
      <x:c r="N2619" s="17" t="str">
        <x:v>Discovery evidence only</x:v>
      </x:c>
      <x:c r="O2619" s="17" t="str">
        <x:v>Use the source_record_paths field to trace the underlying discovery inputs.</x:v>
      </x:c>
      <x:c r="P2619" s="18" t="e">
        <x:f>HYPERLINK("https://www.pupr.edu","Open source")</x:f>
        <x:v>HYPERLINK is not implemented. linkLocation=https://www.pupr.edu, friendlyName=Open source</x:v>
      </x:c>
    </x:row>
    <x:row r="2620" ht="46" customHeight="1">
      <x:c r="A2620" s="17" t="str">
        <x:v>stage3src:8b3b4e7c8930164d07ad</x:v>
      </x:c>
      <x:c r="B2620" s="17" t="str">
        <x:v>program</x:v>
      </x:c>
      <x:c r="C2620" s="17" t="str">
        <x:v>Universidad Politecnica de Puerto Rico</x:v>
      </x:c>
      <x:c r="D2620" s="17" t="str">
        <x:v>us:ipeds:243577:program:unclear:ipeds-discovery-signal-computer-engineering-general-cip-14-0901</x:v>
      </x:c>
      <x:c r="E2620" s="17" t="str"/>
      <x:c r="F2620" s="17" t="str">
        <x:v>discovery</x:v>
      </x:c>
      <x:c r="G2620" s="17" t="str">
        <x:v>Stage 2 recorded this row as a discovery candidate; it does not independently verify an exact current research program, eligibility, or funding.</x:v>
      </x:c>
      <x:c r="H2620" s="17" t="str">
        <x:v>Pass 2 Stage 2 candidate funnel</x:v>
      </x:c>
      <x:c r="I2620" s="17" t="str">
        <x:v>Graduate audit pipeline</x:v>
      </x:c>
      <x:c r="J2620" s="17" t="str">
        <x:v>derived</x:v>
      </x:c>
      <x:c r="K2620" s="17" t="str">
        <x:v>2026-09-11</x:v>
      </x:c>
      <x:c r="L2620" s="17" t="str">
        <x:v>Not cycle-specific</x:v>
      </x:c>
      <x:c r="M2620" s="17" t="str">
        <x:v>low</x:v>
      </x:c>
      <x:c r="N2620" s="17" t="str">
        <x:v>Discovery evidence only</x:v>
      </x:c>
      <x:c r="O2620" s="17" t="str">
        <x:v>Use the source_record_paths field to trace the underlying discovery inputs.</x:v>
      </x:c>
      <x:c r="P2620" s="18" t="e">
        <x:f>HYPERLINK("https://www.pupr.edu","Open source")</x:f>
        <x:v>HYPERLINK is not implemented. linkLocation=https://www.pupr.edu, friendlyName=Open source</x:v>
      </x:c>
    </x:row>
    <x:row r="2621" ht="46" customHeight="1">
      <x:c r="A2621" s="17" t="str">
        <x:v>stage3src:bcb3f25ae66285af995b</x:v>
      </x:c>
      <x:c r="B2621" s="17" t="str">
        <x:v>program</x:v>
      </x:c>
      <x:c r="C2621" s="17" t="str">
        <x:v>Universidad Politecnica de Puerto Rico</x:v>
      </x:c>
      <x:c r="D2621" s="17" t="str">
        <x:v>us:ipeds:243577:program:unclear:ipeds-discovery-signal-electrical-and-electronics-engineering-cip-14-1001</x:v>
      </x:c>
      <x:c r="E2621" s="17" t="str"/>
      <x:c r="F2621" s="17" t="str">
        <x:v>discovery</x:v>
      </x:c>
      <x:c r="G2621" s="17" t="str">
        <x:v>Stage 2 recorded this row as a discovery candidate; it does not independently verify an exact current research program, eligibility, or funding.</x:v>
      </x:c>
      <x:c r="H2621" s="17" t="str">
        <x:v>Pass 2 Stage 2 candidate funnel</x:v>
      </x:c>
      <x:c r="I2621" s="17" t="str">
        <x:v>Graduate audit pipeline</x:v>
      </x:c>
      <x:c r="J2621" s="17" t="str">
        <x:v>derived</x:v>
      </x:c>
      <x:c r="K2621" s="17" t="str">
        <x:v>2026-09-11</x:v>
      </x:c>
      <x:c r="L2621" s="17" t="str">
        <x:v>Not cycle-specific</x:v>
      </x:c>
      <x:c r="M2621" s="17" t="str">
        <x:v>low</x:v>
      </x:c>
      <x:c r="N2621" s="17" t="str">
        <x:v>Discovery evidence only</x:v>
      </x:c>
      <x:c r="O2621" s="17" t="str">
        <x:v>Use the source_record_paths field to trace the underlying discovery inputs.</x:v>
      </x:c>
      <x:c r="P2621" s="18" t="e">
        <x:f>HYPERLINK("https://www.pupr.edu","Open source")</x:f>
        <x:v>HYPERLINK is not implemented. linkLocation=https://www.pupr.edu, friendlyName=Open source</x:v>
      </x:c>
    </x:row>
    <x:row r="2622" ht="46" customHeight="1">
      <x:c r="A2622" s="17" t="str">
        <x:v>stage3src:28c649724fae98d10ca8</x:v>
      </x:c>
      <x:c r="B2622" s="17" t="str">
        <x:v>program</x:v>
      </x:c>
      <x:c r="C2622" s="17" t="str">
        <x:v>Pontifical Catholic University of Puerto Rico-Mayaguez</x:v>
      </x:c>
      <x:c r="D2622" s="17" t="str">
        <x:v>us:ipeds:243586:program:unclear:ipeds-discovery-signal-computer-and-information-sciences-general-cip-11-0101</x:v>
      </x:c>
      <x:c r="E2622" s="17" t="str"/>
      <x:c r="F2622" s="17" t="str">
        <x:v>discovery</x:v>
      </x:c>
      <x:c r="G2622" s="17" t="str">
        <x:v>Stage 2 recorded this row as a discovery candidate; it does not independently verify an exact current research program, eligibility, or funding.</x:v>
      </x:c>
      <x:c r="H2622" s="17" t="str">
        <x:v>Pass 2 Stage 2 candidate funnel</x:v>
      </x:c>
      <x:c r="I2622" s="17" t="str">
        <x:v>Graduate audit pipeline</x:v>
      </x:c>
      <x:c r="J2622" s="17" t="str">
        <x:v>derived</x:v>
      </x:c>
      <x:c r="K2622" s="17" t="str">
        <x:v>2026-09-11</x:v>
      </x:c>
      <x:c r="L2622" s="17" t="str">
        <x:v>Not cycle-specific</x:v>
      </x:c>
      <x:c r="M2622" s="17" t="str">
        <x:v>low</x:v>
      </x:c>
      <x:c r="N2622" s="17" t="str">
        <x:v>Discovery evidence only</x:v>
      </x:c>
      <x:c r="O2622" s="17" t="str">
        <x:v>Use the source_record_paths field to trace the underlying discovery inputs.</x:v>
      </x:c>
      <x:c r="P2622" s="18" t="e">
        <x:f>HYPERLINK("https://mayaguez.pucpr.edu","Open source")</x:f>
        <x:v>HYPERLINK is not implemented. linkLocation=https://mayaguez.pucpr.edu, friendlyName=Open source</x:v>
      </x:c>
    </x:row>
    <x:row r="2623" ht="46" customHeight="1">
      <x:c r="A2623" s="17" t="str">
        <x:v>stage3src:e7c5b94f906bb3db8811</x:v>
      </x:c>
      <x:c r="B2623" s="17" t="str">
        <x:v>program</x:v>
      </x:c>
      <x:c r="C2623" s="17" t="str">
        <x:v>Universidad Ana G. Mendez-Gurabo Campus</x:v>
      </x:c>
      <x:c r="D2623" s="17" t="str">
        <x:v>us:ipeds:243601:program:unclear:ipeds-discovery-signal-computer-and-information-sciences-general-cip-11-0101</x:v>
      </x:c>
      <x:c r="E2623" s="17" t="str"/>
      <x:c r="F2623" s="17" t="str">
        <x:v>discovery</x:v>
      </x:c>
      <x:c r="G2623" s="17" t="str">
        <x:v>Stage 2 recorded this row as a discovery candidate; it does not independently verify an exact current research program, eligibility, or funding.</x:v>
      </x:c>
      <x:c r="H2623" s="17" t="str">
        <x:v>Pass 2 Stage 2 candidate funnel</x:v>
      </x:c>
      <x:c r="I2623" s="17" t="str">
        <x:v>Graduate audit pipeline</x:v>
      </x:c>
      <x:c r="J2623" s="17" t="str">
        <x:v>derived</x:v>
      </x:c>
      <x:c r="K2623" s="17" t="str">
        <x:v>2026-09-11</x:v>
      </x:c>
      <x:c r="L2623" s="17" t="str">
        <x:v>Not cycle-specific</x:v>
      </x:c>
      <x:c r="M2623" s="17" t="str">
        <x:v>low</x:v>
      </x:c>
      <x:c r="N2623" s="17" t="str">
        <x:v>Discovery evidence only</x:v>
      </x:c>
      <x:c r="O2623" s="17" t="str">
        <x:v>Use the source_record_paths field to trace the underlying discovery inputs.</x:v>
      </x:c>
      <x:c r="P2623" s="18" t="e">
        <x:f>HYPERLINK("https://uagm.edu","Open source")</x:f>
        <x:v>HYPERLINK is not implemented. linkLocation=https://uagm.edu, friendlyName=Open source</x:v>
      </x:c>
    </x:row>
    <x:row r="2624" ht="46" customHeight="1">
      <x:c r="A2624" s="17" t="str">
        <x:v>stage3src:2b345b883fa0bc33d1c0</x:v>
      </x:c>
      <x:c r="B2624" s="17" t="str">
        <x:v>program</x:v>
      </x:c>
      <x:c r="C2624" s="17" t="str">
        <x:v>Universidad Ana G. Mendez-Gurabo Campus</x:v>
      </x:c>
      <x:c r="D2624" s="17" t="str">
        <x:v>us:ipeds:243601:program:unclear:ipeds-discovery-signal-computer-and-information-systems-security-auditing-information-assurance-cip-11-1003</x:v>
      </x:c>
      <x:c r="E2624" s="17" t="str"/>
      <x:c r="F2624" s="17" t="str">
        <x:v>discovery</x:v>
      </x:c>
      <x:c r="G2624" s="17" t="str">
        <x:v>Stage 2 recorded this row as a discovery candidate; it does not independently verify an exact current research program, eligibility, or funding.</x:v>
      </x:c>
      <x:c r="H2624" s="17" t="str">
        <x:v>Pass 2 Stage 2 candidate funnel</x:v>
      </x:c>
      <x:c r="I2624" s="17" t="str">
        <x:v>Graduate audit pipeline</x:v>
      </x:c>
      <x:c r="J2624" s="17" t="str">
        <x:v>derived</x:v>
      </x:c>
      <x:c r="K2624" s="17" t="str">
        <x:v>2026-09-11</x:v>
      </x:c>
      <x:c r="L2624" s="17" t="str">
        <x:v>Not cycle-specific</x:v>
      </x:c>
      <x:c r="M2624" s="17" t="str">
        <x:v>low</x:v>
      </x:c>
      <x:c r="N2624" s="17" t="str">
        <x:v>Discovery evidence only</x:v>
      </x:c>
      <x:c r="O2624" s="17" t="str">
        <x:v>Use the source_record_paths field to trace the underlying discovery inputs.</x:v>
      </x:c>
      <x:c r="P2624" s="18" t="e">
        <x:f>HYPERLINK("https://uagm.edu","Open source")</x:f>
        <x:v>HYPERLINK is not implemented. linkLocation=https://uagm.edu, friendlyName=Open source</x:v>
      </x:c>
    </x:row>
    <x:row r="2625" ht="46" customHeight="1">
      <x:c r="A2625" s="17" t="str">
        <x:v>stage3src:c06a1015d80fa650c886</x:v>
      </x:c>
      <x:c r="B2625" s="17" t="str">
        <x:v>program</x:v>
      </x:c>
      <x:c r="C2625" s="17" t="str">
        <x:v>Stanford University</x:v>
      </x:c>
      <x:c r="D2625" s="17" t="str">
        <x:v>us:ipeds:243744:program:unclear:ipeds-discovery-signal-computer-science-cip-11-0701</x:v>
      </x:c>
      <x:c r="E2625" s="17" t="str"/>
      <x:c r="F2625" s="17" t="str">
        <x:v>discovery</x:v>
      </x:c>
      <x:c r="G2625" s="17" t="str">
        <x:v>Stage 2 recorded this row as a discovery candidate; it does not independently verify an exact current research program, eligibility, or funding.</x:v>
      </x:c>
      <x:c r="H2625" s="17" t="str">
        <x:v>Pass 2 Stage 2 candidate funnel</x:v>
      </x:c>
      <x:c r="I2625" s="17" t="str">
        <x:v>Graduate audit pipeline</x:v>
      </x:c>
      <x:c r="J2625" s="17" t="str">
        <x:v>derived</x:v>
      </x:c>
      <x:c r="K2625" s="17" t="str">
        <x:v>2026-09-11</x:v>
      </x:c>
      <x:c r="L2625" s="17" t="str">
        <x:v>Not cycle-specific</x:v>
      </x:c>
      <x:c r="M2625" s="17" t="str">
        <x:v>low</x:v>
      </x:c>
      <x:c r="N2625" s="17" t="str">
        <x:v>Discovery evidence only</x:v>
      </x:c>
      <x:c r="O2625" s="17" t="str">
        <x:v>Use the source_record_paths field to trace the underlying discovery inputs.</x:v>
      </x:c>
      <x:c r="P2625" s="18" t="e">
        <x:f>HYPERLINK("https://www.stanford.edu","Open source")</x:f>
        <x:v>HYPERLINK is not implemented. linkLocation=https://www.stanford.edu, friendlyName=Open source</x:v>
      </x:c>
    </x:row>
    <x:row r="2626" ht="46" customHeight="1">
      <x:c r="A2626" s="17" t="str">
        <x:v>stage3src:998edce9fd3e565b4c4e</x:v>
      </x:c>
      <x:c r="B2626" s="17" t="str">
        <x:v>program</x:v>
      </x:c>
      <x:c r="C2626" s="17" t="str">
        <x:v>Stanford University</x:v>
      </x:c>
      <x:c r="D2626" s="17" t="str">
        <x:v>us:ipeds:243744:program:unclear:ipeds-discovery-signal-electrical-and-electronics-engineering-cip-14-1001</x:v>
      </x:c>
      <x:c r="E2626" s="17" t="str"/>
      <x:c r="F2626" s="17" t="str">
        <x:v>discovery</x:v>
      </x:c>
      <x:c r="G2626" s="17" t="str">
        <x:v>Stage 2 recorded this row as a discovery candidate; it does not independently verify an exact current research program, eligibility, or funding.</x:v>
      </x:c>
      <x:c r="H2626" s="17" t="str">
        <x:v>Pass 2 Stage 2 candidate funnel</x:v>
      </x:c>
      <x:c r="I2626" s="17" t="str">
        <x:v>Graduate audit pipeline</x:v>
      </x:c>
      <x:c r="J2626" s="17" t="str">
        <x:v>derived</x:v>
      </x:c>
      <x:c r="K2626" s="17" t="str">
        <x:v>2026-09-11</x:v>
      </x:c>
      <x:c r="L2626" s="17" t="str">
        <x:v>Not cycle-specific</x:v>
      </x:c>
      <x:c r="M2626" s="17" t="str">
        <x:v>low</x:v>
      </x:c>
      <x:c r="N2626" s="17" t="str">
        <x:v>Discovery evidence only</x:v>
      </x:c>
      <x:c r="O2626" s="17" t="str">
        <x:v>Use the source_record_paths field to trace the underlying discovery inputs.</x:v>
      </x:c>
      <x:c r="P2626" s="18" t="e">
        <x:f>HYPERLINK("https://www.stanford.edu","Open source")</x:f>
        <x:v>HYPERLINK is not implemented. linkLocation=https://www.stanford.edu, friendlyName=Open source</x:v>
      </x:c>
    </x:row>
    <x:row r="2627" ht="46" customHeight="1">
      <x:c r="A2627" s="17" t="str">
        <x:v>stage3src:5124e1675d8d0f121014</x:v>
      </x:c>
      <x:c r="B2627" s="17" t="str">
        <x:v>program</x:v>
      </x:c>
      <x:c r="C2627" s="17" t="str">
        <x:v>Purdue University-Main Campus</x:v>
      </x:c>
      <x:c r="D2627" s="17" t="str">
        <x:v>us:ipeds:243780:program:phd:computer-science-phd</x:v>
      </x:c>
      <x:c r="E2627" s="17" t="str"/>
      <x:c r="F2627" s="17" t="str">
        <x:v>fees|eligibility</x:v>
      </x:c>
      <x:c r="G2627" s="17" t="str">
        <x:v>$60 domestic/$75 international Graduate School fee</x:v>
      </x:c>
      <x:c r="H2627" s="17" t="str">
        <x:v>Graduate Application Requirements</x:v>
      </x:c>
      <x:c r="I2627" s="17" t="str">
        <x:v>Purdue University-Main Campus</x:v>
      </x:c>
      <x:c r="J2627" s="17" t="str">
        <x:v>Official</x:v>
      </x:c>
      <x:c r="K2627" s="17" t="str">
        <x:v>2026-09-09</x:v>
      </x:c>
      <x:c r="L2627" s="17" t="str">
        <x:v>Current</x:v>
      </x:c>
      <x:c r="M2627" s="17" t="str">
        <x:v>Medium</x:v>
      </x:c>
      <x:c r="N2627" s="17" t="str">
        <x:v>Verified</x:v>
      </x:c>
      <x:c r="O2627" s="17" t="str">
        <x:v>Institution-wide fee is stated on another Purdue department page.</x:v>
      </x:c>
      <x:c r="P2627" s="18" t="e">
        <x:f>HYPERLINK("https://engineering.purdue.edu/IE/academics/graduate/future/future-grad-requirements","Open source")</x:f>
        <x:v>HYPERLINK is not implemented. linkLocation=https://engineering.purdue.edu/IE/academics/graduate/future/future-grad-requirements, friendlyName=Open source</x:v>
      </x:c>
    </x:row>
    <x:row r="2628" ht="46" customHeight="1">
      <x:c r="A2628" s="17" t="str">
        <x:v>stage3src:c39b9376959381a58f5f</x:v>
      </x:c>
      <x:c r="B2628" s="17" t="str">
        <x:v>program</x:v>
      </x:c>
      <x:c r="C2628" s="17" t="str">
        <x:v>Purdue University-Main Campus</x:v>
      </x:c>
      <x:c r="D2628" s="17" t="str">
        <x:v>us:ipeds:243780:program:phd:computer-science-phd</x:v>
      </x:c>
      <x:c r="E2628" s="17" t="str"/>
      <x:c r="F2628" s="17" t="str">
        <x:v>funding|deadline|admissions</x:v>
      </x:c>
      <x:c r="G2628" s="17" t="str">
        <x:v>Fall 2027 deadline, admission model, funding consideration, possible unfunded admission, and contact</x:v>
      </x:c>
      <x:c r="H2628" s="17" t="str">
        <x:v>Graduate Admission Steps</x:v>
      </x:c>
      <x:c r="I2628" s="17" t="str">
        <x:v>Purdue University-Main Campus</x:v>
      </x:c>
      <x:c r="J2628" s="17" t="str">
        <x:v>Official</x:v>
      </x:c>
      <x:c r="K2628" s="17" t="str">
        <x:v>2026-09-09</x:v>
      </x:c>
      <x:c r="L2628" s="17" t="str">
        <x:v>Fall 2027</x:v>
      </x:c>
      <x:c r="M2628" s="17" t="str">
        <x:v>High</x:v>
      </x:c>
      <x:c r="N2628" s="17" t="str">
        <x:v>Verified</x:v>
      </x:c>
      <x:c r="O2628" s="17" t="str"/>
      <x:c r="P2628" s="18" t="e">
        <x:f>HYPERLINK("https://www.cs.purdue.edu/graduate/admission/steps.html","Open source")</x:f>
        <x:v>HYPERLINK is not implemented. linkLocation=https://www.cs.purdue.edu/graduate/admission/steps.html, friendlyName=Open source</x:v>
      </x:c>
    </x:row>
    <x:row r="2629" ht="46" customHeight="1">
      <x:c r="A2629" s="17" t="str">
        <x:v>stage3src:f65a9af9f553ad265dbe</x:v>
      </x:c>
      <x:c r="B2629" s="17" t="str">
        <x:v>program</x:v>
      </x:c>
      <x:c r="C2629" s="17" t="str">
        <x:v>Purdue University-Main Campus</x:v>
      </x:c>
      <x:c r="D2629" s="17" t="str">
        <x:v>us:ipeds:243780:program:unclear:ipeds-discovery-signal-computer-science-cip-11-0701</x:v>
      </x:c>
      <x:c r="E2629" s="17" t="str"/>
      <x:c r="F2629" s="17" t="str">
        <x:v>discovery</x:v>
      </x:c>
      <x:c r="G2629" s="17" t="str">
        <x:v>Stage 2 recorded this row as a discovery candidate; it does not independently verify an exact current research program, eligibility, or funding.</x:v>
      </x:c>
      <x:c r="H2629" s="17" t="str">
        <x:v>Pass 2 Stage 2 candidate funnel</x:v>
      </x:c>
      <x:c r="I2629" s="17" t="str">
        <x:v>Graduate audit pipeline</x:v>
      </x:c>
      <x:c r="J2629" s="17" t="str">
        <x:v>derived</x:v>
      </x:c>
      <x:c r="K2629" s="17" t="str">
        <x:v>2026-09-11</x:v>
      </x:c>
      <x:c r="L2629" s="17" t="str">
        <x:v>Not cycle-specific</x:v>
      </x:c>
      <x:c r="M2629" s="17" t="str">
        <x:v>low</x:v>
      </x:c>
      <x:c r="N2629" s="17" t="str">
        <x:v>Discovery evidence only</x:v>
      </x:c>
      <x:c r="O2629" s="17" t="str">
        <x:v>Use the source_record_paths field to trace the underlying discovery inputs.</x:v>
      </x:c>
      <x:c r="P2629" s="18" t="e">
        <x:f>HYPERLINK("https://www.purdue.edu","Open source")</x:f>
        <x:v>HYPERLINK is not implemented. linkLocation=https://www.purdue.edu, friendlyName=Open source</x:v>
      </x:c>
    </x:row>
    <x:row r="2630" ht="46" customHeight="1">
      <x:c r="A2630" s="17" t="str">
        <x:v>stage3src:bf5dc69eb44c7c08098a</x:v>
      </x:c>
      <x:c r="B2630" s="17" t="str">
        <x:v>program</x:v>
      </x:c>
      <x:c r="C2630" s="17" t="str">
        <x:v>Purdue University-Main Campus</x:v>
      </x:c>
      <x:c r="D2630" s="17" t="str">
        <x:v>us:ipeds:243780:program:unclear:ipeds-discovery-signal-electrical-and-electronics-engineering-cip-14-1001</x:v>
      </x:c>
      <x:c r="E2630" s="17" t="str"/>
      <x:c r="F2630" s="17" t="str">
        <x:v>discovery</x:v>
      </x:c>
      <x:c r="G2630" s="17" t="str">
        <x:v>Stage 2 recorded this row as a discovery candidate; it does not independently verify an exact current research program, eligibility, or funding.</x:v>
      </x:c>
      <x:c r="H2630" s="17" t="str">
        <x:v>Pass 2 Stage 2 candidate funnel</x:v>
      </x:c>
      <x:c r="I2630" s="17" t="str">
        <x:v>Graduate audit pipeline</x:v>
      </x:c>
      <x:c r="J2630" s="17" t="str">
        <x:v>derived</x:v>
      </x:c>
      <x:c r="K2630" s="17" t="str">
        <x:v>2026-09-11</x:v>
      </x:c>
      <x:c r="L2630" s="17" t="str">
        <x:v>Not cycle-specific</x:v>
      </x:c>
      <x:c r="M2630" s="17" t="str">
        <x:v>low</x:v>
      </x:c>
      <x:c r="N2630" s="17" t="str">
        <x:v>Discovery evidence only</x:v>
      </x:c>
      <x:c r="O2630" s="17" t="str">
        <x:v>Use the source_record_paths field to trace the underlying discovery inputs.</x:v>
      </x:c>
      <x:c r="P2630" s="18" t="e">
        <x:f>HYPERLINK("https://www.purdue.edu","Open source")</x:f>
        <x:v>HYPERLINK is not implemented. linkLocation=https://www.purdue.edu, friendlyName=Open source</x:v>
      </x:c>
    </x:row>
    <x:row r="2631" ht="46" customHeight="1">
      <x:c r="A2631" s="17" t="str">
        <x:v>stage3src:b53cc1dc0caa494ff977</x:v>
      </x:c>
      <x:c r="B2631" s="17" t="str">
        <x:v>program</x:v>
      </x:c>
      <x:c r="C2631" s="17" t="str">
        <x:v>Purdue University-Main Campus</x:v>
      </x:c>
      <x:c r="D2631" s="17" t="str">
        <x:v>us:ipeds:243780:program:unclear:ipeds-discovery-signal-information-technology-cip-11-0103</x:v>
      </x:c>
      <x:c r="E2631" s="17" t="str"/>
      <x:c r="F2631" s="17" t="str">
        <x:v>discovery</x:v>
      </x:c>
      <x:c r="G2631" s="17" t="str">
        <x:v>Stage 2 recorded this row as a discovery candidate; it does not independently verify an exact current research program, eligibility, or funding.</x:v>
      </x:c>
      <x:c r="H2631" s="17" t="str">
        <x:v>Pass 2 Stage 2 candidate funnel</x:v>
      </x:c>
      <x:c r="I2631" s="17" t="str">
        <x:v>Graduate audit pipeline</x:v>
      </x:c>
      <x:c r="J2631" s="17" t="str">
        <x:v>derived</x:v>
      </x:c>
      <x:c r="K2631" s="17" t="str">
        <x:v>2026-09-11</x:v>
      </x:c>
      <x:c r="L2631" s="17" t="str">
        <x:v>Not cycle-specific</x:v>
      </x:c>
      <x:c r="M2631" s="17" t="str">
        <x:v>low</x:v>
      </x:c>
      <x:c r="N2631" s="17" t="str">
        <x:v>Discovery evidence only</x:v>
      </x:c>
      <x:c r="O2631" s="17" t="str">
        <x:v>Use the source_record_paths field to trace the underlying discovery inputs.</x:v>
      </x:c>
      <x:c r="P2631" s="18" t="e">
        <x:f>HYPERLINK("https://www.purdue.edu","Open source")</x:f>
        <x:v>HYPERLINK is not implemented. linkLocation=https://www.purdue.edu, friendlyName=Open source</x:v>
      </x:c>
    </x:row>
    <x:row r="2632" ht="46" customHeight="1">
      <x:c r="A2632" s="17" t="str">
        <x:v>stage3src:af1ba2d97abb406691a8</x:v>
      </x:c>
      <x:c r="B2632" s="17" t="str">
        <x:v>program</x:v>
      </x:c>
      <x:c r="C2632" s="17" t="str">
        <x:v>EDP University of Puerto Rico Inc-San Juan</x:v>
      </x:c>
      <x:c r="D2632" s="17" t="str">
        <x:v>us:ipeds:243832:program:unclear:ipeds-discovery-signal-computer-and-information-sciences-general-cip-11-0101</x:v>
      </x:c>
      <x:c r="E2632" s="17" t="str"/>
      <x:c r="F2632" s="17" t="str">
        <x:v>discovery</x:v>
      </x:c>
      <x:c r="G2632" s="17" t="str">
        <x:v>Stage 2 recorded this row as a discovery candidate; it does not independently verify an exact current research program, eligibility, or funding.</x:v>
      </x:c>
      <x:c r="H2632" s="17" t="str">
        <x:v>Pass 2 Stage 2 candidate funnel</x:v>
      </x:c>
      <x:c r="I2632" s="17" t="str">
        <x:v>Graduate audit pipeline</x:v>
      </x:c>
      <x:c r="J2632" s="17" t="str">
        <x:v>derived</x:v>
      </x:c>
      <x:c r="K2632" s="17" t="str">
        <x:v>2026-09-11</x:v>
      </x:c>
      <x:c r="L2632" s="17" t="str">
        <x:v>Not cycle-specific</x:v>
      </x:c>
      <x:c r="M2632" s="17" t="str">
        <x:v>low</x:v>
      </x:c>
      <x:c r="N2632" s="17" t="str">
        <x:v>Discovery evidence only</x:v>
      </x:c>
      <x:c r="O2632" s="17" t="str">
        <x:v>Use the source_record_paths field to trace the underlying discovery inputs.</x:v>
      </x:c>
      <x:c r="P2632" s="18" t="e">
        <x:f>HYPERLINK("https://edpuniversity.edu","Open source")</x:f>
        <x:v>HYPERLINK is not implemented. linkLocation=https://edpuniversity.edu, friendlyName=Open source</x:v>
      </x:c>
    </x:row>
    <x:row r="2633" ht="46" customHeight="1">
      <x:c r="A2633" s="17" t="str">
        <x:v>stage3src:c91082ebf3e5857cca36</x:v>
      </x:c>
      <x:c r="B2633" s="17" t="str">
        <x:v>program</x:v>
      </x:c>
      <x:c r="C2633" s="17" t="str">
        <x:v>EDP University of Puerto Rico Inc-San Juan</x:v>
      </x:c>
      <x:c r="D2633" s="17" t="str">
        <x:v>us:ipeds:243832:program:unclear:ipeds-discovery-signal-computer-and-information-systems-security-auditing-information-assurance-cip-11-1003</x:v>
      </x:c>
      <x:c r="E2633" s="17" t="str"/>
      <x:c r="F2633" s="17" t="str">
        <x:v>discovery</x:v>
      </x:c>
      <x:c r="G2633" s="17" t="str">
        <x:v>Stage 2 recorded this row as a discovery candidate; it does not independently verify an exact current research program, eligibility, or funding.</x:v>
      </x:c>
      <x:c r="H2633" s="17" t="str">
        <x:v>Pass 2 Stage 2 candidate funnel</x:v>
      </x:c>
      <x:c r="I2633" s="17" t="str">
        <x:v>Graduate audit pipeline</x:v>
      </x:c>
      <x:c r="J2633" s="17" t="str">
        <x:v>derived</x:v>
      </x:c>
      <x:c r="K2633" s="17" t="str">
        <x:v>2026-09-11</x:v>
      </x:c>
      <x:c r="L2633" s="17" t="str">
        <x:v>Not cycle-specific</x:v>
      </x:c>
      <x:c r="M2633" s="17" t="str">
        <x:v>low</x:v>
      </x:c>
      <x:c r="N2633" s="17" t="str">
        <x:v>Discovery evidence only</x:v>
      </x:c>
      <x:c r="O2633" s="17" t="str">
        <x:v>Use the source_record_paths field to trace the underlying discovery inputs.</x:v>
      </x:c>
      <x:c r="P2633" s="18" t="e">
        <x:f>HYPERLINK("https://edpuniversity.edu","Open source")</x:f>
        <x:v>HYPERLINK is not implemented. linkLocation=https://edpuniversity.edu, friendlyName=Open source</x:v>
      </x:c>
    </x:row>
    <x:row r="2634" ht="46" customHeight="1">
      <x:c r="A2634" s="17" t="str">
        <x:v>stage3src:27ea2bbe436afad5c6e0</x:v>
      </x:c>
      <x:c r="B2634" s="17" t="str">
        <x:v>program</x:v>
      </x:c>
      <x:c r="C2634" s="17" t="str">
        <x:v>ECPI University</x:v>
      </x:c>
      <x:c r="D2634" s="17" t="str">
        <x:v>us:ipeds:248934:program:unclear:ipeds-discovery-signal-computer-and-information-systems-security-auditing-information-assurance-cip-11-1003</x:v>
      </x:c>
      <x:c r="E2634" s="17" t="str"/>
      <x:c r="F2634" s="17" t="str">
        <x:v>discovery</x:v>
      </x:c>
      <x:c r="G2634" s="17" t="str">
        <x:v>Stage 2 recorded this row as a discovery candidate; it does not independently verify an exact current research program, eligibility, or funding.</x:v>
      </x:c>
      <x:c r="H2634" s="17" t="str">
        <x:v>Pass 2 Stage 2 candidate funnel</x:v>
      </x:c>
      <x:c r="I2634" s="17" t="str">
        <x:v>Graduate audit pipeline</x:v>
      </x:c>
      <x:c r="J2634" s="17" t="str">
        <x:v>derived</x:v>
      </x:c>
      <x:c r="K2634" s="17" t="str">
        <x:v>2026-09-11</x:v>
      </x:c>
      <x:c r="L2634" s="17" t="str">
        <x:v>Not cycle-specific</x:v>
      </x:c>
      <x:c r="M2634" s="17" t="str">
        <x:v>low</x:v>
      </x:c>
      <x:c r="N2634" s="17" t="str">
        <x:v>Discovery evidence only</x:v>
      </x:c>
      <x:c r="O2634" s="17" t="str">
        <x:v>Use the source_record_paths field to trace the underlying discovery inputs.</x:v>
      </x:c>
      <x:c r="P2634" s="18" t="e">
        <x:f>HYPERLINK("https://www.ecpi.edu","Open source")</x:f>
        <x:v>HYPERLINK is not implemented. linkLocation=https://www.ecpi.edu, friendlyName=Open source</x:v>
      </x:c>
    </x:row>
    <x:row r="2635" ht="46" customHeight="1">
      <x:c r="A2635" s="17" t="str">
        <x:v>stage3src:07ed05b80adafeb4a736</x:v>
      </x:c>
      <x:c r="B2635" s="17" t="str">
        <x:v>program</x:v>
      </x:c>
      <x:c r="C2635" s="17" t="str">
        <x:v>New College of Florida</x:v>
      </x:c>
      <x:c r="D2635" s="17" t="str">
        <x:v>us:ipeds:262129:program:unclear:ipeds-discovery-signal-informatics-cip-11-0104</x:v>
      </x:c>
      <x:c r="E2635" s="17" t="str"/>
      <x:c r="F2635" s="17" t="str">
        <x:v>discovery</x:v>
      </x:c>
      <x:c r="G2635" s="17" t="str">
        <x:v>Stage 2 recorded this row as a discovery candidate; it does not independently verify an exact current research program, eligibility, or funding.</x:v>
      </x:c>
      <x:c r="H2635" s="17" t="str">
        <x:v>Pass 2 Stage 2 candidate funnel</x:v>
      </x:c>
      <x:c r="I2635" s="17" t="str">
        <x:v>Graduate audit pipeline</x:v>
      </x:c>
      <x:c r="J2635" s="17" t="str">
        <x:v>derived</x:v>
      </x:c>
      <x:c r="K2635" s="17" t="str">
        <x:v>2026-09-11</x:v>
      </x:c>
      <x:c r="L2635" s="17" t="str">
        <x:v>Not cycle-specific</x:v>
      </x:c>
      <x:c r="M2635" s="17" t="str">
        <x:v>low</x:v>
      </x:c>
      <x:c r="N2635" s="17" t="str">
        <x:v>Discovery evidence only</x:v>
      </x:c>
      <x:c r="O2635" s="17" t="str">
        <x:v>Use the source_record_paths field to trace the underlying discovery inputs.</x:v>
      </x:c>
      <x:c r="P2635" s="18" t="e">
        <x:f>HYPERLINK("https://www.ncf.edu","Open source")</x:f>
        <x:v>HYPERLINK is not implemented. linkLocation=https://www.ncf.edu, friendlyName=Open source</x:v>
      </x:c>
    </x:row>
    <x:row r="2636" ht="46" customHeight="1">
      <x:c r="A2636" s="17" t="str">
        <x:v>stage3src:b3024a9cf14824acb749</x:v>
      </x:c>
      <x:c r="B2636" s="17" t="str">
        <x:v>program</x:v>
      </x:c>
      <x:c r="C2636" s="17" t="str">
        <x:v>University of Advancing Technology</x:v>
      </x:c>
      <x:c r="D2636" s="17" t="str">
        <x:v>us:ipeds:363934:program:unclear:ipeds-discovery-signal-computer-and-information-sciences-other-cip-11-0199</x:v>
      </x:c>
      <x:c r="E2636" s="17" t="str"/>
      <x:c r="F2636" s="17" t="str">
        <x:v>discovery</x:v>
      </x:c>
      <x:c r="G2636" s="17" t="str">
        <x:v>Stage 2 recorded this row as a discovery candidate; it does not independently verify an exact current research program, eligibility, or funding.</x:v>
      </x:c>
      <x:c r="H2636" s="17" t="str">
        <x:v>Pass 2 Stage 2 candidate funnel</x:v>
      </x:c>
      <x:c r="I2636" s="17" t="str">
        <x:v>Graduate audit pipeline</x:v>
      </x:c>
      <x:c r="J2636" s="17" t="str">
        <x:v>derived</x:v>
      </x:c>
      <x:c r="K2636" s="17" t="str">
        <x:v>2026-09-11</x:v>
      </x:c>
      <x:c r="L2636" s="17" t="str">
        <x:v>Not cycle-specific</x:v>
      </x:c>
      <x:c r="M2636" s="17" t="str">
        <x:v>low</x:v>
      </x:c>
      <x:c r="N2636" s="17" t="str">
        <x:v>Discovery evidence only</x:v>
      </x:c>
      <x:c r="O2636" s="17" t="str">
        <x:v>Use the source_record_paths field to trace the underlying discovery inputs.</x:v>
      </x:c>
      <x:c r="P2636" s="18" t="e">
        <x:f>HYPERLINK("https://www.uat.edu","Open source")</x:f>
        <x:v>HYPERLINK is not implemented. linkLocation=https://www.uat.edu, friendlyName=Open source</x:v>
      </x:c>
    </x:row>
    <x:row r="2637" ht="46" customHeight="1">
      <x:c r="A2637" s="17" t="str">
        <x:v>stage3src:9a86f9219c2a56c83939</x:v>
      </x:c>
      <x:c r="B2637" s="17" t="str">
        <x:v>program</x:v>
      </x:c>
      <x:c r="C2637" s="17" t="str">
        <x:v>University of Advancing Technology</x:v>
      </x:c>
      <x:c r="D2637" s="17" t="str">
        <x:v>us:ipeds:363934:program:unclear:ipeds-discovery-signal-computer-software-engineering-cip-14-0903</x:v>
      </x:c>
      <x:c r="E2637" s="17" t="str"/>
      <x:c r="F2637" s="17" t="str">
        <x:v>discovery</x:v>
      </x:c>
      <x:c r="G2637" s="17" t="str">
        <x:v>Stage 2 recorded this row as a discovery candidate; it does not independently verify an exact current research program, eligibility, or funding.</x:v>
      </x:c>
      <x:c r="H2637" s="17" t="str">
        <x:v>Pass 2 Stage 2 candidate funnel</x:v>
      </x:c>
      <x:c r="I2637" s="17" t="str">
        <x:v>Graduate audit pipeline</x:v>
      </x:c>
      <x:c r="J2637" s="17" t="str">
        <x:v>derived</x:v>
      </x:c>
      <x:c r="K2637" s="17" t="str">
        <x:v>2026-09-11</x:v>
      </x:c>
      <x:c r="L2637" s="17" t="str">
        <x:v>Not cycle-specific</x:v>
      </x:c>
      <x:c r="M2637" s="17" t="str">
        <x:v>low</x:v>
      </x:c>
      <x:c r="N2637" s="17" t="str">
        <x:v>Discovery evidence only</x:v>
      </x:c>
      <x:c r="O2637" s="17" t="str">
        <x:v>Use the source_record_paths field to trace the underlying discovery inputs.</x:v>
      </x:c>
      <x:c r="P2637" s="18" t="e">
        <x:f>HYPERLINK("https://www.uat.edu","Open source")</x:f>
        <x:v>HYPERLINK is not implemented. linkLocation=https://www.uat.edu, friendlyName=Open source</x:v>
      </x:c>
    </x:row>
    <x:row r="2638" ht="46" customHeight="1">
      <x:c r="A2638" s="17" t="str">
        <x:v>stage3src:9fa19418031a52237b80</x:v>
      </x:c>
      <x:c r="B2638" s="17" t="str">
        <x:v>program</x:v>
      </x:c>
      <x:c r="C2638" s="17" t="str">
        <x:v>University of Advancing Technology</x:v>
      </x:c>
      <x:c r="D2638" s="17" t="str">
        <x:v>us:ipeds:363934:program:unclear:ipeds-discovery-signal-cyber-computer-forensics-and-counterterrorism-cip-43-0403</x:v>
      </x:c>
      <x:c r="E2638" s="17" t="str"/>
      <x:c r="F2638" s="17" t="str">
        <x:v>discovery</x:v>
      </x:c>
      <x:c r="G2638" s="17" t="str">
        <x:v>Stage 2 recorded this row as a discovery candidate; it does not independently verify an exact current research program, eligibility, or funding.</x:v>
      </x:c>
      <x:c r="H2638" s="17" t="str">
        <x:v>Pass 2 Stage 2 candidate funnel</x:v>
      </x:c>
      <x:c r="I2638" s="17" t="str">
        <x:v>Graduate audit pipeline</x:v>
      </x:c>
      <x:c r="J2638" s="17" t="str">
        <x:v>derived</x:v>
      </x:c>
      <x:c r="K2638" s="17" t="str">
        <x:v>2026-09-11</x:v>
      </x:c>
      <x:c r="L2638" s="17" t="str">
        <x:v>Not cycle-specific</x:v>
      </x:c>
      <x:c r="M2638" s="17" t="str">
        <x:v>low</x:v>
      </x:c>
      <x:c r="N2638" s="17" t="str">
        <x:v>Discovery evidence only</x:v>
      </x:c>
      <x:c r="O2638" s="17" t="str">
        <x:v>Use the source_record_paths field to trace the underlying discovery inputs.</x:v>
      </x:c>
      <x:c r="P2638" s="18" t="e">
        <x:f>HYPERLINK("https://www.uat.edu","Open source")</x:f>
        <x:v>HYPERLINK is not implemented. linkLocation=https://www.uat.edu, friendlyName=Open source</x:v>
      </x:c>
    </x:row>
    <x:row r="2639" ht="46" customHeight="1">
      <x:c r="A2639" s="17" t="str">
        <x:v>stage3src:577039873c45069c7fe6</x:v>
      </x:c>
      <x:c r="B2639" s="17" t="str">
        <x:v>program</x:v>
      </x:c>
      <x:c r="C2639" s="17" t="str">
        <x:v>California State University-San Marcos</x:v>
      </x:c>
      <x:c r="D2639" s="17" t="str">
        <x:v>us:ipeds:366711:program:unclear:ipeds-discovery-signal-computer-and-information-systems-security-auditing-information-assurance-cip-11-1003</x:v>
      </x:c>
      <x:c r="E2639" s="17" t="str"/>
      <x:c r="F2639" s="17" t="str">
        <x:v>discovery</x:v>
      </x:c>
      <x:c r="G2639" s="17" t="str">
        <x:v>Stage 2 recorded this row as a discovery candidate; it does not independently verify an exact current research program, eligibility, or funding.</x:v>
      </x:c>
      <x:c r="H2639" s="17" t="str">
        <x:v>Pass 2 Stage 2 candidate funnel</x:v>
      </x:c>
      <x:c r="I2639" s="17" t="str">
        <x:v>Graduate audit pipeline</x:v>
      </x:c>
      <x:c r="J2639" s="17" t="str">
        <x:v>derived</x:v>
      </x:c>
      <x:c r="K2639" s="17" t="str">
        <x:v>2026-09-11</x:v>
      </x:c>
      <x:c r="L2639" s="17" t="str">
        <x:v>Not cycle-specific</x:v>
      </x:c>
      <x:c r="M2639" s="17" t="str">
        <x:v>low</x:v>
      </x:c>
      <x:c r="N2639" s="17" t="str">
        <x:v>Discovery evidence only</x:v>
      </x:c>
      <x:c r="O2639" s="17" t="str">
        <x:v>Use the source_record_paths field to trace the underlying discovery inputs.</x:v>
      </x:c>
      <x:c r="P2639" s="18" t="e">
        <x:f>HYPERLINK("https://www.csusm.edu","Open source")</x:f>
        <x:v>HYPERLINK is not implemented. linkLocation=https://www.csusm.edu, friendlyName=Open source</x:v>
      </x:c>
    </x:row>
    <x:row r="2640" ht="46" customHeight="1">
      <x:c r="A2640" s="17" t="str">
        <x:v>stage3src:2c60ebe3111853ef3d2e</x:v>
      </x:c>
      <x:c r="B2640" s="17" t="str">
        <x:v>program</x:v>
      </x:c>
      <x:c r="C2640" s="17" t="str">
        <x:v>California State University-San Marcos</x:v>
      </x:c>
      <x:c r="D2640" s="17" t="str">
        <x:v>us:ipeds:366711:program:unclear:ipeds-discovery-signal-computer-science-cip-11-0701</x:v>
      </x:c>
      <x:c r="E2640" s="17" t="str"/>
      <x:c r="F2640" s="17" t="str">
        <x:v>discovery</x:v>
      </x:c>
      <x:c r="G2640" s="17" t="str">
        <x:v>Stage 2 recorded this row as a discovery candidate; it does not independently verify an exact current research program, eligibility, or funding.</x:v>
      </x:c>
      <x:c r="H2640" s="17" t="str">
        <x:v>Pass 2 Stage 2 candidate funnel</x:v>
      </x:c>
      <x:c r="I2640" s="17" t="str">
        <x:v>Graduate audit pipeline</x:v>
      </x:c>
      <x:c r="J2640" s="17" t="str">
        <x:v>derived</x:v>
      </x:c>
      <x:c r="K2640" s="17" t="str">
        <x:v>2026-09-11</x:v>
      </x:c>
      <x:c r="L2640" s="17" t="str">
        <x:v>Not cycle-specific</x:v>
      </x:c>
      <x:c r="M2640" s="17" t="str">
        <x:v>low</x:v>
      </x:c>
      <x:c r="N2640" s="17" t="str">
        <x:v>Discovery evidence only</x:v>
      </x:c>
      <x:c r="O2640" s="17" t="str">
        <x:v>Use the source_record_paths field to trace the underlying discovery inputs.</x:v>
      </x:c>
      <x:c r="P2640" s="18" t="e">
        <x:f>HYPERLINK("https://www.csusm.edu","Open source")</x:f>
        <x:v>HYPERLINK is not implemented. linkLocation=https://www.csusm.edu, friendlyName=Open source</x:v>
      </x:c>
    </x:row>
    <x:row r="2641" ht="46" customHeight="1">
      <x:c r="A2641" s="17" t="str">
        <x:v>stage3src:a2e940af9995a7865760</x:v>
      </x:c>
      <x:c r="B2641" s="17" t="str">
        <x:v>program</x:v>
      </x:c>
      <x:c r="C2641" s="17" t="str">
        <x:v>University of Washington-Bothell Campus</x:v>
      </x:c>
      <x:c r="D2641" s="17" t="str">
        <x:v>us:ipeds:377555:program:unclear:ipeds-discovery-signal-computer-and-information-systems-security-auditing-information-assurance-cip-11-1003</x:v>
      </x:c>
      <x:c r="E2641" s="17" t="str"/>
      <x:c r="F2641" s="17" t="str">
        <x:v>discovery</x:v>
      </x:c>
      <x:c r="G2641" s="17" t="str">
        <x:v>Stage 2 recorded this row as a discovery candidate; it does not independently verify an exact current research program, eligibility, or funding.</x:v>
      </x:c>
      <x:c r="H2641" s="17" t="str">
        <x:v>Pass 2 Stage 2 candidate funnel</x:v>
      </x:c>
      <x:c r="I2641" s="17" t="str">
        <x:v>Graduate audit pipeline</x:v>
      </x:c>
      <x:c r="J2641" s="17" t="str">
        <x:v>derived</x:v>
      </x:c>
      <x:c r="K2641" s="17" t="str">
        <x:v>2026-09-11</x:v>
      </x:c>
      <x:c r="L2641" s="17" t="str">
        <x:v>Not cycle-specific</x:v>
      </x:c>
      <x:c r="M2641" s="17" t="str">
        <x:v>low</x:v>
      </x:c>
      <x:c r="N2641" s="17" t="str">
        <x:v>Discovery evidence only</x:v>
      </x:c>
      <x:c r="O2641" s="17" t="str">
        <x:v>Use the source_record_paths field to trace the underlying discovery inputs.</x:v>
      </x:c>
      <x:c r="P2641" s="18" t="e">
        <x:f>HYPERLINK("https://www.uwb.edu","Open source")</x:f>
        <x:v>HYPERLINK is not implemented. linkLocation=https://www.uwb.edu, friendlyName=Open source</x:v>
      </x:c>
    </x:row>
    <x:row r="2642" ht="46" customHeight="1">
      <x:c r="A2642" s="17" t="str">
        <x:v>stage3src:622f33f7e7ea0f7e04f7</x:v>
      </x:c>
      <x:c r="B2642" s="17" t="str">
        <x:v>program</x:v>
      </x:c>
      <x:c r="C2642" s="17" t="str">
        <x:v>University of Washington-Bothell Campus</x:v>
      </x:c>
      <x:c r="D2642" s="17" t="str">
        <x:v>us:ipeds:377555:program:unclear:ipeds-discovery-signal-computer-science-cip-11-0701</x:v>
      </x:c>
      <x:c r="E2642" s="17" t="str"/>
      <x:c r="F2642" s="17" t="str">
        <x:v>discovery</x:v>
      </x:c>
      <x:c r="G2642" s="17" t="str">
        <x:v>Stage 2 recorded this row as a discovery candidate; it does not independently verify an exact current research program, eligibility, or funding.</x:v>
      </x:c>
      <x:c r="H2642" s="17" t="str">
        <x:v>Pass 2 Stage 2 candidate funnel</x:v>
      </x:c>
      <x:c r="I2642" s="17" t="str">
        <x:v>Graduate audit pipeline</x:v>
      </x:c>
      <x:c r="J2642" s="17" t="str">
        <x:v>derived</x:v>
      </x:c>
      <x:c r="K2642" s="17" t="str">
        <x:v>2026-09-11</x:v>
      </x:c>
      <x:c r="L2642" s="17" t="str">
        <x:v>Not cycle-specific</x:v>
      </x:c>
      <x:c r="M2642" s="17" t="str">
        <x:v>low</x:v>
      </x:c>
      <x:c r="N2642" s="17" t="str">
        <x:v>Discovery evidence only</x:v>
      </x:c>
      <x:c r="O2642" s="17" t="str">
        <x:v>Use the source_record_paths field to trace the underlying discovery inputs.</x:v>
      </x:c>
      <x:c r="P2642" s="18" t="e">
        <x:f>HYPERLINK("https://www.uwb.edu","Open source")</x:f>
        <x:v>HYPERLINK is not implemented. linkLocation=https://www.uwb.edu, friendlyName=Open source</x:v>
      </x:c>
    </x:row>
    <x:row r="2643" ht="46" customHeight="1">
      <x:c r="A2643" s="17" t="str">
        <x:v>stage3src:1e8b81b3dbf34dbb0217</x:v>
      </x:c>
      <x:c r="B2643" s="17" t="str">
        <x:v>program</x:v>
      </x:c>
      <x:c r="C2643" s="17" t="str">
        <x:v>University of Washington-Bothell Campus</x:v>
      </x:c>
      <x:c r="D2643" s="17" t="str">
        <x:v>us:ipeds:377555:program:unclear:ipeds-discovery-signal-electrical-and-electronics-engineering-cip-14-1001</x:v>
      </x:c>
      <x:c r="E2643" s="17" t="str"/>
      <x:c r="F2643" s="17" t="str">
        <x:v>discovery</x:v>
      </x:c>
      <x:c r="G2643" s="17" t="str">
        <x:v>Stage 2 recorded this row as a discovery candidate; it does not independently verify an exact current research program, eligibility, or funding.</x:v>
      </x:c>
      <x:c r="H2643" s="17" t="str">
        <x:v>Pass 2 Stage 2 candidate funnel</x:v>
      </x:c>
      <x:c r="I2643" s="17" t="str">
        <x:v>Graduate audit pipeline</x:v>
      </x:c>
      <x:c r="J2643" s="17" t="str">
        <x:v>derived</x:v>
      </x:c>
      <x:c r="K2643" s="17" t="str">
        <x:v>2026-09-11</x:v>
      </x:c>
      <x:c r="L2643" s="17" t="str">
        <x:v>Not cycle-specific</x:v>
      </x:c>
      <x:c r="M2643" s="17" t="str">
        <x:v>low</x:v>
      </x:c>
      <x:c r="N2643" s="17" t="str">
        <x:v>Discovery evidence only</x:v>
      </x:c>
      <x:c r="O2643" s="17" t="str">
        <x:v>Use the source_record_paths field to trace the underlying discovery inputs.</x:v>
      </x:c>
      <x:c r="P2643" s="18" t="e">
        <x:f>HYPERLINK("https://www.uwb.edu","Open source")</x:f>
        <x:v>HYPERLINK is not implemented. linkLocation=https://www.uwb.edu, friendlyName=Open source</x:v>
      </x:c>
    </x:row>
    <x:row r="2644" ht="46" customHeight="1">
      <x:c r="A2644" s="17" t="str">
        <x:v>stage3src:6261e8a1b98b1bc40fc2</x:v>
      </x:c>
      <x:c r="B2644" s="17" t="str">
        <x:v>program</x:v>
      </x:c>
      <x:c r="C2644" s="17" t="str">
        <x:v>University of Washington-Tacoma Campus</x:v>
      </x:c>
      <x:c r="D2644" s="17" t="str">
        <x:v>us:ipeds:377564:program:unclear:ipeds-discovery-signal-computer-and-information-sciences-general-cip-11-0101</x:v>
      </x:c>
      <x:c r="E2644" s="17" t="str"/>
      <x:c r="F2644" s="17" t="str">
        <x:v>discovery</x:v>
      </x:c>
      <x:c r="G2644" s="17" t="str">
        <x:v>Stage 2 recorded this row as a discovery candidate; it does not independently verify an exact current research program, eligibility, or funding.</x:v>
      </x:c>
      <x:c r="H2644" s="17" t="str">
        <x:v>Pass 2 Stage 2 candidate funnel</x:v>
      </x:c>
      <x:c r="I2644" s="17" t="str">
        <x:v>Graduate audit pipeline</x:v>
      </x:c>
      <x:c r="J2644" s="17" t="str">
        <x:v>derived</x:v>
      </x:c>
      <x:c r="K2644" s="17" t="str">
        <x:v>2026-09-11</x:v>
      </x:c>
      <x:c r="L2644" s="17" t="str">
        <x:v>Not cycle-specific</x:v>
      </x:c>
      <x:c r="M2644" s="17" t="str">
        <x:v>low</x:v>
      </x:c>
      <x:c r="N2644" s="17" t="str">
        <x:v>Discovery evidence only</x:v>
      </x:c>
      <x:c r="O2644" s="17" t="str">
        <x:v>Use the source_record_paths field to trace the underlying discovery inputs.</x:v>
      </x:c>
      <x:c r="P2644" s="18" t="e">
        <x:f>HYPERLINK("https://www.tacoma.uw.edu","Open source")</x:f>
        <x:v>HYPERLINK is not implemented. linkLocation=https://www.tacoma.uw.edu, friendlyName=Open source</x:v>
      </x:c>
    </x:row>
    <x:row r="2645" ht="46" customHeight="1">
      <x:c r="A2645" s="17" t="str">
        <x:v>stage3src:2417968cf4322d9a079f</x:v>
      </x:c>
      <x:c r="B2645" s="17" t="str">
        <x:v>program</x:v>
      </x:c>
      <x:c r="C2645" s="17" t="str">
        <x:v>University of Washington-Tacoma Campus</x:v>
      </x:c>
      <x:c r="D2645" s="17" t="str">
        <x:v>us:ipeds:377564:program:unclear:ipeds-discovery-signal-computer-and-information-systems-security-auditing-information-assurance-cip-11-1003</x:v>
      </x:c>
      <x:c r="E2645" s="17" t="str"/>
      <x:c r="F2645" s="17" t="str">
        <x:v>discovery</x:v>
      </x:c>
      <x:c r="G2645" s="17" t="str">
        <x:v>Stage 2 recorded this row as a discovery candidate; it does not independently verify an exact current research program, eligibility, or funding.</x:v>
      </x:c>
      <x:c r="H2645" s="17" t="str">
        <x:v>Pass 2 Stage 2 candidate funnel</x:v>
      </x:c>
      <x:c r="I2645" s="17" t="str">
        <x:v>Graduate audit pipeline</x:v>
      </x:c>
      <x:c r="J2645" s="17" t="str">
        <x:v>derived</x:v>
      </x:c>
      <x:c r="K2645" s="17" t="str">
        <x:v>2026-09-11</x:v>
      </x:c>
      <x:c r="L2645" s="17" t="str">
        <x:v>Not cycle-specific</x:v>
      </x:c>
      <x:c r="M2645" s="17" t="str">
        <x:v>low</x:v>
      </x:c>
      <x:c r="N2645" s="17" t="str">
        <x:v>Discovery evidence only</x:v>
      </x:c>
      <x:c r="O2645" s="17" t="str">
        <x:v>Use the source_record_paths field to trace the underlying discovery inputs.</x:v>
      </x:c>
      <x:c r="P2645" s="18" t="e">
        <x:f>HYPERLINK("https://www.tacoma.uw.edu","Open source")</x:f>
        <x:v>HYPERLINK is not implemented. linkLocation=https://www.tacoma.uw.edu, friendlyName=Open source</x:v>
      </x:c>
    </x:row>
    <x:row r="2646" ht="46" customHeight="1">
      <x:c r="A2646" s="17" t="str">
        <x:v>stage3src:d5d8925393027ddd44cb</x:v>
      </x:c>
      <x:c r="B2646" s="17" t="str">
        <x:v>program</x:v>
      </x:c>
      <x:c r="C2646" s="17" t="str">
        <x:v>University of Washington-Tacoma Campus</x:v>
      </x:c>
      <x:c r="D2646" s="17" t="str">
        <x:v>us:ipeds:377564:program:unclear:ipeds-discovery-signal-computer-science-cip-11-0701</x:v>
      </x:c>
      <x:c r="E2646" s="17" t="str"/>
      <x:c r="F2646" s="17" t="str">
        <x:v>discovery</x:v>
      </x:c>
      <x:c r="G2646" s="17" t="str">
        <x:v>Stage 2 recorded this row as a discovery candidate; it does not independently verify an exact current research program, eligibility, or funding.</x:v>
      </x:c>
      <x:c r="H2646" s="17" t="str">
        <x:v>Pass 2 Stage 2 candidate funnel</x:v>
      </x:c>
      <x:c r="I2646" s="17" t="str">
        <x:v>Graduate audit pipeline</x:v>
      </x:c>
      <x:c r="J2646" s="17" t="str">
        <x:v>derived</x:v>
      </x:c>
      <x:c r="K2646" s="17" t="str">
        <x:v>2026-09-11</x:v>
      </x:c>
      <x:c r="L2646" s="17" t="str">
        <x:v>Not cycle-specific</x:v>
      </x:c>
      <x:c r="M2646" s="17" t="str">
        <x:v>low</x:v>
      </x:c>
      <x:c r="N2646" s="17" t="str">
        <x:v>Discovery evidence only</x:v>
      </x:c>
      <x:c r="O2646" s="17" t="str">
        <x:v>Use the source_record_paths field to trace the underlying discovery inputs.</x:v>
      </x:c>
      <x:c r="P2646" s="18" t="e">
        <x:f>HYPERLINK("https://www.tacoma.uw.edu","Open source")</x:f>
        <x:v>HYPERLINK is not implemented. linkLocation=https://www.tacoma.uw.edu, friendlyName=Open source</x:v>
      </x:c>
    </x:row>
    <x:row r="2647" ht="46" customHeight="1">
      <x:c r="A2647" s="17" t="str">
        <x:v>stage3src:9e172561a07d36f32417</x:v>
      </x:c>
      <x:c r="B2647" s="17" t="str">
        <x:v>program</x:v>
      </x:c>
      <x:c r="C2647" s="17" t="str">
        <x:v>University of Washington-Tacoma Campus</x:v>
      </x:c>
      <x:c r="D2647" s="17" t="str">
        <x:v>us:ipeds:377564:program:unclear:ipeds-discovery-signal-information-technology-cip-11-0103</x:v>
      </x:c>
      <x:c r="E2647" s="17" t="str"/>
      <x:c r="F2647" s="17" t="str">
        <x:v>discovery</x:v>
      </x:c>
      <x:c r="G2647" s="17" t="str">
        <x:v>Stage 2 recorded this row as a discovery candidate; it does not independently verify an exact current research program, eligibility, or funding.</x:v>
      </x:c>
      <x:c r="H2647" s="17" t="str">
        <x:v>Pass 2 Stage 2 candidate funnel</x:v>
      </x:c>
      <x:c r="I2647" s="17" t="str">
        <x:v>Graduate audit pipeline</x:v>
      </x:c>
      <x:c r="J2647" s="17" t="str">
        <x:v>derived</x:v>
      </x:c>
      <x:c r="K2647" s="17" t="str">
        <x:v>2026-09-11</x:v>
      </x:c>
      <x:c r="L2647" s="17" t="str">
        <x:v>Not cycle-specific</x:v>
      </x:c>
      <x:c r="M2647" s="17" t="str">
        <x:v>low</x:v>
      </x:c>
      <x:c r="N2647" s="17" t="str">
        <x:v>Discovery evidence only</x:v>
      </x:c>
      <x:c r="O2647" s="17" t="str">
        <x:v>Use the source_record_paths field to trace the underlying discovery inputs.</x:v>
      </x:c>
      <x:c r="P2647" s="18" t="e">
        <x:f>HYPERLINK("https://www.tacoma.uw.edu","Open source")</x:f>
        <x:v>HYPERLINK is not implemented. linkLocation=https://www.tacoma.uw.edu, friendlyName=Open source</x:v>
      </x:c>
    </x:row>
    <x:row r="2648" ht="46" customHeight="1">
      <x:c r="A2648" s="17" t="str">
        <x:v>stage3src:377d2bd7a32d2ef3340a</x:v>
      </x:c>
      <x:c r="B2648" s="17" t="str">
        <x:v>program</x:v>
      </x:c>
      <x:c r="C2648" s="17" t="str">
        <x:v>Capella University</x:v>
      </x:c>
      <x:c r="D2648" s="17" t="str">
        <x:v>us:ipeds:413413:program:unclear:ipeds-discovery-signal-computer-and-information-sciences-other-cip-11-0199</x:v>
      </x:c>
      <x:c r="E2648" s="17" t="str"/>
      <x:c r="F2648" s="17" t="str">
        <x:v>discovery</x:v>
      </x:c>
      <x:c r="G2648" s="17" t="str">
        <x:v>Stage 2 recorded this row as a discovery candidate; it does not independently verify an exact current research program, eligibility, or funding.</x:v>
      </x:c>
      <x:c r="H2648" s="17" t="str">
        <x:v>Pass 2 Stage 2 candidate funnel</x:v>
      </x:c>
      <x:c r="I2648" s="17" t="str">
        <x:v>Graduate audit pipeline</x:v>
      </x:c>
      <x:c r="J2648" s="17" t="str">
        <x:v>derived</x:v>
      </x:c>
      <x:c r="K2648" s="17" t="str">
        <x:v>2026-09-11</x:v>
      </x:c>
      <x:c r="L2648" s="17" t="str">
        <x:v>Not cycle-specific</x:v>
      </x:c>
      <x:c r="M2648" s="17" t="str">
        <x:v>low</x:v>
      </x:c>
      <x:c r="N2648" s="17" t="str">
        <x:v>Discovery evidence only</x:v>
      </x:c>
      <x:c r="O2648" s="17" t="str">
        <x:v>Use the source_record_paths field to trace the underlying discovery inputs.</x:v>
      </x:c>
      <x:c r="P2648" s="18" t="e">
        <x:f>HYPERLINK("https://www.capella.edu","Open source")</x:f>
        <x:v>HYPERLINK is not implemented. linkLocation=https://www.capella.edu, friendlyName=Open source</x:v>
      </x:c>
    </x:row>
    <x:row r="2649" ht="46" customHeight="1">
      <x:c r="A2649" s="17" t="str">
        <x:v>stage3src:20256ee6f58787d02f45</x:v>
      </x:c>
      <x:c r="B2649" s="17" t="str">
        <x:v>program</x:v>
      </x:c>
      <x:c r="C2649" s="17" t="str">
        <x:v>Capella University</x:v>
      </x:c>
      <x:c r="D2649" s="17" t="str">
        <x:v>us:ipeds:413413:program:unclear:ipeds-discovery-signal-computer-and-information-systems-security-auditing-information-assurance-cip-11-1003</x:v>
      </x:c>
      <x:c r="E2649" s="17" t="str"/>
      <x:c r="F2649" s="17" t="str">
        <x:v>discovery</x:v>
      </x:c>
      <x:c r="G2649" s="17" t="str">
        <x:v>Stage 2 recorded this row as a discovery candidate; it does not independently verify an exact current research program, eligibility, or funding.</x:v>
      </x:c>
      <x:c r="H2649" s="17" t="str">
        <x:v>Pass 2 Stage 2 candidate funnel</x:v>
      </x:c>
      <x:c r="I2649" s="17" t="str">
        <x:v>Graduate audit pipeline</x:v>
      </x:c>
      <x:c r="J2649" s="17" t="str">
        <x:v>derived</x:v>
      </x:c>
      <x:c r="K2649" s="17" t="str">
        <x:v>2026-09-11</x:v>
      </x:c>
      <x:c r="L2649" s="17" t="str">
        <x:v>Not cycle-specific</x:v>
      </x:c>
      <x:c r="M2649" s="17" t="str">
        <x:v>low</x:v>
      </x:c>
      <x:c r="N2649" s="17" t="str">
        <x:v>Discovery evidence only</x:v>
      </x:c>
      <x:c r="O2649" s="17" t="str">
        <x:v>Use the source_record_paths field to trace the underlying discovery inputs.</x:v>
      </x:c>
      <x:c r="P2649" s="18" t="e">
        <x:f>HYPERLINK("https://www.capella.edu","Open source")</x:f>
        <x:v>HYPERLINK is not implemented. linkLocation=https://www.capella.edu, friendlyName=Open source</x:v>
      </x:c>
    </x:row>
    <x:row r="2650" ht="46" customHeight="1">
      <x:c r="A2650" s="17" t="str">
        <x:v>stage3src:7fe97912f945e1558463</x:v>
      </x:c>
      <x:c r="B2650" s="17" t="str">
        <x:v>program</x:v>
      </x:c>
      <x:c r="C2650" s="17" t="str">
        <x:v>Capella University</x:v>
      </x:c>
      <x:c r="D2650" s="17" t="str">
        <x:v>us:ipeds:413413:program:unclear:ipeds-discovery-signal-computer-systems-networking-and-telecommunications-cip-11-0901</x:v>
      </x:c>
      <x:c r="E2650" s="17" t="str"/>
      <x:c r="F2650" s="17" t="str">
        <x:v>discovery</x:v>
      </x:c>
      <x:c r="G2650" s="17" t="str">
        <x:v>Stage 2 recorded this row as a discovery candidate; it does not independently verify an exact current research program, eligibility, or funding.</x:v>
      </x:c>
      <x:c r="H2650" s="17" t="str">
        <x:v>Pass 2 Stage 2 candidate funnel</x:v>
      </x:c>
      <x:c r="I2650" s="17" t="str">
        <x:v>Graduate audit pipeline</x:v>
      </x:c>
      <x:c r="J2650" s="17" t="str">
        <x:v>derived</x:v>
      </x:c>
      <x:c r="K2650" s="17" t="str">
        <x:v>2026-09-11</x:v>
      </x:c>
      <x:c r="L2650" s="17" t="str">
        <x:v>Not cycle-specific</x:v>
      </x:c>
      <x:c r="M2650" s="17" t="str">
        <x:v>low</x:v>
      </x:c>
      <x:c r="N2650" s="17" t="str">
        <x:v>Discovery evidence only</x:v>
      </x:c>
      <x:c r="O2650" s="17" t="str">
        <x:v>Use the source_record_paths field to trace the underlying discovery inputs.</x:v>
      </x:c>
      <x:c r="P2650" s="18" t="e">
        <x:f>HYPERLINK("https://www.capella.edu","Open source")</x:f>
        <x:v>HYPERLINK is not implemented. linkLocation=https://www.capella.edu, friendlyName=Open source</x:v>
      </x:c>
    </x:row>
    <x:row r="2651" ht="46" customHeight="1">
      <x:c r="A2651" s="17" t="str">
        <x:v>stage3src:d2e202b239c0c3c521cd</x:v>
      </x:c>
      <x:c r="B2651" s="17" t="str">
        <x:v>program</x:v>
      </x:c>
      <x:c r="C2651" s="17" t="str">
        <x:v>Capella University</x:v>
      </x:c>
      <x:c r="D2651" s="17" t="str">
        <x:v>us:ipeds:413413:program:unclear:ipeds-discovery-signal-cyber-computer-forensics-and-counterterrorism-cip-43-0403</x:v>
      </x:c>
      <x:c r="E2651" s="17" t="str"/>
      <x:c r="F2651" s="17" t="str">
        <x:v>discovery</x:v>
      </x:c>
      <x:c r="G2651" s="17" t="str">
        <x:v>Stage 2 recorded this row as a discovery candidate; it does not independently verify an exact current research program, eligibility, or funding.</x:v>
      </x:c>
      <x:c r="H2651" s="17" t="str">
        <x:v>Pass 2 Stage 2 candidate funnel</x:v>
      </x:c>
      <x:c r="I2651" s="17" t="str">
        <x:v>Graduate audit pipeline</x:v>
      </x:c>
      <x:c r="J2651" s="17" t="str">
        <x:v>derived</x:v>
      </x:c>
      <x:c r="K2651" s="17" t="str">
        <x:v>2026-09-11</x:v>
      </x:c>
      <x:c r="L2651" s="17" t="str">
        <x:v>Not cycle-specific</x:v>
      </x:c>
      <x:c r="M2651" s="17" t="str">
        <x:v>low</x:v>
      </x:c>
      <x:c r="N2651" s="17" t="str">
        <x:v>Discovery evidence only</x:v>
      </x:c>
      <x:c r="O2651" s="17" t="str">
        <x:v>Use the source_record_paths field to trace the underlying discovery inputs.</x:v>
      </x:c>
      <x:c r="P2651" s="18" t="e">
        <x:f>HYPERLINK("https://www.capella.edu","Open source")</x:f>
        <x:v>HYPERLINK is not implemented. linkLocation=https://www.capella.edu, friendlyName=Open source</x:v>
      </x:c>
    </x:row>
    <x:row r="2652" ht="46" customHeight="1">
      <x:c r="A2652" s="17" t="str">
        <x:v>stage3src:b56913074ef55a218126</x:v>
      </x:c>
      <x:c r="B2652" s="17" t="str">
        <x:v>program</x:v>
      </x:c>
      <x:c r="C2652" s="17" t="str">
        <x:v>Capella University</x:v>
      </x:c>
      <x:c r="D2652" s="17" t="str">
        <x:v>us:ipeds:413413:program:unclear:ipeds-discovery-signal-information-technology-cip-11-0103</x:v>
      </x:c>
      <x:c r="E2652" s="17" t="str"/>
      <x:c r="F2652" s="17" t="str">
        <x:v>discovery</x:v>
      </x:c>
      <x:c r="G2652" s="17" t="str">
        <x:v>Stage 2 recorded this row as a discovery candidate; it does not independently verify an exact current research program, eligibility, or funding.</x:v>
      </x:c>
      <x:c r="H2652" s="17" t="str">
        <x:v>Pass 2 Stage 2 candidate funnel</x:v>
      </x:c>
      <x:c r="I2652" s="17" t="str">
        <x:v>Graduate audit pipeline</x:v>
      </x:c>
      <x:c r="J2652" s="17" t="str">
        <x:v>derived</x:v>
      </x:c>
      <x:c r="K2652" s="17" t="str">
        <x:v>2026-09-11</x:v>
      </x:c>
      <x:c r="L2652" s="17" t="str">
        <x:v>Not cycle-specific</x:v>
      </x:c>
      <x:c r="M2652" s="17" t="str">
        <x:v>low</x:v>
      </x:c>
      <x:c r="N2652" s="17" t="str">
        <x:v>Discovery evidence only</x:v>
      </x:c>
      <x:c r="O2652" s="17" t="str">
        <x:v>Use the source_record_paths field to trace the underlying discovery inputs.</x:v>
      </x:c>
      <x:c r="P2652" s="18" t="e">
        <x:f>HYPERLINK("https://www.capella.edu","Open source")</x:f>
        <x:v>HYPERLINK is not implemented. linkLocation=https://www.capella.edu, friendlyName=Open source</x:v>
      </x:c>
    </x:row>
    <x:row r="2653" ht="46" customHeight="1">
      <x:c r="A2653" s="17" t="str">
        <x:v>stage3src:fd762a5e58bcb39eab40</x:v>
      </x:c>
      <x:c r="B2653" s="17" t="str">
        <x:v>program</x:v>
      </x:c>
      <x:c r="C2653" s="17" t="str">
        <x:v>Trine University-Regional/Non-Traditional Campuses</x:v>
      </x:c>
      <x:c r="D2653" s="17" t="str">
        <x:v>us:ipeds:414878:program:unclear:ipeds-discovery-signal-information-science-studies-cip-11-0401</x:v>
      </x:c>
      <x:c r="E2653" s="17" t="str"/>
      <x:c r="F2653" s="17" t="str">
        <x:v>discovery</x:v>
      </x:c>
      <x:c r="G2653" s="17" t="str">
        <x:v>Stage 2 recorded this row as a discovery candidate; it does not independently verify an exact current research program, eligibility, or funding.</x:v>
      </x:c>
      <x:c r="H2653" s="17" t="str">
        <x:v>Pass 2 Stage 2 candidate funnel</x:v>
      </x:c>
      <x:c r="I2653" s="17" t="str">
        <x:v>Graduate audit pipeline</x:v>
      </x:c>
      <x:c r="J2653" s="17" t="str">
        <x:v>derived</x:v>
      </x:c>
      <x:c r="K2653" s="17" t="str">
        <x:v>2026-09-11</x:v>
      </x:c>
      <x:c r="L2653" s="17" t="str">
        <x:v>Not cycle-specific</x:v>
      </x:c>
      <x:c r="M2653" s="17" t="str">
        <x:v>low</x:v>
      </x:c>
      <x:c r="N2653" s="17" t="str">
        <x:v>Discovery evidence only</x:v>
      </x:c>
      <x:c r="O2653" s="17" t="str">
        <x:v>Use the source_record_paths field to trace the underlying discovery inputs.</x:v>
      </x:c>
      <x:c r="P2653" s="18" t="e">
        <x:f>HYPERLINK("https://trine.edu/online/index.aspx","Open source")</x:f>
        <x:v>HYPERLINK is not implemented. linkLocation=https://trine.edu/online/index.aspx, friendlyName=Open source</x:v>
      </x:c>
    </x:row>
    <x:row r="2654" ht="46" customHeight="1">
      <x:c r="A2654" s="17" t="str">
        <x:v>stage3src:0dc80129848a5157ccd4</x:v>
      </x:c>
      <x:c r="B2654" s="17" t="str">
        <x:v>program</x:v>
      </x:c>
      <x:c r="C2654" s="17" t="str">
        <x:v>Embry-Riddle Aeronautical University-Worldwide</x:v>
      </x:c>
      <x:c r="D2654" s="17" t="str">
        <x:v>us:ipeds:426314:program:unclear:ipeds-discovery-signal-cyber-computer-forensics-and-counterterrorism-cip-43-0403</x:v>
      </x:c>
      <x:c r="E2654" s="17" t="str"/>
      <x:c r="F2654" s="17" t="str">
        <x:v>discovery</x:v>
      </x:c>
      <x:c r="G2654" s="17" t="str">
        <x:v>Stage 2 recorded this row as a discovery candidate; it does not independently verify an exact current research program, eligibility, or funding.</x:v>
      </x:c>
      <x:c r="H2654" s="17" t="str">
        <x:v>Pass 2 Stage 2 candidate funnel</x:v>
      </x:c>
      <x:c r="I2654" s="17" t="str">
        <x:v>Graduate audit pipeline</x:v>
      </x:c>
      <x:c r="J2654" s="17" t="str">
        <x:v>derived</x:v>
      </x:c>
      <x:c r="K2654" s="17" t="str">
        <x:v>2026-09-11</x:v>
      </x:c>
      <x:c r="L2654" s="17" t="str">
        <x:v>Not cycle-specific</x:v>
      </x:c>
      <x:c r="M2654" s="17" t="str">
        <x:v>low</x:v>
      </x:c>
      <x:c r="N2654" s="17" t="str">
        <x:v>Discovery evidence only</x:v>
      </x:c>
      <x:c r="O2654" s="17" t="str">
        <x:v>Use the source_record_paths field to trace the underlying discovery inputs.</x:v>
      </x:c>
      <x:c r="P2654" s="18" t="e">
        <x:f>HYPERLINK("https://worldwide.erau.edu","Open source")</x:f>
        <x:v>HYPERLINK is not implemented. linkLocation=https://worldwide.erau.edu, friendlyName=Open source</x:v>
      </x:c>
    </x:row>
    <x:row r="2655" ht="46" customHeight="1">
      <x:c r="A2655" s="17" t="str">
        <x:v>stage3src:20016b32db63a600ecc2</x:v>
      </x:c>
      <x:c r="B2655" s="17" t="str">
        <x:v>program</x:v>
      </x:c>
      <x:c r="C2655" s="17" t="str">
        <x:v>Strayer University-Maryland</x:v>
      </x:c>
      <x:c r="D2655" s="17" t="str">
        <x:v>us:ipeds:430184:program:unclear:ipeds-discovery-signal-computer-and-information-systems-security-auditing-information-assurance-cip-11-1003</x:v>
      </x:c>
      <x:c r="E2655" s="17" t="str"/>
      <x:c r="F2655" s="17" t="str">
        <x:v>discovery</x:v>
      </x:c>
      <x:c r="G2655" s="17" t="str">
        <x:v>Stage 2 recorded this row as a discovery candidate; it does not independently verify an exact current research program, eligibility, or funding.</x:v>
      </x:c>
      <x:c r="H2655" s="17" t="str">
        <x:v>Pass 2 Stage 2 candidate funnel</x:v>
      </x:c>
      <x:c r="I2655" s="17" t="str">
        <x:v>Graduate audit pipeline</x:v>
      </x:c>
      <x:c r="J2655" s="17" t="str">
        <x:v>derived</x:v>
      </x:c>
      <x:c r="K2655" s="17" t="str">
        <x:v>2026-09-11</x:v>
      </x:c>
      <x:c r="L2655" s="17" t="str">
        <x:v>Not cycle-specific</x:v>
      </x:c>
      <x:c r="M2655" s="17" t="str">
        <x:v>low</x:v>
      </x:c>
      <x:c r="N2655" s="17" t="str">
        <x:v>Discovery evidence only</x:v>
      </x:c>
      <x:c r="O2655" s="17" t="str">
        <x:v>Use the source_record_paths field to trace the underlying discovery inputs.</x:v>
      </x:c>
      <x:c r="P2655" s="18" t="e">
        <x:f>HYPERLINK("https://www.strayer.edu/campus-locations/maryland/prince-georges","Open source")</x:f>
        <x:v>HYPERLINK is not implemented. linkLocation=https://www.strayer.edu/campus-locations/maryland/prince-georges, friendlyName=Open source</x:v>
      </x:c>
    </x:row>
    <x:row r="2656" ht="46" customHeight="1">
      <x:c r="A2656" s="17" t="str">
        <x:v>stage3src:47f3bf974fa47223d9db</x:v>
      </x:c>
      <x:c r="B2656" s="17" t="str">
        <x:v>program</x:v>
      </x:c>
      <x:c r="C2656" s="17" t="str">
        <x:v>Strayer University-Maryland</x:v>
      </x:c>
      <x:c r="D2656" s="17" t="str">
        <x:v>us:ipeds:430184:program:unclear:ipeds-discovery-signal-information-science-studies-cip-11-0401</x:v>
      </x:c>
      <x:c r="E2656" s="17" t="str"/>
      <x:c r="F2656" s="17" t="str">
        <x:v>discovery</x:v>
      </x:c>
      <x:c r="G2656" s="17" t="str">
        <x:v>Stage 2 recorded this row as a discovery candidate; it does not independently verify an exact current research program, eligibility, or funding.</x:v>
      </x:c>
      <x:c r="H2656" s="17" t="str">
        <x:v>Pass 2 Stage 2 candidate funnel</x:v>
      </x:c>
      <x:c r="I2656" s="17" t="str">
        <x:v>Graduate audit pipeline</x:v>
      </x:c>
      <x:c r="J2656" s="17" t="str">
        <x:v>derived</x:v>
      </x:c>
      <x:c r="K2656" s="17" t="str">
        <x:v>2026-09-11</x:v>
      </x:c>
      <x:c r="L2656" s="17" t="str">
        <x:v>Not cycle-specific</x:v>
      </x:c>
      <x:c r="M2656" s="17" t="str">
        <x:v>low</x:v>
      </x:c>
      <x:c r="N2656" s="17" t="str">
        <x:v>Discovery evidence only</x:v>
      </x:c>
      <x:c r="O2656" s="17" t="str">
        <x:v>Use the source_record_paths field to trace the underlying discovery inputs.</x:v>
      </x:c>
      <x:c r="P2656" s="18" t="e">
        <x:f>HYPERLINK("https://www.strayer.edu/campus-locations/maryland/prince-georges","Open source")</x:f>
        <x:v>HYPERLINK is not implemented. linkLocation=https://www.strayer.edu/campus-locations/maryland/prince-georges, friendlyName=Open source</x:v>
      </x:c>
    </x:row>
    <x:row r="2657" ht="46" customHeight="1">
      <x:c r="A2657" s="17" t="str">
        <x:v>stage3src:dd2816f083eb2a53bf4d</x:v>
      </x:c>
      <x:c r="B2657" s="17" t="str">
        <x:v>program</x:v>
      </x:c>
      <x:c r="C2657" s="17" t="str">
        <x:v>Western Governors University</x:v>
      </x:c>
      <x:c r="D2657" s="17" t="str">
        <x:v>us:ipeds:433387:program:unclear:ipeds-discovery-signal-computer-and-information-systems-security-auditing-information-assurance-cip-11-1003</x:v>
      </x:c>
      <x:c r="E2657" s="17" t="str"/>
      <x:c r="F2657" s="17" t="str">
        <x:v>discovery</x:v>
      </x:c>
      <x:c r="G2657" s="17" t="str">
        <x:v>Stage 2 recorded this row as a discovery candidate; it does not independently verify an exact current research program, eligibility, or funding.</x:v>
      </x:c>
      <x:c r="H2657" s="17" t="str">
        <x:v>Pass 2 Stage 2 candidate funnel</x:v>
      </x:c>
      <x:c r="I2657" s="17" t="str">
        <x:v>Graduate audit pipeline</x:v>
      </x:c>
      <x:c r="J2657" s="17" t="str">
        <x:v>derived</x:v>
      </x:c>
      <x:c r="K2657" s="17" t="str">
        <x:v>2026-09-11</x:v>
      </x:c>
      <x:c r="L2657" s="17" t="str">
        <x:v>Not cycle-specific</x:v>
      </x:c>
      <x:c r="M2657" s="17" t="str">
        <x:v>low</x:v>
      </x:c>
      <x:c r="N2657" s="17" t="str">
        <x:v>Discovery evidence only</x:v>
      </x:c>
      <x:c r="O2657" s="17" t="str">
        <x:v>Use the source_record_paths field to trace the underlying discovery inputs.</x:v>
      </x:c>
      <x:c r="P2657" s="18" t="e">
        <x:f>HYPERLINK("https://www.wgu.edu","Open source")</x:f>
        <x:v>HYPERLINK is not implemented. linkLocation=https://www.wgu.edu, friendlyName=Open source</x:v>
      </x:c>
    </x:row>
    <x:row r="2658" ht="46" customHeight="1">
      <x:c r="A2658" s="17" t="str">
        <x:v>stage3src:9db532086868eb7b90b3</x:v>
      </x:c>
      <x:c r="B2658" s="17" t="str">
        <x:v>program</x:v>
      </x:c>
      <x:c r="C2658" s="17" t="str">
        <x:v>Western Governors University</x:v>
      </x:c>
      <x:c r="D2658" s="17" t="str">
        <x:v>us:ipeds:433387:program:unclear:ipeds-discovery-signal-information-technology-cip-11-0103</x:v>
      </x:c>
      <x:c r="E2658" s="17" t="str"/>
      <x:c r="F2658" s="17" t="str">
        <x:v>discovery</x:v>
      </x:c>
      <x:c r="G2658" s="17" t="str">
        <x:v>Stage 2 recorded this row as a discovery candidate; it does not independently verify an exact current research program, eligibility, or funding.</x:v>
      </x:c>
      <x:c r="H2658" s="17" t="str">
        <x:v>Pass 2 Stage 2 candidate funnel</x:v>
      </x:c>
      <x:c r="I2658" s="17" t="str">
        <x:v>Graduate audit pipeline</x:v>
      </x:c>
      <x:c r="J2658" s="17" t="str">
        <x:v>derived</x:v>
      </x:c>
      <x:c r="K2658" s="17" t="str">
        <x:v>2026-09-11</x:v>
      </x:c>
      <x:c r="L2658" s="17" t="str">
        <x:v>Not cycle-specific</x:v>
      </x:c>
      <x:c r="M2658" s="17" t="str">
        <x:v>low</x:v>
      </x:c>
      <x:c r="N2658" s="17" t="str">
        <x:v>Discovery evidence only</x:v>
      </x:c>
      <x:c r="O2658" s="17" t="str">
        <x:v>Use the source_record_paths field to trace the underlying discovery inputs.</x:v>
      </x:c>
      <x:c r="P2658" s="18" t="e">
        <x:f>HYPERLINK("https://www.wgu.edu","Open source")</x:f>
        <x:v>HYPERLINK is not implemented. linkLocation=https://www.wgu.edu, friendlyName=Open source</x:v>
      </x:c>
    </x:row>
    <x:row r="2659" ht="46" customHeight="1">
      <x:c r="A2659" s="17" t="str">
        <x:v>stage3src:57d055abaad436701774</x:v>
      </x:c>
      <x:c r="B2659" s="17" t="str">
        <x:v>program</x:v>
      </x:c>
      <x:c r="C2659" s="17" t="str">
        <x:v>University of Management and Technology</x:v>
      </x:c>
      <x:c r="D2659" s="17" t="str">
        <x:v>us:ipeds:437097:program:unclear:ipeds-discovery-signal-computer-science-cip-11-0701</x:v>
      </x:c>
      <x:c r="E2659" s="17" t="str"/>
      <x:c r="F2659" s="17" t="str">
        <x:v>discovery</x:v>
      </x:c>
      <x:c r="G2659" s="17" t="str">
        <x:v>Stage 2 recorded this row as a discovery candidate; it does not independently verify an exact current research program, eligibility, or funding.</x:v>
      </x:c>
      <x:c r="H2659" s="17" t="str">
        <x:v>Pass 2 Stage 2 candidate funnel</x:v>
      </x:c>
      <x:c r="I2659" s="17" t="str">
        <x:v>Graduate audit pipeline</x:v>
      </x:c>
      <x:c r="J2659" s="17" t="str">
        <x:v>derived</x:v>
      </x:c>
      <x:c r="K2659" s="17" t="str">
        <x:v>2026-09-11</x:v>
      </x:c>
      <x:c r="L2659" s="17" t="str">
        <x:v>Not cycle-specific</x:v>
      </x:c>
      <x:c r="M2659" s="17" t="str">
        <x:v>low</x:v>
      </x:c>
      <x:c r="N2659" s="17" t="str">
        <x:v>Discovery evidence only</x:v>
      </x:c>
      <x:c r="O2659" s="17" t="str">
        <x:v>Use the source_record_paths field to trace the underlying discovery inputs.</x:v>
      </x:c>
      <x:c r="P2659" s="18" t="e">
        <x:f>HYPERLINK("https://www.umtweb.edu","Open source")</x:f>
        <x:v>HYPERLINK is not implemented. linkLocation=https://www.umtweb.edu, friendlyName=Open source</x:v>
      </x:c>
    </x:row>
    <x:row r="2660" ht="46" customHeight="1">
      <x:c r="A2660" s="17" t="str">
        <x:v>stage3src:f7ee57e1bcbda5db9e41</x:v>
      </x:c>
      <x:c r="B2660" s="17" t="str">
        <x:v>program</x:v>
      </x:c>
      <x:c r="C2660" s="17" t="str">
        <x:v>University of Management and Technology</x:v>
      </x:c>
      <x:c r="D2660" s="17" t="str">
        <x:v>us:ipeds:437097:program:unclear:ipeds-discovery-signal-information-technology-cip-11-0103</x:v>
      </x:c>
      <x:c r="E2660" s="17" t="str"/>
      <x:c r="F2660" s="17" t="str">
        <x:v>discovery</x:v>
      </x:c>
      <x:c r="G2660" s="17" t="str">
        <x:v>Stage 2 recorded this row as a discovery candidate; it does not independently verify an exact current research program, eligibility, or funding.</x:v>
      </x:c>
      <x:c r="H2660" s="17" t="str">
        <x:v>Pass 2 Stage 2 candidate funnel</x:v>
      </x:c>
      <x:c r="I2660" s="17" t="str">
        <x:v>Graduate audit pipeline</x:v>
      </x:c>
      <x:c r="J2660" s="17" t="str">
        <x:v>derived</x:v>
      </x:c>
      <x:c r="K2660" s="17" t="str">
        <x:v>2026-09-11</x:v>
      </x:c>
      <x:c r="L2660" s="17" t="str">
        <x:v>Not cycle-specific</x:v>
      </x:c>
      <x:c r="M2660" s="17" t="str">
        <x:v>low</x:v>
      </x:c>
      <x:c r="N2660" s="17" t="str">
        <x:v>Discovery evidence only</x:v>
      </x:c>
      <x:c r="O2660" s="17" t="str">
        <x:v>Use the source_record_paths field to trace the underlying discovery inputs.</x:v>
      </x:c>
      <x:c r="P2660" s="18" t="e">
        <x:f>HYPERLINK("https://www.umtweb.edu","Open source")</x:f>
        <x:v>HYPERLINK is not implemented. linkLocation=https://www.umtweb.edu, friendlyName=Open source</x:v>
      </x:c>
    </x:row>
    <x:row r="2661" ht="46" customHeight="1">
      <x:c r="A2661" s="17" t="str">
        <x:v>stage3src:a2f4509bee8c582d119c</x:v>
      </x:c>
      <x:c r="B2661" s="17" t="str">
        <x:v>program</x:v>
      </x:c>
      <x:c r="C2661" s="17" t="str">
        <x:v>American InterContinental University-Atlanta</x:v>
      </x:c>
      <x:c r="D2661" s="17" t="str">
        <x:v>us:ipeds:438586:program:unclear:ipeds-discovery-signal-information-technology-cip-11-0103</x:v>
      </x:c>
      <x:c r="E2661" s="17" t="str"/>
      <x:c r="F2661" s="17" t="str">
        <x:v>discovery</x:v>
      </x:c>
      <x:c r="G2661" s="17" t="str">
        <x:v>Stage 2 recorded this row as a discovery candidate; it does not independently verify an exact current research program, eligibility, or funding.</x:v>
      </x:c>
      <x:c r="H2661" s="17" t="str">
        <x:v>Pass 2 Stage 2 candidate funnel</x:v>
      </x:c>
      <x:c r="I2661" s="17" t="str">
        <x:v>Graduate audit pipeline</x:v>
      </x:c>
      <x:c r="J2661" s="17" t="str">
        <x:v>derived</x:v>
      </x:c>
      <x:c r="K2661" s="17" t="str">
        <x:v>2026-09-11</x:v>
      </x:c>
      <x:c r="L2661" s="17" t="str">
        <x:v>Not cycle-specific</x:v>
      </x:c>
      <x:c r="M2661" s="17" t="str">
        <x:v>low</x:v>
      </x:c>
      <x:c r="N2661" s="17" t="str">
        <x:v>Discovery evidence only</x:v>
      </x:c>
      <x:c r="O2661" s="17" t="str">
        <x:v>Use the source_record_paths field to trace the underlying discovery inputs.</x:v>
      </x:c>
      <x:c r="P2661" s="18" t="e">
        <x:f>HYPERLINK("https://www.aiuniv.edu/online-campus/campus-locations/atlanta","Open source")</x:f>
        <x:v>HYPERLINK is not implemented. linkLocation=https://www.aiuniv.edu/online-campus/campus-locations/atlanta, friendlyName=Open source</x:v>
      </x:c>
    </x:row>
    <x:row r="2662" ht="46" customHeight="1">
      <x:c r="A2662" s="17" t="str">
        <x:v>stage3src:67f42afb2fff446f077b</x:v>
      </x:c>
      <x:c r="B2662" s="17" t="str">
        <x:v>program</x:v>
      </x:c>
      <x:c r="C2662" s="17" t="str">
        <x:v>California State University-Channel Islands</x:v>
      </x:c>
      <x:c r="D2662" s="17" t="str">
        <x:v>us:ipeds:441937:program:unclear:ipeds-discovery-signal-computer-science-cip-11-0701</x:v>
      </x:c>
      <x:c r="E2662" s="17" t="str"/>
      <x:c r="F2662" s="17" t="str">
        <x:v>discovery</x:v>
      </x:c>
      <x:c r="G2662" s="17" t="str">
        <x:v>Stage 2 recorded this row as a discovery candidate; it does not independently verify an exact current research program, eligibility, or funding.</x:v>
      </x:c>
      <x:c r="H2662" s="17" t="str">
        <x:v>Pass 2 Stage 2 candidate funnel</x:v>
      </x:c>
      <x:c r="I2662" s="17" t="str">
        <x:v>Graduate audit pipeline</x:v>
      </x:c>
      <x:c r="J2662" s="17" t="str">
        <x:v>derived</x:v>
      </x:c>
      <x:c r="K2662" s="17" t="str">
        <x:v>2026-09-11</x:v>
      </x:c>
      <x:c r="L2662" s="17" t="str">
        <x:v>Not cycle-specific</x:v>
      </x:c>
      <x:c r="M2662" s="17" t="str">
        <x:v>low</x:v>
      </x:c>
      <x:c r="N2662" s="17" t="str">
        <x:v>Discovery evidence only</x:v>
      </x:c>
      <x:c r="O2662" s="17" t="str">
        <x:v>Use the source_record_paths field to trace the underlying discovery inputs.</x:v>
      </x:c>
      <x:c r="P2662" s="18" t="e">
        <x:f>HYPERLINK("https://www.csuci.edu","Open source")</x:f>
        <x:v>HYPERLINK is not implemented. linkLocation=https://www.csuci.edu, friendlyName=Open source</x:v>
      </x:c>
    </x:row>
    <x:row r="2663" ht="46" customHeight="1">
      <x:c r="A2663" s="17" t="str">
        <x:v>stage3src:e7a4e191c3bd32200cfc</x:v>
      </x:c>
      <x:c r="B2663" s="17" t="str">
        <x:v>program</x:v>
      </x:c>
      <x:c r="C2663" s="17" t="str">
        <x:v>University of Arkansas Grantham</x:v>
      </x:c>
      <x:c r="D2663" s="17" t="str">
        <x:v>us:ipeds:442569:program:unclear:ipeds-discovery-signal-information-technology-cip-11-0103</x:v>
      </x:c>
      <x:c r="E2663" s="17" t="str"/>
      <x:c r="F2663" s="17" t="str">
        <x:v>discovery</x:v>
      </x:c>
      <x:c r="G2663" s="17" t="str">
        <x:v>Stage 2 recorded this row as a discovery candidate; it does not independently verify an exact current research program, eligibility, or funding.</x:v>
      </x:c>
      <x:c r="H2663" s="17" t="str">
        <x:v>Pass 2 Stage 2 candidate funnel</x:v>
      </x:c>
      <x:c r="I2663" s="17" t="str">
        <x:v>Graduate audit pipeline</x:v>
      </x:c>
      <x:c r="J2663" s="17" t="str">
        <x:v>derived</x:v>
      </x:c>
      <x:c r="K2663" s="17" t="str">
        <x:v>2026-09-11</x:v>
      </x:c>
      <x:c r="L2663" s="17" t="str">
        <x:v>Not cycle-specific</x:v>
      </x:c>
      <x:c r="M2663" s="17" t="str">
        <x:v>low</x:v>
      </x:c>
      <x:c r="N2663" s="17" t="str">
        <x:v>Discovery evidence only</x:v>
      </x:c>
      <x:c r="O2663" s="17" t="str">
        <x:v>Use the source_record_paths field to trace the underlying discovery inputs.</x:v>
      </x:c>
      <x:c r="P2663" s="18" t="e">
        <x:f>HYPERLINK("https://www.uagrantham.edu","Open source")</x:f>
        <x:v>HYPERLINK is not implemented. linkLocation=https://www.uagrantham.edu, friendlyName=Open source</x:v>
      </x:c>
    </x:row>
    <x:row r="2664" ht="46" customHeight="1">
      <x:c r="A2664" s="17" t="str">
        <x:v>stage3src:48405223d61e66796170</x:v>
      </x:c>
      <x:c r="B2664" s="17" t="str">
        <x:v>program</x:v>
      </x:c>
      <x:c r="C2664" s="17" t="str">
        <x:v>Strayer University-Tennessee</x:v>
      </x:c>
      <x:c r="D2664" s="17" t="str">
        <x:v>us:ipeds:443766:program:unclear:ipeds-discovery-signal-computer-and-information-systems-security-auditing-information-assurance-cip-11-1003</x:v>
      </x:c>
      <x:c r="E2664" s="17" t="str"/>
      <x:c r="F2664" s="17" t="str">
        <x:v>discovery</x:v>
      </x:c>
      <x:c r="G2664" s="17" t="str">
        <x:v>Stage 2 recorded this row as a discovery candidate; it does not independently verify an exact current research program, eligibility, or funding.</x:v>
      </x:c>
      <x:c r="H2664" s="17" t="str">
        <x:v>Pass 2 Stage 2 candidate funnel</x:v>
      </x:c>
      <x:c r="I2664" s="17" t="str">
        <x:v>Graduate audit pipeline</x:v>
      </x:c>
      <x:c r="J2664" s="17" t="str">
        <x:v>derived</x:v>
      </x:c>
      <x:c r="K2664" s="17" t="str">
        <x:v>2026-09-11</x:v>
      </x:c>
      <x:c r="L2664" s="17" t="str">
        <x:v>Not cycle-specific</x:v>
      </x:c>
      <x:c r="M2664" s="17" t="str">
        <x:v>low</x:v>
      </x:c>
      <x:c r="N2664" s="17" t="str">
        <x:v>Discovery evidence only</x:v>
      </x:c>
      <x:c r="O2664" s="17" t="str">
        <x:v>Use the source_record_paths field to trace the underlying discovery inputs.</x:v>
      </x:c>
      <x:c r="P2664" s="18" t="e">
        <x:f>HYPERLINK("https://www.strayer.edu/campus-locations/tennessee/thousand-oaks","Open source")</x:f>
        <x:v>HYPERLINK is not implemented. linkLocation=https://www.strayer.edu/campus-locations/tennessee/thousand-oaks, friendlyName=Open source</x:v>
      </x:c>
    </x:row>
    <x:row r="2665" ht="46" customHeight="1">
      <x:c r="A2665" s="17" t="str">
        <x:v>stage3src:8e499d236a9fd013aa02</x:v>
      </x:c>
      <x:c r="B2665" s="17" t="str">
        <x:v>program</x:v>
      </x:c>
      <x:c r="C2665" s="17" t="str">
        <x:v>Strayer University-Tennessee</x:v>
      </x:c>
      <x:c r="D2665" s="17" t="str">
        <x:v>us:ipeds:443766:program:unclear:ipeds-discovery-signal-information-science-studies-cip-11-0401</x:v>
      </x:c>
      <x:c r="E2665" s="17" t="str"/>
      <x:c r="F2665" s="17" t="str">
        <x:v>discovery</x:v>
      </x:c>
      <x:c r="G2665" s="17" t="str">
        <x:v>Stage 2 recorded this row as a discovery candidate; it does not independently verify an exact current research program, eligibility, or funding.</x:v>
      </x:c>
      <x:c r="H2665" s="17" t="str">
        <x:v>Pass 2 Stage 2 candidate funnel</x:v>
      </x:c>
      <x:c r="I2665" s="17" t="str">
        <x:v>Graduate audit pipeline</x:v>
      </x:c>
      <x:c r="J2665" s="17" t="str">
        <x:v>derived</x:v>
      </x:c>
      <x:c r="K2665" s="17" t="str">
        <x:v>2026-09-11</x:v>
      </x:c>
      <x:c r="L2665" s="17" t="str">
        <x:v>Not cycle-specific</x:v>
      </x:c>
      <x:c r="M2665" s="17" t="str">
        <x:v>low</x:v>
      </x:c>
      <x:c r="N2665" s="17" t="str">
        <x:v>Discovery evidence only</x:v>
      </x:c>
      <x:c r="O2665" s="17" t="str">
        <x:v>Use the source_record_paths field to trace the underlying discovery inputs.</x:v>
      </x:c>
      <x:c r="P2665" s="18" t="e">
        <x:f>HYPERLINK("https://www.strayer.edu/campus-locations/tennessee/thousand-oaks","Open source")</x:f>
        <x:v>HYPERLINK is not implemented. linkLocation=https://www.strayer.edu/campus-locations/tennessee/thousand-oaks, friendlyName=Open source</x:v>
      </x:c>
    </x:row>
    <x:row r="2666" ht="46" customHeight="1">
      <x:c r="A2666" s="17" t="str">
        <x:v>stage3src:25176551d52692d939c1</x:v>
      </x:c>
      <x:c r="B2666" s="17" t="str">
        <x:v>program</x:v>
      </x:c>
      <x:c r="C2666" s="17" t="str">
        <x:v>Strayer University-Pennsylvania</x:v>
      </x:c>
      <x:c r="D2666" s="17" t="str">
        <x:v>us:ipeds:443784:program:unclear:ipeds-discovery-signal-information-science-studies-cip-11-0401</x:v>
      </x:c>
      <x:c r="E2666" s="17" t="str"/>
      <x:c r="F2666" s="17" t="str">
        <x:v>discovery</x:v>
      </x:c>
      <x:c r="G2666" s="17" t="str">
        <x:v>Stage 2 recorded this row as a discovery candidate; it does not independently verify an exact current research program, eligibility, or funding.</x:v>
      </x:c>
      <x:c r="H2666" s="17" t="str">
        <x:v>Pass 2 Stage 2 candidate funnel</x:v>
      </x:c>
      <x:c r="I2666" s="17" t="str">
        <x:v>Graduate audit pipeline</x:v>
      </x:c>
      <x:c r="J2666" s="17" t="str">
        <x:v>derived</x:v>
      </x:c>
      <x:c r="K2666" s="17" t="str">
        <x:v>2026-09-11</x:v>
      </x:c>
      <x:c r="L2666" s="17" t="str">
        <x:v>Not cycle-specific</x:v>
      </x:c>
      <x:c r="M2666" s="17" t="str">
        <x:v>low</x:v>
      </x:c>
      <x:c r="N2666" s="17" t="str">
        <x:v>Discovery evidence only</x:v>
      </x:c>
      <x:c r="O2666" s="17" t="str">
        <x:v>Use the source_record_paths field to trace the underlying discovery inputs.</x:v>
      </x:c>
      <x:c r="P2666" s="18" t="e">
        <x:f>HYPERLINK("https://www.strayer.edu/campus-locations/pennsylvania/lower-bucks-county","Open source")</x:f>
        <x:v>HYPERLINK is not implemented. linkLocation=https://www.strayer.edu/campus-locations/pennsylvania/lower-bucks-county, friendlyName=Open source</x:v>
      </x:c>
    </x:row>
    <x:row r="2667" ht="46" customHeight="1">
      <x:c r="A2667" s="17" t="str">
        <x:v>stage3src:126b2ef3d36814b0cc54</x:v>
      </x:c>
      <x:c r="B2667" s="17" t="str">
        <x:v>program</x:v>
      </x:c>
      <x:c r="C2667" s="17" t="str">
        <x:v>Northcentral University</x:v>
      </x:c>
      <x:c r="D2667" s="17" t="str">
        <x:v>us:ipeds:444130:program:unclear:ipeds-discovery-signal-computer-and-information-sciences-general-cip-11-0101</x:v>
      </x:c>
      <x:c r="E2667" s="17" t="str"/>
      <x:c r="F2667" s="17" t="str">
        <x:v>discovery</x:v>
      </x:c>
      <x:c r="G2667" s="17" t="str">
        <x:v>Stage 2 recorded this row as a discovery candidate; it does not independently verify an exact current research program, eligibility, or funding.</x:v>
      </x:c>
      <x:c r="H2667" s="17" t="str">
        <x:v>Pass 2 Stage 2 candidate funnel</x:v>
      </x:c>
      <x:c r="I2667" s="17" t="str">
        <x:v>Graduate audit pipeline</x:v>
      </x:c>
      <x:c r="J2667" s="17" t="str">
        <x:v>derived</x:v>
      </x:c>
      <x:c r="K2667" s="17" t="str">
        <x:v>2026-09-11</x:v>
      </x:c>
      <x:c r="L2667" s="17" t="str">
        <x:v>Not cycle-specific</x:v>
      </x:c>
      <x:c r="M2667" s="17" t="str">
        <x:v>low</x:v>
      </x:c>
      <x:c r="N2667" s="17" t="str">
        <x:v>Discovery evidence only</x:v>
      </x:c>
      <x:c r="O2667" s="17" t="str">
        <x:v>Use the source_record_paths field to trace the underlying discovery inputs.</x:v>
      </x:c>
      <x:c r="P2667" s="18" t="e">
        <x:f>HYPERLINK("https://www.nu.edu","Open source")</x:f>
        <x:v>HYPERLINK is not implemented. linkLocation=https://www.nu.edu, friendlyName=Open source</x:v>
      </x:c>
    </x:row>
    <x:row r="2668" ht="46" customHeight="1">
      <x:c r="A2668" s="17" t="str">
        <x:v>stage3src:b02b5017fa2c2513f1ba</x:v>
      </x:c>
      <x:c r="B2668" s="17" t="str">
        <x:v>program</x:v>
      </x:c>
      <x:c r="C2668" s="17" t="str">
        <x:v>Northcentral University</x:v>
      </x:c>
      <x:c r="D2668" s="17" t="str">
        <x:v>us:ipeds:444130:program:unclear:ipeds-discovery-signal-computer-and-information-systems-security-auditing-information-assurance-cip-11-1003</x:v>
      </x:c>
      <x:c r="E2668" s="17" t="str"/>
      <x:c r="F2668" s="17" t="str">
        <x:v>discovery</x:v>
      </x:c>
      <x:c r="G2668" s="17" t="str">
        <x:v>Stage 2 recorded this row as a discovery candidate; it does not independently verify an exact current research program, eligibility, or funding.</x:v>
      </x:c>
      <x:c r="H2668" s="17" t="str">
        <x:v>Pass 2 Stage 2 candidate funnel</x:v>
      </x:c>
      <x:c r="I2668" s="17" t="str">
        <x:v>Graduate audit pipeline</x:v>
      </x:c>
      <x:c r="J2668" s="17" t="str">
        <x:v>derived</x:v>
      </x:c>
      <x:c r="K2668" s="17" t="str">
        <x:v>2026-09-11</x:v>
      </x:c>
      <x:c r="L2668" s="17" t="str">
        <x:v>Not cycle-specific</x:v>
      </x:c>
      <x:c r="M2668" s="17" t="str">
        <x:v>low</x:v>
      </x:c>
      <x:c r="N2668" s="17" t="str">
        <x:v>Discovery evidence only</x:v>
      </x:c>
      <x:c r="O2668" s="17" t="str">
        <x:v>Use the source_record_paths field to trace the underlying discovery inputs.</x:v>
      </x:c>
      <x:c r="P2668" s="18" t="e">
        <x:f>HYPERLINK("https://www.nu.edu","Open source")</x:f>
        <x:v>HYPERLINK is not implemented. linkLocation=https://www.nu.edu, friendlyName=Open source</x:v>
      </x:c>
    </x:row>
    <x:row r="2669" ht="46" customHeight="1">
      <x:c r="A2669" s="17" t="str">
        <x:v>stage3src:2277ea3f59d6cef7e956</x:v>
      </x:c>
      <x:c r="B2669" s="17" t="str">
        <x:v>program</x:v>
      </x:c>
      <x:c r="C2669" s="17" t="str">
        <x:v>Northcentral University</x:v>
      </x:c>
      <x:c r="D2669" s="17" t="str">
        <x:v>us:ipeds:444130:program:unclear:ipeds-discovery-signal-computer-science-cip-11-0701</x:v>
      </x:c>
      <x:c r="E2669" s="17" t="str"/>
      <x:c r="F2669" s="17" t="str">
        <x:v>discovery</x:v>
      </x:c>
      <x:c r="G2669" s="17" t="str">
        <x:v>Stage 2 recorded this row as a discovery candidate; it does not independently verify an exact current research program, eligibility, or funding.</x:v>
      </x:c>
      <x:c r="H2669" s="17" t="str">
        <x:v>Pass 2 Stage 2 candidate funnel</x:v>
      </x:c>
      <x:c r="I2669" s="17" t="str">
        <x:v>Graduate audit pipeline</x:v>
      </x:c>
      <x:c r="J2669" s="17" t="str">
        <x:v>derived</x:v>
      </x:c>
      <x:c r="K2669" s="17" t="str">
        <x:v>2026-09-11</x:v>
      </x:c>
      <x:c r="L2669" s="17" t="str">
        <x:v>Not cycle-specific</x:v>
      </x:c>
      <x:c r="M2669" s="17" t="str">
        <x:v>low</x:v>
      </x:c>
      <x:c r="N2669" s="17" t="str">
        <x:v>Discovery evidence only</x:v>
      </x:c>
      <x:c r="O2669" s="17" t="str">
        <x:v>Use the source_record_paths field to trace the underlying discovery inputs.</x:v>
      </x:c>
      <x:c r="P2669" s="18" t="e">
        <x:f>HYPERLINK("https://www.nu.edu","Open source")</x:f>
        <x:v>HYPERLINK is not implemented. linkLocation=https://www.nu.edu, friendlyName=Open source</x:v>
      </x:c>
    </x:row>
    <x:row r="2670" ht="46" customHeight="1">
      <x:c r="A2670" s="17" t="str">
        <x:v>stage3src:b94a718790717b0708e4</x:v>
      </x:c>
      <x:c r="B2670" s="17" t="str">
        <x:v>program</x:v>
      </x:c>
      <x:c r="C2670" s="17" t="str">
        <x:v>Northcentral University</x:v>
      </x:c>
      <x:c r="D2670" s="17" t="str">
        <x:v>us:ipeds:444130:program:unclear:ipeds-discovery-signal-information-technology-cip-11-0103</x:v>
      </x:c>
      <x:c r="E2670" s="17" t="str"/>
      <x:c r="F2670" s="17" t="str">
        <x:v>discovery</x:v>
      </x:c>
      <x:c r="G2670" s="17" t="str">
        <x:v>Stage 2 recorded this row as a discovery candidate; it does not independently verify an exact current research program, eligibility, or funding.</x:v>
      </x:c>
      <x:c r="H2670" s="17" t="str">
        <x:v>Pass 2 Stage 2 candidate funnel</x:v>
      </x:c>
      <x:c r="I2670" s="17" t="str">
        <x:v>Graduate audit pipeline</x:v>
      </x:c>
      <x:c r="J2670" s="17" t="str">
        <x:v>derived</x:v>
      </x:c>
      <x:c r="K2670" s="17" t="str">
        <x:v>2026-09-11</x:v>
      </x:c>
      <x:c r="L2670" s="17" t="str">
        <x:v>Not cycle-specific</x:v>
      </x:c>
      <x:c r="M2670" s="17" t="str">
        <x:v>low</x:v>
      </x:c>
      <x:c r="N2670" s="17" t="str">
        <x:v>Discovery evidence only</x:v>
      </x:c>
      <x:c r="O2670" s="17" t="str">
        <x:v>Use the source_record_paths field to trace the underlying discovery inputs.</x:v>
      </x:c>
      <x:c r="P2670" s="18" t="e">
        <x:f>HYPERLINK("https://www.nu.edu","Open source")</x:f>
        <x:v>HYPERLINK is not implemented. linkLocation=https://www.nu.edu, friendlyName=Open source</x:v>
      </x:c>
    </x:row>
    <x:row r="2671" ht="46" customHeight="1">
      <x:c r="A2671" s="17" t="str">
        <x:v>stage3src:e57d6d744a26e66f2d13</x:v>
      </x:c>
      <x:c r="B2671" s="17" t="str">
        <x:v>program</x:v>
      </x:c>
      <x:c r="C2671" s="17" t="str">
        <x:v>American InterContinental University System</x:v>
      </x:c>
      <x:c r="D2671" s="17" t="str">
        <x:v>us:ipeds:445027:program:unclear:ipeds-discovery-signal-information-technology-cip-11-0103</x:v>
      </x:c>
      <x:c r="E2671" s="17" t="str"/>
      <x:c r="F2671" s="17" t="str">
        <x:v>discovery</x:v>
      </x:c>
      <x:c r="G2671" s="17" t="str">
        <x:v>Stage 2 recorded this row as a discovery candidate; it does not independently verify an exact current research program, eligibility, or funding.</x:v>
      </x:c>
      <x:c r="H2671" s="17" t="str">
        <x:v>Pass 2 Stage 2 candidate funnel</x:v>
      </x:c>
      <x:c r="I2671" s="17" t="str">
        <x:v>Graduate audit pipeline</x:v>
      </x:c>
      <x:c r="J2671" s="17" t="str">
        <x:v>derived</x:v>
      </x:c>
      <x:c r="K2671" s="17" t="str">
        <x:v>2026-09-11</x:v>
      </x:c>
      <x:c r="L2671" s="17" t="str">
        <x:v>Not cycle-specific</x:v>
      </x:c>
      <x:c r="M2671" s="17" t="str">
        <x:v>low</x:v>
      </x:c>
      <x:c r="N2671" s="17" t="str">
        <x:v>Discovery evidence only</x:v>
      </x:c>
      <x:c r="O2671" s="17" t="str">
        <x:v>Use the source_record_paths field to trace the underlying discovery inputs.</x:v>
      </x:c>
      <x:c r="P2671" s="18" t="e">
        <x:f>HYPERLINK("https://www.aius.education","Open source")</x:f>
        <x:v>HYPERLINK is not implemented. linkLocation=https://www.aius.education, friendlyName=Open source</x:v>
      </x:c>
    </x:row>
    <x:row r="2672" ht="46" customHeight="1">
      <x:c r="A2672" s="17" t="str">
        <x:v>stage3src:524edad1b139a25bad62</x:v>
      </x:c>
      <x:c r="B2672" s="17" t="str">
        <x:v>program</x:v>
      </x:c>
      <x:c r="C2672" s="17" t="str">
        <x:v>Toyota Technological Institute at Chicago</x:v>
      </x:c>
      <x:c r="D2672" s="17" t="str">
        <x:v>us:ipeds:445054:program:unclear:ipeds-discovery-signal-computer-science-cip-11-0701</x:v>
      </x:c>
      <x:c r="E2672" s="17" t="str"/>
      <x:c r="F2672" s="17" t="str">
        <x:v>discovery</x:v>
      </x:c>
      <x:c r="G2672" s="17" t="str">
        <x:v>Stage 2 recorded this row as a discovery candidate; it does not independently verify an exact current research program, eligibility, or funding.</x:v>
      </x:c>
      <x:c r="H2672" s="17" t="str">
        <x:v>Pass 2 Stage 2 candidate funnel</x:v>
      </x:c>
      <x:c r="I2672" s="17" t="str">
        <x:v>Graduate audit pipeline</x:v>
      </x:c>
      <x:c r="J2672" s="17" t="str">
        <x:v>derived</x:v>
      </x:c>
      <x:c r="K2672" s="17" t="str">
        <x:v>2026-09-11</x:v>
      </x:c>
      <x:c r="L2672" s="17" t="str">
        <x:v>Not cycle-specific</x:v>
      </x:c>
      <x:c r="M2672" s="17" t="str">
        <x:v>low</x:v>
      </x:c>
      <x:c r="N2672" s="17" t="str">
        <x:v>Discovery evidence only</x:v>
      </x:c>
      <x:c r="O2672" s="17" t="str">
        <x:v>Use the source_record_paths field to trace the underlying discovery inputs.</x:v>
      </x:c>
      <x:c r="P2672" s="18" t="e">
        <x:f>HYPERLINK("https://www.ttic.edu","Open source")</x:f>
        <x:v>HYPERLINK is not implemented. linkLocation=https://www.ttic.edu, friendlyName=Open source</x:v>
      </x:c>
    </x:row>
    <x:row r="2673" ht="46" customHeight="1">
      <x:c r="A2673" s="17" t="str">
        <x:v>stage3src:1a3baebe9406a20bb0e0</x:v>
      </x:c>
      <x:c r="B2673" s="17" t="str">
        <x:v>program</x:v>
      </x:c>
      <x:c r="C2673" s="17" t="str">
        <x:v>American InterContinental University-Houston</x:v>
      </x:c>
      <x:c r="D2673" s="17" t="str">
        <x:v>us:ipeds:445133:program:unclear:ipeds-discovery-signal-information-technology-cip-11-0103</x:v>
      </x:c>
      <x:c r="E2673" s="17" t="str"/>
      <x:c r="F2673" s="17" t="str">
        <x:v>discovery</x:v>
      </x:c>
      <x:c r="G2673" s="17" t="str">
        <x:v>Stage 2 recorded this row as a discovery candidate; it does not independently verify an exact current research program, eligibility, or funding.</x:v>
      </x:c>
      <x:c r="H2673" s="17" t="str">
        <x:v>Pass 2 Stage 2 candidate funnel</x:v>
      </x:c>
      <x:c r="I2673" s="17" t="str">
        <x:v>Graduate audit pipeline</x:v>
      </x:c>
      <x:c r="J2673" s="17" t="str">
        <x:v>derived</x:v>
      </x:c>
      <x:c r="K2673" s="17" t="str">
        <x:v>2026-09-11</x:v>
      </x:c>
      <x:c r="L2673" s="17" t="str">
        <x:v>Not cycle-specific</x:v>
      </x:c>
      <x:c r="M2673" s="17" t="str">
        <x:v>low</x:v>
      </x:c>
      <x:c r="N2673" s="17" t="str">
        <x:v>Discovery evidence only</x:v>
      </x:c>
      <x:c r="O2673" s="17" t="str">
        <x:v>Use the source_record_paths field to trace the underlying discovery inputs.</x:v>
      </x:c>
      <x:c r="P2673" s="18" t="e">
        <x:f>HYPERLINK("https://www.aiuniv.edu/online-campus/campus-locations/houston","Open source")</x:f>
        <x:v>HYPERLINK is not implemented. linkLocation=https://www.aiuniv.edu/online-campus/campus-locations/houston, friendlyName=Open source</x:v>
      </x:c>
    </x:row>
    <x:row r="2674" ht="46" customHeight="1">
      <x:c r="A2674" s="17" t="str">
        <x:v>stage3src:241f81eb35cb7192208f</x:v>
      </x:c>
      <x:c r="B2674" s="17" t="str">
        <x:v>program</x:v>
      </x:c>
      <x:c r="C2674" s="17" t="str">
        <x:v>University of California-Merced</x:v>
      </x:c>
      <x:c r="D2674" s="17" t="str">
        <x:v>us:ipeds:445188:program:unclear:ipeds-discovery-signal-computer-software-engineering-cip-14-0903</x:v>
      </x:c>
      <x:c r="E2674" s="17" t="str"/>
      <x:c r="F2674" s="17" t="str">
        <x:v>discovery</x:v>
      </x:c>
      <x:c r="G2674" s="17" t="str">
        <x:v>Stage 2 recorded this row as a discovery candidate; it does not independently verify an exact current research program, eligibility, or funding.</x:v>
      </x:c>
      <x:c r="H2674" s="17" t="str">
        <x:v>Pass 2 Stage 2 candidate funnel</x:v>
      </x:c>
      <x:c r="I2674" s="17" t="str">
        <x:v>Graduate audit pipeline</x:v>
      </x:c>
      <x:c r="J2674" s="17" t="str">
        <x:v>derived</x:v>
      </x:c>
      <x:c r="K2674" s="17" t="str">
        <x:v>2026-09-11</x:v>
      </x:c>
      <x:c r="L2674" s="17" t="str">
        <x:v>Not cycle-specific</x:v>
      </x:c>
      <x:c r="M2674" s="17" t="str">
        <x:v>low</x:v>
      </x:c>
      <x:c r="N2674" s="17" t="str">
        <x:v>Discovery evidence only</x:v>
      </x:c>
      <x:c r="O2674" s="17" t="str">
        <x:v>Use the source_record_paths field to trace the underlying discovery inputs.</x:v>
      </x:c>
      <x:c r="P2674" s="18" t="e">
        <x:f>HYPERLINK("https://ucmerced.edu","Open source")</x:f>
        <x:v>HYPERLINK is not implemented. linkLocation=https://ucmerced.edu, friendlyName=Open source</x:v>
      </x:c>
    </x:row>
    <x:row r="2675" ht="46" customHeight="1">
      <x:c r="A2675" s="17" t="str">
        <x:v>stage3src:2f3fd1469597372c0dec</x:v>
      </x:c>
      <x:c r="B2675" s="17" t="str">
        <x:v>program</x:v>
      </x:c>
      <x:c r="C2675" s="17" t="str">
        <x:v>Harrisburg University of Science and Technology</x:v>
      </x:c>
      <x:c r="D2675" s="17" t="str">
        <x:v>us:ipeds:446640:program:unclear:ipeds-discovery-signal-computer-science-cip-11-0701</x:v>
      </x:c>
      <x:c r="E2675" s="17" t="str"/>
      <x:c r="F2675" s="17" t="str">
        <x:v>discovery</x:v>
      </x:c>
      <x:c r="G2675" s="17" t="str">
        <x:v>Stage 2 recorded this row as a discovery candidate; it does not independently verify an exact current research program, eligibility, or funding.</x:v>
      </x:c>
      <x:c r="H2675" s="17" t="str">
        <x:v>Pass 2 Stage 2 candidate funnel</x:v>
      </x:c>
      <x:c r="I2675" s="17" t="str">
        <x:v>Graduate audit pipeline</x:v>
      </x:c>
      <x:c r="J2675" s="17" t="str">
        <x:v>derived</x:v>
      </x:c>
      <x:c r="K2675" s="17" t="str">
        <x:v>2026-09-11</x:v>
      </x:c>
      <x:c r="L2675" s="17" t="str">
        <x:v>Not cycle-specific</x:v>
      </x:c>
      <x:c r="M2675" s="17" t="str">
        <x:v>low</x:v>
      </x:c>
      <x:c r="N2675" s="17" t="str">
        <x:v>Discovery evidence only</x:v>
      </x:c>
      <x:c r="O2675" s="17" t="str">
        <x:v>Use the source_record_paths field to trace the underlying discovery inputs.</x:v>
      </x:c>
      <x:c r="P2675" s="18" t="e">
        <x:f>HYPERLINK("https://www.harrisburgu.edu","Open source")</x:f>
        <x:v>HYPERLINK is not implemented. linkLocation=https://www.harrisburgu.edu, friendlyName=Open source</x:v>
      </x:c>
    </x:row>
    <x:row r="2676" ht="46" customHeight="1">
      <x:c r="A2676" s="17" t="str">
        <x:v>stage3src:3d06de726a7c47ad693e</x:v>
      </x:c>
      <x:c r="B2676" s="17" t="str">
        <x:v>program</x:v>
      </x:c>
      <x:c r="C2676" s="17" t="str">
        <x:v>Strayer University-Florida</x:v>
      </x:c>
      <x:c r="D2676" s="17" t="str">
        <x:v>us:ipeds:449038:program:unclear:ipeds-discovery-signal-computer-and-information-systems-security-auditing-information-assurance-cip-11-1003</x:v>
      </x:c>
      <x:c r="E2676" s="17" t="str"/>
      <x:c r="F2676" s="17" t="str">
        <x:v>discovery</x:v>
      </x:c>
      <x:c r="G2676" s="17" t="str">
        <x:v>Stage 2 recorded this row as a discovery candidate; it does not independently verify an exact current research program, eligibility, or funding.</x:v>
      </x:c>
      <x:c r="H2676" s="17" t="str">
        <x:v>Pass 2 Stage 2 candidate funnel</x:v>
      </x:c>
      <x:c r="I2676" s="17" t="str">
        <x:v>Graduate audit pipeline</x:v>
      </x:c>
      <x:c r="J2676" s="17" t="str">
        <x:v>derived</x:v>
      </x:c>
      <x:c r="K2676" s="17" t="str">
        <x:v>2026-09-11</x:v>
      </x:c>
      <x:c r="L2676" s="17" t="str">
        <x:v>Not cycle-specific</x:v>
      </x:c>
      <x:c r="M2676" s="17" t="str">
        <x:v>low</x:v>
      </x:c>
      <x:c r="N2676" s="17" t="str">
        <x:v>Discovery evidence only</x:v>
      </x:c>
      <x:c r="O2676" s="17" t="str">
        <x:v>Use the source_record_paths field to trace the underlying discovery inputs.</x:v>
      </x:c>
      <x:c r="P2676" s="18" t="e">
        <x:f>HYPERLINK("https://www.strayer.edu/campus-locations/florida/tampa-east","Open source")</x:f>
        <x:v>HYPERLINK is not implemented. linkLocation=https://www.strayer.edu/campus-locations/florida/tampa-east, friendlyName=Open source</x:v>
      </x:c>
    </x:row>
    <x:row r="2677" ht="46" customHeight="1">
      <x:c r="A2677" s="17" t="str">
        <x:v>stage3src:e1e6e1c3e993b0a6150d</x:v>
      </x:c>
      <x:c r="B2677" s="17" t="str">
        <x:v>program</x:v>
      </x:c>
      <x:c r="C2677" s="17" t="str">
        <x:v>Strayer University-Florida</x:v>
      </x:c>
      <x:c r="D2677" s="17" t="str">
        <x:v>us:ipeds:449038:program:unclear:ipeds-discovery-signal-information-science-studies-cip-11-0401</x:v>
      </x:c>
      <x:c r="E2677" s="17" t="str"/>
      <x:c r="F2677" s="17" t="str">
        <x:v>discovery</x:v>
      </x:c>
      <x:c r="G2677" s="17" t="str">
        <x:v>Stage 2 recorded this row as a discovery candidate; it does not independently verify an exact current research program, eligibility, or funding.</x:v>
      </x:c>
      <x:c r="H2677" s="17" t="str">
        <x:v>Pass 2 Stage 2 candidate funnel</x:v>
      </x:c>
      <x:c r="I2677" s="17" t="str">
        <x:v>Graduate audit pipeline</x:v>
      </x:c>
      <x:c r="J2677" s="17" t="str">
        <x:v>derived</x:v>
      </x:c>
      <x:c r="K2677" s="17" t="str">
        <x:v>2026-09-11</x:v>
      </x:c>
      <x:c r="L2677" s="17" t="str">
        <x:v>Not cycle-specific</x:v>
      </x:c>
      <x:c r="M2677" s="17" t="str">
        <x:v>low</x:v>
      </x:c>
      <x:c r="N2677" s="17" t="str">
        <x:v>Discovery evidence only</x:v>
      </x:c>
      <x:c r="O2677" s="17" t="str">
        <x:v>Use the source_record_paths field to trace the underlying discovery inputs.</x:v>
      </x:c>
      <x:c r="P2677" s="18" t="e">
        <x:f>HYPERLINK("https://www.strayer.edu/campus-locations/florida/tampa-east","Open source")</x:f>
        <x:v>HYPERLINK is not implemented. linkLocation=https://www.strayer.edu/campus-locations/florida/tampa-east, friendlyName=Open source</x:v>
      </x:c>
    </x:row>
    <x:row r="2678" ht="46" customHeight="1">
      <x:c r="A2678" s="17" t="str">
        <x:v>stage3src:2edd88eef36a8165dece</x:v>
      </x:c>
      <x:c r="B2678" s="17" t="str">
        <x:v>program</x:v>
      </x:c>
      <x:c r="C2678" s="17" t="str">
        <x:v>American Public University System</x:v>
      </x:c>
      <x:c r="D2678" s="17" t="str">
        <x:v>us:ipeds:449339:program:unclear:ipeds-discovery-signal-computer-and-information-systems-security-auditing-information-assurance-cip-11-1003</x:v>
      </x:c>
      <x:c r="E2678" s="17" t="str"/>
      <x:c r="F2678" s="17" t="str">
        <x:v>discovery</x:v>
      </x:c>
      <x:c r="G2678" s="17" t="str">
        <x:v>Stage 2 recorded this row as a discovery candidate; it does not independently verify an exact current research program, eligibility, or funding.</x:v>
      </x:c>
      <x:c r="H2678" s="17" t="str">
        <x:v>Pass 2 Stage 2 candidate funnel</x:v>
      </x:c>
      <x:c r="I2678" s="17" t="str">
        <x:v>Graduate audit pipeline</x:v>
      </x:c>
      <x:c r="J2678" s="17" t="str">
        <x:v>derived</x:v>
      </x:c>
      <x:c r="K2678" s="17" t="str">
        <x:v>2026-09-11</x:v>
      </x:c>
      <x:c r="L2678" s="17" t="str">
        <x:v>Not cycle-specific</x:v>
      </x:c>
      <x:c r="M2678" s="17" t="str">
        <x:v>low</x:v>
      </x:c>
      <x:c r="N2678" s="17" t="str">
        <x:v>Discovery evidence only</x:v>
      </x:c>
      <x:c r="O2678" s="17" t="str">
        <x:v>Use the source_record_paths field to trace the underlying discovery inputs.</x:v>
      </x:c>
      <x:c r="P2678" s="18" t="e">
        <x:f>HYPERLINK("https://www.apus.edu","Open source")</x:f>
        <x:v>HYPERLINK is not implemented. linkLocation=https://www.apus.edu, friendlyName=Open source</x:v>
      </x:c>
    </x:row>
    <x:row r="2679" ht="46" customHeight="1">
      <x:c r="A2679" s="17" t="str">
        <x:v>stage3src:a51d421a66b54b772c2d</x:v>
      </x:c>
      <x:c r="B2679" s="17" t="str">
        <x:v>program</x:v>
      </x:c>
      <x:c r="C2679" s="17" t="str">
        <x:v>University of the West</x:v>
      </x:c>
      <x:c r="D2679" s="17" t="str">
        <x:v>us:ipeds:449870:program:unclear:ipeds-discovery-signal-information-science-studies-cip-11-0401</x:v>
      </x:c>
      <x:c r="E2679" s="17" t="str"/>
      <x:c r="F2679" s="17" t="str">
        <x:v>discovery</x:v>
      </x:c>
      <x:c r="G2679" s="17" t="str">
        <x:v>Stage 2 recorded this row as a discovery candidate; it does not independently verify an exact current research program, eligibility, or funding.</x:v>
      </x:c>
      <x:c r="H2679" s="17" t="str">
        <x:v>Pass 2 Stage 2 candidate funnel</x:v>
      </x:c>
      <x:c r="I2679" s="17" t="str">
        <x:v>Graduate audit pipeline</x:v>
      </x:c>
      <x:c r="J2679" s="17" t="str">
        <x:v>derived</x:v>
      </x:c>
      <x:c r="K2679" s="17" t="str">
        <x:v>2026-09-11</x:v>
      </x:c>
      <x:c r="L2679" s="17" t="str">
        <x:v>Not cycle-specific</x:v>
      </x:c>
      <x:c r="M2679" s="17" t="str">
        <x:v>low</x:v>
      </x:c>
      <x:c r="N2679" s="17" t="str">
        <x:v>Discovery evidence only</x:v>
      </x:c>
      <x:c r="O2679" s="17" t="str">
        <x:v>Use the source_record_paths field to trace the underlying discovery inputs.</x:v>
      </x:c>
      <x:c r="P2679" s="18" t="e">
        <x:f>HYPERLINK("https://www.uwest.edu","Open source")</x:f>
        <x:v>HYPERLINK is not implemented. linkLocation=https://www.uwest.edu, friendlyName=Open source</x:v>
      </x:c>
    </x:row>
    <x:row r="2680" ht="46" customHeight="1">
      <x:c r="A2680" s="17" t="str">
        <x:v>stage3src:d9984ab645adfccf1a16</x:v>
      </x:c>
      <x:c r="B2680" s="17" t="str">
        <x:v>program</x:v>
      </x:c>
      <x:c r="C2680" s="17" t="str">
        <x:v>South University-Tampa</x:v>
      </x:c>
      <x:c r="D2680" s="17" t="str">
        <x:v>us:ipeds:449898:program:unclear:ipeds-discovery-signal-information-science-studies-cip-11-0401</x:v>
      </x:c>
      <x:c r="E2680" s="17" t="str"/>
      <x:c r="F2680" s="17" t="str">
        <x:v>discovery</x:v>
      </x:c>
      <x:c r="G2680" s="17" t="str">
        <x:v>Stage 2 recorded this row as a discovery candidate; it does not independently verify an exact current research program, eligibility, or funding.</x:v>
      </x:c>
      <x:c r="H2680" s="17" t="str">
        <x:v>Pass 2 Stage 2 candidate funnel</x:v>
      </x:c>
      <x:c r="I2680" s="17" t="str">
        <x:v>Graduate audit pipeline</x:v>
      </x:c>
      <x:c r="J2680" s="17" t="str">
        <x:v>derived</x:v>
      </x:c>
      <x:c r="K2680" s="17" t="str">
        <x:v>2026-09-11</x:v>
      </x:c>
      <x:c r="L2680" s="17" t="str">
        <x:v>Not cycle-specific</x:v>
      </x:c>
      <x:c r="M2680" s="17" t="str">
        <x:v>low</x:v>
      </x:c>
      <x:c r="N2680" s="17" t="str">
        <x:v>Discovery evidence only</x:v>
      </x:c>
      <x:c r="O2680" s="17" t="str">
        <x:v>Use the source_record_paths field to trace the underlying discovery inputs.</x:v>
      </x:c>
      <x:c r="P2680" s="18" t="e">
        <x:f>HYPERLINK("https://www.southuniversity.edu/tampa#location=Tampa, FL","Open source")</x:f>
        <x:v>HYPERLINK is not implemented. linkLocation=https://www.southuniversity.edu/tampa#location=Tampa, FL, friendlyName=Open source</x:v>
      </x:c>
    </x:row>
    <x:row r="2681" ht="46" customHeight="1">
      <x:c r="A2681" s="17" t="str">
        <x:v>stage3src:a5fab918ccc210f1b48b</x:v>
      </x:c>
      <x:c r="B2681" s="17" t="str">
        <x:v>program</x:v>
      </x:c>
      <x:c r="C2681" s="17" t="str">
        <x:v>Strayer University-Delaware</x:v>
      </x:c>
      <x:c r="D2681" s="17" t="str">
        <x:v>us:ipeds:450298:program:unclear:ipeds-discovery-signal-information-science-studies-cip-11-0401</x:v>
      </x:c>
      <x:c r="E2681" s="17" t="str"/>
      <x:c r="F2681" s="17" t="str">
        <x:v>discovery</x:v>
      </x:c>
      <x:c r="G2681" s="17" t="str">
        <x:v>Stage 2 recorded this row as a discovery candidate; it does not independently verify an exact current research program, eligibility, or funding.</x:v>
      </x:c>
      <x:c r="H2681" s="17" t="str">
        <x:v>Pass 2 Stage 2 candidate funnel</x:v>
      </x:c>
      <x:c r="I2681" s="17" t="str">
        <x:v>Graduate audit pipeline</x:v>
      </x:c>
      <x:c r="J2681" s="17" t="str">
        <x:v>derived</x:v>
      </x:c>
      <x:c r="K2681" s="17" t="str">
        <x:v>2026-09-11</x:v>
      </x:c>
      <x:c r="L2681" s="17" t="str">
        <x:v>Not cycle-specific</x:v>
      </x:c>
      <x:c r="M2681" s="17" t="str">
        <x:v>low</x:v>
      </x:c>
      <x:c r="N2681" s="17" t="str">
        <x:v>Discovery evidence only</x:v>
      </x:c>
      <x:c r="O2681" s="17" t="str">
        <x:v>Use the source_record_paths field to trace the underlying discovery inputs.</x:v>
      </x:c>
      <x:c r="P2681" s="18" t="e">
        <x:f>HYPERLINK("https://www.strayer.edu/campus-locations/delaware/wilmington","Open source")</x:f>
        <x:v>HYPERLINK is not implemented. linkLocation=https://www.strayer.edu/campus-locations/delaware/wilmington, friendlyName=Open source</x:v>
      </x:c>
    </x:row>
    <x:row r="2682" ht="46" customHeight="1">
      <x:c r="A2682" s="17" t="str">
        <x:v>stage3src:552e798e909036780a8f</x:v>
      </x:c>
      <x:c r="B2682" s="17" t="str">
        <x:v>program</x:v>
      </x:c>
      <x:c r="C2682" s="17" t="str">
        <x:v>Strayer University-Alabama</x:v>
      </x:c>
      <x:c r="D2682" s="17" t="str">
        <x:v>us:ipeds:450377:program:unclear:ipeds-discovery-signal-computer-and-information-systems-security-auditing-information-assurance-cip-11-1003</x:v>
      </x:c>
      <x:c r="E2682" s="17" t="str"/>
      <x:c r="F2682" s="17" t="str">
        <x:v>discovery</x:v>
      </x:c>
      <x:c r="G2682" s="17" t="str">
        <x:v>Stage 2 recorded this row as a discovery candidate; it does not independently verify an exact current research program, eligibility, or funding.</x:v>
      </x:c>
      <x:c r="H2682" s="17" t="str">
        <x:v>Pass 2 Stage 2 candidate funnel</x:v>
      </x:c>
      <x:c r="I2682" s="17" t="str">
        <x:v>Graduate audit pipeline</x:v>
      </x:c>
      <x:c r="J2682" s="17" t="str">
        <x:v>derived</x:v>
      </x:c>
      <x:c r="K2682" s="17" t="str">
        <x:v>2026-09-11</x:v>
      </x:c>
      <x:c r="L2682" s="17" t="str">
        <x:v>Not cycle-specific</x:v>
      </x:c>
      <x:c r="M2682" s="17" t="str">
        <x:v>low</x:v>
      </x:c>
      <x:c r="N2682" s="17" t="str">
        <x:v>Discovery evidence only</x:v>
      </x:c>
      <x:c r="O2682" s="17" t="str">
        <x:v>Use the source_record_paths field to trace the underlying discovery inputs.</x:v>
      </x:c>
      <x:c r="P2682" s="18" t="e">
        <x:f>HYPERLINK("https://www.strayer.edu/campus-locations/alabama/birmingham","Open source")</x:f>
        <x:v>HYPERLINK is not implemented. linkLocation=https://www.strayer.edu/campus-locations/alabama/birmingham, friendlyName=Open source</x:v>
      </x:c>
    </x:row>
    <x:row r="2683" ht="46" customHeight="1">
      <x:c r="A2683" s="17" t="str">
        <x:v>stage3src:657d2b8845399bddb8b3</x:v>
      </x:c>
      <x:c r="B2683" s="17" t="str">
        <x:v>program</x:v>
      </x:c>
      <x:c r="C2683" s="17" t="str">
        <x:v>Strayer University-Alabama</x:v>
      </x:c>
      <x:c r="D2683" s="17" t="str">
        <x:v>us:ipeds:450377:program:unclear:ipeds-discovery-signal-information-science-studies-cip-11-0401</x:v>
      </x:c>
      <x:c r="E2683" s="17" t="str"/>
      <x:c r="F2683" s="17" t="str">
        <x:v>discovery</x:v>
      </x:c>
      <x:c r="G2683" s="17" t="str">
        <x:v>Stage 2 recorded this row as a discovery candidate; it does not independently verify an exact current research program, eligibility, or funding.</x:v>
      </x:c>
      <x:c r="H2683" s="17" t="str">
        <x:v>Pass 2 Stage 2 candidate funnel</x:v>
      </x:c>
      <x:c r="I2683" s="17" t="str">
        <x:v>Graduate audit pipeline</x:v>
      </x:c>
      <x:c r="J2683" s="17" t="str">
        <x:v>derived</x:v>
      </x:c>
      <x:c r="K2683" s="17" t="str">
        <x:v>2026-09-11</x:v>
      </x:c>
      <x:c r="L2683" s="17" t="str">
        <x:v>Not cycle-specific</x:v>
      </x:c>
      <x:c r="M2683" s="17" t="str">
        <x:v>low</x:v>
      </x:c>
      <x:c r="N2683" s="17" t="str">
        <x:v>Discovery evidence only</x:v>
      </x:c>
      <x:c r="O2683" s="17" t="str">
        <x:v>Use the source_record_paths field to trace the underlying discovery inputs.</x:v>
      </x:c>
      <x:c r="P2683" s="18" t="e">
        <x:f>HYPERLINK("https://www.strayer.edu/campus-locations/alabama/birmingham","Open source")</x:f>
        <x:v>HYPERLINK is not implemented. linkLocation=https://www.strayer.edu/campus-locations/alabama/birmingham, friendlyName=Open source</x:v>
      </x:c>
    </x:row>
    <x:row r="2684" ht="46" customHeight="1">
      <x:c r="A2684" s="17" t="str">
        <x:v>stage3src:1f0eaaedfe0ba2fb49f7</x:v>
      </x:c>
      <x:c r="B2684" s="17" t="str">
        <x:v>program</x:v>
      </x:c>
      <x:c r="C2684" s="17" t="str">
        <x:v>Columbia Southern University</x:v>
      </x:c>
      <x:c r="D2684" s="17" t="str">
        <x:v>us:ipeds:450933:program:unclear:ipeds-discovery-signal-information-technology-cip-11-0103</x:v>
      </x:c>
      <x:c r="E2684" s="17" t="str"/>
      <x:c r="F2684" s="17" t="str">
        <x:v>discovery</x:v>
      </x:c>
      <x:c r="G2684" s="17" t="str">
        <x:v>Stage 2 recorded this row as a discovery candidate; it does not independently verify an exact current research program, eligibility, or funding.</x:v>
      </x:c>
      <x:c r="H2684" s="17" t="str">
        <x:v>Pass 2 Stage 2 candidate funnel</x:v>
      </x:c>
      <x:c r="I2684" s="17" t="str">
        <x:v>Graduate audit pipeline</x:v>
      </x:c>
      <x:c r="J2684" s="17" t="str">
        <x:v>derived</x:v>
      </x:c>
      <x:c r="K2684" s="17" t="str">
        <x:v>2026-09-11</x:v>
      </x:c>
      <x:c r="L2684" s="17" t="str">
        <x:v>Not cycle-specific</x:v>
      </x:c>
      <x:c r="M2684" s="17" t="str">
        <x:v>low</x:v>
      </x:c>
      <x:c r="N2684" s="17" t="str">
        <x:v>Discovery evidence only</x:v>
      </x:c>
      <x:c r="O2684" s="17" t="str">
        <x:v>Use the source_record_paths field to trace the underlying discovery inputs.</x:v>
      </x:c>
      <x:c r="P2684" s="18" t="e">
        <x:f>HYPERLINK("https://www.columbiasouthern.edu","Open source")</x:f>
        <x:v>HYPERLINK is not implemented. linkLocation=https://www.columbiasouthern.edu, friendlyName=Open source</x:v>
      </x:c>
    </x:row>
    <x:row r="2685" ht="46" customHeight="1">
      <x:c r="A2685" s="17" t="str">
        <x:v>stage3src:90349ab1b06f085dd968</x:v>
      </x:c>
      <x:c r="B2685" s="17" t="str">
        <x:v>program</x:v>
      </x:c>
      <x:c r="C2685" s="17" t="str">
        <x:v>Strayer University-North Carolina</x:v>
      </x:c>
      <x:c r="D2685" s="17" t="str">
        <x:v>us:ipeds:453163:program:unclear:ipeds-discovery-signal-information-science-studies-cip-11-0401</x:v>
      </x:c>
      <x:c r="E2685" s="17" t="str"/>
      <x:c r="F2685" s="17" t="str">
        <x:v>discovery</x:v>
      </x:c>
      <x:c r="G2685" s="17" t="str">
        <x:v>Stage 2 recorded this row as a discovery candidate; it does not independently verify an exact current research program, eligibility, or funding.</x:v>
      </x:c>
      <x:c r="H2685" s="17" t="str">
        <x:v>Pass 2 Stage 2 candidate funnel</x:v>
      </x:c>
      <x:c r="I2685" s="17" t="str">
        <x:v>Graduate audit pipeline</x:v>
      </x:c>
      <x:c r="J2685" s="17" t="str">
        <x:v>derived</x:v>
      </x:c>
      <x:c r="K2685" s="17" t="str">
        <x:v>2026-09-11</x:v>
      </x:c>
      <x:c r="L2685" s="17" t="str">
        <x:v>Not cycle-specific</x:v>
      </x:c>
      <x:c r="M2685" s="17" t="str">
        <x:v>low</x:v>
      </x:c>
      <x:c r="N2685" s="17" t="str">
        <x:v>Discovery evidence only</x:v>
      </x:c>
      <x:c r="O2685" s="17" t="str">
        <x:v>Use the source_record_paths field to trace the underlying discovery inputs.</x:v>
      </x:c>
      <x:c r="P2685" s="18" t="e">
        <x:f>HYPERLINK("https://www.strayer.edu/campus-locations/north-carolina/greensboro","Open source")</x:f>
        <x:v>HYPERLINK is not implemented. linkLocation=https://www.strayer.edu/campus-locations/north-carolina/greensboro, friendlyName=Open source</x:v>
      </x:c>
    </x:row>
    <x:row r="2686" ht="46" customHeight="1">
      <x:c r="A2686" s="17" t="str">
        <x:v>stage3src:56ed2727eb97e3a5df93</x:v>
      </x:c>
      <x:c r="B2686" s="17" t="str">
        <x:v>program</x:v>
      </x:c>
      <x:c r="C2686" s="17" t="str">
        <x:v>Strayer University-New Jersey</x:v>
      </x:c>
      <x:c r="D2686" s="17" t="str">
        <x:v>us:ipeds:453215:program:unclear:ipeds-discovery-signal-information-science-studies-cip-11-0401</x:v>
      </x:c>
      <x:c r="E2686" s="17" t="str"/>
      <x:c r="F2686" s="17" t="str">
        <x:v>discovery</x:v>
      </x:c>
      <x:c r="G2686" s="17" t="str">
        <x:v>Stage 2 recorded this row as a discovery candidate; it does not independently verify an exact current research program, eligibility, or funding.</x:v>
      </x:c>
      <x:c r="H2686" s="17" t="str">
        <x:v>Pass 2 Stage 2 candidate funnel</x:v>
      </x:c>
      <x:c r="I2686" s="17" t="str">
        <x:v>Graduate audit pipeline</x:v>
      </x:c>
      <x:c r="J2686" s="17" t="str">
        <x:v>derived</x:v>
      </x:c>
      <x:c r="K2686" s="17" t="str">
        <x:v>2026-09-11</x:v>
      </x:c>
      <x:c r="L2686" s="17" t="str">
        <x:v>Not cycle-specific</x:v>
      </x:c>
      <x:c r="M2686" s="17" t="str">
        <x:v>low</x:v>
      </x:c>
      <x:c r="N2686" s="17" t="str">
        <x:v>Discovery evidence only</x:v>
      </x:c>
      <x:c r="O2686" s="17" t="str">
        <x:v>Use the source_record_paths field to trace the underlying discovery inputs.</x:v>
      </x:c>
      <x:c r="P2686" s="18" t="e">
        <x:f>HYPERLINK("https://www.strayer.edu/campus-locations/new-jersey/piscataway","Open source")</x:f>
        <x:v>HYPERLINK is not implemented. linkLocation=https://www.strayer.edu/campus-locations/new-jersey/piscataway, friendlyName=Open source</x:v>
      </x:c>
    </x:row>
    <x:row r="2687" ht="46" customHeight="1">
      <x:c r="A2687" s="17" t="str">
        <x:v>stage3src:e0b34867c703b439d97a</x:v>
      </x:c>
      <x:c r="B2687" s="17" t="str">
        <x:v>program</x:v>
      </x:c>
      <x:c r="C2687" s="17" t="str">
        <x:v>Ottawa University-Online</x:v>
      </x:c>
      <x:c r="D2687" s="17" t="str">
        <x:v>us:ipeds:454582:program:unclear:ipeds-discovery-signal-computer-and-information-systems-security-auditing-information-assurance-cip-11-1003</x:v>
      </x:c>
      <x:c r="E2687" s="17" t="str"/>
      <x:c r="F2687" s="17" t="str">
        <x:v>discovery</x:v>
      </x:c>
      <x:c r="G2687" s="17" t="str">
        <x:v>Stage 2 recorded this row as a discovery candidate; it does not independently verify an exact current research program, eligibility, or funding.</x:v>
      </x:c>
      <x:c r="H2687" s="17" t="str">
        <x:v>Pass 2 Stage 2 candidate funnel</x:v>
      </x:c>
      <x:c r="I2687" s="17" t="str">
        <x:v>Graduate audit pipeline</x:v>
      </x:c>
      <x:c r="J2687" s="17" t="str">
        <x:v>derived</x:v>
      </x:c>
      <x:c r="K2687" s="17" t="str">
        <x:v>2026-09-11</x:v>
      </x:c>
      <x:c r="L2687" s="17" t="str">
        <x:v>Not cycle-specific</x:v>
      </x:c>
      <x:c r="M2687" s="17" t="str">
        <x:v>low</x:v>
      </x:c>
      <x:c r="N2687" s="17" t="str">
        <x:v>Discovery evidence only</x:v>
      </x:c>
      <x:c r="O2687" s="17" t="str">
        <x:v>Use the source_record_paths field to trace the underlying discovery inputs.</x:v>
      </x:c>
      <x:c r="P2687" s="18" t="e">
        <x:f>HYPERLINK("https://www.ottawa.edu","Open source")</x:f>
        <x:v>HYPERLINK is not implemented. linkLocation=https://www.ottawa.edu, friendlyName=Open source</x:v>
      </x:c>
    </x:row>
    <x:row r="2688" ht="46" customHeight="1">
      <x:c r="A2688" s="17" t="str">
        <x:v>stage3src:3300d7da0ba1c7eba38b</x:v>
      </x:c>
      <x:c r="B2688" s="17" t="str">
        <x:v>program</x:v>
      </x:c>
      <x:c r="C2688" s="17" t="str">
        <x:v>Ottawa University-Online</x:v>
      </x:c>
      <x:c r="D2688" s="17" t="str">
        <x:v>us:ipeds:454582:program:unclear:ipeds-discovery-signal-information-science-studies-cip-11-0401</x:v>
      </x:c>
      <x:c r="E2688" s="17" t="str"/>
      <x:c r="F2688" s="17" t="str">
        <x:v>discovery</x:v>
      </x:c>
      <x:c r="G2688" s="17" t="str">
        <x:v>Stage 2 recorded this row as a discovery candidate; it does not independently verify an exact current research program, eligibility, or funding.</x:v>
      </x:c>
      <x:c r="H2688" s="17" t="str">
        <x:v>Pass 2 Stage 2 candidate funnel</x:v>
      </x:c>
      <x:c r="I2688" s="17" t="str">
        <x:v>Graduate audit pipeline</x:v>
      </x:c>
      <x:c r="J2688" s="17" t="str">
        <x:v>derived</x:v>
      </x:c>
      <x:c r="K2688" s="17" t="str">
        <x:v>2026-09-11</x:v>
      </x:c>
      <x:c r="L2688" s="17" t="str">
        <x:v>Not cycle-specific</x:v>
      </x:c>
      <x:c r="M2688" s="17" t="str">
        <x:v>low</x:v>
      </x:c>
      <x:c r="N2688" s="17" t="str">
        <x:v>Discovery evidence only</x:v>
      </x:c>
      <x:c r="O2688" s="17" t="str">
        <x:v>Use the source_record_paths field to trace the underlying discovery inputs.</x:v>
      </x:c>
      <x:c r="P2688" s="18" t="e">
        <x:f>HYPERLINK("https://www.ottawa.edu","Open source")</x:f>
        <x:v>HYPERLINK is not implemented. linkLocation=https://www.ottawa.edu, friendlyName=Open source</x:v>
      </x:c>
    </x:row>
    <x:row r="2689" ht="46" customHeight="1">
      <x:c r="A2689" s="17" t="str">
        <x:v>stage3src:a95c136cd9f17bbdcee9</x:v>
      </x:c>
      <x:c r="B2689" s="17" t="str">
        <x:v>program</x:v>
      </x:c>
      <x:c r="C2689" s="17" t="str">
        <x:v>Aspen University</x:v>
      </x:c>
      <x:c r="D2689" s="17" t="str">
        <x:v>us:ipeds:454829:program:unclear:ipeds-discovery-signal-computer-science-cip-11-0701</x:v>
      </x:c>
      <x:c r="E2689" s="17" t="str"/>
      <x:c r="F2689" s="17" t="str">
        <x:v>discovery</x:v>
      </x:c>
      <x:c r="G2689" s="17" t="str">
        <x:v>Stage 2 recorded this row as a discovery candidate; it does not independently verify an exact current research program, eligibility, or funding.</x:v>
      </x:c>
      <x:c r="H2689" s="17" t="str">
        <x:v>Pass 2 Stage 2 candidate funnel</x:v>
      </x:c>
      <x:c r="I2689" s="17" t="str">
        <x:v>Graduate audit pipeline</x:v>
      </x:c>
      <x:c r="J2689" s="17" t="str">
        <x:v>derived</x:v>
      </x:c>
      <x:c r="K2689" s="17" t="str">
        <x:v>2026-09-11</x:v>
      </x:c>
      <x:c r="L2689" s="17" t="str">
        <x:v>Not cycle-specific</x:v>
      </x:c>
      <x:c r="M2689" s="17" t="str">
        <x:v>low</x:v>
      </x:c>
      <x:c r="N2689" s="17" t="str">
        <x:v>Discovery evidence only</x:v>
      </x:c>
      <x:c r="O2689" s="17" t="str">
        <x:v>Use the source_record_paths field to trace the underlying discovery inputs.</x:v>
      </x:c>
      <x:c r="P2689" s="18" t="e">
        <x:f>HYPERLINK("https://aspen.edu","Open source")</x:f>
        <x:v>HYPERLINK is not implemented. linkLocation=https://aspen.edu, friendlyName=Open source</x:v>
      </x:c>
    </x:row>
    <x:row r="2690" ht="46" customHeight="1">
      <x:c r="A2690" s="17" t="str">
        <x:v>stage3src:c026c29c962c132d72d0</x:v>
      </x:c>
      <x:c r="B2690" s="17" t="str">
        <x:v>program</x:v>
      </x:c>
      <x:c r="C2690" s="17" t="str">
        <x:v>Aspen University</x:v>
      </x:c>
      <x:c r="D2690" s="17" t="str">
        <x:v>us:ipeds:454829:program:unclear:ipeds-discovery-signal-information-technology-cip-11-0103</x:v>
      </x:c>
      <x:c r="E2690" s="17" t="str"/>
      <x:c r="F2690" s="17" t="str">
        <x:v>discovery</x:v>
      </x:c>
      <x:c r="G2690" s="17" t="str">
        <x:v>Stage 2 recorded this row as a discovery candidate; it does not independently verify an exact current research program, eligibility, or funding.</x:v>
      </x:c>
      <x:c r="H2690" s="17" t="str">
        <x:v>Pass 2 Stage 2 candidate funnel</x:v>
      </x:c>
      <x:c r="I2690" s="17" t="str">
        <x:v>Graduate audit pipeline</x:v>
      </x:c>
      <x:c r="J2690" s="17" t="str">
        <x:v>derived</x:v>
      </x:c>
      <x:c r="K2690" s="17" t="str">
        <x:v>2026-09-11</x:v>
      </x:c>
      <x:c r="L2690" s="17" t="str">
        <x:v>Not cycle-specific</x:v>
      </x:c>
      <x:c r="M2690" s="17" t="str">
        <x:v>low</x:v>
      </x:c>
      <x:c r="N2690" s="17" t="str">
        <x:v>Discovery evidence only</x:v>
      </x:c>
      <x:c r="O2690" s="17" t="str">
        <x:v>Use the source_record_paths field to trace the underlying discovery inputs.</x:v>
      </x:c>
      <x:c r="P2690" s="18" t="e">
        <x:f>HYPERLINK("https://aspen.edu","Open source")</x:f>
        <x:v>HYPERLINK is not implemented. linkLocation=https://aspen.edu, friendlyName=Open source</x:v>
      </x:c>
    </x:row>
    <x:row r="2691" ht="46" customHeight="1">
      <x:c r="A2691" s="17" t="str">
        <x:v>stage3src:1a3187801fdc659fe09d</x:v>
      </x:c>
      <x:c r="B2691" s="17" t="str">
        <x:v>program</x:v>
      </x:c>
      <x:c r="C2691" s="17" t="str">
        <x:v>Strayer University-West Virginia</x:v>
      </x:c>
      <x:c r="D2691" s="17" t="str">
        <x:v>us:ipeds:456621:program:unclear:ipeds-discovery-signal-computer-and-information-systems-security-auditing-information-assurance-cip-11-1003</x:v>
      </x:c>
      <x:c r="E2691" s="17" t="str"/>
      <x:c r="F2691" s="17" t="str">
        <x:v>discovery</x:v>
      </x:c>
      <x:c r="G2691" s="17" t="str">
        <x:v>Stage 2 recorded this row as a discovery candidate; it does not independently verify an exact current research program, eligibility, or funding.</x:v>
      </x:c>
      <x:c r="H2691" s="17" t="str">
        <x:v>Pass 2 Stage 2 candidate funnel</x:v>
      </x:c>
      <x:c r="I2691" s="17" t="str">
        <x:v>Graduate audit pipeline</x:v>
      </x:c>
      <x:c r="J2691" s="17" t="str">
        <x:v>derived</x:v>
      </x:c>
      <x:c r="K2691" s="17" t="str">
        <x:v>2026-09-11</x:v>
      </x:c>
      <x:c r="L2691" s="17" t="str">
        <x:v>Not cycle-specific</x:v>
      </x:c>
      <x:c r="M2691" s="17" t="str">
        <x:v>low</x:v>
      </x:c>
      <x:c r="N2691" s="17" t="str">
        <x:v>Discovery evidence only</x:v>
      </x:c>
      <x:c r="O2691" s="17" t="str">
        <x:v>Use the source_record_paths field to trace the underlying discovery inputs.</x:v>
      </x:c>
      <x:c r="P2691" s="18" t="e">
        <x:f>HYPERLINK("https://www.strayer.edu/campus-locations/west-virginia/teays-valley","Open source")</x:f>
        <x:v>HYPERLINK is not implemented. linkLocation=https://www.strayer.edu/campus-locations/west-virginia/teays-valley, friendlyName=Open source</x:v>
      </x:c>
    </x:row>
    <x:row r="2692" ht="46" customHeight="1">
      <x:c r="A2692" s="17" t="str">
        <x:v>stage3src:489973838a07c4d9f7ed</x:v>
      </x:c>
      <x:c r="B2692" s="17" t="str">
        <x:v>program</x:v>
      </x:c>
      <x:c r="C2692" s="17" t="str">
        <x:v>Strayer University-West Virginia</x:v>
      </x:c>
      <x:c r="D2692" s="17" t="str">
        <x:v>us:ipeds:456621:program:unclear:ipeds-discovery-signal-information-science-studies-cip-11-0401</x:v>
      </x:c>
      <x:c r="E2692" s="17" t="str"/>
      <x:c r="F2692" s="17" t="str">
        <x:v>discovery</x:v>
      </x:c>
      <x:c r="G2692" s="17" t="str">
        <x:v>Stage 2 recorded this row as a discovery candidate; it does not independently verify an exact current research program, eligibility, or funding.</x:v>
      </x:c>
      <x:c r="H2692" s="17" t="str">
        <x:v>Pass 2 Stage 2 candidate funnel</x:v>
      </x:c>
      <x:c r="I2692" s="17" t="str">
        <x:v>Graduate audit pipeline</x:v>
      </x:c>
      <x:c r="J2692" s="17" t="str">
        <x:v>derived</x:v>
      </x:c>
      <x:c r="K2692" s="17" t="str">
        <x:v>2026-09-11</x:v>
      </x:c>
      <x:c r="L2692" s="17" t="str">
        <x:v>Not cycle-specific</x:v>
      </x:c>
      <x:c r="M2692" s="17" t="str">
        <x:v>low</x:v>
      </x:c>
      <x:c r="N2692" s="17" t="str">
        <x:v>Discovery evidence only</x:v>
      </x:c>
      <x:c r="O2692" s="17" t="str">
        <x:v>Use the source_record_paths field to trace the underlying discovery inputs.</x:v>
      </x:c>
      <x:c r="P2692" s="18" t="e">
        <x:f>HYPERLINK("https://www.strayer.edu/campus-locations/west-virginia/teays-valley","Open source")</x:f>
        <x:v>HYPERLINK is not implemented. linkLocation=https://www.strayer.edu/campus-locations/west-virginia/teays-valley, friendlyName=Open source</x:v>
      </x:c>
    </x:row>
    <x:row r="2693" ht="46" customHeight="1">
      <x:c r="A2693" s="17" t="str">
        <x:v>stage3src:2565ca5e5dd0fa64b6f6</x:v>
      </x:c>
      <x:c r="B2693" s="17" t="str">
        <x:v>program</x:v>
      </x:c>
      <x:c r="C2693" s="17" t="str">
        <x:v>Strayer University-Georgia</x:v>
      </x:c>
      <x:c r="D2693" s="17" t="str">
        <x:v>us:ipeds:458919:program:unclear:ipeds-discovery-signal-computer-and-information-systems-security-auditing-information-assurance-cip-11-1003</x:v>
      </x:c>
      <x:c r="E2693" s="17" t="str"/>
      <x:c r="F2693" s="17" t="str">
        <x:v>discovery</x:v>
      </x:c>
      <x:c r="G2693" s="17" t="str">
        <x:v>Stage 2 recorded this row as a discovery candidate; it does not independently verify an exact current research program, eligibility, or funding.</x:v>
      </x:c>
      <x:c r="H2693" s="17" t="str">
        <x:v>Pass 2 Stage 2 candidate funnel</x:v>
      </x:c>
      <x:c r="I2693" s="17" t="str">
        <x:v>Graduate audit pipeline</x:v>
      </x:c>
      <x:c r="J2693" s="17" t="str">
        <x:v>derived</x:v>
      </x:c>
      <x:c r="K2693" s="17" t="str">
        <x:v>2026-09-11</x:v>
      </x:c>
      <x:c r="L2693" s="17" t="str">
        <x:v>Not cycle-specific</x:v>
      </x:c>
      <x:c r="M2693" s="17" t="str">
        <x:v>low</x:v>
      </x:c>
      <x:c r="N2693" s="17" t="str">
        <x:v>Discovery evidence only</x:v>
      </x:c>
      <x:c r="O2693" s="17" t="str">
        <x:v>Use the source_record_paths field to trace the underlying discovery inputs.</x:v>
      </x:c>
      <x:c r="P2693" s="18" t="e">
        <x:f>HYPERLINK("https://www.strayer.edu/campus-locations/georgia/chamblee","Open source")</x:f>
        <x:v>HYPERLINK is not implemented. linkLocation=https://www.strayer.edu/campus-locations/georgia/chamblee, friendlyName=Open source</x:v>
      </x:c>
    </x:row>
    <x:row r="2694" ht="46" customHeight="1">
      <x:c r="A2694" s="17" t="str">
        <x:v>stage3src:dcc0fc528c9f84091994</x:v>
      </x:c>
      <x:c r="B2694" s="17" t="str">
        <x:v>program</x:v>
      </x:c>
      <x:c r="C2694" s="17" t="str">
        <x:v>Strayer University-Georgia</x:v>
      </x:c>
      <x:c r="D2694" s="17" t="str">
        <x:v>us:ipeds:458919:program:unclear:ipeds-discovery-signal-information-science-studies-cip-11-0401</x:v>
      </x:c>
      <x:c r="E2694" s="17" t="str"/>
      <x:c r="F2694" s="17" t="str">
        <x:v>discovery</x:v>
      </x:c>
      <x:c r="G2694" s="17" t="str">
        <x:v>Stage 2 recorded this row as a discovery candidate; it does not independently verify an exact current research program, eligibility, or funding.</x:v>
      </x:c>
      <x:c r="H2694" s="17" t="str">
        <x:v>Pass 2 Stage 2 candidate funnel</x:v>
      </x:c>
      <x:c r="I2694" s="17" t="str">
        <x:v>Graduate audit pipeline</x:v>
      </x:c>
      <x:c r="J2694" s="17" t="str">
        <x:v>derived</x:v>
      </x:c>
      <x:c r="K2694" s="17" t="str">
        <x:v>2026-09-11</x:v>
      </x:c>
      <x:c r="L2694" s="17" t="str">
        <x:v>Not cycle-specific</x:v>
      </x:c>
      <x:c r="M2694" s="17" t="str">
        <x:v>low</x:v>
      </x:c>
      <x:c r="N2694" s="17" t="str">
        <x:v>Discovery evidence only</x:v>
      </x:c>
      <x:c r="O2694" s="17" t="str">
        <x:v>Use the source_record_paths field to trace the underlying discovery inputs.</x:v>
      </x:c>
      <x:c r="P2694" s="18" t="e">
        <x:f>HYPERLINK("https://www.strayer.edu/campus-locations/georgia/chamblee","Open source")</x:f>
        <x:v>HYPERLINK is not implemented. linkLocation=https://www.strayer.edu/campus-locations/georgia/chamblee, friendlyName=Open source</x:v>
      </x:c>
    </x:row>
    <x:row r="2695" ht="46" customHeight="1">
      <x:c r="A2695" s="17" t="str">
        <x:v>stage3src:388f2b38904b257cc859</x:v>
      </x:c>
      <x:c r="B2695" s="17" t="str">
        <x:v>program</x:v>
      </x:c>
      <x:c r="C2695" s="17" t="str">
        <x:v>Strayer University-Mississippi</x:v>
      </x:c>
      <x:c r="D2695" s="17" t="str">
        <x:v>us:ipeds:458955:program:unclear:ipeds-discovery-signal-information-science-studies-cip-11-0401</x:v>
      </x:c>
      <x:c r="E2695" s="17" t="str"/>
      <x:c r="F2695" s="17" t="str">
        <x:v>discovery</x:v>
      </x:c>
      <x:c r="G2695" s="17" t="str">
        <x:v>Stage 2 recorded this row as a discovery candidate; it does not independently verify an exact current research program, eligibility, or funding.</x:v>
      </x:c>
      <x:c r="H2695" s="17" t="str">
        <x:v>Pass 2 Stage 2 candidate funnel</x:v>
      </x:c>
      <x:c r="I2695" s="17" t="str">
        <x:v>Graduate audit pipeline</x:v>
      </x:c>
      <x:c r="J2695" s="17" t="str">
        <x:v>derived</x:v>
      </x:c>
      <x:c r="K2695" s="17" t="str">
        <x:v>2026-09-11</x:v>
      </x:c>
      <x:c r="L2695" s="17" t="str">
        <x:v>Not cycle-specific</x:v>
      </x:c>
      <x:c r="M2695" s="17" t="str">
        <x:v>low</x:v>
      </x:c>
      <x:c r="N2695" s="17" t="str">
        <x:v>Discovery evidence only</x:v>
      </x:c>
      <x:c r="O2695" s="17" t="str">
        <x:v>Use the source_record_paths field to trace the underlying discovery inputs.</x:v>
      </x:c>
      <x:c r="P2695" s="18" t="e">
        <x:f>HYPERLINK("https://www.strayer.edu/campus-locations/mississippi/jackson","Open source")</x:f>
        <x:v>HYPERLINK is not implemented. linkLocation=https://www.strayer.edu/campus-locations/mississippi/jackson, friendlyName=Open source</x:v>
      </x:c>
    </x:row>
    <x:row r="2696" ht="46" customHeight="1">
      <x:c r="A2696" s="17" t="str">
        <x:v>stage3src:39ec973b0f0bbc7248ed</x:v>
      </x:c>
      <x:c r="B2696" s="17" t="str">
        <x:v>program</x:v>
      </x:c>
      <x:c r="C2696" s="17" t="str">
        <x:v>Strayer University-South Carolina</x:v>
      </x:c>
      <x:c r="D2696" s="17" t="str">
        <x:v>us:ipeds:458964:program:unclear:ipeds-discovery-signal-computer-and-information-systems-security-auditing-information-assurance-cip-11-1003</x:v>
      </x:c>
      <x:c r="E2696" s="17" t="str"/>
      <x:c r="F2696" s="17" t="str">
        <x:v>discovery</x:v>
      </x:c>
      <x:c r="G2696" s="17" t="str">
        <x:v>Stage 2 recorded this row as a discovery candidate; it does not independently verify an exact current research program, eligibility, or funding.</x:v>
      </x:c>
      <x:c r="H2696" s="17" t="str">
        <x:v>Pass 2 Stage 2 candidate funnel</x:v>
      </x:c>
      <x:c r="I2696" s="17" t="str">
        <x:v>Graduate audit pipeline</x:v>
      </x:c>
      <x:c r="J2696" s="17" t="str">
        <x:v>derived</x:v>
      </x:c>
      <x:c r="K2696" s="17" t="str">
        <x:v>2026-09-11</x:v>
      </x:c>
      <x:c r="L2696" s="17" t="str">
        <x:v>Not cycle-specific</x:v>
      </x:c>
      <x:c r="M2696" s="17" t="str">
        <x:v>low</x:v>
      </x:c>
      <x:c r="N2696" s="17" t="str">
        <x:v>Discovery evidence only</x:v>
      </x:c>
      <x:c r="O2696" s="17" t="str">
        <x:v>Use the source_record_paths field to trace the underlying discovery inputs.</x:v>
      </x:c>
      <x:c r="P2696" s="18" t="e">
        <x:f>HYPERLINK("https://www.strayer.edu/campus-locations/south-carolina/greenville","Open source")</x:f>
        <x:v>HYPERLINK is not implemented. linkLocation=https://www.strayer.edu/campus-locations/south-carolina/greenville, friendlyName=Open source</x:v>
      </x:c>
    </x:row>
    <x:row r="2697" ht="46" customHeight="1">
      <x:c r="A2697" s="17" t="str">
        <x:v>stage3src:cfe183111c52c9d0ee8a</x:v>
      </x:c>
      <x:c r="B2697" s="17" t="str">
        <x:v>program</x:v>
      </x:c>
      <x:c r="C2697" s="17" t="str">
        <x:v>Strayer University-South Carolina</x:v>
      </x:c>
      <x:c r="D2697" s="17" t="str">
        <x:v>us:ipeds:458964:program:unclear:ipeds-discovery-signal-information-science-studies-cip-11-0401</x:v>
      </x:c>
      <x:c r="E2697" s="17" t="str"/>
      <x:c r="F2697" s="17" t="str">
        <x:v>discovery</x:v>
      </x:c>
      <x:c r="G2697" s="17" t="str">
        <x:v>Stage 2 recorded this row as a discovery candidate; it does not independently verify an exact current research program, eligibility, or funding.</x:v>
      </x:c>
      <x:c r="H2697" s="17" t="str">
        <x:v>Pass 2 Stage 2 candidate funnel</x:v>
      </x:c>
      <x:c r="I2697" s="17" t="str">
        <x:v>Graduate audit pipeline</x:v>
      </x:c>
      <x:c r="J2697" s="17" t="str">
        <x:v>derived</x:v>
      </x:c>
      <x:c r="K2697" s="17" t="str">
        <x:v>2026-09-11</x:v>
      </x:c>
      <x:c r="L2697" s="17" t="str">
        <x:v>Not cycle-specific</x:v>
      </x:c>
      <x:c r="M2697" s="17" t="str">
        <x:v>low</x:v>
      </x:c>
      <x:c r="N2697" s="17" t="str">
        <x:v>Discovery evidence only</x:v>
      </x:c>
      <x:c r="O2697" s="17" t="str">
        <x:v>Use the source_record_paths field to trace the underlying discovery inputs.</x:v>
      </x:c>
      <x:c r="P2697" s="18" t="e">
        <x:f>HYPERLINK("https://www.strayer.edu/campus-locations/south-carolina/greenville","Open source")</x:f>
        <x:v>HYPERLINK is not implemented. linkLocation=https://www.strayer.edu/campus-locations/south-carolina/greenville, friendlyName=Open source</x:v>
      </x:c>
    </x:row>
    <x:row r="2698" ht="46" customHeight="1">
      <x:c r="A2698" s="17" t="str">
        <x:v>stage3src:91db909ff4421c53bc27</x:v>
      </x:c>
      <x:c r="B2698" s="17" t="str">
        <x:v>program</x:v>
      </x:c>
      <x:c r="C2698" s="17" t="str">
        <x:v>Strayer University-Texas</x:v>
      </x:c>
      <x:c r="D2698" s="17" t="str">
        <x:v>us:ipeds:458973:program:unclear:ipeds-discovery-signal-computer-and-information-systems-security-auditing-information-assurance-cip-11-1003</x:v>
      </x:c>
      <x:c r="E2698" s="17" t="str"/>
      <x:c r="F2698" s="17" t="str">
        <x:v>discovery</x:v>
      </x:c>
      <x:c r="G2698" s="17" t="str">
        <x:v>Stage 2 recorded this row as a discovery candidate; it does not independently verify an exact current research program, eligibility, or funding.</x:v>
      </x:c>
      <x:c r="H2698" s="17" t="str">
        <x:v>Pass 2 Stage 2 candidate funnel</x:v>
      </x:c>
      <x:c r="I2698" s="17" t="str">
        <x:v>Graduate audit pipeline</x:v>
      </x:c>
      <x:c r="J2698" s="17" t="str">
        <x:v>derived</x:v>
      </x:c>
      <x:c r="K2698" s="17" t="str">
        <x:v>2026-09-11</x:v>
      </x:c>
      <x:c r="L2698" s="17" t="str">
        <x:v>Not cycle-specific</x:v>
      </x:c>
      <x:c r="M2698" s="17" t="str">
        <x:v>low</x:v>
      </x:c>
      <x:c r="N2698" s="17" t="str">
        <x:v>Discovery evidence only</x:v>
      </x:c>
      <x:c r="O2698" s="17" t="str">
        <x:v>Use the source_record_paths field to trace the underlying discovery inputs.</x:v>
      </x:c>
      <x:c r="P2698" s="18" t="e">
        <x:f>HYPERLINK("https://www.strayer.edu/campus-locations","Open source")</x:f>
        <x:v>HYPERLINK is not implemented. linkLocation=https://www.strayer.edu/campus-locations, friendlyName=Open source</x:v>
      </x:c>
    </x:row>
    <x:row r="2699" ht="46" customHeight="1">
      <x:c r="A2699" s="17" t="str">
        <x:v>stage3src:4622c960380f9d2b0b2c</x:v>
      </x:c>
      <x:c r="B2699" s="17" t="str">
        <x:v>program</x:v>
      </x:c>
      <x:c r="C2699" s="17" t="str">
        <x:v>Strayer University-Texas</x:v>
      </x:c>
      <x:c r="D2699" s="17" t="str">
        <x:v>us:ipeds:458973:program:unclear:ipeds-discovery-signal-information-science-studies-cip-11-0401</x:v>
      </x:c>
      <x:c r="E2699" s="17" t="str"/>
      <x:c r="F2699" s="17" t="str">
        <x:v>discovery</x:v>
      </x:c>
      <x:c r="G2699" s="17" t="str">
        <x:v>Stage 2 recorded this row as a discovery candidate; it does not independently verify an exact current research program, eligibility, or funding.</x:v>
      </x:c>
      <x:c r="H2699" s="17" t="str">
        <x:v>Pass 2 Stage 2 candidate funnel</x:v>
      </x:c>
      <x:c r="I2699" s="17" t="str">
        <x:v>Graduate audit pipeline</x:v>
      </x:c>
      <x:c r="J2699" s="17" t="str">
        <x:v>derived</x:v>
      </x:c>
      <x:c r="K2699" s="17" t="str">
        <x:v>2026-09-11</x:v>
      </x:c>
      <x:c r="L2699" s="17" t="str">
        <x:v>Not cycle-specific</x:v>
      </x:c>
      <x:c r="M2699" s="17" t="str">
        <x:v>low</x:v>
      </x:c>
      <x:c r="N2699" s="17" t="str">
        <x:v>Discovery evidence only</x:v>
      </x:c>
      <x:c r="O2699" s="17" t="str">
        <x:v>Use the source_record_paths field to trace the underlying discovery inputs.</x:v>
      </x:c>
      <x:c r="P2699" s="18" t="e">
        <x:f>HYPERLINK("https://www.strayer.edu/campus-locations","Open source")</x:f>
        <x:v>HYPERLINK is not implemented. linkLocation=https://www.strayer.edu/campus-locations, friendlyName=Open source</x:v>
      </x:c>
    </x:row>
    <x:row r="2700" ht="46" customHeight="1">
      <x:c r="A2700" s="17" t="str">
        <x:v>stage3src:f1db73d95bfda98a2f7a</x:v>
      </x:c>
      <x:c r="B2700" s="17" t="str">
        <x:v>program</x:v>
      </x:c>
      <x:c r="C2700" s="17" t="str">
        <x:v>South University-Richmond</x:v>
      </x:c>
      <x:c r="D2700" s="17" t="str">
        <x:v>us:ipeds:459259:program:unclear:ipeds-discovery-signal-information-science-studies-cip-11-0401</x:v>
      </x:c>
      <x:c r="E2700" s="17" t="str"/>
      <x:c r="F2700" s="17" t="str">
        <x:v>discovery</x:v>
      </x:c>
      <x:c r="G2700" s="17" t="str">
        <x:v>Stage 2 recorded this row as a discovery candidate; it does not independently verify an exact current research program, eligibility, or funding.</x:v>
      </x:c>
      <x:c r="H2700" s="17" t="str">
        <x:v>Pass 2 Stage 2 candidate funnel</x:v>
      </x:c>
      <x:c r="I2700" s="17" t="str">
        <x:v>Graduate audit pipeline</x:v>
      </x:c>
      <x:c r="J2700" s="17" t="str">
        <x:v>derived</x:v>
      </x:c>
      <x:c r="K2700" s="17" t="str">
        <x:v>2026-09-11</x:v>
      </x:c>
      <x:c r="L2700" s="17" t="str">
        <x:v>Not cycle-specific</x:v>
      </x:c>
      <x:c r="M2700" s="17" t="str">
        <x:v>low</x:v>
      </x:c>
      <x:c r="N2700" s="17" t="str">
        <x:v>Discovery evidence only</x:v>
      </x:c>
      <x:c r="O2700" s="17" t="str">
        <x:v>Use the source_record_paths field to trace the underlying discovery inputs.</x:v>
      </x:c>
      <x:c r="P2700" s="18" t="e">
        <x:f>HYPERLINK("https://www.southuniversity.edu/richmond#location=Richmond, VA","Open source")</x:f>
        <x:v>HYPERLINK is not implemented. linkLocation=https://www.southuniversity.edu/richmond#location=Richmond, VA, friendlyName=Open source</x:v>
      </x:c>
    </x:row>
    <x:row r="2701" ht="46" customHeight="1">
      <x:c r="A2701" s="17" t="str">
        <x:v>stage3src:031393783dd0501cfb5f</x:v>
      </x:c>
      <x:c r="B2701" s="17" t="str">
        <x:v>program</x:v>
      </x:c>
      <x:c r="C2701" s="17" t="str">
        <x:v>South University-Virginia Beach</x:v>
      </x:c>
      <x:c r="D2701" s="17" t="str">
        <x:v>us:ipeds:459268:program:unclear:ipeds-discovery-signal-information-science-studies-cip-11-0401</x:v>
      </x:c>
      <x:c r="E2701" s="17" t="str"/>
      <x:c r="F2701" s="17" t="str">
        <x:v>discovery</x:v>
      </x:c>
      <x:c r="G2701" s="17" t="str">
        <x:v>Stage 2 recorded this row as a discovery candidate; it does not independently verify an exact current research program, eligibility, or funding.</x:v>
      </x:c>
      <x:c r="H2701" s="17" t="str">
        <x:v>Pass 2 Stage 2 candidate funnel</x:v>
      </x:c>
      <x:c r="I2701" s="17" t="str">
        <x:v>Graduate audit pipeline</x:v>
      </x:c>
      <x:c r="J2701" s="17" t="str">
        <x:v>derived</x:v>
      </x:c>
      <x:c r="K2701" s="17" t="str">
        <x:v>2026-09-11</x:v>
      </x:c>
      <x:c r="L2701" s="17" t="str">
        <x:v>Not cycle-specific</x:v>
      </x:c>
      <x:c r="M2701" s="17" t="str">
        <x:v>low</x:v>
      </x:c>
      <x:c r="N2701" s="17" t="str">
        <x:v>Discovery evidence only</x:v>
      </x:c>
      <x:c r="O2701" s="17" t="str">
        <x:v>Use the source_record_paths field to trace the underlying discovery inputs.</x:v>
      </x:c>
      <x:c r="P2701" s="18" t="e">
        <x:f>HYPERLINK("https://www.southuniversity.edu/virginia-beach#location=Virginia Beach, VA","Open source")</x:f>
        <x:v>HYPERLINK is not implemented. linkLocation=https://www.southuniversity.edu/virginia-beach#location=Virginia Beach, VA, friendlyName=Open source</x:v>
      </x:c>
    </x:row>
    <x:row r="2702" ht="46" customHeight="1">
      <x:c r="A2702" s="17" t="str">
        <x:v>stage3src:7e46c845c556de7eec4f</x:v>
      </x:c>
      <x:c r="B2702" s="17" t="str">
        <x:v>program</x:v>
      </x:c>
      <x:c r="C2702" s="17" t="str">
        <x:v>Texas A&amp;M University-San Antonio</x:v>
      </x:c>
      <x:c r="D2702" s="17" t="str">
        <x:v>us:ipeds:459949:program:unclear:ipeds-discovery-signal-computer-science-cip-11-0701</x:v>
      </x:c>
      <x:c r="E2702" s="17" t="str"/>
      <x:c r="F2702" s="17" t="str">
        <x:v>discovery</x:v>
      </x:c>
      <x:c r="G2702" s="17" t="str">
        <x:v>Stage 2 recorded this row as a discovery candidate; it does not independently verify an exact current research program, eligibility, or funding.</x:v>
      </x:c>
      <x:c r="H2702" s="17" t="str">
        <x:v>Pass 2 Stage 2 candidate funnel</x:v>
      </x:c>
      <x:c r="I2702" s="17" t="str">
        <x:v>Graduate audit pipeline</x:v>
      </x:c>
      <x:c r="J2702" s="17" t="str">
        <x:v>derived</x:v>
      </x:c>
      <x:c r="K2702" s="17" t="str">
        <x:v>2026-09-11</x:v>
      </x:c>
      <x:c r="L2702" s="17" t="str">
        <x:v>Not cycle-specific</x:v>
      </x:c>
      <x:c r="M2702" s="17" t="str">
        <x:v>low</x:v>
      </x:c>
      <x:c r="N2702" s="17" t="str">
        <x:v>Discovery evidence only</x:v>
      </x:c>
      <x:c r="O2702" s="17" t="str">
        <x:v>Use the source_record_paths field to trace the underlying discovery inputs.</x:v>
      </x:c>
      <x:c r="P2702" s="18" t="e">
        <x:f>HYPERLINK("https://www.tamusa.edu","Open source")</x:f>
        <x:v>HYPERLINK is not implemented. linkLocation=https://www.tamusa.edu, friendlyName=Open source</x:v>
      </x:c>
    </x:row>
    <x:row r="2703" ht="46" customHeight="1">
      <x:c r="A2703" s="17" t="str">
        <x:v>stage3src:b8b6a265de9b3fd69aa6</x:v>
      </x:c>
      <x:c r="B2703" s="17" t="str">
        <x:v>program</x:v>
      </x:c>
      <x:c r="C2703" s="17" t="str">
        <x:v>Strayer University-Global Region</x:v>
      </x:c>
      <x:c r="D2703" s="17" t="str">
        <x:v>us:ipeds:459994:program:unclear:ipeds-discovery-signal-computer-and-information-systems-security-auditing-information-assurance-cip-11-1003</x:v>
      </x:c>
      <x:c r="E2703" s="17" t="str"/>
      <x:c r="F2703" s="17" t="str">
        <x:v>discovery</x:v>
      </x:c>
      <x:c r="G2703" s="17" t="str">
        <x:v>Stage 2 recorded this row as a discovery candidate; it does not independently verify an exact current research program, eligibility, or funding.</x:v>
      </x:c>
      <x:c r="H2703" s="17" t="str">
        <x:v>Pass 2 Stage 2 candidate funnel</x:v>
      </x:c>
      <x:c r="I2703" s="17" t="str">
        <x:v>Graduate audit pipeline</x:v>
      </x:c>
      <x:c r="J2703" s="17" t="str">
        <x:v>derived</x:v>
      </x:c>
      <x:c r="K2703" s="17" t="str">
        <x:v>2026-09-11</x:v>
      </x:c>
      <x:c r="L2703" s="17" t="str">
        <x:v>Not cycle-specific</x:v>
      </x:c>
      <x:c r="M2703" s="17" t="str">
        <x:v>low</x:v>
      </x:c>
      <x:c r="N2703" s="17" t="str">
        <x:v>Discovery evidence only</x:v>
      </x:c>
      <x:c r="O2703" s="17" t="str">
        <x:v>Use the source_record_paths field to trace the underlying discovery inputs.</x:v>
      </x:c>
      <x:c r="P2703" s="18" t="e">
        <x:f>HYPERLINK("https://www.strayer.edu","Open source")</x:f>
        <x:v>HYPERLINK is not implemented. linkLocation=https://www.strayer.edu, friendlyName=Open source</x:v>
      </x:c>
    </x:row>
    <x:row r="2704" ht="46" customHeight="1">
      <x:c r="A2704" s="17" t="str">
        <x:v>stage3src:9c25518a13663dfb4506</x:v>
      </x:c>
      <x:c r="B2704" s="17" t="str">
        <x:v>program</x:v>
      </x:c>
      <x:c r="C2704" s="17" t="str">
        <x:v>Strayer University-Global Region</x:v>
      </x:c>
      <x:c r="D2704" s="17" t="str">
        <x:v>us:ipeds:459994:program:unclear:ipeds-discovery-signal-information-science-studies-cip-11-0401</x:v>
      </x:c>
      <x:c r="E2704" s="17" t="str"/>
      <x:c r="F2704" s="17" t="str">
        <x:v>discovery</x:v>
      </x:c>
      <x:c r="G2704" s="17" t="str">
        <x:v>Stage 2 recorded this row as a discovery candidate; it does not independently verify an exact current research program, eligibility, or funding.</x:v>
      </x:c>
      <x:c r="H2704" s="17" t="str">
        <x:v>Pass 2 Stage 2 candidate funnel</x:v>
      </x:c>
      <x:c r="I2704" s="17" t="str">
        <x:v>Graduate audit pipeline</x:v>
      </x:c>
      <x:c r="J2704" s="17" t="str">
        <x:v>derived</x:v>
      </x:c>
      <x:c r="K2704" s="17" t="str">
        <x:v>2026-09-11</x:v>
      </x:c>
      <x:c r="L2704" s="17" t="str">
        <x:v>Not cycle-specific</x:v>
      </x:c>
      <x:c r="M2704" s="17" t="str">
        <x:v>low</x:v>
      </x:c>
      <x:c r="N2704" s="17" t="str">
        <x:v>Discovery evidence only</x:v>
      </x:c>
      <x:c r="O2704" s="17" t="str">
        <x:v>Use the source_record_paths field to trace the underlying discovery inputs.</x:v>
      </x:c>
      <x:c r="P2704" s="18" t="e">
        <x:f>HYPERLINK("https://www.strayer.edu","Open source")</x:f>
        <x:v>HYPERLINK is not implemented. linkLocation=https://www.strayer.edu, friendlyName=Open source</x:v>
      </x:c>
    </x:row>
    <x:row r="2705" ht="46" customHeight="1">
      <x:c r="A2705" s="17" t="str">
        <x:v>stage3src:177e9764b072ee34861a</x:v>
      </x:c>
      <x:c r="B2705" s="17" t="str">
        <x:v>program</x:v>
      </x:c>
      <x:c r="C2705" s="17" t="str">
        <x:v>North American University</x:v>
      </x:c>
      <x:c r="D2705" s="17" t="str">
        <x:v>us:ipeds:461795:program:unclear:ipeds-discovery-signal-computer-science-cip-11-0701</x:v>
      </x:c>
      <x:c r="E2705" s="17" t="str"/>
      <x:c r="F2705" s="17" t="str">
        <x:v>discovery</x:v>
      </x:c>
      <x:c r="G2705" s="17" t="str">
        <x:v>Stage 2 recorded this row as a discovery candidate; it does not independently verify an exact current research program, eligibility, or funding.</x:v>
      </x:c>
      <x:c r="H2705" s="17" t="str">
        <x:v>Pass 2 Stage 2 candidate funnel</x:v>
      </x:c>
      <x:c r="I2705" s="17" t="str">
        <x:v>Graduate audit pipeline</x:v>
      </x:c>
      <x:c r="J2705" s="17" t="str">
        <x:v>derived</x:v>
      </x:c>
      <x:c r="K2705" s="17" t="str">
        <x:v>2026-09-11</x:v>
      </x:c>
      <x:c r="L2705" s="17" t="str">
        <x:v>Not cycle-specific</x:v>
      </x:c>
      <x:c r="M2705" s="17" t="str">
        <x:v>low</x:v>
      </x:c>
      <x:c r="N2705" s="17" t="str">
        <x:v>Discovery evidence only</x:v>
      </x:c>
      <x:c r="O2705" s="17" t="str">
        <x:v>Use the source_record_paths field to trace the underlying discovery inputs.</x:v>
      </x:c>
      <x:c r="P2705" s="18" t="e">
        <x:f>HYPERLINK("https://www.na.edu","Open source")</x:f>
        <x:v>HYPERLINK is not implemented. linkLocation=https://www.na.edu, friendlyName=Open source</x:v>
      </x:c>
    </x:row>
    <x:row r="2706" ht="46" customHeight="1">
      <x:c r="A2706" s="17" t="str">
        <x:v>stage3src:aac112c8fdbdb6f0ce5f</x:v>
      </x:c>
      <x:c r="B2706" s="17" t="str">
        <x:v>program</x:v>
      </x:c>
      <x:c r="C2706" s="17" t="str">
        <x:v>Ottawa University-Surprise</x:v>
      </x:c>
      <x:c r="D2706" s="17" t="str">
        <x:v>us:ipeds:464226:program:unclear:ipeds-discovery-signal-information-science-studies-cip-11-0401</x:v>
      </x:c>
      <x:c r="E2706" s="17" t="str"/>
      <x:c r="F2706" s="17" t="str">
        <x:v>discovery</x:v>
      </x:c>
      <x:c r="G2706" s="17" t="str">
        <x:v>Stage 2 recorded this row as a discovery candidate; it does not independently verify an exact current research program, eligibility, or funding.</x:v>
      </x:c>
      <x:c r="H2706" s="17" t="str">
        <x:v>Pass 2 Stage 2 candidate funnel</x:v>
      </x:c>
      <x:c r="I2706" s="17" t="str">
        <x:v>Graduate audit pipeline</x:v>
      </x:c>
      <x:c r="J2706" s="17" t="str">
        <x:v>derived</x:v>
      </x:c>
      <x:c r="K2706" s="17" t="str">
        <x:v>2026-09-11</x:v>
      </x:c>
      <x:c r="L2706" s="17" t="str">
        <x:v>Not cycle-specific</x:v>
      </x:c>
      <x:c r="M2706" s="17" t="str">
        <x:v>low</x:v>
      </x:c>
      <x:c r="N2706" s="17" t="str">
        <x:v>Discovery evidence only</x:v>
      </x:c>
      <x:c r="O2706" s="17" t="str">
        <x:v>Use the source_record_paths field to trace the underlying discovery inputs.</x:v>
      </x:c>
      <x:c r="P2706" s="18" t="e">
        <x:f>HYPERLINK("https://www.ottawa.edu/ouaz/home","Open source")</x:f>
        <x:v>HYPERLINK is not implemented. linkLocation=https://www.ottawa.edu/ouaz/home, friendlyName=Open source</x:v>
      </x:c>
    </x:row>
    <x:row r="2707" ht="46" customHeight="1">
      <x:c r="A2707" s="17" t="str">
        <x:v>stage3src:4635c7c14481e881f9d6</x:v>
      </x:c>
      <x:c r="B2707" s="17" t="str">
        <x:v>program</x:v>
      </x:c>
      <x:c r="C2707" s="17" t="str">
        <x:v>South University-Savannah Online</x:v>
      </x:c>
      <x:c r="D2707" s="17" t="str">
        <x:v>us:ipeds:475121:program:unclear:ipeds-discovery-signal-information-science-studies-cip-11-0401</x:v>
      </x:c>
      <x:c r="E2707" s="17" t="str"/>
      <x:c r="F2707" s="17" t="str">
        <x:v>discovery</x:v>
      </x:c>
      <x:c r="G2707" s="17" t="str">
        <x:v>Stage 2 recorded this row as a discovery candidate; it does not independently verify an exact current research program, eligibility, or funding.</x:v>
      </x:c>
      <x:c r="H2707" s="17" t="str">
        <x:v>Pass 2 Stage 2 candidate funnel</x:v>
      </x:c>
      <x:c r="I2707" s="17" t="str">
        <x:v>Graduate audit pipeline</x:v>
      </x:c>
      <x:c r="J2707" s="17" t="str">
        <x:v>derived</x:v>
      </x:c>
      <x:c r="K2707" s="17" t="str">
        <x:v>2026-09-11</x:v>
      </x:c>
      <x:c r="L2707" s="17" t="str">
        <x:v>Not cycle-specific</x:v>
      </x:c>
      <x:c r="M2707" s="17" t="str">
        <x:v>low</x:v>
      </x:c>
      <x:c r="N2707" s="17" t="str">
        <x:v>Discovery evidence only</x:v>
      </x:c>
      <x:c r="O2707" s="17" t="str">
        <x:v>Use the source_record_paths field to trace the underlying discovery inputs.</x:v>
      </x:c>
      <x:c r="P2707" s="18" t="e">
        <x:f>HYPERLINK("https://www.southuniversity.edu/online#location=Online Programs","Open source")</x:f>
        <x:v>HYPERLINK is not implemented. linkLocation=https://www.southuniversity.edu/online#location=Online Programs, friendlyName=Open source</x:v>
      </x:c>
    </x:row>
    <x:row r="2708" ht="46" customHeight="1">
      <x:c r="A2708" s="17" t="str">
        <x:v>stage3src:40253855e8b3742f0519</x:v>
      </x:c>
      <x:c r="B2708" s="17" t="str">
        <x:v>program</x:v>
      </x:c>
      <x:c r="C2708" s="17" t="str">
        <x:v>Colorado State University Global</x:v>
      </x:c>
      <x:c r="D2708" s="17" t="str">
        <x:v>us:ipeds:476975:program:unclear:ipeds-discovery-signal-information-technology-cip-11-0103</x:v>
      </x:c>
      <x:c r="E2708" s="17" t="str"/>
      <x:c r="F2708" s="17" t="str">
        <x:v>discovery</x:v>
      </x:c>
      <x:c r="G2708" s="17" t="str">
        <x:v>Stage 2 recorded this row as a discovery candidate; it does not independently verify an exact current research program, eligibility, or funding.</x:v>
      </x:c>
      <x:c r="H2708" s="17" t="str">
        <x:v>Pass 2 Stage 2 candidate funnel</x:v>
      </x:c>
      <x:c r="I2708" s="17" t="str">
        <x:v>Graduate audit pipeline</x:v>
      </x:c>
      <x:c r="J2708" s="17" t="str">
        <x:v>derived</x:v>
      </x:c>
      <x:c r="K2708" s="17" t="str">
        <x:v>2026-09-11</x:v>
      </x:c>
      <x:c r="L2708" s="17" t="str">
        <x:v>Not cycle-specific</x:v>
      </x:c>
      <x:c r="M2708" s="17" t="str">
        <x:v>low</x:v>
      </x:c>
      <x:c r="N2708" s="17" t="str">
        <x:v>Discovery evidence only</x:v>
      </x:c>
      <x:c r="O2708" s="17" t="str">
        <x:v>Use the source_record_paths field to trace the underlying discovery inputs.</x:v>
      </x:c>
      <x:c r="P2708" s="18" t="e">
        <x:f>HYPERLINK("https://csuglobal.edu","Open source")</x:f>
        <x:v>HYPERLINK is not implemented. linkLocation=https://csuglobal.edu, friendlyName=Open source</x:v>
      </x:c>
    </x:row>
    <x:row r="2709" ht="46" customHeight="1">
      <x:c r="A2709" s="17" t="str">
        <x:v>stage3src:7e0c81fd88fc551fdb44</x:v>
      </x:c>
      <x:c r="B2709" s="17" t="str">
        <x:v>program</x:v>
      </x:c>
      <x:c r="C2709" s="17" t="str">
        <x:v>Pennsylvania State University-World Campus</x:v>
      </x:c>
      <x:c r="D2709" s="17" t="str">
        <x:v>us:ipeds:479956:program:unclear:ipeds-discovery-signal-artificial-intelligence-cip-11-0102</x:v>
      </x:c>
      <x:c r="E2709" s="17" t="str"/>
      <x:c r="F2709" s="17" t="str">
        <x:v>discovery</x:v>
      </x:c>
      <x:c r="G2709" s="17" t="str">
        <x:v>Stage 2 recorded this row as a discovery candidate; it does not independently verify an exact current research program, eligibility, or funding.</x:v>
      </x:c>
      <x:c r="H2709" s="17" t="str">
        <x:v>Pass 2 Stage 2 candidate funnel</x:v>
      </x:c>
      <x:c r="I2709" s="17" t="str">
        <x:v>Graduate audit pipeline</x:v>
      </x:c>
      <x:c r="J2709" s="17" t="str">
        <x:v>derived</x:v>
      </x:c>
      <x:c r="K2709" s="17" t="str">
        <x:v>2026-09-11</x:v>
      </x:c>
      <x:c r="L2709" s="17" t="str">
        <x:v>Not cycle-specific</x:v>
      </x:c>
      <x:c r="M2709" s="17" t="str">
        <x:v>low</x:v>
      </x:c>
      <x:c r="N2709" s="17" t="str">
        <x:v>Discovery evidence only</x:v>
      </x:c>
      <x:c r="O2709" s="17" t="str">
        <x:v>Use the source_record_paths field to trace the underlying discovery inputs.</x:v>
      </x:c>
      <x:c r="P2709" s="18" t="e">
        <x:f>HYPERLINK("https://www.worldcampus.psu.edu","Open source")</x:f>
        <x:v>HYPERLINK is not implemented. linkLocation=https://www.worldcampus.psu.edu, friendlyName=Open source</x:v>
      </x:c>
    </x:row>
    <x:row r="2710" ht="46" customHeight="1">
      <x:c r="A2710" s="17" t="str">
        <x:v>stage3src:059038e6a560f2cc11a8</x:v>
      </x:c>
      <x:c r="B2710" s="17" t="str">
        <x:v>program</x:v>
      </x:c>
      <x:c r="C2710" s="17" t="str">
        <x:v>Pennsylvania State University-World Campus</x:v>
      </x:c>
      <x:c r="D2710" s="17" t="str">
        <x:v>us:ipeds:479956:program:unclear:ipeds-discovery-signal-computer-and-information-systems-security-auditing-information-assurance-cip-11-1003</x:v>
      </x:c>
      <x:c r="E2710" s="17" t="str"/>
      <x:c r="F2710" s="17" t="str">
        <x:v>discovery</x:v>
      </x:c>
      <x:c r="G2710" s="17" t="str">
        <x:v>Stage 2 recorded this row as a discovery candidate; it does not independently verify an exact current research program, eligibility, or funding.</x:v>
      </x:c>
      <x:c r="H2710" s="17" t="str">
        <x:v>Pass 2 Stage 2 candidate funnel</x:v>
      </x:c>
      <x:c r="I2710" s="17" t="str">
        <x:v>Graduate audit pipeline</x:v>
      </x:c>
      <x:c r="J2710" s="17" t="str">
        <x:v>derived</x:v>
      </x:c>
      <x:c r="K2710" s="17" t="str">
        <x:v>2026-09-11</x:v>
      </x:c>
      <x:c r="L2710" s="17" t="str">
        <x:v>Not cycle-specific</x:v>
      </x:c>
      <x:c r="M2710" s="17" t="str">
        <x:v>low</x:v>
      </x:c>
      <x:c r="N2710" s="17" t="str">
        <x:v>Discovery evidence only</x:v>
      </x:c>
      <x:c r="O2710" s="17" t="str">
        <x:v>Use the source_record_paths field to trace the underlying discovery inputs.</x:v>
      </x:c>
      <x:c r="P2710" s="18" t="e">
        <x:f>HYPERLINK("https://www.worldcampus.psu.edu","Open source")</x:f>
        <x:v>HYPERLINK is not implemented. linkLocation=https://www.worldcampus.psu.edu, friendlyName=Open source</x:v>
      </x:c>
    </x:row>
    <x:row r="2711" ht="46" customHeight="1">
      <x:c r="A2711" s="17" t="str">
        <x:v>stage3src:10ba4ebedc8ac642f66a</x:v>
      </x:c>
      <x:c r="B2711" s="17" t="str">
        <x:v>program</x:v>
      </x:c>
      <x:c r="C2711" s="17" t="str">
        <x:v>Pennsylvania State University-World Campus</x:v>
      </x:c>
      <x:c r="D2711" s="17" t="str">
        <x:v>us:ipeds:479956:program:unclear:ipeds-discovery-signal-computer-engineering-general-cip-14-0901</x:v>
      </x:c>
      <x:c r="E2711" s="17" t="str"/>
      <x:c r="F2711" s="17" t="str">
        <x:v>discovery</x:v>
      </x:c>
      <x:c r="G2711" s="17" t="str">
        <x:v>Stage 2 recorded this row as a discovery candidate; it does not independently verify an exact current research program, eligibility, or funding.</x:v>
      </x:c>
      <x:c r="H2711" s="17" t="str">
        <x:v>Pass 2 Stage 2 candidate funnel</x:v>
      </x:c>
      <x:c r="I2711" s="17" t="str">
        <x:v>Graduate audit pipeline</x:v>
      </x:c>
      <x:c r="J2711" s="17" t="str">
        <x:v>derived</x:v>
      </x:c>
      <x:c r="K2711" s="17" t="str">
        <x:v>2026-09-11</x:v>
      </x:c>
      <x:c r="L2711" s="17" t="str">
        <x:v>Not cycle-specific</x:v>
      </x:c>
      <x:c r="M2711" s="17" t="str">
        <x:v>low</x:v>
      </x:c>
      <x:c r="N2711" s="17" t="str">
        <x:v>Discovery evidence only</x:v>
      </x:c>
      <x:c r="O2711" s="17" t="str">
        <x:v>Use the source_record_paths field to trace the underlying discovery inputs.</x:v>
      </x:c>
      <x:c r="P2711" s="18" t="e">
        <x:f>HYPERLINK("https://www.worldcampus.psu.edu","Open source")</x:f>
        <x:v>HYPERLINK is not implemented. linkLocation=https://www.worldcampus.psu.edu, friendlyName=Open source</x:v>
      </x:c>
    </x:row>
    <x:row r="2712" ht="46" customHeight="1">
      <x:c r="A2712" s="17" t="str">
        <x:v>stage3src:88d1e1e786e4e4d0a35e</x:v>
      </x:c>
      <x:c r="B2712" s="17" t="str">
        <x:v>program</x:v>
      </x:c>
      <x:c r="C2712" s="17" t="str">
        <x:v>Pennsylvania State University-World Campus</x:v>
      </x:c>
      <x:c r="D2712" s="17" t="str">
        <x:v>us:ipeds:479956:program:unclear:ipeds-discovery-signal-electrical-and-electronics-engineering-cip-14-1001</x:v>
      </x:c>
      <x:c r="E2712" s="17" t="str"/>
      <x:c r="F2712" s="17" t="str">
        <x:v>discovery</x:v>
      </x:c>
      <x:c r="G2712" s="17" t="str">
        <x:v>Stage 2 recorded this row as a discovery candidate; it does not independently verify an exact current research program, eligibility, or funding.</x:v>
      </x:c>
      <x:c r="H2712" s="17" t="str">
        <x:v>Pass 2 Stage 2 candidate funnel</x:v>
      </x:c>
      <x:c r="I2712" s="17" t="str">
        <x:v>Graduate audit pipeline</x:v>
      </x:c>
      <x:c r="J2712" s="17" t="str">
        <x:v>derived</x:v>
      </x:c>
      <x:c r="K2712" s="17" t="str">
        <x:v>2026-09-11</x:v>
      </x:c>
      <x:c r="L2712" s="17" t="str">
        <x:v>Not cycle-specific</x:v>
      </x:c>
      <x:c r="M2712" s="17" t="str">
        <x:v>low</x:v>
      </x:c>
      <x:c r="N2712" s="17" t="str">
        <x:v>Discovery evidence only</x:v>
      </x:c>
      <x:c r="O2712" s="17" t="str">
        <x:v>Use the source_record_paths field to trace the underlying discovery inputs.</x:v>
      </x:c>
      <x:c r="P2712" s="18" t="e">
        <x:f>HYPERLINK("https://www.worldcampus.psu.edu","Open source")</x:f>
        <x:v>HYPERLINK is not implemented. linkLocation=https://www.worldcampus.psu.edu, friendlyName=Open source</x:v>
      </x:c>
    </x:row>
    <x:row r="2713" ht="46" customHeight="1">
      <x:c r="A2713" s="17" t="str">
        <x:v>stage3src:43e7f918ac2f89f5f371</x:v>
      </x:c>
      <x:c r="B2713" s="17" t="str">
        <x:v>program</x:v>
      </x:c>
      <x:c r="C2713" s="17" t="str">
        <x:v>Pennsylvania State University-World Campus</x:v>
      </x:c>
      <x:c r="D2713" s="17" t="str">
        <x:v>us:ipeds:479956:program:unclear:ipeds-discovery-signal-informatics-cip-11-0104</x:v>
      </x:c>
      <x:c r="E2713" s="17" t="str"/>
      <x:c r="F2713" s="17" t="str">
        <x:v>discovery</x:v>
      </x:c>
      <x:c r="G2713" s="17" t="str">
        <x:v>Stage 2 recorded this row as a discovery candidate; it does not independently verify an exact current research program, eligibility, or funding.</x:v>
      </x:c>
      <x:c r="H2713" s="17" t="str">
        <x:v>Pass 2 Stage 2 candidate funnel</x:v>
      </x:c>
      <x:c r="I2713" s="17" t="str">
        <x:v>Graduate audit pipeline</x:v>
      </x:c>
      <x:c r="J2713" s="17" t="str">
        <x:v>derived</x:v>
      </x:c>
      <x:c r="K2713" s="17" t="str">
        <x:v>2026-09-11</x:v>
      </x:c>
      <x:c r="L2713" s="17" t="str">
        <x:v>Not cycle-specific</x:v>
      </x:c>
      <x:c r="M2713" s="17" t="str">
        <x:v>low</x:v>
      </x:c>
      <x:c r="N2713" s="17" t="str">
        <x:v>Discovery evidence only</x:v>
      </x:c>
      <x:c r="O2713" s="17" t="str">
        <x:v>Use the source_record_paths field to trace the underlying discovery inputs.</x:v>
      </x:c>
      <x:c r="P2713" s="18" t="e">
        <x:f>HYPERLINK("https://www.worldcampus.psu.edu","Open source")</x:f>
        <x:v>HYPERLINK is not implemented. linkLocation=https://www.worldcampus.psu.edu, friendlyName=Open source</x:v>
      </x:c>
    </x:row>
    <x:row r="2714" ht="46" customHeight="1">
      <x:c r="A2714" s="17" t="str">
        <x:v>stage3src:48b0531b29b3677923b2</x:v>
      </x:c>
      <x:c r="B2714" s="17" t="str">
        <x:v>program</x:v>
      </x:c>
      <x:c r="C2714" s="17" t="str">
        <x:v>Pennsylvania State University-World Campus</x:v>
      </x:c>
      <x:c r="D2714" s="17" t="str">
        <x:v>us:ipeds:479956:program:unclear:ipeds-discovery-signal-information-science-studies-cip-11-0401</x:v>
      </x:c>
      <x:c r="E2714" s="17" t="str"/>
      <x:c r="F2714" s="17" t="str">
        <x:v>discovery</x:v>
      </x:c>
      <x:c r="G2714" s="17" t="str">
        <x:v>Stage 2 recorded this row as a discovery candidate; it does not independently verify an exact current research program, eligibility, or funding.</x:v>
      </x:c>
      <x:c r="H2714" s="17" t="str">
        <x:v>Pass 2 Stage 2 candidate funnel</x:v>
      </x:c>
      <x:c r="I2714" s="17" t="str">
        <x:v>Graduate audit pipeline</x:v>
      </x:c>
      <x:c r="J2714" s="17" t="str">
        <x:v>derived</x:v>
      </x:c>
      <x:c r="K2714" s="17" t="str">
        <x:v>2026-09-11</x:v>
      </x:c>
      <x:c r="L2714" s="17" t="str">
        <x:v>Not cycle-specific</x:v>
      </x:c>
      <x:c r="M2714" s="17" t="str">
        <x:v>low</x:v>
      </x:c>
      <x:c r="N2714" s="17" t="str">
        <x:v>Discovery evidence only</x:v>
      </x:c>
      <x:c r="O2714" s="17" t="str">
        <x:v>Use the source_record_paths field to trace the underlying discovery inputs.</x:v>
      </x:c>
      <x:c r="P2714" s="18" t="e">
        <x:f>HYPERLINK("https://www.worldcampus.psu.edu","Open source")</x:f>
        <x:v>HYPERLINK is not implemented. linkLocation=https://www.worldcampus.psu.edu, friendlyName=Open source</x:v>
      </x:c>
    </x:row>
    <x:row r="2715" ht="46" customHeight="1">
      <x:c r="A2715" s="17" t="str">
        <x:v>stage3src:e1763e14a7bb1a9065ed</x:v>
      </x:c>
      <x:c r="B2715" s="17" t="str">
        <x:v>program</x:v>
      </x:c>
      <x:c r="C2715" s="17" t="str">
        <x:v>South University-Austin</x:v>
      </x:c>
      <x:c r="D2715" s="17" t="str">
        <x:v>us:ipeds:480073:program:unclear:ipeds-discovery-signal-information-science-studies-cip-11-0401</x:v>
      </x:c>
      <x:c r="E2715" s="17" t="str"/>
      <x:c r="F2715" s="17" t="str">
        <x:v>discovery</x:v>
      </x:c>
      <x:c r="G2715" s="17" t="str">
        <x:v>Stage 2 recorded this row as a discovery candidate; it does not independently verify an exact current research program, eligibility, or funding.</x:v>
      </x:c>
      <x:c r="H2715" s="17" t="str">
        <x:v>Pass 2 Stage 2 candidate funnel</x:v>
      </x:c>
      <x:c r="I2715" s="17" t="str">
        <x:v>Graduate audit pipeline</x:v>
      </x:c>
      <x:c r="J2715" s="17" t="str">
        <x:v>derived</x:v>
      </x:c>
      <x:c r="K2715" s="17" t="str">
        <x:v>2026-09-11</x:v>
      </x:c>
      <x:c r="L2715" s="17" t="str">
        <x:v>Not cycle-specific</x:v>
      </x:c>
      <x:c r="M2715" s="17" t="str">
        <x:v>low</x:v>
      </x:c>
      <x:c r="N2715" s="17" t="str">
        <x:v>Discovery evidence only</x:v>
      </x:c>
      <x:c r="O2715" s="17" t="str">
        <x:v>Use the source_record_paths field to trace the underlying discovery inputs.</x:v>
      </x:c>
      <x:c r="P2715" s="18" t="e">
        <x:f>HYPERLINK("https://www.southuniversity.edu/austin#location=Austin, TX","Open source")</x:f>
        <x:v>HYPERLINK is not implemented. linkLocation=https://www.southuniversity.edu/austin#location=Austin, TX, friendlyName=Open source</x:v>
      </x:c>
    </x:row>
    <x:row r="2716" ht="46" customHeight="1">
      <x:c r="A2716" s="17" t="str">
        <x:v>stage3src:994db812489eb618cb3d</x:v>
      </x:c>
      <x:c r="B2716" s="17" t="str">
        <x:v>program</x:v>
      </x:c>
      <x:c r="C2716" s="17" t="str">
        <x:v>Florida Institute of Technology-Online</x:v>
      </x:c>
      <x:c r="D2716" s="17" t="str">
        <x:v>us:ipeds:480569:program:unclear:ipeds-discovery-signal-computer-and-information-systems-security-auditing-information-assurance-cip-11-1003</x:v>
      </x:c>
      <x:c r="E2716" s="17" t="str"/>
      <x:c r="F2716" s="17" t="str">
        <x:v>discovery</x:v>
      </x:c>
      <x:c r="G2716" s="17" t="str">
        <x:v>Stage 2 recorded this row as a discovery candidate; it does not independently verify an exact current research program, eligibility, or funding.</x:v>
      </x:c>
      <x:c r="H2716" s="17" t="str">
        <x:v>Pass 2 Stage 2 candidate funnel</x:v>
      </x:c>
      <x:c r="I2716" s="17" t="str">
        <x:v>Graduate audit pipeline</x:v>
      </x:c>
      <x:c r="J2716" s="17" t="str">
        <x:v>derived</x:v>
      </x:c>
      <x:c r="K2716" s="17" t="str">
        <x:v>2026-09-11</x:v>
      </x:c>
      <x:c r="L2716" s="17" t="str">
        <x:v>Not cycle-specific</x:v>
      </x:c>
      <x:c r="M2716" s="17" t="str">
        <x:v>low</x:v>
      </x:c>
      <x:c r="N2716" s="17" t="str">
        <x:v>Discovery evidence only</x:v>
      </x:c>
      <x:c r="O2716" s="17" t="str">
        <x:v>Use the source_record_paths field to trace the underlying discovery inputs.</x:v>
      </x:c>
      <x:c r="P2716" s="18" t="e">
        <x:f>HYPERLINK("https://www.fit.edu","Open source")</x:f>
        <x:v>HYPERLINK is not implemented. linkLocation=https://www.fit.edu, friendlyName=Open source</x:v>
      </x:c>
    </x:row>
    <x:row r="2717" ht="46" customHeight="1">
      <x:c r="A2717" s="17" t="str">
        <x:v>stage3src:de63ea815cc960d551e2</x:v>
      </x:c>
      <x:c r="B2717" s="17" t="str">
        <x:v>program</x:v>
      </x:c>
      <x:c r="C2717" s="17" t="str">
        <x:v>California Miramar University</x:v>
      </x:c>
      <x:c r="D2717" s="17" t="str">
        <x:v>us:ipeds:480781:program:unclear:ipeds-discovery-signal-computer-and-information-sciences-other-cip-11-0199</x:v>
      </x:c>
      <x:c r="E2717" s="17" t="str"/>
      <x:c r="F2717" s="17" t="str">
        <x:v>discovery</x:v>
      </x:c>
      <x:c r="G2717" s="17" t="str">
        <x:v>Stage 2 recorded this row as a discovery candidate; it does not independently verify an exact current research program, eligibility, or funding.</x:v>
      </x:c>
      <x:c r="H2717" s="17" t="str">
        <x:v>Pass 2 Stage 2 candidate funnel</x:v>
      </x:c>
      <x:c r="I2717" s="17" t="str">
        <x:v>Graduate audit pipeline</x:v>
      </x:c>
      <x:c r="J2717" s="17" t="str">
        <x:v>derived</x:v>
      </x:c>
      <x:c r="K2717" s="17" t="str">
        <x:v>2026-09-11</x:v>
      </x:c>
      <x:c r="L2717" s="17" t="str">
        <x:v>Not cycle-specific</x:v>
      </x:c>
      <x:c r="M2717" s="17" t="str">
        <x:v>low</x:v>
      </x:c>
      <x:c r="N2717" s="17" t="str">
        <x:v>Discovery evidence only</x:v>
      </x:c>
      <x:c r="O2717" s="17" t="str">
        <x:v>Use the source_record_paths field to trace the underlying discovery inputs.</x:v>
      </x:c>
      <x:c r="P2717" s="18" t="e">
        <x:f>HYPERLINK("https://www.calmu.edu","Open source")</x:f>
        <x:v>HYPERLINK is not implemented. linkLocation=https://www.calmu.edu, friendlyName=Open source</x:v>
      </x:c>
    </x:row>
    <x:row r="2718" ht="46" customHeight="1">
      <x:c r="A2718" s="17" t="str">
        <x:v>stage3src:741dd8138298ef5e5c2a</x:v>
      </x:c>
      <x:c r="B2718" s="17" t="str">
        <x:v>program</x:v>
      </x:c>
      <x:c r="C2718" s="17" t="str">
        <x:v>Augusta University</x:v>
      </x:c>
      <x:c r="D2718" s="17" t="str">
        <x:v>us:ipeds:482149:program:unclear:ipeds-discovery-signal-computer-and-information-sciences-general-cip-11-0101</x:v>
      </x:c>
      <x:c r="E2718" s="17" t="str"/>
      <x:c r="F2718" s="17" t="str">
        <x:v>discovery</x:v>
      </x:c>
      <x:c r="G2718" s="17" t="str">
        <x:v>Stage 2 recorded this row as a discovery candidate; it does not independently verify an exact current research program, eligibility, or funding.</x:v>
      </x:c>
      <x:c r="H2718" s="17" t="str">
        <x:v>Pass 2 Stage 2 candidate funnel</x:v>
      </x:c>
      <x:c r="I2718" s="17" t="str">
        <x:v>Graduate audit pipeline</x:v>
      </x:c>
      <x:c r="J2718" s="17" t="str">
        <x:v>derived</x:v>
      </x:c>
      <x:c r="K2718" s="17" t="str">
        <x:v>2026-09-11</x:v>
      </x:c>
      <x:c r="L2718" s="17" t="str">
        <x:v>Not cycle-specific</x:v>
      </x:c>
      <x:c r="M2718" s="17" t="str">
        <x:v>low</x:v>
      </x:c>
      <x:c r="N2718" s="17" t="str">
        <x:v>Discovery evidence only</x:v>
      </x:c>
      <x:c r="O2718" s="17" t="str">
        <x:v>Use the source_record_paths field to trace the underlying discovery inputs.</x:v>
      </x:c>
      <x:c r="P2718" s="18" t="e">
        <x:f>HYPERLINK("https://www.augusta.edu","Open source")</x:f>
        <x:v>HYPERLINK is not implemented. linkLocation=https://www.augusta.edu, friendlyName=Open source</x:v>
      </x:c>
    </x:row>
    <x:row r="2719" ht="46" customHeight="1">
      <x:c r="A2719" s="17" t="str">
        <x:v>stage3src:baf28086b0d8c5c48169</x:v>
      </x:c>
      <x:c r="B2719" s="17" t="str">
        <x:v>program</x:v>
      </x:c>
      <x:c r="C2719" s="17" t="str">
        <x:v>Augusta University</x:v>
      </x:c>
      <x:c r="D2719" s="17" t="str">
        <x:v>us:ipeds:482149:program:unclear:ipeds-discovery-signal-computer-and-information-systems-security-auditing-information-assurance-cip-11-1003</x:v>
      </x:c>
      <x:c r="E2719" s="17" t="str"/>
      <x:c r="F2719" s="17" t="str">
        <x:v>discovery</x:v>
      </x:c>
      <x:c r="G2719" s="17" t="str">
        <x:v>Stage 2 recorded this row as a discovery candidate; it does not independently verify an exact current research program, eligibility, or funding.</x:v>
      </x:c>
      <x:c r="H2719" s="17" t="str">
        <x:v>Pass 2 Stage 2 candidate funnel</x:v>
      </x:c>
      <x:c r="I2719" s="17" t="str">
        <x:v>Graduate audit pipeline</x:v>
      </x:c>
      <x:c r="J2719" s="17" t="str">
        <x:v>derived</x:v>
      </x:c>
      <x:c r="K2719" s="17" t="str">
        <x:v>2026-09-11</x:v>
      </x:c>
      <x:c r="L2719" s="17" t="str">
        <x:v>Not cycle-specific</x:v>
      </x:c>
      <x:c r="M2719" s="17" t="str">
        <x:v>low</x:v>
      </x:c>
      <x:c r="N2719" s="17" t="str">
        <x:v>Discovery evidence only</x:v>
      </x:c>
      <x:c r="O2719" s="17" t="str">
        <x:v>Use the source_record_paths field to trace the underlying discovery inputs.</x:v>
      </x:c>
      <x:c r="P2719" s="18" t="e">
        <x:f>HYPERLINK("https://www.augusta.edu","Open source")</x:f>
        <x:v>HYPERLINK is not implemented. linkLocation=https://www.augusta.edu, friendlyName=Open source</x:v>
      </x:c>
    </x:row>
    <x:row r="2720" ht="46" customHeight="1">
      <x:c r="A2720" s="17" t="str">
        <x:v>stage3src:b17c3e78e3893252edfb</x:v>
      </x:c>
      <x:c r="B2720" s="17" t="str">
        <x:v>program</x:v>
      </x:c>
      <x:c r="C2720" s="17" t="str">
        <x:v>Augusta University</x:v>
      </x:c>
      <x:c r="D2720" s="17" t="str">
        <x:v>us:ipeds:482149:program:unclear:ipeds-discovery-signal-data-science-general-cip-30-7001</x:v>
      </x:c>
      <x:c r="E2720" s="17" t="str"/>
      <x:c r="F2720" s="17" t="str">
        <x:v>discovery</x:v>
      </x:c>
      <x:c r="G2720" s="17" t="str">
        <x:v>Stage 2 recorded this row as a discovery candidate; it does not independently verify an exact current research program, eligibility, or funding.</x:v>
      </x:c>
      <x:c r="H2720" s="17" t="str">
        <x:v>Pass 2 Stage 2 candidate funnel</x:v>
      </x:c>
      <x:c r="I2720" s="17" t="str">
        <x:v>Graduate audit pipeline</x:v>
      </x:c>
      <x:c r="J2720" s="17" t="str">
        <x:v>derived</x:v>
      </x:c>
      <x:c r="K2720" s="17" t="str">
        <x:v>2026-09-11</x:v>
      </x:c>
      <x:c r="L2720" s="17" t="str">
        <x:v>Not cycle-specific</x:v>
      </x:c>
      <x:c r="M2720" s="17" t="str">
        <x:v>low</x:v>
      </x:c>
      <x:c r="N2720" s="17" t="str">
        <x:v>Discovery evidence only</x:v>
      </x:c>
      <x:c r="O2720" s="17" t="str">
        <x:v>Use the source_record_paths field to trace the underlying discovery inputs.</x:v>
      </x:c>
      <x:c r="P2720" s="18" t="e">
        <x:f>HYPERLINK("https://www.augusta.edu","Open source")</x:f>
        <x:v>HYPERLINK is not implemented. linkLocation=https://www.augusta.edu, friendlyName=Open source</x:v>
      </x:c>
    </x:row>
    <x:row r="2721" ht="46" customHeight="1">
      <x:c r="A2721" s="17" t="str">
        <x:v>stage3src:9bbe18061b81f4fd79a7</x:v>
      </x:c>
      <x:c r="B2721" s="17" t="str">
        <x:v>program</x:v>
      </x:c>
      <x:c r="C2721" s="17" t="str">
        <x:v>Middle Georgia State University</x:v>
      </x:c>
      <x:c r="D2721" s="17" t="str">
        <x:v>us:ipeds:482158:program:unclear:ipeds-discovery-signal-information-technology-cip-11-0103</x:v>
      </x:c>
      <x:c r="E2721" s="17" t="str"/>
      <x:c r="F2721" s="17" t="str">
        <x:v>discovery</x:v>
      </x:c>
      <x:c r="G2721" s="17" t="str">
        <x:v>Stage 2 recorded this row as a discovery candidate; it does not independently verify an exact current research program, eligibility, or funding.</x:v>
      </x:c>
      <x:c r="H2721" s="17" t="str">
        <x:v>Pass 2 Stage 2 candidate funnel</x:v>
      </x:c>
      <x:c r="I2721" s="17" t="str">
        <x:v>Graduate audit pipeline</x:v>
      </x:c>
      <x:c r="J2721" s="17" t="str">
        <x:v>derived</x:v>
      </x:c>
      <x:c r="K2721" s="17" t="str">
        <x:v>2026-09-11</x:v>
      </x:c>
      <x:c r="L2721" s="17" t="str">
        <x:v>Not cycle-specific</x:v>
      </x:c>
      <x:c r="M2721" s="17" t="str">
        <x:v>low</x:v>
      </x:c>
      <x:c r="N2721" s="17" t="str">
        <x:v>Discovery evidence only</x:v>
      </x:c>
      <x:c r="O2721" s="17" t="str">
        <x:v>Use the source_record_paths field to trace the underlying discovery inputs.</x:v>
      </x:c>
      <x:c r="P2721" s="18" t="e">
        <x:f>HYPERLINK("https://www.mga.edu","Open source")</x:f>
        <x:v>HYPERLINK is not implemented. linkLocation=https://www.mga.edu, friendlyName=Open source</x:v>
      </x:c>
    </x:row>
    <x:row r="2722" ht="46" customHeight="1">
      <x:c r="A2722" s="17" t="str">
        <x:v>stage3src:950d3ffb36a647a88b2f</x:v>
      </x:c>
      <x:c r="B2722" s="17" t="str">
        <x:v>program</x:v>
      </x:c>
      <x:c r="C2722" s="17" t="str">
        <x:v>DeVry University-Georgia</x:v>
      </x:c>
      <x:c r="D2722" s="17" t="str">
        <x:v>us:ipeds:482468:program:unclear:ipeds-discovery-signal-computer-systems-networking-and-telecommunications-cip-11-0901</x:v>
      </x:c>
      <x:c r="E2722" s="17" t="str"/>
      <x:c r="F2722" s="17" t="str">
        <x:v>discovery</x:v>
      </x:c>
      <x:c r="G2722" s="17" t="str">
        <x:v>Stage 2 recorded this row as a discovery candidate; it does not independently verify an exact current research program, eligibility, or funding.</x:v>
      </x:c>
      <x:c r="H2722" s="17" t="str">
        <x:v>Pass 2 Stage 2 candidate funnel</x:v>
      </x:c>
      <x:c r="I2722" s="17" t="str">
        <x:v>Graduate audit pipeline</x:v>
      </x:c>
      <x:c r="J2722" s="17" t="str">
        <x:v>derived</x:v>
      </x:c>
      <x:c r="K2722" s="17" t="str">
        <x:v>2026-09-11</x:v>
      </x:c>
      <x:c r="L2722" s="17" t="str">
        <x:v>Not cycle-specific</x:v>
      </x:c>
      <x:c r="M2722" s="17" t="str">
        <x:v>low</x:v>
      </x:c>
      <x:c r="N2722" s="17" t="str">
        <x:v>Discovery evidence only</x:v>
      </x:c>
      <x:c r="O2722" s="17" t="str">
        <x:v>Use the source_record_paths field to trace the underlying discovery inputs.</x:v>
      </x:c>
      <x:c r="P2722" s="18" t="e">
        <x:f>HYPERLINK("https://www.devry.edu","Open source")</x:f>
        <x:v>HYPERLINK is not implemented. linkLocation=https://www.devry.edu, friendlyName=Open source</x:v>
      </x:c>
    </x:row>
    <x:row r="2723" ht="46" customHeight="1">
      <x:c r="A2723" s="17" t="str">
        <x:v>stage3src:de2469e2d3eadac4b7cf</x:v>
      </x:c>
      <x:c r="B2723" s="17" t="str">
        <x:v>program</x:v>
      </x:c>
      <x:c r="C2723" s="17" t="str">
        <x:v>DeVry University-Illinois</x:v>
      </x:c>
      <x:c r="D2723" s="17" t="str">
        <x:v>us:ipeds:482477:program:unclear:ipeds-discovery-signal-computer-systems-networking-and-telecommunications-cip-11-0901</x:v>
      </x:c>
      <x:c r="E2723" s="17" t="str"/>
      <x:c r="F2723" s="17" t="str">
        <x:v>discovery</x:v>
      </x:c>
      <x:c r="G2723" s="17" t="str">
        <x:v>Stage 2 recorded this row as a discovery candidate; it does not independently verify an exact current research program, eligibility, or funding.</x:v>
      </x:c>
      <x:c r="H2723" s="17" t="str">
        <x:v>Pass 2 Stage 2 candidate funnel</x:v>
      </x:c>
      <x:c r="I2723" s="17" t="str">
        <x:v>Graduate audit pipeline</x:v>
      </x:c>
      <x:c r="J2723" s="17" t="str">
        <x:v>derived</x:v>
      </x:c>
      <x:c r="K2723" s="17" t="str">
        <x:v>2026-09-11</x:v>
      </x:c>
      <x:c r="L2723" s="17" t="str">
        <x:v>Not cycle-specific</x:v>
      </x:c>
      <x:c r="M2723" s="17" t="str">
        <x:v>low</x:v>
      </x:c>
      <x:c r="N2723" s="17" t="str">
        <x:v>Discovery evidence only</x:v>
      </x:c>
      <x:c r="O2723" s="17" t="str">
        <x:v>Use the source_record_paths field to trace the underlying discovery inputs.</x:v>
      </x:c>
      <x:c r="P2723" s="18" t="e">
        <x:f>HYPERLINK("https://www.devry.edu","Open source")</x:f>
        <x:v>HYPERLINK is not implemented. linkLocation=https://www.devry.edu, friendlyName=Open source</x:v>
      </x:c>
    </x:row>
    <x:row r="2724" ht="46" customHeight="1">
      <x:c r="A2724" s="17" t="str">
        <x:v>stage3src:a95bb03ed0336136c503</x:v>
      </x:c>
      <x:c r="B2724" s="17" t="str">
        <x:v>program</x:v>
      </x:c>
      <x:c r="C2724" s="17" t="str">
        <x:v>Northeastern University Professional Programs</x:v>
      </x:c>
      <x:c r="D2724" s="17" t="str">
        <x:v>us:ipeds:482705:program:unclear:ipeds-discovery-signal-informatics-cip-11-0104</x:v>
      </x:c>
      <x:c r="E2724" s="17" t="str"/>
      <x:c r="F2724" s="17" t="str">
        <x:v>discovery</x:v>
      </x:c>
      <x:c r="G2724" s="17" t="str">
        <x:v>Stage 2 recorded this row as a discovery candidate; it does not independently verify an exact current research program, eligibility, or funding.</x:v>
      </x:c>
      <x:c r="H2724" s="17" t="str">
        <x:v>Pass 2 Stage 2 candidate funnel</x:v>
      </x:c>
      <x:c r="I2724" s="17" t="str">
        <x:v>Graduate audit pipeline</x:v>
      </x:c>
      <x:c r="J2724" s="17" t="str">
        <x:v>derived</x:v>
      </x:c>
      <x:c r="K2724" s="17" t="str">
        <x:v>2026-09-11</x:v>
      </x:c>
      <x:c r="L2724" s="17" t="str">
        <x:v>Not cycle-specific</x:v>
      </x:c>
      <x:c r="M2724" s="17" t="str">
        <x:v>low</x:v>
      </x:c>
      <x:c r="N2724" s="17" t="str">
        <x:v>Discovery evidence only</x:v>
      </x:c>
      <x:c r="O2724" s="17" t="str">
        <x:v>Use the source_record_paths field to trace the underlying discovery inputs.</x:v>
      </x:c>
      <x:c r="P2724" s="18" t="e">
        <x:f>HYPERLINK("https://www.northeastern.edu","Open source")</x:f>
        <x:v>HYPERLINK is not implemented. linkLocation=https://www.northeastern.edu, friendlyName=Open source</x:v>
      </x:c>
    </x:row>
    <x:row r="2725" ht="46" customHeight="1">
      <x:c r="A2725" s="17" t="str">
        <x:v>stage3src:7c1a65aa494d2cdca744</x:v>
      </x:c>
      <x:c r="B2725" s="17" t="str">
        <x:v>program</x:v>
      </x:c>
      <x:c r="C2725" s="17" t="str">
        <x:v>Northeastern University Professional Programs</x:v>
      </x:c>
      <x:c r="D2725" s="17" t="str">
        <x:v>us:ipeds:482705:program:unclear:ipeds-discovery-signal-information-technology-cip-11-0103</x:v>
      </x:c>
      <x:c r="E2725" s="17" t="str"/>
      <x:c r="F2725" s="17" t="str">
        <x:v>discovery</x:v>
      </x:c>
      <x:c r="G2725" s="17" t="str">
        <x:v>Stage 2 recorded this row as a discovery candidate; it does not independently verify an exact current research program, eligibility, or funding.</x:v>
      </x:c>
      <x:c r="H2725" s="17" t="str">
        <x:v>Pass 2 Stage 2 candidate funnel</x:v>
      </x:c>
      <x:c r="I2725" s="17" t="str">
        <x:v>Graduate audit pipeline</x:v>
      </x:c>
      <x:c r="J2725" s="17" t="str">
        <x:v>derived</x:v>
      </x:c>
      <x:c r="K2725" s="17" t="str">
        <x:v>2026-09-11</x:v>
      </x:c>
      <x:c r="L2725" s="17" t="str">
        <x:v>Not cycle-specific</x:v>
      </x:c>
      <x:c r="M2725" s="17" t="str">
        <x:v>low</x:v>
      </x:c>
      <x:c r="N2725" s="17" t="str">
        <x:v>Discovery evidence only</x:v>
      </x:c>
      <x:c r="O2725" s="17" t="str">
        <x:v>Use the source_record_paths field to trace the underlying discovery inputs.</x:v>
      </x:c>
      <x:c r="P2725" s="18" t="e">
        <x:f>HYPERLINK("https://www.northeastern.edu","Open source")</x:f>
        <x:v>HYPERLINK is not implemented. linkLocation=https://www.northeastern.edu, friendlyName=Open source</x:v>
      </x:c>
    </x:row>
    <x:row r="2726" ht="46" customHeight="1">
      <x:c r="A2726" s="17" t="str">
        <x:v>stage3src:e1998839417472ad8202</x:v>
      </x:c>
      <x:c r="B2726" s="17" t="str">
        <x:v>program</x:v>
      </x:c>
      <x:c r="C2726" s="17" t="str">
        <x:v>Florida Polytechnic University</x:v>
      </x:c>
      <x:c r="D2726" s="17" t="str">
        <x:v>us:ipeds:482936:program:unclear:ipeds-discovery-signal-computer-and-information-sciences-general-cip-11-0101</x:v>
      </x:c>
      <x:c r="E2726" s="17" t="str"/>
      <x:c r="F2726" s="17" t="str">
        <x:v>discovery</x:v>
      </x:c>
      <x:c r="G2726" s="17" t="str">
        <x:v>Stage 2 recorded this row as a discovery candidate; it does not independently verify an exact current research program, eligibility, or funding.</x:v>
      </x:c>
      <x:c r="H2726" s="17" t="str">
        <x:v>Pass 2 Stage 2 candidate funnel</x:v>
      </x:c>
      <x:c r="I2726" s="17" t="str">
        <x:v>Graduate audit pipeline</x:v>
      </x:c>
      <x:c r="J2726" s="17" t="str">
        <x:v>derived</x:v>
      </x:c>
      <x:c r="K2726" s="17" t="str">
        <x:v>2026-09-11</x:v>
      </x:c>
      <x:c r="L2726" s="17" t="str">
        <x:v>Not cycle-specific</x:v>
      </x:c>
      <x:c r="M2726" s="17" t="str">
        <x:v>low</x:v>
      </x:c>
      <x:c r="N2726" s="17" t="str">
        <x:v>Discovery evidence only</x:v>
      </x:c>
      <x:c r="O2726" s="17" t="str">
        <x:v>Use the source_record_paths field to trace the underlying discovery inputs.</x:v>
      </x:c>
      <x:c r="P2726" s="18" t="e">
        <x:f>HYPERLINK("https://floridapoly.edu","Open source")</x:f>
        <x:v>HYPERLINK is not implemented. linkLocation=https://floridapoly.edu, friendlyName=Open source</x:v>
      </x:c>
    </x:row>
    <x:row r="2727" ht="46" customHeight="1">
      <x:c r="A2727" s="17" t="str">
        <x:v>stage3src:41178d06a25c2b2f3b36</x:v>
      </x:c>
      <x:c r="B2727" s="17" t="str">
        <x:v>program</x:v>
      </x:c>
      <x:c r="C2727" s="17" t="str">
        <x:v>Florida Polytechnic University</x:v>
      </x:c>
      <x:c r="D2727" s="17" t="str">
        <x:v>us:ipeds:482936:program:unclear:ipeds-discovery-signal-data-science-general-cip-30-7001</x:v>
      </x:c>
      <x:c r="E2727" s="17" t="str"/>
      <x:c r="F2727" s="17" t="str">
        <x:v>discovery</x:v>
      </x:c>
      <x:c r="G2727" s="17" t="str">
        <x:v>Stage 2 recorded this row as a discovery candidate; it does not independently verify an exact current research program, eligibility, or funding.</x:v>
      </x:c>
      <x:c r="H2727" s="17" t="str">
        <x:v>Pass 2 Stage 2 candidate funnel</x:v>
      </x:c>
      <x:c r="I2727" s="17" t="str">
        <x:v>Graduate audit pipeline</x:v>
      </x:c>
      <x:c r="J2727" s="17" t="str">
        <x:v>derived</x:v>
      </x:c>
      <x:c r="K2727" s="17" t="str">
        <x:v>2026-09-11</x:v>
      </x:c>
      <x:c r="L2727" s="17" t="str">
        <x:v>Not cycle-specific</x:v>
      </x:c>
      <x:c r="M2727" s="17" t="str">
        <x:v>low</x:v>
      </x:c>
      <x:c r="N2727" s="17" t="str">
        <x:v>Discovery evidence only</x:v>
      </x:c>
      <x:c r="O2727" s="17" t="str">
        <x:v>Use the source_record_paths field to trace the underlying discovery inputs.</x:v>
      </x:c>
      <x:c r="P2727" s="18" t="e">
        <x:f>HYPERLINK("https://floridapoly.edu","Open source")</x:f>
        <x:v>HYPERLINK is not implemented. linkLocation=https://floridapoly.edu, friendlyName=Open source</x:v>
      </x:c>
    </x:row>
    <x:row r="2728" ht="46" customHeight="1">
      <x:c r="A2728" s="17" t="str">
        <x:v>stage3src:a5c92fe301973d60bde0</x:v>
      </x:c>
      <x:c r="B2728" s="17" t="str">
        <x:v>program</x:v>
      </x:c>
      <x:c r="C2728" s="17" t="str">
        <x:v>Texas A&amp;M University-Central Texas</x:v>
      </x:c>
      <x:c r="D2728" s="17" t="str">
        <x:v>us:ipeds:483036:program:unclear:ipeds-discovery-signal-information-science-studies-cip-11-0401</x:v>
      </x:c>
      <x:c r="E2728" s="17" t="str"/>
      <x:c r="F2728" s="17" t="str">
        <x:v>discovery</x:v>
      </x:c>
      <x:c r="G2728" s="17" t="str">
        <x:v>Stage 2 recorded this row as a discovery candidate; it does not independently verify an exact current research program, eligibility, or funding.</x:v>
      </x:c>
      <x:c r="H2728" s="17" t="str">
        <x:v>Pass 2 Stage 2 candidate funnel</x:v>
      </x:c>
      <x:c r="I2728" s="17" t="str">
        <x:v>Graduate audit pipeline</x:v>
      </x:c>
      <x:c r="J2728" s="17" t="str">
        <x:v>derived</x:v>
      </x:c>
      <x:c r="K2728" s="17" t="str">
        <x:v>2026-09-11</x:v>
      </x:c>
      <x:c r="L2728" s="17" t="str">
        <x:v>Not cycle-specific</x:v>
      </x:c>
      <x:c r="M2728" s="17" t="str">
        <x:v>low</x:v>
      </x:c>
      <x:c r="N2728" s="17" t="str">
        <x:v>Discovery evidence only</x:v>
      </x:c>
      <x:c r="O2728" s="17" t="str">
        <x:v>Use the source_record_paths field to trace the underlying discovery inputs.</x:v>
      </x:c>
      <x:c r="P2728" s="18" t="e">
        <x:f>HYPERLINK("https://tamuct.edu","Open source")</x:f>
        <x:v>HYPERLINK is not implemented. linkLocation=https://tamuct.edu, friendlyName=Open source</x:v>
      </x:c>
    </x:row>
    <x:row r="2729" ht="46" customHeight="1">
      <x:c r="A2729" s="17" t="str">
        <x:v>stage3src:376c723d753ded0d9725</x:v>
      </x:c>
      <x:c r="B2729" s="17" t="str">
        <x:v>program</x:v>
      </x:c>
      <x:c r="C2729" s="17" t="str">
        <x:v>Arizona State University Digital Immersion</x:v>
      </x:c>
      <x:c r="D2729" s="17" t="str">
        <x:v>us:ipeds:483124:program:unclear:ipeds-discovery-signal-computer-science-cip-11-0701</x:v>
      </x:c>
      <x:c r="E2729" s="17" t="str"/>
      <x:c r="F2729" s="17" t="str">
        <x:v>discovery</x:v>
      </x:c>
      <x:c r="G2729" s="17" t="str">
        <x:v>Stage 2 recorded this row as a discovery candidate; it does not independently verify an exact current research program, eligibility, or funding.</x:v>
      </x:c>
      <x:c r="H2729" s="17" t="str">
        <x:v>Pass 2 Stage 2 candidate funnel</x:v>
      </x:c>
      <x:c r="I2729" s="17" t="str">
        <x:v>Graduate audit pipeline</x:v>
      </x:c>
      <x:c r="J2729" s="17" t="str">
        <x:v>derived</x:v>
      </x:c>
      <x:c r="K2729" s="17" t="str">
        <x:v>2026-09-11</x:v>
      </x:c>
      <x:c r="L2729" s="17" t="str">
        <x:v>Not cycle-specific</x:v>
      </x:c>
      <x:c r="M2729" s="17" t="str">
        <x:v>low</x:v>
      </x:c>
      <x:c r="N2729" s="17" t="str">
        <x:v>Discovery evidence only</x:v>
      </x:c>
      <x:c r="O2729" s="17" t="str">
        <x:v>Use the source_record_paths field to trace the underlying discovery inputs.</x:v>
      </x:c>
      <x:c r="P2729" s="18" t="e">
        <x:f>HYPERLINK("https://www.asu.edu","Open source")</x:f>
        <x:v>HYPERLINK is not implemented. linkLocation=https://www.asu.edu, friendlyName=Open source</x:v>
      </x:c>
    </x:row>
    <x:row r="2730" ht="46" customHeight="1">
      <x:c r="A2730" s="17" t="str">
        <x:v>stage3src:0bd1cb507fce96bd6005</x:v>
      </x:c>
      <x:c r="B2730" s="17" t="str">
        <x:v>program</x:v>
      </x:c>
      <x:c r="C2730" s="17" t="str">
        <x:v>Arizona State University Digital Immersion</x:v>
      </x:c>
      <x:c r="D2730" s="17" t="str">
        <x:v>us:ipeds:483124:program:unclear:ipeds-discovery-signal-electrical-and-electronics-engineering-cip-14-1001</x:v>
      </x:c>
      <x:c r="E2730" s="17" t="str"/>
      <x:c r="F2730" s="17" t="str">
        <x:v>discovery</x:v>
      </x:c>
      <x:c r="G2730" s="17" t="str">
        <x:v>Stage 2 recorded this row as a discovery candidate; it does not independently verify an exact current research program, eligibility, or funding.</x:v>
      </x:c>
      <x:c r="H2730" s="17" t="str">
        <x:v>Pass 2 Stage 2 candidate funnel</x:v>
      </x:c>
      <x:c r="I2730" s="17" t="str">
        <x:v>Graduate audit pipeline</x:v>
      </x:c>
      <x:c r="J2730" s="17" t="str">
        <x:v>derived</x:v>
      </x:c>
      <x:c r="K2730" s="17" t="str">
        <x:v>2026-09-11</x:v>
      </x:c>
      <x:c r="L2730" s="17" t="str">
        <x:v>Not cycle-specific</x:v>
      </x:c>
      <x:c r="M2730" s="17" t="str">
        <x:v>low</x:v>
      </x:c>
      <x:c r="N2730" s="17" t="str">
        <x:v>Discovery evidence only</x:v>
      </x:c>
      <x:c r="O2730" s="17" t="str">
        <x:v>Use the source_record_paths field to trace the underlying discovery inputs.</x:v>
      </x:c>
      <x:c r="P2730" s="18" t="e">
        <x:f>HYPERLINK("https://www.asu.edu","Open source")</x:f>
        <x:v>HYPERLINK is not implemented. linkLocation=https://www.asu.edu, friendlyName=Open source</x:v>
      </x:c>
    </x:row>
    <x:row r="2731" ht="46" customHeight="1">
      <x:c r="A2731" s="17" t="str">
        <x:v>stage3src:72c1b1480043ace2f3ea</x:v>
      </x:c>
      <x:c r="B2731" s="17" t="str">
        <x:v>program</x:v>
      </x:c>
      <x:c r="C2731" s="17" t="str">
        <x:v>Washington University of Science and Technology</x:v>
      </x:c>
      <x:c r="D2731" s="17" t="str">
        <x:v>us:ipeds:483780:program:unclear:ipeds-discovery-signal-cyber-computer-forensics-and-counterterrorism-cip-43-0403</x:v>
      </x:c>
      <x:c r="E2731" s="17" t="str"/>
      <x:c r="F2731" s="17" t="str">
        <x:v>discovery</x:v>
      </x:c>
      <x:c r="G2731" s="17" t="str">
        <x:v>Stage 2 recorded this row as a discovery candidate; it does not independently verify an exact current research program, eligibility, or funding.</x:v>
      </x:c>
      <x:c r="H2731" s="17" t="str">
        <x:v>Pass 2 Stage 2 candidate funnel</x:v>
      </x:c>
      <x:c r="I2731" s="17" t="str">
        <x:v>Graduate audit pipeline</x:v>
      </x:c>
      <x:c r="J2731" s="17" t="str">
        <x:v>derived</x:v>
      </x:c>
      <x:c r="K2731" s="17" t="str">
        <x:v>2026-09-11</x:v>
      </x:c>
      <x:c r="L2731" s="17" t="str">
        <x:v>Not cycle-specific</x:v>
      </x:c>
      <x:c r="M2731" s="17" t="str">
        <x:v>low</x:v>
      </x:c>
      <x:c r="N2731" s="17" t="str">
        <x:v>Discovery evidence only</x:v>
      </x:c>
      <x:c r="O2731" s="17" t="str">
        <x:v>Use the source_record_paths field to trace the underlying discovery inputs.</x:v>
      </x:c>
      <x:c r="P2731" s="18" t="e">
        <x:f>HYPERLINK("https://www.wust.edu","Open source")</x:f>
        <x:v>HYPERLINK is not implemented. linkLocation=https://www.wust.edu, friendlyName=Open source</x:v>
      </x:c>
    </x:row>
    <x:row r="2732" ht="46" customHeight="1">
      <x:c r="A2732" s="17" t="str">
        <x:v>stage3src:cd67782d11b644c3f178</x:v>
      </x:c>
      <x:c r="B2732" s="17" t="str">
        <x:v>program</x:v>
      </x:c>
      <x:c r="C2732" s="17" t="str">
        <x:v>Washington University of Science and Technology</x:v>
      </x:c>
      <x:c r="D2732" s="17" t="str">
        <x:v>us:ipeds:483780:program:unclear:ipeds-discovery-signal-information-technology-cip-11-0103</x:v>
      </x:c>
      <x:c r="E2732" s="17" t="str"/>
      <x:c r="F2732" s="17" t="str">
        <x:v>discovery</x:v>
      </x:c>
      <x:c r="G2732" s="17" t="str">
        <x:v>Stage 2 recorded this row as a discovery candidate; it does not independently verify an exact current research program, eligibility, or funding.</x:v>
      </x:c>
      <x:c r="H2732" s="17" t="str">
        <x:v>Pass 2 Stage 2 candidate funnel</x:v>
      </x:c>
      <x:c r="I2732" s="17" t="str">
        <x:v>Graduate audit pipeline</x:v>
      </x:c>
      <x:c r="J2732" s="17" t="str">
        <x:v>derived</x:v>
      </x:c>
      <x:c r="K2732" s="17" t="str">
        <x:v>2026-09-11</x:v>
      </x:c>
      <x:c r="L2732" s="17" t="str">
        <x:v>Not cycle-specific</x:v>
      </x:c>
      <x:c r="M2732" s="17" t="str">
        <x:v>low</x:v>
      </x:c>
      <x:c r="N2732" s="17" t="str">
        <x:v>Discovery evidence only</x:v>
      </x:c>
      <x:c r="O2732" s="17" t="str">
        <x:v>Use the source_record_paths field to trace the underlying discovery inputs.</x:v>
      </x:c>
      <x:c r="P2732" s="18" t="e">
        <x:f>HYPERLINK("https://www.wust.edu","Open source")</x:f>
        <x:v>HYPERLINK is not implemented. linkLocation=https://www.wust.edu, friendlyName=Open source</x:v>
      </x:c>
    </x:row>
    <x:row r="2733" ht="46" customHeight="1">
      <x:c r="A2733" s="17" t="str">
        <x:v>stage3src:dae56b044268124ce9a3</x:v>
      </x:c>
      <x:c r="B2733" s="17" t="str">
        <x:v>program</x:v>
      </x:c>
      <x:c r="C2733" s="17" t="str">
        <x:v>University of Phoenix-Arizona</x:v>
      </x:c>
      <x:c r="D2733" s="17" t="str">
        <x:v>us:ipeds:484613:program:unclear:ipeds-discovery-signal-cyber-computer-forensics-and-counterterrorism-cip-43-0403</x:v>
      </x:c>
      <x:c r="E2733" s="17" t="str"/>
      <x:c r="F2733" s="17" t="str">
        <x:v>discovery</x:v>
      </x:c>
      <x:c r="G2733" s="17" t="str">
        <x:v>Stage 2 recorded this row as a discovery candidate; it does not independently verify an exact current research program, eligibility, or funding.</x:v>
      </x:c>
      <x:c r="H2733" s="17" t="str">
        <x:v>Pass 2 Stage 2 candidate funnel</x:v>
      </x:c>
      <x:c r="I2733" s="17" t="str">
        <x:v>Graduate audit pipeline</x:v>
      </x:c>
      <x:c r="J2733" s="17" t="str">
        <x:v>derived</x:v>
      </x:c>
      <x:c r="K2733" s="17" t="str">
        <x:v>2026-09-11</x:v>
      </x:c>
      <x:c r="L2733" s="17" t="str">
        <x:v>Not cycle-specific</x:v>
      </x:c>
      <x:c r="M2733" s="17" t="str">
        <x:v>low</x:v>
      </x:c>
      <x:c r="N2733" s="17" t="str">
        <x:v>Discovery evidence only</x:v>
      </x:c>
      <x:c r="O2733" s="17" t="str">
        <x:v>Use the source_record_paths field to trace the underlying discovery inputs.</x:v>
      </x:c>
      <x:c r="P2733" s="18" t="e">
        <x:f>HYPERLINK("https://www.phoenix.edu","Open source")</x:f>
        <x:v>HYPERLINK is not implemented. linkLocation=https://www.phoenix.edu, friendlyName=Open source</x:v>
      </x:c>
    </x:row>
    <x:row r="2734" ht="46" customHeight="1">
      <x:c r="A2734" s="17" t="str">
        <x:v>stage3src:b53b601878abd941a833</x:v>
      </x:c>
      <x:c r="B2734" s="17" t="str">
        <x:v>program</x:v>
      </x:c>
      <x:c r="C2734" s="17" t="str">
        <x:v>University of Phoenix-Arizona</x:v>
      </x:c>
      <x:c r="D2734" s="17" t="str">
        <x:v>us:ipeds:484613:program:unclear:ipeds-discovery-signal-data-science-general-cip-30-7001</x:v>
      </x:c>
      <x:c r="E2734" s="17" t="str"/>
      <x:c r="F2734" s="17" t="str">
        <x:v>discovery</x:v>
      </x:c>
      <x:c r="G2734" s="17" t="str">
        <x:v>Stage 2 recorded this row as a discovery candidate; it does not independently verify an exact current research program, eligibility, or funding.</x:v>
      </x:c>
      <x:c r="H2734" s="17" t="str">
        <x:v>Pass 2 Stage 2 candidate funnel</x:v>
      </x:c>
      <x:c r="I2734" s="17" t="str">
        <x:v>Graduate audit pipeline</x:v>
      </x:c>
      <x:c r="J2734" s="17" t="str">
        <x:v>derived</x:v>
      </x:c>
      <x:c r="K2734" s="17" t="str">
        <x:v>2026-09-11</x:v>
      </x:c>
      <x:c r="L2734" s="17" t="str">
        <x:v>Not cycle-specific</x:v>
      </x:c>
      <x:c r="M2734" s="17" t="str">
        <x:v>low</x:v>
      </x:c>
      <x:c r="N2734" s="17" t="str">
        <x:v>Discovery evidence only</x:v>
      </x:c>
      <x:c r="O2734" s="17" t="str">
        <x:v>Use the source_record_paths field to trace the underlying discovery inputs.</x:v>
      </x:c>
      <x:c r="P2734" s="18" t="e">
        <x:f>HYPERLINK("https://www.phoenix.edu","Open source")</x:f>
        <x:v>HYPERLINK is not implemented. linkLocation=https://www.phoenix.edu, friendlyName=Open source</x:v>
      </x:c>
    </x:row>
    <x:row r="2735" ht="46" customHeight="1">
      <x:c r="A2735" s="17" t="str">
        <x:v>stage3src:0e893655dbba811bd67d</x:v>
      </x:c>
      <x:c r="B2735" s="17" t="str">
        <x:v>program</x:v>
      </x:c>
      <x:c r="C2735" s="17" t="str">
        <x:v>University of Phoenix-Arizona</x:v>
      </x:c>
      <x:c r="D2735" s="17" t="str">
        <x:v>us:ipeds:484613:program:unclear:ipeds-discovery-signal-informatics-cip-11-0104</x:v>
      </x:c>
      <x:c r="E2735" s="17" t="str"/>
      <x:c r="F2735" s="17" t="str">
        <x:v>discovery</x:v>
      </x:c>
      <x:c r="G2735" s="17" t="str">
        <x:v>Stage 2 recorded this row as a discovery candidate; it does not independently verify an exact current research program, eligibility, or funding.</x:v>
      </x:c>
      <x:c r="H2735" s="17" t="str">
        <x:v>Pass 2 Stage 2 candidate funnel</x:v>
      </x:c>
      <x:c r="I2735" s="17" t="str">
        <x:v>Graduate audit pipeline</x:v>
      </x:c>
      <x:c r="J2735" s="17" t="str">
        <x:v>derived</x:v>
      </x:c>
      <x:c r="K2735" s="17" t="str">
        <x:v>2026-09-11</x:v>
      </x:c>
      <x:c r="L2735" s="17" t="str">
        <x:v>Not cycle-specific</x:v>
      </x:c>
      <x:c r="M2735" s="17" t="str">
        <x:v>low</x:v>
      </x:c>
      <x:c r="N2735" s="17" t="str">
        <x:v>Discovery evidence only</x:v>
      </x:c>
      <x:c r="O2735" s="17" t="str">
        <x:v>Use the source_record_paths field to trace the underlying discovery inputs.</x:v>
      </x:c>
      <x:c r="P2735" s="18" t="e">
        <x:f>HYPERLINK("https://www.phoenix.edu","Open source")</x:f>
        <x:v>HYPERLINK is not implemented. linkLocation=https://www.phoenix.edu, friendlyName=Open source</x:v>
      </x:c>
    </x:row>
    <x:row r="2736" ht="46" customHeight="1">
      <x:c r="A2736" s="17" t="str">
        <x:v>stage3src:bd0b414eecaaa0e3cdf0</x:v>
      </x:c>
      <x:c r="B2736" s="17" t="str">
        <x:v>program</x:v>
      </x:c>
      <x:c r="C2736" s="17" t="str">
        <x:v>Minerva University</x:v>
      </x:c>
      <x:c r="D2736" s="17" t="str">
        <x:v>us:ipeds:484844:program:unclear:ipeds-discovery-signal-data-analytics-general-cip-30-7101</x:v>
      </x:c>
      <x:c r="E2736" s="17" t="str"/>
      <x:c r="F2736" s="17" t="str">
        <x:v>discovery</x:v>
      </x:c>
      <x:c r="G2736" s="17" t="str">
        <x:v>Stage 2 recorded this row as a discovery candidate; it does not independently verify an exact current research program, eligibility, or funding.</x:v>
      </x:c>
      <x:c r="H2736" s="17" t="str">
        <x:v>Pass 2 Stage 2 candidate funnel</x:v>
      </x:c>
      <x:c r="I2736" s="17" t="str">
        <x:v>Graduate audit pipeline</x:v>
      </x:c>
      <x:c r="J2736" s="17" t="str">
        <x:v>derived</x:v>
      </x:c>
      <x:c r="K2736" s="17" t="str">
        <x:v>2026-09-11</x:v>
      </x:c>
      <x:c r="L2736" s="17" t="str">
        <x:v>Not cycle-specific</x:v>
      </x:c>
      <x:c r="M2736" s="17" t="str">
        <x:v>low</x:v>
      </x:c>
      <x:c r="N2736" s="17" t="str">
        <x:v>Discovery evidence only</x:v>
      </x:c>
      <x:c r="O2736" s="17" t="str">
        <x:v>Use the source_record_paths field to trace the underlying discovery inputs.</x:v>
      </x:c>
      <x:c r="P2736" s="18" t="e">
        <x:f>HYPERLINK("https://minerva.edu","Open source")</x:f>
        <x:v>HYPERLINK is not implemented. linkLocation=https://minerva.edu, friendlyName=Open source</x:v>
      </x:c>
    </x:row>
    <x:row r="2737" ht="46" customHeight="1">
      <x:c r="A2737" s="17" t="str">
        <x:v>stage3src:5b4e0932b49cd1545df2</x:v>
      </x:c>
      <x:c r="B2737" s="17" t="str">
        <x:v>program</x:v>
      </x:c>
      <x:c r="C2737" s="17" t="str">
        <x:v>Atlantis University</x:v>
      </x:c>
      <x:c r="D2737" s="17" t="str">
        <x:v>us:ipeds:485768:program:unclear:ipeds-discovery-signal-computer-and-information-systems-security-auditing-information-assurance-cip-11-1003</x:v>
      </x:c>
      <x:c r="E2737" s="17" t="str"/>
      <x:c r="F2737" s="17" t="str">
        <x:v>discovery</x:v>
      </x:c>
      <x:c r="G2737" s="17" t="str">
        <x:v>Stage 2 recorded this row as a discovery candidate; it does not independently verify an exact current research program, eligibility, or funding.</x:v>
      </x:c>
      <x:c r="H2737" s="17" t="str">
        <x:v>Pass 2 Stage 2 candidate funnel</x:v>
      </x:c>
      <x:c r="I2737" s="17" t="str">
        <x:v>Graduate audit pipeline</x:v>
      </x:c>
      <x:c r="J2737" s="17" t="str">
        <x:v>derived</x:v>
      </x:c>
      <x:c r="K2737" s="17" t="str">
        <x:v>2026-09-11</x:v>
      </x:c>
      <x:c r="L2737" s="17" t="str">
        <x:v>Not cycle-specific</x:v>
      </x:c>
      <x:c r="M2737" s="17" t="str">
        <x:v>low</x:v>
      </x:c>
      <x:c r="N2737" s="17" t="str">
        <x:v>Discovery evidence only</x:v>
      </x:c>
      <x:c r="O2737" s="17" t="str">
        <x:v>Use the source_record_paths field to trace the underlying discovery inputs.</x:v>
      </x:c>
      <x:c r="P2737" s="18" t="e">
        <x:f>HYPERLINK("https://atlantisuniversity.edu","Open source")</x:f>
        <x:v>HYPERLINK is not implemented. linkLocation=https://atlantisuniversity.edu, friendlyName=Open source</x:v>
      </x:c>
    </x:row>
    <x:row r="2738" ht="46" customHeight="1">
      <x:c r="A2738" s="17" t="str">
        <x:v>stage3src:4c6ca926a4d73841e8f4</x:v>
      </x:c>
      <x:c r="B2738" s="17" t="str">
        <x:v>program</x:v>
      </x:c>
      <x:c r="C2738" s="17" t="str">
        <x:v>Atlantis University</x:v>
      </x:c>
      <x:c r="D2738" s="17" t="str">
        <x:v>us:ipeds:485768:program:unclear:ipeds-discovery-signal-computer-engineering-general-cip-14-0901</x:v>
      </x:c>
      <x:c r="E2738" s="17" t="str"/>
      <x:c r="F2738" s="17" t="str">
        <x:v>discovery</x:v>
      </x:c>
      <x:c r="G2738" s="17" t="str">
        <x:v>Stage 2 recorded this row as a discovery candidate; it does not independently verify an exact current research program, eligibility, or funding.</x:v>
      </x:c>
      <x:c r="H2738" s="17" t="str">
        <x:v>Pass 2 Stage 2 candidate funnel</x:v>
      </x:c>
      <x:c r="I2738" s="17" t="str">
        <x:v>Graduate audit pipeline</x:v>
      </x:c>
      <x:c r="J2738" s="17" t="str">
        <x:v>derived</x:v>
      </x:c>
      <x:c r="K2738" s="17" t="str">
        <x:v>2026-09-11</x:v>
      </x:c>
      <x:c r="L2738" s="17" t="str">
        <x:v>Not cycle-specific</x:v>
      </x:c>
      <x:c r="M2738" s="17" t="str">
        <x:v>low</x:v>
      </x:c>
      <x:c r="N2738" s="17" t="str">
        <x:v>Discovery evidence only</x:v>
      </x:c>
      <x:c r="O2738" s="17" t="str">
        <x:v>Use the source_record_paths field to trace the underlying discovery inputs.</x:v>
      </x:c>
      <x:c r="P2738" s="18" t="e">
        <x:f>HYPERLINK("https://atlantisuniversity.edu","Open source")</x:f>
        <x:v>HYPERLINK is not implemented. linkLocation=https://atlantisuniversity.edu, friendlyName=Open source</x:v>
      </x:c>
    </x:row>
    <x:row r="2739" ht="46" customHeight="1">
      <x:c r="A2739" s="17" t="str">
        <x:v>stage3src:fbdf00525a9505ecd262</x:v>
      </x:c>
      <x:c r="B2739" s="17" t="str">
        <x:v>program</x:v>
      </x:c>
      <x:c r="C2739" s="17" t="str">
        <x:v>Atlantis University</x:v>
      </x:c>
      <x:c r="D2739" s="17" t="str">
        <x:v>us:ipeds:485768:program:unclear:ipeds-discovery-signal-information-technology-cip-11-0103</x:v>
      </x:c>
      <x:c r="E2739" s="17" t="str"/>
      <x:c r="F2739" s="17" t="str">
        <x:v>discovery</x:v>
      </x:c>
      <x:c r="G2739" s="17" t="str">
        <x:v>Stage 2 recorded this row as a discovery candidate; it does not independently verify an exact current research program, eligibility, or funding.</x:v>
      </x:c>
      <x:c r="H2739" s="17" t="str">
        <x:v>Pass 2 Stage 2 candidate funnel</x:v>
      </x:c>
      <x:c r="I2739" s="17" t="str">
        <x:v>Graduate audit pipeline</x:v>
      </x:c>
      <x:c r="J2739" s="17" t="str">
        <x:v>derived</x:v>
      </x:c>
      <x:c r="K2739" s="17" t="str">
        <x:v>2026-09-11</x:v>
      </x:c>
      <x:c r="L2739" s="17" t="str">
        <x:v>Not cycle-specific</x:v>
      </x:c>
      <x:c r="M2739" s="17" t="str">
        <x:v>low</x:v>
      </x:c>
      <x:c r="N2739" s="17" t="str">
        <x:v>Discovery evidence only</x:v>
      </x:c>
      <x:c r="O2739" s="17" t="str">
        <x:v>Use the source_record_paths field to trace the underlying discovery inputs.</x:v>
      </x:c>
      <x:c r="P2739" s="18" t="e">
        <x:f>HYPERLINK("https://atlantisuniversity.edu","Open source")</x:f>
        <x:v>HYPERLINK is not implemented. linkLocation=https://atlantisuniversity.edu, friendlyName=Open source</x:v>
      </x:c>
    </x:row>
    <x:row r="2740" ht="46" customHeight="1">
      <x:c r="A2740" s="17" t="str">
        <x:v>stage3src:19ebf8626f24d71dadbd</x:v>
      </x:c>
      <x:c r="B2740" s="17" t="str">
        <x:v>program</x:v>
      </x:c>
      <x:c r="C2740" s="17" t="str">
        <x:v>Kennesaw State University</x:v>
      </x:c>
      <x:c r="D2740" s="17" t="str">
        <x:v>us:ipeds:486840:program:unclear:ipeds-discovery-signal-computer-science-cip-11-0701</x:v>
      </x:c>
      <x:c r="E2740" s="17" t="str"/>
      <x:c r="F2740" s="17" t="str">
        <x:v>discovery</x:v>
      </x:c>
      <x:c r="G2740" s="17" t="str">
        <x:v>Stage 2 recorded this row as a discovery candidate; it does not independently verify an exact current research program, eligibility, or funding.</x:v>
      </x:c>
      <x:c r="H2740" s="17" t="str">
        <x:v>Pass 2 Stage 2 candidate funnel</x:v>
      </x:c>
      <x:c r="I2740" s="17" t="str">
        <x:v>Graduate audit pipeline</x:v>
      </x:c>
      <x:c r="J2740" s="17" t="str">
        <x:v>derived</x:v>
      </x:c>
      <x:c r="K2740" s="17" t="str">
        <x:v>2026-09-11</x:v>
      </x:c>
      <x:c r="L2740" s="17" t="str">
        <x:v>Not cycle-specific</x:v>
      </x:c>
      <x:c r="M2740" s="17" t="str">
        <x:v>low</x:v>
      </x:c>
      <x:c r="N2740" s="17" t="str">
        <x:v>Discovery evidence only</x:v>
      </x:c>
      <x:c r="O2740" s="17" t="str">
        <x:v>Use the source_record_paths field to trace the underlying discovery inputs.</x:v>
      </x:c>
      <x:c r="P2740" s="18" t="e">
        <x:f>HYPERLINK("https://www.kennesaw.edu","Open source")</x:f>
        <x:v>HYPERLINK is not implemented. linkLocation=https://www.kennesaw.edu, friendlyName=Open source</x:v>
      </x:c>
    </x:row>
    <x:row r="2741" ht="46" customHeight="1">
      <x:c r="A2741" s="17" t="str">
        <x:v>stage3src:5484512c80615dc4a711</x:v>
      </x:c>
      <x:c r="B2741" s="17" t="str">
        <x:v>program</x:v>
      </x:c>
      <x:c r="C2741" s="17" t="str">
        <x:v>Kennesaw State University</x:v>
      </x:c>
      <x:c r="D2741" s="17" t="str">
        <x:v>us:ipeds:486840:program:unclear:ipeds-discovery-signal-computer-software-engineering-cip-14-0903</x:v>
      </x:c>
      <x:c r="E2741" s="17" t="str"/>
      <x:c r="F2741" s="17" t="str">
        <x:v>discovery</x:v>
      </x:c>
      <x:c r="G2741" s="17" t="str">
        <x:v>Stage 2 recorded this row as a discovery candidate; it does not independently verify an exact current research program, eligibility, or funding.</x:v>
      </x:c>
      <x:c r="H2741" s="17" t="str">
        <x:v>Pass 2 Stage 2 candidate funnel</x:v>
      </x:c>
      <x:c r="I2741" s="17" t="str">
        <x:v>Graduate audit pipeline</x:v>
      </x:c>
      <x:c r="J2741" s="17" t="str">
        <x:v>derived</x:v>
      </x:c>
      <x:c r="K2741" s="17" t="str">
        <x:v>2026-09-11</x:v>
      </x:c>
      <x:c r="L2741" s="17" t="str">
        <x:v>Not cycle-specific</x:v>
      </x:c>
      <x:c r="M2741" s="17" t="str">
        <x:v>low</x:v>
      </x:c>
      <x:c r="N2741" s="17" t="str">
        <x:v>Discovery evidence only</x:v>
      </x:c>
      <x:c r="O2741" s="17" t="str">
        <x:v>Use the source_record_paths field to trace the underlying discovery inputs.</x:v>
      </x:c>
      <x:c r="P2741" s="18" t="e">
        <x:f>HYPERLINK("https://www.kennesaw.edu","Open source")</x:f>
        <x:v>HYPERLINK is not implemented. linkLocation=https://www.kennesaw.edu, friendlyName=Open source</x:v>
      </x:c>
    </x:row>
    <x:row r="2742" ht="46" customHeight="1">
      <x:c r="A2742" s="17" t="str">
        <x:v>stage3src:01467b0a11c1d36c6ac4</x:v>
      </x:c>
      <x:c r="B2742" s="17" t="str">
        <x:v>program</x:v>
      </x:c>
      <x:c r="C2742" s="17" t="str">
        <x:v>Kennesaw State University</x:v>
      </x:c>
      <x:c r="D2742" s="17" t="str">
        <x:v>us:ipeds:486840:program:unclear:ipeds-discovery-signal-data-analytics-general-cip-30-7101</x:v>
      </x:c>
      <x:c r="E2742" s="17" t="str"/>
      <x:c r="F2742" s="17" t="str">
        <x:v>discovery</x:v>
      </x:c>
      <x:c r="G2742" s="17" t="str">
        <x:v>Stage 2 recorded this row as a discovery candidate; it does not independently verify an exact current research program, eligibility, or funding.</x:v>
      </x:c>
      <x:c r="H2742" s="17" t="str">
        <x:v>Pass 2 Stage 2 candidate funnel</x:v>
      </x:c>
      <x:c r="I2742" s="17" t="str">
        <x:v>Graduate audit pipeline</x:v>
      </x:c>
      <x:c r="J2742" s="17" t="str">
        <x:v>derived</x:v>
      </x:c>
      <x:c r="K2742" s="17" t="str">
        <x:v>2026-09-11</x:v>
      </x:c>
      <x:c r="L2742" s="17" t="str">
        <x:v>Not cycle-specific</x:v>
      </x:c>
      <x:c r="M2742" s="17" t="str">
        <x:v>low</x:v>
      </x:c>
      <x:c r="N2742" s="17" t="str">
        <x:v>Discovery evidence only</x:v>
      </x:c>
      <x:c r="O2742" s="17" t="str">
        <x:v>Use the source_record_paths field to trace the underlying discovery inputs.</x:v>
      </x:c>
      <x:c r="P2742" s="18" t="e">
        <x:f>HYPERLINK("https://www.kennesaw.edu","Open source")</x:f>
        <x:v>HYPERLINK is not implemented. linkLocation=https://www.kennesaw.edu, friendlyName=Open source</x:v>
      </x:c>
    </x:row>
    <x:row r="2743" ht="46" customHeight="1">
      <x:c r="A2743" s="17" t="str">
        <x:v>stage3src:f89e6fd2a6313baa17d8</x:v>
      </x:c>
      <x:c r="B2743" s="17" t="str">
        <x:v>program</x:v>
      </x:c>
      <x:c r="C2743" s="17" t="str">
        <x:v>Kennesaw State University</x:v>
      </x:c>
      <x:c r="D2743" s="17" t="str">
        <x:v>us:ipeds:486840:program:unclear:ipeds-discovery-signal-data-science-general-cip-30-7001</x:v>
      </x:c>
      <x:c r="E2743" s="17" t="str"/>
      <x:c r="F2743" s="17" t="str">
        <x:v>discovery</x:v>
      </x:c>
      <x:c r="G2743" s="17" t="str">
        <x:v>Stage 2 recorded this row as a discovery candidate; it does not independently verify an exact current research program, eligibility, or funding.</x:v>
      </x:c>
      <x:c r="H2743" s="17" t="str">
        <x:v>Pass 2 Stage 2 candidate funnel</x:v>
      </x:c>
      <x:c r="I2743" s="17" t="str">
        <x:v>Graduate audit pipeline</x:v>
      </x:c>
      <x:c r="J2743" s="17" t="str">
        <x:v>derived</x:v>
      </x:c>
      <x:c r="K2743" s="17" t="str">
        <x:v>2026-09-11</x:v>
      </x:c>
      <x:c r="L2743" s="17" t="str">
        <x:v>Not cycle-specific</x:v>
      </x:c>
      <x:c r="M2743" s="17" t="str">
        <x:v>low</x:v>
      </x:c>
      <x:c r="N2743" s="17" t="str">
        <x:v>Discovery evidence only</x:v>
      </x:c>
      <x:c r="O2743" s="17" t="str">
        <x:v>Use the source_record_paths field to trace the underlying discovery inputs.</x:v>
      </x:c>
      <x:c r="P2743" s="18" t="e">
        <x:f>HYPERLINK("https://www.kennesaw.edu","Open source")</x:f>
        <x:v>HYPERLINK is not implemented. linkLocation=https://www.kennesaw.edu, friendlyName=Open source</x:v>
      </x:c>
    </x:row>
    <x:row r="2744" ht="46" customHeight="1">
      <x:c r="A2744" s="17" t="str">
        <x:v>stage3src:7e7b79a432129cd79cdc</x:v>
      </x:c>
      <x:c r="B2744" s="17" t="str">
        <x:v>program</x:v>
      </x:c>
      <x:c r="C2744" s="17" t="str">
        <x:v>Kennesaw State University</x:v>
      </x:c>
      <x:c r="D2744" s="17" t="str">
        <x:v>us:ipeds:486840:program:unclear:ipeds-discovery-signal-information-science-studies-cip-11-0401</x:v>
      </x:c>
      <x:c r="E2744" s="17" t="str"/>
      <x:c r="F2744" s="17" t="str">
        <x:v>discovery</x:v>
      </x:c>
      <x:c r="G2744" s="17" t="str">
        <x:v>Stage 2 recorded this row as a discovery candidate; it does not independently verify an exact current research program, eligibility, or funding.</x:v>
      </x:c>
      <x:c r="H2744" s="17" t="str">
        <x:v>Pass 2 Stage 2 candidate funnel</x:v>
      </x:c>
      <x:c r="I2744" s="17" t="str">
        <x:v>Graduate audit pipeline</x:v>
      </x:c>
      <x:c r="J2744" s="17" t="str">
        <x:v>derived</x:v>
      </x:c>
      <x:c r="K2744" s="17" t="str">
        <x:v>2026-09-11</x:v>
      </x:c>
      <x:c r="L2744" s="17" t="str">
        <x:v>Not cycle-specific</x:v>
      </x:c>
      <x:c r="M2744" s="17" t="str">
        <x:v>low</x:v>
      </x:c>
      <x:c r="N2744" s="17" t="str">
        <x:v>Discovery evidence only</x:v>
      </x:c>
      <x:c r="O2744" s="17" t="str">
        <x:v>Use the source_record_paths field to trace the underlying discovery inputs.</x:v>
      </x:c>
      <x:c r="P2744" s="18" t="e">
        <x:f>HYPERLINK("https://www.kennesaw.edu","Open source")</x:f>
        <x:v>HYPERLINK is not implemented. linkLocation=https://www.kennesaw.edu, friendlyName=Open source</x:v>
      </x:c>
    </x:row>
    <x:row r="2745" ht="46" customHeight="1">
      <x:c r="A2745" s="17" t="str">
        <x:v>stage3src:5dccffd4418c26c3ad28</x:v>
      </x:c>
      <x:c r="B2745" s="17" t="str">
        <x:v>program</x:v>
      </x:c>
      <x:c r="C2745" s="17" t="str">
        <x:v>Kennesaw State University</x:v>
      </x:c>
      <x:c r="D2745" s="17" t="str">
        <x:v>us:ipeds:486840:program:unclear:ipeds-discovery-signal-information-technology-cip-11-0103</x:v>
      </x:c>
      <x:c r="E2745" s="17" t="str"/>
      <x:c r="F2745" s="17" t="str">
        <x:v>discovery</x:v>
      </x:c>
      <x:c r="G2745" s="17" t="str">
        <x:v>Stage 2 recorded this row as a discovery candidate; it does not independently verify an exact current research program, eligibility, or funding.</x:v>
      </x:c>
      <x:c r="H2745" s="17" t="str">
        <x:v>Pass 2 Stage 2 candidate funnel</x:v>
      </x:c>
      <x:c r="I2745" s="17" t="str">
        <x:v>Graduate audit pipeline</x:v>
      </x:c>
      <x:c r="J2745" s="17" t="str">
        <x:v>derived</x:v>
      </x:c>
      <x:c r="K2745" s="17" t="str">
        <x:v>2026-09-11</x:v>
      </x:c>
      <x:c r="L2745" s="17" t="str">
        <x:v>Not cycle-specific</x:v>
      </x:c>
      <x:c r="M2745" s="17" t="str">
        <x:v>low</x:v>
      </x:c>
      <x:c r="N2745" s="17" t="str">
        <x:v>Discovery evidence only</x:v>
      </x:c>
      <x:c r="O2745" s="17" t="str">
        <x:v>Use the source_record_paths field to trace the underlying discovery inputs.</x:v>
      </x:c>
      <x:c r="P2745" s="18" t="e">
        <x:f>HYPERLINK("https://www.kennesaw.edu","Open source")</x:f>
        <x:v>HYPERLINK is not implemented. linkLocation=https://www.kennesaw.edu, friendlyName=Open source</x:v>
      </x:c>
    </x:row>
    <x:row r="2746" ht="46" customHeight="1">
      <x:c r="A2746" s="17" t="str">
        <x:v>stage3src:93950ae595fbfcca4b72</x:v>
      </x:c>
      <x:c r="B2746" s="17" t="str">
        <x:v>program</x:v>
      </x:c>
      <x:c r="C2746" s="17" t="str">
        <x:v>Kennesaw State University</x:v>
      </x:c>
      <x:c r="D2746" s="17" t="str">
        <x:v>us:ipeds:486840:program:unclear:ipeds-discovery-signal-mechatronics-robotics-and-automation-engineering-cip-14-4201</x:v>
      </x:c>
      <x:c r="E2746" s="17" t="str"/>
      <x:c r="F2746" s="17" t="str">
        <x:v>discovery</x:v>
      </x:c>
      <x:c r="G2746" s="17" t="str">
        <x:v>Stage 2 recorded this row as a discovery candidate; it does not independently verify an exact current research program, eligibility, or funding.</x:v>
      </x:c>
      <x:c r="H2746" s="17" t="str">
        <x:v>Pass 2 Stage 2 candidate funnel</x:v>
      </x:c>
      <x:c r="I2746" s="17" t="str">
        <x:v>Graduate audit pipeline</x:v>
      </x:c>
      <x:c r="J2746" s="17" t="str">
        <x:v>derived</x:v>
      </x:c>
      <x:c r="K2746" s="17" t="str">
        <x:v>2026-09-11</x:v>
      </x:c>
      <x:c r="L2746" s="17" t="str">
        <x:v>Not cycle-specific</x:v>
      </x:c>
      <x:c r="M2746" s="17" t="str">
        <x:v>low</x:v>
      </x:c>
      <x:c r="N2746" s="17" t="str">
        <x:v>Discovery evidence only</x:v>
      </x:c>
      <x:c r="O2746" s="17" t="str">
        <x:v>Use the source_record_paths field to trace the underlying discovery inputs.</x:v>
      </x:c>
      <x:c r="P2746" s="18" t="e">
        <x:f>HYPERLINK("https://www.kennesaw.edu","Open source")</x:f>
        <x:v>HYPERLINK is not implemented. linkLocation=https://www.kennesaw.edu, friendlyName=Open source</x:v>
      </x:c>
    </x:row>
    <x:row r="2747" ht="46" customHeight="1">
      <x:c r="A2747" s="17" t="str">
        <x:v>stage3src:20dd128c88d7a075e9de</x:v>
      </x:c>
      <x:c r="B2747" s="17" t="str">
        <x:v>program</x:v>
      </x:c>
      <x:c r="C2747" s="17" t="str">
        <x:v>Milligan University</x:v>
      </x:c>
      <x:c r="D2747" s="17" t="str">
        <x:v>us:ipeds:486901:program:unclear:ipeds-discovery-signal-computer-and-information-sciences-general-cip-11-0101</x:v>
      </x:c>
      <x:c r="E2747" s="17" t="str"/>
      <x:c r="F2747" s="17" t="str">
        <x:v>discovery</x:v>
      </x:c>
      <x:c r="G2747" s="17" t="str">
        <x:v>Stage 2 recorded this row as a discovery candidate; it does not independently verify an exact current research program, eligibility, or funding.</x:v>
      </x:c>
      <x:c r="H2747" s="17" t="str">
        <x:v>Pass 2 Stage 2 candidate funnel</x:v>
      </x:c>
      <x:c r="I2747" s="17" t="str">
        <x:v>Graduate audit pipeline</x:v>
      </x:c>
      <x:c r="J2747" s="17" t="str">
        <x:v>derived</x:v>
      </x:c>
      <x:c r="K2747" s="17" t="str">
        <x:v>2026-09-11</x:v>
      </x:c>
      <x:c r="L2747" s="17" t="str">
        <x:v>Not cycle-specific</x:v>
      </x:c>
      <x:c r="M2747" s="17" t="str">
        <x:v>low</x:v>
      </x:c>
      <x:c r="N2747" s="17" t="str">
        <x:v>Discovery evidence only</x:v>
      </x:c>
      <x:c r="O2747" s="17" t="str">
        <x:v>Use the source_record_paths field to trace the underlying discovery inputs.</x:v>
      </x:c>
      <x:c r="P2747" s="18" t="e">
        <x:f>HYPERLINK("https://www.milligan.edu","Open source")</x:f>
        <x:v>HYPERLINK is not implemented. linkLocation=https://www.milligan.edu, friendlyName=Open source</x:v>
      </x:c>
    </x:row>
    <x:row r="2748" ht="46" customHeight="1">
      <x:c r="A2748" s="17" t="str">
        <x:v>stage3src:32308bb1a934c59174b4</x:v>
      </x:c>
      <x:c r="B2748" s="17" t="str">
        <x:v>program</x:v>
      </x:c>
      <x:c r="C2748" s="17" t="str">
        <x:v>Abraham Lincoln University</x:v>
      </x:c>
      <x:c r="D2748" s="17" t="str">
        <x:v>us:ipeds:488031:program:unclear:ipeds-discovery-signal-cyber-computer-forensics-and-counterterrorism-cip-43-0403</x:v>
      </x:c>
      <x:c r="E2748" s="17" t="str"/>
      <x:c r="F2748" s="17" t="str">
        <x:v>discovery</x:v>
      </x:c>
      <x:c r="G2748" s="17" t="str">
        <x:v>Stage 2 recorded this row as a discovery candidate; it does not independently verify an exact current research program, eligibility, or funding.</x:v>
      </x:c>
      <x:c r="H2748" s="17" t="str">
        <x:v>Pass 2 Stage 2 candidate funnel</x:v>
      </x:c>
      <x:c r="I2748" s="17" t="str">
        <x:v>Graduate audit pipeline</x:v>
      </x:c>
      <x:c r="J2748" s="17" t="str">
        <x:v>derived</x:v>
      </x:c>
      <x:c r="K2748" s="17" t="str">
        <x:v>2026-09-11</x:v>
      </x:c>
      <x:c r="L2748" s="17" t="str">
        <x:v>Not cycle-specific</x:v>
      </x:c>
      <x:c r="M2748" s="17" t="str">
        <x:v>low</x:v>
      </x:c>
      <x:c r="N2748" s="17" t="str">
        <x:v>Discovery evidence only</x:v>
      </x:c>
      <x:c r="O2748" s="17" t="str">
        <x:v>Use the source_record_paths field to trace the underlying discovery inputs.</x:v>
      </x:c>
      <x:c r="P2748" s="18" t="e">
        <x:f>HYPERLINK("https://www.alu.edu","Open source")</x:f>
        <x:v>HYPERLINK is not implemented. linkLocation=https://www.alu.edu, friendlyName=Open source</x:v>
      </x:c>
    </x:row>
    <x:row r="2749" ht="46" customHeight="1">
      <x:c r="A2749" s="17" t="str">
        <x:v>stage3src:69e716555cab578bc646</x:v>
      </x:c>
      <x:c r="B2749" s="17" t="str">
        <x:v>program</x:v>
      </x:c>
      <x:c r="C2749" s="17" t="str">
        <x:v>University of the People</x:v>
      </x:c>
      <x:c r="D2749" s="17" t="str">
        <x:v>us:ipeds:488846:program:unclear:ipeds-discovery-signal-information-technology-cip-11-0103</x:v>
      </x:c>
      <x:c r="E2749" s="17" t="str"/>
      <x:c r="F2749" s="17" t="str">
        <x:v>discovery</x:v>
      </x:c>
      <x:c r="G2749" s="17" t="str">
        <x:v>Stage 2 recorded this row as a discovery candidate; it does not independently verify an exact current research program, eligibility, or funding.</x:v>
      </x:c>
      <x:c r="H2749" s="17" t="str">
        <x:v>Pass 2 Stage 2 candidate funnel</x:v>
      </x:c>
      <x:c r="I2749" s="17" t="str">
        <x:v>Graduate audit pipeline</x:v>
      </x:c>
      <x:c r="J2749" s="17" t="str">
        <x:v>derived</x:v>
      </x:c>
      <x:c r="K2749" s="17" t="str">
        <x:v>2026-09-11</x:v>
      </x:c>
      <x:c r="L2749" s="17" t="str">
        <x:v>Not cycle-specific</x:v>
      </x:c>
      <x:c r="M2749" s="17" t="str">
        <x:v>low</x:v>
      </x:c>
      <x:c r="N2749" s="17" t="str">
        <x:v>Discovery evidence only</x:v>
      </x:c>
      <x:c r="O2749" s="17" t="str">
        <x:v>Use the source_record_paths field to trace the underlying discovery inputs.</x:v>
      </x:c>
      <x:c r="P2749" s="18" t="e">
        <x:f>HYPERLINK("https://www.uopeople.edu","Open source")</x:f>
        <x:v>HYPERLINK is not implemented. linkLocation=https://www.uopeople.edu, friendlyName=Open source</x:v>
      </x:c>
    </x:row>
    <x:row r="2750" ht="46" customHeight="1">
      <x:c r="A2750" s="17" t="str">
        <x:v>stage3src:e71ff2ddc646e406bb8a</x:v>
      </x:c>
      <x:c r="B2750" s="17" t="str">
        <x:v>program</x:v>
      </x:c>
      <x:c r="C2750" s="17" t="str">
        <x:v>Purdue University Global</x:v>
      </x:c>
      <x:c r="D2750" s="17" t="str">
        <x:v>us:ipeds:489779:program:unclear:ipeds-discovery-signal-computer-and-information-sciences-general-cip-11-0101</x:v>
      </x:c>
      <x:c r="E2750" s="17" t="str"/>
      <x:c r="F2750" s="17" t="str">
        <x:v>discovery</x:v>
      </x:c>
      <x:c r="G2750" s="17" t="str">
        <x:v>Stage 2 recorded this row as a discovery candidate; it does not independently verify an exact current research program, eligibility, or funding.</x:v>
      </x:c>
      <x:c r="H2750" s="17" t="str">
        <x:v>Pass 2 Stage 2 candidate funnel</x:v>
      </x:c>
      <x:c r="I2750" s="17" t="str">
        <x:v>Graduate audit pipeline</x:v>
      </x:c>
      <x:c r="J2750" s="17" t="str">
        <x:v>derived</x:v>
      </x:c>
      <x:c r="K2750" s="17" t="str">
        <x:v>2026-09-11</x:v>
      </x:c>
      <x:c r="L2750" s="17" t="str">
        <x:v>Not cycle-specific</x:v>
      </x:c>
      <x:c r="M2750" s="17" t="str">
        <x:v>low</x:v>
      </x:c>
      <x:c r="N2750" s="17" t="str">
        <x:v>Discovery evidence only</x:v>
      </x:c>
      <x:c r="O2750" s="17" t="str">
        <x:v>Use the source_record_paths field to trace the underlying discovery inputs.</x:v>
      </x:c>
      <x:c r="P2750" s="18" t="e">
        <x:f>HYPERLINK("https://www.purdueglobal.edu","Open source")</x:f>
        <x:v>HYPERLINK is not implemented. linkLocation=https://www.purdueglobal.edu, friendlyName=Open source</x:v>
      </x:c>
    </x:row>
    <x:row r="2751" ht="46" customHeight="1">
      <x:c r="A2751" s="17" t="str">
        <x:v>stage3src:d6262d748b041c6b0ee8</x:v>
      </x:c>
      <x:c r="B2751" s="17" t="str">
        <x:v>program</x:v>
      </x:c>
      <x:c r="C2751" s="17" t="str">
        <x:v>Purdue University Global</x:v>
      </x:c>
      <x:c r="D2751" s="17" t="str">
        <x:v>us:ipeds:489779:program:unclear:ipeds-discovery-signal-computer-and-information-systems-security-auditing-information-assurance-cip-11-1003</x:v>
      </x:c>
      <x:c r="E2751" s="17" t="str"/>
      <x:c r="F2751" s="17" t="str">
        <x:v>discovery</x:v>
      </x:c>
      <x:c r="G2751" s="17" t="str">
        <x:v>Stage 2 recorded this row as a discovery candidate; it does not independently verify an exact current research program, eligibility, or funding.</x:v>
      </x:c>
      <x:c r="H2751" s="17" t="str">
        <x:v>Pass 2 Stage 2 candidate funnel</x:v>
      </x:c>
      <x:c r="I2751" s="17" t="str">
        <x:v>Graduate audit pipeline</x:v>
      </x:c>
      <x:c r="J2751" s="17" t="str">
        <x:v>derived</x:v>
      </x:c>
      <x:c r="K2751" s="17" t="str">
        <x:v>2026-09-11</x:v>
      </x:c>
      <x:c r="L2751" s="17" t="str">
        <x:v>Not cycle-specific</x:v>
      </x:c>
      <x:c r="M2751" s="17" t="str">
        <x:v>low</x:v>
      </x:c>
      <x:c r="N2751" s="17" t="str">
        <x:v>Discovery evidence only</x:v>
      </x:c>
      <x:c r="O2751" s="17" t="str">
        <x:v>Use the source_record_paths field to trace the underlying discovery inputs.</x:v>
      </x:c>
      <x:c r="P2751" s="18" t="e">
        <x:f>HYPERLINK("https://www.purdueglobal.edu","Open source")</x:f>
        <x:v>HYPERLINK is not implemented. linkLocation=https://www.purdueglobal.edu, friendlyName=Open source</x:v>
      </x:c>
    </x:row>
    <x:row r="2752" ht="46" customHeight="1">
      <x:c r="A2752" s="17" t="str">
        <x:v>stage3src:82896f1f5eb029457872</x:v>
      </x:c>
      <x:c r="B2752" s="17" t="str">
        <x:v>program</x:v>
      </x:c>
      <x:c r="C2752" s="17" t="str">
        <x:v>Purdue University Global</x:v>
      </x:c>
      <x:c r="D2752" s="17" t="str">
        <x:v>us:ipeds:489779:program:unclear:ipeds-discovery-signal-data-analytics-general-cip-30-7101</x:v>
      </x:c>
      <x:c r="E2752" s="17" t="str"/>
      <x:c r="F2752" s="17" t="str">
        <x:v>discovery</x:v>
      </x:c>
      <x:c r="G2752" s="17" t="str">
        <x:v>Stage 2 recorded this row as a discovery candidate; it does not independently verify an exact current research program, eligibility, or funding.</x:v>
      </x:c>
      <x:c r="H2752" s="17" t="str">
        <x:v>Pass 2 Stage 2 candidate funnel</x:v>
      </x:c>
      <x:c r="I2752" s="17" t="str">
        <x:v>Graduate audit pipeline</x:v>
      </x:c>
      <x:c r="J2752" s="17" t="str">
        <x:v>derived</x:v>
      </x:c>
      <x:c r="K2752" s="17" t="str">
        <x:v>2026-09-11</x:v>
      </x:c>
      <x:c r="L2752" s="17" t="str">
        <x:v>Not cycle-specific</x:v>
      </x:c>
      <x:c r="M2752" s="17" t="str">
        <x:v>low</x:v>
      </x:c>
      <x:c r="N2752" s="17" t="str">
        <x:v>Discovery evidence only</x:v>
      </x:c>
      <x:c r="O2752" s="17" t="str">
        <x:v>Use the source_record_paths field to trace the underlying discovery inputs.</x:v>
      </x:c>
      <x:c r="P2752" s="18" t="e">
        <x:f>HYPERLINK("https://www.purdueglobal.edu","Open source")</x:f>
        <x:v>HYPERLINK is not implemented. linkLocation=https://www.purdueglobal.edu, friendlyName=Open source</x:v>
      </x:c>
    </x:row>
    <x:row r="2753" ht="46" customHeight="1">
      <x:c r="A2753" s="17" t="str">
        <x:v>stage3src:5b92782b1243dfac07fe</x:v>
      </x:c>
      <x:c r="B2753" s="17" t="str">
        <x:v>program</x:v>
      </x:c>
      <x:c r="C2753" s="17" t="str">
        <x:v>Carolina University</x:v>
      </x:c>
      <x:c r="D2753" s="17" t="str">
        <x:v>us:ipeds:489937:program:unclear:ipeds-discovery-signal-data-science-general-cip-30-7001</x:v>
      </x:c>
      <x:c r="E2753" s="17" t="str"/>
      <x:c r="F2753" s="17" t="str">
        <x:v>discovery</x:v>
      </x:c>
      <x:c r="G2753" s="17" t="str">
        <x:v>Stage 2 recorded this row as a discovery candidate; it does not independently verify an exact current research program, eligibility, or funding.</x:v>
      </x:c>
      <x:c r="H2753" s="17" t="str">
        <x:v>Pass 2 Stage 2 candidate funnel</x:v>
      </x:c>
      <x:c r="I2753" s="17" t="str">
        <x:v>Graduate audit pipeline</x:v>
      </x:c>
      <x:c r="J2753" s="17" t="str">
        <x:v>derived</x:v>
      </x:c>
      <x:c r="K2753" s="17" t="str">
        <x:v>2026-09-11</x:v>
      </x:c>
      <x:c r="L2753" s="17" t="str">
        <x:v>Not cycle-specific</x:v>
      </x:c>
      <x:c r="M2753" s="17" t="str">
        <x:v>low</x:v>
      </x:c>
      <x:c r="N2753" s="17" t="str">
        <x:v>Discovery evidence only</x:v>
      </x:c>
      <x:c r="O2753" s="17" t="str">
        <x:v>Use the source_record_paths field to trace the underlying discovery inputs.</x:v>
      </x:c>
      <x:c r="P2753" s="18" t="e">
        <x:f>HYPERLINK("https://www.carolinau.edu","Open source")</x:f>
        <x:v>HYPERLINK is not implemented. linkLocation=https://www.carolinau.edu, friendlyName=Open source</x:v>
      </x:c>
    </x:row>
    <x:row r="2754" ht="46" customHeight="1">
      <x:c r="A2754" s="17" t="str">
        <x:v>stage3src:28571d7dd13c55640012</x:v>
      </x:c>
      <x:c r="B2754" s="17" t="str">
        <x:v>program</x:v>
      </x:c>
      <x:c r="C2754" s="17" t="str">
        <x:v>Westcliff University</x:v>
      </x:c>
      <x:c r="D2754" s="17" t="str">
        <x:v>us:ipeds:490133:program:unclear:ipeds-discovery-signal-computer-and-information-sciences-general-cip-11-0101</x:v>
      </x:c>
      <x:c r="E2754" s="17" t="str"/>
      <x:c r="F2754" s="17" t="str">
        <x:v>discovery</x:v>
      </x:c>
      <x:c r="G2754" s="17" t="str">
        <x:v>Stage 2 recorded this row as a discovery candidate; it does not independently verify an exact current research program, eligibility, or funding.</x:v>
      </x:c>
      <x:c r="H2754" s="17" t="str">
        <x:v>Pass 2 Stage 2 candidate funnel</x:v>
      </x:c>
      <x:c r="I2754" s="17" t="str">
        <x:v>Graduate audit pipeline</x:v>
      </x:c>
      <x:c r="J2754" s="17" t="str">
        <x:v>derived</x:v>
      </x:c>
      <x:c r="K2754" s="17" t="str">
        <x:v>2026-09-11</x:v>
      </x:c>
      <x:c r="L2754" s="17" t="str">
        <x:v>Not cycle-specific</x:v>
      </x:c>
      <x:c r="M2754" s="17" t="str">
        <x:v>low</x:v>
      </x:c>
      <x:c r="N2754" s="17" t="str">
        <x:v>Discovery evidence only</x:v>
      </x:c>
      <x:c r="O2754" s="17" t="str">
        <x:v>Use the source_record_paths field to trace the underlying discovery inputs.</x:v>
      </x:c>
      <x:c r="P2754" s="18" t="e">
        <x:f>HYPERLINK("https://www.westcliff.edu","Open source")</x:f>
        <x:v>HYPERLINK is not implemented. linkLocation=https://www.westcliff.edu, friendlyName=Open source</x:v>
      </x:c>
    </x:row>
    <x:row r="2755" ht="46" customHeight="1">
      <x:c r="A2755" s="17" t="str">
        <x:v>stage3src:fa0e8a79c9314e614a9e</x:v>
      </x:c>
      <x:c r="B2755" s="17" t="str">
        <x:v>program</x:v>
      </x:c>
      <x:c r="C2755" s="17" t="str">
        <x:v>Westcliff University</x:v>
      </x:c>
      <x:c r="D2755" s="17" t="str">
        <x:v>us:ipeds:490133:program:unclear:ipeds-discovery-signal-computer-and-information-systems-security-auditing-information-assurance-cip-11-1003</x:v>
      </x:c>
      <x:c r="E2755" s="17" t="str"/>
      <x:c r="F2755" s="17" t="str">
        <x:v>discovery</x:v>
      </x:c>
      <x:c r="G2755" s="17" t="str">
        <x:v>Stage 2 recorded this row as a discovery candidate; it does not independently verify an exact current research program, eligibility, or funding.</x:v>
      </x:c>
      <x:c r="H2755" s="17" t="str">
        <x:v>Pass 2 Stage 2 candidate funnel</x:v>
      </x:c>
      <x:c r="I2755" s="17" t="str">
        <x:v>Graduate audit pipeline</x:v>
      </x:c>
      <x:c r="J2755" s="17" t="str">
        <x:v>derived</x:v>
      </x:c>
      <x:c r="K2755" s="17" t="str">
        <x:v>2026-09-11</x:v>
      </x:c>
      <x:c r="L2755" s="17" t="str">
        <x:v>Not cycle-specific</x:v>
      </x:c>
      <x:c r="M2755" s="17" t="str">
        <x:v>low</x:v>
      </x:c>
      <x:c r="N2755" s="17" t="str">
        <x:v>Discovery evidence only</x:v>
      </x:c>
      <x:c r="O2755" s="17" t="str">
        <x:v>Use the source_record_paths field to trace the underlying discovery inputs.</x:v>
      </x:c>
      <x:c r="P2755" s="18" t="e">
        <x:f>HYPERLINK("https://www.westcliff.edu","Open source")</x:f>
        <x:v>HYPERLINK is not implemented. linkLocation=https://www.westcliff.edu, friendlyName=Open source</x:v>
      </x:c>
    </x:row>
    <x:row r="2756" ht="46" customHeight="1">
      <x:c r="A2756" s="17" t="str">
        <x:v>stage3src:3af57476b756f1204a3c</x:v>
      </x:c>
      <x:c r="B2756" s="17" t="str">
        <x:v>program</x:v>
      </x:c>
      <x:c r="C2756" s="17" t="str">
        <x:v>Westcliff University</x:v>
      </x:c>
      <x:c r="D2756" s="17" t="str">
        <x:v>us:ipeds:490133:program:unclear:ipeds-discovery-signal-data-analytics-general-cip-30-7101</x:v>
      </x:c>
      <x:c r="E2756" s="17" t="str"/>
      <x:c r="F2756" s="17" t="str">
        <x:v>discovery</x:v>
      </x:c>
      <x:c r="G2756" s="17" t="str">
        <x:v>Stage 2 recorded this row as a discovery candidate; it does not independently verify an exact current research program, eligibility, or funding.</x:v>
      </x:c>
      <x:c r="H2756" s="17" t="str">
        <x:v>Pass 2 Stage 2 candidate funnel</x:v>
      </x:c>
      <x:c r="I2756" s="17" t="str">
        <x:v>Graduate audit pipeline</x:v>
      </x:c>
      <x:c r="J2756" s="17" t="str">
        <x:v>derived</x:v>
      </x:c>
      <x:c r="K2756" s="17" t="str">
        <x:v>2026-09-11</x:v>
      </x:c>
      <x:c r="L2756" s="17" t="str">
        <x:v>Not cycle-specific</x:v>
      </x:c>
      <x:c r="M2756" s="17" t="str">
        <x:v>low</x:v>
      </x:c>
      <x:c r="N2756" s="17" t="str">
        <x:v>Discovery evidence only</x:v>
      </x:c>
      <x:c r="O2756" s="17" t="str">
        <x:v>Use the source_record_paths field to trace the underlying discovery inputs.</x:v>
      </x:c>
      <x:c r="P2756" s="18" t="e">
        <x:f>HYPERLINK("https://www.westcliff.edu","Open source")</x:f>
        <x:v>HYPERLINK is not implemented. linkLocation=https://www.westcliff.edu, friendlyName=Open source</x:v>
      </x:c>
    </x:row>
    <x:row r="2757" ht="46" customHeight="1">
      <x:c r="A2757" s="17" t="str">
        <x:v>stage3src:bc1932e70951dbae59bd</x:v>
      </x:c>
      <x:c r="B2757" s="17" t="str">
        <x:v>program</x:v>
      </x:c>
      <x:c r="C2757" s="17" t="str">
        <x:v>Westcliff University</x:v>
      </x:c>
      <x:c r="D2757" s="17" t="str">
        <x:v>us:ipeds:490133:program:unclear:ipeds-discovery-signal-information-technology-cip-11-0103</x:v>
      </x:c>
      <x:c r="E2757" s="17" t="str"/>
      <x:c r="F2757" s="17" t="str">
        <x:v>discovery</x:v>
      </x:c>
      <x:c r="G2757" s="17" t="str">
        <x:v>Stage 2 recorded this row as a discovery candidate; it does not independently verify an exact current research program, eligibility, or funding.</x:v>
      </x:c>
      <x:c r="H2757" s="17" t="str">
        <x:v>Pass 2 Stage 2 candidate funnel</x:v>
      </x:c>
      <x:c r="I2757" s="17" t="str">
        <x:v>Graduate audit pipeline</x:v>
      </x:c>
      <x:c r="J2757" s="17" t="str">
        <x:v>derived</x:v>
      </x:c>
      <x:c r="K2757" s="17" t="str">
        <x:v>2026-09-11</x:v>
      </x:c>
      <x:c r="L2757" s="17" t="str">
        <x:v>Not cycle-specific</x:v>
      </x:c>
      <x:c r="M2757" s="17" t="str">
        <x:v>low</x:v>
      </x:c>
      <x:c r="N2757" s="17" t="str">
        <x:v>Discovery evidence only</x:v>
      </x:c>
      <x:c r="O2757" s="17" t="str">
        <x:v>Use the source_record_paths field to trace the underlying discovery inputs.</x:v>
      </x:c>
      <x:c r="P2757" s="18" t="e">
        <x:f>HYPERLINK("https://www.westcliff.edu","Open source")</x:f>
        <x:v>HYPERLINK is not implemented. linkLocation=https://www.westcliff.edu, friendlyName=Open source</x:v>
      </x:c>
    </x:row>
    <x:row r="2758" ht="46" customHeight="1">
      <x:c r="A2758" s="17" t="str">
        <x:v>stage3src:c28ea88490b1f6f87d3c</x:v>
      </x:c>
      <x:c r="B2758" s="17" t="str">
        <x:v>program</x:v>
      </x:c>
      <x:c r="C2758" s="17" t="str">
        <x:v>Purdue University Northwest</x:v>
      </x:c>
      <x:c r="D2758" s="17" t="str">
        <x:v>us:ipeds:490805:program:unclear:ipeds-discovery-signal-computer-science-cip-11-0701</x:v>
      </x:c>
      <x:c r="E2758" s="17" t="str"/>
      <x:c r="F2758" s="17" t="str">
        <x:v>discovery</x:v>
      </x:c>
      <x:c r="G2758" s="17" t="str">
        <x:v>Stage 2 recorded this row as a discovery candidate; it does not independently verify an exact current research program, eligibility, or funding.</x:v>
      </x:c>
      <x:c r="H2758" s="17" t="str">
        <x:v>Pass 2 Stage 2 candidate funnel</x:v>
      </x:c>
      <x:c r="I2758" s="17" t="str">
        <x:v>Graduate audit pipeline</x:v>
      </x:c>
      <x:c r="J2758" s="17" t="str">
        <x:v>derived</x:v>
      </x:c>
      <x:c r="K2758" s="17" t="str">
        <x:v>2026-09-11</x:v>
      </x:c>
      <x:c r="L2758" s="17" t="str">
        <x:v>Not cycle-specific</x:v>
      </x:c>
      <x:c r="M2758" s="17" t="str">
        <x:v>low</x:v>
      </x:c>
      <x:c r="N2758" s="17" t="str">
        <x:v>Discovery evidence only</x:v>
      </x:c>
      <x:c r="O2758" s="17" t="str">
        <x:v>Use the source_record_paths field to trace the underlying discovery inputs.</x:v>
      </x:c>
      <x:c r="P2758" s="18" t="e">
        <x:f>HYPERLINK("https://www.pnw.edu","Open source")</x:f>
        <x:v>HYPERLINK is not implemented. linkLocation=https://www.pnw.edu, friendlyName=Open source</x:v>
      </x:c>
    </x:row>
    <x:row r="2759" ht="46" customHeight="1">
      <x:c r="A2759" s="17" t="str">
        <x:v>stage3src:bc2895d414910b6dd855</x:v>
      </x:c>
      <x:c r="B2759" s="17" t="str">
        <x:v>program</x:v>
      </x:c>
      <x:c r="C2759" s="17" t="str">
        <x:v>Purdue University Northwest</x:v>
      </x:c>
      <x:c r="D2759" s="17" t="str">
        <x:v>us:ipeds:490805:program:unclear:ipeds-discovery-signal-electrical-and-electronics-engineering-cip-14-1001</x:v>
      </x:c>
      <x:c r="E2759" s="17" t="str"/>
      <x:c r="F2759" s="17" t="str">
        <x:v>discovery</x:v>
      </x:c>
      <x:c r="G2759" s="17" t="str">
        <x:v>Stage 2 recorded this row as a discovery candidate; it does not independently verify an exact current research program, eligibility, or funding.</x:v>
      </x:c>
      <x:c r="H2759" s="17" t="str">
        <x:v>Pass 2 Stage 2 candidate funnel</x:v>
      </x:c>
      <x:c r="I2759" s="17" t="str">
        <x:v>Graduate audit pipeline</x:v>
      </x:c>
      <x:c r="J2759" s="17" t="str">
        <x:v>derived</x:v>
      </x:c>
      <x:c r="K2759" s="17" t="str">
        <x:v>2026-09-11</x:v>
      </x:c>
      <x:c r="L2759" s="17" t="str">
        <x:v>Not cycle-specific</x:v>
      </x:c>
      <x:c r="M2759" s="17" t="str">
        <x:v>low</x:v>
      </x:c>
      <x:c r="N2759" s="17" t="str">
        <x:v>Discovery evidence only</x:v>
      </x:c>
      <x:c r="O2759" s="17" t="str">
        <x:v>Use the source_record_paths field to trace the underlying discovery inputs.</x:v>
      </x:c>
      <x:c r="P2759" s="18" t="e">
        <x:f>HYPERLINK("https://www.pnw.edu","Open source")</x:f>
        <x:v>HYPERLINK is not implemented. linkLocation=https://www.pnw.edu, friendlyName=Open source</x:v>
      </x:c>
    </x:row>
    <x:row r="2760" ht="46" customHeight="1">
      <x:c r="A2760" s="17" t="str">
        <x:v>stage3src:6ecb68a6b87ddbb41cc7</x:v>
      </x:c>
      <x:c r="B2760" s="17" t="str">
        <x:v>program</x:v>
      </x:c>
      <x:c r="C2760" s="17" t="str">
        <x:v>SANS Technology Institute</x:v>
      </x:c>
      <x:c r="D2760" s="17" t="str">
        <x:v>us:ipeds:493895:program:unclear:ipeds-discovery-signal-computer-and-information-systems-security-auditing-information-assurance-cip-11-1003</x:v>
      </x:c>
      <x:c r="E2760" s="17" t="str"/>
      <x:c r="F2760" s="17" t="str">
        <x:v>discovery</x:v>
      </x:c>
      <x:c r="G2760" s="17" t="str">
        <x:v>Stage 2 recorded this row as a discovery candidate; it does not independently verify an exact current research program, eligibility, or funding.</x:v>
      </x:c>
      <x:c r="H2760" s="17" t="str">
        <x:v>Pass 2 Stage 2 candidate funnel</x:v>
      </x:c>
      <x:c r="I2760" s="17" t="str">
        <x:v>Graduate audit pipeline</x:v>
      </x:c>
      <x:c r="J2760" s="17" t="str">
        <x:v>derived</x:v>
      </x:c>
      <x:c r="K2760" s="17" t="str">
        <x:v>2026-09-11</x:v>
      </x:c>
      <x:c r="L2760" s="17" t="str">
        <x:v>Not cycle-specific</x:v>
      </x:c>
      <x:c r="M2760" s="17" t="str">
        <x:v>low</x:v>
      </x:c>
      <x:c r="N2760" s="17" t="str">
        <x:v>Discovery evidence only</x:v>
      </x:c>
      <x:c r="O2760" s="17" t="str">
        <x:v>Use the source_record_paths field to trace the underlying discovery inputs.</x:v>
      </x:c>
      <x:c r="P2760" s="18" t="e">
        <x:f>HYPERLINK("https://www.sans.edu","Open source")</x:f>
        <x:v>HYPERLINK is not implemented. linkLocation=https://www.sans.edu, friendlyName=Open source</x:v>
      </x:c>
    </x:row>
    <x:row r="2761" ht="46" customHeight="1">
      <x:c r="A2761" s="17" t="str">
        <x:v>stage3src:8b4dbb77bfd28a8aad6c</x:v>
      </x:c>
      <x:c r="B2761" s="17" t="str">
        <x:v>program</x:v>
      </x:c>
      <x:c r="C2761" s="17" t="str">
        <x:v>Commonwealth University of Pennsylvania</x:v>
      </x:c>
      <x:c r="D2761" s="17" t="str">
        <x:v>us:ipeds:498562:program:unclear:ipeds-discovery-signal-information-technology-cip-11-0103</x:v>
      </x:c>
      <x:c r="E2761" s="17" t="str"/>
      <x:c r="F2761" s="17" t="str">
        <x:v>discovery</x:v>
      </x:c>
      <x:c r="G2761" s="17" t="str">
        <x:v>Stage 2 recorded this row as a discovery candidate; it does not independently verify an exact current research program, eligibility, or funding.</x:v>
      </x:c>
      <x:c r="H2761" s="17" t="str">
        <x:v>Pass 2 Stage 2 candidate funnel</x:v>
      </x:c>
      <x:c r="I2761" s="17" t="str">
        <x:v>Graduate audit pipeline</x:v>
      </x:c>
      <x:c r="J2761" s="17" t="str">
        <x:v>derived</x:v>
      </x:c>
      <x:c r="K2761" s="17" t="str">
        <x:v>2026-09-11</x:v>
      </x:c>
      <x:c r="L2761" s="17" t="str">
        <x:v>Not cycle-specific</x:v>
      </x:c>
      <x:c r="M2761" s="17" t="str">
        <x:v>low</x:v>
      </x:c>
      <x:c r="N2761" s="17" t="str">
        <x:v>Discovery evidence only</x:v>
      </x:c>
      <x:c r="O2761" s="17" t="str">
        <x:v>Use the source_record_paths field to trace the underlying discovery inputs.</x:v>
      </x:c>
      <x:c r="P2761" s="18" t="e">
        <x:f>HYPERLINK("https://www.commonwealthu.edu","Open source")</x:f>
        <x:v>HYPERLINK is not implemented. linkLocation=https://www.commonwealthu.edu, friendlyName=Open source</x:v>
      </x:c>
    </x:row>
    <x:row r="2762" ht="46" customHeight="1">
      <x:c r="A2762" s="17" t="str">
        <x:v>stage3src:9c1ff594bfefa890003f</x:v>
      </x:c>
      <x:c r="B2762" s="17" t="str">
        <x:v>program</x:v>
      </x:c>
      <x:c r="C2762" s="17" t="str">
        <x:v>Pennsylvania Western University</x:v>
      </x:c>
      <x:c r="D2762" s="17" t="str">
        <x:v>us:ipeds:498571:program:unclear:ipeds-discovery-signal-computer-and-information-systems-security-auditing-information-assurance-cip-11-1003</x:v>
      </x:c>
      <x:c r="E2762" s="17" t="str"/>
      <x:c r="F2762" s="17" t="str">
        <x:v>discovery</x:v>
      </x:c>
      <x:c r="G2762" s="17" t="str">
        <x:v>Stage 2 recorded this row as a discovery candidate; it does not independently verify an exact current research program, eligibility, or funding.</x:v>
      </x:c>
      <x:c r="H2762" s="17" t="str">
        <x:v>Pass 2 Stage 2 candidate funnel</x:v>
      </x:c>
      <x:c r="I2762" s="17" t="str">
        <x:v>Graduate audit pipeline</x:v>
      </x:c>
      <x:c r="J2762" s="17" t="str">
        <x:v>derived</x:v>
      </x:c>
      <x:c r="K2762" s="17" t="str">
        <x:v>2026-09-11</x:v>
      </x:c>
      <x:c r="L2762" s="17" t="str">
        <x:v>Not cycle-specific</x:v>
      </x:c>
      <x:c r="M2762" s="17" t="str">
        <x:v>low</x:v>
      </x:c>
      <x:c r="N2762" s="17" t="str">
        <x:v>Discovery evidence only</x:v>
      </x:c>
      <x:c r="O2762" s="17" t="str">
        <x:v>Use the source_record_paths field to trace the underlying discovery inputs.</x:v>
      </x:c>
      <x:c r="P2762" s="18" t="e">
        <x:f>HYPERLINK("https://www.pennwest.edu","Open source")</x:f>
        <x:v>HYPERLINK is not implemented. linkLocation=https://www.pennwest.edu, friendlyName=Open source</x:v>
      </x:c>
    </x:row>
    <x:row r="2763" ht="46" customHeight="1">
      <x:c r="A2763" s="17" t="str">
        <x:v>stage3src:23b83ea0e8d3ffc30a29</x:v>
      </x:c>
      <x:c r="B2763" s="17" t="str">
        <x:v>program</x:v>
      </x:c>
      <x:c r="C2763" s="17" t="str">
        <x:v>Pennsylvania Western University</x:v>
      </x:c>
      <x:c r="D2763" s="17" t="str">
        <x:v>us:ipeds:498571:program:unclear:ipeds-discovery-signal-data-science-general-cip-30-7001</x:v>
      </x:c>
      <x:c r="E2763" s="17" t="str"/>
      <x:c r="F2763" s="17" t="str">
        <x:v>discovery</x:v>
      </x:c>
      <x:c r="G2763" s="17" t="str">
        <x:v>Stage 2 recorded this row as a discovery candidate; it does not independently verify an exact current research program, eligibility, or funding.</x:v>
      </x:c>
      <x:c r="H2763" s="17" t="str">
        <x:v>Pass 2 Stage 2 candidate funnel</x:v>
      </x:c>
      <x:c r="I2763" s="17" t="str">
        <x:v>Graduate audit pipeline</x:v>
      </x:c>
      <x:c r="J2763" s="17" t="str">
        <x:v>derived</x:v>
      </x:c>
      <x:c r="K2763" s="17" t="str">
        <x:v>2026-09-11</x:v>
      </x:c>
      <x:c r="L2763" s="17" t="str">
        <x:v>Not cycle-specific</x:v>
      </x:c>
      <x:c r="M2763" s="17" t="str">
        <x:v>low</x:v>
      </x:c>
      <x:c r="N2763" s="17" t="str">
        <x:v>Discovery evidence only</x:v>
      </x:c>
      <x:c r="O2763" s="17" t="str">
        <x:v>Use the source_record_paths field to trace the underlying discovery inputs.</x:v>
      </x:c>
      <x:c r="P2763" s="18" t="e">
        <x:f>HYPERLINK("https://www.pennwest.edu","Open source")</x:f>
        <x:v>HYPERLINK is not implemented. linkLocation=https://www.pennwest.edu, friendlyName=Open source</x:v>
      </x:c>
    </x:row>
    <x:row r="2764" ht="46" customHeight="1">
      <x:c r="A2764" s="17" t="str">
        <x:v>stage4src:00080ef21ee295b0</x:v>
      </x:c>
      <x:c r="B2764" s="17" t="str">
        <x:v>professor</x:v>
      </x:c>
      <x:c r="C2764" s="17" t="str">
        <x:v>University of Nevada-Reno</x:v>
      </x:c>
      <x:c r="D2764" s="17" t="str">
        <x:v>us:ipeds:182290:program:phd:ph-d-in-computer-science-and-engineering</x:v>
      </x:c>
      <x:c r="E2764" s="17" t="str">
        <x:v>us:ipeds:182290:faculty:sergiu-dascalu</x:v>
      </x:c>
      <x:c r="F2764" s="17" t="str">
        <x:v>recent work|data pipeline|software infrastructure|strong fit</x:v>
      </x:c>
      <x:c r="G2764" s="17" t="str">
        <x:v>The record identifies Dascalu's 2024 coauthored work on spatial data pipelines for streaming smart-city data.</x:v>
      </x:c>
      <x:c r="H2764" s="17" t="str">
        <x:v>Software Systems Lab Journal Publications</x:v>
      </x:c>
      <x:c r="I2764" s="17" t="str">
        <x:v>University of Nevada-Reno</x:v>
      </x:c>
      <x:c r="J2764" s="17" t="str">
        <x:v>official</x:v>
      </x:c>
      <x:c r="K2764" s="17" t="str">
        <x:v>2026-09-11</x:v>
      </x:c>
      <x:c r="L2764" s="17" t="str">
        <x:v>2024</x:v>
      </x:c>
      <x:c r="M2764" s="17" t="str">
        <x:v>high</x:v>
      </x:c>
      <x:c r="N2764" s="17" t="str">
        <x:v>verified</x:v>
      </x:c>
      <x:c r="O2764" s="17" t="str">
        <x:v>University-hosted record checked 2026-09-11.</x:v>
      </x:c>
      <x:c r="P2764" s="18" t="e">
        <x:f>HYPERLINK("https://www.cse.unr.edu/~fredh/papers/journal/Journal.php","Open source")</x:f>
        <x:v>HYPERLINK is not implemented. linkLocation=https://www.cse.unr.edu/~fredh/papers/journal/Journal.php, friendlyName=Open source</x:v>
      </x:c>
    </x:row>
    <x:row r="2765" ht="46" customHeight="1">
      <x:c r="A2765" s="17" t="str">
        <x:v>stage4src:004fb3adfdd5d9f0</x:v>
      </x:c>
      <x:c r="B2765" s="17" t="str">
        <x:v>professor</x:v>
      </x:c>
      <x:c r="C2765" s="17" t="str">
        <x:v>University of Edinburgh</x:v>
      </x:c>
      <x:c r="D2765" s="17" t="str">
        <x:v>ror:01nrxwf90:program:phd:phd-informatics</x:v>
      </x:c>
      <x:c r="E2765" s="17" t="str"/>
      <x:c r="F2765" s="17" t="str">
        <x:v>current faculty roster|candidate longlist</x:v>
      </x:c>
      <x:c r="G2765" s="17" t="str">
        <x:v>Current official department roster or research-area faculty listing used to identify the five-person Stage 4 candidate longlist.</x:v>
      </x:c>
      <x:c r="H2765" s="17" t="str">
        <x:v>University of Edinburgh current faculty roster</x:v>
      </x:c>
      <x:c r="I2765" s="17" t="str">
        <x:v>University of Edinburgh</x:v>
      </x:c>
      <x:c r="J2765" s="17" t="str">
        <x:v>official</x:v>
      </x:c>
      <x:c r="K2765" s="17" t="str">
        <x:v>2026-09-11</x:v>
      </x:c>
      <x:c r="L2765" s="17" t="str"/>
      <x:c r="M2765" s="17" t="str">
        <x:v>high</x:v>
      </x:c>
      <x:c r="N2765" s="17" t="str">
        <x:v>verified</x:v>
      </x:c>
      <x:c r="O2765" s="17" t="str">
        <x:v>Roster evidence establishes a current listing, not program-specific supervision authority or recruiting.</x:v>
      </x:c>
      <x:c r="P2765" s="18" t="e">
        <x:f>HYPERLINK("https://www.research.ed.ac.uk/en/organisations/school-of-informatics/persons/","Open source")</x:f>
        <x:v>HYPERLINK is not implemented. linkLocation=https://www.research.ed.ac.uk/en/organisations/school-of-informatics/persons/, friendlyName=Open source</x:v>
      </x:c>
    </x:row>
    <x:row r="2766" ht="46" customHeight="1">
      <x:c r="A2766" s="17" t="str">
        <x:v>stage4src:00615ac80dada46c</x:v>
      </x:c>
      <x:c r="B2766" s="17" t="str">
        <x:v>professor</x:v>
      </x:c>
      <x:c r="C2766" s="17" t="str">
        <x:v>University of Oxford</x:v>
      </x:c>
      <x:c r="D2766" s="17" t="str">
        <x:v>ror:052gg0110:program:phd:dphil-in-computer-science</x:v>
      </x:c>
      <x:c r="E2766" s="17" t="str"/>
      <x:c r="F2766" s="17" t="str">
        <x:v>current faculty roster|candidate longlist</x:v>
      </x:c>
      <x:c r="G2766" s="17" t="str">
        <x:v>Current official department roster or research-area faculty listing used to identify the five-person Stage 4 candidate longlist.</x:v>
      </x:c>
      <x:c r="H2766" s="17" t="str">
        <x:v>University of Oxford current faculty roster</x:v>
      </x:c>
      <x:c r="I2766" s="17" t="str">
        <x:v>University of Oxford</x:v>
      </x:c>
      <x:c r="J2766" s="17" t="str">
        <x:v>official</x:v>
      </x:c>
      <x:c r="K2766" s="17" t="str">
        <x:v>2026-09-11</x:v>
      </x:c>
      <x:c r="L2766" s="17" t="str"/>
      <x:c r="M2766" s="17" t="str">
        <x:v>high</x:v>
      </x:c>
      <x:c r="N2766" s="17" t="str">
        <x:v>verified</x:v>
      </x:c>
      <x:c r="O2766" s="17" t="str">
        <x:v>Roster evidence establishes a current listing, not program-specific supervision authority or recruiting.</x:v>
      </x:c>
      <x:c r="P2766" s="18" t="e">
        <x:f>HYPERLINK("https://www.cs.ox.ac.uk/people/faculty.html","Open source")</x:f>
        <x:v>HYPERLINK is not implemented. linkLocation=https://www.cs.ox.ac.uk/people/faculty.html, friendlyName=Open source</x:v>
      </x:c>
    </x:row>
    <x:row r="2767" ht="46" customHeight="1">
      <x:c r="A2767" s="17" t="str">
        <x:v>stage4src:008dadd4ecb95021</x:v>
      </x:c>
      <x:c r="B2767" s="17" t="str">
        <x:v>professor</x:v>
      </x:c>
      <x:c r="C2767" s="17" t="str">
        <x:v>St. Francis Xavier University</x:v>
      </x:c>
      <x:c r="D2767" s="17" t="str">
        <x:v>ca:dli:O19391556899:program:thesis-or-research-master-s:master-of-science-in-computer-science</x:v>
      </x:c>
      <x:c r="E2767" s="17" t="str">
        <x:v>ca:dli:O19391556899:faculty:taylor-j-smith</x:v>
      </x:c>
      <x:c r="F2767" s="17" t="str">
        <x:v>recent work|automata tooling|strong fit</x:v>
      </x:c>
      <x:c r="G2767" s="17" t="str">
        <x:v>The 2024 article supports software tooling for reproducible formal-automata representations.</x:v>
      </x:c>
      <x:c r="H2767" s="17" t="str">
        <x:v>Illustrating Finite Automata with Grail+ and TikZ</x:v>
      </x:c>
      <x:c r="I2767" s="17" t="str">
        <x:v>OpenAlex / cited venue</x:v>
      </x:c>
      <x:c r="J2767" s="17" t="str">
        <x:v>secondary</x:v>
      </x:c>
      <x:c r="K2767" s="17" t="str">
        <x:v>2026-09-11</x:v>
      </x:c>
      <x:c r="L2767" s="17" t="str">
        <x:v>2024</x:v>
      </x:c>
      <x:c r="M2767" s="17" t="str">
        <x:v>high</x:v>
      </x:c>
      <x:c r="N2767" s="17" t="str">
        <x:v>verified</x:v>
      </x:c>
      <x:c r="O2767" s="17" t="str">
        <x:v>Author publication record and arXiv metadata checked 2026-09-11.</x:v>
      </x:c>
      <x:c r="P2767" s="18" t="e">
        <x:f>HYPERLINK("https://arxiv.org/abs/2404.03039","Open source")</x:f>
        <x:v>HYPERLINK is not implemented. linkLocation=https://arxiv.org/abs/2404.03039, friendlyName=Open source</x:v>
      </x:c>
    </x:row>
    <x:row r="2768" ht="46" customHeight="1">
      <x:c r="A2768" s="17" t="str">
        <x:v>stage4src:009833eb7cb3b24d</x:v>
      </x:c>
      <x:c r="B2768" s="17" t="str">
        <x:v>professor</x:v>
      </x:c>
      <x:c r="C2768" s="17" t="str">
        <x:v>Texas A&amp;M University-College Station</x:v>
      </x:c>
      <x:c r="D2768" s="17" t="str">
        <x:v>us:ipeds:228723:program:phd:doctor-of-philosophy-in-computer-science</x:v>
      </x:c>
      <x:c r="E2768" s="17" t="str">
        <x:v>us:ipeds:228723:faculty:guofei-gu</x:v>
      </x:c>
      <x:c r="F2768" s="17" t="str">
        <x:v>discovery publication signal|recent work</x:v>
      </x:c>
      <x:c r="G2768" s="17" t="str">
        <x:v>Publication metadata was examined for shortlist triage only; publication-time affiliation does not establish current appointment, supervision authority, or recruiting.</x:v>
      </x:c>
      <x:c r="H2768" s="17" t="str">
        <x:v>OpenAlex publication signal for Guofei Gu</x:v>
      </x:c>
      <x:c r="I2768" s="17" t="str">
        <x:v>OpenAlex / cited venue</x:v>
      </x:c>
      <x:c r="J2768" s="17" t="str">
        <x:v>secondary</x:v>
      </x:c>
      <x:c r="K2768" s="17" t="str">
        <x:v>2026-09-11</x:v>
      </x:c>
      <x:c r="L2768" s="17" t="str"/>
      <x:c r="M2768" s="17" t="str">
        <x:v>medium</x:v>
      </x:c>
      <x:c r="N2768" s="17" t="str">
        <x:v>discovery_only</x:v>
      </x:c>
      <x:c r="O2768" s="17" t="str">
        <x:v>Not used to award a professor score or faculty-depth point.</x:v>
      </x:c>
      <x:c r="P2768" s="18" t="e">
        <x:f>HYPERLINK("https://openalex.org/A5058852421","Open source")</x:f>
        <x:v>HYPERLINK is not implemented. linkLocation=https://openalex.org/A5058852421, friendlyName=Open source</x:v>
      </x:c>
    </x:row>
    <x:row r="2769" ht="46" customHeight="1">
      <x:c r="A2769" s="17" t="str">
        <x:v>stage4src:0157ce84b18e9fe0</x:v>
      </x:c>
      <x:c r="B2769" s="17" t="str">
        <x:v>professor</x:v>
      </x:c>
      <x:c r="C2769" s="17" t="str">
        <x:v>University of Calgary</x:v>
      </x:c>
      <x:c r="D2769" s="17" t="str">
        <x:v>ca:dli:O18886830282:program:direct-entry-phd:phd-in-computer-science-without-completed-msc</x:v>
      </x:c>
      <x:c r="E2769" s="17" t="str">
        <x:v>ca:dli:O18886830282:faculty:mahmoud-alfadel</x:v>
      </x:c>
      <x:c r="F2769" s="17" t="str">
        <x:v>recent work|research fit</x:v>
      </x:c>
      <x:c r="G2769" s="17" t="str">
        <x:v>Bibliographic record lists 2025 bug-localization and build-system work.</x:v>
      </x:c>
      <x:c r="H2769" s="17" t="str">
        <x:v>Mahmoud Alfadel bibliography</x:v>
      </x:c>
      <x:c r="I2769" s="17" t="str">
        <x:v>OpenAlex / cited venue</x:v>
      </x:c>
      <x:c r="J2769" s="17" t="str">
        <x:v>secondary</x:v>
      </x:c>
      <x:c r="K2769" s="17" t="str">
        <x:v>2026-09-11</x:v>
      </x:c>
      <x:c r="L2769" s="17" t="str">
        <x:v>2025</x:v>
      </x:c>
      <x:c r="M2769" s="17" t="str">
        <x:v>high</x:v>
      </x:c>
      <x:c r="N2769" s="17" t="str">
        <x:v>verified</x:v>
      </x:c>
      <x:c r="O2769" s="17" t="str">
        <x:v>No search snippet used as final evidence; URL/page content reviewed.</x:v>
      </x:c>
      <x:c r="P2769" s="18" t="e">
        <x:f>HYPERLINK("https://dblp.org/pid/272/9685.html","Open source")</x:f>
        <x:v>HYPERLINK is not implemented. linkLocation=https://dblp.org/pid/272/9685.html, friendlyName=Open source</x:v>
      </x:c>
    </x:row>
    <x:row r="2770" ht="46" customHeight="1">
      <x:c r="A2770" s="17" t="str">
        <x:v>stage4src:01782ceb1dfd3e19</x:v>
      </x:c>
      <x:c r="B2770" s="17" t="str">
        <x:v>professor</x:v>
      </x:c>
      <x:c r="C2770" s="17" t="str">
        <x:v>University of Guelph</x:v>
      </x:c>
      <x:c r="D2770" s="17" t="str">
        <x:v>ca:dli:O19305391192:program:phd:phd-in-computer-science</x:v>
      </x:c>
      <x:c r="E2770" s="17" t="str">
        <x:v>ca:dli:O19305391192:faculty:wenjing-zhang</x:v>
      </x:c>
      <x:c r="F2770" s="17" t="str">
        <x:v>faculty roster|advisor requirement|prospective-student instructions|contact appropriateness</x:v>
      </x:c>
      <x:c r="G2770" s="17" t="str">
        <x:v>Guelph lists Zhang among Graduate Faculty and tells thesis MSc and PhD applicants to secure an advisor, contact faculty 9-12 months early, and use concise targeted messages.</x:v>
      </x:c>
      <x:c r="H2770" s="17" t="str">
        <x:v>Graduate Studies in Computing</x:v>
      </x:c>
      <x:c r="I2770" s="17" t="str">
        <x:v>University of Guelph</x:v>
      </x:c>
      <x:c r="J2770" s="17" t="str">
        <x:v>official</x:v>
      </x:c>
      <x:c r="K2770" s="17" t="str">
        <x:v>2026-09-11</x:v>
      </x:c>
      <x:c r="L2770" s="17" t="str">
        <x:v>2026</x:v>
      </x:c>
      <x:c r="M2770" s="17" t="str">
        <x:v>high</x:v>
      </x:c>
      <x:c r="N2770" s="17" t="str">
        <x:v>verified</x:v>
      </x:c>
      <x:c r="O2770" s="17" t="str">
        <x:v>Live official page checked 2026-09-10.</x:v>
      </x:c>
      <x:c r="P2770" s="18" t="e">
        <x:f>HYPERLINK("https://www.uoguelph.ca/computing/future/graduate-studies","Open source")</x:f>
        <x:v>HYPERLINK is not implemented. linkLocation=https://www.uoguelph.ca/computing/future/graduate-studies, friendlyName=Open source</x:v>
      </x:c>
    </x:row>
    <x:row r="2771" ht="46" customHeight="1">
      <x:c r="A2771" s="17" t="str">
        <x:v>stage4src:01b040e1766d774d</x:v>
      </x:c>
      <x:c r="B2771" s="17" t="str">
        <x:v>professor</x:v>
      </x:c>
      <x:c r="C2771" s="17" t="str">
        <x:v>University of Alabama in Huntsville</x:v>
      </x:c>
      <x:c r="D2771" s="17" t="str">
        <x:v>us:ipeds:100706:program:phd:computer-science-ph-d</x:v>
      </x:c>
      <x:c r="E2771" s="17" t="str">
        <x:v>us:ipeds:100706:faculty:bramwell-brizendine</x:v>
      </x:c>
      <x:c r="F2771" s="17" t="str">
        <x:v>recent work|research fit|student research context</x:v>
      </x:c>
      <x:c r="G2771" s="17" t="str">
        <x:v>UAH documents the 2024 ROP process-injection research and identifies Brizendine as the current Computer Science faculty lead.</x:v>
      </x:c>
      <x:c r="H2771" s="17" t="str">
        <x:v>Dr. Bramwell Brizendine Presents Cutting-Edge Cybersecurity Research at DEF CON</x:v>
      </x:c>
      <x:c r="I2771" s="17" t="str">
        <x:v>University of Alabama in Huntsville</x:v>
      </x:c>
      <x:c r="J2771" s="17" t="str">
        <x:v>official</x:v>
      </x:c>
      <x:c r="K2771" s="17" t="str">
        <x:v>2026-09-11</x:v>
      </x:c>
      <x:c r="L2771" s="17" t="str">
        <x:v>2024</x:v>
      </x:c>
      <x:c r="M2771" s="17" t="str">
        <x:v>high</x:v>
      </x:c>
      <x:c r="N2771" s="17" t="str">
        <x:v>verified</x:v>
      </x:c>
      <x:c r="O2771" s="17" t="str">
        <x:v>Official UAH highlight checked 2026-09-11; student participation is not recruiting evidence.</x:v>
      </x:c>
      <x:c r="P2771" s="18" t="e">
        <x:f>HYPERLINK("https://www.uah.edu/science/research-2/research-highlights/19088-dr-bramwell-brizendine-presents-cutting-edge-cybersecurity-research-at-def-con","Open source")</x:f>
        <x:v>HYPERLINK is not implemented. linkLocation=https://www.uah.edu/science/research-2/research-highlights/19088-dr-bramwell-brizendine-presents-cutting-edge-cybersecurity-research-at-def-con, friendlyName=Open source</x:v>
      </x:c>
    </x:row>
    <x:row r="2772" ht="46" customHeight="1">
      <x:c r="A2772" s="17" t="str">
        <x:v>stage4src:01b90be639c52d79</x:v>
      </x:c>
      <x:c r="B2772" s="17" t="str">
        <x:v>professor</x:v>
      </x:c>
      <x:c r="C2772" s="17" t="str">
        <x:v>University of Massachusetts-Lowell</x:v>
      </x:c>
      <x:c r="D2772" s="17" t="str">
        <x:v>us:ipeds:166513:program:phd:doctor-of-philosophy-ph-d-in-computer-science</x:v>
      </x:c>
      <x:c r="E2772" s="17" t="str">
        <x:v>us:ipeds:166513:faculty:matteo-cimini</x:v>
      </x:c>
      <x:c r="F2772" s="17" t="str">
        <x:v>current appointment|email|doctoral advising|active research</x:v>
      </x:c>
      <x:c r="G2772" s="17" t="str">
        <x:v>Cimini's current page states his appointment and research agenda and reports current work with his PhD student.</x:v>
      </x:c>
      <x:c r="H2772" s="17" t="str">
        <x:v>Matteo Cimini</x:v>
      </x:c>
      <x:c r="I2772" s="17" t="str">
        <x:v>University of Massachusetts-Lowell</x:v>
      </x:c>
      <x:c r="J2772" s="17" t="str">
        <x:v>official</x:v>
      </x:c>
      <x:c r="K2772" s="17" t="str">
        <x:v>2026-09-11</x:v>
      </x:c>
      <x:c r="L2772" s="17" t="str">
        <x:v>2026</x:v>
      </x:c>
      <x:c r="M2772" s="17" t="str">
        <x:v>high</x:v>
      </x:c>
      <x:c r="N2772" s="17" t="str">
        <x:v>verified</x:v>
      </x:c>
      <x:c r="O2772" s="17" t="str">
        <x:v>Live university-hosted page checked 2026-09-11; existing advising is not recruiting evidence.</x:v>
      </x:c>
      <x:c r="P2772" s="18" t="e">
        <x:f>HYPERLINK("https://www.cs.uml.edu/~mcimini/","Open source")</x:f>
        <x:v>HYPERLINK is not implemented. linkLocation=https://www.cs.uml.edu/~mcimini/, friendlyName=Open source</x:v>
      </x:c>
    </x:row>
    <x:row r="2773" ht="46" customHeight="1">
      <x:c r="A2773" s="17" t="str">
        <x:v>stage4src:01d3bb1c25588d2e</x:v>
      </x:c>
      <x:c r="B2773" s="17" t="str">
        <x:v>professor</x:v>
      </x:c>
      <x:c r="C2773" s="17" t="str">
        <x:v>Portland State University</x:v>
      </x:c>
      <x:c r="D2773" s="17" t="str">
        <x:v>us:ipeds:209807:program:phd:doctoral-degree-in-computer-science-ph-d</x:v>
      </x:c>
      <x:c r="E2773" s="17" t="str">
        <x:v>us:ipeds:209807:faculty:fei-xie</x:v>
      </x:c>
      <x:c r="F2773" s="17" t="str">
        <x:v>recent work|doctoral supervision|exact program authority</x:v>
      </x:c>
      <x:c r="G2773" s="17" t="str">
        <x:v>The repository records a 2024 Computer Science PhD dissertation on compiler verification with Xie as first advisor.</x:v>
      </x:c>
      <x:c r="H2773" s="17" t="str">
        <x:v>Automated Verification of Compiler Transformations</x:v>
      </x:c>
      <x:c r="I2773" s="17" t="str">
        <x:v>Portland State University</x:v>
      </x:c>
      <x:c r="J2773" s="17" t="str">
        <x:v>official</x:v>
      </x:c>
      <x:c r="K2773" s="17" t="str">
        <x:v>2026-09-11</x:v>
      </x:c>
      <x:c r="L2773" s="17" t="str">
        <x:v>2024</x:v>
      </x:c>
      <x:c r="M2773" s="17" t="str">
        <x:v>high</x:v>
      </x:c>
      <x:c r="N2773" s="17" t="str">
        <x:v>verified</x:v>
      </x:c>
      <x:c r="O2773" s="17" t="str">
        <x:v>Official repository record checked 2026-09-11.</x:v>
      </x:c>
      <x:c r="P2773" s="18" t="e">
        <x:f>HYPERLINK("https://pdxscholar.library.pdx.edu/open_access_etds/6732/","Open source")</x:f>
        <x:v>HYPERLINK is not implemented. linkLocation=https://pdxscholar.library.pdx.edu/open_access_etds/6732/, friendlyName=Open source</x:v>
      </x:c>
    </x:row>
    <x:row r="2774" ht="46" customHeight="1">
      <x:c r="A2774" s="17" t="str">
        <x:v>stage4src:0200e4d3aa97762d</x:v>
      </x:c>
      <x:c r="B2774" s="17" t="str">
        <x:v>professor</x:v>
      </x:c>
      <x:c r="C2774" s="17" t="str">
        <x:v>York University</x:v>
      </x:c>
      <x:c r="D2774" s="17" t="str">
        <x:v>ca:dli:O19361109242:program:thesis-or-research-master-s:masc-in-electrical-and-computer-engineering</x:v>
      </x:c>
      <x:c r="E2774" s="17" t="str"/>
      <x:c r="F2774" s="17" t="str">
        <x:v>current faculty roster|candidate longlist</x:v>
      </x:c>
      <x:c r="G2774" s="17" t="str">
        <x:v>Current official department roster or research-area faculty listing used to identify the five-person Stage 4 candidate longlist.</x:v>
      </x:c>
      <x:c r="H2774" s="17" t="str">
        <x:v>York University current faculty roster</x:v>
      </x:c>
      <x:c r="I2774" s="17" t="str">
        <x:v>York University</x:v>
      </x:c>
      <x:c r="J2774" s="17" t="str">
        <x:v>official</x:v>
      </x:c>
      <x:c r="K2774" s="17" t="str">
        <x:v>2026-09-11</x:v>
      </x:c>
      <x:c r="L2774" s="17" t="str"/>
      <x:c r="M2774" s="17" t="str">
        <x:v>high</x:v>
      </x:c>
      <x:c r="N2774" s="17" t="str">
        <x:v>verified</x:v>
      </x:c>
      <x:c r="O2774" s="17" t="str">
        <x:v>Roster evidence establishes a current listing, not program-specific supervision authority or recruiting.</x:v>
      </x:c>
      <x:c r="P2774" s="18" t="e">
        <x:f>HYPERLINK("https://lassonde.yorku.ca/eecs/academics/graduate/graduate-faculty/","Open source")</x:f>
        <x:v>HYPERLINK is not implemented. linkLocation=https://lassonde.yorku.ca/eecs/academics/graduate/graduate-faculty/, friendlyName=Open source</x:v>
      </x:c>
    </x:row>
    <x:row r="2775" ht="46" customHeight="1">
      <x:c r="A2775" s="17" t="str">
        <x:v>stage4src:02730c986602c0d2</x:v>
      </x:c>
      <x:c r="B2775" s="17" t="str">
        <x:v>professor</x:v>
      </x:c>
      <x:c r="C2775" s="17" t="str">
        <x:v>McMaster University</x:v>
      </x:c>
      <x:c r="D2775" s="17" t="str">
        <x:v>ca:dli:O19395535729:program:thesis-or-research-master-s:software-engineering-masc</x:v>
      </x:c>
      <x:c r="E2775" s="17" t="str"/>
      <x:c r="F2775" s="17" t="str">
        <x:v>current faculty roster|candidate longlist</x:v>
      </x:c>
      <x:c r="G2775" s="17" t="str">
        <x:v>Current official department roster or research-area faculty listing used to identify the five-person Stage 4 candidate longlist.</x:v>
      </x:c>
      <x:c r="H2775" s="17" t="str">
        <x:v>McMaster University current faculty roster</x:v>
      </x:c>
      <x:c r="I2775" s="17" t="str">
        <x:v>McMaster University</x:v>
      </x:c>
      <x:c r="J2775" s="17" t="str">
        <x:v>official</x:v>
      </x:c>
      <x:c r="K2775" s="17" t="str">
        <x:v>2026-09-11</x:v>
      </x:c>
      <x:c r="L2775" s="17" t="str"/>
      <x:c r="M2775" s="17" t="str">
        <x:v>high</x:v>
      </x:c>
      <x:c r="N2775" s="17" t="str">
        <x:v>verified</x:v>
      </x:c>
      <x:c r="O2775" s="17" t="str">
        <x:v>Roster evidence establishes a current listing, not program-specific supervision authority or recruiting.</x:v>
      </x:c>
      <x:c r="P2775" s="18" t="e">
        <x:f>HYPERLINK("https://www.eng.mcmaster.ca/cas/research/software-and-its-engineering/","Open source")</x:f>
        <x:v>HYPERLINK is not implemented. linkLocation=https://www.eng.mcmaster.ca/cas/research/software-and-its-engineering/, friendlyName=Open source</x:v>
      </x:c>
    </x:row>
    <x:row r="2776" ht="46" customHeight="1">
      <x:c r="A2776" s="17" t="str">
        <x:v>stage4src:02c53a8913b39671</x:v>
      </x:c>
      <x:c r="B2776" s="17" t="str">
        <x:v>professor</x:v>
      </x:c>
      <x:c r="C2776" s="17" t="str">
        <x:v>University of Massachusetts-Lowell</x:v>
      </x:c>
      <x:c r="D2776" s="17" t="str">
        <x:v>us:ipeds:166513:program:phd:doctor-of-philosophy-ph-d-in-computer-science</x:v>
      </x:c>
      <x:c r="E2776" s="17" t="str">
        <x:v>us:ipeds:166513:faculty:matteo-cimini</x:v>
      </x:c>
      <x:c r="F2776" s="17" t="str">
        <x:v>research environment|candidate longlist</x:v>
      </x:c>
      <x:c r="G2776" s="17" t="str">
        <x:v>The school places Cimini in its programming-languages group and identifies current security and systems faculty used in the bounded longlist.</x:v>
      </x:c>
      <x:c r="H2776" s="17" t="str">
        <x:v>Faculty Research Groups</x:v>
      </x:c>
      <x:c r="I2776" s="17" t="str">
        <x:v>University of Massachusetts-Lowell</x:v>
      </x:c>
      <x:c r="J2776" s="17" t="str">
        <x:v>official</x:v>
      </x:c>
      <x:c r="K2776" s="17" t="str">
        <x:v>2026-09-11</x:v>
      </x:c>
      <x:c r="L2776" s="17" t="str">
        <x:v>2026</x:v>
      </x:c>
      <x:c r="M2776" s="17" t="str">
        <x:v>high</x:v>
      </x:c>
      <x:c r="N2776" s="17" t="str">
        <x:v>verified</x:v>
      </x:c>
      <x:c r="O2776" s="17" t="str">
        <x:v>Live official page checked 2026-09-11.</x:v>
      </x:c>
      <x:c r="P2776" s="18" t="e">
        <x:f>HYPERLINK("https://www.uml.edu/sciences/computer-science/research/faculty-research-groups.aspx","Open source")</x:f>
        <x:v>HYPERLINK is not implemented. linkLocation=https://www.uml.edu/sciences/computer-science/research/faculty-research-groups.aspx, friendlyName=Open source</x:v>
      </x:c>
    </x:row>
    <x:row r="2777" ht="46" customHeight="1">
      <x:c r="A2777" s="17" t="str">
        <x:v>stage4src:035e389e5cd5ead5</x:v>
      </x:c>
      <x:c r="B2777" s="17" t="str">
        <x:v>professor</x:v>
      </x:c>
      <x:c r="C2777" s="17" t="str">
        <x:v>Clarkson University</x:v>
      </x:c>
      <x:c r="D2777" s="17" t="str">
        <x:v>us:ipeds:190044:program:phd:phd-in-computer-science</x:v>
      </x:c>
      <x:c r="E2777" s="17" t="str"/>
      <x:c r="F2777" s="17" t="str">
        <x:v>current faculty roster|candidate longlist</x:v>
      </x:c>
      <x:c r="G2777" s="17" t="str">
        <x:v>Current official department roster or research-area faculty listing used to identify the five-person Stage 4 candidate longlist.</x:v>
      </x:c>
      <x:c r="H2777" s="17" t="str">
        <x:v>Clarkson University current faculty roster</x:v>
      </x:c>
      <x:c r="I2777" s="17" t="str">
        <x:v>Clarkson University</x:v>
      </x:c>
      <x:c r="J2777" s="17" t="str">
        <x:v>official</x:v>
      </x:c>
      <x:c r="K2777" s="17" t="str">
        <x:v>2026-09-11</x:v>
      </x:c>
      <x:c r="L2777" s="17" t="str"/>
      <x:c r="M2777" s="17" t="str">
        <x:v>high</x:v>
      </x:c>
      <x:c r="N2777" s="17" t="str">
        <x:v>verified</x:v>
      </x:c>
      <x:c r="O2777" s="17" t="str">
        <x:v>Roster evidence establishes a current listing, not program-specific supervision authority or recruiting.</x:v>
      </x:c>
      <x:c r="P2777" s="18" t="e">
        <x:f>HYPERLINK("https://www.clarkson.edu/academics/schools-colleges/arts-sciences/departments/computer-science/faculty-staff","Open source")</x:f>
        <x:v>HYPERLINK is not implemented. linkLocation=https://www.clarkson.edu/academics/schools-colleges/arts-sciences/departments/computer-science/faculty-staff, friendlyName=Open source</x:v>
      </x:c>
    </x:row>
    <x:row r="2778" ht="46" customHeight="1">
      <x:c r="A2778" s="17" t="str">
        <x:v>stage4src:0415aa915d4136b6</x:v>
      </x:c>
      <x:c r="B2778" s="17" t="str">
        <x:v>professor</x:v>
      </x:c>
      <x:c r="C2778" s="17" t="str">
        <x:v>Simon Fraser University</x:v>
      </x:c>
      <x:c r="D2778" s="17" t="str">
        <x:v>ca:dli:O18781994282:program:thesis-or-research-master-s:master-of-applied-science-in-engineering-science</x:v>
      </x:c>
      <x:c r="E2778" s="17" t="str">
        <x:v>ca:dli:O18781994282:faculty:zhenman-fang</x:v>
      </x:c>
      <x:c r="F2778" s="17" t="str">
        <x:v>recent direction|software-defined acceleration|research continuity</x:v>
      </x:c>
      <x:c r="G2778" s="17" t="str">
        <x:v>SFU's 2025 award record describes Fang's current software-defined acceleration research and cross-disciplinary impact.</x:v>
      </x:c>
      <x:c r="H2778" s="17" t="str">
        <x:v>Engineering scholars honoured with SFU Research Excellence Awards</x:v>
      </x:c>
      <x:c r="I2778" s="17" t="str">
        <x:v>Simon Fraser University</x:v>
      </x:c>
      <x:c r="J2778" s="17" t="str">
        <x:v>official</x:v>
      </x:c>
      <x:c r="K2778" s="17" t="str">
        <x:v>2026-09-11</x:v>
      </x:c>
      <x:c r="L2778" s="17" t="str">
        <x:v>2025</x:v>
      </x:c>
      <x:c r="M2778" s="17" t="str">
        <x:v>high</x:v>
      </x:c>
      <x:c r="N2778" s="17" t="str">
        <x:v>verified</x:v>
      </x:c>
      <x:c r="O2778" s="17" t="str">
        <x:v>Official university article checked 2026-09-11.</x:v>
      </x:c>
      <x:c r="P2778" s="18" t="e">
        <x:f>HYPERLINK("https://www.sfu.ca/fas/news-events/news/2025/03/engineering-scholars-honoured-with-sfu-research-excellence-awards.html","Open source")</x:f>
        <x:v>HYPERLINK is not implemented. linkLocation=https://www.sfu.ca/fas/news-events/news/2025/03/engineering-scholars-honoured-with-sfu-research-excellence-awards.html, friendlyName=Open source</x:v>
      </x:c>
    </x:row>
    <x:row r="2779" ht="46" customHeight="1">
      <x:c r="A2779" s="17" t="str">
        <x:v>stage4src:0487b8fbfb76dace</x:v>
      </x:c>
      <x:c r="B2779" s="17" t="str">
        <x:v>professor</x:v>
      </x:c>
      <x:c r="C2779" s="17" t="str">
        <x:v>University of Saskatchewan</x:v>
      </x:c>
      <x:c r="D2779" s="17" t="str">
        <x:v>ca:dli:O19425660421:program:thesis-or-research-master-s:msc-in-computer-science-thesis</x:v>
      </x:c>
      <x:c r="E2779" s="17" t="str">
        <x:v>ca:dli:O19425660421:faculty:chanchal-k-roy</x:v>
      </x:c>
      <x:c r="F2779" s="17" t="str">
        <x:v>recent work|research fit</x:v>
      </x:c>
      <x:c r="G2779" s="17" t="str">
        <x:v>Recent work supports the recorded TerraProbe/Evidex research overlap for Chanchal K. Roy.</x:v>
      </x:c>
      <x:c r="H2779" s="17" t="str">
        <x:v>Recent scholarly work</x:v>
      </x:c>
      <x:c r="I2779" s="17" t="str">
        <x:v>OpenAlex / cited venue</x:v>
      </x:c>
      <x:c r="J2779" s="17" t="str">
        <x:v>secondary</x:v>
      </x:c>
      <x:c r="K2779" s="17" t="str">
        <x:v>2026-09-11</x:v>
      </x:c>
      <x:c r="L2779" s="17" t="str">
        <x:v>2024</x:v>
      </x:c>
      <x:c r="M2779" s="17" t="str">
        <x:v>high</x:v>
      </x:c>
      <x:c r="N2779" s="17" t="str">
        <x:v>verified</x:v>
      </x:c>
      <x:c r="O2779" s="17" t="str">
        <x:v>Carried from verified regional deep-review evidence.</x:v>
      </x:c>
      <x:c r="P2779" s="18" t="e">
        <x:f>HYPERLINK("https://csgc.usask.ca/research-fest-2024/","Open source")</x:f>
        <x:v>HYPERLINK is not implemented. linkLocation=https://csgc.usask.ca/research-fest-2024/, friendlyName=Open source</x:v>
      </x:c>
    </x:row>
    <x:row r="2780" ht="46" customHeight="1">
      <x:c r="A2780" s="17" t="str">
        <x:v>stage4src:05b89074ccb9eb0c</x:v>
      </x:c>
      <x:c r="B2780" s="17" t="str">
        <x:v>professor</x:v>
      </x:c>
      <x:c r="C2780" s="17" t="str">
        <x:v>University of Waterloo</x:v>
      </x:c>
      <x:c r="D2780" s="17" t="str">
        <x:v>ca:dli:O19305471522:program:thesis-or-research-master-s:mmath-in-computer-science-thesis</x:v>
      </x:c>
      <x:c r="E2780" s="17" t="str">
        <x:v>ca:dli:O19305471522:faculty:shane-mcintosh</x:v>
      </x:c>
      <x:c r="F2780" s="17" t="str">
        <x:v>recent work|research fit</x:v>
      </x:c>
      <x:c r="G2780" s="17" t="str">
        <x:v>Recent work supports the recorded TerraProbe/Evidex research overlap for Shane McIntosh.</x:v>
      </x:c>
      <x:c r="H2780" s="17" t="str">
        <x:v>Recent scholarly work</x:v>
      </x:c>
      <x:c r="I2780" s="17" t="str">
        <x:v>OpenAlex / cited venue</x:v>
      </x:c>
      <x:c r="J2780" s="17" t="str">
        <x:v>secondary</x:v>
      </x:c>
      <x:c r="K2780" s="17" t="str">
        <x:v>2026-09-11</x:v>
      </x:c>
      <x:c r="L2780" s="17" t="str">
        <x:v>2024</x:v>
      </x:c>
      <x:c r="M2780" s="17" t="str">
        <x:v>high</x:v>
      </x:c>
      <x:c r="N2780" s="17" t="str">
        <x:v>verified</x:v>
      </x:c>
      <x:c r="O2780" s="17" t="str">
        <x:v>Carried from verified regional deep-review evidence.</x:v>
      </x:c>
      <x:c r="P2780" s="18" t="e">
        <x:f>HYPERLINK("https://rebels.cs.uwaterloo.ca/papers/ase2024_yin.pdf","Open source")</x:f>
        <x:v>HYPERLINK is not implemented. linkLocation=https://rebels.cs.uwaterloo.ca/papers/ase2024_yin.pdf, friendlyName=Open source</x:v>
      </x:c>
    </x:row>
    <x:row r="2781" ht="46" customHeight="1">
      <x:c r="A2781" s="17" t="str">
        <x:v>stage4src:05bb879259c203eb</x:v>
      </x:c>
      <x:c r="B2781" s="17" t="str">
        <x:v>professor</x:v>
      </x:c>
      <x:c r="C2781" s="17" t="str">
        <x:v>University of Iowa</x:v>
      </x:c>
      <x:c r="D2781" s="17" t="str">
        <x:v>us:ipeds:153658:program:phd:phd-in-computer-science</x:v>
      </x:c>
      <x:c r="E2781" s="17" t="str">
        <x:v>us:ipeds:153658:faculty:cesare-tinelli</x:v>
      </x:c>
      <x:c r="F2781" s="17" t="str">
        <x:v>recent work|research fit</x:v>
      </x:c>
      <x:c r="G2781" s="17" t="str">
        <x:v>The current CV records 2024 model-checking and formal-verification work.</x:v>
      </x:c>
      <x:c r="H2781" s="17" t="str">
        <x:v>Cesare Tinelli Curriculum Vitae</x:v>
      </x:c>
      <x:c r="I2781" s="17" t="str">
        <x:v>University of Iowa</x:v>
      </x:c>
      <x:c r="J2781" s="17" t="str">
        <x:v>official</x:v>
      </x:c>
      <x:c r="K2781" s="17" t="str">
        <x:v>2026-09-11</x:v>
      </x:c>
      <x:c r="L2781" s="17" t="str">
        <x:v>2024</x:v>
      </x:c>
      <x:c r="M2781" s="17" t="str">
        <x:v>high</x:v>
      </x:c>
      <x:c r="N2781" s="17" t="str">
        <x:v>verified</x:v>
      </x:c>
      <x:c r="O2781" s="17" t="str">
        <x:v>University-hosted CV checked 2026-09-10.</x:v>
      </x:c>
      <x:c r="P2781" s="18" t="e">
        <x:f>HYPERLINK("https://homepage.cs.uiowa.edu/~tinelli/misc/cv.pdf","Open source")</x:f>
        <x:v>HYPERLINK is not implemented. linkLocation=https://homepage.cs.uiowa.edu/~tinelli/misc/cv.pdf, friendlyName=Open source</x:v>
      </x:c>
    </x:row>
    <x:row r="2782" ht="46" customHeight="1">
      <x:c r="A2782" s="17" t="str">
        <x:v>stage4src:05c4df1a5d09170d</x:v>
      </x:c>
      <x:c r="B2782" s="17" t="str">
        <x:v>professor</x:v>
      </x:c>
      <x:c r="C2782" s="17" t="str">
        <x:v>University of Iowa</x:v>
      </x:c>
      <x:c r="D2782" s="17" t="str">
        <x:v>us:ipeds:153658:program:phd:phd-in-computer-science</x:v>
      </x:c>
      <x:c r="E2782" s="17" t="str"/>
      <x:c r="F2782" s="17" t="str">
        <x:v>current faculty roster|candidate longlist</x:v>
      </x:c>
      <x:c r="G2782" s="17" t="str">
        <x:v>Current official department roster or research-area faculty listing used to identify the five-person Stage 4 candidate longlist.</x:v>
      </x:c>
      <x:c r="H2782" s="17" t="str">
        <x:v>University of Iowa current faculty roster</x:v>
      </x:c>
      <x:c r="I2782" s="17" t="str">
        <x:v>University of Iowa</x:v>
      </x:c>
      <x:c r="J2782" s="17" t="str">
        <x:v>official</x:v>
      </x:c>
      <x:c r="K2782" s="17" t="str">
        <x:v>2026-09-11</x:v>
      </x:c>
      <x:c r="L2782" s="17" t="str"/>
      <x:c r="M2782" s="17" t="str">
        <x:v>high</x:v>
      </x:c>
      <x:c r="N2782" s="17" t="str">
        <x:v>verified</x:v>
      </x:c>
      <x:c r="O2782" s="17" t="str">
        <x:v>Roster evidence establishes a current listing, not program-specific supervision authority or recruiting.</x:v>
      </x:c>
      <x:c r="P2782" s="18" t="e">
        <x:f>HYPERLINK("https://cs.uiowa.edu/people/faculty","Open source")</x:f>
        <x:v>HYPERLINK is not implemented. linkLocation=https://cs.uiowa.edu/people/faculty, friendlyName=Open source</x:v>
      </x:c>
    </x:row>
    <x:row r="2783" ht="46" customHeight="1">
      <x:c r="A2783" s="17" t="str">
        <x:v>stage4src:061749a0a109f78e</x:v>
      </x:c>
      <x:c r="B2783" s="17" t="str">
        <x:v>professor</x:v>
      </x:c>
      <x:c r="C2783" s="17" t="str">
        <x:v>Boston University</x:v>
      </x:c>
      <x:c r="D2783" s="17" t="str">
        <x:v>us:ipeds:164988:program:phd:computer-science-phd</x:v>
      </x:c>
      <x:c r="E2783" s="17" t="str">
        <x:v>us:ipeds:164988:faculty:ankush-das</x:v>
      </x:c>
      <x:c r="F2783" s="17" t="str">
        <x:v>current appointment|program supervision authority|research themes</x:v>
      </x:c>
      <x:c r="G2783" s="17" t="str">
        <x:v>The current BU profile lists Ankush Das as an Assistant Professor in Computer Science and documents programming-languages and verification-related research.</x:v>
      </x:c>
      <x:c r="H2783" s="17" t="str">
        <x:v>Ankush Das</x:v>
      </x:c>
      <x:c r="I2783" s="17" t="str">
        <x:v>Boston University</x:v>
      </x:c>
      <x:c r="J2783" s="17" t="str">
        <x:v>official</x:v>
      </x:c>
      <x:c r="K2783" s="17" t="str">
        <x:v>2026-09-11</x:v>
      </x:c>
      <x:c r="L2783" s="17" t="str"/>
      <x:c r="M2783" s="17" t="str">
        <x:v>high</x:v>
      </x:c>
      <x:c r="N2783" s="17" t="str">
        <x:v>verified</x:v>
      </x:c>
      <x:c r="O2783" s="17" t="str">
        <x:v>Current official BU profile checked 2026-09-10.</x:v>
      </x:c>
      <x:c r="P2783" s="18" t="e">
        <x:f>HYPERLINK("https://www.bu.edu/cs/profiles/ankush-das/","Open source")</x:f>
        <x:v>HYPERLINK is not implemented. linkLocation=https://www.bu.edu/cs/profiles/ankush-das/, friendlyName=Open source</x:v>
      </x:c>
    </x:row>
    <x:row r="2784" ht="46" customHeight="1">
      <x:c r="A2784" s="17" t="str">
        <x:v>stage4src:06cd975ed03988fa</x:v>
      </x:c>
      <x:c r="B2784" s="17" t="str">
        <x:v>professor</x:v>
      </x:c>
      <x:c r="C2784" s="17" t="str">
        <x:v>Florida International University</x:v>
      </x:c>
      <x:c r="D2784" s="17" t="str">
        <x:v>us:ipeds:133951:program:phd:doctor-of-philosophy-in-computer-science</x:v>
      </x:c>
      <x:c r="E2784" s="17" t="str">
        <x:v>us:ipeds:133951:faculty:amin-kharraz</x:v>
      </x:c>
      <x:c r="F2784" s="17" t="str">
        <x:v>exact program|prospective student instructions|contact appropriateness</x:v>
      </x:c>
      <x:c r="G2784" s="17" t="str">
        <x:v>The current program page establishes the Computer Science PhD and its advisor-centered research model.</x:v>
      </x:c>
      <x:c r="H2784" s="17" t="str">
        <x:v>Doctor of Philosophy in Computer Science</x:v>
      </x:c>
      <x:c r="I2784" s="17" t="str">
        <x:v>Florida International University</x:v>
      </x:c>
      <x:c r="J2784" s="17" t="str">
        <x:v>official</x:v>
      </x:c>
      <x:c r="K2784" s="17" t="str">
        <x:v>2026-09-11</x:v>
      </x:c>
      <x:c r="L2784" s="17" t="str">
        <x:v>2026</x:v>
      </x:c>
      <x:c r="M2784" s="17" t="str">
        <x:v>high</x:v>
      </x:c>
      <x:c r="N2784" s="17" t="str">
        <x:v>verified</x:v>
      </x:c>
      <x:c r="O2784" s="17" t="str">
        <x:v>Current official page checked 2026-09-10.</x:v>
      </x:c>
      <x:c r="P2784" s="18" t="e">
        <x:f>HYPERLINK("https://www.cis.fiu.edu/degree/doctor-of-philosophy-in-computer-science/","Open source")</x:f>
        <x:v>HYPERLINK is not implemented. linkLocation=https://www.cis.fiu.edu/degree/doctor-of-philosophy-in-computer-science/, friendlyName=Open source</x:v>
      </x:c>
    </x:row>
    <x:row r="2785" ht="46" customHeight="1">
      <x:c r="A2785" s="17" t="str">
        <x:v>stage4src:071cbc026a12712c</x:v>
      </x:c>
      <x:c r="B2785" s="17" t="str">
        <x:v>professor</x:v>
      </x:c>
      <x:c r="C2785" s="17" t="str">
        <x:v>Boise State University</x:v>
      </x:c>
      <x:c r="D2785" s="17" t="str">
        <x:v>us:ipeds:142115:program:phd:computing-phd-computer-science-or-cybersecurity-emphasis</x:v>
      </x:c>
      <x:c r="E2785" s="17" t="str">
        <x:v>us:ipeds:142115:faculty:elena-sherman</x:v>
      </x:c>
      <x:c r="F2785" s="17" t="str">
        <x:v>recent work|research fit</x:v>
      </x:c>
      <x:c r="G2785" s="17" t="str">
        <x:v>The 2023 faculty publication supports Sherman's current abstract-interpretation and program-analysis direction.</x:v>
      </x:c>
      <x:c r="H2785" s="17" t="str">
        <x:v>Minimally Comparing Relational Abstract Domains</x:v>
      </x:c>
      <x:c r="I2785" s="17" t="str">
        <x:v>Boise State University</x:v>
      </x:c>
      <x:c r="J2785" s="17" t="str">
        <x:v>official</x:v>
      </x:c>
      <x:c r="K2785" s="17" t="str">
        <x:v>2026-09-11</x:v>
      </x:c>
      <x:c r="L2785" s="17" t="str">
        <x:v>2023</x:v>
      </x:c>
      <x:c r="M2785" s="17" t="str">
        <x:v>high</x:v>
      </x:c>
      <x:c r="N2785" s="17" t="str">
        <x:v>verified</x:v>
      </x:c>
      <x:c r="O2785" s="17" t="str">
        <x:v>Official repository record checked 2026-09-10.</x:v>
      </x:c>
      <x:c r="P2785" s="18" t="e">
        <x:f>HYPERLINK("https://scholarworks.boisestate.edu/cs_facpubs/402/","Open source")</x:f>
        <x:v>HYPERLINK is not implemented. linkLocation=https://scholarworks.boisestate.edu/cs_facpubs/402/, friendlyName=Open source</x:v>
      </x:c>
    </x:row>
    <x:row r="2786" ht="46" customHeight="1">
      <x:c r="A2786" s="17" t="str">
        <x:v>stage4src:072f4af3e6be3ef4</x:v>
      </x:c>
      <x:c r="B2786" s="17" t="str">
        <x:v>professor</x:v>
      </x:c>
      <x:c r="C2786" s="17" t="str">
        <x:v>Texas A&amp;M University-College Station</x:v>
      </x:c>
      <x:c r="D2786" s="17" t="str">
        <x:v>us:ipeds:228723:program:phd:doctor-of-philosophy-in-computer-science</x:v>
      </x:c>
      <x:c r="E2786" s="17" t="str">
        <x:v>us:ipeds:228723:faculty:jeff-huang</x:v>
      </x:c>
      <x:c r="F2786" s="17" t="str">
        <x:v>current appointment|department|email|research themes|recent work</x:v>
      </x:c>
      <x:c r="G2786" s="17" t="str">
        <x:v>Texas A&amp;M lists Huang as current CSE Professor working in software engineering, programming languages, concurrency, and runtime verification, with a 2025 AIxCC finalist result.</x:v>
      </x:c>
      <x:c r="H2786" s="17" t="str">
        <x:v>Jeff Huang</x:v>
      </x:c>
      <x:c r="I2786" s="17" t="str">
        <x:v>Texas A&amp;M University-College Station</x:v>
      </x:c>
      <x:c r="J2786" s="17" t="str">
        <x:v>official</x:v>
      </x:c>
      <x:c r="K2786" s="17" t="str">
        <x:v>2026-09-11</x:v>
      </x:c>
      <x:c r="L2786" s="17" t="str">
        <x:v>2025</x:v>
      </x:c>
      <x:c r="M2786" s="17" t="str">
        <x:v>high</x:v>
      </x:c>
      <x:c r="N2786" s="17" t="str">
        <x:v>verified</x:v>
      </x:c>
      <x:c r="O2786" s="17" t="str">
        <x:v>Live official profile checked 2026-09-11.</x:v>
      </x:c>
      <x:c r="P2786" s="18" t="e">
        <x:f>HYPERLINK("https://engineering.tamu.edu/cse/profiles/huang-jeff.html","Open source")</x:f>
        <x:v>HYPERLINK is not implemented. linkLocation=https://engineering.tamu.edu/cse/profiles/huang-jeff.html, friendlyName=Open source</x:v>
      </x:c>
    </x:row>
    <x:row r="2787" ht="46" customHeight="1">
      <x:c r="A2787" s="17" t="str">
        <x:v>stage4src:0793004f740d19c9</x:v>
      </x:c>
      <x:c r="B2787" s="17" t="str">
        <x:v>professor</x:v>
      </x:c>
      <x:c r="C2787" s="17" t="str">
        <x:v>University of British Columbia</x:v>
      </x:c>
      <x:c r="D2787" s="17" t="str">
        <x:v>ca:dli:O19330231062:program:thesis-or-research-master-s:msc-in-computer-science-research</x:v>
      </x:c>
      <x:c r="E2787" s="17" t="str">
        <x:v>ca:dli:O19330231062:faculty:reid-holmes</x:v>
      </x:c>
      <x:c r="F2787" s="17" t="str">
        <x:v>current appointment|program supervision authority|research themes</x:v>
      </x:c>
      <x:c r="G2787" s="17" t="str">
        <x:v>Reid Holmes is current Professor in software engineering/program analysis; official publications list 2024 work.</x:v>
      </x:c>
      <x:c r="H2787" s="17" t="str">
        <x:v>Reid Holmes</x:v>
      </x:c>
      <x:c r="I2787" s="17" t="str">
        <x:v>University of British Columbia</x:v>
      </x:c>
      <x:c r="J2787" s="17" t="str">
        <x:v>official</x:v>
      </x:c>
      <x:c r="K2787" s="17" t="str">
        <x:v>2026-09-11</x:v>
      </x:c>
      <x:c r="L2787" s="17" t="str"/>
      <x:c r="M2787" s="17" t="str">
        <x:v>high</x:v>
      </x:c>
      <x:c r="N2787" s="17" t="str">
        <x:v>verified</x:v>
      </x:c>
      <x:c r="O2787" s="17" t="str">
        <x:v>No search snippet used as final evidence; URL/page content reviewed.</x:v>
      </x:c>
      <x:c r="P2787" s="18" t="e">
        <x:f>HYPERLINK("https://www.cs.ubc.ca/people/reid-holmes","Open source")</x:f>
        <x:v>HYPERLINK is not implemented. linkLocation=https://www.cs.ubc.ca/people/reid-holmes, friendlyName=Open source</x:v>
      </x:c>
    </x:row>
    <x:row r="2788" ht="46" customHeight="1">
      <x:c r="A2788" s="17" t="str">
        <x:v>stage4src:07a96ed5e6cdfb7d</x:v>
      </x:c>
      <x:c r="B2788" s="17" t="str">
        <x:v>professor</x:v>
      </x:c>
      <x:c r="C2788" s="17" t="str">
        <x:v>York University</x:v>
      </x:c>
      <x:c r="D2788" s="17" t="str">
        <x:v>ca:dli:O19361109242:program:thesis-or-research-master-s:masc-in-electrical-and-computer-engineering</x:v>
      </x:c>
      <x:c r="E2788" s="17" t="str">
        <x:v>ca:dli:O19361109242:faculty:alvine-boaye-belle</x:v>
      </x:c>
      <x:c r="F2788" s="17" t="str">
        <x:v>discovery publication signal|recent work</x:v>
      </x:c>
      <x:c r="G2788" s="17" t="str">
        <x:v>Publication metadata was examined for shortlist triage only; publication-time affiliation does not establish current appointment, supervision authority, or recruiting.</x:v>
      </x:c>
      <x:c r="H2788" s="17" t="str">
        <x:v>OpenAlex publication signal for Alvine Boaye Belle</x:v>
      </x:c>
      <x:c r="I2788" s="17" t="str">
        <x:v>OpenAlex / cited venue</x:v>
      </x:c>
      <x:c r="J2788" s="17" t="str">
        <x:v>secondary</x:v>
      </x:c>
      <x:c r="K2788" s="17" t="str">
        <x:v>2026-09-11</x:v>
      </x:c>
      <x:c r="L2788" s="17" t="str"/>
      <x:c r="M2788" s="17" t="str">
        <x:v>medium</x:v>
      </x:c>
      <x:c r="N2788" s="17" t="str">
        <x:v>discovery_only</x:v>
      </x:c>
      <x:c r="O2788" s="17" t="str">
        <x:v>Not used to award a professor score or faculty-depth point.</x:v>
      </x:c>
      <x:c r="P2788" s="18" t="e">
        <x:f>HYPERLINK("https://openalex.org/A5069795565","Open source")</x:f>
        <x:v>HYPERLINK is not implemented. linkLocation=https://openalex.org/A5069795565, friendlyName=Open source</x:v>
      </x:c>
    </x:row>
    <x:row r="2789" ht="46" customHeight="1">
      <x:c r="A2789" s="17" t="str">
        <x:v>stage4src:0863c59d05266b90</x:v>
      </x:c>
      <x:c r="B2789" s="17" t="str">
        <x:v>professor</x:v>
      </x:c>
      <x:c r="C2789" s="17" t="str">
        <x:v>McMaster University</x:v>
      </x:c>
      <x:c r="D2789" s="17" t="str">
        <x:v>ca:dli:O19395535729:program:thesis-or-research-master-s:software-engineering-masc</x:v>
      </x:c>
      <x:c r="E2789" s="17" t="str">
        <x:v>ca:dli:O19395535729:faculty:richard-paige</x:v>
      </x:c>
      <x:c r="F2789" s="17" t="str">
        <x:v>current appointment|master's supervision authority|research themes|email|recruiting status</x:v>
      </x:c>
      <x:c r="G2789" s="17" t="str">
        <x:v>The current profile identifies Paige as Computing and Software Professor and Chair, documents current McMaster master's supervision, gives his email, and says he is actively looking for students in modeling, safety, security, and software engineering.</x:v>
      </x:c>
      <x:c r="H2789" s="17" t="str">
        <x:v>Richard Paige</x:v>
      </x:c>
      <x:c r="I2789" s="17" t="str">
        <x:v>McMaster University</x:v>
      </x:c>
      <x:c r="J2789" s="17" t="str">
        <x:v>official</x:v>
      </x:c>
      <x:c r="K2789" s="17" t="str">
        <x:v>2026-09-11</x:v>
      </x:c>
      <x:c r="L2789" s="17" t="str">
        <x:v>2026</x:v>
      </x:c>
      <x:c r="M2789" s="17" t="str">
        <x:v>high</x:v>
      </x:c>
      <x:c r="N2789" s="17" t="str">
        <x:v>verified</x:v>
      </x:c>
      <x:c r="O2789" s="17" t="str">
        <x:v>Current official profile checked 2026-09-10.</x:v>
      </x:c>
      <x:c r="P2789" s="18" t="e">
        <x:f>HYPERLINK("https://www.eng.mcmaster.ca/cas/faculty/dr-richard-paige/","Open source")</x:f>
        <x:v>HYPERLINK is not implemented. linkLocation=https://www.eng.mcmaster.ca/cas/faculty/dr-richard-paige/, friendlyName=Open source</x:v>
      </x:c>
    </x:row>
    <x:row r="2790" ht="46" customHeight="1">
      <x:c r="A2790" s="17" t="str">
        <x:v>stage4src:08cbadd252be5594</x:v>
      </x:c>
      <x:c r="B2790" s="17" t="str">
        <x:v>professor</x:v>
      </x:c>
      <x:c r="C2790" s="17" t="str">
        <x:v>University of New Hampshire-Main Campus</x:v>
      </x:c>
      <x:c r="D2790" s="17" t="str">
        <x:v>us:ipeds:183044:program:phd:computer-science-ph-d</x:v>
      </x:c>
      <x:c r="E2790" s="17" t="str">
        <x:v>us:ipeds:183044:faculty:dongpeng-xu</x:v>
      </x:c>
      <x:c r="F2790" s="17" t="str">
        <x:v>recent work|research fit</x:v>
      </x:c>
      <x:c r="G2790" s="17" t="str">
        <x:v>Xu's page records 2023-2025 work on LLM memory-bug detection and repair, VM diversification, and binary-instrumentation evaluation.</x:v>
      </x:c>
      <x:c r="H2790" s="17" t="str">
        <x:v>Dongpeng Xu research page</x:v>
      </x:c>
      <x:c r="I2790" s="17" t="str">
        <x:v>University of New Hampshire-Main Campus</x:v>
      </x:c>
      <x:c r="J2790" s="17" t="str">
        <x:v>official</x:v>
      </x:c>
      <x:c r="K2790" s="17" t="str">
        <x:v>2026-09-11</x:v>
      </x:c>
      <x:c r="L2790" s="17" t="str">
        <x:v>2025</x:v>
      </x:c>
      <x:c r="M2790" s="17" t="str">
        <x:v>high</x:v>
      </x:c>
      <x:c r="N2790" s="17" t="str">
        <x:v>verified</x:v>
      </x:c>
      <x:c r="O2790" s="17" t="str">
        <x:v>Live university-hosted page checked 2026-09-11.</x:v>
      </x:c>
      <x:c r="P2790" s="18" t="e">
        <x:f>HYPERLINK("https://www.cs.unh.edu/~dxu/","Open source")</x:f>
        <x:v>HYPERLINK is not implemented. linkLocation=https://www.cs.unh.edu/~dxu/, friendlyName=Open source</x:v>
      </x:c>
    </x:row>
    <x:row r="2791" ht="46" customHeight="1">
      <x:c r="A2791" s="17" t="str">
        <x:v>stage4src:090c19dbff0929f2</x:v>
      </x:c>
      <x:c r="B2791" s="17" t="str">
        <x:v>professor</x:v>
      </x:c>
      <x:c r="C2791" s="17" t="str">
        <x:v>University of Kansas</x:v>
      </x:c>
      <x:c r="D2791" s="17" t="str">
        <x:v>us:ipeds:155317:program:phd:doctor-of-philosophy-in-computer-science</x:v>
      </x:c>
      <x:c r="E2791" s="17" t="str"/>
      <x:c r="F2791" s="17" t="str">
        <x:v>current faculty roster|candidate longlist</x:v>
      </x:c>
      <x:c r="G2791" s="17" t="str">
        <x:v>Current official department roster or research-area faculty listing used to identify the five-person Stage 4 candidate longlist.</x:v>
      </x:c>
      <x:c r="H2791" s="17" t="str">
        <x:v>University of Kansas current faculty roster</x:v>
      </x:c>
      <x:c r="I2791" s="17" t="str">
        <x:v>University of Kansas</x:v>
      </x:c>
      <x:c r="J2791" s="17" t="str">
        <x:v>official</x:v>
      </x:c>
      <x:c r="K2791" s="17" t="str">
        <x:v>2026-09-11</x:v>
      </x:c>
      <x:c r="L2791" s="17" t="str"/>
      <x:c r="M2791" s="17" t="str">
        <x:v>high</x:v>
      </x:c>
      <x:c r="N2791" s="17" t="str">
        <x:v>verified</x:v>
      </x:c>
      <x:c r="O2791" s="17" t="str">
        <x:v>Roster evidence establishes a current listing, not program-specific supervision authority or recruiting.</x:v>
      </x:c>
      <x:c r="P2791" s="18" t="e">
        <x:f>HYPERLINK("https://eecs.ku.edu/faculty","Open source")</x:f>
        <x:v>HYPERLINK is not implemented. linkLocation=https://eecs.ku.edu/faculty, friendlyName=Open source</x:v>
      </x:c>
    </x:row>
    <x:row r="2792" ht="46" customHeight="1">
      <x:c r="A2792" s="17" t="str">
        <x:v>stage4src:0abf094fe27b5e19</x:v>
      </x:c>
      <x:c r="B2792" s="17" t="str">
        <x:v>professor</x:v>
      </x:c>
      <x:c r="C2792" s="17" t="str">
        <x:v>University of Waterloo</x:v>
      </x:c>
      <x:c r="D2792" s="17" t="str">
        <x:v>ca:dli:O19305471522:program:direct-entry-phd:phd-in-computer-science-direct-from-bachelor-s-exception</x:v>
      </x:c>
      <x:c r="E2792" s="17" t="str">
        <x:v>ca:dli:O19305471522:faculty:shane-mcintosh</x:v>
      </x:c>
      <x:c r="F2792" s="17" t="str">
        <x:v>recent work|research fit</x:v>
      </x:c>
      <x:c r="G2792" s="17" t="str">
        <x:v>Lab bibliography lists multiple 2024 CI/build/software-quality papers involving Shane McIntosh.</x:v>
      </x:c>
      <x:c r="H2792" s="17" t="str">
        <x:v>Software REBELs publications</x:v>
      </x:c>
      <x:c r="I2792" s="17" t="str">
        <x:v>University of Waterloo</x:v>
      </x:c>
      <x:c r="J2792" s="17" t="str">
        <x:v>official</x:v>
      </x:c>
      <x:c r="K2792" s="17" t="str">
        <x:v>2026-09-11</x:v>
      </x:c>
      <x:c r="L2792" s="17" t="str">
        <x:v>2024</x:v>
      </x:c>
      <x:c r="M2792" s="17" t="str">
        <x:v>high</x:v>
      </x:c>
      <x:c r="N2792" s="17" t="str">
        <x:v>verified</x:v>
      </x:c>
      <x:c r="O2792" s="17" t="str">
        <x:v>No search snippet used as final evidence; URL/page content reviewed.</x:v>
      </x:c>
      <x:c r="P2792" s="18" t="e">
        <x:f>HYPERLINK("https://rebels.cs.uwaterloo.ca/publications.html","Open source")</x:f>
        <x:v>HYPERLINK is not implemented. linkLocation=https://rebels.cs.uwaterloo.ca/publications.html, friendlyName=Open source</x:v>
      </x:c>
    </x:row>
    <x:row r="2793" ht="46" customHeight="1">
      <x:c r="A2793" s="17" t="str">
        <x:v>stage4src:0b94763c5993f19b</x:v>
      </x:c>
      <x:c r="B2793" s="17" t="str">
        <x:v>professor</x:v>
      </x:c>
      <x:c r="C2793" s="17" t="str">
        <x:v>Trent University</x:v>
      </x:c>
      <x:c r="D2793" s="17" t="str">
        <x:v>ca:dli:O19395164223:program:thesis-or-research-master-s:msc-in-applied-modelling-and-quantitative-methods-thesis-stream</x:v>
      </x:c>
      <x:c r="E2793" s="17" t="str">
        <x:v>ca:dli:O19395164223:faculty:omar-alam</x:v>
      </x:c>
      <x:c r="F2793" s="17" t="str">
        <x:v>program context|supervision authority</x:v>
      </x:c>
      <x:c r="G2793" s="17" t="str">
        <x:v>The page establishes the research thesis stream and named-supervisor application context.</x:v>
      </x:c>
      <x:c r="H2793" s="17" t="str">
        <x:v>Applied Modelling and Quantitative Methods Thesis Stream</x:v>
      </x:c>
      <x:c r="I2793" s="17" t="str">
        <x:v>Trent University</x:v>
      </x:c>
      <x:c r="J2793" s="17" t="str">
        <x:v>official</x:v>
      </x:c>
      <x:c r="K2793" s="17" t="str">
        <x:v>2026-09-11</x:v>
      </x:c>
      <x:c r="L2793" s="17" t="str">
        <x:v>2026</x:v>
      </x:c>
      <x:c r="M2793" s="17" t="str">
        <x:v>high</x:v>
      </x:c>
      <x:c r="N2793" s="17" t="str">
        <x:v>verified</x:v>
      </x:c>
      <x:c r="O2793" s="17" t="str">
        <x:v>Live official page checked 2026-09-11.</x:v>
      </x:c>
      <x:c r="P2793" s="18" t="e">
        <x:f>HYPERLINK("https://www.trentu.ca/graduatestudies/program/applied-modelling-quantitative-methods-ma-or-msc/thesis-stream","Open source")</x:f>
        <x:v>HYPERLINK is not implemented. linkLocation=https://www.trentu.ca/graduatestudies/program/applied-modelling-quantitative-methods-ma-or-msc/thesis-stream, friendlyName=Open source</x:v>
      </x:c>
    </x:row>
    <x:row r="2794" ht="46" customHeight="1">
      <x:c r="A2794" s="17" t="str">
        <x:v>stage4src:0bb937ed0988f273</x:v>
      </x:c>
      <x:c r="B2794" s="17" t="str">
        <x:v>professor</x:v>
      </x:c>
      <x:c r="C2794" s="17" t="str">
        <x:v>Saint Mary’s University</x:v>
      </x:c>
      <x:c r="D2794" s="17" t="str">
        <x:v>ca:dli:O19021279692:program:thesis-or-research-master-s:msc-in-applied-science-computing-science-research-field</x:v>
      </x:c>
      <x:c r="E2794" s="17" t="str">
        <x:v>ca:dli:O19021279692:faculty:somayeh-kafaie</x:v>
      </x:c>
      <x:c r="F2794" s="17" t="str">
        <x:v>current appointment|candidate longlist</x:v>
      </x:c>
      <x:c r="G2794" s="17" t="str">
        <x:v>The current department roster lists Kafaie and the four bounded alternatives.</x:v>
      </x:c>
      <x:c r="H2794" s="17" t="str">
        <x:v>Mathematics and Computing Science Faculty and Staff</x:v>
      </x:c>
      <x:c r="I2794" s="17" t="str">
        <x:v>Saint Mary’s University</x:v>
      </x:c>
      <x:c r="J2794" s="17" t="str">
        <x:v>official</x:v>
      </x:c>
      <x:c r="K2794" s="17" t="str">
        <x:v>2026-09-11</x:v>
      </x:c>
      <x:c r="L2794" s="17" t="str">
        <x:v>2026</x:v>
      </x:c>
      <x:c r="M2794" s="17" t="str">
        <x:v>high</x:v>
      </x:c>
      <x:c r="N2794" s="17" t="str">
        <x:v>verified</x:v>
      </x:c>
      <x:c r="O2794" s="17" t="str">
        <x:v>Live roster checked 2026-09-11.</x:v>
      </x:c>
      <x:c r="P2794" s="18" t="e">
        <x:f>HYPERLINK("https://www.smu.ca/math-cs/faculty-and-staff.html","Open source")</x:f>
        <x:v>HYPERLINK is not implemented. linkLocation=https://www.smu.ca/math-cs/faculty-and-staff.html, friendlyName=Open source</x:v>
      </x:c>
    </x:row>
    <x:row r="2795" ht="46" customHeight="1">
      <x:c r="A2795" s="17" t="str">
        <x:v>stage4src:0bd71cc519b54082</x:v>
      </x:c>
      <x:c r="B2795" s="17" t="str">
        <x:v>professor</x:v>
      </x:c>
      <x:c r="C2795" s="17" t="str">
        <x:v>University of Iowa</x:v>
      </x:c>
      <x:c r="D2795" s="17" t="str">
        <x:v>us:ipeds:153658:program:phd:phd-in-computer-science</x:v>
      </x:c>
      <x:c r="E2795" s="17" t="str">
        <x:v>us:ipeds:153658:faculty:cesare-tinelli</x:v>
      </x:c>
      <x:c r="F2795" s="17" t="str">
        <x:v>Computer Science PhD supervision authority|recent work</x:v>
      </x:c>
      <x:c r="G2795" s="17" t="str">
        <x:v>The current page lists Tinelli as advisor to 2024-2026 Computer Science PhD graduates in theorem proving and SMT.</x:v>
      </x:c>
      <x:c r="H2795" s="17" t="str">
        <x:v>Recent Computer Science PhDs</x:v>
      </x:c>
      <x:c r="I2795" s="17" t="str">
        <x:v>University of Iowa</x:v>
      </x:c>
      <x:c r="J2795" s="17" t="str">
        <x:v>official</x:v>
      </x:c>
      <x:c r="K2795" s="17" t="str">
        <x:v>2026-09-11</x:v>
      </x:c>
      <x:c r="L2795" s="17" t="str">
        <x:v>2026</x:v>
      </x:c>
      <x:c r="M2795" s="17" t="str">
        <x:v>high</x:v>
      </x:c>
      <x:c r="N2795" s="17" t="str">
        <x:v>verified</x:v>
      </x:c>
      <x:c r="O2795" s="17" t="str">
        <x:v>Current official doctoral record checked 2026-09-10.</x:v>
      </x:c>
      <x:c r="P2795" s="18" t="e">
        <x:f>HYPERLINK("https://cs.uiowa.edu/graduate/recent-phds","Open source")</x:f>
        <x:v>HYPERLINK is not implemented. linkLocation=https://cs.uiowa.edu/graduate/recent-phds, friendlyName=Open source</x:v>
      </x:c>
    </x:row>
    <x:row r="2796" ht="46" customHeight="1">
      <x:c r="A2796" s="17" t="str">
        <x:v>stage4src:0bd84ad62629b02c</x:v>
      </x:c>
      <x:c r="B2796" s="17" t="str">
        <x:v>professor</x:v>
      </x:c>
      <x:c r="C2796" s="17" t="str">
        <x:v>Virginia Commonwealth University</x:v>
      </x:c>
      <x:c r="D2796" s="17" t="str">
        <x:v>us:ipeds:234030:program:phd:doctor-of-philosophy-in-computer-science</x:v>
      </x:c>
      <x:c r="E2796" s="17" t="str">
        <x:v>us:ipeds:234030:faculty:kostadin-damevski</x:v>
      </x:c>
      <x:c r="F2796" s="17" t="str">
        <x:v>recent work|bug localization|software analytics|research fit</x:v>
      </x:c>
      <x:c r="G2796" s="17" t="str">
        <x:v>The 2022 ICSE paper supports changeset-based bug localization and evidence-driven software analytics overlap.</x:v>
      </x:c>
      <x:c r="H2796" s="17" t="str">
        <x:v>Fast Changeset-based Bug Localization Using BERT</x:v>
      </x:c>
      <x:c r="I2796" s="17" t="str">
        <x:v>OpenAlex / cited venue</x:v>
      </x:c>
      <x:c r="J2796" s="17" t="str">
        <x:v>secondary</x:v>
      </x:c>
      <x:c r="K2796" s="17" t="str">
        <x:v>2026-09-11</x:v>
      </x:c>
      <x:c r="L2796" s="17" t="str">
        <x:v>2022</x:v>
      </x:c>
      <x:c r="M2796" s="17" t="str">
        <x:v>high</x:v>
      </x:c>
      <x:c r="N2796" s="17" t="str">
        <x:v>verified</x:v>
      </x:c>
      <x:c r="O2796" s="17" t="str">
        <x:v>DOI and author publication list checked 2026-09-10.</x:v>
      </x:c>
      <x:c r="P2796" s="18" t="e">
        <x:f>HYPERLINK("https://doi.org/10.1145/3510003.3510042","Open source")</x:f>
        <x:v>HYPERLINK is not implemented. linkLocation=https://doi.org/10.1145/3510003.3510042, friendlyName=Open source</x:v>
      </x:c>
    </x:row>
    <x:row r="2797" ht="46" customHeight="1">
      <x:c r="A2797" s="17" t="str">
        <x:v>stage4src:0c348be0356901e7</x:v>
      </x:c>
      <x:c r="B2797" s="17" t="str">
        <x:v>professor</x:v>
      </x:c>
      <x:c r="C2797" s="17" t="str">
        <x:v>University of Cambridge</x:v>
      </x:c>
      <x:c r="D2797" s="17" t="str">
        <x:v>ror:013meh722:program:phd:phd-in-computer-science</x:v>
      </x:c>
      <x:c r="E2797" s="17" t="str"/>
      <x:c r="F2797" s="17" t="str">
        <x:v>current faculty roster|candidate longlist</x:v>
      </x:c>
      <x:c r="G2797" s="17" t="str">
        <x:v>Current official department roster or research-area faculty listing used to identify the five-person Stage 4 candidate longlist.</x:v>
      </x:c>
      <x:c r="H2797" s="17" t="str">
        <x:v>University of Cambridge current faculty roster</x:v>
      </x:c>
      <x:c r="I2797" s="17" t="str">
        <x:v>University of Cambridge</x:v>
      </x:c>
      <x:c r="J2797" s="17" t="str">
        <x:v>official</x:v>
      </x:c>
      <x:c r="K2797" s="17" t="str">
        <x:v>2026-09-11</x:v>
      </x:c>
      <x:c r="L2797" s="17" t="str"/>
      <x:c r="M2797" s="17" t="str">
        <x:v>high</x:v>
      </x:c>
      <x:c r="N2797" s="17" t="str">
        <x:v>verified</x:v>
      </x:c>
      <x:c r="O2797" s="17" t="str">
        <x:v>Roster evidence establishes a current listing, not program-specific supervision authority or recruiting.</x:v>
      </x:c>
      <x:c r="P2797" s="18" t="e">
        <x:f>HYPERLINK("https://www.cst.cam.ac.uk/people/directory/faculty?lang=en","Open source")</x:f>
        <x:v>HYPERLINK is not implemented. linkLocation=https://www.cst.cam.ac.uk/people/directory/faculty?lang=en, friendlyName=Open source</x:v>
      </x:c>
    </x:row>
    <x:row r="2798" ht="46" customHeight="1">
      <x:c r="A2798" s="17" t="str">
        <x:v>stage4src:0c437e2d6bb360b1</x:v>
      </x:c>
      <x:c r="B2798" s="17" t="str">
        <x:v>professor</x:v>
      </x:c>
      <x:c r="C2798" s="17" t="str">
        <x:v>Michigan Technological University</x:v>
      </x:c>
      <x:c r="D2798" s="17" t="str">
        <x:v>us:ipeds:171128:program:phd:computer-science-phd</x:v>
      </x:c>
      <x:c r="E2798" s="17" t="str"/>
      <x:c r="F2798" s="17" t="str">
        <x:v>current faculty roster|candidate longlist</x:v>
      </x:c>
      <x:c r="G2798" s="17" t="str">
        <x:v>Current official department roster or research-area faculty listing used to identify the five-person Stage 4 candidate longlist.</x:v>
      </x:c>
      <x:c r="H2798" s="17" t="str">
        <x:v>Michigan Technological University current faculty roster</x:v>
      </x:c>
      <x:c r="I2798" s="17" t="str">
        <x:v>Michigan Technological University</x:v>
      </x:c>
      <x:c r="J2798" s="17" t="str">
        <x:v>official</x:v>
      </x:c>
      <x:c r="K2798" s="17" t="str">
        <x:v>2026-09-11</x:v>
      </x:c>
      <x:c r="L2798" s="17" t="str"/>
      <x:c r="M2798" s="17" t="str">
        <x:v>high</x:v>
      </x:c>
      <x:c r="N2798" s="17" t="str">
        <x:v>verified</x:v>
      </x:c>
      <x:c r="O2798" s="17" t="str">
        <x:v>Roster evidence establishes a current listing, not program-specific supervision authority or recruiting.</x:v>
      </x:c>
      <x:c r="P2798" s="18" t="e">
        <x:f>HYPERLINK("https://www.mtu.edu/cs/department/people/","Open source")</x:f>
        <x:v>HYPERLINK is not implemented. linkLocation=https://www.mtu.edu/cs/department/people/, friendlyName=Open source</x:v>
      </x:c>
    </x:row>
    <x:row r="2799" ht="46" customHeight="1">
      <x:c r="A2799" s="17" t="str">
        <x:v>stage4src:0c99a658b731928d</x:v>
      </x:c>
      <x:c r="B2799" s="17" t="str">
        <x:v>professor</x:v>
      </x:c>
      <x:c r="C2799" s="17" t="str">
        <x:v>Iowa State University</x:v>
      </x:c>
      <x:c r="D2799" s="17" t="str">
        <x:v>us:ipeds:153603:program:phd:computer-science-phd</x:v>
      </x:c>
      <x:c r="E2799" s="17" t="str">
        <x:v>us:ipeds:153603:faculty:myra-cohen</x:v>
      </x:c>
      <x:c r="F2799" s="17" t="str">
        <x:v>current appointment|program supervision authority|research themes</x:v>
      </x:c>
      <x:c r="G2799" s="17" t="str">
        <x:v>Current appointment, email, and configurable-software/testing research</x:v>
      </x:c>
      <x:c r="H2799" s="17" t="str">
        <x:v>Myra Cohen</x:v>
      </x:c>
      <x:c r="I2799" s="17" t="str">
        <x:v>Iowa State University</x:v>
      </x:c>
      <x:c r="J2799" s="17" t="str">
        <x:v>official</x:v>
      </x:c>
      <x:c r="K2799" s="17" t="str">
        <x:v>2026-09-11</x:v>
      </x:c>
      <x:c r="L2799" s="17" t="str"/>
      <x:c r="M2799" s="17" t="str">
        <x:v>high</x:v>
      </x:c>
      <x:c r="N2799" s="17" t="str">
        <x:v>verified</x:v>
      </x:c>
      <x:c r="O2799" s="17" t="str"/>
      <x:c r="P2799" s="18" t="e">
        <x:f>HYPERLINK("https://www.cs.iastate.edu/people/myra-cohen","Open source")</x:f>
        <x:v>HYPERLINK is not implemented. linkLocation=https://www.cs.iastate.edu/people/myra-cohen, friendlyName=Open source</x:v>
      </x:c>
    </x:row>
    <x:row r="2800" ht="46" customHeight="1">
      <x:c r="A2800" s="17" t="str">
        <x:v>stage4src:0d4aeab5292acb23</x:v>
      </x:c>
      <x:c r="B2800" s="17" t="str">
        <x:v>professor</x:v>
      </x:c>
      <x:c r="C2800" s="17" t="str">
        <x:v>Brandeis University</x:v>
      </x:c>
      <x:c r="D2800" s="17" t="str">
        <x:v>us:ipeds:165015:program:phd:computer-science-phd</x:v>
      </x:c>
      <x:c r="E2800" s="17" t="str">
        <x:v>us:ipeds:165015:faculty:subhadeep-sarkar</x:v>
      </x:c>
      <x:c r="F2800" s="17" t="str">
        <x:v>recent work|database benchmarking|strong fit</x:v>
      </x:c>
      <x:c r="G2800" s="17" t="str">
        <x:v>The 2024 paper supports current reproducible database-benchmarking and workload-evaluation overlap.</x:v>
      </x:c>
      <x:c r="H2800" s="17" t="str">
        <x:v>KVBench: A Key-Value Benchmarking Suite</x:v>
      </x:c>
      <x:c r="I2800" s="17" t="str">
        <x:v>OpenAlex / cited venue</x:v>
      </x:c>
      <x:c r="J2800" s="17" t="str">
        <x:v>secondary</x:v>
      </x:c>
      <x:c r="K2800" s="17" t="str">
        <x:v>2026-09-11</x:v>
      </x:c>
      <x:c r="L2800" s="17" t="str">
        <x:v>2024</x:v>
      </x:c>
      <x:c r="M2800" s="17" t="str">
        <x:v>high</x:v>
      </x:c>
      <x:c r="N2800" s="17" t="str">
        <x:v>verified</x:v>
      </x:c>
      <x:c r="O2800" s="17" t="str">
        <x:v>DOI and author manuscript checked 2026-09-11.</x:v>
      </x:c>
      <x:c r="P2800" s="18" t="e">
        <x:f>HYPERLINK("https://doi.org/10.1145/3662165.3662765","Open source")</x:f>
        <x:v>HYPERLINK is not implemented. linkLocation=https://doi.org/10.1145/3662165.3662765, friendlyName=Open source</x:v>
      </x:c>
    </x:row>
    <x:row r="2801" ht="46" customHeight="1">
      <x:c r="A2801" s="17" t="str">
        <x:v>stage4src:0d6997c81e1e4be9</x:v>
      </x:c>
      <x:c r="B2801" s="17" t="str">
        <x:v>professor</x:v>
      </x:c>
      <x:c r="C2801" s="17" t="str">
        <x:v>Tennessee Technological University</x:v>
      </x:c>
      <x:c r="D2801" s="17" t="str">
        <x:v>us:ipeds:221847:program:phd:computer-science-phd</x:v>
      </x:c>
      <x:c r="E2801" s="17" t="str">
        <x:v>us:ipeds:221847:faculty:muhammad-ismail</x:v>
      </x:c>
      <x:c r="F2801" s="17" t="str">
        <x:v>current appointment|department|email|research themes|supervision authority</x:v>
      </x:c>
      <x:c r="G2801" s="17" t="str">
        <x:v>Tennessee Tech lists Ismail as Associate Professor of Computer Science and CEROC Director with cyber-physical, networking, smart-grid, blockchain, and ML interests.</x:v>
      </x:c>
      <x:c r="H2801" s="17" t="str">
        <x:v>Muhammad Ismail</x:v>
      </x:c>
      <x:c r="I2801" s="17" t="str">
        <x:v>Tennessee Technological University</x:v>
      </x:c>
      <x:c r="J2801" s="17" t="str">
        <x:v>official</x:v>
      </x:c>
      <x:c r="K2801" s="17" t="str">
        <x:v>2026-09-11</x:v>
      </x:c>
      <x:c r="L2801" s="17" t="str">
        <x:v>2026</x:v>
      </x:c>
      <x:c r="M2801" s="17" t="str">
        <x:v>high</x:v>
      </x:c>
      <x:c r="N2801" s="17" t="str">
        <x:v>verified</x:v>
      </x:c>
      <x:c r="O2801" s="17" t="str">
        <x:v>Live official profile checked 2026-09-11.</x:v>
      </x:c>
      <x:c r="P2801" s="18" t="e">
        <x:f>HYPERLINK("https://www.tntech.edu/directory/engineering/faculty/muhammad-ismail.php","Open source")</x:f>
        <x:v>HYPERLINK is not implemented. linkLocation=https://www.tntech.edu/directory/engineering/faculty/muhammad-ismail.php, friendlyName=Open source</x:v>
      </x:c>
    </x:row>
    <x:row r="2802" ht="46" customHeight="1">
      <x:c r="A2802" s="17" t="str">
        <x:v>stage4src:0d6be76ad958f471</x:v>
      </x:c>
      <x:c r="B2802" s="17" t="str">
        <x:v>professor</x:v>
      </x:c>
      <x:c r="C2802" s="17" t="str">
        <x:v>Southern Illinois University-Carbondale</x:v>
      </x:c>
      <x:c r="D2802" s="17" t="str">
        <x:v>us:ipeds:149222:program:phd:computer-science-doctor-of-philosophy</x:v>
      </x:c>
      <x:c r="E2802" s="17" t="str">
        <x:v>us:ipeds:149222:faculty:khaled-ahmed</x:v>
      </x:c>
      <x:c r="F2802" s="17" t="str">
        <x:v>current appointment|graduate program authority|email|research themes</x:v>
      </x:c>
      <x:c r="G2802" s="17" t="str">
        <x:v>SIU lists Ahmed as Graduate Program Director and Assistant Professor in Computer Science and as BASE Lab director.</x:v>
      </x:c>
      <x:c r="H2802" s="17" t="str">
        <x:v>Khaled Ahmed</x:v>
      </x:c>
      <x:c r="I2802" s="17" t="str">
        <x:v>Southern Illinois University-Carbondale</x:v>
      </x:c>
      <x:c r="J2802" s="17" t="str">
        <x:v>official</x:v>
      </x:c>
      <x:c r="K2802" s="17" t="str">
        <x:v>2026-09-11</x:v>
      </x:c>
      <x:c r="L2802" s="17" t="str">
        <x:v>2026</x:v>
      </x:c>
      <x:c r="M2802" s="17" t="str">
        <x:v>high</x:v>
      </x:c>
      <x:c r="N2802" s="17" t="str">
        <x:v>verified</x:v>
      </x:c>
      <x:c r="O2802" s="17" t="str">
        <x:v>Official profile last updated 2026-05-28 and checked 2026-09-11.</x:v>
      </x:c>
      <x:c r="P2802" s="18" t="e">
        <x:f>HYPERLINK("https://faculty.siu.edu/profiles/a-c/ahmed-khaled.php","Open source")</x:f>
        <x:v>HYPERLINK is not implemented. linkLocation=https://faculty.siu.edu/profiles/a-c/ahmed-khaled.php, friendlyName=Open source</x:v>
      </x:c>
    </x:row>
    <x:row r="2803" ht="46" customHeight="1">
      <x:c r="A2803" s="17" t="str">
        <x:v>stage4src:0d96de401e6bb8b1</x:v>
      </x:c>
      <x:c r="B2803" s="17" t="str">
        <x:v>professor</x:v>
      </x:c>
      <x:c r="C2803" s="17" t="str">
        <x:v>North Dakota State University-Main Campus</x:v>
      </x:c>
      <x:c r="D2803" s="17" t="str">
        <x:v>us:ipeds:200332:program:phd:ph-d-in-software-and-security-engineering</x:v>
      </x:c>
      <x:c r="E2803" s="17" t="str">
        <x:v>us:ipeds:200332:faculty:muhammad-zubair-malik</x:v>
      </x:c>
      <x:c r="F2803" s="17" t="str">
        <x:v>Software and Security Engineering PhD supervision authority|recent work|research fit</x:v>
      </x:c>
      <x:c r="G2803" s="17" t="str">
        <x:v>The program records a Software and Security Engineering doctoral thesis on NLP-assisted software requirements advised by Muhammad Zubair Malik.</x:v>
      </x:c>
      <x:c r="H2803" s="17" t="str">
        <x:v>Spring 2026 Commencement Program</x:v>
      </x:c>
      <x:c r="I2803" s="17" t="str">
        <x:v>North Dakota State University-Main Campus</x:v>
      </x:c>
      <x:c r="J2803" s="17" t="str">
        <x:v>official</x:v>
      </x:c>
      <x:c r="K2803" s="17" t="str">
        <x:v>2026-09-11</x:v>
      </x:c>
      <x:c r="L2803" s="17" t="str">
        <x:v>2026</x:v>
      </x:c>
      <x:c r="M2803" s="17" t="str">
        <x:v>high</x:v>
      </x:c>
      <x:c r="N2803" s="17" t="str">
        <x:v>verified</x:v>
      </x:c>
      <x:c r="O2803" s="17" t="str">
        <x:v>Official university PDF checked 2026-09-10.</x:v>
      </x:c>
      <x:c r="P2803" s="18" t="e">
        <x:f>HYPERLINK("https://www.ndsu.edu/sites/default/files/fileadmin/commencement/programs/Commencement_Program_2430.pdf","Open source")</x:f>
        <x:v>HYPERLINK is not implemented. linkLocation=https://www.ndsu.edu/sites/default/files/fileadmin/commencement/programs/Commencement_Program_2430.pdf, friendlyName=Open source</x:v>
      </x:c>
    </x:row>
    <x:row r="2804" ht="46" customHeight="1">
      <x:c r="A2804" s="17" t="str">
        <x:v>stage4src:0d9e53e9bdbdc521</x:v>
      </x:c>
      <x:c r="B2804" s="17" t="str">
        <x:v>professor</x:v>
      </x:c>
      <x:c r="C2804" s="17" t="str">
        <x:v>McGill University</x:v>
      </x:c>
      <x:c r="D2804" s="17" t="str">
        <x:v>ca:dli:O19359011033:program:thesis-or-research-master-s:msc-in-computer-science-thesis</x:v>
      </x:c>
      <x:c r="E2804" s="17" t="str">
        <x:v>ca:dli:O19359011033:faculty:jin-l-c-guo</x:v>
      </x:c>
      <x:c r="F2804" s="17" t="str">
        <x:v>current appointment|program supervision authority|research themes</x:v>
      </x:c>
      <x:c r="G2804" s="17" t="str">
        <x:v>Jin Guo is current Associate Professor; official McGill pages list 2024 LLM/tutorial and software-documentation papers.</x:v>
      </x:c>
      <x:c r="H2804" s="17" t="str">
        <x:v>Jin Guo</x:v>
      </x:c>
      <x:c r="I2804" s="17" t="str">
        <x:v>McGill University</x:v>
      </x:c>
      <x:c r="J2804" s="17" t="str">
        <x:v>official</x:v>
      </x:c>
      <x:c r="K2804" s="17" t="str">
        <x:v>2026-09-11</x:v>
      </x:c>
      <x:c r="L2804" s="17" t="str"/>
      <x:c r="M2804" s="17" t="str">
        <x:v>high</x:v>
      </x:c>
      <x:c r="N2804" s="17" t="str">
        <x:v>verified</x:v>
      </x:c>
      <x:c r="O2804" s="17" t="str">
        <x:v>No search snippet used as final evidence; URL/page content reviewed.</x:v>
      </x:c>
      <x:c r="P2804" s="18" t="e">
        <x:f>HYPERLINK("https://www.cs.mcgill.ca/~jguo/","Open source")</x:f>
        <x:v>HYPERLINK is not implemented. linkLocation=https://www.cs.mcgill.ca/~jguo/, friendlyName=Open source</x:v>
      </x:c>
    </x:row>
    <x:row r="2805" ht="46" customHeight="1">
      <x:c r="A2805" s="17" t="str">
        <x:v>stage4src:0dad4fa7cd47394b</x:v>
      </x:c>
      <x:c r="B2805" s="17" t="str">
        <x:v>professor</x:v>
      </x:c>
      <x:c r="C2805" s="17" t="str">
        <x:v>University of Victoria</x:v>
      </x:c>
      <x:c r="D2805" s="17" t="str">
        <x:v>ca:dli:O19280533442:program:thesis-or-research-master-s:msc-in-computer-science-thesis</x:v>
      </x:c>
      <x:c r="E2805" s="17" t="str">
        <x:v>ca:dli:O19280533442:faculty:margaret-anne-storey</x:v>
      </x:c>
      <x:c r="F2805" s="17" t="str">
        <x:v>current appointment|program supervision authority|research themes</x:v>
      </x:c>
      <x:c r="G2805" s="17" t="str">
        <x:v>Margaret-Anne Storey is current Professor and Tier I CRC in human/social aspects of software engineering.</x:v>
      </x:c>
      <x:c r="H2805" s="17" t="str">
        <x:v>Margaret-Anne Storey</x:v>
      </x:c>
      <x:c r="I2805" s="17" t="str">
        <x:v>University of Victoria</x:v>
      </x:c>
      <x:c r="J2805" s="17" t="str">
        <x:v>official</x:v>
      </x:c>
      <x:c r="K2805" s="17" t="str">
        <x:v>2026-09-11</x:v>
      </x:c>
      <x:c r="L2805" s="17" t="str"/>
      <x:c r="M2805" s="17" t="str">
        <x:v>high</x:v>
      </x:c>
      <x:c r="N2805" s="17" t="str">
        <x:v>verified</x:v>
      </x:c>
      <x:c r="O2805" s="17" t="str">
        <x:v>No search snippet used as final evidence; URL/page content reviewed.</x:v>
      </x:c>
      <x:c r="P2805" s="18" t="e">
        <x:f>HYPERLINK("https://www.uvic.ca/ecs/computerscience/faculty-staff/faculty/storey-margaret-anne.php","Open source")</x:f>
        <x:v>HYPERLINK is not implemented. linkLocation=https://www.uvic.ca/ecs/computerscience/faculty-staff/faculty/storey-margaret-anne.php, friendlyName=Open source</x:v>
      </x:c>
    </x:row>
    <x:row r="2806" ht="46" customHeight="1">
      <x:c r="A2806" s="17" t="str">
        <x:v>stage4src:0e1edf32c2a16f52</x:v>
      </x:c>
      <x:c r="B2806" s="17" t="str">
        <x:v>professor</x:v>
      </x:c>
      <x:c r="C2806" s="17" t="str">
        <x:v>University of Tulsa</x:v>
      </x:c>
      <x:c r="D2806" s="17" t="str">
        <x:v>us:ipeds:207971:program:phd:computer-science-ph-d</x:v>
      </x:c>
      <x:c r="E2806" s="17" t="str">
        <x:v>us:ipeds:207971:faculty:rose-gamble</x:v>
      </x:c>
      <x:c r="F2806" s="17" t="str">
        <x:v>Computer Science PhD|faculty-guided research|contact appropriateness</x:v>
      </x:c>
      <x:c r="G2806" s="17" t="str">
        <x:v>Tulsa documents its Computer Science PhD and faculty-guided research model.</x:v>
      </x:c>
      <x:c r="H2806" s="17" t="str">
        <x:v>Computer Science</x:v>
      </x:c>
      <x:c r="I2806" s="17" t="str">
        <x:v>University of Tulsa</x:v>
      </x:c>
      <x:c r="J2806" s="17" t="str">
        <x:v>official</x:v>
      </x:c>
      <x:c r="K2806" s="17" t="str">
        <x:v>2026-09-11</x:v>
      </x:c>
      <x:c r="L2806" s="17" t="str">
        <x:v>2026</x:v>
      </x:c>
      <x:c r="M2806" s="17" t="str">
        <x:v>high</x:v>
      </x:c>
      <x:c r="N2806" s="17" t="str">
        <x:v>verified</x:v>
      </x:c>
      <x:c r="O2806" s="17" t="str">
        <x:v>Live official program page checked 2026-09-11.</x:v>
      </x:c>
      <x:c r="P2806" s="18" t="e">
        <x:f>HYPERLINK("https://utulsa.edu/programs/computer-science/","Open source")</x:f>
        <x:v>HYPERLINK is not implemented. linkLocation=https://utulsa.edu/programs/computer-science/, friendlyName=Open source</x:v>
      </x:c>
    </x:row>
    <x:row r="2807" ht="46" customHeight="1">
      <x:c r="A2807" s="17" t="str">
        <x:v>stage4src:0e43a260111f5007</x:v>
      </x:c>
      <x:c r="B2807" s="17" t="str">
        <x:v>professor</x:v>
      </x:c>
      <x:c r="C2807" s="17" t="str">
        <x:v>Illinois Institute of Technology</x:v>
      </x:c>
      <x:c r="D2807" s="17" t="str">
        <x:v>us:ipeds:145725:program:phd:computer-science-ph-d</x:v>
      </x:c>
      <x:c r="E2807" s="17" t="str"/>
      <x:c r="F2807" s="17" t="str">
        <x:v>current faculty roster|candidate longlist</x:v>
      </x:c>
      <x:c r="G2807" s="17" t="str">
        <x:v>Current official department roster or research-area faculty listing used to identify the five-person Stage 4 candidate longlist.</x:v>
      </x:c>
      <x:c r="H2807" s="17" t="str">
        <x:v>Illinois Institute of Technology current faculty roster</x:v>
      </x:c>
      <x:c r="I2807" s="17" t="str">
        <x:v>Illinois Institute of Technology</x:v>
      </x:c>
      <x:c r="J2807" s="17" t="str">
        <x:v>official</x:v>
      </x:c>
      <x:c r="K2807" s="17" t="str">
        <x:v>2026-09-11</x:v>
      </x:c>
      <x:c r="L2807" s="17" t="str"/>
      <x:c r="M2807" s="17" t="str">
        <x:v>high</x:v>
      </x:c>
      <x:c r="N2807" s="17" t="str">
        <x:v>verified</x:v>
      </x:c>
      <x:c r="O2807" s="17" t="str">
        <x:v>Roster evidence establishes a current listing, not program-specific supervision authority or recruiting.</x:v>
      </x:c>
      <x:c r="P2807" s="18" t="e">
        <x:f>HYPERLINK("https://www.iit.edu/directory/people?organization=116826&amp;profile_type=21","Open source")</x:f>
        <x:v>HYPERLINK is not implemented. linkLocation=https://www.iit.edu/directory/people?organization=116826&amp;profile_type=21, friendlyName=Open source</x:v>
      </x:c>
    </x:row>
    <x:row r="2808" ht="46" customHeight="1">
      <x:c r="A2808" s="17" t="str">
        <x:v>stage4src:0e6da382987c3cfe</x:v>
      </x:c>
      <x:c r="B2808" s="17" t="str">
        <x:v>professor</x:v>
      </x:c>
      <x:c r="C2808" s="17" t="str">
        <x:v>University of Calgary</x:v>
      </x:c>
      <x:c r="D2808" s="17" t="str">
        <x:v>ca:dli:O18886830282:program:thesis-or-research-master-s:msc-in-computer-science-thesis</x:v>
      </x:c>
      <x:c r="E2808" s="17" t="str">
        <x:v>ca:dli:O18886830282:faculty:gias-uddin</x:v>
      </x:c>
      <x:c r="F2808" s="17" t="str">
        <x:v>discovery publication signal|recent work</x:v>
      </x:c>
      <x:c r="G2808" s="17" t="str">
        <x:v>Publication metadata was examined for shortlist triage only; publication-time affiliation does not establish current appointment, supervision authority, or recruiting.</x:v>
      </x:c>
      <x:c r="H2808" s="17" t="str">
        <x:v>OpenAlex publication signal for Gias Uddin</x:v>
      </x:c>
      <x:c r="I2808" s="17" t="str">
        <x:v>OpenAlex / cited venue</x:v>
      </x:c>
      <x:c r="J2808" s="17" t="str">
        <x:v>secondary</x:v>
      </x:c>
      <x:c r="K2808" s="17" t="str">
        <x:v>2026-09-11</x:v>
      </x:c>
      <x:c r="L2808" s="17" t="str"/>
      <x:c r="M2808" s="17" t="str">
        <x:v>medium</x:v>
      </x:c>
      <x:c r="N2808" s="17" t="str">
        <x:v>discovery_only</x:v>
      </x:c>
      <x:c r="O2808" s="17" t="str">
        <x:v>Not used to award a professor score or faculty-depth point.</x:v>
      </x:c>
      <x:c r="P2808" s="18" t="e">
        <x:f>HYPERLINK("https://openalex.org/A5067154597","Open source")</x:f>
        <x:v>HYPERLINK is not implemented. linkLocation=https://openalex.org/A5067154597, friendlyName=Open source</x:v>
      </x:c>
    </x:row>
    <x:row r="2809" ht="46" customHeight="1">
      <x:c r="A2809" s="17" t="str">
        <x:v>stage4src:0f8a34749b8f4ab0</x:v>
      </x:c>
      <x:c r="B2809" s="17" t="str">
        <x:v>professor</x:v>
      </x:c>
      <x:c r="C2809" s="17" t="str">
        <x:v>Stevens Institute of Technology</x:v>
      </x:c>
      <x:c r="D2809" s="17" t="str">
        <x:v>us:ipeds:186867:program:phd:phd-in-computer-science</x:v>
      </x:c>
      <x:c r="E2809" s="17" t="str">
        <x:v>us:ipeds:186867:faculty:tegan-brennan</x:v>
      </x:c>
      <x:c r="F2809" s="17" t="str">
        <x:v>Computer Science PhD committee authority</x:v>
      </x:c>
      <x:c r="G2809" s="17" t="str">
        <x:v>The official 2025 Computer Science PhD defense announcement identifies Tegan Brennan as a committee member.</x:v>
      </x:c>
      <x:c r="H2809" s="17" t="str">
        <x:v>Adam Chen Computer Science PhD dissertation defense</x:v>
      </x:c>
      <x:c r="I2809" s="17" t="str">
        <x:v>Stevens Institute of Technology</x:v>
      </x:c>
      <x:c r="J2809" s="17" t="str">
        <x:v>official</x:v>
      </x:c>
      <x:c r="K2809" s="17" t="str">
        <x:v>2026-09-11</x:v>
      </x:c>
      <x:c r="L2809" s="17" t="str">
        <x:v>2025</x:v>
      </x:c>
      <x:c r="M2809" s="17" t="str">
        <x:v>high</x:v>
      </x:c>
      <x:c r="N2809" s="17" t="str">
        <x:v>verified</x:v>
      </x:c>
      <x:c r="O2809" s="17" t="str">
        <x:v>Official doctoral-defense record checked 2026-09-10.</x:v>
      </x:c>
      <x:c r="P2809" s="18" t="e">
        <x:f>HYPERLINK("https://assets.stevens.edu/mviowpldu823/6drCjHjNbuZIzBy6g1VlQq/08944797ebaf67e9b1b0d37d8eefc481/achen19_Dissertation_Defense_Announcement_Adam_Neil_Chen_1.pdf","Open source")</x:f>
        <x:v>HYPERLINK is not implemented. linkLocation=https://assets.stevens.edu/mviowpldu823/6drCjHjNbuZIzBy6g1VlQq/08944797ebaf67e9b1b0d37d8eefc481/achen19_Dissertation_Defense_Announcement_Adam_Neil_Chen_1.pdf, friendlyName=Open source</x:v>
      </x:c>
    </x:row>
    <x:row r="2810" ht="46" customHeight="1">
      <x:c r="A2810" s="17" t="str">
        <x:v>stage4src:0fa877a52299aa29</x:v>
      </x:c>
      <x:c r="B2810" s="17" t="str">
        <x:v>professor</x:v>
      </x:c>
      <x:c r="C2810" s="17" t="str">
        <x:v>Colorado State University-Fort Collins</x:v>
      </x:c>
      <x:c r="D2810" s="17" t="str">
        <x:v>us:ipeds:126818:program:phd:computer-science-phd</x:v>
      </x:c>
      <x:c r="E2810" s="17" t="str">
        <x:v>us:ipeds:126818:faculty:sudipto-ghosh</x:v>
      </x:c>
      <x:c r="F2810" s="17" t="str">
        <x:v>recent work|research fit</x:v>
      </x:c>
      <x:c r="G2810" s="17" t="str">
        <x:v>Recent work supports the recorded TerraProbe/Evidex research overlap for Sudipto Ghosh.</x:v>
      </x:c>
      <x:c r="H2810" s="17" t="str">
        <x:v>Recent scholarly work</x:v>
      </x:c>
      <x:c r="I2810" s="17" t="str">
        <x:v>OpenAlex / cited venue</x:v>
      </x:c>
      <x:c r="J2810" s="17" t="str">
        <x:v>secondary</x:v>
      </x:c>
      <x:c r="K2810" s="17" t="str">
        <x:v>2026-09-11</x:v>
      </x:c>
      <x:c r="L2810" s="17" t="str"/>
      <x:c r="M2810" s="17" t="str">
        <x:v>high</x:v>
      </x:c>
      <x:c r="N2810" s="17" t="str">
        <x:v>verified</x:v>
      </x:c>
      <x:c r="O2810" s="17" t="str">
        <x:v>Carried from verified regional deep-review evidence.</x:v>
      </x:c>
      <x:c r="P2810" s="18" t="e">
        <x:f>HYPERLINK("https://compsci.colostate.edu/people/","Open source")</x:f>
        <x:v>HYPERLINK is not implemented. linkLocation=https://compsci.colostate.edu/people/, friendlyName=Open source</x:v>
      </x:c>
    </x:row>
    <x:row r="2811" ht="46" customHeight="1">
      <x:c r="A2811" s="17" t="str">
        <x:v>stage4src:0ffa7c361a4660a8</x:v>
      </x:c>
      <x:c r="B2811" s="17" t="str">
        <x:v>professor</x:v>
      </x:c>
      <x:c r="C2811" s="17" t="str">
        <x:v>Montana State University</x:v>
      </x:c>
      <x:c r="D2811" s="17" t="str">
        <x:v>us:ipeds:180461:program:phd:computer-science-phd</x:v>
      </x:c>
      <x:c r="E2811" s="17" t="str">
        <x:v>us:ipeds:180461:faculty:charlie-murphy</x:v>
      </x:c>
      <x:c r="F2811" s="17" t="str">
        <x:v>current appointment|department|research themes|recent work|strong fit</x:v>
      </x:c>
      <x:c r="G2811" s="17" t="str">
        <x:v>Murphy is a current Assistant Professor whose page lists 2024-2025 work in synthesis, semantics, and automated reasoning.</x:v>
      </x:c>
      <x:c r="H2811" s="17" t="str">
        <x:v>Charlie Murphy</x:v>
      </x:c>
      <x:c r="I2811" s="17" t="str">
        <x:v>Montana State University</x:v>
      </x:c>
      <x:c r="J2811" s="17" t="str">
        <x:v>official</x:v>
      </x:c>
      <x:c r="K2811" s="17" t="str">
        <x:v>2026-09-11</x:v>
      </x:c>
      <x:c r="L2811" s="17" t="str">
        <x:v>2025</x:v>
      </x:c>
      <x:c r="M2811" s="17" t="str">
        <x:v>high</x:v>
      </x:c>
      <x:c r="N2811" s="17" t="str">
        <x:v>verified</x:v>
      </x:c>
      <x:c r="O2811" s="17" t="str">
        <x:v>Live university-hosted page checked 2026-09-11.</x:v>
      </x:c>
      <x:c r="P2811" s="18" t="e">
        <x:f>HYPERLINK("https://www.cs.montana.edu/users/murphy/","Open source")</x:f>
        <x:v>HYPERLINK is not implemented. linkLocation=https://www.cs.montana.edu/users/murphy/, friendlyName=Open source</x:v>
      </x:c>
    </x:row>
    <x:row r="2812" ht="46" customHeight="1">
      <x:c r="A2812" s="17" t="str">
        <x:v>stage4src:101cf75e0bff892f</x:v>
      </x:c>
      <x:c r="B2812" s="17" t="str">
        <x:v>professor</x:v>
      </x:c>
      <x:c r="C2812" s="17" t="str">
        <x:v>Queen’s University</x:v>
      </x:c>
      <x:c r="D2812" s="17" t="str">
        <x:v>ca:dli:O19376023352:program:thesis-or-research-master-s:msc-in-computing-research-pattern</x:v>
      </x:c>
      <x:c r="E2812" s="17" t="str">
        <x:v>ca:dli:O19376023352:faculty:yuan-tian</x:v>
      </x:c>
      <x:c r="F2812" s="17" t="str">
        <x:v>discovery publication signal|recent work</x:v>
      </x:c>
      <x:c r="G2812" s="17" t="str">
        <x:v>Publication metadata was examined for shortlist triage only; publication-time affiliation does not establish current appointment, supervision authority, or recruiting.</x:v>
      </x:c>
      <x:c r="H2812" s="17" t="str">
        <x:v>OpenAlex publication signal for Yuan Tian</x:v>
      </x:c>
      <x:c r="I2812" s="17" t="str">
        <x:v>OpenAlex / cited venue</x:v>
      </x:c>
      <x:c r="J2812" s="17" t="str">
        <x:v>secondary</x:v>
      </x:c>
      <x:c r="K2812" s="17" t="str">
        <x:v>2026-09-11</x:v>
      </x:c>
      <x:c r="L2812" s="17" t="str"/>
      <x:c r="M2812" s="17" t="str">
        <x:v>medium</x:v>
      </x:c>
      <x:c r="N2812" s="17" t="str">
        <x:v>discovery_only</x:v>
      </x:c>
      <x:c r="O2812" s="17" t="str">
        <x:v>Not used to award a professor score or faculty-depth point.</x:v>
      </x:c>
      <x:c r="P2812" s="18" t="e">
        <x:f>HYPERLINK("https://openalex.org/A5100716456","Open source")</x:f>
        <x:v>HYPERLINK is not implemented. linkLocation=https://openalex.org/A5100716456, friendlyName=Open source</x:v>
      </x:c>
    </x:row>
    <x:row r="2813" ht="46" customHeight="1">
      <x:c r="A2813" s="17" t="str">
        <x:v>stage4src:10214962ecbc1cf7</x:v>
      </x:c>
      <x:c r="B2813" s="17" t="str">
        <x:v>professor</x:v>
      </x:c>
      <x:c r="C2813" s="17" t="str">
        <x:v>Carleton University</x:v>
      </x:c>
      <x:c r="D2813" s="17" t="str">
        <x:v>ca:dli:O19332687812:program:thesis-or-research-master-s:electrical-and-computer-engineering-masc-software-engineering-concentration</x:v>
      </x:c>
      <x:c r="E2813" s="17" t="str">
        <x:v>ca:dli:O19332687812:faculty:yvan-labiche</x:v>
      </x:c>
      <x:c r="F2813" s="17" t="str">
        <x:v>ECE MASc supervision authority|recent work|research fit|recruiting evidence</x:v>
      </x:c>
      <x:c r="G2813" s="17" t="str">
        <x:v>The page lists Labiche as supervisor, identifies MASc and PhD student categories, and describes current projects in automated testing, oracles, models, coverage, and AI.</x:v>
      </x:c>
      <x:c r="H2813" s="17" t="str">
        <x:v>2026–2027 Research Project — Multiple Projects on Software Verification and Validation</x:v>
      </x:c>
      <x:c r="I2813" s="17" t="str">
        <x:v>Carleton University</x:v>
      </x:c>
      <x:c r="J2813" s="17" t="str">
        <x:v>official</x:v>
      </x:c>
      <x:c r="K2813" s="17" t="str">
        <x:v>2026-09-11</x:v>
      </x:c>
      <x:c r="L2813" s="17" t="str">
        <x:v>2026</x:v>
      </x:c>
      <x:c r="M2813" s="17" t="str">
        <x:v>high</x:v>
      </x:c>
      <x:c r="N2813" s="17" t="str">
        <x:v>verified</x:v>
      </x:c>
      <x:c r="O2813" s="17" t="str">
        <x:v>Current official project page checked 2026-09-10.</x:v>
      </x:c>
      <x:c r="P2813" s="18" t="e">
        <x:f>HYPERLINK("https://carleton.ca/sce/2026-2027-research-project/","Open source")</x:f>
        <x:v>HYPERLINK is not implemented. linkLocation=https://carleton.ca/sce/2026-2027-research-project/, friendlyName=Open source</x:v>
      </x:c>
    </x:row>
    <x:row r="2814" ht="46" customHeight="1">
      <x:c r="A2814" s="17" t="str">
        <x:v>stage4src:10341cdba67be73b</x:v>
      </x:c>
      <x:c r="B2814" s="17" t="str">
        <x:v>professor</x:v>
      </x:c>
      <x:c r="C2814" s="17" t="str">
        <x:v>University of Tulsa</x:v>
      </x:c>
      <x:c r="D2814" s="17" t="str">
        <x:v>us:ipeds:207971:program:phd:computer-science-ph-d</x:v>
      </x:c>
      <x:c r="E2814" s="17" t="str">
        <x:v>us:ipeds:207971:faculty:rose-gamble</x:v>
      </x:c>
      <x:c r="F2814" s="17" t="str">
        <x:v>current appointment|email|research themes|recent active project</x:v>
      </x:c>
      <x:c r="G2814" s="17" t="str">
        <x:v>Tulsa identifies Gamble as Tandy Professor, SEAT director, and leader of a current Army-supported autonomous knowledge-core project for secure smart installations.</x:v>
      </x:c>
      <x:c r="H2814" s="17" t="str">
        <x:v>Rose Gamble, D.Sc.</x:v>
      </x:c>
      <x:c r="I2814" s="17" t="str">
        <x:v>University of Tulsa</x:v>
      </x:c>
      <x:c r="J2814" s="17" t="str">
        <x:v>official</x:v>
      </x:c>
      <x:c r="K2814" s="17" t="str">
        <x:v>2026-09-11</x:v>
      </x:c>
      <x:c r="L2814" s="17" t="str">
        <x:v>2026</x:v>
      </x:c>
      <x:c r="M2814" s="17" t="str">
        <x:v>high</x:v>
      </x:c>
      <x:c r="N2814" s="17" t="str">
        <x:v>verified</x:v>
      </x:c>
      <x:c r="O2814" s="17" t="str">
        <x:v>Live official profile checked 2026-09-11.</x:v>
      </x:c>
      <x:c r="P2814" s="18" t="e">
        <x:f>HYPERLINK("https://utulsa.edu/people/rose-gamble/","Open source")</x:f>
        <x:v>HYPERLINK is not implemented. linkLocation=https://utulsa.edu/people/rose-gamble/, friendlyName=Open source</x:v>
      </x:c>
    </x:row>
    <x:row r="2815" ht="46" customHeight="1">
      <x:c r="A2815" s="17" t="str">
        <x:v>stage4src:10b3eeef153108c7</x:v>
      </x:c>
      <x:c r="B2815" s="17" t="str">
        <x:v>professor</x:v>
      </x:c>
      <x:c r="C2815" s="17" t="str">
        <x:v>Northwestern University</x:v>
      </x:c>
      <x:c r="D2815" s="17" t="str">
        <x:v>us:ipeds:147767:program:phd:phd-in-computer-science</x:v>
      </x:c>
      <x:c r="E2815" s="17" t="str">
        <x:v>us:ipeds:147767:faculty:robby-findler</x:v>
      </x:c>
      <x:c r="F2815" s="17" t="str">
        <x:v>current appointment|department|email|research themes</x:v>
      </x:c>
      <x:c r="G2815" s="17" t="str">
        <x:v>Northwestern lists Findler as Professor of Computer Science and records his programming-languages, contracts, and program-environment research.</x:v>
      </x:c>
      <x:c r="H2815" s="17" t="str">
        <x:v>Robby Findler — Faculty Directory</x:v>
      </x:c>
      <x:c r="I2815" s="17" t="str">
        <x:v>Northwestern University</x:v>
      </x:c>
      <x:c r="J2815" s="17" t="str">
        <x:v>official</x:v>
      </x:c>
      <x:c r="K2815" s="17" t="str">
        <x:v>2026-09-11</x:v>
      </x:c>
      <x:c r="L2815" s="17" t="str">
        <x:v>2026</x:v>
      </x:c>
      <x:c r="M2815" s="17" t="str">
        <x:v>high</x:v>
      </x:c>
      <x:c r="N2815" s="17" t="str">
        <x:v>verified</x:v>
      </x:c>
      <x:c r="O2815" s="17" t="str">
        <x:v>Live official profile checked 2026-09-11.</x:v>
      </x:c>
      <x:c r="P2815" s="18" t="e">
        <x:f>HYPERLINK("https://www.mccormick.northwestern.edu/research-faculty/directory/profiles/findler-robert.html","Open source")</x:f>
        <x:v>HYPERLINK is not implemented. linkLocation=https://www.mccormick.northwestern.edu/research-faculty/directory/profiles/findler-robert.html, friendlyName=Open source</x:v>
      </x:c>
    </x:row>
    <x:row r="2816" ht="46" customHeight="1">
      <x:c r="A2816" s="17" t="str">
        <x:v>stage4src:10b5a9801e0fa147</x:v>
      </x:c>
      <x:c r="B2816" s="17" t="str">
        <x:v>professor</x:v>
      </x:c>
      <x:c r="C2816" s="17" t="str">
        <x:v>Old Dominion University</x:v>
      </x:c>
      <x:c r="D2816" s="17" t="str">
        <x:v>us:ipeds:232982:program:phd:computer-science-ph-d</x:v>
      </x:c>
      <x:c r="E2816" s="17" t="str"/>
      <x:c r="F2816" s="17" t="str">
        <x:v>current faculty roster|candidate longlist</x:v>
      </x:c>
      <x:c r="G2816" s="17" t="str">
        <x:v>Current official department roster or research-area faculty listing used to identify the five-person Stage 4 candidate longlist.</x:v>
      </x:c>
      <x:c r="H2816" s="17" t="str">
        <x:v>Old Dominion University current faculty roster</x:v>
      </x:c>
      <x:c r="I2816" s="17" t="str">
        <x:v>Old Dominion University</x:v>
      </x:c>
      <x:c r="J2816" s="17" t="str">
        <x:v>official</x:v>
      </x:c>
      <x:c r="K2816" s="17" t="str">
        <x:v>2026-09-11</x:v>
      </x:c>
      <x:c r="L2816" s="17" t="str"/>
      <x:c r="M2816" s="17" t="str">
        <x:v>high</x:v>
      </x:c>
      <x:c r="N2816" s="17" t="str">
        <x:v>verified</x:v>
      </x:c>
      <x:c r="O2816" s="17" t="str">
        <x:v>Roster evidence establishes a current listing, not program-specific supervision authority or recruiting.</x:v>
      </x:c>
      <x:c r="P2816" s="18" t="e">
        <x:f>HYPERLINK("https://faculty.pages.cs.odu.edu/","Open source")</x:f>
        <x:v>HYPERLINK is not implemented. linkLocation=https://faculty.pages.cs.odu.edu/, friendlyName=Open source</x:v>
      </x:c>
    </x:row>
    <x:row r="2817" ht="46" customHeight="1">
      <x:c r="A2817" s="17" t="str">
        <x:v>stage4src:10f0f6c4a5c51d1f</x:v>
      </x:c>
      <x:c r="B2817" s="17" t="str">
        <x:v>professor</x:v>
      </x:c>
      <x:c r="C2817" s="17" t="str">
        <x:v>Rensselaer Polytechnic Institute</x:v>
      </x:c>
      <x:c r="D2817" s="17" t="str">
        <x:v>us:ipeds:194824:program:phd:ph-d-in-computer-science</x:v>
      </x:c>
      <x:c r="E2817" s="17" t="str">
        <x:v>us:ipeds:194824:faculty:carlos-a-varela</x:v>
      </x:c>
      <x:c r="F2817" s="17" t="str">
        <x:v>current appointment|department|email|research themes|recent work|supervision history</x:v>
      </x:c>
      <x:c r="G2817" s="17" t="str">
        <x:v>RPI lists Varela as current CS Professor with verification, distributed-systems and middleware research, PhD supervision history, and 2023-2025 publications.</x:v>
      </x:c>
      <x:c r="H2817" s="17" t="str">
        <x:v>Carlos Varela</x:v>
      </x:c>
      <x:c r="I2817" s="17" t="str">
        <x:v>Rensselaer Polytechnic Institute</x:v>
      </x:c>
      <x:c r="J2817" s="17" t="str">
        <x:v>official</x:v>
      </x:c>
      <x:c r="K2817" s="17" t="str">
        <x:v>2026-09-11</x:v>
      </x:c>
      <x:c r="L2817" s="17" t="str">
        <x:v>2025</x:v>
      </x:c>
      <x:c r="M2817" s="17" t="str">
        <x:v>high</x:v>
      </x:c>
      <x:c r="N2817" s="17" t="str">
        <x:v>verified</x:v>
      </x:c>
      <x:c r="O2817" s="17" t="str">
        <x:v>Live official profile checked 2026-09-11.</x:v>
      </x:c>
      <x:c r="P2817" s="18" t="e">
        <x:f>HYPERLINK("https://faculty.rpi.edu/carlos-varela","Open source")</x:f>
        <x:v>HYPERLINK is not implemented. linkLocation=https://faculty.rpi.edu/carlos-varela, friendlyName=Open source</x:v>
      </x:c>
    </x:row>
    <x:row r="2818" ht="46" customHeight="1">
      <x:c r="A2818" s="17" t="str">
        <x:v>stage4src:11186e952aed2414</x:v>
      </x:c>
      <x:c r="B2818" s="17" t="str">
        <x:v>professor</x:v>
      </x:c>
      <x:c r="C2818" s="17" t="str">
        <x:v>Southern Illinois University-Carbondale</x:v>
      </x:c>
      <x:c r="D2818" s="17" t="str">
        <x:v>us:ipeds:149222:program:phd:computer-science-doctor-of-philosophy</x:v>
      </x:c>
      <x:c r="E2818" s="17" t="str">
        <x:v>us:ipeds:149222:faculty:khaled-ahmed</x:v>
      </x:c>
      <x:c r="F2818" s="17" t="str">
        <x:v>doctoral program|faculty supervision context</x:v>
      </x:c>
      <x:c r="G2818" s="17" t="str">
        <x:v>SIU documents the Computer Science doctoral route overseen by the graduate program Ahmed directs.</x:v>
      </x:c>
      <x:c r="H2818" s="17" t="str">
        <x:v>Computer Science Doctoral Program</x:v>
      </x:c>
      <x:c r="I2818" s="17" t="str">
        <x:v>Southern Illinois University-Carbondale</x:v>
      </x:c>
      <x:c r="J2818" s="17" t="str">
        <x:v>official</x:v>
      </x:c>
      <x:c r="K2818" s="17" t="str">
        <x:v>2026-09-11</x:v>
      </x:c>
      <x:c r="L2818" s="17" t="str">
        <x:v>2026</x:v>
      </x:c>
      <x:c r="M2818" s="17" t="str">
        <x:v>high</x:v>
      </x:c>
      <x:c r="N2818" s="17" t="str">
        <x:v>verified</x:v>
      </x:c>
      <x:c r="O2818" s="17" t="str">
        <x:v>Live official program page checked 2026-09-11.</x:v>
      </x:c>
      <x:c r="P2818" s="18" t="e">
        <x:f>HYPERLINK("https://academics.siu.edu/computing-and-technology/computer-science/doctoral/","Open source")</x:f>
        <x:v>HYPERLINK is not implemented. linkLocation=https://academics.siu.edu/computing-and-technology/computer-science/doctoral/, friendlyName=Open source</x:v>
      </x:c>
    </x:row>
    <x:row r="2819" ht="46" customHeight="1">
      <x:c r="A2819" s="17" t="str">
        <x:v>stage4src:113fde4c20358159</x:v>
      </x:c>
      <x:c r="B2819" s="17" t="str">
        <x:v>professor</x:v>
      </x:c>
      <x:c r="C2819" s="17" t="str">
        <x:v>Vanderbilt University</x:v>
      </x:c>
      <x:c r="D2819" s="17" t="str">
        <x:v>us:ipeds:221999:program:phd:computer-science-phd</x:v>
      </x:c>
      <x:c r="E2819" s="17" t="str"/>
      <x:c r="F2819" s="17" t="str">
        <x:v>current faculty roster|candidate longlist</x:v>
      </x:c>
      <x:c r="G2819" s="17" t="str">
        <x:v>Current official department roster or research-area faculty listing used to identify the five-person Stage 4 candidate longlist.</x:v>
      </x:c>
      <x:c r="H2819" s="17" t="str">
        <x:v>Vanderbilt University current faculty roster</x:v>
      </x:c>
      <x:c r="I2819" s="17" t="str">
        <x:v>Vanderbilt University</x:v>
      </x:c>
      <x:c r="J2819" s="17" t="str">
        <x:v>official</x:v>
      </x:c>
      <x:c r="K2819" s="17" t="str">
        <x:v>2026-09-11</x:v>
      </x:c>
      <x:c r="L2819" s="17" t="str"/>
      <x:c r="M2819" s="17" t="str">
        <x:v>high</x:v>
      </x:c>
      <x:c r="N2819" s="17" t="str">
        <x:v>verified</x:v>
      </x:c>
      <x:c r="O2819" s="17" t="str">
        <x:v>Roster evidence establishes a current listing, not program-specific supervision authority or recruiting.</x:v>
      </x:c>
      <x:c r="P2819" s="18" t="e">
        <x:f>HYPERLINK("https://computing.vanderbilt.edu/faculty/","Open source")</x:f>
        <x:v>HYPERLINK is not implemented. linkLocation=https://computing.vanderbilt.edu/faculty/, friendlyName=Open source</x:v>
      </x:c>
    </x:row>
    <x:row r="2820" ht="46" customHeight="1">
      <x:c r="A2820" s="17" t="str">
        <x:v>stage4src:11566e9232160e29</x:v>
      </x:c>
      <x:c r="B2820" s="17" t="str">
        <x:v>professor</x:v>
      </x:c>
      <x:c r="C2820" s="17" t="str">
        <x:v>University of California-Santa Barbara</x:v>
      </x:c>
      <x:c r="D2820" s="17" t="str">
        <x:v>us:ipeds:110705:program:phd:computer-science-phd</x:v>
      </x:c>
      <x:c r="E2820" s="17" t="str">
        <x:v>us:ipeds:110705:faculty:giovanni-vigna</x:v>
      </x:c>
      <x:c r="F2820" s="17" t="str">
        <x:v>discovery publication signal|recent work</x:v>
      </x:c>
      <x:c r="G2820" s="17" t="str">
        <x:v>Publication metadata was examined for shortlist triage only; publication-time affiliation does not establish current appointment, supervision authority, or recruiting.</x:v>
      </x:c>
      <x:c r="H2820" s="17" t="str">
        <x:v>OpenAlex publication signal for Giovanni Vigna</x:v>
      </x:c>
      <x:c r="I2820" s="17" t="str">
        <x:v>OpenAlex / cited venue</x:v>
      </x:c>
      <x:c r="J2820" s="17" t="str">
        <x:v>secondary</x:v>
      </x:c>
      <x:c r="K2820" s="17" t="str">
        <x:v>2026-09-11</x:v>
      </x:c>
      <x:c r="L2820" s="17" t="str"/>
      <x:c r="M2820" s="17" t="str">
        <x:v>medium</x:v>
      </x:c>
      <x:c r="N2820" s="17" t="str">
        <x:v>discovery_only</x:v>
      </x:c>
      <x:c r="O2820" s="17" t="str">
        <x:v>Not used to award a professor score or faculty-depth point.</x:v>
      </x:c>
      <x:c r="P2820" s="18" t="e">
        <x:f>HYPERLINK("https://openalex.org/A5075685499","Open source")</x:f>
        <x:v>HYPERLINK is not implemented. linkLocation=https://openalex.org/A5075685499, friendlyName=Open source</x:v>
      </x:c>
    </x:row>
    <x:row r="2821" ht="46" customHeight="1">
      <x:c r="A2821" s="17" t="str">
        <x:v>stage4src:11899e9b888c32c3</x:v>
      </x:c>
      <x:c r="B2821" s="17" t="str">
        <x:v>professor</x:v>
      </x:c>
      <x:c r="C2821" s="17" t="str">
        <x:v>University of California-Santa Barbara</x:v>
      </x:c>
      <x:c r="D2821" s="17" t="str">
        <x:v>us:ipeds:110705:program:phd:computer-science-phd</x:v>
      </x:c>
      <x:c r="E2821" s="17" t="str">
        <x:v>us:ipeds:110705:faculty:tevfik-bultan</x:v>
      </x:c>
      <x:c r="F2821" s="17" t="str">
        <x:v>current appointment|program supervision authority|research themes|email</x:v>
      </x:c>
      <x:c r="G2821" s="17" t="str">
        <x:v>The current UCSB profile lists Tevfik Bultan as a Computer Science professor and documents automated-verification, program-analysis, software-engineering, and security research.</x:v>
      </x:c>
      <x:c r="H2821" s="17" t="str">
        <x:v>Tevfik Bultan</x:v>
      </x:c>
      <x:c r="I2821" s="17" t="str">
        <x:v>University of California-Santa Barbara</x:v>
      </x:c>
      <x:c r="J2821" s="17" t="str">
        <x:v>official</x:v>
      </x:c>
      <x:c r="K2821" s="17" t="str">
        <x:v>2026-09-11</x:v>
      </x:c>
      <x:c r="L2821" s="17" t="str"/>
      <x:c r="M2821" s="17" t="str">
        <x:v>high</x:v>
      </x:c>
      <x:c r="N2821" s="17" t="str">
        <x:v>verified</x:v>
      </x:c>
      <x:c r="O2821" s="17" t="str">
        <x:v>Current official profile checked 2026-09-10.</x:v>
      </x:c>
      <x:c r="P2821" s="18" t="e">
        <x:f>HYPERLINK("https://www.cs.ucsb.edu/people/faculty/tevfik-bultan","Open source")</x:f>
        <x:v>HYPERLINK is not implemented. linkLocation=https://www.cs.ucsb.edu/people/faculty/tevfik-bultan, friendlyName=Open source</x:v>
      </x:c>
    </x:row>
    <x:row r="2822" ht="46" customHeight="1">
      <x:c r="A2822" s="17" t="str">
        <x:v>stage4src:11ee3f6c609cde61</x:v>
      </x:c>
      <x:c r="B2822" s="17" t="str">
        <x:v>professor</x:v>
      </x:c>
      <x:c r="C2822" s="17" t="str">
        <x:v>University of Delaware</x:v>
      </x:c>
      <x:c r="D2822" s="17" t="str">
        <x:v>us:ipeds:130943:program:phd:computer-science-phd</x:v>
      </x:c>
      <x:c r="E2822" s="17" t="str">
        <x:v>us:ipeds:130943:faculty:stephen-f-siegel</x:v>
      </x:c>
      <x:c r="F2822" s="17" t="str">
        <x:v>recent work|current supervision activity|recruiting|contact instructions</x:v>
      </x:c>
      <x:c r="G2822" s="17" t="str">
        <x:v>The current lab page records 2025 verification work and explicitly invites motivated undergraduate and graduate students.</x:v>
      </x:c>
      <x:c r="H2822" s="17" t="str">
        <x:v>Stephen F. Siegel — Verification and Software Laboratory</x:v>
      </x:c>
      <x:c r="I2822" s="17" t="str">
        <x:v>University of Delaware</x:v>
      </x:c>
      <x:c r="J2822" s="17" t="str">
        <x:v>official</x:v>
      </x:c>
      <x:c r="K2822" s="17" t="str">
        <x:v>2026-09-11</x:v>
      </x:c>
      <x:c r="L2822" s="17" t="str">
        <x:v>2025</x:v>
      </x:c>
      <x:c r="M2822" s="17" t="str">
        <x:v>high</x:v>
      </x:c>
      <x:c r="N2822" s="17" t="str">
        <x:v>verified</x:v>
      </x:c>
      <x:c r="O2822" s="17" t="str">
        <x:v>Current university-hosted laboratory page checked 2026-09-10; funding and capacity remain subject to confirmation.</x:v>
      </x:c>
      <x:c r="P2822" s="18" t="e">
        <x:f>HYPERLINK("https://vsl.cis.udel.edu/siegel.html","Open source")</x:f>
        <x:v>HYPERLINK is not implemented. linkLocation=https://vsl.cis.udel.edu/siegel.html, friendlyName=Open source</x:v>
      </x:c>
    </x:row>
    <x:row r="2823" ht="46" customHeight="1">
      <x:c r="A2823" s="17" t="str">
        <x:v>stage4src:12bf1c9850e95a53</x:v>
      </x:c>
      <x:c r="B2823" s="17" t="str">
        <x:v>professor</x:v>
      </x:c>
      <x:c r="C2823" s="17" t="str">
        <x:v>New Jersey Institute of Technology</x:v>
      </x:c>
      <x:c r="D2823" s="17" t="str">
        <x:v>us:ipeds:185828:program:phd:ph-d-computer-science</x:v>
      </x:c>
      <x:c r="E2823" s="17" t="str">
        <x:v>us:ipeds:185828:faculty:martin-kellogg</x:v>
      </x:c>
      <x:c r="F2823" s="17" t="str">
        <x:v>current appointment|department|email|research themes</x:v>
      </x:c>
      <x:c r="G2823" s="17" t="str">
        <x:v>NJIT lists Kellogg as a current Computer Science Assistant Professor in practical software verification, programming languages, and software engineering.</x:v>
      </x:c>
      <x:c r="H2823" s="17" t="str">
        <x:v>Martin Kellogg</x:v>
      </x:c>
      <x:c r="I2823" s="17" t="str">
        <x:v>New Jersey Institute of Technology</x:v>
      </x:c>
      <x:c r="J2823" s="17" t="str">
        <x:v>official</x:v>
      </x:c>
      <x:c r="K2823" s="17" t="str">
        <x:v>2026-09-11</x:v>
      </x:c>
      <x:c r="L2823" s="17" t="str">
        <x:v>2026</x:v>
      </x:c>
      <x:c r="M2823" s="17" t="str">
        <x:v>high</x:v>
      </x:c>
      <x:c r="N2823" s="17" t="str">
        <x:v>verified</x:v>
      </x:c>
      <x:c r="O2823" s="17" t="str">
        <x:v>Live profile checked 2026-09-11.</x:v>
      </x:c>
      <x:c r="P2823" s="18" t="e">
        <x:f>HYPERLINK("https://people.njit.edu/profile/mjk76","Open source")</x:f>
        <x:v>HYPERLINK is not implemented. linkLocation=https://people.njit.edu/profile/mjk76, friendlyName=Open source</x:v>
      </x:c>
    </x:row>
    <x:row r="2824" ht="46" customHeight="1">
      <x:c r="A2824" s="17" t="str">
        <x:v>stage4src:12d672de9091490e</x:v>
      </x:c>
      <x:c r="B2824" s="17" t="str">
        <x:v>professor</x:v>
      </x:c>
      <x:c r="C2824" s="17" t="str">
        <x:v>Università di Camerino</x:v>
      </x:c>
      <x:c r="D2824" s="17" t="str">
        <x:v>ror:0005w8d69:program:thesis-or-research-master-s:master-of-science-in-computer-science</x:v>
      </x:c>
      <x:c r="E2824" s="17" t="str">
        <x:v>ror:0005w8d69:faculty:barbara-re</x:v>
      </x:c>
      <x:c r="F2824" s="17" t="str">
        <x:v>current appointment|department|email|program leadership|research themes|supervision authority</x:v>
      </x:c>
      <x:c r="G2824" s="17" t="str">
        <x:v>Camerino lists Re as current Associate Professor and head of the MSc in Computer Science with formal methods, process mining, BPMN, and IoT themes.</x:v>
      </x:c>
      <x:c r="H2824" s="17" t="str">
        <x:v>Barbara Re</x:v>
      </x:c>
      <x:c r="I2824" s="17" t="str">
        <x:v>Università di Camerino</x:v>
      </x:c>
      <x:c r="J2824" s="17" t="str">
        <x:v>official</x:v>
      </x:c>
      <x:c r="K2824" s="17" t="str">
        <x:v>2026-09-11</x:v>
      </x:c>
      <x:c r="L2824" s="17" t="str">
        <x:v>2026</x:v>
      </x:c>
      <x:c r="M2824" s="17" t="str">
        <x:v>high</x:v>
      </x:c>
      <x:c r="N2824" s="17" t="str">
        <x:v>verified</x:v>
      </x:c>
      <x:c r="O2824" s="17" t="str">
        <x:v>Live official profile checked 2026-09-11; leadership is not recruiting evidence.</x:v>
      </x:c>
      <x:c r="P2824" s="18" t="e">
        <x:f>HYPERLINK("https://computerscience.unicam.it/barbarare","Open source")</x:f>
        <x:v>HYPERLINK is not implemented. linkLocation=https://computerscience.unicam.it/barbarare, friendlyName=Open source</x:v>
      </x:c>
    </x:row>
    <x:row r="2825" ht="46" customHeight="1">
      <x:c r="A2825" s="17" t="str">
        <x:v>stage4src:12fce6b7d535b052</x:v>
      </x:c>
      <x:c r="B2825" s="17" t="str">
        <x:v>professor</x:v>
      </x:c>
      <x:c r="C2825" s="17" t="str">
        <x:v>University of South Florida</x:v>
      </x:c>
      <x:c r="D2825" s="17" t="str">
        <x:v>us:ipeds:137351:program:phd:ph-d-in-computer-science-and-engineering</x:v>
      </x:c>
      <x:c r="E2825" s="17" t="str">
        <x:v>us:ipeds:137351:faculty:kaushal-kafle</x:v>
      </x:c>
      <x:c r="F2825" s="17" t="str">
        <x:v>exact program|prospective instructions</x:v>
      </x:c>
      <x:c r="G2825" s="17" t="str">
        <x:v>The catalog establishes the exact Computer Science and Engineering PhD route.</x:v>
      </x:c>
      <x:c r="H2825" s="17" t="str">
        <x:v>Computer Science and Engineering PhD</x:v>
      </x:c>
      <x:c r="I2825" s="17" t="str">
        <x:v>University of South Florida</x:v>
      </x:c>
      <x:c r="J2825" s="17" t="str">
        <x:v>official</x:v>
      </x:c>
      <x:c r="K2825" s="17" t="str">
        <x:v>2026-09-11</x:v>
      </x:c>
      <x:c r="L2825" s="17" t="str">
        <x:v>2026</x:v>
      </x:c>
      <x:c r="M2825" s="17" t="str">
        <x:v>high</x:v>
      </x:c>
      <x:c r="N2825" s="17" t="str">
        <x:v>verified</x:v>
      </x:c>
      <x:c r="O2825" s="17" t="str">
        <x:v>Current official catalog checked 2026-09-10.</x:v>
      </x:c>
      <x:c r="P2825" s="18" t="e">
        <x:f>HYPERLINK("https://catalog.usf.edu/preview_program.php?catoid=28&amp;poid=16127&amp;returnto=5315","Open source")</x:f>
        <x:v>HYPERLINK is not implemented. linkLocation=https://catalog.usf.edu/preview_program.php?catoid=28&amp;poid=16127&amp;returnto=5315, friendlyName=Open source</x:v>
      </x:c>
    </x:row>
    <x:row r="2826" ht="46" customHeight="1">
      <x:c r="A2826" s="17" t="str">
        <x:v>stage4src:1313ec1727593e42</x:v>
      </x:c>
      <x:c r="B2826" s="17" t="str">
        <x:v>professor</x:v>
      </x:c>
      <x:c r="C2826" s="17" t="str">
        <x:v>University of Alabama at Birmingham</x:v>
      </x:c>
      <x:c r="D2826" s="17" t="str">
        <x:v>us:ipeds:100663:program:phd:ph-d-in-computer-science</x:v>
      </x:c>
      <x:c r="E2826" s="17" t="str"/>
      <x:c r="F2826" s="17" t="str">
        <x:v>current faculty roster|candidate longlist</x:v>
      </x:c>
      <x:c r="G2826" s="17" t="str">
        <x:v>Current official department roster or research-area faculty listing used to identify the five-person Stage 4 candidate longlist.</x:v>
      </x:c>
      <x:c r="H2826" s="17" t="str">
        <x:v>University of Alabama at Birmingham current faculty roster</x:v>
      </x:c>
      <x:c r="I2826" s="17" t="str">
        <x:v>University of Alabama at Birmingham</x:v>
      </x:c>
      <x:c r="J2826" s="17" t="str">
        <x:v>official</x:v>
      </x:c>
      <x:c r="K2826" s="17" t="str">
        <x:v>2026-09-11</x:v>
      </x:c>
      <x:c r="L2826" s="17" t="str"/>
      <x:c r="M2826" s="17" t="str">
        <x:v>high</x:v>
      </x:c>
      <x:c r="N2826" s="17" t="str">
        <x:v>verified</x:v>
      </x:c>
      <x:c r="O2826" s="17" t="str">
        <x:v>Roster evidence establishes a current listing, not program-specific supervision authority or recruiting.</x:v>
      </x:c>
      <x:c r="P2826" s="18" t="e">
        <x:f>HYPERLINK("https://www.uab.edu/cas/computerscience/people/faculty-directory","Open source")</x:f>
        <x:v>HYPERLINK is not implemented. linkLocation=https://www.uab.edu/cas/computerscience/people/faculty-directory, friendlyName=Open source</x:v>
      </x:c>
    </x:row>
    <x:row r="2827" ht="46" customHeight="1">
      <x:c r="A2827" s="17" t="str">
        <x:v>stage4src:137f0841346e0ffe</x:v>
      </x:c>
      <x:c r="B2827" s="17" t="str">
        <x:v>professor</x:v>
      </x:c>
      <x:c r="C2827" s="17" t="str">
        <x:v>University of California-Irvine</x:v>
      </x:c>
      <x:c r="D2827" s="17" t="str">
        <x:v>us:ipeds:110653:program:phd:software-engineering-phd</x:v>
      </x:c>
      <x:c r="E2827" s="17" t="str"/>
      <x:c r="F2827" s="17" t="str">
        <x:v>current faculty roster|candidate longlist</x:v>
      </x:c>
      <x:c r="G2827" s="17" t="str">
        <x:v>Current official department roster or research-area faculty listing used to identify the five-person Stage 4 candidate longlist.</x:v>
      </x:c>
      <x:c r="H2827" s="17" t="str">
        <x:v>University of California-Irvine current faculty roster</x:v>
      </x:c>
      <x:c r="I2827" s="17" t="str">
        <x:v>University of California-Irvine</x:v>
      </x:c>
      <x:c r="J2827" s="17" t="str">
        <x:v>official</x:v>
      </x:c>
      <x:c r="K2827" s="17" t="str">
        <x:v>2026-09-11</x:v>
      </x:c>
      <x:c r="L2827" s="17" t="str"/>
      <x:c r="M2827" s="17" t="str">
        <x:v>high</x:v>
      </x:c>
      <x:c r="N2827" s="17" t="str">
        <x:v>verified</x:v>
      </x:c>
      <x:c r="O2827" s="17" t="str">
        <x:v>Roster evidence establishes a current listing, not program-specific supervision authority or recruiting.</x:v>
      </x:c>
      <x:c r="P2827" s="18" t="e">
        <x:f>HYPERLINK("https://ics.uci.edu/research-areas/software-engineering-and-systems/","Open source")</x:f>
        <x:v>HYPERLINK is not implemented. linkLocation=https://ics.uci.edu/research-areas/software-engineering-and-systems/, friendlyName=Open source</x:v>
      </x:c>
    </x:row>
    <x:row r="2828" ht="46" customHeight="1">
      <x:c r="A2828" s="17" t="str">
        <x:v>stage4src:138346bb036c421a</x:v>
      </x:c>
      <x:c r="B2828" s="17" t="str">
        <x:v>professor</x:v>
      </x:c>
      <x:c r="C2828" s="17" t="str">
        <x:v>University of Rhode Island</x:v>
      </x:c>
      <x:c r="D2828" s="17" t="str">
        <x:v>us:ipeds:217484:program:phd:computer-science-ph-d</x:v>
      </x:c>
      <x:c r="E2828" s="17" t="str">
        <x:v>us:ipeds:217484:faculty:kaleel-mahmood</x:v>
      </x:c>
      <x:c r="F2828" s="17" t="str">
        <x:v>recent work|research fit</x:v>
      </x:c>
      <x:c r="G2828" s="17" t="str">
        <x:v>The 2025 paper studies game-theoretic expert mixtures against combinations of adversarial attacks.</x:v>
      </x:c>
      <x:c r="H2828" s="17" t="str">
        <x:v>Game Theoretic Mixed Experts for Combinational Adversarial Machine Learning</x:v>
      </x:c>
      <x:c r="I2828" s="17" t="str">
        <x:v>OpenAlex / cited venue</x:v>
      </x:c>
      <x:c r="J2828" s="17" t="str">
        <x:v>secondary</x:v>
      </x:c>
      <x:c r="K2828" s="17" t="str">
        <x:v>2026-09-11</x:v>
      </x:c>
      <x:c r="L2828" s="17" t="str">
        <x:v>2025</x:v>
      </x:c>
      <x:c r="M2828" s="17" t="str">
        <x:v>high</x:v>
      </x:c>
      <x:c r="N2828" s="17" t="str">
        <x:v>verified</x:v>
      </x:c>
      <x:c r="O2828" s="17" t="str">
        <x:v>Institutional-repository copy checked 2026-09-11.</x:v>
      </x:c>
      <x:c r="P2828" s="18" t="e">
        <x:f>HYPERLINK("https://ir.cwi.nl/pub/35718/35718.pdf","Open source")</x:f>
        <x:v>HYPERLINK is not implemented. linkLocation=https://ir.cwi.nl/pub/35718/35718.pdf, friendlyName=Open source</x:v>
      </x:c>
    </x:row>
    <x:row r="2829" ht="46" customHeight="1">
      <x:c r="A2829" s="17" t="str">
        <x:v>stage4src:140503302c5e2a59</x:v>
      </x:c>
      <x:c r="B2829" s="17" t="str">
        <x:v>professor</x:v>
      </x:c>
      <x:c r="C2829" s="17" t="str">
        <x:v>Carnegie Mellon University</x:v>
      </x:c>
      <x:c r="D2829" s="17" t="str">
        <x:v>us:ipeds:211440:program:phd:software-engineering-phd</x:v>
      </x:c>
      <x:c r="E2829" s="17" t="str">
        <x:v>us:ipeds:211440:faculty:vincent-j-hellendoorn</x:v>
      </x:c>
      <x:c r="F2829" s="17" t="str">
        <x:v>discovery publication signal|recent work</x:v>
      </x:c>
      <x:c r="G2829" s="17" t="str">
        <x:v>Publication metadata was examined for shortlist triage only; publication-time affiliation does not establish current appointment, supervision authority, or recruiting.</x:v>
      </x:c>
      <x:c r="H2829" s="17" t="str">
        <x:v>OpenAlex publication signal for Vincent J. Hellendoorn</x:v>
      </x:c>
      <x:c r="I2829" s="17" t="str">
        <x:v>OpenAlex / cited venue</x:v>
      </x:c>
      <x:c r="J2829" s="17" t="str">
        <x:v>secondary</x:v>
      </x:c>
      <x:c r="K2829" s="17" t="str">
        <x:v>2026-09-11</x:v>
      </x:c>
      <x:c r="L2829" s="17" t="str"/>
      <x:c r="M2829" s="17" t="str">
        <x:v>medium</x:v>
      </x:c>
      <x:c r="N2829" s="17" t="str">
        <x:v>discovery_only</x:v>
      </x:c>
      <x:c r="O2829" s="17" t="str">
        <x:v>Not used to award a professor score or faculty-depth point.</x:v>
      </x:c>
      <x:c r="P2829" s="18" t="e">
        <x:f>HYPERLINK("https://openalex.org/A5009679905","Open source")</x:f>
        <x:v>HYPERLINK is not implemented. linkLocation=https://openalex.org/A5009679905, friendlyName=Open source</x:v>
      </x:c>
    </x:row>
    <x:row r="2830" ht="46" customHeight="1">
      <x:c r="A2830" s="17" t="str">
        <x:v>stage4src:141093b7a7a1b714</x:v>
      </x:c>
      <x:c r="B2830" s="17" t="str">
        <x:v>professor</x:v>
      </x:c>
      <x:c r="C2830" s="17" t="str">
        <x:v>University of Central Florida</x:v>
      </x:c>
      <x:c r="D2830" s="17" t="str">
        <x:v>us:ipeds:132903:program:phd:computer-science-phd</x:v>
      </x:c>
      <x:c r="E2830" s="17" t="str">
        <x:v>us:ipeds:132903:faculty:kevin-moran</x:v>
      </x:c>
      <x:c r="F2830" s="17" t="str">
        <x:v>current appointment|research themes|email|recent work</x:v>
      </x:c>
      <x:c r="G2830" s="17" t="str">
        <x:v>The current UCF profile lists Moran as a Computer Science Assistant Professor, gives his email and SAGE role, and records 2024 software-engineering publications.</x:v>
      </x:c>
      <x:c r="H2830" s="17" t="str">
        <x:v>Kevin Moran</x:v>
      </x:c>
      <x:c r="I2830" s="17" t="str">
        <x:v>University of Central Florida</x:v>
      </x:c>
      <x:c r="J2830" s="17" t="str">
        <x:v>official</x:v>
      </x:c>
      <x:c r="K2830" s="17" t="str">
        <x:v>2026-09-11</x:v>
      </x:c>
      <x:c r="L2830" s="17" t="str">
        <x:v>2024</x:v>
      </x:c>
      <x:c r="M2830" s="17" t="str">
        <x:v>high</x:v>
      </x:c>
      <x:c r="N2830" s="17" t="str">
        <x:v>verified</x:v>
      </x:c>
      <x:c r="O2830" s="17" t="str">
        <x:v>Current official profile checked 2026-09-10.</x:v>
      </x:c>
      <x:c r="P2830" s="18" t="e">
        <x:f>HYPERLINK("https://www.cecs.ucf.edu/faculty/kevin-moran/","Open source")</x:f>
        <x:v>HYPERLINK is not implemented. linkLocation=https://www.cecs.ucf.edu/faculty/kevin-moran/, friendlyName=Open source</x:v>
      </x:c>
    </x:row>
    <x:row r="2831" ht="46" customHeight="1">
      <x:c r="A2831" s="17" t="str">
        <x:v>stage4src:152712e41ff35bd2</x:v>
      </x:c>
      <x:c r="B2831" s="17" t="str">
        <x:v>professor</x:v>
      </x:c>
      <x:c r="C2831" s="17" t="str">
        <x:v>University of New Hampshire-Main Campus</x:v>
      </x:c>
      <x:c r="D2831" s="17" t="str">
        <x:v>us:ipeds:183044:program:phd:computer-science-ph-d</x:v>
      </x:c>
      <x:c r="E2831" s="17" t="str">
        <x:v>us:ipeds:183044:faculty:dongpeng-xu</x:v>
      </x:c>
      <x:c r="F2831" s="17" t="str">
        <x:v>current appointment|department|email|research themes|doctoral supervision</x:v>
      </x:c>
      <x:c r="G2831" s="17" t="str">
        <x:v>UNH lists Xu as a current Computer Science Associate Professor working in software security, program analysis, testing, and model checking and identifies doctoral research supervision.</x:v>
      </x:c>
      <x:c r="H2831" s="17" t="str">
        <x:v>Dongpeng Xu</x:v>
      </x:c>
      <x:c r="I2831" s="17" t="str">
        <x:v>University of New Hampshire-Main Campus</x:v>
      </x:c>
      <x:c r="J2831" s="17" t="str">
        <x:v>official</x:v>
      </x:c>
      <x:c r="K2831" s="17" t="str">
        <x:v>2026-09-11</x:v>
      </x:c>
      <x:c r="L2831" s="17" t="str">
        <x:v>2026</x:v>
      </x:c>
      <x:c r="M2831" s="17" t="str">
        <x:v>high</x:v>
      </x:c>
      <x:c r="N2831" s="17" t="str">
        <x:v>verified</x:v>
      </x:c>
      <x:c r="O2831" s="17" t="str">
        <x:v>Live official profile checked 2026-09-11.</x:v>
      </x:c>
      <x:c r="P2831" s="18" t="e">
        <x:f>HYPERLINK("https://ceps.unh.edu/person/dongpeng-xu","Open source")</x:f>
        <x:v>HYPERLINK is not implemented. linkLocation=https://ceps.unh.edu/person/dongpeng-xu, friendlyName=Open source</x:v>
      </x:c>
    </x:row>
    <x:row r="2832" ht="46" customHeight="1">
      <x:c r="A2832" s="17" t="str">
        <x:v>stage4src:15c3afb091c2a8db</x:v>
      </x:c>
      <x:c r="B2832" s="17" t="str">
        <x:v>professor</x:v>
      </x:c>
      <x:c r="C2832" s="17" t="str">
        <x:v>Western University</x:v>
      </x:c>
      <x:c r="D2832" s="17" t="str">
        <x:v>ca:dli:O19375892122:program:thesis-or-research-master-s:master-of-engineering-science-mesc-in-electrical-and-computer-engineering</x:v>
      </x:c>
      <x:c r="E2832" s="17" t="str"/>
      <x:c r="F2832" s="17" t="str">
        <x:v>current faculty roster|candidate longlist</x:v>
      </x:c>
      <x:c r="G2832" s="17" t="str">
        <x:v>Current official department roster or research-area faculty listing used to identify the five-person Stage 4 candidate longlist.</x:v>
      </x:c>
      <x:c r="H2832" s="17" t="str">
        <x:v>Western University current faculty roster</x:v>
      </x:c>
      <x:c r="I2832" s="17" t="str">
        <x:v>Western University</x:v>
      </x:c>
      <x:c r="J2832" s="17" t="str">
        <x:v>official</x:v>
      </x:c>
      <x:c r="K2832" s="17" t="str">
        <x:v>2026-09-11</x:v>
      </x:c>
      <x:c r="L2832" s="17" t="str"/>
      <x:c r="M2832" s="17" t="str">
        <x:v>high</x:v>
      </x:c>
      <x:c r="N2832" s="17" t="str">
        <x:v>verified</x:v>
      </x:c>
      <x:c r="O2832" s="17" t="str">
        <x:v>Roster evidence establishes a current listing, not program-specific supervision authority or recruiting.</x:v>
      </x:c>
      <x:c r="P2832" s="18" t="e">
        <x:f>HYPERLINK("https://www.eng.uwo.ca/electrical/people/faculty/index.html","Open source")</x:f>
        <x:v>HYPERLINK is not implemented. linkLocation=https://www.eng.uwo.ca/electrical/people/faculty/index.html, friendlyName=Open source</x:v>
      </x:c>
    </x:row>
    <x:row r="2833" ht="46" customHeight="1">
      <x:c r="A2833" s="17" t="str">
        <x:v>stage4src:16fe4f822c56a34a</x:v>
      </x:c>
      <x:c r="B2833" s="17" t="str">
        <x:v>professor</x:v>
      </x:c>
      <x:c r="C2833" s="17" t="str">
        <x:v>Rice University</x:v>
      </x:c>
      <x:c r="D2833" s="17" t="str">
        <x:v>us:ipeds:227757:program:phd:ph-d-in-computer-science</x:v>
      </x:c>
      <x:c r="E2833" s="17" t="str">
        <x:v>us:ipeds:227757:faculty:ang-chen</x:v>
      </x:c>
      <x:c r="F2833" s="17" t="str">
        <x:v>discovery publication signal|recent work</x:v>
      </x:c>
      <x:c r="G2833" s="17" t="str">
        <x:v>Publication metadata was examined for shortlist triage only; publication-time affiliation does not establish current appointment, supervision authority, or recruiting.</x:v>
      </x:c>
      <x:c r="H2833" s="17" t="str">
        <x:v>OpenAlex publication signal for Ang Chen</x:v>
      </x:c>
      <x:c r="I2833" s="17" t="str">
        <x:v>OpenAlex / cited venue</x:v>
      </x:c>
      <x:c r="J2833" s="17" t="str">
        <x:v>secondary</x:v>
      </x:c>
      <x:c r="K2833" s="17" t="str">
        <x:v>2026-09-11</x:v>
      </x:c>
      <x:c r="L2833" s="17" t="str"/>
      <x:c r="M2833" s="17" t="str">
        <x:v>medium</x:v>
      </x:c>
      <x:c r="N2833" s="17" t="str">
        <x:v>discovery_only</x:v>
      </x:c>
      <x:c r="O2833" s="17" t="str">
        <x:v>Not used to award a professor score or faculty-depth point.</x:v>
      </x:c>
      <x:c r="P2833" s="18" t="e">
        <x:f>HYPERLINK("https://openalex.org/A5082276670","Open source")</x:f>
        <x:v>HYPERLINK is not implemented. linkLocation=https://openalex.org/A5082276670, friendlyName=Open source</x:v>
      </x:c>
    </x:row>
    <x:row r="2834" ht="46" customHeight="1">
      <x:c r="A2834" s="17" t="str">
        <x:v>stage4src:17162fef87e100f6</x:v>
      </x:c>
      <x:c r="B2834" s="17" t="str">
        <x:v>professor</x:v>
      </x:c>
      <x:c r="C2834" s="17" t="str">
        <x:v>Brock University</x:v>
      </x:c>
      <x:c r="D2834" s="17" t="str">
        <x:v>ca:dli:O19394569014:program:thesis-or-research-master-s:computer-science-msc-thesis-stream</x:v>
      </x:c>
      <x:c r="E2834" s="17" t="str">
        <x:v>ca:dli:O19394569014:faculty:robson-de-grande</x:v>
      </x:c>
      <x:c r="F2834" s="17" t="str">
        <x:v>recent work|research fit</x:v>
      </x:c>
      <x:c r="G2834" s="17" t="str">
        <x:v>The 2025 paper supports De Grande's current data-driven vehicular network and edge-systems work.</x:v>
      </x:c>
      <x:c r="H2834" s="17" t="str">
        <x:v>GCN-Based Throughput-Oriented Handover Management in Dense 5G Vehicular Networks</x:v>
      </x:c>
      <x:c r="I2834" s="17" t="str">
        <x:v>OpenAlex / cited venue</x:v>
      </x:c>
      <x:c r="J2834" s="17" t="str">
        <x:v>secondary</x:v>
      </x:c>
      <x:c r="K2834" s="17" t="str">
        <x:v>2026-09-11</x:v>
      </x:c>
      <x:c r="L2834" s="17" t="str">
        <x:v>2025</x:v>
      </x:c>
      <x:c r="M2834" s="17" t="str">
        <x:v>high</x:v>
      </x:c>
      <x:c r="N2834" s="17" t="str">
        <x:v>verified</x:v>
      </x:c>
      <x:c r="O2834" s="17" t="str">
        <x:v>Preprint record checked 2026-09-11.</x:v>
      </x:c>
      <x:c r="P2834" s="18" t="e">
        <x:f>HYPERLINK("https://arxiv.org/abs/2505.04894","Open source")</x:f>
        <x:v>HYPERLINK is not implemented. linkLocation=https://arxiv.org/abs/2505.04894, friendlyName=Open source</x:v>
      </x:c>
    </x:row>
    <x:row r="2835" ht="46" customHeight="1">
      <x:c r="A2835" s="17" t="str">
        <x:v>stage4src:173746686b8c4230</x:v>
      </x:c>
      <x:c r="B2835" s="17" t="str">
        <x:v>professor</x:v>
      </x:c>
      <x:c r="C2835" s="17" t="str">
        <x:v>University of South Florida</x:v>
      </x:c>
      <x:c r="D2835" s="17" t="str">
        <x:v>us:ipeds:137351:program:phd:ph-d-in-computer-science-and-engineering</x:v>
      </x:c>
      <x:c r="E2835" s="17" t="str">
        <x:v>us:ipeds:137351:faculty:kaushal-kafle</x:v>
      </x:c>
      <x:c r="F2835" s="17" t="str">
        <x:v>current appointment|research themes|email</x:v>
      </x:c>
      <x:c r="G2835" s="17" t="str">
        <x:v>USF lists Kafle as a current Assistant Professor and provides his email and security and privacy research areas.</x:v>
      </x:c>
      <x:c r="H2835" s="17" t="str">
        <x:v>Kaushal Kafle</x:v>
      </x:c>
      <x:c r="I2835" s="17" t="str">
        <x:v>University of South Florida</x:v>
      </x:c>
      <x:c r="J2835" s="17" t="str">
        <x:v>official</x:v>
      </x:c>
      <x:c r="K2835" s="17" t="str">
        <x:v>2026-09-11</x:v>
      </x:c>
      <x:c r="L2835" s="17" t="str">
        <x:v>2026</x:v>
      </x:c>
      <x:c r="M2835" s="17" t="str">
        <x:v>high</x:v>
      </x:c>
      <x:c r="N2835" s="17" t="str">
        <x:v>verified</x:v>
      </x:c>
      <x:c r="O2835" s="17" t="str">
        <x:v>Current official profile checked 2026-09-10.</x:v>
      </x:c>
      <x:c r="P2835" s="18" t="e">
        <x:f>HYPERLINK("https://www.usf.edu/ai-cybersecurity-computing/people/faculty/kaushal-kafle.aspx","Open source")</x:f>
        <x:v>HYPERLINK is not implemented. linkLocation=https://www.usf.edu/ai-cybersecurity-computing/people/faculty/kaushal-kafle.aspx, friendlyName=Open source</x:v>
      </x:c>
    </x:row>
    <x:row r="2836" ht="46" customHeight="1">
      <x:c r="A2836" s="17" t="str">
        <x:v>stage4src:179198be37151085</x:v>
      </x:c>
      <x:c r="B2836" s="17" t="str">
        <x:v>professor</x:v>
      </x:c>
      <x:c r="C2836" s="17" t="str">
        <x:v>University of Florence</x:v>
      </x:c>
      <x:c r="D2836" s="17" t="str">
        <x:v>ror:04jr1s763:program:thesis-or-research-master-s:msc-in-software-science-and-technology</x:v>
      </x:c>
      <x:c r="E2836" s="17" t="str">
        <x:v>ror:04jr1s763:faculty:andrea-bondavalli</x:v>
      </x:c>
      <x:c r="F2836" s="17" t="str">
        <x:v>discovery publication signal|recent work</x:v>
      </x:c>
      <x:c r="G2836" s="17" t="str">
        <x:v>Publication metadata was examined for shortlist triage only; publication-time affiliation does not establish current appointment, supervision authority, or recruiting.</x:v>
      </x:c>
      <x:c r="H2836" s="17" t="str">
        <x:v>OpenAlex publication signal for Andrea Bondavalli</x:v>
      </x:c>
      <x:c r="I2836" s="17" t="str">
        <x:v>OpenAlex / cited venue</x:v>
      </x:c>
      <x:c r="J2836" s="17" t="str">
        <x:v>secondary</x:v>
      </x:c>
      <x:c r="K2836" s="17" t="str">
        <x:v>2026-09-11</x:v>
      </x:c>
      <x:c r="L2836" s="17" t="str"/>
      <x:c r="M2836" s="17" t="str">
        <x:v>medium</x:v>
      </x:c>
      <x:c r="N2836" s="17" t="str">
        <x:v>discovery_only</x:v>
      </x:c>
      <x:c r="O2836" s="17" t="str">
        <x:v>Not used to award a professor score or faculty-depth point.</x:v>
      </x:c>
      <x:c r="P2836" s="18" t="e">
        <x:f>HYPERLINK("https://openalex.org/A5016669256","Open source")</x:f>
        <x:v>HYPERLINK is not implemented. linkLocation=https://openalex.org/A5016669256, friendlyName=Open source</x:v>
      </x:c>
    </x:row>
    <x:row r="2837" ht="46" customHeight="1">
      <x:c r="A2837" s="17" t="str">
        <x:v>stage4src:179400581acd522f</x:v>
      </x:c>
      <x:c r="B2837" s="17" t="str">
        <x:v>professor</x:v>
      </x:c>
      <x:c r="C2837" s="17" t="str">
        <x:v>St. Francis Xavier University</x:v>
      </x:c>
      <x:c r="D2837" s="17" t="str">
        <x:v>ca:dli:O19391556899:program:thesis-or-research-master-s:master-of-science-in-computer-science</x:v>
      </x:c>
      <x:c r="E2837" s="17" t="str">
        <x:v>ca:dli:O19391556899:faculty:taylor-j-smith</x:v>
      </x:c>
      <x:c r="F2837" s="17" t="str">
        <x:v>recent work|automata|descriptional complexity|strong fit</x:v>
      </x:c>
      <x:c r="G2837" s="17" t="str">
        <x:v>The 2024 article supports finite-automata and formal complexity overlap.</x:v>
      </x:c>
      <x:c r="H2837" s="17" t="str">
        <x:v>Descriptional Complexity of Finite Automata — Selected Highlights</x:v>
      </x:c>
      <x:c r="I2837" s="17" t="str">
        <x:v>OpenAlex / cited venue</x:v>
      </x:c>
      <x:c r="J2837" s="17" t="str">
        <x:v>secondary</x:v>
      </x:c>
      <x:c r="K2837" s="17" t="str">
        <x:v>2026-09-11</x:v>
      </x:c>
      <x:c r="L2837" s="17" t="str">
        <x:v>2024</x:v>
      </x:c>
      <x:c r="M2837" s="17" t="str">
        <x:v>high</x:v>
      </x:c>
      <x:c r="N2837" s="17" t="str">
        <x:v>verified</x:v>
      </x:c>
      <x:c r="O2837" s="17" t="str">
        <x:v>Author publication record and arXiv metadata checked 2026-09-11.</x:v>
      </x:c>
      <x:c r="P2837" s="18" t="e">
        <x:f>HYPERLINK("https://arxiv.org/abs/2301.03708","Open source")</x:f>
        <x:v>HYPERLINK is not implemented. linkLocation=https://arxiv.org/abs/2301.03708, friendlyName=Open source</x:v>
      </x:c>
    </x:row>
    <x:row r="2838" ht="46" customHeight="1">
      <x:c r="A2838" s="17" t="str">
        <x:v>stage4src:17b1e8f23da8c09a</x:v>
      </x:c>
      <x:c r="B2838" s="17" t="str">
        <x:v>professor</x:v>
      </x:c>
      <x:c r="C2838" s="17" t="str">
        <x:v>Lehigh University</x:v>
      </x:c>
      <x:c r="D2838" s="17" t="str">
        <x:v>us:ipeds:213543:program:phd:phd-in-computer-science</x:v>
      </x:c>
      <x:c r="E2838" s="17" t="str">
        <x:v>us:ipeds:213543:faculty:lichao-sun</x:v>
      </x:c>
      <x:c r="F2838" s="17" t="str">
        <x:v>prospective student instructions|faculty contact|recruiting control</x:v>
      </x:c>
      <x:c r="G2838" s="17" t="str">
        <x:v>Rossin recommends contacting faculty of interest about research compatibility and changing recruitment needs.</x:v>
      </x:c>
      <x:c r="H2838" s="17" t="str">
        <x:v>Graduate Admissions Information</x:v>
      </x:c>
      <x:c r="I2838" s="17" t="str">
        <x:v>Lehigh University</x:v>
      </x:c>
      <x:c r="J2838" s="17" t="str">
        <x:v>official</x:v>
      </x:c>
      <x:c r="K2838" s="17" t="str">
        <x:v>2026-09-11</x:v>
      </x:c>
      <x:c r="L2838" s="17" t="str">
        <x:v>2026</x:v>
      </x:c>
      <x:c r="M2838" s="17" t="str">
        <x:v>high</x:v>
      </x:c>
      <x:c r="N2838" s="17" t="str">
        <x:v>verified</x:v>
      </x:c>
      <x:c r="O2838" s="17" t="str">
        <x:v>Live official FAQ checked 2026-09-11.</x:v>
      </x:c>
      <x:c r="P2838" s="18" t="e">
        <x:f>HYPERLINK("https://engineering.lehigh.edu/academics/graduate/admissions","Open source")</x:f>
        <x:v>HYPERLINK is not implemented. linkLocation=https://engineering.lehigh.edu/academics/graduate/admissions, friendlyName=Open source</x:v>
      </x:c>
    </x:row>
    <x:row r="2839" ht="46" customHeight="1">
      <x:c r="A2839" s="17" t="str">
        <x:v>stage4src:1804c9b5d6fbf6b3</x:v>
      </x:c>
      <x:c r="B2839" s="17" t="str">
        <x:v>professor</x:v>
      </x:c>
      <x:c r="C2839" s="17" t="str">
        <x:v>University of Alabama in Huntsville</x:v>
      </x:c>
      <x:c r="D2839" s="17" t="str">
        <x:v>us:ipeds:100706:program:phd:computer-science-ph-d</x:v>
      </x:c>
      <x:c r="E2839" s="17" t="str">
        <x:v>us:ipeds:100706:faculty:bramwell-brizendine</x:v>
      </x:c>
      <x:c r="F2839" s="17" t="str">
        <x:v>current appointment|department|email|current alternatives</x:v>
      </x:c>
      <x:c r="G2839" s="17" t="str">
        <x:v>UAH lists Brizendine as a current Computer Science Assistant Professor and supplies his official email; the roster also supports four bounded alternatives.</x:v>
      </x:c>
      <x:c r="H2839" s="17" t="str">
        <x:v>Computer Science Faculty &amp; Staff</x:v>
      </x:c>
      <x:c r="I2839" s="17" t="str">
        <x:v>University of Alabama in Huntsville</x:v>
      </x:c>
      <x:c r="J2839" s="17" t="str">
        <x:v>official</x:v>
      </x:c>
      <x:c r="K2839" s="17" t="str">
        <x:v>2026-09-11</x:v>
      </x:c>
      <x:c r="L2839" s="17" t="str">
        <x:v>2026</x:v>
      </x:c>
      <x:c r="M2839" s="17" t="str">
        <x:v>high</x:v>
      </x:c>
      <x:c r="N2839" s="17" t="str">
        <x:v>verified</x:v>
      </x:c>
      <x:c r="O2839" s="17" t="str">
        <x:v>Live official roster checked 2026-09-11.</x:v>
      </x:c>
      <x:c r="P2839" s="18" t="e">
        <x:f>HYPERLINK("https://www.uah.edu/science/departments/computer-science/faculty-staff","Open source")</x:f>
        <x:v>HYPERLINK is not implemented. linkLocation=https://www.uah.edu/science/departments/computer-science/faculty-staff, friendlyName=Open source</x:v>
      </x:c>
    </x:row>
    <x:row r="2840" ht="46" customHeight="1">
      <x:c r="A2840" s="17" t="str">
        <x:v>stage4src:181348e301a77690</x:v>
      </x:c>
      <x:c r="B2840" s="17" t="str">
        <x:v>professor</x:v>
      </x:c>
      <x:c r="C2840" s="17" t="str">
        <x:v>Boise State University</x:v>
      </x:c>
      <x:c r="D2840" s="17" t="str">
        <x:v>us:ipeds:142115:program:phd:computing-phd-computer-science-or-cybersecurity-emphasis</x:v>
      </x:c>
      <x:c r="E2840" s="17" t="str">
        <x:v>us:ipeds:142115:faculty:elena-sherman</x:v>
      </x:c>
      <x:c r="F2840" s="17" t="str">
        <x:v>Computing PhD supervision authority|recent work</x:v>
      </x:c>
      <x:c r="G2840" s="17" t="str">
        <x:v>The 2024 Computing PhD dissertation record identifies Elena Sherman as committee chair.</x:v>
      </x:c>
      <x:c r="H2840" s="17" t="str">
        <x:v>A Framework for Determining the Likely Impacts of Generative AI on Software Engineering Tasks</x:v>
      </x:c>
      <x:c r="I2840" s="17" t="str">
        <x:v>Boise State University</x:v>
      </x:c>
      <x:c r="J2840" s="17" t="str">
        <x:v>official</x:v>
      </x:c>
      <x:c r="K2840" s="17" t="str">
        <x:v>2026-09-11</x:v>
      </x:c>
      <x:c r="L2840" s="17" t="str">
        <x:v>2024</x:v>
      </x:c>
      <x:c r="M2840" s="17" t="str">
        <x:v>high</x:v>
      </x:c>
      <x:c r="N2840" s="17" t="str">
        <x:v>verified</x:v>
      </x:c>
      <x:c r="O2840" s="17" t="str">
        <x:v>Official repository record checked 2026-09-10.</x:v>
      </x:c>
      <x:c r="P2840" s="18" t="e">
        <x:f>HYPERLINK("https://scholarworks.boisestate.edu/td/2260/","Open source")</x:f>
        <x:v>HYPERLINK is not implemented. linkLocation=https://scholarworks.boisestate.edu/td/2260/, friendlyName=Open source</x:v>
      </x:c>
    </x:row>
    <x:row r="2841" ht="46" customHeight="1">
      <x:c r="A2841" s="17" t="str">
        <x:v>stage4src:193367c809412453</x:v>
      </x:c>
      <x:c r="B2841" s="17" t="str">
        <x:v>professor</x:v>
      </x:c>
      <x:c r="C2841" s="17" t="str">
        <x:v>Florida International University</x:v>
      </x:c>
      <x:c r="D2841" s="17" t="str">
        <x:v>us:ipeds:133951:program:phd:doctor-of-philosophy-in-computer-science</x:v>
      </x:c>
      <x:c r="E2841" s="17" t="str">
        <x:v>us:ipeds:133951:faculty:amin-kharraz</x:v>
      </x:c>
      <x:c r="F2841" s="17" t="str">
        <x:v>recent work|research fit</x:v>
      </x:c>
      <x:c r="G2841" s="17" t="str">
        <x:v>The 2024 paper supports the recorded malware-analysis and security fit.</x:v>
      </x:c>
      <x:c r="H2841" s="17" t="str">
        <x:v>Constructs of Deceit</x:v>
      </x:c>
      <x:c r="I2841" s="17" t="str">
        <x:v>OpenAlex / cited venue</x:v>
      </x:c>
      <x:c r="J2841" s="17" t="str">
        <x:v>secondary</x:v>
      </x:c>
      <x:c r="K2841" s="17" t="str">
        <x:v>2026-09-11</x:v>
      </x:c>
      <x:c r="L2841" s="17" t="str">
        <x:v>2024</x:v>
      </x:c>
      <x:c r="M2841" s="17" t="str">
        <x:v>high</x:v>
      </x:c>
      <x:c r="N2841" s="17" t="str">
        <x:v>verified</x:v>
      </x:c>
      <x:c r="O2841" s="17" t="str">
        <x:v>Paper checked 2026-09-10.</x:v>
      </x:c>
      <x:c r="P2841" s="18" t="e">
        <x:f>HYPERLINK("https://theseclab.org/publications/dimva-2024.pdf","Open source")</x:f>
        <x:v>HYPERLINK is not implemented. linkLocation=https://theseclab.org/publications/dimva-2024.pdf, friendlyName=Open source</x:v>
      </x:c>
    </x:row>
    <x:row r="2842" ht="46" customHeight="1">
      <x:c r="A2842" s="17" t="str">
        <x:v>stage4src:194c0ed8d976f7c5</x:v>
      </x:c>
      <x:c r="B2842" s="17" t="str">
        <x:v>professor</x:v>
      </x:c>
      <x:c r="C2842" s="17" t="str">
        <x:v>Università di Camerino</x:v>
      </x:c>
      <x:c r="D2842" s="17" t="str">
        <x:v>ror:0005w8d69:program:thesis-or-research-master-s:master-of-science-in-computer-science</x:v>
      </x:c>
      <x:c r="E2842" s="17" t="str">
        <x:v>ror:0005w8d69:faculty:barbara-re</x:v>
      </x:c>
      <x:c r="F2842" s="17" t="str">
        <x:v>recent work|sustained research|strong fit</x:v>
      </x:c>
      <x:c r="G2842" s="17" t="str">
        <x:v>The PROS list records Re's 2024-2025 work in BPMN collaborations, IoT systems engineering, and process discovery.</x:v>
      </x:c>
      <x:c r="H2842" s="17" t="str">
        <x:v>PROS Publications</x:v>
      </x:c>
      <x:c r="I2842" s="17" t="str">
        <x:v>Università di Camerino</x:v>
      </x:c>
      <x:c r="J2842" s="17" t="str">
        <x:v>official</x:v>
      </x:c>
      <x:c r="K2842" s="17" t="str">
        <x:v>2026-09-11</x:v>
      </x:c>
      <x:c r="L2842" s="17" t="str">
        <x:v>2025</x:v>
      </x:c>
      <x:c r="M2842" s="17" t="str">
        <x:v>high</x:v>
      </x:c>
      <x:c r="N2842" s="17" t="str">
        <x:v>verified</x:v>
      </x:c>
      <x:c r="O2842" s="17" t="str">
        <x:v>Live official research-group page checked 2026-09-11.</x:v>
      </x:c>
      <x:c r="P2842" s="18" t="e">
        <x:f>HYPERLINK("https://pros.unicam.it/publications/","Open source")</x:f>
        <x:v>HYPERLINK is not implemented. linkLocation=https://pros.unicam.it/publications/, friendlyName=Open source</x:v>
      </x:c>
    </x:row>
    <x:row r="2843" ht="46" customHeight="1">
      <x:c r="A2843" s="17" t="str">
        <x:v>stage4src:194f59b12aac1b6e</x:v>
      </x:c>
      <x:c r="B2843" s="17" t="str">
        <x:v>professor</x:v>
      </x:c>
      <x:c r="C2843" s="17" t="str">
        <x:v>Temple University</x:v>
      </x:c>
      <x:c r="D2843" s="17" t="str">
        <x:v>us:ipeds:216339:program:phd:computer-and-information-science-phd</x:v>
      </x:c>
      <x:c r="E2843" s="17" t="str">
        <x:v>us:ipeds:216339:faculty:stephen-macneil</x:v>
      </x:c>
      <x:c r="F2843" s="17" t="str">
        <x:v>program context|supervision authority|prospective instructions</x:v>
      </x:c>
      <x:c r="G2843" s="17" t="str">
        <x:v>Temple's bulletin establishes the research-doctoral program and faculty-adviser context in MacNeil's department.</x:v>
      </x:c>
      <x:c r="H2843" s="17" t="str">
        <x:v>Computer and Information Science PhD</x:v>
      </x:c>
      <x:c r="I2843" s="17" t="str">
        <x:v>Temple University</x:v>
      </x:c>
      <x:c r="J2843" s="17" t="str">
        <x:v>official</x:v>
      </x:c>
      <x:c r="K2843" s="17" t="str">
        <x:v>2026-09-11</x:v>
      </x:c>
      <x:c r="L2843" s="17" t="str">
        <x:v>2026</x:v>
      </x:c>
      <x:c r="M2843" s="17" t="str">
        <x:v>high</x:v>
      </x:c>
      <x:c r="N2843" s="17" t="str">
        <x:v>verified</x:v>
      </x:c>
      <x:c r="O2843" s="17" t="str">
        <x:v>Live official bulletin checked 2026-09-11.</x:v>
      </x:c>
      <x:c r="P2843" s="18" t="e">
        <x:f>HYPERLINK("https://bulletin.temple.edu/graduate/scd/cst/computer-information-science-phd/","Open source")</x:f>
        <x:v>HYPERLINK is not implemented. linkLocation=https://bulletin.temple.edu/graduate/scd/cst/computer-information-science-phd/, friendlyName=Open source</x:v>
      </x:c>
    </x:row>
    <x:row r="2844" ht="46" customHeight="1">
      <x:c r="A2844" s="17" t="str">
        <x:v>stage4src:19ca40375bafb540</x:v>
      </x:c>
      <x:c r="B2844" s="17" t="str">
        <x:v>professor</x:v>
      </x:c>
      <x:c r="C2844" s="17" t="str">
        <x:v>Clarkson University</x:v>
      </x:c>
      <x:c r="D2844" s="17" t="str">
        <x:v>us:ipeds:190044:program:phd:phd-in-computer-science</x:v>
      </x:c>
      <x:c r="E2844" s="17" t="str">
        <x:v>us:ipeds:190044:faculty:faraz-hussain</x:v>
      </x:c>
      <x:c r="F2844" s="17" t="str">
        <x:v>recent work|research fit</x:v>
      </x:c>
      <x:c r="G2844" s="17" t="str">
        <x:v>The 2025 survey coauthored by Hussain evaluates keystroke-dynamics concepts and methods for biometric security.</x:v>
      </x:c>
      <x:c r="H2844" s="17" t="str">
        <x:v>Keystroke Dynamics: Concepts, Techniques, and Applications</x:v>
      </x:c>
      <x:c r="I2844" s="17" t="str">
        <x:v>OpenAlex / cited venue</x:v>
      </x:c>
      <x:c r="J2844" s="17" t="str">
        <x:v>secondary</x:v>
      </x:c>
      <x:c r="K2844" s="17" t="str">
        <x:v>2026-09-11</x:v>
      </x:c>
      <x:c r="L2844" s="17" t="str">
        <x:v>2025</x:v>
      </x:c>
      <x:c r="M2844" s="17" t="str">
        <x:v>high</x:v>
      </x:c>
      <x:c r="N2844" s="17" t="str">
        <x:v>verified</x:v>
      </x:c>
      <x:c r="O2844" s="17" t="str">
        <x:v>Publisher DOI metadata checked 2026-09-11.</x:v>
      </x:c>
      <x:c r="P2844" s="18" t="e">
        <x:f>HYPERLINK("https://doi.org/10.1145/3733103","Open source")</x:f>
        <x:v>HYPERLINK is not implemented. linkLocation=https://doi.org/10.1145/3733103, friendlyName=Open source</x:v>
      </x:c>
    </x:row>
    <x:row r="2845" ht="46" customHeight="1">
      <x:c r="A2845" s="17" t="str">
        <x:v>stage4src:1a056ad51f3d6414</x:v>
      </x:c>
      <x:c r="B2845" s="17" t="str">
        <x:v>professor</x:v>
      </x:c>
      <x:c r="C2845" s="17" t="str">
        <x:v>University of California-Davis</x:v>
      </x:c>
      <x:c r="D2845" s="17" t="str">
        <x:v>us:ipeds:110644:program:phd:computer-science-phd</x:v>
      </x:c>
      <x:c r="E2845" s="17" t="str">
        <x:v>us:ipeds:110644:faculty:cindy-rubio-gonz-lez</x:v>
      </x:c>
      <x:c r="F2845" s="17" t="str">
        <x:v>current appointment|program supervision authority|research themes</x:v>
      </x:c>
      <x:c r="G2845" s="17" t="str">
        <x:v>Cindy Rubio-González has a current verified appointment and verified authority to supervise this program.</x:v>
      </x:c>
      <x:c r="H2845" s="17" t="str">
        <x:v>Cindy Rubio-González</x:v>
      </x:c>
      <x:c r="I2845" s="17" t="str">
        <x:v>University of California-Davis</x:v>
      </x:c>
      <x:c r="J2845" s="17" t="str">
        <x:v>official</x:v>
      </x:c>
      <x:c r="K2845" s="17" t="str">
        <x:v>2026-09-11</x:v>
      </x:c>
      <x:c r="L2845" s="17" t="str"/>
      <x:c r="M2845" s="17" t="str">
        <x:v>high</x:v>
      </x:c>
      <x:c r="N2845" s="17" t="str">
        <x:v>verified</x:v>
      </x:c>
      <x:c r="O2845" s="17" t="str">
        <x:v>Carried from verified regional deep-review evidence.</x:v>
      </x:c>
      <x:c r="P2845" s="18" t="e">
        <x:f>HYPERLINK("https://cs.ucdavis.edu/directory/cindy-rubio-gonzalez","Open source")</x:f>
        <x:v>HYPERLINK is not implemented. linkLocation=https://cs.ucdavis.edu/directory/cindy-rubio-gonzalez, friendlyName=Open source</x:v>
      </x:c>
    </x:row>
    <x:row r="2846" ht="46" customHeight="1">
      <x:c r="A2846" s="17" t="str">
        <x:v>stage4src:1a17f162936a563d</x:v>
      </x:c>
      <x:c r="B2846" s="17" t="str">
        <x:v>professor</x:v>
      </x:c>
      <x:c r="C2846" s="17" t="str">
        <x:v>Concordia University</x:v>
      </x:c>
      <x:c r="D2846" s="17" t="str">
        <x:v>ca:dli:O19359011007:program:thesis-or-research-master-s:cybersecurity-engineering-masc</x:v>
      </x:c>
      <x:c r="E2846" s="17" t="str">
        <x:v>ca:dli:O19359011007:faculty:mourad-debbabi</x:v>
      </x:c>
      <x:c r="F2846" s="17" t="str">
        <x:v>current appointment|department|email|supervision authority|research themes|accepting inquiries</x:v>
      </x:c>
      <x:c r="G2846" s="17" t="str">
        <x:v>Concordia lists Debbabi as current CISE faculty, thesis supervisor, SRC director, and accepting inquiries, with security and forensics themes.</x:v>
      </x:c>
      <x:c r="H2846" s="17" t="str">
        <x:v>Mourad Debbabi</x:v>
      </x:c>
      <x:c r="I2846" s="17" t="str">
        <x:v>Concordia University</x:v>
      </x:c>
      <x:c r="J2846" s="17" t="str">
        <x:v>official</x:v>
      </x:c>
      <x:c r="K2846" s="17" t="str">
        <x:v>2026-09-11</x:v>
      </x:c>
      <x:c r="L2846" s="17" t="str">
        <x:v>2026</x:v>
      </x:c>
      <x:c r="M2846" s="17" t="str">
        <x:v>high</x:v>
      </x:c>
      <x:c r="N2846" s="17" t="str">
        <x:v>verified</x:v>
      </x:c>
      <x:c r="O2846" s="17" t="str">
        <x:v>Live official profile checked 2026-09-11; accepting inquiries alone is not a guaranteed opening.</x:v>
      </x:c>
      <x:c r="P2846" s="18" t="e">
        <x:f>HYPERLINK("https://www.concordia.ca/faculty/mourad-debbabi.html?c=%2Fginacody%2Fcybersecurity-intelligent-systems-eng%2Fabout%2Ffaculty-members","Open source")</x:f>
        <x:v>HYPERLINK is not implemented. linkLocation=https://www.concordia.ca/faculty/mourad-debbabi.html?c=%2Fginacody%2Fcybersecurity-intelligent-systems-eng%2Fabout%2Ffaculty-members, friendlyName=Open source</x:v>
      </x:c>
    </x:row>
    <x:row r="2847" ht="46" customHeight="1">
      <x:c r="A2847" s="17" t="str">
        <x:v>stage4src:1b8be1ef22f1ca3f</x:v>
      </x:c>
      <x:c r="B2847" s="17" t="str">
        <x:v>professor</x:v>
      </x:c>
      <x:c r="C2847" s="17" t="str">
        <x:v>Southern Methodist University</x:v>
      </x:c>
      <x:c r="D2847" s="17" t="str">
        <x:v>us:ipeds:228246:program:phd:ph-d-in-computer-science</x:v>
      </x:c>
      <x:c r="E2847" s="17" t="str">
        <x:v>us:ipeds:228246:faculty:jia-zhang</x:v>
      </x:c>
      <x:c r="F2847" s="17" t="str">
        <x:v>program supervision context|doctoral route</x:v>
      </x:c>
      <x:c r="G2847" s="17" t="str">
        <x:v>The page establishes the Computer Science doctoral program and its faculty research context.</x:v>
      </x:c>
      <x:c r="H2847" s="17" t="str">
        <x:v>Doctoral Programs</x:v>
      </x:c>
      <x:c r="I2847" s="17" t="str">
        <x:v>Southern Methodist University</x:v>
      </x:c>
      <x:c r="J2847" s="17" t="str">
        <x:v>official</x:v>
      </x:c>
      <x:c r="K2847" s="17" t="str">
        <x:v>2026-09-11</x:v>
      </x:c>
      <x:c r="L2847" s="17" t="str">
        <x:v>2026</x:v>
      </x:c>
      <x:c r="M2847" s="17" t="str">
        <x:v>high</x:v>
      </x:c>
      <x:c r="N2847" s="17" t="str">
        <x:v>verified</x:v>
      </x:c>
      <x:c r="O2847" s="17" t="str">
        <x:v>Official program page checked 2026-09-11.</x:v>
      </x:c>
      <x:c r="P2847" s="18" t="e">
        <x:f>HYPERLINK("https://www.smu.edu/lyle/departments/cs/doctoral-programs","Open source")</x:f>
        <x:v>HYPERLINK is not implemented. linkLocation=https://www.smu.edu/lyle/departments/cs/doctoral-programs, friendlyName=Open source</x:v>
      </x:c>
    </x:row>
    <x:row r="2848" ht="46" customHeight="1">
      <x:c r="A2848" s="17" t="str">
        <x:v>stage4src:1c57679ce7579dd4</x:v>
      </x:c>
      <x:c r="B2848" s="17" t="str">
        <x:v>professor</x:v>
      </x:c>
      <x:c r="C2848" s="17" t="str">
        <x:v>Rochester Institute of Technology</x:v>
      </x:c>
      <x:c r="D2848" s="17" t="str">
        <x:v>us:ipeds:195003:program:phd:computing-and-information-sciences-phd</x:v>
      </x:c>
      <x:c r="E2848" s="17" t="str">
        <x:v>us:ipeds:195003:faculty:yinxi-liu</x:v>
      </x:c>
      <x:c r="F2848" s="17" t="str">
        <x:v>current appointment|program supervision authority|research themes</x:v>
      </x:c>
      <x:c r="G2848" s="17" t="str">
        <x:v>Current appointment and email</x:v>
      </x:c>
      <x:c r="H2848" s="17" t="str">
        <x:v>Yinxi Liu</x:v>
      </x:c>
      <x:c r="I2848" s="17" t="str">
        <x:v>Rochester Institute of Technology</x:v>
      </x:c>
      <x:c r="J2848" s="17" t="str">
        <x:v>official</x:v>
      </x:c>
      <x:c r="K2848" s="17" t="str">
        <x:v>2026-09-11</x:v>
      </x:c>
      <x:c r="L2848" s="17" t="str"/>
      <x:c r="M2848" s="17" t="str">
        <x:v>high</x:v>
      </x:c>
      <x:c r="N2848" s="17" t="str">
        <x:v>verified</x:v>
      </x:c>
      <x:c r="O2848" s="17" t="str"/>
      <x:c r="P2848" s="18" t="e">
        <x:f>HYPERLINK("https://www.rit.edu/computing/directory/yxlics-yinxi-liu","Open source")</x:f>
        <x:v>HYPERLINK is not implemented. linkLocation=https://www.rit.edu/computing/directory/yxlics-yinxi-liu, friendlyName=Open source</x:v>
      </x:c>
    </x:row>
    <x:row r="2849" ht="46" customHeight="1">
      <x:c r="A2849" s="17" t="str">
        <x:v>stage4src:1c7b0031861ef268</x:v>
      </x:c>
      <x:c r="B2849" s="17" t="str">
        <x:v>professor</x:v>
      </x:c>
      <x:c r="C2849" s="17" t="str">
        <x:v>University of Victoria</x:v>
      </x:c>
      <x:c r="D2849" s="17" t="str">
        <x:v>ca:dli:O19280533442:program:thesis-or-research-master-s:msc-in-computer-science-thesis</x:v>
      </x:c>
      <x:c r="E2849" s="17" t="str">
        <x:v>ca:dli:O19280533442:faculty:margaret-anne-storey</x:v>
      </x:c>
      <x:c r="F2849" s="17" t="str">
        <x:v>recent work|research fit</x:v>
      </x:c>
      <x:c r="G2849" s="17" t="str">
        <x:v>CHISEL bibliography lists multiple 2025 human-centered software-engineering papers.</x:v>
      </x:c>
      <x:c r="H2849" s="17" t="str">
        <x:v>CHISEL Publications</x:v>
      </x:c>
      <x:c r="I2849" s="17" t="str">
        <x:v>University of Victoria</x:v>
      </x:c>
      <x:c r="J2849" s="17" t="str">
        <x:v>official</x:v>
      </x:c>
      <x:c r="K2849" s="17" t="str">
        <x:v>2026-09-11</x:v>
      </x:c>
      <x:c r="L2849" s="17" t="str">
        <x:v>2025</x:v>
      </x:c>
      <x:c r="M2849" s="17" t="str">
        <x:v>high</x:v>
      </x:c>
      <x:c r="N2849" s="17" t="str">
        <x:v>verified</x:v>
      </x:c>
      <x:c r="O2849" s="17" t="str">
        <x:v>No search snippet used as final evidence; URL/page content reviewed.</x:v>
      </x:c>
      <x:c r="P2849" s="18" t="e">
        <x:f>HYPERLINK("https://thechiselgroup.org/publications/","Open source")</x:f>
        <x:v>HYPERLINK is not implemented. linkLocation=https://thechiselgroup.org/publications/, friendlyName=Open source</x:v>
      </x:c>
    </x:row>
    <x:row r="2850" ht="46" customHeight="1">
      <x:c r="A2850" s="17" t="str">
        <x:v>stage4src:1c9eb1674e5bd493</x:v>
      </x:c>
      <x:c r="B2850" s="17" t="str">
        <x:v>professor</x:v>
      </x:c>
      <x:c r="C2850" s="17" t="str">
        <x:v>University of Illinois Chicago</x:v>
      </x:c>
      <x:c r="D2850" s="17" t="str">
        <x:v>us:ipeds:145600:program:phd:phd-in-computer-science</x:v>
      </x:c>
      <x:c r="E2850" s="17" t="str">
        <x:v>us:ipeds:145600:faculty:mark-grechanik</x:v>
      </x:c>
      <x:c r="F2850" s="17" t="str">
        <x:v>current research direction|research fit</x:v>
      </x:c>
      <x:c r="G2850" s="17" t="str">
        <x:v>The current lab page documents proof-driven reliable-software, language-engineering, security, and reproducibility directions.</x:v>
      </x:c>
      <x:c r="H2850" s="17" t="str">
        <x:v>LARISSA Laboratory</x:v>
      </x:c>
      <x:c r="I2850" s="17" t="str">
        <x:v>University of Illinois Chicago</x:v>
      </x:c>
      <x:c r="J2850" s="17" t="str">
        <x:v>official</x:v>
      </x:c>
      <x:c r="K2850" s="17" t="str">
        <x:v>2026-09-11</x:v>
      </x:c>
      <x:c r="L2850" s="17" t="str">
        <x:v>2026</x:v>
      </x:c>
      <x:c r="M2850" s="17" t="str">
        <x:v>high</x:v>
      </x:c>
      <x:c r="N2850" s="17" t="str">
        <x:v>verified</x:v>
      </x:c>
      <x:c r="O2850" s="17" t="str">
        <x:v>Current official laboratory page checked 2026-09-10.</x:v>
      </x:c>
      <x:c r="P2850" s="18" t="e">
        <x:f>HYPERLINK("https://larissa.lab.uic.edu/","Open source")</x:f>
        <x:v>HYPERLINK is not implemented. linkLocation=https://larissa.lab.uic.edu/, friendlyName=Open source</x:v>
      </x:c>
    </x:row>
    <x:row r="2851" ht="46" customHeight="1">
      <x:c r="A2851" s="17" t="str">
        <x:v>stage4src:1cb32342a089acfa</x:v>
      </x:c>
      <x:c r="B2851" s="17" t="str">
        <x:v>professor</x:v>
      </x:c>
      <x:c r="C2851" s="17" t="str">
        <x:v>William &amp; Mary</x:v>
      </x:c>
      <x:c r="D2851" s="17" t="str">
        <x:v>us:ipeds:231624:program:phd:computer-science-phd</x:v>
      </x:c>
      <x:c r="E2851" s="17" t="str"/>
      <x:c r="F2851" s="17" t="str">
        <x:v>current faculty roster|candidate longlist</x:v>
      </x:c>
      <x:c r="G2851" s="17" t="str">
        <x:v>Current official department roster or research-area faculty listing used to identify the five-person Stage 4 candidate longlist.</x:v>
      </x:c>
      <x:c r="H2851" s="17" t="str">
        <x:v>William &amp; Mary current faculty roster</x:v>
      </x:c>
      <x:c r="I2851" s="17" t="str">
        <x:v>William &amp; Mary</x:v>
      </x:c>
      <x:c r="J2851" s="17" t="str">
        <x:v>official</x:v>
      </x:c>
      <x:c r="K2851" s="17" t="str">
        <x:v>2026-09-11</x:v>
      </x:c>
      <x:c r="L2851" s="17" t="str"/>
      <x:c r="M2851" s="17" t="str">
        <x:v>high</x:v>
      </x:c>
      <x:c r="N2851" s="17" t="str">
        <x:v>verified</x:v>
      </x:c>
      <x:c r="O2851" s="17" t="str">
        <x:v>Roster evidence establishes a current listing, not program-specific supervision authority or recruiting.</x:v>
      </x:c>
      <x:c r="P2851" s="18" t="e">
        <x:f>HYPERLINK("https://www.cs.wm.edu/","Open source")</x:f>
        <x:v>HYPERLINK is not implemented. linkLocation=https://www.cs.wm.edu/, friendlyName=Open source</x:v>
      </x:c>
    </x:row>
    <x:row r="2852" ht="46" customHeight="1">
      <x:c r="A2852" s="17" t="str">
        <x:v>stage4src:1cd163e160e7708c</x:v>
      </x:c>
      <x:c r="B2852" s="17" t="str">
        <x:v>professor</x:v>
      </x:c>
      <x:c r="C2852" s="17" t="str">
        <x:v>McGill University</x:v>
      </x:c>
      <x:c r="D2852" s="17" t="str">
        <x:v>ca:dli:O19359011033:program:thesis-or-research-master-s:electrical-engineering-thesis-m-sc</x:v>
      </x:c>
      <x:c r="E2852" s="17" t="str"/>
      <x:c r="F2852" s="17" t="str">
        <x:v>current faculty roster|candidate longlist</x:v>
      </x:c>
      <x:c r="G2852" s="17" t="str">
        <x:v>Current official department roster or research-area faculty listing used to identify the five-person Stage 4 candidate longlist.</x:v>
      </x:c>
      <x:c r="H2852" s="17" t="str">
        <x:v>McGill University current faculty roster</x:v>
      </x:c>
      <x:c r="I2852" s="17" t="str">
        <x:v>McGill University</x:v>
      </x:c>
      <x:c r="J2852" s="17" t="str">
        <x:v>official</x:v>
      </x:c>
      <x:c r="K2852" s="17" t="str">
        <x:v>2026-09-11</x:v>
      </x:c>
      <x:c r="L2852" s="17" t="str"/>
      <x:c r="M2852" s="17" t="str">
        <x:v>high</x:v>
      </x:c>
      <x:c r="N2852" s="17" t="str">
        <x:v>verified</x:v>
      </x:c>
      <x:c r="O2852" s="17" t="str">
        <x:v>Roster evidence establishes a current listing, not program-specific supervision authority or recruiting.</x:v>
      </x:c>
      <x:c r="P2852" s="18" t="e">
        <x:f>HYPERLINK("https://www.mcgill.ca/ece/people","Open source")</x:f>
        <x:v>HYPERLINK is not implemented. linkLocation=https://www.mcgill.ca/ece/people, friendlyName=Open source</x:v>
      </x:c>
    </x:row>
    <x:row r="2853" ht="46" customHeight="1">
      <x:c r="A2853" s="17" t="str">
        <x:v>stage4src:1cf7ea79dd68d0ed</x:v>
      </x:c>
      <x:c r="B2853" s="17" t="str">
        <x:v>professor</x:v>
      </x:c>
      <x:c r="C2853" s="17" t="str">
        <x:v>University of Connecticut</x:v>
      </x:c>
      <x:c r="D2853" s="17" t="str">
        <x:v>us:ipeds:129020:program:phd:computer-science-and-engineering-phd</x:v>
      </x:c>
      <x:c r="E2853" s="17" t="str">
        <x:v>us:ipeds:129020:faculty:amir-herzberg</x:v>
      </x:c>
      <x:c r="F2853" s="17" t="str">
        <x:v>current appointment|department|email|research themes</x:v>
      </x:c>
      <x:c r="G2853" s="17" t="str">
        <x:v>UConn lists Herzberg as a current School of Computing Professor in network security, applied and provable cryptography, privacy, and secure systems.</x:v>
      </x:c>
      <x:c r="H2853" s="17" t="str">
        <x:v>Amir Herzberg</x:v>
      </x:c>
      <x:c r="I2853" s="17" t="str">
        <x:v>University of Connecticut</x:v>
      </x:c>
      <x:c r="J2853" s="17" t="str">
        <x:v>official</x:v>
      </x:c>
      <x:c r="K2853" s="17" t="str">
        <x:v>2026-09-11</x:v>
      </x:c>
      <x:c r="L2853" s="17" t="str">
        <x:v>2026</x:v>
      </x:c>
      <x:c r="M2853" s="17" t="str">
        <x:v>high</x:v>
      </x:c>
      <x:c r="N2853" s="17" t="str">
        <x:v>verified</x:v>
      </x:c>
      <x:c r="O2853" s="17" t="str">
        <x:v>Live profile checked 2026-09-11.</x:v>
      </x:c>
      <x:c r="P2853" s="18" t="e">
        <x:f>HYPERLINK("https://engineering.uconn.edu/faculty/cse/herzberg-amir/","Open source")</x:f>
        <x:v>HYPERLINK is not implemented. linkLocation=https://engineering.uconn.edu/faculty/cse/herzberg-amir/, friendlyName=Open source</x:v>
      </x:c>
    </x:row>
    <x:row r="2854" ht="46" customHeight="1">
      <x:c r="A2854" s="17" t="str">
        <x:v>stage4src:1d63ea232a974255</x:v>
      </x:c>
      <x:c r="B2854" s="17" t="str">
        <x:v>professor</x:v>
      </x:c>
      <x:c r="C2854" s="17" t="str">
        <x:v>University of North Carolina at Charlotte</x:v>
      </x:c>
      <x:c r="D2854" s="17" t="str">
        <x:v>us:ipeds:199139:program:phd:computing-and-information-systems-phd-software-and-information-systems-track</x:v>
      </x:c>
      <x:c r="E2854" s="17" t="str"/>
      <x:c r="F2854" s="17" t="str">
        <x:v>current faculty roster|candidate longlist</x:v>
      </x:c>
      <x:c r="G2854" s="17" t="str">
        <x:v>Current official department roster or research-area faculty listing used to identify the five-person Stage 4 candidate longlist.</x:v>
      </x:c>
      <x:c r="H2854" s="17" t="str">
        <x:v>University of North Carolina at Charlotte current faculty roster</x:v>
      </x:c>
      <x:c r="I2854" s="17" t="str">
        <x:v>University of North Carolina at Charlotte</x:v>
      </x:c>
      <x:c r="J2854" s="17" t="str">
        <x:v>official</x:v>
      </x:c>
      <x:c r="K2854" s="17" t="str">
        <x:v>2026-09-11</x:v>
      </x:c>
      <x:c r="L2854" s="17" t="str"/>
      <x:c r="M2854" s="17" t="str">
        <x:v>high</x:v>
      </x:c>
      <x:c r="N2854" s="17" t="str">
        <x:v>verified</x:v>
      </x:c>
      <x:c r="O2854" s="17" t="str">
        <x:v>Roster evidence establishes a current listing, not program-specific supervision authority or recruiting.</x:v>
      </x:c>
      <x:c r="P2854" s="18" t="e">
        <x:f>HYPERLINK("https://cci.charlotte.edu/sis-faculty/","Open source")</x:f>
        <x:v>HYPERLINK is not implemented. linkLocation=https://cci.charlotte.edu/sis-faculty/, friendlyName=Open source</x:v>
      </x:c>
    </x:row>
    <x:row r="2855" ht="46" customHeight="1">
      <x:c r="A2855" s="17" t="str">
        <x:v>stage4src:1da8dcb27dc4dddb</x:v>
      </x:c>
      <x:c r="B2855" s="17" t="str">
        <x:v>professor</x:v>
      </x:c>
      <x:c r="C2855" s="17" t="str">
        <x:v>Trent University</x:v>
      </x:c>
      <x:c r="D2855" s="17" t="str">
        <x:v>ca:dli:O19395164223:program:thesis-or-research-master-s:msc-in-applied-modelling-and-quantitative-methods-thesis-stream</x:v>
      </x:c>
      <x:c r="E2855" s="17" t="str"/>
      <x:c r="F2855" s="17" t="str">
        <x:v>current faculty roster|candidate longlist</x:v>
      </x:c>
      <x:c r="G2855" s="17" t="str">
        <x:v>Current official department roster or research-area faculty listing used to identify the five-person Stage 4 candidate longlist.</x:v>
      </x:c>
      <x:c r="H2855" s="17" t="str">
        <x:v>Trent University current faculty roster</x:v>
      </x:c>
      <x:c r="I2855" s="17" t="str">
        <x:v>Trent University</x:v>
      </x:c>
      <x:c r="J2855" s="17" t="str">
        <x:v>official</x:v>
      </x:c>
      <x:c r="K2855" s="17" t="str">
        <x:v>2026-09-11</x:v>
      </x:c>
      <x:c r="L2855" s="17" t="str"/>
      <x:c r="M2855" s="17" t="str">
        <x:v>high</x:v>
      </x:c>
      <x:c r="N2855" s="17" t="str">
        <x:v>verified</x:v>
      </x:c>
      <x:c r="O2855" s="17" t="str">
        <x:v>Roster evidence establishes a current listing, not program-specific supervision authority or recruiting.</x:v>
      </x:c>
      <x:c r="P2855" s="18" t="e">
        <x:f>HYPERLINK("https://www.trentu.ca/cois/faculty-research","Open source")</x:f>
        <x:v>HYPERLINK is not implemented. linkLocation=https://www.trentu.ca/cois/faculty-research, friendlyName=Open source</x:v>
      </x:c>
    </x:row>
    <x:row r="2856" ht="46" customHeight="1">
      <x:c r="A2856" s="17" t="str">
        <x:v>stage4src:1e3521d855ed9322</x:v>
      </x:c>
      <x:c r="B2856" s="17" t="str">
        <x:v>professor</x:v>
      </x:c>
      <x:c r="C2856" s="17" t="str">
        <x:v>University of Delaware</x:v>
      </x:c>
      <x:c r="D2856" s="17" t="str">
        <x:v>us:ipeds:130943:program:phd:computer-science-phd</x:v>
      </x:c>
      <x:c r="E2856" s="17" t="str">
        <x:v>us:ipeds:130943:faculty:stephen-f-siegel</x:v>
      </x:c>
      <x:c r="F2856" s="17" t="str">
        <x:v>recent work|research fit</x:v>
      </x:c>
      <x:c r="G2856" s="17" t="str">
        <x:v>The university-hosted 2025 work documents current specification and verification research.</x:v>
      </x:c>
      <x:c r="H2856" s="17" t="str">
        <x:v>Specification and Verification for Climate Modeling</x:v>
      </x:c>
      <x:c r="I2856" s="17" t="str">
        <x:v>University of Delaware</x:v>
      </x:c>
      <x:c r="J2856" s="17" t="str">
        <x:v>official</x:v>
      </x:c>
      <x:c r="K2856" s="17" t="str">
        <x:v>2026-09-11</x:v>
      </x:c>
      <x:c r="L2856" s="17" t="str">
        <x:v>2025</x:v>
      </x:c>
      <x:c r="M2856" s="17" t="str">
        <x:v>high</x:v>
      </x:c>
      <x:c r="N2856" s="17" t="str">
        <x:v>verified</x:v>
      </x:c>
      <x:c r="O2856" s="17" t="str">
        <x:v>University-hosted scholarly work checked 2026-09-10.</x:v>
      </x:c>
      <x:c r="P2856" s="18" t="e">
        <x:f>HYPERLINK("https://vsl.cis.udel.edu/vss2025/altuntas-etal-vss2025.pdf","Open source")</x:f>
        <x:v>HYPERLINK is not implemented. linkLocation=https://vsl.cis.udel.edu/vss2025/altuntas-etal-vss2025.pdf, friendlyName=Open source</x:v>
      </x:c>
    </x:row>
    <x:row r="2857" ht="46" customHeight="1">
      <x:c r="A2857" s="17" t="str">
        <x:v>stage4src:1e6c42f363114b25</x:v>
      </x:c>
      <x:c r="B2857" s="17" t="str">
        <x:v>professor</x:v>
      </x:c>
      <x:c r="C2857" s="17" t="str">
        <x:v>Northwestern University</x:v>
      </x:c>
      <x:c r="D2857" s="17" t="str">
        <x:v>us:ipeds:147767:program:phd:phd-in-computer-science</x:v>
      </x:c>
      <x:c r="E2857" s="17" t="str"/>
      <x:c r="F2857" s="17" t="str">
        <x:v>current faculty roster|candidate longlist</x:v>
      </x:c>
      <x:c r="G2857" s="17" t="str">
        <x:v>Current official department roster or research-area faculty listing used to identify the five-person Stage 4 candidate longlist.</x:v>
      </x:c>
      <x:c r="H2857" s="17" t="str">
        <x:v>Northwestern University current faculty roster</x:v>
      </x:c>
      <x:c r="I2857" s="17" t="str">
        <x:v>Northwestern University</x:v>
      </x:c>
      <x:c r="J2857" s="17" t="str">
        <x:v>official</x:v>
      </x:c>
      <x:c r="K2857" s="17" t="str">
        <x:v>2026-09-11</x:v>
      </x:c>
      <x:c r="L2857" s="17" t="str"/>
      <x:c r="M2857" s="17" t="str">
        <x:v>high</x:v>
      </x:c>
      <x:c r="N2857" s="17" t="str">
        <x:v>verified</x:v>
      </x:c>
      <x:c r="O2857" s="17" t="str">
        <x:v>Roster evidence establishes a current listing, not program-specific supervision authority or recruiting.</x:v>
      </x:c>
      <x:c r="P2857" s="18" t="e">
        <x:f>HYPERLINK("https://www.mccormick.northwestern.edu/computer-science/people/faculty/tenure-track.html","Open source")</x:f>
        <x:v>HYPERLINK is not implemented. linkLocation=https://www.mccormick.northwestern.edu/computer-science/people/faculty/tenure-track.html, friendlyName=Open source</x:v>
      </x:c>
    </x:row>
    <x:row r="2858" ht="46" customHeight="1">
      <x:c r="A2858" s="17" t="str">
        <x:v>stage4src:1eb9ea837370ffaf</x:v>
      </x:c>
      <x:c r="B2858" s="17" t="str">
        <x:v>professor</x:v>
      </x:c>
      <x:c r="C2858" s="17" t="str">
        <x:v>Worcester Polytechnic Institute</x:v>
      </x:c>
      <x:c r="D2858" s="17" t="str">
        <x:v>us:ipeds:168421:program:phd:phd-in-computer-science</x:v>
      </x:c>
      <x:c r="E2858" s="17" t="str">
        <x:v>us:ipeds:168421:faculty:robert-j-walls</x:v>
      </x:c>
      <x:c r="F2858" s="17" t="str">
        <x:v>current faculty roster|candidate longlist</x:v>
      </x:c>
      <x:c r="G2858" s="17" t="str">
        <x:v>The current CS roster lists Walls and the four encoded alternatives.</x:v>
      </x:c>
      <x:c r="H2858" s="17" t="str">
        <x:v>Computer Science Faculty and Staff</x:v>
      </x:c>
      <x:c r="I2858" s="17" t="str">
        <x:v>Worcester Polytechnic Institute</x:v>
      </x:c>
      <x:c r="J2858" s="17" t="str">
        <x:v>official</x:v>
      </x:c>
      <x:c r="K2858" s="17" t="str">
        <x:v>2026-09-11</x:v>
      </x:c>
      <x:c r="L2858" s="17" t="str">
        <x:v>2026</x:v>
      </x:c>
      <x:c r="M2858" s="17" t="str">
        <x:v>high</x:v>
      </x:c>
      <x:c r="N2858" s="17" t="str">
        <x:v>verified</x:v>
      </x:c>
      <x:c r="O2858" s="17" t="str">
        <x:v>Live official roster checked 2026-09-11.</x:v>
      </x:c>
      <x:c r="P2858" s="18" t="e">
        <x:f>HYPERLINK("https://www.wpi.edu/academics/departments/computer-science/faculty-staff","Open source")</x:f>
        <x:v>HYPERLINK is not implemented. linkLocation=https://www.wpi.edu/academics/departments/computer-science/faculty-staff, friendlyName=Open source</x:v>
      </x:c>
    </x:row>
    <x:row r="2859" ht="46" customHeight="1">
      <x:c r="A2859" s="17" t="str">
        <x:v>stage4src:1ed8742d5638462f</x:v>
      </x:c>
      <x:c r="B2859" s="17" t="str">
        <x:v>professor</x:v>
      </x:c>
      <x:c r="C2859" s="17" t="str">
        <x:v>York University</x:v>
      </x:c>
      <x:c r="D2859" s="17" t="str">
        <x:v>ca:dli:O19361109242:program:thesis-or-research-master-s:computer-science-msc-thesis-option</x:v>
      </x:c>
      <x:c r="E2859" s="17" t="str">
        <x:v>ca:dli:O19361109242:faculty:zhen-ming-jack-jiang</x:v>
      </x:c>
      <x:c r="F2859" s="17" t="str">
        <x:v>current appointment|research themes|email|recruiting|contact instructions</x:v>
      </x:c>
      <x:c r="G2859" s="17" t="str">
        <x:v>The current York faculty page documents Jiang's appointment, software-engineering research, official email, and direct graduate-student recruiting statement.</x:v>
      </x:c>
      <x:c r="H2859" s="17" t="str">
        <x:v>Zhen Ming (Jack) Jiang</x:v>
      </x:c>
      <x:c r="I2859" s="17" t="str">
        <x:v>York University</x:v>
      </x:c>
      <x:c r="J2859" s="17" t="str">
        <x:v>official</x:v>
      </x:c>
      <x:c r="K2859" s="17" t="str">
        <x:v>2026-09-11</x:v>
      </x:c>
      <x:c r="L2859" s="17" t="str">
        <x:v>2026</x:v>
      </x:c>
      <x:c r="M2859" s="17" t="str">
        <x:v>high</x:v>
      </x:c>
      <x:c r="N2859" s="17" t="str">
        <x:v>verified</x:v>
      </x:c>
      <x:c r="O2859" s="17" t="str">
        <x:v>Current university-hosted faculty page checked 2026-09-10; capacity must be reconfirmed.</x:v>
      </x:c>
      <x:c r="P2859" s="18" t="e">
        <x:f>HYPERLINK("https://www.eecs.yorku.ca/~zmjiang/","Open source")</x:f>
        <x:v>HYPERLINK is not implemented. linkLocation=https://www.eecs.yorku.ca/~zmjiang/, friendlyName=Open source</x:v>
      </x:c>
    </x:row>
    <x:row r="2860" ht="46" customHeight="1">
      <x:c r="A2860" s="17" t="str">
        <x:v>stage4src:1fa8911e1885c6f4</x:v>
      </x:c>
      <x:c r="B2860" s="17" t="str">
        <x:v>professor</x:v>
      </x:c>
      <x:c r="C2860" s="17" t="str">
        <x:v>St. Francis Xavier University</x:v>
      </x:c>
      <x:c r="D2860" s="17" t="str">
        <x:v>ca:dli:O19391556899:program:thesis-or-research-master-s:master-of-science-in-computer-science</x:v>
      </x:c>
      <x:c r="E2860" s="17" t="str">
        <x:v>ca:dli:O19391556899:faculty:taylor-j-smith</x:v>
      </x:c>
      <x:c r="F2860" s="17" t="str">
        <x:v>current appointment|department|email|research themes</x:v>
      </x:c>
      <x:c r="G2860" s="17" t="str">
        <x:v>The StFX-hosted profile identifies Smith as Assistant Professor in Computer Science, director of FLAReLab, and a researcher in formal languages, automata, algorithms, and complexity.</x:v>
      </x:c>
      <x:c r="H2860" s="17" t="str">
        <x:v>Taylor J. Smith</x:v>
      </x:c>
      <x:c r="I2860" s="17" t="str">
        <x:v>St. Francis Xavier University</x:v>
      </x:c>
      <x:c r="J2860" s="17" t="str">
        <x:v>official</x:v>
      </x:c>
      <x:c r="K2860" s="17" t="str">
        <x:v>2026-09-11</x:v>
      </x:c>
      <x:c r="L2860" s="17" t="str">
        <x:v>2026</x:v>
      </x:c>
      <x:c r="M2860" s="17" t="str">
        <x:v>high</x:v>
      </x:c>
      <x:c r="N2860" s="17" t="str">
        <x:v>verified</x:v>
      </x:c>
      <x:c r="O2860" s="17" t="str">
        <x:v>Live university-hosted profile checked 2026-09-11.</x:v>
      </x:c>
      <x:c r="P2860" s="18" t="e">
        <x:f>HYPERLINK("https://people.stfx.ca/tjsmith/","Open source")</x:f>
        <x:v>HYPERLINK is not implemented. linkLocation=https://people.stfx.ca/tjsmith/, friendlyName=Open source</x:v>
      </x:c>
    </x:row>
    <x:row r="2861" ht="46" customHeight="1">
      <x:c r="A2861" s="17" t="str">
        <x:v>stage4src:1faae7c6ed4fcce0</x:v>
      </x:c>
      <x:c r="B2861" s="17" t="str">
        <x:v>professor</x:v>
      </x:c>
      <x:c r="C2861" s="17" t="str">
        <x:v>McGill University</x:v>
      </x:c>
      <x:c r="D2861" s="17" t="str">
        <x:v>ca:dli:O19359011033:program:thesis-or-research-master-s:msc-in-computer-science-thesis</x:v>
      </x:c>
      <x:c r="E2861" s="17" t="str">
        <x:v>ca:dli:O19359011033:faculty:jin-l-c-guo</x:v>
      </x:c>
      <x:c r="F2861" s="17" t="str">
        <x:v>recent work|research fit</x:v>
      </x:c>
      <x:c r="G2861" s="17" t="str">
        <x:v>Recent work supports the recorded TerraProbe/Evidex research overlap for Jin L.C. Guo.</x:v>
      </x:c>
      <x:c r="H2861" s="17" t="str">
        <x:v>Recent scholarly work</x:v>
      </x:c>
      <x:c r="I2861" s="17" t="str">
        <x:v>OpenAlex / cited venue</x:v>
      </x:c>
      <x:c r="J2861" s="17" t="str">
        <x:v>secondary</x:v>
      </x:c>
      <x:c r="K2861" s="17" t="str">
        <x:v>2026-09-11</x:v>
      </x:c>
      <x:c r="L2861" s="17" t="str">
        <x:v>2024</x:v>
      </x:c>
      <x:c r="M2861" s="17" t="str">
        <x:v>high</x:v>
      </x:c>
      <x:c r="N2861" s="17" t="str">
        <x:v>verified</x:v>
      </x:c>
      <x:c r="O2861" s="17" t="str">
        <x:v>Carried from verified regional deep-review evidence.</x:v>
      </x:c>
      <x:c r="P2861" s="18" t="e">
        <x:f>HYPERLINK("https://www.cs.mcgill.ca/~jguo/papers/DIS2024_LLMsForTutorialWriters.pdf","Open source")</x:f>
        <x:v>HYPERLINK is not implemented. linkLocation=https://www.cs.mcgill.ca/~jguo/papers/DIS2024_LLMsForTutorialWriters.pdf, friendlyName=Open source</x:v>
      </x:c>
    </x:row>
    <x:row r="2862" ht="46" customHeight="1">
      <x:c r="A2862" s="17" t="str">
        <x:v>stage4src:1fac34de171075f2</x:v>
      </x:c>
      <x:c r="B2862" s="17" t="str">
        <x:v>professor</x:v>
      </x:c>
      <x:c r="C2862" s="17" t="str">
        <x:v>Pennsylvania State University-Main Campus</x:v>
      </x:c>
      <x:c r="D2862" s="17" t="str">
        <x:v>us:ipeds:214777:program:phd:computer-science-and-engineering-phd</x:v>
      </x:c>
      <x:c r="E2862" s="17" t="str">
        <x:v>us:ipeds:214777:faculty:ting-wang</x:v>
      </x:c>
      <x:c r="F2862" s="17" t="str">
        <x:v>discovery publication signal|recent work</x:v>
      </x:c>
      <x:c r="G2862" s="17" t="str">
        <x:v>Publication metadata was examined for shortlist triage only; publication-time affiliation does not establish current appointment, supervision authority, or recruiting.</x:v>
      </x:c>
      <x:c r="H2862" s="17" t="str">
        <x:v>OpenAlex publication signal for Ting Wang</x:v>
      </x:c>
      <x:c r="I2862" s="17" t="str">
        <x:v>OpenAlex / cited venue</x:v>
      </x:c>
      <x:c r="J2862" s="17" t="str">
        <x:v>secondary</x:v>
      </x:c>
      <x:c r="K2862" s="17" t="str">
        <x:v>2026-09-11</x:v>
      </x:c>
      <x:c r="L2862" s="17" t="str"/>
      <x:c r="M2862" s="17" t="str">
        <x:v>medium</x:v>
      </x:c>
      <x:c r="N2862" s="17" t="str">
        <x:v>discovery_only</x:v>
      </x:c>
      <x:c r="O2862" s="17" t="str">
        <x:v>Not used to award a professor score or faculty-depth point.</x:v>
      </x:c>
      <x:c r="P2862" s="18" t="e">
        <x:f>HYPERLINK("https://openalex.org/A5029732099","Open source")</x:f>
        <x:v>HYPERLINK is not implemented. linkLocation=https://openalex.org/A5029732099, friendlyName=Open source</x:v>
      </x:c>
    </x:row>
    <x:row r="2863" ht="46" customHeight="1">
      <x:c r="A2863" s="17" t="str">
        <x:v>stage4src:2031b28b3cab4d12</x:v>
      </x:c>
      <x:c r="B2863" s="17" t="str">
        <x:v>professor</x:v>
      </x:c>
      <x:c r="C2863" s="17" t="str">
        <x:v>University of Trento</x:v>
      </x:c>
      <x:c r="D2863" s="17" t="str">
        <x:v>ror:05trd4x28:program:thesis-or-research-master-s:master-s-degree-in-computer-science</x:v>
      </x:c>
      <x:c r="E2863" s="17" t="str">
        <x:v>ror:05trd4x28:faculty:sandro-luigi-fiore</x:v>
      </x:c>
      <x:c r="F2863" s="17" t="str">
        <x:v>current faculty roster|candidate longlist</x:v>
      </x:c>
      <x:c r="G2863" s="17" t="str">
        <x:v>The current DISI research-area page lists Sandro Luigi Fiore as faculty coordinator and supports the current departmental appointment.</x:v>
      </x:c>
      <x:c r="H2863" s="17" t="str">
        <x:v>Systems and Networks — Faculty Members</x:v>
      </x:c>
      <x:c r="I2863" s="17" t="str">
        <x:v>University of Trento</x:v>
      </x:c>
      <x:c r="J2863" s="17" t="str">
        <x:v>official</x:v>
      </x:c>
      <x:c r="K2863" s="17" t="str">
        <x:v>2026-09-11</x:v>
      </x:c>
      <x:c r="L2863" s="17" t="str">
        <x:v>2026</x:v>
      </x:c>
      <x:c r="M2863" s="17" t="str">
        <x:v>high</x:v>
      </x:c>
      <x:c r="N2863" s="17" t="str">
        <x:v>verified</x:v>
      </x:c>
      <x:c r="O2863" s="17" t="str">
        <x:v>Current official page checked 2026-09-10.</x:v>
      </x:c>
      <x:c r="P2863" s="18" t="e">
        <x:f>HYPERLINK("https://www.disi.unitn.it/it/node/233","Open source")</x:f>
        <x:v>HYPERLINK is not implemented. linkLocation=https://www.disi.unitn.it/it/node/233, friendlyName=Open source</x:v>
      </x:c>
    </x:row>
    <x:row r="2864" ht="46" customHeight="1">
      <x:c r="A2864" s="17" t="str">
        <x:v>stage4src:20566a29d255dd9b</x:v>
      </x:c>
      <x:c r="B2864" s="17" t="str">
        <x:v>professor</x:v>
      </x:c>
      <x:c r="C2864" s="17" t="str">
        <x:v>Vanderbilt University</x:v>
      </x:c>
      <x:c r="D2864" s="17" t="str">
        <x:v>us:ipeds:221999:program:phd:computer-science-phd</x:v>
      </x:c>
      <x:c r="E2864" s="17" t="str">
        <x:v>us:ipeds:221999:faculty:jules-white</x:v>
      </x:c>
      <x:c r="F2864" s="17" t="str">
        <x:v>discovery publication signal|recent work</x:v>
      </x:c>
      <x:c r="G2864" s="17" t="str">
        <x:v>Publication metadata was examined for shortlist triage only; publication-time affiliation does not establish current appointment, supervision authority, or recruiting.</x:v>
      </x:c>
      <x:c r="H2864" s="17" t="str">
        <x:v>OpenAlex publication signal for Jules White</x:v>
      </x:c>
      <x:c r="I2864" s="17" t="str">
        <x:v>OpenAlex / cited venue</x:v>
      </x:c>
      <x:c r="J2864" s="17" t="str">
        <x:v>secondary</x:v>
      </x:c>
      <x:c r="K2864" s="17" t="str">
        <x:v>2026-09-11</x:v>
      </x:c>
      <x:c r="L2864" s="17" t="str"/>
      <x:c r="M2864" s="17" t="str">
        <x:v>medium</x:v>
      </x:c>
      <x:c r="N2864" s="17" t="str">
        <x:v>discovery_only</x:v>
      </x:c>
      <x:c r="O2864" s="17" t="str">
        <x:v>Not used to award a professor score or faculty-depth point.</x:v>
      </x:c>
      <x:c r="P2864" s="18" t="e">
        <x:f>HYPERLINK("https://openalex.org/A5023026501","Open source")</x:f>
        <x:v>HYPERLINK is not implemented. linkLocation=https://openalex.org/A5023026501, friendlyName=Open source</x:v>
      </x:c>
    </x:row>
    <x:row r="2865" ht="46" customHeight="1">
      <x:c r="A2865" s="17" t="str">
        <x:v>stage4src:207cf8904453e257</x:v>
      </x:c>
      <x:c r="B2865" s="17" t="str">
        <x:v>professor</x:v>
      </x:c>
      <x:c r="C2865" s="17" t="str">
        <x:v>Rensselaer Polytechnic Institute</x:v>
      </x:c>
      <x:c r="D2865" s="17" t="str">
        <x:v>us:ipeds:194824:program:phd:ph-d-in-computer-science</x:v>
      </x:c>
      <x:c r="E2865" s="17" t="str">
        <x:v>us:ipeds:194824:faculty:carlos-a-varela</x:v>
      </x:c>
      <x:c r="F2865" s="17" t="str">
        <x:v>program supervision context|doctoral research</x:v>
      </x:c>
      <x:c r="G2865" s="17" t="str">
        <x:v>The official page establishes the research doctorate and close work with CS faculty advisors.</x:v>
      </x:c>
      <x:c r="H2865" s="17" t="str">
        <x:v>Ph.D. in Computer Science</x:v>
      </x:c>
      <x:c r="I2865" s="17" t="str">
        <x:v>Rensselaer Polytechnic Institute</x:v>
      </x:c>
      <x:c r="J2865" s="17" t="str">
        <x:v>official</x:v>
      </x:c>
      <x:c r="K2865" s="17" t="str">
        <x:v>2026-09-11</x:v>
      </x:c>
      <x:c r="L2865" s="17" t="str">
        <x:v>2026</x:v>
      </x:c>
      <x:c r="M2865" s="17" t="str">
        <x:v>high</x:v>
      </x:c>
      <x:c r="N2865" s="17" t="str">
        <x:v>verified</x:v>
      </x:c>
      <x:c r="O2865" s="17" t="str">
        <x:v>Official program page checked 2026-09-11.</x:v>
      </x:c>
      <x:c r="P2865" s="18" t="e">
        <x:f>HYPERLINK("https://compsci.rpi.edu/programs/phd-computer-science","Open source")</x:f>
        <x:v>HYPERLINK is not implemented. linkLocation=https://compsci.rpi.edu/programs/phd-computer-science, friendlyName=Open source</x:v>
      </x:c>
    </x:row>
    <x:row r="2866" ht="46" customHeight="1">
      <x:c r="A2866" s="17" t="str">
        <x:v>stage4src:208335c2084eb32c</x:v>
      </x:c>
      <x:c r="B2866" s="17" t="str">
        <x:v>professor</x:v>
      </x:c>
      <x:c r="C2866" s="17" t="str">
        <x:v>Stony Brook University</x:v>
      </x:c>
      <x:c r="D2866" s="17" t="str">
        <x:v>us:ipeds:196097:program:phd:computer-science-phd</x:v>
      </x:c>
      <x:c r="E2866" s="17" t="str">
        <x:v>us:ipeds:196097:faculty:dongyoon-lee</x:v>
      </x:c>
      <x:c r="F2866" s="17" t="str">
        <x:v>current appointment|program supervision authority|research themes|email</x:v>
      </x:c>
      <x:c r="G2866" s="17" t="str">
        <x:v>The current Stony Brook faculty page lists Dongyoon Lee as a Computer Science Associate Professor and provides his research areas and official email.</x:v>
      </x:c>
      <x:c r="H2866" s="17" t="str">
        <x:v>Dongyoon Lee</x:v>
      </x:c>
      <x:c r="I2866" s="17" t="str">
        <x:v>Stony Brook University</x:v>
      </x:c>
      <x:c r="J2866" s="17" t="str">
        <x:v>official</x:v>
      </x:c>
      <x:c r="K2866" s="17" t="str">
        <x:v>2026-09-11</x:v>
      </x:c>
      <x:c r="L2866" s="17" t="str"/>
      <x:c r="M2866" s="17" t="str">
        <x:v>high</x:v>
      </x:c>
      <x:c r="N2866" s="17" t="str">
        <x:v>verified</x:v>
      </x:c>
      <x:c r="O2866" s="17" t="str">
        <x:v>Current official profile checked 2026-09-10.</x:v>
      </x:c>
      <x:c r="P2866" s="18" t="e">
        <x:f>HYPERLINK("https://www3.cs.stonybrook.edu/~dongyoon/","Open source")</x:f>
        <x:v>HYPERLINK is not implemented. linkLocation=https://www3.cs.stonybrook.edu/~dongyoon/, friendlyName=Open source</x:v>
      </x:c>
    </x:row>
    <x:row r="2867" ht="46" customHeight="1">
      <x:c r="A2867" s="17" t="str">
        <x:v>stage4src:2091a98f6fa68da4</x:v>
      </x:c>
      <x:c r="B2867" s="17" t="str">
        <x:v>professor</x:v>
      </x:c>
      <x:c r="C2867" s="17" t="str">
        <x:v>Carnegie Mellon University</x:v>
      </x:c>
      <x:c r="D2867" s="17" t="str">
        <x:v>us:ipeds:211440:program:phd:software-engineering-phd</x:v>
      </x:c>
      <x:c r="E2867" s="17" t="str">
        <x:v>us:ipeds:211440:faculty:claire-le-goues</x:v>
      </x:c>
      <x:c r="F2867" s="17" t="str">
        <x:v>current appointment|program supervision authority|research themes</x:v>
      </x:c>
      <x:c r="G2867" s="17" t="str">
        <x:v>Current appointment and repair/testing research</x:v>
      </x:c>
      <x:c r="H2867" s="17" t="str">
        <x:v>Claire Le Goues</x:v>
      </x:c>
      <x:c r="I2867" s="17" t="str">
        <x:v>Carnegie Mellon University</x:v>
      </x:c>
      <x:c r="J2867" s="17" t="str">
        <x:v>official</x:v>
      </x:c>
      <x:c r="K2867" s="17" t="str">
        <x:v>2026-09-11</x:v>
      </x:c>
      <x:c r="L2867" s="17" t="str"/>
      <x:c r="M2867" s="17" t="str">
        <x:v>high</x:v>
      </x:c>
      <x:c r="N2867" s="17" t="str">
        <x:v>verified</x:v>
      </x:c>
      <x:c r="O2867" s="17" t="str"/>
      <x:c r="P2867" s="18" t="e">
        <x:f>HYPERLINK("https://s3d.cmu.edu/people/core-faculty/legoues-claire.html","Open source")</x:f>
        <x:v>HYPERLINK is not implemented. linkLocation=https://s3d.cmu.edu/people/core-faculty/legoues-claire.html, friendlyName=Open source</x:v>
      </x:c>
    </x:row>
    <x:row r="2868" ht="46" customHeight="1">
      <x:c r="A2868" s="17" t="str">
        <x:v>stage4src:2248373d3250e346</x:v>
      </x:c>
      <x:c r="B2868" s="17" t="str">
        <x:v>professor</x:v>
      </x:c>
      <x:c r="C2868" s="17" t="str">
        <x:v>Concordia University</x:v>
      </x:c>
      <x:c r="D2868" s="17" t="str">
        <x:v>ca:dli:O19359011007:program:thesis-or-research-master-s:master-of-computer-science-thesis</x:v>
      </x:c>
      <x:c r="E2868" s="17" t="str">
        <x:v>ca:dli:O19359011007:faculty:emad-shihab</x:v>
      </x:c>
      <x:c r="F2868" s="17" t="str">
        <x:v>current appointment|program supervision authority|research themes</x:v>
      </x:c>
      <x:c r="G2868" s="17" t="str">
        <x:v>Emad Shihab has a current verified appointment and verified authority to supervise this program.</x:v>
      </x:c>
      <x:c r="H2868" s="17" t="str">
        <x:v>Emad Shihab</x:v>
      </x:c>
      <x:c r="I2868" s="17" t="str">
        <x:v>Concordia University</x:v>
      </x:c>
      <x:c r="J2868" s="17" t="str">
        <x:v>official</x:v>
      </x:c>
      <x:c r="K2868" s="17" t="str">
        <x:v>2026-09-11</x:v>
      </x:c>
      <x:c r="L2868" s="17" t="str"/>
      <x:c r="M2868" s="17" t="str">
        <x:v>high</x:v>
      </x:c>
      <x:c r="N2868" s="17" t="str">
        <x:v>verified</x:v>
      </x:c>
      <x:c r="O2868" s="17" t="str">
        <x:v>Carried from verified regional deep-review evidence.</x:v>
      </x:c>
      <x:c r="P2868" s="18" t="e">
        <x:f>HYPERLINK("https://www.concordia.ca/ginacody/computer-science-software-eng/about/faculty-members.html","Open source")</x:f>
        <x:v>HYPERLINK is not implemented. linkLocation=https://www.concordia.ca/ginacody/computer-science-software-eng/about/faculty-members.html, friendlyName=Open source</x:v>
      </x:c>
    </x:row>
    <x:row r="2869" ht="46" customHeight="1">
      <x:c r="A2869" s="17" t="str">
        <x:v>stage4src:2270e96431404a35</x:v>
      </x:c>
      <x:c r="B2869" s="17" t="str">
        <x:v>professor</x:v>
      </x:c>
      <x:c r="C2869" s="17" t="str">
        <x:v>York University</x:v>
      </x:c>
      <x:c r="D2869" s="17" t="str">
        <x:v>ca:dli:O19361109242:program:thesis-or-research-master-s:masc-in-electrical-and-computer-engineering</x:v>
      </x:c>
      <x:c r="E2869" s="17" t="str">
        <x:v>ca:dli:O19361109242:faculty:song-wang</x:v>
      </x:c>
      <x:c r="F2869" s="17" t="str">
        <x:v>discovery publication signal|recent work</x:v>
      </x:c>
      <x:c r="G2869" s="17" t="str">
        <x:v>Publication metadata was examined for shortlist triage only; publication-time affiliation does not establish current appointment, supervision authority, or recruiting.</x:v>
      </x:c>
      <x:c r="H2869" s="17" t="str">
        <x:v>OpenAlex publication signal for Song Wang</x:v>
      </x:c>
      <x:c r="I2869" s="17" t="str">
        <x:v>OpenAlex / cited venue</x:v>
      </x:c>
      <x:c r="J2869" s="17" t="str">
        <x:v>secondary</x:v>
      </x:c>
      <x:c r="K2869" s="17" t="str">
        <x:v>2026-09-11</x:v>
      </x:c>
      <x:c r="L2869" s="17" t="str"/>
      <x:c r="M2869" s="17" t="str">
        <x:v>medium</x:v>
      </x:c>
      <x:c r="N2869" s="17" t="str">
        <x:v>discovery_only</x:v>
      </x:c>
      <x:c r="O2869" s="17" t="str">
        <x:v>Not used to award a professor score or faculty-depth point.</x:v>
      </x:c>
      <x:c r="P2869" s="18" t="e">
        <x:f>HYPERLINK("https://openalex.org/A5100326213","Open source")</x:f>
        <x:v>HYPERLINK is not implemented. linkLocation=https://openalex.org/A5100326213, friendlyName=Open source</x:v>
      </x:c>
    </x:row>
    <x:row r="2870" ht="46" customHeight="1">
      <x:c r="A2870" s="17" t="str">
        <x:v>stage4src:22a3ef22d2a5f170</x:v>
      </x:c>
      <x:c r="B2870" s="17" t="str">
        <x:v>professor</x:v>
      </x:c>
      <x:c r="C2870" s="17" t="str">
        <x:v>McMaster University</x:v>
      </x:c>
      <x:c r="D2870" s="17" t="str">
        <x:v>ca:dli:O19395535729:program:thesis-or-research-master-s:software-engineering-masc</x:v>
      </x:c>
      <x:c r="E2870" s="17" t="str">
        <x:v>ca:dli:O19395535729:faculty:richard-paige</x:v>
      </x:c>
      <x:c r="F2870" s="17" t="str">
        <x:v>recent work|research fit</x:v>
      </x:c>
      <x:c r="G2870" s="17" t="str">
        <x:v>The 2024 official article documents Paige's leadership of McSCert work on certification, validation, safety, security, and industry-linked software engineering.</x:v>
      </x:c>
      <x:c r="H2870" s="17" t="str">
        <x:v>McMaster Centre for Software Certification Receives Global Award</x:v>
      </x:c>
      <x:c r="I2870" s="17" t="str">
        <x:v>McMaster University</x:v>
      </x:c>
      <x:c r="J2870" s="17" t="str">
        <x:v>official</x:v>
      </x:c>
      <x:c r="K2870" s="17" t="str">
        <x:v>2026-09-11</x:v>
      </x:c>
      <x:c r="L2870" s="17" t="str">
        <x:v>2024</x:v>
      </x:c>
      <x:c r="M2870" s="17" t="str">
        <x:v>high</x:v>
      </x:c>
      <x:c r="N2870" s="17" t="str">
        <x:v>verified</x:v>
      </x:c>
      <x:c r="O2870" s="17" t="str">
        <x:v>Official university article checked 2026-09-10.</x:v>
      </x:c>
      <x:c r="P2870" s="18" t="e">
        <x:f>HYPERLINK("https://www.eng.mcmaster.ca/cas/news/mcmaster-centre-for-software-certification-receives-global-award-for-cultivating-effective-partnerships/","Open source")</x:f>
        <x:v>HYPERLINK is not implemented. linkLocation=https://www.eng.mcmaster.ca/cas/news/mcmaster-centre-for-software-certification-receives-global-award-for-cultivating-effective-partnerships/, friendlyName=Open source</x:v>
      </x:c>
    </x:row>
    <x:row r="2871" ht="46" customHeight="1">
      <x:c r="A2871" s="17" t="str">
        <x:v>stage4src:2301d1bab86f03a6</x:v>
      </x:c>
      <x:c r="B2871" s="17" t="str">
        <x:v>professor</x:v>
      </x:c>
      <x:c r="C2871" s="17" t="str">
        <x:v>University of Calgary</x:v>
      </x:c>
      <x:c r="D2871" s="17" t="str">
        <x:v>ca:dli:O18886830282:program:direct-entry-phd:phd-in-computer-science-without-completed-msc</x:v>
      </x:c>
      <x:c r="E2871" s="17" t="str">
        <x:v>ca:dli:O18886830282:faculty:mahmoud-alfadel</x:v>
      </x:c>
      <x:c r="F2871" s="17" t="str">
        <x:v>current appointment|program supervision authority|research themes</x:v>
      </x:c>
      <x:c r="G2871" s="17" t="str">
        <x:v>Mahmoud Alfadel is current Assistant Professor researching build systems, releases, vulnerabilities and repository mining.</x:v>
      </x:c>
      <x:c r="H2871" s="17" t="str">
        <x:v>Mahmoud Alfadel</x:v>
      </x:c>
      <x:c r="I2871" s="17" t="str">
        <x:v>University of Calgary</x:v>
      </x:c>
      <x:c r="J2871" s="17" t="str">
        <x:v>official</x:v>
      </x:c>
      <x:c r="K2871" s="17" t="str">
        <x:v>2026-09-11</x:v>
      </x:c>
      <x:c r="L2871" s="17" t="str"/>
      <x:c r="M2871" s="17" t="str">
        <x:v>high</x:v>
      </x:c>
      <x:c r="N2871" s="17" t="str">
        <x:v>verified</x:v>
      </x:c>
      <x:c r="O2871" s="17" t="str">
        <x:v>No search snippet used as final evidence; URL/page content reviewed.</x:v>
      </x:c>
      <x:c r="P2871" s="18" t="e">
        <x:f>HYPERLINK("https://profiles.ucalgary.ca/mahmoud-alfadel","Open source")</x:f>
        <x:v>HYPERLINK is not implemented. linkLocation=https://profiles.ucalgary.ca/mahmoud-alfadel, friendlyName=Open source</x:v>
      </x:c>
    </x:row>
    <x:row r="2872" ht="46" customHeight="1">
      <x:c r="A2872" s="17" t="str">
        <x:v>stage4src:235beb7b1cbe0243</x:v>
      </x:c>
      <x:c r="B2872" s="17" t="str">
        <x:v>professor</x:v>
      </x:c>
      <x:c r="C2872" s="17" t="str">
        <x:v>Georgia State University</x:v>
      </x:c>
      <x:c r="D2872" s="17" t="str">
        <x:v>us:ipeds:139940:program:phd:computer-science-phd</x:v>
      </x:c>
      <x:c r="E2872" s="17" t="str">
        <x:v>us:ipeds:139940:faculty:wei-lisa-li</x:v>
      </x:c>
      <x:c r="F2872" s="17" t="str">
        <x:v>program context|prospective-student instructions</x:v>
      </x:c>
      <x:c r="G2872" s="17" t="str">
        <x:v>Georgia State provides the controlling Computer Science PhD program and application context.</x:v>
      </x:c>
      <x:c r="H2872" s="17" t="str">
        <x:v>Computer Science, Ph.D.</x:v>
      </x:c>
      <x:c r="I2872" s="17" t="str">
        <x:v>Georgia State University</x:v>
      </x:c>
      <x:c r="J2872" s="17" t="str">
        <x:v>official</x:v>
      </x:c>
      <x:c r="K2872" s="17" t="str">
        <x:v>2026-09-11</x:v>
      </x:c>
      <x:c r="L2872" s="17" t="str">
        <x:v>2026</x:v>
      </x:c>
      <x:c r="M2872" s="17" t="str">
        <x:v>high</x:v>
      </x:c>
      <x:c r="N2872" s="17" t="str">
        <x:v>verified</x:v>
      </x:c>
      <x:c r="O2872" s="17" t="str">
        <x:v>Live official program page checked 2026-09-11.</x:v>
      </x:c>
      <x:c r="P2872" s="18" t="e">
        <x:f>HYPERLINK("https://graduate.gsu.edu/program/computer-science-phd/","Open source")</x:f>
        <x:v>HYPERLINK is not implemented. linkLocation=https://graduate.gsu.edu/program/computer-science-phd/, friendlyName=Open source</x:v>
      </x:c>
    </x:row>
    <x:row r="2873" ht="46" customHeight="1">
      <x:c r="A2873" s="17" t="str">
        <x:v>stage4src:237a16bce2449eb5</x:v>
      </x:c>
      <x:c r="B2873" s="17" t="str">
        <x:v>professor</x:v>
      </x:c>
      <x:c r="C2873" s="17" t="str">
        <x:v>University of Pisa</x:v>
      </x:c>
      <x:c r="D2873" s="17" t="str">
        <x:v>ror:03ad39j10:program:thesis-or-research-master-s:master-s-degree-in-computer-science</x:v>
      </x:c>
      <x:c r="E2873" s="17" t="str">
        <x:v>ror:03ad39j10:faculty:patrizio-dazzi</x:v>
      </x:c>
      <x:c r="F2873" s="17" t="str">
        <x:v>recent work|sustained research|strong fit</x:v>
      </x:c>
      <x:c r="G2873" s="17" t="str">
        <x:v>Dazzi's university-hosted page records 2024 work in streaming aggregation, edge replica management, and component placement.</x:v>
      </x:c>
      <x:c r="H2873" s="17" t="str">
        <x:v>Selected Publications</x:v>
      </x:c>
      <x:c r="I2873" s="17" t="str">
        <x:v>University of Pisa</x:v>
      </x:c>
      <x:c r="J2873" s="17" t="str">
        <x:v>official</x:v>
      </x:c>
      <x:c r="K2873" s="17" t="str">
        <x:v>2026-09-11</x:v>
      </x:c>
      <x:c r="L2873" s="17" t="str">
        <x:v>2024</x:v>
      </x:c>
      <x:c r="M2873" s="17" t="str">
        <x:v>high</x:v>
      </x:c>
      <x:c r="N2873" s="17" t="str">
        <x:v>verified</x:v>
      </x:c>
      <x:c r="O2873" s="17" t="str">
        <x:v>Live university-hosted page checked 2026-09-11.</x:v>
      </x:c>
      <x:c r="P2873" s="18" t="e">
        <x:f>HYPERLINK("https://pages.di.unipi.it/dazzi/selected-publications/","Open source")</x:f>
        <x:v>HYPERLINK is not implemented. linkLocation=https://pages.di.unipi.it/dazzi/selected-publications/, friendlyName=Open source</x:v>
      </x:c>
    </x:row>
    <x:row r="2874" ht="46" customHeight="1">
      <x:c r="A2874" s="17" t="str">
        <x:v>stage4src:25ebd5d68b3090be</x:v>
      </x:c>
      <x:c r="B2874" s="17" t="str">
        <x:v>professor</x:v>
      </x:c>
      <x:c r="C2874" s="17" t="str">
        <x:v>Florida Atlantic University</x:v>
      </x:c>
      <x:c r="D2874" s="17" t="str">
        <x:v>us:ipeds:133669:program:phd:doctor-of-philosophy-with-major-in-computer-science</x:v>
      </x:c>
      <x:c r="E2874" s="17" t="str">
        <x:v>us:ipeds:133669:faculty:taghi-m-khoshgoftaar</x:v>
      </x:c>
      <x:c r="F2874" s="17" t="str">
        <x:v>current appointment|department|email|research themes</x:v>
      </x:c>
      <x:c r="G2874" s="17" t="str">
        <x:v>FAU lists Khoshgoftaar as Motorola Professor in EECS with software engineering, security analytics, and machine-learning interests.</x:v>
      </x:c>
      <x:c r="H2874" s="17" t="str">
        <x:v>Taghi M. Khoshgoftaar</x:v>
      </x:c>
      <x:c r="I2874" s="17" t="str">
        <x:v>Florida Atlantic University</x:v>
      </x:c>
      <x:c r="J2874" s="17" t="str">
        <x:v>official</x:v>
      </x:c>
      <x:c r="K2874" s="17" t="str">
        <x:v>2026-09-11</x:v>
      </x:c>
      <x:c r="L2874" s="17" t="str">
        <x:v>2026</x:v>
      </x:c>
      <x:c r="M2874" s="17" t="str">
        <x:v>high</x:v>
      </x:c>
      <x:c r="N2874" s="17" t="str">
        <x:v>verified</x:v>
      </x:c>
      <x:c r="O2874" s="17" t="str">
        <x:v>Live official profile checked 2026-09-11.</x:v>
      </x:c>
      <x:c r="P2874" s="18" t="e">
        <x:f>HYPERLINK("https://www.fau.edu/engineering/directory/faculty/khoshgoftaar/","Open source")</x:f>
        <x:v>HYPERLINK is not implemented. linkLocation=https://www.fau.edu/engineering/directory/faculty/khoshgoftaar/, friendlyName=Open source</x:v>
      </x:c>
    </x:row>
    <x:row r="2875" ht="46" customHeight="1">
      <x:c r="A2875" s="17" t="str">
        <x:v>stage4src:26867b0af61ed868</x:v>
      </x:c>
      <x:c r="B2875" s="17" t="str">
        <x:v>professor</x:v>
      </x:c>
      <x:c r="C2875" s="17" t="str">
        <x:v>Duke University</x:v>
      </x:c>
      <x:c r="D2875" s="17" t="str">
        <x:v>us:ipeds:198419:program:phd:computer-science-phd</x:v>
      </x:c>
      <x:c r="E2875" s="17" t="str">
        <x:v>us:ipeds:198419:faculty:danfeng-zhang</x:v>
      </x:c>
      <x:c r="F2875" s="17" t="str">
        <x:v>current appointment|program supervision authority|research themes</x:v>
      </x:c>
      <x:c r="G2875" s="17" t="str">
        <x:v>Current Duke CS Associate Professor profile documents research on proving software correctness and generating fixes when failures occur.</x:v>
      </x:c>
      <x:c r="H2875" s="17" t="str">
        <x:v>Danfeng Zhang</x:v>
      </x:c>
      <x:c r="I2875" s="17" t="str">
        <x:v>Duke University</x:v>
      </x:c>
      <x:c r="J2875" s="17" t="str">
        <x:v>official</x:v>
      </x:c>
      <x:c r="K2875" s="17" t="str">
        <x:v>2026-09-11</x:v>
      </x:c>
      <x:c r="L2875" s="17" t="str">
        <x:v>2026</x:v>
      </x:c>
      <x:c r="M2875" s="17" t="str">
        <x:v>high</x:v>
      </x:c>
      <x:c r="N2875" s="17" t="str">
        <x:v>verified</x:v>
      </x:c>
      <x:c r="O2875" s="17" t="str">
        <x:v>Official university-hosted profile checked 2026-09-10.</x:v>
      </x:c>
      <x:c r="P2875" s="18" t="e">
        <x:f>HYPERLINK("https://users.cs.duke.edu/~dz132/","Open source")</x:f>
        <x:v>HYPERLINK is not implemented. linkLocation=https://users.cs.duke.edu/~dz132/, friendlyName=Open source</x:v>
      </x:c>
    </x:row>
    <x:row r="2876" ht="46" customHeight="1">
      <x:c r="A2876" s="17" t="str">
        <x:v>stage4src:27bbbdd16065cad7</x:v>
      </x:c>
      <x:c r="B2876" s="17" t="str">
        <x:v>professor</x:v>
      </x:c>
      <x:c r="C2876" s="17" t="str">
        <x:v>University of Oxford</x:v>
      </x:c>
      <x:c r="D2876" s="17" t="str">
        <x:v>ror:052gg0110:program:phd:dphil-in-computer-science</x:v>
      </x:c>
      <x:c r="E2876" s="17" t="str">
        <x:v>ror:052gg0110:faculty:michael-wooldridge</x:v>
      </x:c>
      <x:c r="F2876" s="17" t="str">
        <x:v>recent work|research fit</x:v>
      </x:c>
      <x:c r="G2876" s="17" t="str">
        <x:v>Official repository/profile/paper evidence; absence of a selected recent paper is explicitly marked</x:v>
      </x:c>
      <x:c r="H2876" s="17" t="str">
        <x:v>Michael Wooldridge — official evidence</x:v>
      </x:c>
      <x:c r="I2876" s="17" t="str">
        <x:v>University of Oxford</x:v>
      </x:c>
      <x:c r="J2876" s="17" t="str">
        <x:v>official</x:v>
      </x:c>
      <x:c r="K2876" s="17" t="str">
        <x:v>2026-09-11</x:v>
      </x:c>
      <x:c r="L2876" s="17" t="str">
        <x:v>2024</x:v>
      </x:c>
      <x:c r="M2876" s="17" t="str">
        <x:v>high</x:v>
      </x:c>
      <x:c r="N2876" s="17" t="str">
        <x:v>verified</x:v>
      </x:c>
      <x:c r="O2876" s="17" t="str">
        <x:v>Search snippets were discovery only; final claim points to the official destination. Recheck cycle-specific facts when 2027 material opens.</x:v>
      </x:c>
      <x:c r="P2876" s="18" t="e">
        <x:f>HYPERLINK("https://www.cs.ox.ac.uk/news/2391-full.html","Open source")</x:f>
        <x:v>HYPERLINK is not implemented. linkLocation=https://www.cs.ox.ac.uk/news/2391-full.html, friendlyName=Open source</x:v>
      </x:c>
    </x:row>
    <x:row r="2877" ht="46" customHeight="1">
      <x:c r="A2877" s="17" t="str">
        <x:v>stage4src:2817da29a28e5e00</x:v>
      </x:c>
      <x:c r="B2877" s="17" t="str">
        <x:v>professor</x:v>
      </x:c>
      <x:c r="C2877" s="17" t="str">
        <x:v>University of Calgary</x:v>
      </x:c>
      <x:c r="D2877" s="17" t="str">
        <x:v>ca:dli:O18886830282:program:thesis-or-research-master-s:msc-in-computer-science-thesis</x:v>
      </x:c>
      <x:c r="E2877" s="17" t="str">
        <x:v>ca:dli:O18886830282:faculty:hadi-hemmati</x:v>
      </x:c>
      <x:c r="F2877" s="17" t="str">
        <x:v>discovery publication signal|recent work</x:v>
      </x:c>
      <x:c r="G2877" s="17" t="str">
        <x:v>Publication metadata was examined for shortlist triage only; publication-time affiliation does not establish current appointment, supervision authority, or recruiting.</x:v>
      </x:c>
      <x:c r="H2877" s="17" t="str">
        <x:v>OpenAlex publication signal for Hadi Hemmati</x:v>
      </x:c>
      <x:c r="I2877" s="17" t="str">
        <x:v>OpenAlex / cited venue</x:v>
      </x:c>
      <x:c r="J2877" s="17" t="str">
        <x:v>secondary</x:v>
      </x:c>
      <x:c r="K2877" s="17" t="str">
        <x:v>2026-09-11</x:v>
      </x:c>
      <x:c r="L2877" s="17" t="str"/>
      <x:c r="M2877" s="17" t="str">
        <x:v>medium</x:v>
      </x:c>
      <x:c r="N2877" s="17" t="str">
        <x:v>discovery_only</x:v>
      </x:c>
      <x:c r="O2877" s="17" t="str">
        <x:v>Not used to award a professor score or faculty-depth point.</x:v>
      </x:c>
      <x:c r="P2877" s="18" t="e">
        <x:f>HYPERLINK("https://openalex.org/A5070634219","Open source")</x:f>
        <x:v>HYPERLINK is not implemented. linkLocation=https://openalex.org/A5070634219, friendlyName=Open source</x:v>
      </x:c>
    </x:row>
    <x:row r="2878" ht="46" customHeight="1">
      <x:c r="A2878" s="17" t="str">
        <x:v>stage4src:2858a586cf10b3ed</x:v>
      </x:c>
      <x:c r="B2878" s="17" t="str">
        <x:v>professor</x:v>
      </x:c>
      <x:c r="C2878" s="17" t="str">
        <x:v>Louisiana State University and Agricultural &amp; Mechanical College</x:v>
      </x:c>
      <x:c r="D2878" s="17" t="str">
        <x:v>us:ipeds:159391:program:phd:ph-d-in-computer-science-and-engineering</x:v>
      </x:c>
      <x:c r="E2878" s="17" t="str">
        <x:v>us:ipeds:159391:faculty:elias-bou-harb</x:v>
      </x:c>
      <x:c r="F2878" s="17" t="str">
        <x:v>program context|supervision authority|prospective instructions</x:v>
      </x:c>
      <x:c r="G2878" s="17" t="str">
        <x:v>The official PhD page establishes CSE faculty adviser and doctoral committee supervision.</x:v>
      </x:c>
      <x:c r="H2878" s="17" t="str">
        <x:v>Ph.D. in Computer Science and Engineering</x:v>
      </x:c>
      <x:c r="I2878" s="17" t="str">
        <x:v>Louisiana State University and Agricultural &amp; Mechanical College</x:v>
      </x:c>
      <x:c r="J2878" s="17" t="str">
        <x:v>official</x:v>
      </x:c>
      <x:c r="K2878" s="17" t="str">
        <x:v>2026-09-11</x:v>
      </x:c>
      <x:c r="L2878" s="17" t="str">
        <x:v>2026</x:v>
      </x:c>
      <x:c r="M2878" s="17" t="str">
        <x:v>high</x:v>
      </x:c>
      <x:c r="N2878" s="17" t="str">
        <x:v>verified</x:v>
      </x:c>
      <x:c r="O2878" s="17" t="str">
        <x:v>Live official page checked 2026-09-11.</x:v>
      </x:c>
      <x:c r="P2878" s="18" t="e">
        <x:f>HYPERLINK("https://www.lsu.edu/eng/cse/programs/graduate_program/graduate_phd.php","Open source")</x:f>
        <x:v>HYPERLINK is not implemented. linkLocation=https://www.lsu.edu/eng/cse/programs/graduate_program/graduate_phd.php, friendlyName=Open source</x:v>
      </x:c>
    </x:row>
    <x:row r="2879" ht="46" customHeight="1">
      <x:c r="A2879" s="17" t="str">
        <x:v>stage4src:2895baa12607e274</x:v>
      </x:c>
      <x:c r="B2879" s="17" t="str">
        <x:v>professor</x:v>
      </x:c>
      <x:c r="C2879" s="17" t="str">
        <x:v>McGill University</x:v>
      </x:c>
      <x:c r="D2879" s="17" t="str">
        <x:v>ca:dli:O19359011033:program:thesis-or-research-master-s:electrical-engineering-thesis-m-sc</x:v>
      </x:c>
      <x:c r="E2879" s="17" t="str">
        <x:v>ca:dli:O19359011033:faculty:gunter-mussbacher</x:v>
      </x:c>
      <x:c r="F2879" s="17" t="str">
        <x:v>discovery publication signal|recent work</x:v>
      </x:c>
      <x:c r="G2879" s="17" t="str">
        <x:v>Publication metadata was examined for shortlist triage only; publication-time affiliation does not establish current appointment, supervision authority, or recruiting.</x:v>
      </x:c>
      <x:c r="H2879" s="17" t="str">
        <x:v>OpenAlex publication signal for Gunter Mussbacher</x:v>
      </x:c>
      <x:c r="I2879" s="17" t="str">
        <x:v>OpenAlex / cited venue</x:v>
      </x:c>
      <x:c r="J2879" s="17" t="str">
        <x:v>secondary</x:v>
      </x:c>
      <x:c r="K2879" s="17" t="str">
        <x:v>2026-09-11</x:v>
      </x:c>
      <x:c r="L2879" s="17" t="str"/>
      <x:c r="M2879" s="17" t="str">
        <x:v>medium</x:v>
      </x:c>
      <x:c r="N2879" s="17" t="str">
        <x:v>discovery_only</x:v>
      </x:c>
      <x:c r="O2879" s="17" t="str">
        <x:v>Not used to award a professor score or faculty-depth point.</x:v>
      </x:c>
      <x:c r="P2879" s="18" t="e">
        <x:f>HYPERLINK("https://openalex.org/A5102941030","Open source")</x:f>
        <x:v>HYPERLINK is not implemented. linkLocation=https://openalex.org/A5102941030, friendlyName=Open source</x:v>
      </x:c>
    </x:row>
    <x:row r="2880" ht="46" customHeight="1">
      <x:c r="A2880" s="17" t="str">
        <x:v>stage4src:28bb94e1aad339d0</x:v>
      </x:c>
      <x:c r="B2880" s="17" t="str">
        <x:v>professor</x:v>
      </x:c>
      <x:c r="C2880" s="17" t="str">
        <x:v>University of Guelph</x:v>
      </x:c>
      <x:c r="D2880" s="17" t="str">
        <x:v>ca:dli:O19305391192:program:phd:phd-in-computer-science</x:v>
      </x:c>
      <x:c r="E2880" s="17" t="str"/>
      <x:c r="F2880" s="17" t="str">
        <x:v>current faculty roster|candidate longlist</x:v>
      </x:c>
      <x:c r="G2880" s="17" t="str">
        <x:v>Current official department roster or research-area faculty listing used to identify the five-person Stage 4 candidate longlist.</x:v>
      </x:c>
      <x:c r="H2880" s="17" t="str">
        <x:v>University of Guelph current faculty roster</x:v>
      </x:c>
      <x:c r="I2880" s="17" t="str">
        <x:v>University of Guelph</x:v>
      </x:c>
      <x:c r="J2880" s="17" t="str">
        <x:v>official</x:v>
      </x:c>
      <x:c r="K2880" s="17" t="str">
        <x:v>2026-09-11</x:v>
      </x:c>
      <x:c r="L2880" s="17" t="str"/>
      <x:c r="M2880" s="17" t="str">
        <x:v>high</x:v>
      </x:c>
      <x:c r="N2880" s="17" t="str">
        <x:v>verified</x:v>
      </x:c>
      <x:c r="O2880" s="17" t="str">
        <x:v>Roster evidence establishes a current listing, not program-specific supervision authority or recruiting.</x:v>
      </x:c>
      <x:c r="P2880" s="18" t="e">
        <x:f>HYPERLINK("https://www.uoguelph.ca/computing/future/graduate-studies","Open source")</x:f>
        <x:v>HYPERLINK is not implemented. linkLocation=https://www.uoguelph.ca/computing/future/graduate-studies, friendlyName=Open source</x:v>
      </x:c>
    </x:row>
    <x:row r="2881" ht="46" customHeight="1">
      <x:c r="A2881" s="17" t="str">
        <x:v>stage4src:2980fbc95562267f</x:v>
      </x:c>
      <x:c r="B2881" s="17" t="str">
        <x:v>professor</x:v>
      </x:c>
      <x:c r="C2881" s="17" t="str">
        <x:v>University of Waterloo</x:v>
      </x:c>
      <x:c r="D2881" s="17" t="str">
        <x:v>ca:dli:O19305471522:program:thesis-or-research-master-s:master-of-applied-science-in-electrical-and-computer-engineering</x:v>
      </x:c>
      <x:c r="E2881" s="17" t="str">
        <x:v>ca:dli:O19305471522:faculty:patrick-lam</x:v>
      </x:c>
      <x:c r="F2881" s="17" t="str">
        <x:v>recent work|research fit</x:v>
      </x:c>
      <x:c r="G2881" s="17" t="str">
        <x:v>The 2026 award identifies Lam's project on static analysis and verification for more-reliable Rust code.</x:v>
      </x:c>
      <x:c r="H2881" s="17" t="str">
        <x:v>Researchers awarded $2.9 million in federal funding</x:v>
      </x:c>
      <x:c r="I2881" s="17" t="str">
        <x:v>University of Waterloo</x:v>
      </x:c>
      <x:c r="J2881" s="17" t="str">
        <x:v>official</x:v>
      </x:c>
      <x:c r="K2881" s="17" t="str">
        <x:v>2026-09-11</x:v>
      </x:c>
      <x:c r="L2881" s="17" t="str">
        <x:v>2026</x:v>
      </x:c>
      <x:c r="M2881" s="17" t="str">
        <x:v>high</x:v>
      </x:c>
      <x:c r="N2881" s="17" t="str">
        <x:v>verified</x:v>
      </x:c>
      <x:c r="O2881" s="17" t="str">
        <x:v>Official Waterloo page checked 2026-09-10.</x:v>
      </x:c>
      <x:c r="P2881" s="18" t="e">
        <x:f>HYPERLINK("https://uwaterloo.ca/engineering/news/researchers-awarded-29-million-federal-funding","Open source")</x:f>
        <x:v>HYPERLINK is not implemented. linkLocation=https://uwaterloo.ca/engineering/news/researchers-awarded-29-million-federal-funding, friendlyName=Open source</x:v>
      </x:c>
    </x:row>
    <x:row r="2882" ht="46" customHeight="1">
      <x:c r="A2882" s="17" t="str">
        <x:v>stage4src:29863d9ccadf635d</x:v>
      </x:c>
      <x:c r="B2882" s="17" t="str">
        <x:v>professor</x:v>
      </x:c>
      <x:c r="C2882" s="17" t="str">
        <x:v>University of California-Irvine</x:v>
      </x:c>
      <x:c r="D2882" s="17" t="str">
        <x:v>us:ipeds:110653:program:phd:software-engineering-phd</x:v>
      </x:c>
      <x:c r="E2882" s="17" t="str">
        <x:v>us:ipeds:110653:faculty:joshua-garcia</x:v>
      </x:c>
      <x:c r="F2882" s="17" t="str">
        <x:v>recent work|research fit</x:v>
      </x:c>
      <x:c r="G2882" s="17" t="str">
        <x:v>Current research and 2025 recent publication evidence</x:v>
      </x:c>
      <x:c r="H2882" s="17" t="str">
        <x:v>Joshua Garcia Publications</x:v>
      </x:c>
      <x:c r="I2882" s="17" t="str">
        <x:v>University of California-Irvine</x:v>
      </x:c>
      <x:c r="J2882" s="17" t="str">
        <x:v>official</x:v>
      </x:c>
      <x:c r="K2882" s="17" t="str">
        <x:v>2026-09-11</x:v>
      </x:c>
      <x:c r="L2882" s="17" t="str">
        <x:v>2025</x:v>
      </x:c>
      <x:c r="M2882" s="17" t="str">
        <x:v>high</x:v>
      </x:c>
      <x:c r="N2882" s="17" t="str">
        <x:v>verified</x:v>
      </x:c>
      <x:c r="O2882" s="17" t="str"/>
      <x:c r="P2882" s="18" t="e">
        <x:f>HYPERLINK("https://jgarcia.ics.uci.edu/?page_id=7","Open source")</x:f>
        <x:v>HYPERLINK is not implemented. linkLocation=https://jgarcia.ics.uci.edu/?page_id=7, friendlyName=Open source</x:v>
      </x:c>
    </x:row>
    <x:row r="2883" ht="46" customHeight="1">
      <x:c r="A2883" s="17" t="str">
        <x:v>stage4src:29a0964755d44441</x:v>
      </x:c>
      <x:c r="B2883" s="17" t="str">
        <x:v>professor</x:v>
      </x:c>
      <x:c r="C2883" s="17" t="str">
        <x:v>University of Arizona</x:v>
      </x:c>
      <x:c r="D2883" s="17" t="str">
        <x:v>us:ipeds:104179:program:phd:computer-science-phd</x:v>
      </x:c>
      <x:c r="E2883" s="17" t="str">
        <x:v>us:ipeds:104179:faculty:roberto-giacobazzi</x:v>
      </x:c>
      <x:c r="F2883" s="17" t="str">
        <x:v>recent work|research fit</x:v>
      </x:c>
      <x:c r="G2883" s="17" t="str">
        <x:v>The current publication page records the 2025 POPL paper The Best of Abstract Interpretations and 2024 work on robustness and precision in program analysis.</x:v>
      </x:c>
      <x:c r="H2883" s="17" t="str">
        <x:v>Roberto Giacobazzi — main papers</x:v>
      </x:c>
      <x:c r="I2883" s="17" t="str">
        <x:v>University of Arizona</x:v>
      </x:c>
      <x:c r="J2883" s="17" t="str">
        <x:v>official</x:v>
      </x:c>
      <x:c r="K2883" s="17" t="str">
        <x:v>2026-09-11</x:v>
      </x:c>
      <x:c r="L2883" s="17" t="str">
        <x:v>2025</x:v>
      </x:c>
      <x:c r="M2883" s="17" t="str">
        <x:v>high</x:v>
      </x:c>
      <x:c r="N2883" s="17" t="str">
        <x:v>verified</x:v>
      </x:c>
      <x:c r="O2883" s="17" t="str">
        <x:v>University-hosted publication page checked 2026-09-10.</x:v>
      </x:c>
      <x:c r="P2883" s="18" t="e">
        <x:f>HYPERLINK("https://www2.cs.arizona.edu/~giacobazzi/styled-2/index.html","Open source")</x:f>
        <x:v>HYPERLINK is not implemented. linkLocation=https://www2.cs.arizona.edu/~giacobazzi/styled-2/index.html, friendlyName=Open source</x:v>
      </x:c>
    </x:row>
    <x:row r="2884" ht="46" customHeight="1">
      <x:c r="A2884" s="17" t="str">
        <x:v>stage4src:29f97a7b2d74159f</x:v>
      </x:c>
      <x:c r="B2884" s="17" t="str">
        <x:v>professor</x:v>
      </x:c>
      <x:c r="C2884" s="17" t="str">
        <x:v>Northeastern University</x:v>
      </x:c>
      <x:c r="D2884" s="17" t="str">
        <x:v>us:ipeds:167358:program:phd:computer-science-phd</x:v>
      </x:c>
      <x:c r="E2884" s="17" t="str">
        <x:v>us:ipeds:167358:faculty:jonathan-bell</x:v>
      </x:c>
      <x:c r="F2884" s="17" t="str">
        <x:v>recent work|research fit</x:v>
      </x:c>
      <x:c r="G2884" s="17" t="str">
        <x:v>Recent dependency-management software-engineering work</x:v>
      </x:c>
      <x:c r="H2884" s="17" t="str">
        <x:v>ICSE 2023 Paper</x:v>
      </x:c>
      <x:c r="I2884" s="17" t="str">
        <x:v>OpenAlex / cited venue</x:v>
      </x:c>
      <x:c r="J2884" s="17" t="str">
        <x:v>secondary</x:v>
      </x:c>
      <x:c r="K2884" s="17" t="str">
        <x:v>2026-09-11</x:v>
      </x:c>
      <x:c r="L2884" s="17" t="str">
        <x:v>2023</x:v>
      </x:c>
      <x:c r="M2884" s="17" t="str">
        <x:v>high</x:v>
      </x:c>
      <x:c r="N2884" s="17" t="str">
        <x:v>verified</x:v>
      </x:c>
      <x:c r="O2884" s="17" t="str"/>
      <x:c r="P2884" s="18" t="e">
        <x:f>HYPERLINK("https://doi.org/10.1109/ICSE48619.2023.00124","Open source")</x:f>
        <x:v>HYPERLINK is not implemented. linkLocation=https://doi.org/10.1109/ICSE48619.2023.00124, friendlyName=Open source</x:v>
      </x:c>
    </x:row>
    <x:row r="2885" ht="46" customHeight="1">
      <x:c r="A2885" s="17" t="str">
        <x:v>stage4src:2a92a4f74c287dff</x:v>
      </x:c>
      <x:c r="B2885" s="17" t="str">
        <x:v>professor</x:v>
      </x:c>
      <x:c r="C2885" s="17" t="str">
        <x:v>Baylor University</x:v>
      </x:c>
      <x:c r="D2885" s="17" t="str">
        <x:v>us:ipeds:223232:program:phd:ph-d-in-computer-science</x:v>
      </x:c>
      <x:c r="E2885" s="17" t="str">
        <x:v>us:ipeds:223232:faculty:mengfei-ren</x:v>
      </x:c>
      <x:c r="F2885" s="17" t="str">
        <x:v>current research group|supervision context|research fit</x:v>
      </x:c>
      <x:c r="G2885" s="17" t="str">
        <x:v>Baylor identifies Ren among faculty involved in current Computer Science software-engineering research.</x:v>
      </x:c>
      <x:c r="H2885" s="17" t="str">
        <x:v>Software Engineering</x:v>
      </x:c>
      <x:c r="I2885" s="17" t="str">
        <x:v>Baylor University</x:v>
      </x:c>
      <x:c r="J2885" s="17" t="str">
        <x:v>official</x:v>
      </x:c>
      <x:c r="K2885" s="17" t="str">
        <x:v>2026-09-11</x:v>
      </x:c>
      <x:c r="L2885" s="17" t="str">
        <x:v>2026</x:v>
      </x:c>
      <x:c r="M2885" s="17" t="str">
        <x:v>high</x:v>
      </x:c>
      <x:c r="N2885" s="17" t="str">
        <x:v>verified</x:v>
      </x:c>
      <x:c r="O2885" s="17" t="str">
        <x:v>Current official page checked 2026-09-10.</x:v>
      </x:c>
      <x:c r="P2885" s="18" t="e">
        <x:f>HYPERLINK("https://www.ecs.baylor.edu/departments/computer-science/computer-science-research/software-engineering","Open source")</x:f>
        <x:v>HYPERLINK is not implemented. linkLocation=https://www.ecs.baylor.edu/departments/computer-science/computer-science-research/software-engineering, friendlyName=Open source</x:v>
      </x:c>
    </x:row>
    <x:row r="2886" ht="46" customHeight="1">
      <x:c r="A2886" s="17" t="str">
        <x:v>stage4src:2aa2f964cc23c345</x:v>
      </x:c>
      <x:c r="B2886" s="17" t="str">
        <x:v>professor</x:v>
      </x:c>
      <x:c r="C2886" s="17" t="str">
        <x:v>University of California-San Diego</x:v>
      </x:c>
      <x:c r="D2886" s="17" t="str">
        <x:v>us:ipeds:110680:program:phd:computer-science-and-engineering-phd</x:v>
      </x:c>
      <x:c r="E2886" s="17" t="str"/>
      <x:c r="F2886" s="17" t="str">
        <x:v>current faculty roster|candidate longlist</x:v>
      </x:c>
      <x:c r="G2886" s="17" t="str">
        <x:v>Current official department roster or research-area faculty listing used to identify the five-person Stage 4 candidate longlist.</x:v>
      </x:c>
      <x:c r="H2886" s="17" t="str">
        <x:v>University of California-San Diego current faculty roster</x:v>
      </x:c>
      <x:c r="I2886" s="17" t="str">
        <x:v>University of California-San Diego</x:v>
      </x:c>
      <x:c r="J2886" s="17" t="str">
        <x:v>official</x:v>
      </x:c>
      <x:c r="K2886" s="17" t="str">
        <x:v>2026-09-11</x:v>
      </x:c>
      <x:c r="L2886" s="17" t="str"/>
      <x:c r="M2886" s="17" t="str">
        <x:v>high</x:v>
      </x:c>
      <x:c r="N2886" s="17" t="str">
        <x:v>verified</x:v>
      </x:c>
      <x:c r="O2886" s="17" t="str">
        <x:v>Roster evidence establishes a current listing, not program-specific supervision authority or recruiting.</x:v>
      </x:c>
      <x:c r="P2886" s="18" t="e">
        <x:f>HYPERLINK("https://cse.ucsd.edu/people/faculty-profiles","Open source")</x:f>
        <x:v>HYPERLINK is not implemented. linkLocation=https://cse.ucsd.edu/people/faculty-profiles, friendlyName=Open source</x:v>
      </x:c>
    </x:row>
    <x:row r="2887" ht="46" customHeight="1">
      <x:c r="A2887" s="17" t="str">
        <x:v>stage4src:2ace377666deb47f</x:v>
      </x:c>
      <x:c r="B2887" s="17" t="str">
        <x:v>professor</x:v>
      </x:c>
      <x:c r="C2887" s="17" t="str">
        <x:v>University of Oxford</x:v>
      </x:c>
      <x:c r="D2887" s="17" t="str">
        <x:v>ror:052gg0110:program:phd:dphil-in-computer-science</x:v>
      </x:c>
      <x:c r="E2887" s="17" t="str">
        <x:v>ror:052gg0110:faculty:michael-wooldridge</x:v>
      </x:c>
      <x:c r="F2887" s="17" t="str">
        <x:v>current appointment|program supervision authority|research themes</x:v>
      </x:c>
      <x:c r="G2887" s="17" t="str">
        <x:v>Official institutional profile/group page used to verify current role and research themes</x:v>
      </x:c>
      <x:c r="H2887" s="17" t="str">
        <x:v>Michael Wooldridge — official evidence</x:v>
      </x:c>
      <x:c r="I2887" s="17" t="str">
        <x:v>University of Oxford</x:v>
      </x:c>
      <x:c r="J2887" s="17" t="str">
        <x:v>official</x:v>
      </x:c>
      <x:c r="K2887" s="17" t="str">
        <x:v>2026-09-11</x:v>
      </x:c>
      <x:c r="L2887" s="17" t="str"/>
      <x:c r="M2887" s="17" t="str">
        <x:v>high</x:v>
      </x:c>
      <x:c r="N2887" s="17" t="str">
        <x:v>verified</x:v>
      </x:c>
      <x:c r="O2887" s="17" t="str">
        <x:v>Search snippets were discovery only; final claim points to the official destination. Recheck cycle-specific facts when 2027 material opens.</x:v>
      </x:c>
      <x:c r="P2887" s="18" t="e">
        <x:f>HYPERLINK("https://www.cs.ox.ac.uk/people/michael.wooldridge/","Open source")</x:f>
        <x:v>HYPERLINK is not implemented. linkLocation=https://www.cs.ox.ac.uk/people/michael.wooldridge/, friendlyName=Open source</x:v>
      </x:c>
    </x:row>
    <x:row r="2888" ht="46" customHeight="1">
      <x:c r="A2888" s="17" t="str">
        <x:v>stage4src:2b45a73e168e0b1f</x:v>
      </x:c>
      <x:c r="B2888" s="17" t="str">
        <x:v>professor</x:v>
      </x:c>
      <x:c r="C2888" s="17" t="str">
        <x:v>Florida Atlantic University</x:v>
      </x:c>
      <x:c r="D2888" s="17" t="str">
        <x:v>us:ipeds:133669:program:phd:doctor-of-philosophy-with-major-in-computer-science</x:v>
      </x:c>
      <x:c r="E2888" s="17" t="str">
        <x:v>us:ipeds:133669:faculty:taghi-m-khoshgoftaar</x:v>
      </x:c>
      <x:c r="F2888" s="17" t="str">
        <x:v>current faculty roster|software engineering|security and privacy</x:v>
      </x:c>
      <x:c r="G2888" s="17" t="str">
        <x:v>FAU places Khoshgoftaar and the four alternative candidates in current relevant EECS research areas.</x:v>
      </x:c>
      <x:c r="H2888" s="17" t="str">
        <x:v>EECS Faculty Areas of Expertise</x:v>
      </x:c>
      <x:c r="I2888" s="17" t="str">
        <x:v>Florida Atlantic University</x:v>
      </x:c>
      <x:c r="J2888" s="17" t="str">
        <x:v>official</x:v>
      </x:c>
      <x:c r="K2888" s="17" t="str">
        <x:v>2026-09-11</x:v>
      </x:c>
      <x:c r="L2888" s="17" t="str">
        <x:v>2026</x:v>
      </x:c>
      <x:c r="M2888" s="17" t="str">
        <x:v>high</x:v>
      </x:c>
      <x:c r="N2888" s="17" t="str">
        <x:v>verified</x:v>
      </x:c>
      <x:c r="O2888" s="17" t="str">
        <x:v>Live official page checked 2026-09-11.</x:v>
      </x:c>
      <x:c r="P2888" s="18" t="e">
        <x:f>HYPERLINK("https://www.fau.edu/engineering/eecs/research/research-interests/","Open source")</x:f>
        <x:v>HYPERLINK is not implemented. linkLocation=https://www.fau.edu/engineering/eecs/research/research-interests/, friendlyName=Open source</x:v>
      </x:c>
    </x:row>
    <x:row r="2889" ht="46" customHeight="1">
      <x:c r="A2889" s="17" t="str">
        <x:v>stage4src:2b67d4237bd09ac7</x:v>
      </x:c>
      <x:c r="B2889" s="17" t="str">
        <x:v>professor</x:v>
      </x:c>
      <x:c r="C2889" s="17" t="str">
        <x:v>Old Dominion University</x:v>
      </x:c>
      <x:c r="D2889" s="17" t="str">
        <x:v>us:ipeds:232982:program:phd:computer-science-ph-d</x:v>
      </x:c>
      <x:c r="E2889" s="17" t="str">
        <x:v>us:ipeds:232982:faculty:shuai-hao</x:v>
      </x:c>
      <x:c r="F2889" s="17" t="str">
        <x:v>current research group|research fit</x:v>
      </x:c>
      <x:c r="G2889" s="17" t="str">
        <x:v>ODU places Hao among participating faculty in current cybersecurity and software-systems research.</x:v>
      </x:c>
      <x:c r="H2889" s="17" t="str">
        <x:v>Computer Science Research</x:v>
      </x:c>
      <x:c r="I2889" s="17" t="str">
        <x:v>Old Dominion University</x:v>
      </x:c>
      <x:c r="J2889" s="17" t="str">
        <x:v>official</x:v>
      </x:c>
      <x:c r="K2889" s="17" t="str">
        <x:v>2026-09-11</x:v>
      </x:c>
      <x:c r="L2889" s="17" t="str">
        <x:v>2026</x:v>
      </x:c>
      <x:c r="M2889" s="17" t="str">
        <x:v>high</x:v>
      </x:c>
      <x:c r="N2889" s="17" t="str">
        <x:v>verified</x:v>
      </x:c>
      <x:c r="O2889" s="17" t="str">
        <x:v>Live official page checked 2026-09-11; research activity is not recruiting evidence.</x:v>
      </x:c>
      <x:c r="P2889" s="18" t="e">
        <x:f>HYPERLINK("https://www.odu.edu/computer-science/research","Open source")</x:f>
        <x:v>HYPERLINK is not implemented. linkLocation=https://www.odu.edu/computer-science/research, friendlyName=Open source</x:v>
      </x:c>
    </x:row>
    <x:row r="2890" ht="46" customHeight="1">
      <x:c r="A2890" s="17" t="str">
        <x:v>stage4src:2c2b6b52eb84d1ea</x:v>
      </x:c>
      <x:c r="B2890" s="17" t="str">
        <x:v>professor</x:v>
      </x:c>
      <x:c r="C2890" s="17" t="str">
        <x:v>École Polytechnique de Montréal</x:v>
      </x:c>
      <x:c r="D2890" s="17" t="str">
        <x:v>ca:dli:O19359011070:program:thesis-or-research-master-s:research-master-s-in-computer-engineering-software-engineering-option</x:v>
      </x:c>
      <x:c r="E2890" s="17" t="str"/>
      <x:c r="F2890" s="17" t="str">
        <x:v>current faculty roster|candidate longlist</x:v>
      </x:c>
      <x:c r="G2890" s="17" t="str">
        <x:v>Current official department roster or research-area faculty listing used to identify the five-person Stage 4 candidate longlist.</x:v>
      </x:c>
      <x:c r="H2890" s="17" t="str">
        <x:v>École Polytechnique de Montréal current faculty roster</x:v>
      </x:c>
      <x:c r="I2890" s="17" t="str">
        <x:v>École Polytechnique de Montréal</x:v>
      </x:c>
      <x:c r="J2890" s="17" t="str">
        <x:v>official</x:v>
      </x:c>
      <x:c r="K2890" s="17" t="str">
        <x:v>2026-09-11</x:v>
      </x:c>
      <x:c r="L2890" s="17" t="str"/>
      <x:c r="M2890" s="17" t="str">
        <x:v>high</x:v>
      </x:c>
      <x:c r="N2890" s="17" t="str">
        <x:v>verified</x:v>
      </x:c>
      <x:c r="O2890" s="17" t="str">
        <x:v>Roster evidence establishes a current listing, not program-specific supervision authority or recruiting.</x:v>
      </x:c>
      <x:c r="P2890" s="18" t="e">
        <x:f>HYPERLINK("https://www.polymtl.ca/gigl/en/research/areas-research","Open source")</x:f>
        <x:v>HYPERLINK is not implemented. linkLocation=https://www.polymtl.ca/gigl/en/research/areas-research, friendlyName=Open source</x:v>
      </x:c>
    </x:row>
    <x:row r="2891" ht="46" customHeight="1">
      <x:c r="A2891" s="17" t="str">
        <x:v>stage4src:2ca74f7bb426ddc1</x:v>
      </x:c>
      <x:c r="B2891" s="17" t="str">
        <x:v>professor</x:v>
      </x:c>
      <x:c r="C2891" s="17" t="str">
        <x:v>ETH Zurich</x:v>
      </x:c>
      <x:c r="D2891" s="17" t="str">
        <x:v>ror:05a28rw58:program:direct-entry-phd:direct-doctorate-in-computer-science</x:v>
      </x:c>
      <x:c r="E2891" s="17" t="str">
        <x:v>ror:05a28rw58:faculty:martin-vechev</x:v>
      </x:c>
      <x:c r="F2891" s="17" t="str">
        <x:v>recent work|research fit</x:v>
      </x:c>
      <x:c r="G2891" s="17" t="str">
        <x:v>Official repository/profile/paper evidence; absence of a selected recent paper is explicitly marked</x:v>
      </x:c>
      <x:c r="H2891" s="17" t="str">
        <x:v>Martin Vechev — official evidence</x:v>
      </x:c>
      <x:c r="I2891" s="17" t="str">
        <x:v>ETH Zurich</x:v>
      </x:c>
      <x:c r="J2891" s="17" t="str">
        <x:v>official</x:v>
      </x:c>
      <x:c r="K2891" s="17" t="str">
        <x:v>2026-09-11</x:v>
      </x:c>
      <x:c r="L2891" s="17" t="str">
        <x:v>2024</x:v>
      </x:c>
      <x:c r="M2891" s="17" t="str">
        <x:v>high</x:v>
      </x:c>
      <x:c r="N2891" s="17" t="str">
        <x:v>verified</x:v>
      </x:c>
      <x:c r="O2891" s="17" t="str">
        <x:v>Search snippets were discovery only; final claim points to the official destination. Recheck cycle-specific facts when 2027 material opens.</x:v>
      </x:c>
      <x:c r="P2891" s="18" t="e">
        <x:f>HYPERLINK("https://www.sri.inf.ethz.ch/publications/jhe2024safecoder","Open source")</x:f>
        <x:v>HYPERLINK is not implemented. linkLocation=https://www.sri.inf.ethz.ch/publications/jhe2024safecoder, friendlyName=Open source</x:v>
      </x:c>
    </x:row>
    <x:row r="2892" ht="46" customHeight="1">
      <x:c r="A2892" s="17" t="str">
        <x:v>stage4src:2cb1dd2dc5b41d25</x:v>
      </x:c>
      <x:c r="B2892" s="17" t="str">
        <x:v>professor</x:v>
      </x:c>
      <x:c r="C2892" s="17" t="str">
        <x:v>University of Rhode Island</x:v>
      </x:c>
      <x:c r="D2892" s="17" t="str">
        <x:v>us:ipeds:217484:program:phd:computer-science-ph-d</x:v>
      </x:c>
      <x:c r="E2892" s="17" t="str">
        <x:v>us:ipeds:217484:faculty:kaleel-mahmood</x:v>
      </x:c>
      <x:c r="F2892" s="17" t="str">
        <x:v>supervision authority|current appointment|email</x:v>
      </x:c>
      <x:c r="G2892" s="17" t="str">
        <x:v>URI lists Mahmood as graduate faculty in Computer Science and Statistics and supplies his official email.</x:v>
      </x:c>
      <x:c r="H2892" s="17" t="str">
        <x:v>Graduate Faculty Status Master List</x:v>
      </x:c>
      <x:c r="I2892" s="17" t="str">
        <x:v>University of Rhode Island</x:v>
      </x:c>
      <x:c r="J2892" s="17" t="str">
        <x:v>official</x:v>
      </x:c>
      <x:c r="K2892" s="17" t="str">
        <x:v>2026-09-11</x:v>
      </x:c>
      <x:c r="L2892" s="17" t="str">
        <x:v>2026</x:v>
      </x:c>
      <x:c r="M2892" s="17" t="str">
        <x:v>high</x:v>
      </x:c>
      <x:c r="N2892" s="17" t="str">
        <x:v>verified</x:v>
      </x:c>
      <x:c r="O2892" s="17" t="str">
        <x:v>Live official list checked 2026-09-11.</x:v>
      </x:c>
      <x:c r="P2892" s="18" t="e">
        <x:f>HYPERLINK("https://web.uri.edu/graduate-school/grad-faculty-status-master-list/","Open source")</x:f>
        <x:v>HYPERLINK is not implemented. linkLocation=https://web.uri.edu/graduate-school/grad-faculty-status-master-list/, friendlyName=Open source</x:v>
      </x:c>
    </x:row>
    <x:row r="2893" ht="46" customHeight="1">
      <x:c r="A2893" s="17" t="str">
        <x:v>stage4src:2d0a9a266bb56a84</x:v>
      </x:c>
      <x:c r="B2893" s="17" t="str">
        <x:v>professor</x:v>
      </x:c>
      <x:c r="C2893" s="17" t="str">
        <x:v>Rutgers University-New Brunswick</x:v>
      </x:c>
      <x:c r="D2893" s="17" t="str">
        <x:v>us:ipeds:186380:program:phd:computer-science-phd</x:v>
      </x:c>
      <x:c r="E2893" s="17" t="str">
        <x:v>us:ipeds:186380:faculty:zheng-zhang</x:v>
      </x:c>
      <x:c r="F2893" s="17" t="str">
        <x:v>discovery publication signal|recent work</x:v>
      </x:c>
      <x:c r="G2893" s="17" t="str">
        <x:v>Publication metadata was examined for shortlist triage only; publication-time affiliation does not establish current appointment, supervision authority, or recruiting.</x:v>
      </x:c>
      <x:c r="H2893" s="17" t="str">
        <x:v>OpenAlex publication signal for Zheng Zhang</x:v>
      </x:c>
      <x:c r="I2893" s="17" t="str">
        <x:v>OpenAlex / cited venue</x:v>
      </x:c>
      <x:c r="J2893" s="17" t="str">
        <x:v>secondary</x:v>
      </x:c>
      <x:c r="K2893" s="17" t="str">
        <x:v>2026-09-11</x:v>
      </x:c>
      <x:c r="L2893" s="17" t="str"/>
      <x:c r="M2893" s="17" t="str">
        <x:v>medium</x:v>
      </x:c>
      <x:c r="N2893" s="17" t="str">
        <x:v>discovery_only</x:v>
      </x:c>
      <x:c r="O2893" s="17" t="str">
        <x:v>Not used to award a professor score or faculty-depth point.</x:v>
      </x:c>
      <x:c r="P2893" s="18" t="e">
        <x:f>HYPERLINK("https://openalex.org/A5045897021","Open source")</x:f>
        <x:v>HYPERLINK is not implemented. linkLocation=https://openalex.org/A5045897021, friendlyName=Open source</x:v>
      </x:c>
    </x:row>
    <x:row r="2894" ht="46" customHeight="1">
      <x:c r="A2894" s="17" t="str">
        <x:v>stage4src:2d62e921825ffe92</x:v>
      </x:c>
      <x:c r="B2894" s="17" t="str">
        <x:v>professor</x:v>
      </x:c>
      <x:c r="C2894" s="17" t="str">
        <x:v>Duke University</x:v>
      </x:c>
      <x:c r="D2894" s="17" t="str">
        <x:v>us:ipeds:198419:program:phd:computer-science-phd</x:v>
      </x:c>
      <x:c r="E2894" s="17" t="str">
        <x:v>us:ipeds:198419:faculty:danfeng-zhang</x:v>
      </x:c>
      <x:c r="F2894" s="17" t="str">
        <x:v>current faculty roster|program supervision authority|research themes</x:v>
      </x:c>
      <x:c r="G2894" s="17" t="str">
        <x:v>The official Duke CS security page lists Danfeng Zhang as a current Computer Science associate professor.</x:v>
      </x:c>
      <x:c r="H2894" s="17" t="str">
        <x:v>Security and Privacy</x:v>
      </x:c>
      <x:c r="I2894" s="17" t="str">
        <x:v>Duke University</x:v>
      </x:c>
      <x:c r="J2894" s="17" t="str">
        <x:v>official</x:v>
      </x:c>
      <x:c r="K2894" s="17" t="str">
        <x:v>2026-09-11</x:v>
      </x:c>
      <x:c r="L2894" s="17" t="str"/>
      <x:c r="M2894" s="17" t="str">
        <x:v>high</x:v>
      </x:c>
      <x:c r="N2894" s="17" t="str">
        <x:v>verified</x:v>
      </x:c>
      <x:c r="O2894" s="17" t="str">
        <x:v>Current department research page checked 2026-09-10.</x:v>
      </x:c>
      <x:c r="P2894" s="18" t="e">
        <x:f>HYPERLINK("https://cs.duke.edu/research/security-and-privacy","Open source")</x:f>
        <x:v>HYPERLINK is not implemented. linkLocation=https://cs.duke.edu/research/security-and-privacy, friendlyName=Open source</x:v>
      </x:c>
    </x:row>
    <x:row r="2895" ht="46" customHeight="1">
      <x:c r="A2895" s="17" t="str">
        <x:v>stage4src:2d66d75e00d99df3</x:v>
      </x:c>
      <x:c r="B2895" s="17" t="str">
        <x:v>professor</x:v>
      </x:c>
      <x:c r="C2895" s="17" t="str">
        <x:v>Università di Camerino</x:v>
      </x:c>
      <x:c r="D2895" s="17" t="str">
        <x:v>ror:0005w8d69:program:thesis-or-research-master-s:master-of-science-in-computer-science</x:v>
      </x:c>
      <x:c r="E2895" s="17" t="str"/>
      <x:c r="F2895" s="17" t="str">
        <x:v>current faculty roster|candidate longlist</x:v>
      </x:c>
      <x:c r="G2895" s="17" t="str">
        <x:v>Current official department roster or research-area faculty listing used to identify the five-person Stage 4 candidate longlist.</x:v>
      </x:c>
      <x:c r="H2895" s="17" t="str">
        <x:v>Università di Camerino current faculty roster</x:v>
      </x:c>
      <x:c r="I2895" s="17" t="str">
        <x:v>Università di Camerino</x:v>
      </x:c>
      <x:c r="J2895" s="17" t="str">
        <x:v>official</x:v>
      </x:c>
      <x:c r="K2895" s="17" t="str">
        <x:v>2026-09-11</x:v>
      </x:c>
      <x:c r="L2895" s="17" t="str"/>
      <x:c r="M2895" s="17" t="str">
        <x:v>high</x:v>
      </x:c>
      <x:c r="N2895" s="17" t="str">
        <x:v>verified</x:v>
      </x:c>
      <x:c r="O2895" s="17" t="str">
        <x:v>Roster evidence establishes a current listing, not program-specific supervision authority or recruiting.</x:v>
      </x:c>
      <x:c r="P2895" s="18" t="e">
        <x:f>HYPERLINK("https://sst.unicam.it/corsi/computer-science","Open source")</x:f>
        <x:v>HYPERLINK is not implemented. linkLocation=https://sst.unicam.it/corsi/computer-science, friendlyName=Open source</x:v>
      </x:c>
    </x:row>
    <x:row r="2896" ht="46" customHeight="1">
      <x:c r="A2896" s="17" t="str">
        <x:v>stage4src:2de278ec8942163e</x:v>
      </x:c>
      <x:c r="B2896" s="17" t="str">
        <x:v>professor</x:v>
      </x:c>
      <x:c r="C2896" s="17" t="str">
        <x:v>University of Louisville</x:v>
      </x:c>
      <x:c r="D2896" s="17" t="str">
        <x:v>us:ipeds:157289:program:phd:doctor-of-philosophy-in-computer-science-and-engineering</x:v>
      </x:c>
      <x:c r="E2896" s="17" t="str"/>
      <x:c r="F2896" s="17" t="str">
        <x:v>current faculty roster|candidate longlist</x:v>
      </x:c>
      <x:c r="G2896" s="17" t="str">
        <x:v>Current official department roster or research-area faculty listing used to identify the five-person Stage 4 candidate longlist.</x:v>
      </x:c>
      <x:c r="H2896" s="17" t="str">
        <x:v>University of Louisville current faculty roster</x:v>
      </x:c>
      <x:c r="I2896" s="17" t="str">
        <x:v>University of Louisville</x:v>
      </x:c>
      <x:c r="J2896" s="17" t="str">
        <x:v>official</x:v>
      </x:c>
      <x:c r="K2896" s="17" t="str">
        <x:v>2026-09-11</x:v>
      </x:c>
      <x:c r="L2896" s="17" t="str"/>
      <x:c r="M2896" s="17" t="str">
        <x:v>high</x:v>
      </x:c>
      <x:c r="N2896" s="17" t="str">
        <x:v>verified</x:v>
      </x:c>
      <x:c r="O2896" s="17" t="str">
        <x:v>Roster evidence establishes a current listing, not program-specific supervision authority or recruiting.</x:v>
      </x:c>
      <x:c r="P2896" s="18" t="e">
        <x:f>HYPERLINK("https://engineering.louisville.edu/cybercenter/homepage/faculty/","Open source")</x:f>
        <x:v>HYPERLINK is not implemented. linkLocation=https://engineering.louisville.edu/cybercenter/homepage/faculty/, friendlyName=Open source</x:v>
      </x:c>
    </x:row>
    <x:row r="2897" ht="46" customHeight="1">
      <x:c r="A2897" s="17" t="str">
        <x:v>stage4src:2df009274beb1d27</x:v>
      </x:c>
      <x:c r="B2897" s="17" t="str">
        <x:v>professor</x:v>
      </x:c>
      <x:c r="C2897" s="17" t="str">
        <x:v>University of Alberta</x:v>
      </x:c>
      <x:c r="D2897" s="17" t="str">
        <x:v>ca:dli:O19257171832:program:thesis-or-research-master-s:msc-in-computing-science-thesis</x:v>
      </x:c>
      <x:c r="E2897" s="17" t="str">
        <x:v>ca:dli:O19257171832:faculty:lei-ma</x:v>
      </x:c>
      <x:c r="F2897" s="17" t="str">
        <x:v>discovery publication signal|recent work</x:v>
      </x:c>
      <x:c r="G2897" s="17" t="str">
        <x:v>Publication metadata was examined for shortlist triage only; publication-time affiliation does not establish current appointment, supervision authority, or recruiting.</x:v>
      </x:c>
      <x:c r="H2897" s="17" t="str">
        <x:v>OpenAlex publication signal for Lei Ma</x:v>
      </x:c>
      <x:c r="I2897" s="17" t="str">
        <x:v>OpenAlex / cited venue</x:v>
      </x:c>
      <x:c r="J2897" s="17" t="str">
        <x:v>secondary</x:v>
      </x:c>
      <x:c r="K2897" s="17" t="str">
        <x:v>2026-09-11</x:v>
      </x:c>
      <x:c r="L2897" s="17" t="str"/>
      <x:c r="M2897" s="17" t="str">
        <x:v>medium</x:v>
      </x:c>
      <x:c r="N2897" s="17" t="str">
        <x:v>discovery_only</x:v>
      </x:c>
      <x:c r="O2897" s="17" t="str">
        <x:v>Not used to award a professor score or faculty-depth point.</x:v>
      </x:c>
      <x:c r="P2897" s="18" t="e">
        <x:f>HYPERLINK("https://openalex.org/A5101468661","Open source")</x:f>
        <x:v>HYPERLINK is not implemented. linkLocation=https://openalex.org/A5101468661, friendlyName=Open source</x:v>
      </x:c>
    </x:row>
    <x:row r="2898" ht="46" customHeight="1">
      <x:c r="A2898" s="17" t="str">
        <x:v>stage4src:2dfee42277c6f63f</x:v>
      </x:c>
      <x:c r="B2898" s="17" t="str">
        <x:v>professor</x:v>
      </x:c>
      <x:c r="C2898" s="17" t="str">
        <x:v>Virginia Commonwealth University</x:v>
      </x:c>
      <x:c r="D2898" s="17" t="str">
        <x:v>us:ipeds:234030:program:phd:doctor-of-philosophy-in-computer-science</x:v>
      </x:c>
      <x:c r="E2898" s="17" t="str">
        <x:v>us:ipeds:234030:faculty:kostadin-damevski</x:v>
      </x:c>
      <x:c r="F2898" s="17" t="str">
        <x:v>current appointment|research themes|candidate roster|program supervision context</x:v>
      </x:c>
      <x:c r="G2898" s="17" t="str">
        <x:v>VCU's page updated in 2026 lists Damevski in the Software Engineering and Human-Centered Computing clusters and supplies the current software-engineering faculty longlist.</x:v>
      </x:c>
      <x:c r="H2898" s="17" t="str">
        <x:v>Computer Science Research Clusters</x:v>
      </x:c>
      <x:c r="I2898" s="17" t="str">
        <x:v>Virginia Commonwealth University</x:v>
      </x:c>
      <x:c r="J2898" s="17" t="str">
        <x:v>official</x:v>
      </x:c>
      <x:c r="K2898" s="17" t="str">
        <x:v>2026-09-11</x:v>
      </x:c>
      <x:c r="L2898" s="17" t="str">
        <x:v>2026</x:v>
      </x:c>
      <x:c r="M2898" s="17" t="str">
        <x:v>high</x:v>
      </x:c>
      <x:c r="N2898" s="17" t="str">
        <x:v>verified</x:v>
      </x:c>
      <x:c r="O2898" s="17" t="str">
        <x:v>Official page checked 2026-09-10; roster membership alone is not recruiting evidence.</x:v>
      </x:c>
      <x:c r="P2898" s="18" t="e">
        <x:f>HYPERLINK("https://egr.vcu.edu/departments/computer-science/research/research-clusters/","Open source")</x:f>
        <x:v>HYPERLINK is not implemented. linkLocation=https://egr.vcu.edu/departments/computer-science/research/research-clusters/, friendlyName=Open source</x:v>
      </x:c>
    </x:row>
    <x:row r="2899" ht="46" customHeight="1">
      <x:c r="A2899" s="17" t="str">
        <x:v>stage4src:2e19b69db34f0b23</x:v>
      </x:c>
      <x:c r="B2899" s="17" t="str">
        <x:v>professor</x:v>
      </x:c>
      <x:c r="C2899" s="17" t="str">
        <x:v>University of Iowa</x:v>
      </x:c>
      <x:c r="D2899" s="17" t="str">
        <x:v>us:ipeds:153658:program:phd:phd-in-computer-science</x:v>
      </x:c>
      <x:c r="E2899" s="17" t="str">
        <x:v>us:ipeds:153658:faculty:cesare-tinelli</x:v>
      </x:c>
      <x:c r="F2899" s="17" t="str">
        <x:v>current PhD supervision|research fit</x:v>
      </x:c>
      <x:c r="G2899" s="17" t="str">
        <x:v>The current roster lists multiple Computer Science PhD students advised by Tinelli in automated reasoning and formal verification.</x:v>
      </x:c>
      <x:c r="H2899" s="17" t="str">
        <x:v>Computational Logic Center Members</x:v>
      </x:c>
      <x:c r="I2899" s="17" t="str">
        <x:v>University of Iowa</x:v>
      </x:c>
      <x:c r="J2899" s="17" t="str">
        <x:v>official</x:v>
      </x:c>
      <x:c r="K2899" s="17" t="str">
        <x:v>2026-09-11</x:v>
      </x:c>
      <x:c r="L2899" s="17" t="str">
        <x:v>2026</x:v>
      </x:c>
      <x:c r="M2899" s="17" t="str">
        <x:v>high</x:v>
      </x:c>
      <x:c r="N2899" s="17" t="str">
        <x:v>verified</x:v>
      </x:c>
      <x:c r="O2899" s="17" t="str">
        <x:v>Current official roster checked 2026-09-10.</x:v>
      </x:c>
      <x:c r="P2899" s="18" t="e">
        <x:f>HYPERLINK("https://clc.cs.uiowa.edu/site/members/","Open source")</x:f>
        <x:v>HYPERLINK is not implemented. linkLocation=https://clc.cs.uiowa.edu/site/members/, friendlyName=Open source</x:v>
      </x:c>
    </x:row>
    <x:row r="2900" ht="46" customHeight="1">
      <x:c r="A2900" s="17" t="str">
        <x:v>stage4src:2e513c1a4fb14b3c</x:v>
      </x:c>
      <x:c r="B2900" s="17" t="str">
        <x:v>professor</x:v>
      </x:c>
      <x:c r="C2900" s="17" t="str">
        <x:v>University College London</x:v>
      </x:c>
      <x:c r="D2900" s="17" t="str">
        <x:v>ror:02jx3x895:program:integrated-or-structured-doctorate:computer-science-mphil-phd</x:v>
      </x:c>
      <x:c r="E2900" s="17" t="str">
        <x:v>ror:02jx3x895:faculty:justyna-petke</x:v>
      </x:c>
      <x:c r="F2900" s="17" t="str">
        <x:v>discovery publication signal|recent work</x:v>
      </x:c>
      <x:c r="G2900" s="17" t="str">
        <x:v>Publication metadata was examined for shortlist triage only; publication-time affiliation does not establish current appointment, supervision authority, or recruiting.</x:v>
      </x:c>
      <x:c r="H2900" s="17" t="str">
        <x:v>OpenAlex publication signal for Justyna Petke</x:v>
      </x:c>
      <x:c r="I2900" s="17" t="str">
        <x:v>OpenAlex / cited venue</x:v>
      </x:c>
      <x:c r="J2900" s="17" t="str">
        <x:v>secondary</x:v>
      </x:c>
      <x:c r="K2900" s="17" t="str">
        <x:v>2026-09-11</x:v>
      </x:c>
      <x:c r="L2900" s="17" t="str"/>
      <x:c r="M2900" s="17" t="str">
        <x:v>medium</x:v>
      </x:c>
      <x:c r="N2900" s="17" t="str">
        <x:v>discovery_only</x:v>
      </x:c>
      <x:c r="O2900" s="17" t="str">
        <x:v>Not used to award a professor score or faculty-depth point.</x:v>
      </x:c>
      <x:c r="P2900" s="18" t="e">
        <x:f>HYPERLINK("https://openalex.org/A5065281209","Open source")</x:f>
        <x:v>HYPERLINK is not implemented. linkLocation=https://openalex.org/A5065281209, friendlyName=Open source</x:v>
      </x:c>
    </x:row>
    <x:row r="2901" ht="46" customHeight="1">
      <x:c r="A2901" s="17" t="str">
        <x:v>stage4src:2ef4d7920beacafa</x:v>
      </x:c>
      <x:c r="B2901" s="17" t="str">
        <x:v>professor</x:v>
      </x:c>
      <x:c r="C2901" s="17" t="str">
        <x:v>Wichita State University</x:v>
      </x:c>
      <x:c r="D2901" s="17" t="str">
        <x:v>us:ipeds:156125:program:phd:phd-in-electrical-engineering-and-computer-science</x:v>
      </x:c>
      <x:c r="E2901" s="17" t="str"/>
      <x:c r="F2901" s="17" t="str">
        <x:v>current faculty roster|candidate longlist</x:v>
      </x:c>
      <x:c r="G2901" s="17" t="str">
        <x:v>Current official department roster or research-area faculty listing used to identify the five-person Stage 4 candidate longlist.</x:v>
      </x:c>
      <x:c r="H2901" s="17" t="str">
        <x:v>Wichita State University current faculty roster</x:v>
      </x:c>
      <x:c r="I2901" s="17" t="str">
        <x:v>Wichita State University</x:v>
      </x:c>
      <x:c r="J2901" s="17" t="str">
        <x:v>official</x:v>
      </x:c>
      <x:c r="K2901" s="17" t="str">
        <x:v>2026-09-11</x:v>
      </x:c>
      <x:c r="L2901" s="17" t="str"/>
      <x:c r="M2901" s="17" t="str">
        <x:v>high</x:v>
      </x:c>
      <x:c r="N2901" s="17" t="str">
        <x:v>verified</x:v>
      </x:c>
      <x:c r="O2901" s="17" t="str">
        <x:v>Roster evidence establishes a current listing, not program-specific supervision authority or recruiting.</x:v>
      </x:c>
      <x:c r="P2901" s="18" t="e">
        <x:f>HYPERLINK("https://www.wichita.edu/profiles/academics/engineering/SoC/index.php","Open source")</x:f>
        <x:v>HYPERLINK is not implemented. linkLocation=https://www.wichita.edu/profiles/academics/engineering/SoC/index.php, friendlyName=Open source</x:v>
      </x:c>
    </x:row>
    <x:row r="2902" ht="46" customHeight="1">
      <x:c r="A2902" s="17" t="str">
        <x:v>stage4src:2efb694366b40942</x:v>
      </x:c>
      <x:c r="B2902" s="17" t="str">
        <x:v>professor</x:v>
      </x:c>
      <x:c r="C2902" s="17" t="str">
        <x:v>Tennessee Technological University</x:v>
      </x:c>
      <x:c r="D2902" s="17" t="str">
        <x:v>us:ipeds:221847:program:phd:computer-science-phd</x:v>
      </x:c>
      <x:c r="E2902" s="17" t="str">
        <x:v>us:ipeds:221847:faculty:muhammad-ismail</x:v>
      </x:c>
      <x:c r="F2902" s="17" t="str">
        <x:v>program context|supervision authority|prospective-student instructions</x:v>
      </x:c>
      <x:c r="G2902" s="17" t="str">
        <x:v>The official page establishes the current CS PhD route and faculty-advised research structure.</x:v>
      </x:c>
      <x:c r="H2902" s="17" t="str">
        <x:v>Computer Science PhD</x:v>
      </x:c>
      <x:c r="I2902" s="17" t="str">
        <x:v>Tennessee Technological University</x:v>
      </x:c>
      <x:c r="J2902" s="17" t="str">
        <x:v>official</x:v>
      </x:c>
      <x:c r="K2902" s="17" t="str">
        <x:v>2026-09-11</x:v>
      </x:c>
      <x:c r="L2902" s="17" t="str">
        <x:v>2026</x:v>
      </x:c>
      <x:c r="M2902" s="17" t="str">
        <x:v>high</x:v>
      </x:c>
      <x:c r="N2902" s="17" t="str">
        <x:v>verified</x:v>
      </x:c>
      <x:c r="O2902" s="17" t="str">
        <x:v>Live official page checked 2026-09-11.</x:v>
      </x:c>
      <x:c r="P2902" s="18" t="e">
        <x:f>HYPERLINK("https://www.tntech.edu/engineering/programs/csc/ph.d-program.php","Open source")</x:f>
        <x:v>HYPERLINK is not implemented. linkLocation=https://www.tntech.edu/engineering/programs/csc/ph.d-program.php, friendlyName=Open source</x:v>
      </x:c>
    </x:row>
    <x:row r="2903" ht="46" customHeight="1">
      <x:c r="A2903" s="17" t="str">
        <x:v>stage4src:2f79f3cba9358856</x:v>
      </x:c>
      <x:c r="B2903" s="17" t="str">
        <x:v>professor</x:v>
      </x:c>
      <x:c r="C2903" s="17" t="str">
        <x:v>University of Toronto</x:v>
      </x:c>
      <x:c r="D2903" s="17" t="str">
        <x:v>ca:dli:O19332746152:program:thesis-or-research-master-s:master-of-applied-science-in-electrical-and-computer-engineering</x:v>
      </x:c>
      <x:c r="E2903" s="17" t="str"/>
      <x:c r="F2903" s="17" t="str">
        <x:v>current faculty roster|candidate longlist</x:v>
      </x:c>
      <x:c r="G2903" s="17" t="str">
        <x:v>Current official department roster or research-area faculty listing used to identify the five-person Stage 4 candidate longlist.</x:v>
      </x:c>
      <x:c r="H2903" s="17" t="str">
        <x:v>University of Toronto current faculty roster</x:v>
      </x:c>
      <x:c r="I2903" s="17" t="str">
        <x:v>University of Toronto</x:v>
      </x:c>
      <x:c r="J2903" s="17" t="str">
        <x:v>official</x:v>
      </x:c>
      <x:c r="K2903" s="17" t="str">
        <x:v>2026-09-11</x:v>
      </x:c>
      <x:c r="L2903" s="17" t="str"/>
      <x:c r="M2903" s="17" t="str">
        <x:v>high</x:v>
      </x:c>
      <x:c r="N2903" s="17" t="str">
        <x:v>verified</x:v>
      </x:c>
      <x:c r="O2903" s="17" t="str">
        <x:v>Roster evidence establishes a current listing, not program-specific supervision authority or recruiting.</x:v>
      </x:c>
      <x:c r="P2903" s="18" t="e">
        <x:f>HYPERLINK("https://www.ece.utoronto.ca/faculty/faculty-directory/","Open source")</x:f>
        <x:v>HYPERLINK is not implemented. linkLocation=https://www.ece.utoronto.ca/faculty/faculty-directory/, friendlyName=Open source</x:v>
      </x:c>
    </x:row>
    <x:row r="2904" ht="46" customHeight="1">
      <x:c r="A2904" s="17" t="str">
        <x:v>stage4src:2fb9e96b20456b44</x:v>
      </x:c>
      <x:c r="B2904" s="17" t="str">
        <x:v>professor</x:v>
      </x:c>
      <x:c r="C2904" s="17" t="str">
        <x:v>Georgia Institute of Technology-Main Campus</x:v>
      </x:c>
      <x:c r="D2904" s="17" t="str">
        <x:v>us:ipeds:139755:program:phd:computer-science-phd</x:v>
      </x:c>
      <x:c r="E2904" s="17" t="str">
        <x:v>us:ipeds:139755:faculty:taesoo-kim</x:v>
      </x:c>
      <x:c r="F2904" s="17" t="str">
        <x:v>discovery publication signal|recent work</x:v>
      </x:c>
      <x:c r="G2904" s="17" t="str">
        <x:v>Publication metadata was examined for shortlist triage only; publication-time affiliation does not establish current appointment, supervision authority, or recruiting.</x:v>
      </x:c>
      <x:c r="H2904" s="17" t="str">
        <x:v>OpenAlex publication signal for Taesoo Kim</x:v>
      </x:c>
      <x:c r="I2904" s="17" t="str">
        <x:v>OpenAlex / cited venue</x:v>
      </x:c>
      <x:c r="J2904" s="17" t="str">
        <x:v>secondary</x:v>
      </x:c>
      <x:c r="K2904" s="17" t="str">
        <x:v>2026-09-11</x:v>
      </x:c>
      <x:c r="L2904" s="17" t="str"/>
      <x:c r="M2904" s="17" t="str">
        <x:v>medium</x:v>
      </x:c>
      <x:c r="N2904" s="17" t="str">
        <x:v>discovery_only</x:v>
      </x:c>
      <x:c r="O2904" s="17" t="str">
        <x:v>Not used to award a professor score or faculty-depth point.</x:v>
      </x:c>
      <x:c r="P2904" s="18" t="e">
        <x:f>HYPERLINK("https://openalex.org/A5128637353","Open source")</x:f>
        <x:v>HYPERLINK is not implemented. linkLocation=https://openalex.org/A5128637353, friendlyName=Open source</x:v>
      </x:c>
    </x:row>
    <x:row r="2905" ht="46" customHeight="1">
      <x:c r="A2905" s="17" t="str">
        <x:v>stage4src:314368569d92a877</x:v>
      </x:c>
      <x:c r="B2905" s="17" t="str">
        <x:v>professor</x:v>
      </x:c>
      <x:c r="C2905" s="17" t="str">
        <x:v>Stony Brook University</x:v>
      </x:c>
      <x:c r="D2905" s="17" t="str">
        <x:v>us:ipeds:196097:program:phd:computer-science-phd</x:v>
      </x:c>
      <x:c r="E2905" s="17" t="str">
        <x:v>us:ipeds:196097:faculty:dongyoon-lee</x:v>
      </x:c>
      <x:c r="F2905" s="17" t="str">
        <x:v>current research directions|recruiting|contact instructions</x:v>
      </x:c>
      <x:c r="G2905" s="17" t="str">
        <x:v>The research page directly says he is actively seeking motivated PhD and MS students for listed systems and security projects.</x:v>
      </x:c>
      <x:c r="H2905" s="17" t="str">
        <x:v>Dongyoon Lee research projects</x:v>
      </x:c>
      <x:c r="I2905" s="17" t="str">
        <x:v>Stony Brook University</x:v>
      </x:c>
      <x:c r="J2905" s="17" t="str">
        <x:v>official</x:v>
      </x:c>
      <x:c r="K2905" s="17" t="str">
        <x:v>2026-09-11</x:v>
      </x:c>
      <x:c r="L2905" s="17" t="str">
        <x:v>2024</x:v>
      </x:c>
      <x:c r="M2905" s="17" t="str">
        <x:v>high</x:v>
      </x:c>
      <x:c r="N2905" s="17" t="str">
        <x:v>verified</x:v>
      </x:c>
      <x:c r="O2905" s="17" t="str">
        <x:v>Current university-hosted research page checked 2026-09-10; advising capacity must be reconfirmed.</x:v>
      </x:c>
      <x:c r="P2905" s="18" t="e">
        <x:f>HYPERLINK("https://www3.cs.stonybrook.edu/~dongyoon/research.html","Open source")</x:f>
        <x:v>HYPERLINK is not implemented. linkLocation=https://www3.cs.stonybrook.edu/~dongyoon/research.html, friendlyName=Open source</x:v>
      </x:c>
    </x:row>
    <x:row r="2906" ht="46" customHeight="1">
      <x:c r="A2906" s="17" t="str">
        <x:v>stage4src:31c966b27ab80db6</x:v>
      </x:c>
      <x:c r="B2906" s="17" t="str">
        <x:v>professor</x:v>
      </x:c>
      <x:c r="C2906" s="17" t="str">
        <x:v>Virginia Commonwealth University</x:v>
      </x:c>
      <x:c r="D2906" s="17" t="str">
        <x:v>us:ipeds:234030:program:phd:doctor-of-philosophy-in-computer-science</x:v>
      </x:c>
      <x:c r="E2906" s="17" t="str"/>
      <x:c r="F2906" s="17" t="str">
        <x:v>current faculty roster|candidate longlist</x:v>
      </x:c>
      <x:c r="G2906" s="17" t="str">
        <x:v>Current official department roster or research-area faculty listing used to identify the five-person Stage 4 candidate longlist.</x:v>
      </x:c>
      <x:c r="H2906" s="17" t="str">
        <x:v>Virginia Commonwealth University current faculty roster</x:v>
      </x:c>
      <x:c r="I2906" s="17" t="str">
        <x:v>Virginia Commonwealth University</x:v>
      </x:c>
      <x:c r="J2906" s="17" t="str">
        <x:v>official</x:v>
      </x:c>
      <x:c r="K2906" s="17" t="str">
        <x:v>2026-09-11</x:v>
      </x:c>
      <x:c r="L2906" s="17" t="str"/>
      <x:c r="M2906" s="17" t="str">
        <x:v>high</x:v>
      </x:c>
      <x:c r="N2906" s="17" t="str">
        <x:v>verified</x:v>
      </x:c>
      <x:c r="O2906" s="17" t="str">
        <x:v>Roster evidence establishes a current listing, not program-specific supervision authority or recruiting.</x:v>
      </x:c>
      <x:c r="P2906" s="18" t="e">
        <x:f>HYPERLINK("https://egr.vcu.edu/departments/computer-science/research/research-clusters/","Open source")</x:f>
        <x:v>HYPERLINK is not implemented. linkLocation=https://egr.vcu.edu/departments/computer-science/research/research-clusters/, friendlyName=Open source</x:v>
      </x:c>
    </x:row>
    <x:row r="2907" ht="46" customHeight="1">
      <x:c r="A2907" s="17" t="str">
        <x:v>stage4src:31d6de189268b81f</x:v>
      </x:c>
      <x:c r="B2907" s="17" t="str">
        <x:v>professor</x:v>
      </x:c>
      <x:c r="C2907" s="17" t="str">
        <x:v>University of Victoria</x:v>
      </x:c>
      <x:c r="D2907" s="17" t="str">
        <x:v>ca:dli:O19280533442:program:thesis-or-research-master-s:master-of-applied-science-in-electrical-and-computer-engineering</x:v>
      </x:c>
      <x:c r="E2907" s="17" t="str">
        <x:v>ca:dli:O19280533442:faculty:issa-traor</x:v>
      </x:c>
      <x:c r="F2907" s="17" t="str">
        <x:v>recent work|research fit</x:v>
      </x:c>
      <x:c r="G2907" s="17" t="str">
        <x:v>The 2025 paper supports model-security and data-privacy overlap.</x:v>
      </x:c>
      <x:c r="H2907" s="17" t="str">
        <x:v>An Alternative Approach to Federated Learning for Model Security and Data Privacy</x:v>
      </x:c>
      <x:c r="I2907" s="17" t="str">
        <x:v>OpenAlex / cited venue</x:v>
      </x:c>
      <x:c r="J2907" s="17" t="str">
        <x:v>secondary</x:v>
      </x:c>
      <x:c r="K2907" s="17" t="str">
        <x:v>2026-09-11</x:v>
      </x:c>
      <x:c r="L2907" s="17" t="str">
        <x:v>2025</x:v>
      </x:c>
      <x:c r="M2907" s="17" t="str">
        <x:v>high</x:v>
      </x:c>
      <x:c r="N2907" s="17" t="str">
        <x:v>verified</x:v>
      </x:c>
      <x:c r="O2907" s="17" t="str">
        <x:v>DOI checked 2026-09-10.</x:v>
      </x:c>
      <x:c r="P2907" s="18" t="e">
        <x:f>HYPERLINK("https://doi.org/10.5220/0013237500003899","Open source")</x:f>
        <x:v>HYPERLINK is not implemented. linkLocation=https://doi.org/10.5220/0013237500003899, friendlyName=Open source</x:v>
      </x:c>
    </x:row>
    <x:row r="2908" ht="46" customHeight="1">
      <x:c r="A2908" s="17" t="str">
        <x:v>stage4src:32042956d657ee35</x:v>
      </x:c>
      <x:c r="B2908" s="17" t="str">
        <x:v>professor</x:v>
      </x:c>
      <x:c r="C2908" s="17" t="str">
        <x:v>University of Nevada-Reno</x:v>
      </x:c>
      <x:c r="D2908" s="17" t="str">
        <x:v>us:ipeds:182290:program:phd:ph-d-in-computer-science-and-engineering</x:v>
      </x:c>
      <x:c r="E2908" s="17" t="str">
        <x:v>us:ipeds:182290:faculty:sergiu-dascalu</x:v>
      </x:c>
      <x:c r="F2908" s="17" t="str">
        <x:v>recent work|gRPC infrastructure|software systems|strong fit</x:v>
      </x:c>
      <x:c r="G2908" s="17" t="str">
        <x:v>The record identifies Dascalu's 2024 coauthored SpeciServe gRPC infrastructure paper.</x:v>
      </x:c>
      <x:c r="H2908" s="17" t="str">
        <x:v>Software Systems Lab Conference Publications</x:v>
      </x:c>
      <x:c r="I2908" s="17" t="str">
        <x:v>University of Nevada-Reno</x:v>
      </x:c>
      <x:c r="J2908" s="17" t="str">
        <x:v>official</x:v>
      </x:c>
      <x:c r="K2908" s="17" t="str">
        <x:v>2026-09-11</x:v>
      </x:c>
      <x:c r="L2908" s="17" t="str">
        <x:v>2024</x:v>
      </x:c>
      <x:c r="M2908" s="17" t="str">
        <x:v>high</x:v>
      </x:c>
      <x:c r="N2908" s="17" t="str">
        <x:v>verified</x:v>
      </x:c>
      <x:c r="O2908" s="17" t="str">
        <x:v>University-hosted record checked 2026-09-11.</x:v>
      </x:c>
      <x:c r="P2908" s="18" t="e">
        <x:f>HYPERLINK("https://www.cse.unr.edu/~fredh/papers/conf/Conf.php","Open source")</x:f>
        <x:v>HYPERLINK is not implemented. linkLocation=https://www.cse.unr.edu/~fredh/papers/conf/Conf.php, friendlyName=Open source</x:v>
      </x:c>
    </x:row>
    <x:row r="2909" ht="46" customHeight="1">
      <x:c r="A2909" s="17" t="str">
        <x:v>stage4src:325b7cc3eea6a334</x:v>
      </x:c>
      <x:c r="B2909" s="17" t="str">
        <x:v>professor</x:v>
      </x:c>
      <x:c r="C2909" s="17" t="str">
        <x:v>York University</x:v>
      </x:c>
      <x:c r="D2909" s="17" t="str">
        <x:v>ca:dli:O19361109242:program:thesis-or-research-master-s:masc-in-electrical-and-computer-engineering</x:v>
      </x:c>
      <x:c r="E2909" s="17" t="str">
        <x:v>ca:dli:O19361109242:faculty:maleknaz-nayebi</x:v>
      </x:c>
      <x:c r="F2909" s="17" t="str">
        <x:v>MASc program|faculty-supervised research|supervision context</x:v>
      </x:c>
      <x:c r="G2909" s="17" t="str">
        <x:v>York documents the EECS MASc and states that its research degrees consist of research conducted under faculty-member supervision.</x:v>
      </x:c>
      <x:c r="H2909" s="17" t="str">
        <x:v>EECS Graduate Programs</x:v>
      </x:c>
      <x:c r="I2909" s="17" t="str">
        <x:v>York University</x:v>
      </x:c>
      <x:c r="J2909" s="17" t="str">
        <x:v>official</x:v>
      </x:c>
      <x:c r="K2909" s="17" t="str">
        <x:v>2026-09-11</x:v>
      </x:c>
      <x:c r="L2909" s="17" t="str">
        <x:v>2026</x:v>
      </x:c>
      <x:c r="M2909" s="17" t="str">
        <x:v>high</x:v>
      </x:c>
      <x:c r="N2909" s="17" t="str">
        <x:v>verified</x:v>
      </x:c>
      <x:c r="O2909" s="17" t="str">
        <x:v>Live official graduate page checked 2026-09-11.</x:v>
      </x:c>
      <x:c r="P2909" s="18" t="e">
        <x:f>HYPERLINK("https://lassonde.yorku.ca/eecs/academics/graduate/","Open source")</x:f>
        <x:v>HYPERLINK is not implemented. linkLocation=https://lassonde.yorku.ca/eecs/academics/graduate/, friendlyName=Open source</x:v>
      </x:c>
    </x:row>
    <x:row r="2910" ht="46" customHeight="1">
      <x:c r="A2910" s="17" t="str">
        <x:v>stage4src:327c3ad3b224f211</x:v>
      </x:c>
      <x:c r="B2910" s="17" t="str">
        <x:v>professor</x:v>
      </x:c>
      <x:c r="C2910" s="17" t="str">
        <x:v>École Polytechnique de Montréal</x:v>
      </x:c>
      <x:c r="D2910" s="17" t="str">
        <x:v>ca:dli:O19359011070:program:thesis-or-research-master-s:research-master-s-in-computer-engineering-software-engineering-option</x:v>
      </x:c>
      <x:c r="E2910" s="17" t="str">
        <x:v>ca:dli:O19359011070:faculty:maxime-lamothe</x:v>
      </x:c>
      <x:c r="F2910" s="17" t="str">
        <x:v>recent work|performance regression|trace analysis|research fit</x:v>
      </x:c>
      <x:c r="G2910" s="17" t="str">
        <x:v>The official publication list records 2025 work on performance regression detection, anomaly detection, trace analysis, and ML-enhanced software tools.</x:v>
      </x:c>
      <x:c r="H2910" s="17" t="str">
        <x:v>Publications — Maxime Lamothe</x:v>
      </x:c>
      <x:c r="I2910" s="17" t="str">
        <x:v>École Polytechnique de Montréal</x:v>
      </x:c>
      <x:c r="J2910" s="17" t="str">
        <x:v>official</x:v>
      </x:c>
      <x:c r="K2910" s="17" t="str">
        <x:v>2026-09-11</x:v>
      </x:c>
      <x:c r="L2910" s="17" t="str">
        <x:v>2026</x:v>
      </x:c>
      <x:c r="M2910" s="17" t="str">
        <x:v>high</x:v>
      </x:c>
      <x:c r="N2910" s="17" t="str">
        <x:v>verified</x:v>
      </x:c>
      <x:c r="O2910" s="17" t="str">
        <x:v>Live official publication list checked 2026-09-10.</x:v>
      </x:c>
      <x:c r="P2910" s="18" t="e">
        <x:f>HYPERLINK("https://www.polymtl.ca/expertises/en/lamothe-maxime/publications","Open source")</x:f>
        <x:v>HYPERLINK is not implemented. linkLocation=https://www.polymtl.ca/expertises/en/lamothe-maxime/publications, friendlyName=Open source</x:v>
      </x:c>
    </x:row>
    <x:row r="2911" ht="46" customHeight="1">
      <x:c r="A2911" s="17" t="str">
        <x:v>stage4src:334e87093e7491cc</x:v>
      </x:c>
      <x:c r="B2911" s="17" t="str">
        <x:v>professor</x:v>
      </x:c>
      <x:c r="C2911" s="17" t="str">
        <x:v>University of Colorado Colorado Springs</x:v>
      </x:c>
      <x:c r="D2911" s="17" t="str">
        <x:v>us:ipeds:126580:program:phd:cybersecurity-phd</x:v>
      </x:c>
      <x:c r="E2911" s="17" t="str">
        <x:v>us:ipeds:126580:faculty:sang-yoon-chang</x:v>
      </x:c>
      <x:c r="F2911" s="17" t="str">
        <x:v>current appointment|department|email|research themes|doctoral advising</x:v>
      </x:c>
      <x:c r="G2911" s="17" t="str">
        <x:v>Chang identifies himself as a current UCCS Computer Science Associate Professor, security researcher, and active PhD advisor.</x:v>
      </x:c>
      <x:c r="H2911" s="17" t="str">
        <x:v>Sang-Yoon Chang</x:v>
      </x:c>
      <x:c r="I2911" s="17" t="str">
        <x:v>University of Colorado Colorado Springs</x:v>
      </x:c>
      <x:c r="J2911" s="17" t="str">
        <x:v>official</x:v>
      </x:c>
      <x:c r="K2911" s="17" t="str">
        <x:v>2026-09-11</x:v>
      </x:c>
      <x:c r="L2911" s="17" t="str">
        <x:v>2026</x:v>
      </x:c>
      <x:c r="M2911" s="17" t="str">
        <x:v>high</x:v>
      </x:c>
      <x:c r="N2911" s="17" t="str">
        <x:v>verified</x:v>
      </x:c>
      <x:c r="O2911" s="17" t="str">
        <x:v>Live university-hosted page checked 2026-09-11.</x:v>
      </x:c>
      <x:c r="P2911" s="18" t="e">
        <x:f>HYPERLINK("https://academics.uccs.edu/~schang2/","Open source")</x:f>
        <x:v>HYPERLINK is not implemented. linkLocation=https://academics.uccs.edu/~schang2/, friendlyName=Open source</x:v>
      </x:c>
    </x:row>
    <x:row r="2912" ht="46" customHeight="1">
      <x:c r="A2912" s="17" t="str">
        <x:v>stage4src:3351bfc831753e58</x:v>
      </x:c>
      <x:c r="B2912" s="17" t="str">
        <x:v>professor</x:v>
      </x:c>
      <x:c r="C2912" s="17" t="str">
        <x:v>Washington University in St Louis</x:v>
      </x:c>
      <x:c r="D2912" s="17" t="str">
        <x:v>us:ipeds:179867:program:phd:computer-science-phd</x:v>
      </x:c>
      <x:c r="E2912" s="17" t="str">
        <x:v>us:ipeds:179867:faculty:ning-zhang</x:v>
      </x:c>
      <x:c r="F2912" s="17" t="str">
        <x:v>discovery publication signal|recent work</x:v>
      </x:c>
      <x:c r="G2912" s="17" t="str">
        <x:v>Publication metadata was examined for shortlist triage only; publication-time affiliation does not establish current appointment, supervision authority, or recruiting.</x:v>
      </x:c>
      <x:c r="H2912" s="17" t="str">
        <x:v>OpenAlex publication signal for Ning Zhang</x:v>
      </x:c>
      <x:c r="I2912" s="17" t="str">
        <x:v>OpenAlex / cited venue</x:v>
      </x:c>
      <x:c r="J2912" s="17" t="str">
        <x:v>secondary</x:v>
      </x:c>
      <x:c r="K2912" s="17" t="str">
        <x:v>2026-09-11</x:v>
      </x:c>
      <x:c r="L2912" s="17" t="str"/>
      <x:c r="M2912" s="17" t="str">
        <x:v>medium</x:v>
      </x:c>
      <x:c r="N2912" s="17" t="str">
        <x:v>discovery_only</x:v>
      </x:c>
      <x:c r="O2912" s="17" t="str">
        <x:v>Not used to award a professor score or faculty-depth point.</x:v>
      </x:c>
      <x:c r="P2912" s="18" t="e">
        <x:f>HYPERLINK("https://openalex.org/A5100404886","Open source")</x:f>
        <x:v>HYPERLINK is not implemented. linkLocation=https://openalex.org/A5100404886, friendlyName=Open source</x:v>
      </x:c>
    </x:row>
    <x:row r="2913" ht="46" customHeight="1">
      <x:c r="A2913" s="17" t="str">
        <x:v>stage4src:33598bb1753fcb54</x:v>
      </x:c>
      <x:c r="B2913" s="17" t="str">
        <x:v>professor</x:v>
      </x:c>
      <x:c r="C2913" s="17" t="str">
        <x:v>University of Virginia-Main Campus</x:v>
      </x:c>
      <x:c r="D2913" s="17" t="str">
        <x:v>us:ipeds:234076:program:phd:computer-science-phd</x:v>
      </x:c>
      <x:c r="E2913" s="17" t="str">
        <x:v>us:ipeds:234076:faculty:homa-alemzadeh</x:v>
      </x:c>
      <x:c r="F2913" s="17" t="str">
        <x:v>current faculty roster|recruiting</x:v>
      </x:c>
      <x:c r="G2913" s="17" t="str">
        <x:v>The current CS listing shows Homa Alemzadeh with a courtesy Computer Science appointment and a Currently Recruiting label; it does not resolve primary-advisor authority in the CS PhD.</x:v>
      </x:c>
      <x:c r="H2913" s="17" t="str">
        <x:v>UVA Computer Science People</x:v>
      </x:c>
      <x:c r="I2913" s="17" t="str">
        <x:v>University of Virginia-Main Campus</x:v>
      </x:c>
      <x:c r="J2913" s="17" t="str">
        <x:v>official</x:v>
      </x:c>
      <x:c r="K2913" s="17" t="str">
        <x:v>2026-09-11</x:v>
      </x:c>
      <x:c r="L2913" s="17" t="str">
        <x:v>2026</x:v>
      </x:c>
      <x:c r="M2913" s="17" t="str">
        <x:v>high</x:v>
      </x:c>
      <x:c r="N2913" s="17" t="str">
        <x:v>verified</x:v>
      </x:c>
      <x:c r="O2913" s="17" t="str">
        <x:v>Current roster checked 2026-09-10; recruiting and supervision treated separately.</x:v>
      </x:c>
      <x:c r="P2913" s="18" t="e">
        <x:f>HYPERLINK("https://engineering.virginia.edu/department/computer-science/people","Open source")</x:f>
        <x:v>HYPERLINK is not implemented. linkLocation=https://engineering.virginia.edu/department/computer-science/people, friendlyName=Open source</x:v>
      </x:c>
    </x:row>
    <x:row r="2914" ht="46" customHeight="1">
      <x:c r="A2914" s="17" t="str">
        <x:v>stage4src:339570cce92b8554</x:v>
      </x:c>
      <x:c r="B2914" s="17" t="str">
        <x:v>professor</x:v>
      </x:c>
      <x:c r="C2914" s="17" t="str">
        <x:v>Vanderbilt University</x:v>
      </x:c>
      <x:c r="D2914" s="17" t="str">
        <x:v>us:ipeds:221999:program:phd:computer-science-phd</x:v>
      </x:c>
      <x:c r="E2914" s="17" t="str">
        <x:v>us:ipeds:221999:faculty:kevin-leach</x:v>
      </x:c>
      <x:c r="F2914" s="17" t="str">
        <x:v>recent work|research fit</x:v>
      </x:c>
      <x:c r="G2914" s="17" t="str">
        <x:v>2025 GitHub impersonation/software-security work</x:v>
      </x:c>
      <x:c r="H2914" s="17" t="str">
        <x:v>Who's Pushing the Code?</x:v>
      </x:c>
      <x:c r="I2914" s="17" t="str">
        <x:v>Vanderbilt University</x:v>
      </x:c>
      <x:c r="J2914" s="17" t="str">
        <x:v>official</x:v>
      </x:c>
      <x:c r="K2914" s="17" t="str">
        <x:v>2026-09-11</x:v>
      </x:c>
      <x:c r="L2914" s="17" t="str">
        <x:v>2025</x:v>
      </x:c>
      <x:c r="M2914" s="17" t="str">
        <x:v>high</x:v>
      </x:c>
      <x:c r="N2914" s="17" t="str">
        <x:v>verified</x:v>
      </x:c>
      <x:c r="O2914" s="17" t="str"/>
      <x:c r="P2914" s="18" t="e">
        <x:f>HYPERLINK("https://www.vanderbilt.edu/valiant/author/waddelma/page/29/","Open source")</x:f>
        <x:v>HYPERLINK is not implemented. linkLocation=https://www.vanderbilt.edu/valiant/author/waddelma/page/29/, friendlyName=Open source</x:v>
      </x:c>
    </x:row>
    <x:row r="2915" ht="46" customHeight="1">
      <x:c r="A2915" s="17" t="str">
        <x:v>stage4src:33aa6fac2e79810c</x:v>
      </x:c>
      <x:c r="B2915" s="17" t="str">
        <x:v>professor</x:v>
      </x:c>
      <x:c r="C2915" s="17" t="str">
        <x:v>University of Notre Dame</x:v>
      </x:c>
      <x:c r="D2915" s="17" t="str">
        <x:v>us:ipeds:152080:program:phd:computer-science-and-engineering-phd</x:v>
      </x:c>
      <x:c r="E2915" s="17" t="str">
        <x:v>us:ipeds:152080:faculty:toby-jia-jun-li</x:v>
      </x:c>
      <x:c r="F2915" s="17" t="str">
        <x:v>discovery publication signal|recent work</x:v>
      </x:c>
      <x:c r="G2915" s="17" t="str">
        <x:v>Publication metadata was examined for shortlist triage only; publication-time affiliation does not establish current appointment, supervision authority, or recruiting.</x:v>
      </x:c>
      <x:c r="H2915" s="17" t="str">
        <x:v>OpenAlex publication signal for Toby Jia-Jun Li</x:v>
      </x:c>
      <x:c r="I2915" s="17" t="str">
        <x:v>OpenAlex / cited venue</x:v>
      </x:c>
      <x:c r="J2915" s="17" t="str">
        <x:v>secondary</x:v>
      </x:c>
      <x:c r="K2915" s="17" t="str">
        <x:v>2026-09-11</x:v>
      </x:c>
      <x:c r="L2915" s="17" t="str"/>
      <x:c r="M2915" s="17" t="str">
        <x:v>medium</x:v>
      </x:c>
      <x:c r="N2915" s="17" t="str">
        <x:v>discovery_only</x:v>
      </x:c>
      <x:c r="O2915" s="17" t="str">
        <x:v>Not used to award a professor score or faculty-depth point.</x:v>
      </x:c>
      <x:c r="P2915" s="18" t="e">
        <x:f>HYPERLINK("https://openalex.org/A5007240808","Open source")</x:f>
        <x:v>HYPERLINK is not implemented. linkLocation=https://openalex.org/A5007240808, friendlyName=Open source</x:v>
      </x:c>
    </x:row>
    <x:row r="2916" ht="46" customHeight="1">
      <x:c r="A2916" s="17" t="str">
        <x:v>stage4src:33c4256c9965b295</x:v>
      </x:c>
      <x:c r="B2916" s="17" t="str">
        <x:v>professor</x:v>
      </x:c>
      <x:c r="C2916" s="17" t="str">
        <x:v>Trent University</x:v>
      </x:c>
      <x:c r="D2916" s="17" t="str">
        <x:v>ca:dli:O19395164223:program:thesis-or-research-master-s:msc-in-applied-modelling-and-quantitative-methods-thesis-stream</x:v>
      </x:c>
      <x:c r="E2916" s="17" t="str">
        <x:v>ca:dli:O19395164223:faculty:omar-alam</x:v>
      </x:c>
      <x:c r="F2916" s="17" t="str">
        <x:v>current appointment|department|email|research themes</x:v>
      </x:c>
      <x:c r="G2916" s="17" t="str">
        <x:v>Trent lists Alam as a current Associate Professor and records model-driven software engineering, architecture, and repository-mining themes.</x:v>
      </x:c>
      <x:c r="H2916" s="17" t="str">
        <x:v>Faculty and Research</x:v>
      </x:c>
      <x:c r="I2916" s="17" t="str">
        <x:v>Trent University</x:v>
      </x:c>
      <x:c r="J2916" s="17" t="str">
        <x:v>official</x:v>
      </x:c>
      <x:c r="K2916" s="17" t="str">
        <x:v>2026-09-11</x:v>
      </x:c>
      <x:c r="L2916" s="17" t="str">
        <x:v>2026</x:v>
      </x:c>
      <x:c r="M2916" s="17" t="str">
        <x:v>high</x:v>
      </x:c>
      <x:c r="N2916" s="17" t="str">
        <x:v>verified</x:v>
      </x:c>
      <x:c r="O2916" s="17" t="str">
        <x:v>Live official faculty page checked 2026-09-11.</x:v>
      </x:c>
      <x:c r="P2916" s="18" t="e">
        <x:f>HYPERLINK("https://www.trentu.ca/cois/faculty-research","Open source")</x:f>
        <x:v>HYPERLINK is not implemented. linkLocation=https://www.trentu.ca/cois/faculty-research, friendlyName=Open source</x:v>
      </x:c>
    </x:row>
    <x:row r="2917" ht="46" customHeight="1">
      <x:c r="A2917" s="17" t="str">
        <x:v>stage4src:33efb265cd2c31df</x:v>
      </x:c>
      <x:c r="B2917" s="17" t="str">
        <x:v>professor</x:v>
      </x:c>
      <x:c r="C2917" s="17" t="str">
        <x:v>University of Georgia</x:v>
      </x:c>
      <x:c r="D2917" s="17" t="str">
        <x:v>us:ipeds:139959:program:phd:doctor-of-philosophy-in-computer-science</x:v>
      </x:c>
      <x:c r="E2917" s="17" t="str"/>
      <x:c r="F2917" s="17" t="str">
        <x:v>current faculty roster|candidate longlist</x:v>
      </x:c>
      <x:c r="G2917" s="17" t="str">
        <x:v>Current official department roster or research-area faculty listing used to identify the five-person Stage 4 candidate longlist.</x:v>
      </x:c>
      <x:c r="H2917" s="17" t="str">
        <x:v>University of Georgia current faculty roster</x:v>
      </x:c>
      <x:c r="I2917" s="17" t="str">
        <x:v>University of Georgia</x:v>
      </x:c>
      <x:c r="J2917" s="17" t="str">
        <x:v>official</x:v>
      </x:c>
      <x:c r="K2917" s="17" t="str">
        <x:v>2026-09-11</x:v>
      </x:c>
      <x:c r="L2917" s="17" t="str"/>
      <x:c r="M2917" s="17" t="str">
        <x:v>high</x:v>
      </x:c>
      <x:c r="N2917" s="17" t="str">
        <x:v>verified</x:v>
      </x:c>
      <x:c r="O2917" s="17" t="str">
        <x:v>Roster evidence establishes a current listing, not program-specific supervision authority or recruiting.</x:v>
      </x:c>
      <x:c r="P2917" s="18" t="e">
        <x:f>HYPERLINK("https://www.cs.uga.edu/faculty-directory","Open source")</x:f>
        <x:v>HYPERLINK is not implemented. linkLocation=https://www.cs.uga.edu/faculty-directory, friendlyName=Open source</x:v>
      </x:c>
    </x:row>
    <x:row r="2918" ht="46" customHeight="1">
      <x:c r="A2918" s="17" t="str">
        <x:v>stage4src:341791a88da8e816</x:v>
      </x:c>
      <x:c r="B2918" s="17" t="str">
        <x:v>professor</x:v>
      </x:c>
      <x:c r="C2918" s="17" t="str">
        <x:v>Ontario Tech University</x:v>
      </x:c>
      <x:c r="D2918" s="17" t="str">
        <x:v>ca:dli:O19315945002:program:thesis-or-research-master-s:software-engineering-masc</x:v>
      </x:c>
      <x:c r="E2918" s="17" t="str">
        <x:v>ca:dli:O19315945002:faculty:kundi-yao</x:v>
      </x:c>
      <x:c r="F2918" s="17" t="str">
        <x:v>recent work|research fit</x:v>
      </x:c>
      <x:c r="G2918" s="17" t="str">
        <x:v>The 2025 work supports the recorded software-testing and performance-engineering fit.</x:v>
      </x:c>
      <x:c r="H2918" s="17" t="str">
        <x:v>Batch Execution of Microbenchmarks: Are Results Consistent?</x:v>
      </x:c>
      <x:c r="I2918" s="17" t="str">
        <x:v>OpenAlex / cited venue</x:v>
      </x:c>
      <x:c r="J2918" s="17" t="str">
        <x:v>secondary</x:v>
      </x:c>
      <x:c r="K2918" s="17" t="str">
        <x:v>2026-09-11</x:v>
      </x:c>
      <x:c r="L2918" s="17" t="str">
        <x:v>2025</x:v>
      </x:c>
      <x:c r="M2918" s="17" t="str">
        <x:v>high</x:v>
      </x:c>
      <x:c r="N2918" s="17" t="str">
        <x:v>verified</x:v>
      </x:c>
      <x:c r="O2918" s="17" t="str">
        <x:v>Publication record checked 2026-09-10.</x:v>
      </x:c>
      <x:c r="P2918" s="18" t="e">
        <x:f>HYPERLINK("https://doi.org/10.1109/ICST62969.2025.10988928","Open source")</x:f>
        <x:v>HYPERLINK is not implemented. linkLocation=https://doi.org/10.1109/ICST62969.2025.10988928, friendlyName=Open source</x:v>
      </x:c>
    </x:row>
    <x:row r="2919" ht="46" customHeight="1">
      <x:c r="A2919" s="17" t="str">
        <x:v>stage4src:34b95b1717ed5499</x:v>
      </x:c>
      <x:c r="B2919" s="17" t="str">
        <x:v>professor</x:v>
      </x:c>
      <x:c r="C2919" s="17" t="str">
        <x:v>University of Alabama at Birmingham</x:v>
      </x:c>
      <x:c r="D2919" s="17" t="str">
        <x:v>us:ipeds:100663:program:phd:ph-d-in-computer-science</x:v>
      </x:c>
      <x:c r="E2919" s="17" t="str">
        <x:v>us:ipeds:100663:faculty:ragib-hasan</x:v>
      </x:c>
      <x:c r="F2919" s="17" t="str">
        <x:v>historical recruiting evidence|recruiting status control</x:v>
      </x:c>
      <x:c r="G2919" s="17" t="str">
        <x:v>The page advertises graduate openings but names a Fall 2014 deadline, so it does not support a current or Fall 2027 recruiting claim.</x:v>
      </x:c>
      <x:c r="H2919" s="17" t="str">
        <x:v>Research Assistant Recruitment</x:v>
      </x:c>
      <x:c r="I2919" s="17" t="str">
        <x:v>University of Alabama at Birmingham</x:v>
      </x:c>
      <x:c r="J2919" s="17" t="str">
        <x:v>official</x:v>
      </x:c>
      <x:c r="K2919" s="17" t="str">
        <x:v>2026-09-11</x:v>
      </x:c>
      <x:c r="L2919" s="17" t="str">
        <x:v>2014</x:v>
      </x:c>
      <x:c r="M2919" s="17" t="str">
        <x:v>high</x:v>
      </x:c>
      <x:c r="N2919" s="17" t="str">
        <x:v>verified</x:v>
      </x:c>
      <x:c r="O2919" s="17" t="str">
        <x:v>Stale official page checked 2026-09-10; not used as current recruiting evidence.</x:v>
      </x:c>
      <x:c r="P2919" s="18" t="e">
        <x:f>HYPERLINK("https://sites.uab.edu/secret/ad/","Open source")</x:f>
        <x:v>HYPERLINK is not implemented. linkLocation=https://sites.uab.edu/secret/ad/, friendlyName=Open source</x:v>
      </x:c>
    </x:row>
    <x:row r="2920" ht="46" customHeight="1">
      <x:c r="A2920" s="17" t="str">
        <x:v>stage4src:3516fcc0b50b211e</x:v>
      </x:c>
      <x:c r="B2920" s="17" t="str">
        <x:v>professor</x:v>
      </x:c>
      <x:c r="C2920" s="17" t="str">
        <x:v>New Jersey Institute of Technology</x:v>
      </x:c>
      <x:c r="D2920" s="17" t="str">
        <x:v>us:ipeds:185828:program:phd:ph-d-computer-science</x:v>
      </x:c>
      <x:c r="E2920" s="17" t="str">
        <x:v>us:ipeds:185828:faculty:martin-kellogg</x:v>
      </x:c>
      <x:c r="F2920" s="17" t="str">
        <x:v>current appointment|candidate longlist</x:v>
      </x:c>
      <x:c r="G2920" s="17" t="str">
        <x:v>The current Computer Science roster lists Kellogg and the four bounded alternatives.</x:v>
      </x:c>
      <x:c r="H2920" s="17" t="str">
        <x:v>Computer Science Faculty</x:v>
      </x:c>
      <x:c r="I2920" s="17" t="str">
        <x:v>New Jersey Institute of Technology</x:v>
      </x:c>
      <x:c r="J2920" s="17" t="str">
        <x:v>official</x:v>
      </x:c>
      <x:c r="K2920" s="17" t="str">
        <x:v>2026-09-11</x:v>
      </x:c>
      <x:c r="L2920" s="17" t="str">
        <x:v>2026</x:v>
      </x:c>
      <x:c r="M2920" s="17" t="str">
        <x:v>high</x:v>
      </x:c>
      <x:c r="N2920" s="17" t="str">
        <x:v>verified</x:v>
      </x:c>
      <x:c r="O2920" s="17" t="str">
        <x:v>Live roster checked 2026-09-11.</x:v>
      </x:c>
      <x:c r="P2920" s="18" t="e">
        <x:f>HYPERLINK("https://cs.njit.edu/faculty","Open source")</x:f>
        <x:v>HYPERLINK is not implemented. linkLocation=https://cs.njit.edu/faculty, friendlyName=Open source</x:v>
      </x:c>
    </x:row>
    <x:row r="2921" ht="46" customHeight="1">
      <x:c r="A2921" s="17" t="str">
        <x:v>stage4src:355064dae0d5dae2</x:v>
      </x:c>
      <x:c r="B2921" s="17" t="str">
        <x:v>professor</x:v>
      </x:c>
      <x:c r="C2921" s="17" t="str">
        <x:v>Oregon State University</x:v>
      </x:c>
      <x:c r="D2921" s="17" t="str">
        <x:v>us:ipeds:209542:program:phd:computer-science-phd</x:v>
      </x:c>
      <x:c r="E2921" s="17" t="str">
        <x:v>us:ipeds:209542:faculty:manish-motwani</x:v>
      </x:c>
      <x:c r="F2921" s="17" t="str">
        <x:v>recent work|research fit</x:v>
      </x:c>
      <x:c r="G2921" s="17" t="str">
        <x:v>2024 static-analysis/specification paper</x:v>
      </x:c>
      <x:c r="H2921" s="17" t="str">
        <x:v>Generating REST API Specifications through Static Analysis</x:v>
      </x:c>
      <x:c r="I2921" s="17" t="str">
        <x:v>OpenAlex / cited venue</x:v>
      </x:c>
      <x:c r="J2921" s="17" t="str">
        <x:v>secondary</x:v>
      </x:c>
      <x:c r="K2921" s="17" t="str">
        <x:v>2026-09-11</x:v>
      </x:c>
      <x:c r="L2921" s="17" t="str">
        <x:v>2024</x:v>
      </x:c>
      <x:c r="M2921" s="17" t="str">
        <x:v>high</x:v>
      </x:c>
      <x:c r="N2921" s="17" t="str">
        <x:v>verified</x:v>
      </x:c>
      <x:c r="O2921" s="17" t="str"/>
      <x:c r="P2921" s="18" t="e">
        <x:f>HYPERLINK("https://doi.org/10.1145/3597503.3639137","Open source")</x:f>
        <x:v>HYPERLINK is not implemented. linkLocation=https://doi.org/10.1145/3597503.3639137, friendlyName=Open source</x:v>
      </x:c>
    </x:row>
    <x:row r="2922" ht="46" customHeight="1">
      <x:c r="A2922" s="17" t="str">
        <x:v>stage4src:357978b77d81f703</x:v>
      </x:c>
      <x:c r="B2922" s="17" t="str">
        <x:v>professor</x:v>
      </x:c>
      <x:c r="C2922" s="17" t="str">
        <x:v>The University of Texas at Arlington</x:v>
      </x:c>
      <x:c r="D2922" s="17" t="str">
        <x:v>us:ipeds:228769:program:phd:doctoral-degree-in-computer-science-computer-engineering</x:v>
      </x:c>
      <x:c r="E2922" s="17" t="str">
        <x:v>us:ipeds:228769:faculty:christoph-csallner</x:v>
      </x:c>
      <x:c r="F2922" s="17" t="str">
        <x:v>current appointment|research themes|email</x:v>
      </x:c>
      <x:c r="G2922" s="17" t="str">
        <x:v>The current directory identifies Csallner as CSE Professor and lists automated software engineering, testing, program analysis, software security, and AI-for-SE interests.</x:v>
      </x:c>
      <x:c r="H2922" s="17" t="str">
        <x:v>Computer Science and Engineering Faculty</x:v>
      </x:c>
      <x:c r="I2922" s="17" t="str">
        <x:v>The University of Texas at Arlington</x:v>
      </x:c>
      <x:c r="J2922" s="17" t="str">
        <x:v>official</x:v>
      </x:c>
      <x:c r="K2922" s="17" t="str">
        <x:v>2026-09-11</x:v>
      </x:c>
      <x:c r="L2922" s="17" t="str">
        <x:v>2026</x:v>
      </x:c>
      <x:c r="M2922" s="17" t="str">
        <x:v>high</x:v>
      </x:c>
      <x:c r="N2922" s="17" t="str">
        <x:v>verified</x:v>
      </x:c>
      <x:c r="O2922" s="17" t="str">
        <x:v>Current official directory checked 2026-09-10.</x:v>
      </x:c>
      <x:c r="P2922" s="18" t="e">
        <x:f>HYPERLINK("https://www.uta.edu/academics/schools-colleges/engineering/academics/departments/cse/faculty-directory","Open source")</x:f>
        <x:v>HYPERLINK is not implemented. linkLocation=https://www.uta.edu/academics/schools-colleges/engineering/academics/departments/cse/faculty-directory, friendlyName=Open source</x:v>
      </x:c>
    </x:row>
    <x:row r="2923" ht="46" customHeight="1">
      <x:c r="A2923" s="17" t="str">
        <x:v>stage4src:35b749e16838b80b</x:v>
      </x:c>
      <x:c r="B2923" s="17" t="str">
        <x:v>professor</x:v>
      </x:c>
      <x:c r="C2923" s="17" t="str">
        <x:v>University of Louisville</x:v>
      </x:c>
      <x:c r="D2923" s="17" t="str">
        <x:v>us:ipeds:157289:program:phd:doctor-of-philosophy-in-computer-science-and-engineering</x:v>
      </x:c>
      <x:c r="E2923" s="17" t="str">
        <x:v>us:ipeds:157289:faculty:roman-yampolskiy</x:v>
      </x:c>
      <x:c r="F2923" s="17" t="str">
        <x:v>current appointment|department|recent work|research fit</x:v>
      </x:c>
      <x:c r="G2923" s="17" t="str">
        <x:v>UofL lists Yampolskiy as a current Associate Professor and records 2023-2024 work on AI risk, controllability, and impossibility results.</x:v>
      </x:c>
      <x:c r="H2923" s="17" t="str">
        <x:v>Roman Yampolskiy</x:v>
      </x:c>
      <x:c r="I2923" s="17" t="str">
        <x:v>University of Louisville</x:v>
      </x:c>
      <x:c r="J2923" s="17" t="str">
        <x:v>official</x:v>
      </x:c>
      <x:c r="K2923" s="17" t="str">
        <x:v>2026-09-11</x:v>
      </x:c>
      <x:c r="L2923" s="17" t="str">
        <x:v>2026</x:v>
      </x:c>
      <x:c r="M2923" s="17" t="str">
        <x:v>high</x:v>
      </x:c>
      <x:c r="N2923" s="17" t="str">
        <x:v>verified</x:v>
      </x:c>
      <x:c r="O2923" s="17" t="str">
        <x:v>Live official profile checked 2026-09-11.</x:v>
      </x:c>
      <x:c r="P2923" s="18" t="e">
        <x:f>HYPERLINK("https://engineering.louisville.edu/faculty/roman-v-yampolskiy/","Open source")</x:f>
        <x:v>HYPERLINK is not implemented. linkLocation=https://engineering.louisville.edu/faculty/roman-v-yampolskiy/, friendlyName=Open source</x:v>
      </x:c>
    </x:row>
    <x:row r="2924" ht="46" customHeight="1">
      <x:c r="A2924" s="17" t="str">
        <x:v>stage4src:35e58b06e6208614</x:v>
      </x:c>
      <x:c r="B2924" s="17" t="str">
        <x:v>professor</x:v>
      </x:c>
      <x:c r="C2924" s="17" t="str">
        <x:v>University of Kansas</x:v>
      </x:c>
      <x:c r="D2924" s="17" t="str">
        <x:v>us:ipeds:155317:program:phd:doctor-of-philosophy-in-computer-science</x:v>
      </x:c>
      <x:c r="E2924" s="17" t="str">
        <x:v>us:ipeds:155317:faculty:perry-alexander</x:v>
      </x:c>
      <x:c r="F2924" s="17" t="str">
        <x:v>recent work|research fit</x:v>
      </x:c>
      <x:c r="G2924" s="17" t="str">
        <x:v>Recent work supports the recorded TerraProbe/Evidex research overlap for Perry Alexander.</x:v>
      </x:c>
      <x:c r="H2924" s="17" t="str">
        <x:v>Recent scholarly work</x:v>
      </x:c>
      <x:c r="I2924" s="17" t="str">
        <x:v>OpenAlex / cited venue</x:v>
      </x:c>
      <x:c r="J2924" s="17" t="str">
        <x:v>secondary</x:v>
      </x:c>
      <x:c r="K2924" s="17" t="str">
        <x:v>2026-09-11</x:v>
      </x:c>
      <x:c r="L2924" s="17" t="str"/>
      <x:c r="M2924" s="17" t="str">
        <x:v>high</x:v>
      </x:c>
      <x:c r="N2924" s="17" t="str">
        <x:v>verified</x:v>
      </x:c>
      <x:c r="O2924" s="17" t="str">
        <x:v>Carried from verified regional deep-review evidence.</x:v>
      </x:c>
      <x:c r="P2924" s="18" t="e">
        <x:f>HYPERLINK("https://eecs.ku.edu/faculty","Open source")</x:f>
        <x:v>HYPERLINK is not implemented. linkLocation=https://eecs.ku.edu/faculty, friendlyName=Open source</x:v>
      </x:c>
    </x:row>
    <x:row r="2925" ht="46" customHeight="1">
      <x:c r="A2925" s="17" t="str">
        <x:v>stage4src:35f7c46e9a22c5af</x:v>
      </x:c>
      <x:c r="B2925" s="17" t="str">
        <x:v>professor</x:v>
      </x:c>
      <x:c r="C2925" s="17" t="str">
        <x:v>University of Rochester</x:v>
      </x:c>
      <x:c r="D2925" s="17" t="str">
        <x:v>us:ipeds:195030:program:phd:phd-program-in-computer-science</x:v>
      </x:c>
      <x:c r="E2925" s="17" t="str">
        <x:v>us:ipeds:195030:faculty:john-criswell</x:v>
      </x:c>
      <x:c r="F2925" s="17" t="str">
        <x:v>recent work|research fit</x:v>
      </x:c>
      <x:c r="G2925" s="17" t="str">
        <x:v>The university-hosted list records 2023-2024 memory-safety and return-address-protection work.</x:v>
      </x:c>
      <x:c r="H2925" s="17" t="str">
        <x:v>John Criswell Publications</x:v>
      </x:c>
      <x:c r="I2925" s="17" t="str">
        <x:v>University of Rochester</x:v>
      </x:c>
      <x:c r="J2925" s="17" t="str">
        <x:v>official</x:v>
      </x:c>
      <x:c r="K2925" s="17" t="str">
        <x:v>2026-09-11</x:v>
      </x:c>
      <x:c r="L2925" s="17" t="str">
        <x:v>2024</x:v>
      </x:c>
      <x:c r="M2925" s="17" t="str">
        <x:v>high</x:v>
      </x:c>
      <x:c r="N2925" s="17" t="str">
        <x:v>verified</x:v>
      </x:c>
      <x:c r="O2925" s="17" t="str">
        <x:v>Official publication list checked 2026-09-10.</x:v>
      </x:c>
      <x:c r="P2925" s="18" t="e">
        <x:f>HYPERLINK("https://www.cs.rochester.edu/u/criswell/pubs.html","Open source")</x:f>
        <x:v>HYPERLINK is not implemented. linkLocation=https://www.cs.rochester.edu/u/criswell/pubs.html, friendlyName=Open source</x:v>
      </x:c>
    </x:row>
    <x:row r="2926" ht="46" customHeight="1">
      <x:c r="A2926" s="17" t="str">
        <x:v>stage4src:3640e3b15a084539</x:v>
      </x:c>
      <x:c r="B2926" s="17" t="str">
        <x:v>professor</x:v>
      </x:c>
      <x:c r="C2926" s="17" t="str">
        <x:v>University of Rhode Island</x:v>
      </x:c>
      <x:c r="D2926" s="17" t="str">
        <x:v>us:ipeds:217484:program:phd:computer-science-ph-d</x:v>
      </x:c>
      <x:c r="E2926" s="17" t="str">
        <x:v>us:ipeds:217484:faculty:kaleel-mahmood</x:v>
      </x:c>
      <x:c r="F2926" s="17" t="str">
        <x:v>recent work|research fit</x:v>
      </x:c>
      <x:c r="G2926" s="17" t="str">
        <x:v>The 2025 work evaluates adversarial machine-learning risks in ballot-processing systems.</x:v>
      </x:c>
      <x:c r="H2926" s="17" t="str">
        <x:v>Busting the Paper Ballot: Voting Meets Adversarial Machine Learning</x:v>
      </x:c>
      <x:c r="I2926" s="17" t="str">
        <x:v>OpenAlex / cited venue</x:v>
      </x:c>
      <x:c r="J2926" s="17" t="str">
        <x:v>secondary</x:v>
      </x:c>
      <x:c r="K2926" s="17" t="str">
        <x:v>2026-09-11</x:v>
      </x:c>
      <x:c r="L2926" s="17" t="str">
        <x:v>2025</x:v>
      </x:c>
      <x:c r="M2926" s="17" t="str">
        <x:v>high</x:v>
      </x:c>
      <x:c r="N2926" s="17" t="str">
        <x:v>verified</x:v>
      </x:c>
      <x:c r="O2926" s="17" t="str">
        <x:v>Author-posted record checked 2026-09-11.</x:v>
      </x:c>
      <x:c r="P2926" s="18" t="e">
        <x:f>HYPERLINK("https://arxiv.org/abs/2506.14582","Open source")</x:f>
        <x:v>HYPERLINK is not implemented. linkLocation=https://arxiv.org/abs/2506.14582, friendlyName=Open source</x:v>
      </x:c>
    </x:row>
    <x:row r="2927" ht="46" customHeight="1">
      <x:c r="A2927" s="17" t="str">
        <x:v>stage4src:369cf3be42f53a49</x:v>
      </x:c>
      <x:c r="B2927" s="17" t="str">
        <x:v>professor</x:v>
      </x:c>
      <x:c r="C2927" s="17" t="str">
        <x:v>Ohio State University-Main Campus</x:v>
      </x:c>
      <x:c r="D2927" s="17" t="str">
        <x:v>us:ipeds:204796:program:phd:computer-science-and-engineering-phd</x:v>
      </x:c>
      <x:c r="E2927" s="17" t="str">
        <x:v>us:ipeds:204796:faculty:zhiqiang-lin</x:v>
      </x:c>
      <x:c r="F2927" s="17" t="str">
        <x:v>recent work|research fit</x:v>
      </x:c>
      <x:c r="G2927" s="17" t="str">
        <x:v>The official project page records a 2026-2027 firmware and wireless-device cybersecurity project led by Zhiqiang Lin.</x:v>
      </x:c>
      <x:c r="H2927" s="17" t="str">
        <x:v>Assessing Cybersecurity Risks of Vehicle Accessories with Wireless Connectivity and Firmware</x:v>
      </x:c>
      <x:c r="I2927" s="17" t="str">
        <x:v>Ohio State University-Main Campus</x:v>
      </x:c>
      <x:c r="J2927" s="17" t="str">
        <x:v>official</x:v>
      </x:c>
      <x:c r="K2927" s="17" t="str">
        <x:v>2026-09-11</x:v>
      </x:c>
      <x:c r="L2927" s="17" t="str">
        <x:v>2026</x:v>
      </x:c>
      <x:c r="M2927" s="17" t="str">
        <x:v>high</x:v>
      </x:c>
      <x:c r="N2927" s="17" t="str">
        <x:v>verified</x:v>
      </x:c>
      <x:c r="O2927" s="17" t="str">
        <x:v>Official active-project page checked 2026-09-10.</x:v>
      </x:c>
      <x:c r="P2927" s="18" t="e">
        <x:f>HYPERLINK("https://utc.engineering.osu.edu/assessing-cybersecurity-risks-vehicle-accessories-wireless-connectivity-firm-ware","Open source")</x:f>
        <x:v>HYPERLINK is not implemented. linkLocation=https://utc.engineering.osu.edu/assessing-cybersecurity-risks-vehicle-accessories-wireless-connectivity-firm-ware, friendlyName=Open source</x:v>
      </x:c>
    </x:row>
    <x:row r="2928" ht="46" customHeight="1">
      <x:c r="A2928" s="17" t="str">
        <x:v>stage4src:36f829d556ffa542</x:v>
      </x:c>
      <x:c r="B2928" s="17" t="str">
        <x:v>professor</x:v>
      </x:c>
      <x:c r="C2928" s="17" t="str">
        <x:v>Baylor University</x:v>
      </x:c>
      <x:c r="D2928" s="17" t="str">
        <x:v>us:ipeds:223232:program:phd:ph-d-in-computer-science</x:v>
      </x:c>
      <x:c r="E2928" s="17" t="str">
        <x:v>us:ipeds:223232:faculty:mengfei-ren</x:v>
      </x:c>
      <x:c r="F2928" s="17" t="str">
        <x:v>recent work|research fit</x:v>
      </x:c>
      <x:c r="G2928" s="17" t="str">
        <x:v>The 2025 HOST paper supports binary-detection and software-security overlap.</x:v>
      </x:c>
      <x:c r="H2928" s="17" t="str">
        <x:v>Low-Entropy Packed Binary Detection via Accurate Hardware Events Profiling</x:v>
      </x:c>
      <x:c r="I2928" s="17" t="str">
        <x:v>OpenAlex / cited venue</x:v>
      </x:c>
      <x:c r="J2928" s="17" t="str">
        <x:v>secondary</x:v>
      </x:c>
      <x:c r="K2928" s="17" t="str">
        <x:v>2026-09-11</x:v>
      </x:c>
      <x:c r="L2928" s="17" t="str">
        <x:v>2025</x:v>
      </x:c>
      <x:c r="M2928" s="17" t="str">
        <x:v>high</x:v>
      </x:c>
      <x:c r="N2928" s="17" t="str">
        <x:v>verified</x:v>
      </x:c>
      <x:c r="O2928" s="17" t="str">
        <x:v>IEEE record checked 2026-09-10.</x:v>
      </x:c>
      <x:c r="P2928" s="18" t="e">
        <x:f>HYPERLINK("https://ieeexplore.ieee.org/document/11050036","Open source")</x:f>
        <x:v>HYPERLINK is not implemented. linkLocation=https://ieeexplore.ieee.org/document/11050036, friendlyName=Open source</x:v>
      </x:c>
    </x:row>
    <x:row r="2929" ht="46" customHeight="1">
      <x:c r="A2929" s="17" t="str">
        <x:v>stage4src:370c08368d22cca5</x:v>
      </x:c>
      <x:c r="B2929" s="17" t="str">
        <x:v>professor</x:v>
      </x:c>
      <x:c r="C2929" s="17" t="str">
        <x:v>Howard University</x:v>
      </x:c>
      <x:c r="D2929" s="17" t="str">
        <x:v>us:ipeds:131520:program:phd:computer-science-ph-d</x:v>
      </x:c>
      <x:c r="E2929" s="17" t="str">
        <x:v>us:ipeds:131520:faculty:danda-b-rawat</x:v>
      </x:c>
      <x:c r="F2929" s="17" t="str">
        <x:v>current faculty roster|candidate longlist</x:v>
      </x:c>
      <x:c r="G2929" s="17" t="str">
        <x:v>The current EECS roster lists Rawat and the four encoded alternatives.</x:v>
      </x:c>
      <x:c r="H2929" s="17" t="str">
        <x:v>People EECS</x:v>
      </x:c>
      <x:c r="I2929" s="17" t="str">
        <x:v>Howard University</x:v>
      </x:c>
      <x:c r="J2929" s="17" t="str">
        <x:v>official</x:v>
      </x:c>
      <x:c r="K2929" s="17" t="str">
        <x:v>2026-09-11</x:v>
      </x:c>
      <x:c r="L2929" s="17" t="str">
        <x:v>2026</x:v>
      </x:c>
      <x:c r="M2929" s="17" t="str">
        <x:v>high</x:v>
      </x:c>
      <x:c r="N2929" s="17" t="str">
        <x:v>verified</x:v>
      </x:c>
      <x:c r="O2929" s="17" t="str">
        <x:v>Official roster checked 2026-09-11.</x:v>
      </x:c>
      <x:c r="P2929" s="18" t="e">
        <x:f>HYPERLINK("https://cea.howard.edu/academics/departments/electrical-engineering-and-computer-science/people-eecs","Open source")</x:f>
        <x:v>HYPERLINK is not implemented. linkLocation=https://cea.howard.edu/academics/departments/electrical-engineering-and-computer-science/people-eecs, friendlyName=Open source</x:v>
      </x:c>
    </x:row>
    <x:row r="2930" ht="46" customHeight="1">
      <x:c r="A2930" s="17" t="str">
        <x:v>stage4src:37735fa1f962bf8b</x:v>
      </x:c>
      <x:c r="B2930" s="17" t="str">
        <x:v>professor</x:v>
      </x:c>
      <x:c r="C2930" s="17" t="str">
        <x:v>Concordia University</x:v>
      </x:c>
      <x:c r="D2930" s="17" t="str">
        <x:v>ca:dli:O19359011007:program:thesis-or-research-master-s:master-of-computer-science-thesis</x:v>
      </x:c>
      <x:c r="E2930" s="17" t="str">
        <x:v>ca:dli:O19359011007:faculty:abdelwahab-hamou-lhadj</x:v>
      </x:c>
      <x:c r="F2930" s="17" t="str">
        <x:v>discovery publication signal|recent work</x:v>
      </x:c>
      <x:c r="G2930" s="17" t="str">
        <x:v>Publication metadata was examined for shortlist triage only; publication-time affiliation does not establish current appointment, supervision authority, or recruiting.</x:v>
      </x:c>
      <x:c r="H2930" s="17" t="str">
        <x:v>OpenAlex publication signal for Abdelwahab Hamou-Lhadj</x:v>
      </x:c>
      <x:c r="I2930" s="17" t="str">
        <x:v>OpenAlex / cited venue</x:v>
      </x:c>
      <x:c r="J2930" s="17" t="str">
        <x:v>secondary</x:v>
      </x:c>
      <x:c r="K2930" s="17" t="str">
        <x:v>2026-09-11</x:v>
      </x:c>
      <x:c r="L2930" s="17" t="str"/>
      <x:c r="M2930" s="17" t="str">
        <x:v>medium</x:v>
      </x:c>
      <x:c r="N2930" s="17" t="str">
        <x:v>discovery_only</x:v>
      </x:c>
      <x:c r="O2930" s="17" t="str">
        <x:v>Not used to award a professor score or faculty-depth point.</x:v>
      </x:c>
      <x:c r="P2930" s="18" t="e">
        <x:f>HYPERLINK("https://openalex.org/A5058884064","Open source")</x:f>
        <x:v>HYPERLINK is not implemented. linkLocation=https://openalex.org/A5058884064, friendlyName=Open source</x:v>
      </x:c>
    </x:row>
    <x:row r="2931" ht="46" customHeight="1">
      <x:c r="A2931" s="17" t="str">
        <x:v>stage4src:37c61becb2e5244c</x:v>
      </x:c>
      <x:c r="B2931" s="17" t="str">
        <x:v>professor</x:v>
      </x:c>
      <x:c r="C2931" s="17" t="str">
        <x:v>University of North Carolina at Charlotte</x:v>
      </x:c>
      <x:c r="D2931" s="17" t="str">
        <x:v>us:ipeds:199139:program:phd:computing-and-information-systems-phd-software-and-information-systems-track</x:v>
      </x:c>
      <x:c r="E2931" s="17" t="str">
        <x:v>us:ipeds:199139:faculty:jinpeng-wei</x:v>
      </x:c>
      <x:c r="F2931" s="17" t="str">
        <x:v>current appointment|program supervision authority|research themes|email</x:v>
      </x:c>
      <x:c r="G2931" s="17" t="str">
        <x:v>The current UNC Charlotte profile lists Jinpeng Wei in Software and Information Systems and documents systems-security and verification research.</x:v>
      </x:c>
      <x:c r="H2931" s="17" t="str">
        <x:v>Jinpeng Wei</x:v>
      </x:c>
      <x:c r="I2931" s="17" t="str">
        <x:v>University of North Carolina at Charlotte</x:v>
      </x:c>
      <x:c r="J2931" s="17" t="str">
        <x:v>official</x:v>
      </x:c>
      <x:c r="K2931" s="17" t="str">
        <x:v>2026-09-11</x:v>
      </x:c>
      <x:c r="L2931" s="17" t="str"/>
      <x:c r="M2931" s="17" t="str">
        <x:v>high</x:v>
      </x:c>
      <x:c r="N2931" s="17" t="str">
        <x:v>verified</x:v>
      </x:c>
      <x:c r="O2931" s="17" t="str">
        <x:v>Current official profile checked 2026-09-10.</x:v>
      </x:c>
      <x:c r="P2931" s="18" t="e">
        <x:f>HYPERLINK("https://cci.charlotte.edu/directory/jinpeng-wei/","Open source")</x:f>
        <x:v>HYPERLINK is not implemented. linkLocation=https://cci.charlotte.edu/directory/jinpeng-wei/, friendlyName=Open source</x:v>
      </x:c>
    </x:row>
    <x:row r="2932" ht="46" customHeight="1">
      <x:c r="A2932" s="17" t="str">
        <x:v>stage4src:38178c0d43953b2f</x:v>
      </x:c>
      <x:c r="B2932" s="17" t="str">
        <x:v>professor</x:v>
      </x:c>
      <x:c r="C2932" s="17" t="str">
        <x:v>University of Minnesota-Twin Cities</x:v>
      </x:c>
      <x:c r="D2932" s="17" t="str">
        <x:v>us:ipeds:174066:program:phd:computer-science-phd</x:v>
      </x:c>
      <x:c r="E2932" s="17" t="str">
        <x:v>us:ipeds:174066:faculty:kangjie-lu</x:v>
      </x:c>
      <x:c r="F2932" s="17" t="str">
        <x:v>recent work|research fit</x:v>
      </x:c>
      <x:c r="G2932" s="17" t="str">
        <x:v>The 2024 department profile describes current work on foundational software, open-source ecosystems, and AI-system security.</x:v>
      </x:c>
      <x:c r="H2932" s="17" t="str">
        <x:v>Meet the Faculty — Kangjie Lu</x:v>
      </x:c>
      <x:c r="I2932" s="17" t="str">
        <x:v>University of Minnesota-Twin Cities</x:v>
      </x:c>
      <x:c r="J2932" s="17" t="str">
        <x:v>official</x:v>
      </x:c>
      <x:c r="K2932" s="17" t="str">
        <x:v>2026-09-11</x:v>
      </x:c>
      <x:c r="L2932" s="17" t="str">
        <x:v>2024</x:v>
      </x:c>
      <x:c r="M2932" s="17" t="str">
        <x:v>high</x:v>
      </x:c>
      <x:c r="N2932" s="17" t="str">
        <x:v>verified</x:v>
      </x:c>
      <x:c r="O2932" s="17" t="str">
        <x:v>Official department article checked 2026-09-10.</x:v>
      </x:c>
      <x:c r="P2932" s="18" t="e">
        <x:f>HYPERLINK("https://cse.umn.edu/cs/news/meet-faculty-kangjie-lu","Open source")</x:f>
        <x:v>HYPERLINK is not implemented. linkLocation=https://cse.umn.edu/cs/news/meet-faculty-kangjie-lu, friendlyName=Open source</x:v>
      </x:c>
    </x:row>
    <x:row r="2933" ht="46" customHeight="1">
      <x:c r="A2933" s="17" t="str">
        <x:v>stage4src:386b3afbab1aa9b3</x:v>
      </x:c>
      <x:c r="B2933" s="17" t="str">
        <x:v>professor</x:v>
      </x:c>
      <x:c r="C2933" s="17" t="str">
        <x:v>Texas A&amp;M University-College Station</x:v>
      </x:c>
      <x:c r="D2933" s="17" t="str">
        <x:v>us:ipeds:228723:program:phd:doctor-of-philosophy-in-computer-science</x:v>
      </x:c>
      <x:c r="E2933" s="17" t="str"/>
      <x:c r="F2933" s="17" t="str">
        <x:v>current faculty roster|candidate longlist</x:v>
      </x:c>
      <x:c r="G2933" s="17" t="str">
        <x:v>Current official department roster or research-area faculty listing used to identify the five-person Stage 4 candidate longlist.</x:v>
      </x:c>
      <x:c r="H2933" s="17" t="str">
        <x:v>Texas A&amp;M University-College Station current faculty roster</x:v>
      </x:c>
      <x:c r="I2933" s="17" t="str">
        <x:v>Texas A&amp;M University-College Station</x:v>
      </x:c>
      <x:c r="J2933" s="17" t="str">
        <x:v>official</x:v>
      </x:c>
      <x:c r="K2933" s="17" t="str">
        <x:v>2026-09-11</x:v>
      </x:c>
      <x:c r="L2933" s="17" t="str"/>
      <x:c r="M2933" s="17" t="str">
        <x:v>high</x:v>
      </x:c>
      <x:c r="N2933" s="17" t="str">
        <x:v>verified</x:v>
      </x:c>
      <x:c r="O2933" s="17" t="str">
        <x:v>Roster evidence establishes a current listing, not program-specific supervision authority or recruiting.</x:v>
      </x:c>
      <x:c r="P2933" s="18" t="e">
        <x:f>HYPERLINK("https://engineering.tamu.edu/cse/profiles/index.html","Open source")</x:f>
        <x:v>HYPERLINK is not implemented. linkLocation=https://engineering.tamu.edu/cse/profiles/index.html, friendlyName=Open source</x:v>
      </x:c>
    </x:row>
    <x:row r="2934" ht="46" customHeight="1">
      <x:c r="A2934" s="17" t="str">
        <x:v>stage4src:38bcf509b62b33a0</x:v>
      </x:c>
      <x:c r="B2934" s="17" t="str">
        <x:v>professor</x:v>
      </x:c>
      <x:c r="C2934" s="17" t="str">
        <x:v>Carleton University</x:v>
      </x:c>
      <x:c r="D2934" s="17" t="str">
        <x:v>ca:dli:O19332687812:program:thesis-or-research-master-s:electrical-and-computer-engineering-masc-software-engineering-concentration</x:v>
      </x:c>
      <x:c r="E2934" s="17" t="str"/>
      <x:c r="F2934" s="17" t="str">
        <x:v>current faculty roster|candidate longlist</x:v>
      </x:c>
      <x:c r="G2934" s="17" t="str">
        <x:v>Current official department roster or research-area faculty listing used to identify the five-person Stage 4 candidate longlist.</x:v>
      </x:c>
      <x:c r="H2934" s="17" t="str">
        <x:v>Carleton University current faculty roster</x:v>
      </x:c>
      <x:c r="I2934" s="17" t="str">
        <x:v>Carleton University</x:v>
      </x:c>
      <x:c r="J2934" s="17" t="str">
        <x:v>official</x:v>
      </x:c>
      <x:c r="K2934" s="17" t="str">
        <x:v>2026-09-11</x:v>
      </x:c>
      <x:c r="L2934" s="17" t="str"/>
      <x:c r="M2934" s="17" t="str">
        <x:v>high</x:v>
      </x:c>
      <x:c r="N2934" s="17" t="str">
        <x:v>verified</x:v>
      </x:c>
      <x:c r="O2934" s="17" t="str">
        <x:v>Roster evidence establishes a current listing, not program-specific supervision authority or recruiting.</x:v>
      </x:c>
      <x:c r="P2934" s="18" t="e">
        <x:f>HYPERLINK("https://carleton.ca/sce/faculty/","Open source")</x:f>
        <x:v>HYPERLINK is not implemented. linkLocation=https://carleton.ca/sce/faculty/, friendlyName=Open source</x:v>
      </x:c>
    </x:row>
    <x:row r="2935" ht="46" customHeight="1">
      <x:c r="A2935" s="17" t="str">
        <x:v>stage4src:38ce2896634a104d</x:v>
      </x:c>
      <x:c r="B2935" s="17" t="str">
        <x:v>professor</x:v>
      </x:c>
      <x:c r="C2935" s="17" t="str">
        <x:v>Carnegie Mellon University</x:v>
      </x:c>
      <x:c r="D2935" s="17" t="str">
        <x:v>us:ipeds:211440:program:phd:software-engineering-phd</x:v>
      </x:c>
      <x:c r="E2935" s="17" t="str"/>
      <x:c r="F2935" s="17" t="str">
        <x:v>current faculty roster|candidate longlist</x:v>
      </x:c>
      <x:c r="G2935" s="17" t="str">
        <x:v>Current official department roster or research-area faculty listing used to identify the five-person Stage 4 candidate longlist.</x:v>
      </x:c>
      <x:c r="H2935" s="17" t="str">
        <x:v>Carnegie Mellon University current faculty roster</x:v>
      </x:c>
      <x:c r="I2935" s="17" t="str">
        <x:v>Carnegie Mellon University</x:v>
      </x:c>
      <x:c r="J2935" s="17" t="str">
        <x:v>official</x:v>
      </x:c>
      <x:c r="K2935" s="17" t="str">
        <x:v>2026-09-11</x:v>
      </x:c>
      <x:c r="L2935" s="17" t="str"/>
      <x:c r="M2935" s="17" t="str">
        <x:v>high</x:v>
      </x:c>
      <x:c r="N2935" s="17" t="str">
        <x:v>verified</x:v>
      </x:c>
      <x:c r="O2935" s="17" t="str">
        <x:v>Roster evidence establishes a current listing, not program-specific supervision authority or recruiting.</x:v>
      </x:c>
      <x:c r="P2935" s="18" t="e">
        <x:f>HYPERLINK("https://s3d.cmu.edu/people/faculty-index.html","Open source")</x:f>
        <x:v>HYPERLINK is not implemented. linkLocation=https://s3d.cmu.edu/people/faculty-index.html, friendlyName=Open source</x:v>
      </x:c>
    </x:row>
    <x:row r="2936" ht="46" customHeight="1">
      <x:c r="A2936" s="17" t="str">
        <x:v>stage4src:398d56caea608b9e</x:v>
      </x:c>
      <x:c r="B2936" s="17" t="str">
        <x:v>professor</x:v>
      </x:c>
      <x:c r="C2936" s="17" t="str">
        <x:v>Drexel University</x:v>
      </x:c>
      <x:c r="D2936" s="17" t="str">
        <x:v>us:ipeds:212054:program:phd:phd-in-computer-science</x:v>
      </x:c>
      <x:c r="E2936" s="17" t="str"/>
      <x:c r="F2936" s="17" t="str">
        <x:v>current faculty roster|candidate longlist</x:v>
      </x:c>
      <x:c r="G2936" s="17" t="str">
        <x:v>Current official department roster or research-area faculty listing used to identify the five-person Stage 4 candidate longlist.</x:v>
      </x:c>
      <x:c r="H2936" s="17" t="str">
        <x:v>Drexel University current faculty roster</x:v>
      </x:c>
      <x:c r="I2936" s="17" t="str">
        <x:v>Drexel University</x:v>
      </x:c>
      <x:c r="J2936" s="17" t="str">
        <x:v>official</x:v>
      </x:c>
      <x:c r="K2936" s="17" t="str">
        <x:v>2026-09-11</x:v>
      </x:c>
      <x:c r="L2936" s="17" t="str"/>
      <x:c r="M2936" s="17" t="str">
        <x:v>high</x:v>
      </x:c>
      <x:c r="N2936" s="17" t="str">
        <x:v>verified</x:v>
      </x:c>
      <x:c r="O2936" s="17" t="str">
        <x:v>Roster evidence establishes a current listing, not program-specific supervision authority or recruiting.</x:v>
      </x:c>
      <x:c r="P2936" s="18" t="e">
        <x:f>HYPERLINK("https://drexel.edu/cci/academics/computer-science-department/faculty/","Open source")</x:f>
        <x:v>HYPERLINK is not implemented. linkLocation=https://drexel.edu/cci/academics/computer-science-department/faculty/, friendlyName=Open source</x:v>
      </x:c>
    </x:row>
    <x:row r="2937" ht="46" customHeight="1">
      <x:c r="A2937" s="17" t="str">
        <x:v>stage4src:3996ba13af633922</x:v>
      </x:c>
      <x:c r="B2937" s="17" t="str">
        <x:v>professor</x:v>
      </x:c>
      <x:c r="C2937" s="17" t="str">
        <x:v>Rice University</x:v>
      </x:c>
      <x:c r="D2937" s="17" t="str">
        <x:v>us:ipeds:227757:program:phd:ph-d-in-computer-science</x:v>
      </x:c>
      <x:c r="E2937" s="17" t="str">
        <x:v>us:ipeds:227757:faculty:jiarong-xing</x:v>
      </x:c>
      <x:c r="F2937" s="17" t="str">
        <x:v>current appointment|research themes|email</x:v>
      </x:c>
      <x:c r="G2937" s="17" t="str">
        <x:v>Rice lists Xing as a current Computer Science Assistant Professor and provides his email and research areas.</x:v>
      </x:c>
      <x:c r="H2937" s="17" t="str">
        <x:v>Jiarong Xing</x:v>
      </x:c>
      <x:c r="I2937" s="17" t="str">
        <x:v>Rice University</x:v>
      </x:c>
      <x:c r="J2937" s="17" t="str">
        <x:v>official</x:v>
      </x:c>
      <x:c r="K2937" s="17" t="str">
        <x:v>2026-09-11</x:v>
      </x:c>
      <x:c r="L2937" s="17" t="str">
        <x:v>2026</x:v>
      </x:c>
      <x:c r="M2937" s="17" t="str">
        <x:v>high</x:v>
      </x:c>
      <x:c r="N2937" s="17" t="str">
        <x:v>verified</x:v>
      </x:c>
      <x:c r="O2937" s="17" t="str">
        <x:v>Current official profile checked 2026-09-10.</x:v>
      </x:c>
      <x:c r="P2937" s="18" t="e">
        <x:f>HYPERLINK("https://profiles.rice.edu/faculty/jiarong-xing-0","Open source")</x:f>
        <x:v>HYPERLINK is not implemented. linkLocation=https://profiles.rice.edu/faculty/jiarong-xing-0, friendlyName=Open source</x:v>
      </x:c>
    </x:row>
    <x:row r="2938" ht="46" customHeight="1">
      <x:c r="A2938" s="17" t="str">
        <x:v>stage4src:3a6fbf59a37952af</x:v>
      </x:c>
      <x:c r="B2938" s="17" t="str">
        <x:v>professor</x:v>
      </x:c>
      <x:c r="C2938" s="17" t="str">
        <x:v>Simon Fraser University</x:v>
      </x:c>
      <x:c r="D2938" s="17" t="str">
        <x:v>ca:dli:O18781994282:program:thesis-or-research-master-s:master-of-applied-science-in-engineering-science</x:v>
      </x:c>
      <x:c r="E2938" s="17" t="str">
        <x:v>ca:dli:O18781994282:faculty:zhenman-fang</x:v>
      </x:c>
      <x:c r="F2938" s="17" t="str">
        <x:v>current appointment|department|email|research themes</x:v>
      </x:c>
      <x:c r="G2938" s="17" t="str">
        <x:v>SFU lists Fang as current Engineering Science Associate Professor working across compilers, runtimes, software-defined acceleration, big-data systems, and evaluation.</x:v>
      </x:c>
      <x:c r="H2938" s="17" t="str">
        <x:v>Zhenman Fang</x:v>
      </x:c>
      <x:c r="I2938" s="17" t="str">
        <x:v>Simon Fraser University</x:v>
      </x:c>
      <x:c r="J2938" s="17" t="str">
        <x:v>official</x:v>
      </x:c>
      <x:c r="K2938" s="17" t="str">
        <x:v>2026-09-11</x:v>
      </x:c>
      <x:c r="L2938" s="17" t="str">
        <x:v>2026</x:v>
      </x:c>
      <x:c r="M2938" s="17" t="str">
        <x:v>high</x:v>
      </x:c>
      <x:c r="N2938" s="17" t="str">
        <x:v>verified</x:v>
      </x:c>
      <x:c r="O2938" s="17" t="str">
        <x:v>Live official profile checked 2026-09-11.</x:v>
      </x:c>
      <x:c r="P2938" s="18" t="e">
        <x:f>HYPERLINK("https://www.sfu.ca/fas/schools/engineering-science/faculty/faculty-members/zhenman-fang.html","Open source")</x:f>
        <x:v>HYPERLINK is not implemented. linkLocation=https://www.sfu.ca/fas/schools/engineering-science/faculty/faculty-members/zhenman-fang.html, friendlyName=Open source</x:v>
      </x:c>
    </x:row>
    <x:row r="2939" ht="46" customHeight="1">
      <x:c r="A2939" s="17" t="str">
        <x:v>stage4src:3ac0872b185d29fd</x:v>
      </x:c>
      <x:c r="B2939" s="17" t="str">
        <x:v>professor</x:v>
      </x:c>
      <x:c r="C2939" s="17" t="str">
        <x:v>University of Calgary</x:v>
      </x:c>
      <x:c r="D2939" s="17" t="str">
        <x:v>ca:dli:O18886830282:program:direct-entry-phd:phd-in-computer-science-without-completed-msc</x:v>
      </x:c>
      <x:c r="E2939" s="17" t="str"/>
      <x:c r="F2939" s="17" t="str">
        <x:v>current faculty roster|candidate longlist</x:v>
      </x:c>
      <x:c r="G2939" s="17" t="str">
        <x:v>Current official department roster or research-area faculty listing used to identify the five-person Stage 4 candidate longlist.</x:v>
      </x:c>
      <x:c r="H2939" s="17" t="str">
        <x:v>University of Calgary current faculty roster</x:v>
      </x:c>
      <x:c r="I2939" s="17" t="str">
        <x:v>University of Calgary</x:v>
      </x:c>
      <x:c r="J2939" s="17" t="str">
        <x:v>official</x:v>
      </x:c>
      <x:c r="K2939" s="17" t="str">
        <x:v>2026-09-11</x:v>
      </x:c>
      <x:c r="L2939" s="17" t="str"/>
      <x:c r="M2939" s="17" t="str">
        <x:v>high</x:v>
      </x:c>
      <x:c r="N2939" s="17" t="str">
        <x:v>verified</x:v>
      </x:c>
      <x:c r="O2939" s="17" t="str">
        <x:v>Roster evidence establishes a current listing, not program-specific supervision authority or recruiting.</x:v>
      </x:c>
      <x:c r="P2939" s="18" t="e">
        <x:f>HYPERLINK("https://science.ucalgary.ca/computer-science/contacts/faculty-members","Open source")</x:f>
        <x:v>HYPERLINK is not implemented. linkLocation=https://science.ucalgary.ca/computer-science/contacts/faculty-members, friendlyName=Open source</x:v>
      </x:c>
    </x:row>
    <x:row r="2940" ht="46" customHeight="1">
      <x:c r="A2940" s="17" t="str">
        <x:v>stage4src:3afea5a098e5f015</x:v>
      </x:c>
      <x:c r="B2940" s="17" t="str">
        <x:v>professor</x:v>
      </x:c>
      <x:c r="C2940" s="17" t="str">
        <x:v>Georgia Institute of Technology-Main Campus</x:v>
      </x:c>
      <x:c r="D2940" s="17" t="str">
        <x:v>us:ipeds:139755:program:phd:computer-science-phd</x:v>
      </x:c>
      <x:c r="E2940" s="17" t="str"/>
      <x:c r="F2940" s="17" t="str">
        <x:v>current faculty roster|candidate longlist</x:v>
      </x:c>
      <x:c r="G2940" s="17" t="str">
        <x:v>Current official department roster or research-area faculty listing used to identify the five-person Stage 4 candidate longlist.</x:v>
      </x:c>
      <x:c r="H2940" s="17" t="str">
        <x:v>Georgia Institute of Technology-Main Campus current faculty roster</x:v>
      </x:c>
      <x:c r="I2940" s="17" t="str">
        <x:v>Georgia Institute of Technology-Main Campus</x:v>
      </x:c>
      <x:c r="J2940" s="17" t="str">
        <x:v>official</x:v>
      </x:c>
      <x:c r="K2940" s="17" t="str">
        <x:v>2026-09-11</x:v>
      </x:c>
      <x:c r="L2940" s="17" t="str"/>
      <x:c r="M2940" s="17" t="str">
        <x:v>high</x:v>
      </x:c>
      <x:c r="N2940" s="17" t="str">
        <x:v>verified</x:v>
      </x:c>
      <x:c r="O2940" s="17" t="str">
        <x:v>Roster evidence establishes a current listing, not program-specific supervision authority or recruiting.</x:v>
      </x:c>
      <x:c r="P2940" s="18" t="e">
        <x:f>HYPERLINK("https://www.scs.gatech.edu/people/faculty","Open source")</x:f>
        <x:v>HYPERLINK is not implemented. linkLocation=https://www.scs.gatech.edu/people/faculty, friendlyName=Open source</x:v>
      </x:c>
    </x:row>
    <x:row r="2941" ht="46" customHeight="1">
      <x:c r="A2941" s="17" t="str">
        <x:v>stage4src:3b873ae472834bb3</x:v>
      </x:c>
      <x:c r="B2941" s="17" t="str">
        <x:v>professor</x:v>
      </x:c>
      <x:c r="C2941" s="17" t="str">
        <x:v>McGill University</x:v>
      </x:c>
      <x:c r="D2941" s="17" t="str">
        <x:v>ca:dli:O19359011033:program:thesis-or-research-master-s:electrical-engineering-thesis-m-sc</x:v>
      </x:c>
      <x:c r="E2941" s="17" t="str">
        <x:v>ca:dli:O19359011033:faculty:d-niel-varr</x:v>
      </x:c>
      <x:c r="F2941" s="17" t="str">
        <x:v>recent work|LLM reliability|model-based engineering|supervision</x:v>
      </x:c>
      <x:c r="G2941" s="17" t="str">
        <x:v>The 2025 ECE record identifies Varró as co-supervisor of work applying model-based methods to LLM reliability in software-engineering tasks.</x:v>
      </x:c>
      <x:c r="H2941" s="17" t="str">
        <x:v>PhD defence: Domain-Driven and Consistent Integration of Large Language Models</x:v>
      </x:c>
      <x:c r="I2941" s="17" t="str">
        <x:v>McGill University</x:v>
      </x:c>
      <x:c r="J2941" s="17" t="str">
        <x:v>official</x:v>
      </x:c>
      <x:c r="K2941" s="17" t="str">
        <x:v>2026-09-11</x:v>
      </x:c>
      <x:c r="L2941" s="17" t="str">
        <x:v>2025</x:v>
      </x:c>
      <x:c r="M2941" s="17" t="str">
        <x:v>high</x:v>
      </x:c>
      <x:c r="N2941" s="17" t="str">
        <x:v>verified</x:v>
      </x:c>
      <x:c r="O2941" s="17" t="str">
        <x:v>Official ECE record checked 2026-09-11.</x:v>
      </x:c>
      <x:c r="P2941" s="18" t="e">
        <x:f>HYPERLINK("https://www.mcgill.ca/ece/channels/event/phd-defence-boqi-percy-chen-domain-driven-and-consistent-integration-large-language-models-input-368031","Open source")</x:f>
        <x:v>HYPERLINK is not implemented. linkLocation=https://www.mcgill.ca/ece/channels/event/phd-defence-boqi-percy-chen-domain-driven-and-consistent-integration-large-language-models-input-368031, friendlyName=Open source</x:v>
      </x:c>
    </x:row>
    <x:row r="2942" ht="46" customHeight="1">
      <x:c r="A2942" s="17" t="str">
        <x:v>stage4src:3bbb5d4150cc6b49</x:v>
      </x:c>
      <x:c r="B2942" s="17" t="str">
        <x:v>professor</x:v>
      </x:c>
      <x:c r="C2942" s="17" t="str">
        <x:v>Concordia University</x:v>
      </x:c>
      <x:c r="D2942" s="17" t="str">
        <x:v>ca:dli:O19359011007:program:thesis-or-research-master-s:master-of-computer-science-thesis</x:v>
      </x:c>
      <x:c r="E2942" s="17" t="str"/>
      <x:c r="F2942" s="17" t="str">
        <x:v>current faculty roster|candidate longlist</x:v>
      </x:c>
      <x:c r="G2942" s="17" t="str">
        <x:v>Current official department roster or research-area faculty listing used to identify the five-person Stage 4 candidate longlist.</x:v>
      </x:c>
      <x:c r="H2942" s="17" t="str">
        <x:v>Concordia University current faculty roster</x:v>
      </x:c>
      <x:c r="I2942" s="17" t="str">
        <x:v>Concordia University</x:v>
      </x:c>
      <x:c r="J2942" s="17" t="str">
        <x:v>official</x:v>
      </x:c>
      <x:c r="K2942" s="17" t="str">
        <x:v>2026-09-11</x:v>
      </x:c>
      <x:c r="L2942" s="17" t="str"/>
      <x:c r="M2942" s="17" t="str">
        <x:v>high</x:v>
      </x:c>
      <x:c r="N2942" s="17" t="str">
        <x:v>verified</x:v>
      </x:c>
      <x:c r="O2942" s="17" t="str">
        <x:v>Roster evidence establishes a current listing, not program-specific supervision authority or recruiting.</x:v>
      </x:c>
      <x:c r="P2942" s="18" t="e">
        <x:f>HYPERLINK("https://www.concordia.ca/ginacody/computer-science-software-eng/about/faculty-members.html","Open source")</x:f>
        <x:v>HYPERLINK is not implemented. linkLocation=https://www.concordia.ca/ginacody/computer-science-software-eng/about/faculty-members.html, friendlyName=Open source</x:v>
      </x:c>
    </x:row>
    <x:row r="2943" ht="46" customHeight="1">
      <x:c r="A2943" s="17" t="str">
        <x:v>stage4src:3c79c57df082768b</x:v>
      </x:c>
      <x:c r="B2943" s="17" t="str">
        <x:v>professor</x:v>
      </x:c>
      <x:c r="C2943" s="17" t="str">
        <x:v>University of North Carolina at Charlotte</x:v>
      </x:c>
      <x:c r="D2943" s="17" t="str">
        <x:v>us:ipeds:199139:program:phd:computing-and-information-systems-phd-software-and-information-systems-track</x:v>
      </x:c>
      <x:c r="E2943" s="17" t="str">
        <x:v>us:ipeds:199139:faculty:jinpeng-wei</x:v>
      </x:c>
      <x:c r="F2943" s="17" t="str">
        <x:v>current doctoral supervision authority</x:v>
      </x:c>
      <x:c r="G2943" s="17" t="str">
        <x:v>The official 2025 doctoral record identifies Jinpeng Wei as a dissertation advisor in the Computing and Information Systems program.</x:v>
      </x:c>
      <x:c r="H2943" s="17" t="str">
        <x:v>UNC Charlotte August 2025 commencement program</x:v>
      </x:c>
      <x:c r="I2943" s="17" t="str">
        <x:v>University of North Carolina at Charlotte</x:v>
      </x:c>
      <x:c r="J2943" s="17" t="str">
        <x:v>official</x:v>
      </x:c>
      <x:c r="K2943" s="17" t="str">
        <x:v>2026-09-11</x:v>
      </x:c>
      <x:c r="L2943" s="17" t="str">
        <x:v>2025</x:v>
      </x:c>
      <x:c r="M2943" s="17" t="str">
        <x:v>high</x:v>
      </x:c>
      <x:c r="N2943" s="17" t="str">
        <x:v>verified</x:v>
      </x:c>
      <x:c r="O2943" s="17" t="str">
        <x:v>Official university doctoral record checked 2026-09-10.</x:v>
      </x:c>
      <x:c r="P2943" s="18" t="e">
        <x:f>HYPERLINK("https://commencement.charlotte.edu/wp-content/uploads/sites/795/2025/08/UNC-Charlotte-Commencement-August-2025.pdf","Open source")</x:f>
        <x:v>HYPERLINK is not implemented. linkLocation=https://commencement.charlotte.edu/wp-content/uploads/sites/795/2025/08/UNC-Charlotte-Commencement-August-2025.pdf, friendlyName=Open source</x:v>
      </x:c>
    </x:row>
    <x:row r="2944" ht="46" customHeight="1">
      <x:c r="A2944" s="17" t="str">
        <x:v>stage4src:3cef6f5e2d6625f3</x:v>
      </x:c>
      <x:c r="B2944" s="17" t="str">
        <x:v>professor</x:v>
      </x:c>
      <x:c r="C2944" s="17" t="str">
        <x:v>University of South Florida</x:v>
      </x:c>
      <x:c r="D2944" s="17" t="str">
        <x:v>us:ipeds:137351:program:phd:ph-d-in-computer-science-and-engineering</x:v>
      </x:c>
      <x:c r="E2944" s="17" t="str"/>
      <x:c r="F2944" s="17" t="str">
        <x:v>current faculty roster|candidate longlist</x:v>
      </x:c>
      <x:c r="G2944" s="17" t="str">
        <x:v>Current official department roster or research-area faculty listing used to identify the five-person Stage 4 candidate longlist.</x:v>
      </x:c>
      <x:c r="H2944" s="17" t="str">
        <x:v>University of South Florida current faculty roster</x:v>
      </x:c>
      <x:c r="I2944" s="17" t="str">
        <x:v>University of South Florida</x:v>
      </x:c>
      <x:c r="J2944" s="17" t="str">
        <x:v>official</x:v>
      </x:c>
      <x:c r="K2944" s="17" t="str">
        <x:v>2026-09-11</x:v>
      </x:c>
      <x:c r="L2944" s="17" t="str"/>
      <x:c r="M2944" s="17" t="str">
        <x:v>high</x:v>
      </x:c>
      <x:c r="N2944" s="17" t="str">
        <x:v>verified</x:v>
      </x:c>
      <x:c r="O2944" s="17" t="str">
        <x:v>Roster evidence establishes a current listing, not program-specific supervision authority or recruiting.</x:v>
      </x:c>
      <x:c r="P2944" s="18" t="e">
        <x:f>HYPERLINK("https://www.usf.edu/ai-cybersecurity-computing/people/faculty/","Open source")</x:f>
        <x:v>HYPERLINK is not implemented. linkLocation=https://www.usf.edu/ai-cybersecurity-computing/people/faculty/, friendlyName=Open source</x:v>
      </x:c>
    </x:row>
    <x:row r="2945" ht="46" customHeight="1">
      <x:c r="A2945" s="17" t="str">
        <x:v>stage4src:3d3a426d4d1d56db</x:v>
      </x:c>
      <x:c r="B2945" s="17" t="str">
        <x:v>professor</x:v>
      </x:c>
      <x:c r="C2945" s="17" t="str">
        <x:v>University of Toronto</x:v>
      </x:c>
      <x:c r="D2945" s="17" t="str">
        <x:v>ca:dli:O19332746152:program:direct-entry-phd:phd-in-computer-science-phd-u</x:v>
      </x:c>
      <x:c r="E2945" s="17" t="str">
        <x:v>ca:dli:O19332746152:faculty:marsha-chechik</x:v>
      </x:c>
      <x:c r="F2945" s="17" t="str">
        <x:v>recent work|research fit</x:v>
      </x:c>
      <x:c r="G2945" s="17" t="str">
        <x:v>2025 conference profile lists Automated Codebase Reconciliation using LLMs and related SE work.</x:v>
      </x:c>
      <x:c r="H2945" s="17" t="str">
        <x:v>Marsha Chechik - ICSR 2025</x:v>
      </x:c>
      <x:c r="I2945" s="17" t="str">
        <x:v>University of Toronto</x:v>
      </x:c>
      <x:c r="J2945" s="17" t="str">
        <x:v>official</x:v>
      </x:c>
      <x:c r="K2945" s="17" t="str">
        <x:v>2026-09-11</x:v>
      </x:c>
      <x:c r="L2945" s="17" t="str">
        <x:v>2025</x:v>
      </x:c>
      <x:c r="M2945" s="17" t="str">
        <x:v>high</x:v>
      </x:c>
      <x:c r="N2945" s="17" t="str">
        <x:v>verified</x:v>
      </x:c>
      <x:c r="O2945" s="17" t="str">
        <x:v>No search snippet used as final evidence; URL/page content reviewed.</x:v>
      </x:c>
      <x:c r="P2945" s="18" t="e">
        <x:f>HYPERLINK("https://conf.researchr.org/profile/icsr-2025/marshachechik","Open source")</x:f>
        <x:v>HYPERLINK is not implemented. linkLocation=https://conf.researchr.org/profile/icsr-2025/marshachechik, friendlyName=Open source</x:v>
      </x:c>
    </x:row>
    <x:row r="2946" ht="46" customHeight="1">
      <x:c r="A2946" s="17" t="str">
        <x:v>stage4src:3d503077e55084a9</x:v>
      </x:c>
      <x:c r="B2946" s="17" t="str">
        <x:v>professor</x:v>
      </x:c>
      <x:c r="C2946" s="17" t="str">
        <x:v>Clemson University</x:v>
      </x:c>
      <x:c r="D2946" s="17" t="str">
        <x:v>us:ipeds:217882:program:phd:computer-science-phd</x:v>
      </x:c>
      <x:c r="E2946" s="17" t="str">
        <x:v>us:ipeds:217882:faculty:paige-rodeghero</x:v>
      </x:c>
      <x:c r="F2946" s="17" t="str">
        <x:v>current appointment|email</x:v>
      </x:c>
      <x:c r="G2946" s="17" t="str">
        <x:v>The current roster identifies Paige Rodeghero as an Associate Professor in the School of Computing and provides her email.</x:v>
      </x:c>
      <x:c r="H2946" s="17" t="str">
        <x:v>School of Computing Faculty and Staff</x:v>
      </x:c>
      <x:c r="I2946" s="17" t="str">
        <x:v>Clemson University</x:v>
      </x:c>
      <x:c r="J2946" s="17" t="str">
        <x:v>official</x:v>
      </x:c>
      <x:c r="K2946" s="17" t="str">
        <x:v>2026-09-11</x:v>
      </x:c>
      <x:c r="L2946" s="17" t="str">
        <x:v>2026</x:v>
      </x:c>
      <x:c r="M2946" s="17" t="str">
        <x:v>high</x:v>
      </x:c>
      <x:c r="N2946" s="17" t="str">
        <x:v>verified</x:v>
      </x:c>
      <x:c r="O2946" s="17" t="str">
        <x:v>Current official roster checked 2026-09-10.</x:v>
      </x:c>
      <x:c r="P2946" s="18" t="e">
        <x:f>HYPERLINK("https://www.clemson.edu/cecas/departments/computing/people/","Open source")</x:f>
        <x:v>HYPERLINK is not implemented. linkLocation=https://www.clemson.edu/cecas/departments/computing/people/, friendlyName=Open source</x:v>
      </x:c>
    </x:row>
    <x:row r="2947" ht="46" customHeight="1">
      <x:c r="A2947" s="17" t="str">
        <x:v>stage4src:3d5a23c3b596f210</x:v>
      </x:c>
      <x:c r="B2947" s="17" t="str">
        <x:v>professor</x:v>
      </x:c>
      <x:c r="C2947" s="17" t="str">
        <x:v>University of Florence</x:v>
      </x:c>
      <x:c r="D2947" s="17" t="str">
        <x:v>ror:04jr1s763:program:thesis-or-research-master-s:msc-in-software-science-and-technology</x:v>
      </x:c>
      <x:c r="E2947" s="17" t="str">
        <x:v>ror:04jr1s763:faculty:andrea-ceccarelli</x:v>
      </x:c>
      <x:c r="F2947" s="17" t="str">
        <x:v>program context|prospective-student instructions</x:v>
      </x:c>
      <x:c r="G2947" s="17" t="str">
        <x:v>The official page establishes the current Software: Science and Technology master's program.</x:v>
      </x:c>
      <x:c r="H2947" s="17" t="str">
        <x:v>Software: Science and Technology</x:v>
      </x:c>
      <x:c r="I2947" s="17" t="str">
        <x:v>University of Florence</x:v>
      </x:c>
      <x:c r="J2947" s="17" t="str">
        <x:v>official</x:v>
      </x:c>
      <x:c r="K2947" s="17" t="str">
        <x:v>2026-09-11</x:v>
      </x:c>
      <x:c r="L2947" s="17" t="str">
        <x:v>2026</x:v>
      </x:c>
      <x:c r="M2947" s="17" t="str">
        <x:v>high</x:v>
      </x:c>
      <x:c r="N2947" s="17" t="str">
        <x:v>verified</x:v>
      </x:c>
      <x:c r="O2947" s="17" t="str">
        <x:v>Live official page checked 2026-09-11.</x:v>
      </x:c>
      <x:c r="P2947" s="18" t="e">
        <x:f>HYPERLINK("https://www.unifi.it/en/study-us/degree-programs/second-cycle-degree/software-science-and-technology","Open source")</x:f>
        <x:v>HYPERLINK is not implemented. linkLocation=https://www.unifi.it/en/study-us/degree-programs/second-cycle-degree/software-science-and-technology, friendlyName=Open source</x:v>
      </x:c>
    </x:row>
    <x:row r="2948" ht="46" customHeight="1">
      <x:c r="A2948" s="17" t="str">
        <x:v>stage4src:3dc3df633b800711</x:v>
      </x:c>
      <x:c r="B2948" s="17" t="str">
        <x:v>professor</x:v>
      </x:c>
      <x:c r="C2948" s="17" t="str">
        <x:v>École Polytechnique de Montréal</x:v>
      </x:c>
      <x:c r="D2948" s="17" t="str">
        <x:v>ca:dli:O19359011070:program:thesis-or-research-master-s:research-master-s-in-computer-engineering-software-engineering-option</x:v>
      </x:c>
      <x:c r="E2948" s="17" t="str">
        <x:v>ca:dli:O19359011070:faculty:maxime-lamothe</x:v>
      </x:c>
      <x:c r="F2948" s="17" t="str">
        <x:v>recent work|trace analysis|ML-enhanced software tools|research fit</x:v>
      </x:c>
      <x:c r="G2948" s="17" t="str">
        <x:v>The official 2025 ASE publication record supports trace-analysis and ML-enhanced developer-tool overlap.</x:v>
      </x:c>
      <x:c r="H2948" s="17" t="str">
        <x:v>From Technical Excellence to Practical Adoption: Lessons Learned Building an ML-Enhanced Trace Analysis Tool</x:v>
      </x:c>
      <x:c r="I2948" s="17" t="str">
        <x:v>École Polytechnique de Montréal</x:v>
      </x:c>
      <x:c r="J2948" s="17" t="str">
        <x:v>official</x:v>
      </x:c>
      <x:c r="K2948" s="17" t="str">
        <x:v>2026-09-11</x:v>
      </x:c>
      <x:c r="L2948" s="17" t="str">
        <x:v>2025</x:v>
      </x:c>
      <x:c r="M2948" s="17" t="str">
        <x:v>high</x:v>
      </x:c>
      <x:c r="N2948" s="17" t="str">
        <x:v>verified</x:v>
      </x:c>
      <x:c r="O2948" s="17" t="str">
        <x:v>Official Polytechnique repository record checked 2026-09-10; page retrieval timed out once but the current expert publication list independently records the work.</x:v>
      </x:c>
      <x:c r="P2948" s="18" t="e">
        <x:f>HYPERLINK("https://publications.polymtl.ca/72103/","Open source")</x:f>
        <x:v>HYPERLINK is not implemented. linkLocation=https://publications.polymtl.ca/72103/, friendlyName=Open source</x:v>
      </x:c>
    </x:row>
    <x:row r="2949" ht="46" customHeight="1">
      <x:c r="A2949" s="17" t="str">
        <x:v>stage4src:3e11538b60bf37e9</x:v>
      </x:c>
      <x:c r="B2949" s="17" t="str">
        <x:v>professor</x:v>
      </x:c>
      <x:c r="C2949" s="17" t="str">
        <x:v>University of Victoria</x:v>
      </x:c>
      <x:c r="D2949" s="17" t="str">
        <x:v>ca:dli:O19280533442:program:thesis-or-research-master-s:master-of-applied-science-in-electrical-and-computer-engineering</x:v>
      </x:c>
      <x:c r="E2949" s="17" t="str">
        <x:v>ca:dli:O19280533442:faculty:issa-traor</x:v>
      </x:c>
      <x:c r="F2949" s="17" t="str">
        <x:v>recent work|research fit</x:v>
      </x:c>
      <x:c r="G2949" s="17" t="str">
        <x:v>The 2025 paper supports anomaly-detection, security-measurement, and adaptive-analysis overlap.</x:v>
      </x:c>
      <x:c r="H2949" s="17" t="str">
        <x:v>A Self-adaptive Hybrid Network Anomaly Detection Engine</x:v>
      </x:c>
      <x:c r="I2949" s="17" t="str">
        <x:v>OpenAlex / cited venue</x:v>
      </x:c>
      <x:c r="J2949" s="17" t="str">
        <x:v>secondary</x:v>
      </x:c>
      <x:c r="K2949" s="17" t="str">
        <x:v>2026-09-11</x:v>
      </x:c>
      <x:c r="L2949" s="17" t="str">
        <x:v>2025</x:v>
      </x:c>
      <x:c r="M2949" s="17" t="str">
        <x:v>high</x:v>
      </x:c>
      <x:c r="N2949" s="17" t="str">
        <x:v>verified</x:v>
      </x:c>
      <x:c r="O2949" s="17" t="str">
        <x:v>DOI checked 2026-09-10.</x:v>
      </x:c>
      <x:c r="P2949" s="18" t="e">
        <x:f>HYPERLINK("https://doi.org/10.1016/j.comcom.2025.108248","Open source")</x:f>
        <x:v>HYPERLINK is not implemented. linkLocation=https://doi.org/10.1016/j.comcom.2025.108248, friendlyName=Open source</x:v>
      </x:c>
    </x:row>
    <x:row r="2950" ht="46" customHeight="1">
      <x:c r="A2950" s="17" t="str">
        <x:v>stage4src:3e37dba04ee63faf</x:v>
      </x:c>
      <x:c r="B2950" s="17" t="str">
        <x:v>professor</x:v>
      </x:c>
      <x:c r="C2950" s="17" t="str">
        <x:v>Wichita State University</x:v>
      </x:c>
      <x:c r="D2950" s="17" t="str">
        <x:v>us:ipeds:156125:program:phd:phd-in-electrical-engineering-and-computer-science</x:v>
      </x:c>
      <x:c r="E2950" s="17" t="str">
        <x:v>us:ipeds:156125:faculty:sergio-salinas-monroy</x:v>
      </x:c>
      <x:c r="F2950" s="17" t="str">
        <x:v>current graduate faculty|School of Computing|supervision authority</x:v>
      </x:c>
      <x:c r="G2950" s="17" t="str">
        <x:v>Wichita State lists Salinas Monroy as School of Computing graduate faculty until separation.</x:v>
      </x:c>
      <x:c r="H2950" s="17" t="str">
        <x:v>Graduate Faculty List</x:v>
      </x:c>
      <x:c r="I2950" s="17" t="str">
        <x:v>Wichita State University</x:v>
      </x:c>
      <x:c r="J2950" s="17" t="str">
        <x:v>official</x:v>
      </x:c>
      <x:c r="K2950" s="17" t="str">
        <x:v>2026-09-11</x:v>
      </x:c>
      <x:c r="L2950" s="17" t="str">
        <x:v>2026</x:v>
      </x:c>
      <x:c r="M2950" s="17" t="str">
        <x:v>high</x:v>
      </x:c>
      <x:c r="N2950" s="17" t="str">
        <x:v>verified</x:v>
      </x:c>
      <x:c r="O2950" s="17" t="str">
        <x:v>Current official roster checked 2026-09-11.</x:v>
      </x:c>
      <x:c r="P2950" s="18" t="e">
        <x:f>HYPERLINK("https://www.wichita.edu/academics/graduate_school/faculty-staff/GradFacList.php","Open source")</x:f>
        <x:v>HYPERLINK is not implemented. linkLocation=https://www.wichita.edu/academics/graduate_school/faculty-staff/GradFacList.php, friendlyName=Open source</x:v>
      </x:c>
    </x:row>
    <x:row r="2951" ht="46" customHeight="1">
      <x:c r="A2951" s="17" t="str">
        <x:v>stage4src:3eb3f86de221f76d</x:v>
      </x:c>
      <x:c r="B2951" s="17" t="str">
        <x:v>professor</x:v>
      </x:c>
      <x:c r="C2951" s="17" t="str">
        <x:v>University of Central Florida</x:v>
      </x:c>
      <x:c r="D2951" s="17" t="str">
        <x:v>us:ipeds:132903:program:phd:computer-science-phd</x:v>
      </x:c>
      <x:c r="E2951" s="17" t="str"/>
      <x:c r="F2951" s="17" t="str">
        <x:v>current faculty roster|candidate longlist</x:v>
      </x:c>
      <x:c r="G2951" s="17" t="str">
        <x:v>Current official department roster or research-area faculty listing used to identify the five-person Stage 4 candidate longlist.</x:v>
      </x:c>
      <x:c r="H2951" s="17" t="str">
        <x:v>University of Central Florida current faculty roster</x:v>
      </x:c>
      <x:c r="I2951" s="17" t="str">
        <x:v>University of Central Florida</x:v>
      </x:c>
      <x:c r="J2951" s="17" t="str">
        <x:v>official</x:v>
      </x:c>
      <x:c r="K2951" s="17" t="str">
        <x:v>2026-09-11</x:v>
      </x:c>
      <x:c r="L2951" s="17" t="str"/>
      <x:c r="M2951" s="17" t="str">
        <x:v>high</x:v>
      </x:c>
      <x:c r="N2951" s="17" t="str">
        <x:v>verified</x:v>
      </x:c>
      <x:c r="O2951" s="17" t="str">
        <x:v>Roster evidence establishes a current listing, not program-specific supervision authority or recruiting.</x:v>
      </x:c>
      <x:c r="P2951" s="18" t="e">
        <x:f>HYPERLINK("https://www.cs.ucf.edu/faculty-directory/","Open source")</x:f>
        <x:v>HYPERLINK is not implemented. linkLocation=https://www.cs.ucf.edu/faculty-directory/, friendlyName=Open source</x:v>
      </x:c>
    </x:row>
    <x:row r="2952" ht="46" customHeight="1">
      <x:c r="A2952" s="17" t="str">
        <x:v>stage4src:3efc02495f75f3d7</x:v>
      </x:c>
      <x:c r="B2952" s="17" t="str">
        <x:v>professor</x:v>
      </x:c>
      <x:c r="C2952" s="17" t="str">
        <x:v>University of Georgia</x:v>
      </x:c>
      <x:c r="D2952" s="17" t="str">
        <x:v>us:ipeds:139959:program:phd:doctor-of-philosophy-in-computer-science</x:v>
      </x:c>
      <x:c r="E2952" s="17" t="str">
        <x:v>us:ipeds:139959:faculty:le-guan</x:v>
      </x:c>
      <x:c r="F2952" s="17" t="str">
        <x:v>program supervision context|prospective-student instructions</x:v>
      </x:c>
      <x:c r="G2952" s="17" t="str">
        <x:v>UGA describes the Computer Science PhD research and dissertation-adviser model.</x:v>
      </x:c>
      <x:c r="H2952" s="17" t="str">
        <x:v>Doctor of Philosophy in Computer Science</x:v>
      </x:c>
      <x:c r="I2952" s="17" t="str">
        <x:v>University of Georgia</x:v>
      </x:c>
      <x:c r="J2952" s="17" t="str">
        <x:v>official</x:v>
      </x:c>
      <x:c r="K2952" s="17" t="str">
        <x:v>2026-09-11</x:v>
      </x:c>
      <x:c r="L2952" s="17" t="str">
        <x:v>2026</x:v>
      </x:c>
      <x:c r="M2952" s="17" t="str">
        <x:v>high</x:v>
      </x:c>
      <x:c r="N2952" s="17" t="str">
        <x:v>verified</x:v>
      </x:c>
      <x:c r="O2952" s="17" t="str">
        <x:v>Live official program page checked 2026-09-11.</x:v>
      </x:c>
      <x:c r="P2952" s="18" t="e">
        <x:f>HYPERLINK("https://www.cs.uga.edu/doctor-philosophy-computer-science","Open source")</x:f>
        <x:v>HYPERLINK is not implemented. linkLocation=https://www.cs.uga.edu/doctor-philosophy-computer-science, friendlyName=Open source</x:v>
      </x:c>
    </x:row>
    <x:row r="2953" ht="46" customHeight="1">
      <x:c r="A2953" s="17" t="str">
        <x:v>stage4src:3f80d0f9af176c3d</x:v>
      </x:c>
      <x:c r="B2953" s="17" t="str">
        <x:v>professor</x:v>
      </x:c>
      <x:c r="C2953" s="17" t="str">
        <x:v>University of Colorado Boulder</x:v>
      </x:c>
      <x:c r="D2953" s="17" t="str">
        <x:v>us:ipeds:126614:program:phd:computer-science-phd</x:v>
      </x:c>
      <x:c r="E2953" s="17" t="str">
        <x:v>us:ipeds:126614:faculty:sriram-sankaranarayanan</x:v>
      </x:c>
      <x:c r="F2953" s="17" t="str">
        <x:v>current appointment|program supervision authority|research themes</x:v>
      </x:c>
      <x:c r="G2953" s="17" t="str">
        <x:v>Current CS Professor and department-chair profile documents formal verification, program analysis, synthesis, and autonomous-system assurance.</x:v>
      </x:c>
      <x:c r="H2953" s="17" t="str">
        <x:v>Sriram Sankaranarayanan</x:v>
      </x:c>
      <x:c r="I2953" s="17" t="str">
        <x:v>University of Colorado Boulder</x:v>
      </x:c>
      <x:c r="J2953" s="17" t="str">
        <x:v>official</x:v>
      </x:c>
      <x:c r="K2953" s="17" t="str">
        <x:v>2026-09-11</x:v>
      </x:c>
      <x:c r="L2953" s="17" t="str">
        <x:v>2026</x:v>
      </x:c>
      <x:c r="M2953" s="17" t="str">
        <x:v>high</x:v>
      </x:c>
      <x:c r="N2953" s="17" t="str">
        <x:v>verified</x:v>
      </x:c>
      <x:c r="O2953" s="17" t="str">
        <x:v>Official profile checked 2026-09-10.</x:v>
      </x:c>
      <x:c r="P2953" s="18" t="e">
        <x:f>HYPERLINK("https://www.colorado.edu/cs/sriram-sankaranarayanan","Open source")</x:f>
        <x:v>HYPERLINK is not implemented. linkLocation=https://www.colorado.edu/cs/sriram-sankaranarayanan, friendlyName=Open source</x:v>
      </x:c>
    </x:row>
    <x:row r="2954" ht="46" customHeight="1">
      <x:c r="A2954" s="17" t="str">
        <x:v>stage4src:3fed4a8d68b9b73f</x:v>
      </x:c>
      <x:c r="B2954" s="17" t="str">
        <x:v>professor</x:v>
      </x:c>
      <x:c r="C2954" s="17" t="str">
        <x:v>University of Louisiana at Lafayette</x:v>
      </x:c>
      <x:c r="D2954" s="17" t="str">
        <x:v>us:ipeds:160658:program:phd:phd-in-applied-computing-and-information-sciences</x:v>
      </x:c>
      <x:c r="E2954" s="17" t="str">
        <x:v>us:ipeds:160658:faculty:bhupendra-acharya</x:v>
      </x:c>
      <x:c r="F2954" s="17" t="str">
        <x:v>program context|supervision authority|prospective-student instructions</x:v>
      </x:c>
      <x:c r="G2954" s="17" t="str">
        <x:v>The official ACIS page establishes the School's active research-doctoral route and application context.</x:v>
      </x:c>
      <x:c r="H2954" s="17" t="str">
        <x:v>Applied Computing and Information Sciences PhD</x:v>
      </x:c>
      <x:c r="I2954" s="17" t="str">
        <x:v>University of Louisiana at Lafayette</x:v>
      </x:c>
      <x:c r="J2954" s="17" t="str">
        <x:v>official</x:v>
      </x:c>
      <x:c r="K2954" s="17" t="str">
        <x:v>2026-09-11</x:v>
      </x:c>
      <x:c r="L2954" s="17" t="str">
        <x:v>2026</x:v>
      </x:c>
      <x:c r="M2954" s="17" t="str">
        <x:v>high</x:v>
      </x:c>
      <x:c r="N2954" s="17" t="str">
        <x:v>verified</x:v>
      </x:c>
      <x:c r="O2954" s="17" t="str">
        <x:v>Live official page checked 2026-09-11.</x:v>
      </x:c>
      <x:c r="P2954" s="18" t="e">
        <x:f>HYPERLINK("https://louisiana.edu/graduateschool/majors-minors/applied-computing-and-information-sciences-phd","Open source")</x:f>
        <x:v>HYPERLINK is not implemented. linkLocation=https://louisiana.edu/graduateschool/majors-minors/applied-computing-and-information-sciences-phd, friendlyName=Open source</x:v>
      </x:c>
    </x:row>
    <x:row r="2955" ht="46" customHeight="1">
      <x:c r="A2955" s="17" t="str">
        <x:v>stage4src:401a59114f1387fd</x:v>
      </x:c>
      <x:c r="B2955" s="17" t="str">
        <x:v>professor</x:v>
      </x:c>
      <x:c r="C2955" s="17" t="str">
        <x:v>Simon Fraser University</x:v>
      </x:c>
      <x:c r="D2955" s="17" t="str">
        <x:v>ca:dli:O18781994282:program:thesis-or-research-master-s:computing-science-master-of-science-thesis</x:v>
      </x:c>
      <x:c r="E2955" s="17" t="str"/>
      <x:c r="F2955" s="17" t="str">
        <x:v>current faculty roster|candidate longlist</x:v>
      </x:c>
      <x:c r="G2955" s="17" t="str">
        <x:v>Current official department roster or research-area faculty listing used to identify the five-person Stage 4 candidate longlist.</x:v>
      </x:c>
      <x:c r="H2955" s="17" t="str">
        <x:v>Simon Fraser University current faculty roster</x:v>
      </x:c>
      <x:c r="I2955" s="17" t="str">
        <x:v>Simon Fraser University</x:v>
      </x:c>
      <x:c r="J2955" s="17" t="str">
        <x:v>official</x:v>
      </x:c>
      <x:c r="K2955" s="17" t="str">
        <x:v>2026-09-11</x:v>
      </x:c>
      <x:c r="L2955" s="17" t="str"/>
      <x:c r="M2955" s="17" t="str">
        <x:v>high</x:v>
      </x:c>
      <x:c r="N2955" s="17" t="str">
        <x:v>verified</x:v>
      </x:c>
      <x:c r="O2955" s="17" t="str">
        <x:v>Roster evidence establishes a current listing, not program-specific supervision authority or recruiting.</x:v>
      </x:c>
      <x:c r="P2955" s="18" t="e">
        <x:f>HYPERLINK("https://www.sfu.ca/fas/computing/people/faculty.html","Open source")</x:f>
        <x:v>HYPERLINK is not implemented. linkLocation=https://www.sfu.ca/fas/computing/people/faculty.html, friendlyName=Open source</x:v>
      </x:c>
    </x:row>
    <x:row r="2956" ht="46" customHeight="1">
      <x:c r="A2956" s="17" t="str">
        <x:v>stage4src:409d83322799c2b8</x:v>
      </x:c>
      <x:c r="B2956" s="17" t="str">
        <x:v>professor</x:v>
      </x:c>
      <x:c r="C2956" s="17" t="str">
        <x:v>Stony Brook University</x:v>
      </x:c>
      <x:c r="D2956" s="17" t="str">
        <x:v>us:ipeds:196097:program:phd:computer-science-phd</x:v>
      </x:c>
      <x:c r="E2956" s="17" t="str"/>
      <x:c r="F2956" s="17" t="str">
        <x:v>current faculty roster|candidate longlist</x:v>
      </x:c>
      <x:c r="G2956" s="17" t="str">
        <x:v>Current official department roster or research-area faculty listing used to identify the five-person Stage 4 candidate longlist.</x:v>
      </x:c>
      <x:c r="H2956" s="17" t="str">
        <x:v>Stony Brook University current faculty roster</x:v>
      </x:c>
      <x:c r="I2956" s="17" t="str">
        <x:v>Stony Brook University</x:v>
      </x:c>
      <x:c r="J2956" s="17" t="str">
        <x:v>official</x:v>
      </x:c>
      <x:c r="K2956" s="17" t="str">
        <x:v>2026-09-11</x:v>
      </x:c>
      <x:c r="L2956" s="17" t="str"/>
      <x:c r="M2956" s="17" t="str">
        <x:v>high</x:v>
      </x:c>
      <x:c r="N2956" s="17" t="str">
        <x:v>verified</x:v>
      </x:c>
      <x:c r="O2956" s="17" t="str">
        <x:v>Roster evidence establishes a current listing, not program-specific supervision authority or recruiting.</x:v>
      </x:c>
      <x:c r="P2956" s="18" t="e">
        <x:f>HYPERLINK("https://www.cs.stonybrook.edu/people/faculty","Open source")</x:f>
        <x:v>HYPERLINK is not implemented. linkLocation=https://www.cs.stonybrook.edu/people/faculty, friendlyName=Open source</x:v>
      </x:c>
    </x:row>
    <x:row r="2957" ht="46" customHeight="1">
      <x:c r="A2957" s="17" t="str">
        <x:v>stage4src:40a46965ebc69827</x:v>
      </x:c>
      <x:c r="B2957" s="17" t="str">
        <x:v>professor</x:v>
      </x:c>
      <x:c r="C2957" s="17" t="str">
        <x:v>McGill University</x:v>
      </x:c>
      <x:c r="D2957" s="17" t="str">
        <x:v>ca:dli:O19359011033:program:thesis-or-research-master-s:msc-in-computer-science-thesis</x:v>
      </x:c>
      <x:c r="E2957" s="17" t="str">
        <x:v>ca:dli:O19359011033:faculty:gunter-mussbacher</x:v>
      </x:c>
      <x:c r="F2957" s="17" t="str">
        <x:v>discovery publication signal|recent work</x:v>
      </x:c>
      <x:c r="G2957" s="17" t="str">
        <x:v>Publication metadata was examined for shortlist triage only; publication-time affiliation does not establish current appointment, supervision authority, or recruiting.</x:v>
      </x:c>
      <x:c r="H2957" s="17" t="str">
        <x:v>OpenAlex publication signal for Gunter Mussbacher</x:v>
      </x:c>
      <x:c r="I2957" s="17" t="str">
        <x:v>OpenAlex / cited venue</x:v>
      </x:c>
      <x:c r="J2957" s="17" t="str">
        <x:v>secondary</x:v>
      </x:c>
      <x:c r="K2957" s="17" t="str">
        <x:v>2026-09-11</x:v>
      </x:c>
      <x:c r="L2957" s="17" t="str"/>
      <x:c r="M2957" s="17" t="str">
        <x:v>medium</x:v>
      </x:c>
      <x:c r="N2957" s="17" t="str">
        <x:v>discovery_only</x:v>
      </x:c>
      <x:c r="O2957" s="17" t="str">
        <x:v>Not used to award a professor score or faculty-depth point.</x:v>
      </x:c>
      <x:c r="P2957" s="18" t="e">
        <x:f>HYPERLINK("https://openalex.org/A5102941030","Open source")</x:f>
        <x:v>HYPERLINK is not implemented. linkLocation=https://openalex.org/A5102941030, friendlyName=Open source</x:v>
      </x:c>
    </x:row>
    <x:row r="2958" ht="46" customHeight="1">
      <x:c r="A2958" s="17" t="str">
        <x:v>stage4src:40f5dbb8b8268cc6</x:v>
      </x:c>
      <x:c r="B2958" s="17" t="str">
        <x:v>professor</x:v>
      </x:c>
      <x:c r="C2958" s="17" t="str">
        <x:v>McMaster University</x:v>
      </x:c>
      <x:c r="D2958" s="17" t="str">
        <x:v>ca:dli:O19395535729:program:thesis-or-research-master-s:software-engineering-masc</x:v>
      </x:c>
      <x:c r="E2958" s="17" t="str">
        <x:v>ca:dli:O19395535729:faculty:richard-paige</x:v>
      </x:c>
      <x:c r="F2958" s="17" t="str">
        <x:v>recent work|research fit</x:v>
      </x:c>
      <x:c r="G2958" s="17" t="str">
        <x:v>The 2024 paper coauthored by Paige develops open-source model-transformation tooling from SysML to AUTOSAR.</x:v>
      </x:c>
      <x:c r="H2958" s="17" t="str">
        <x:v>Addressing the Shortcomings of Commercial-Off-the-Shelf Model-to-Model Transformations with Open-Source Tools</x:v>
      </x:c>
      <x:c r="I2958" s="17" t="str">
        <x:v>McMaster University</x:v>
      </x:c>
      <x:c r="J2958" s="17" t="str">
        <x:v>official</x:v>
      </x:c>
      <x:c r="K2958" s="17" t="str">
        <x:v>2026-09-11</x:v>
      </x:c>
      <x:c r="L2958" s="17" t="str">
        <x:v>2024</x:v>
      </x:c>
      <x:c r="M2958" s="17" t="str">
        <x:v>high</x:v>
      </x:c>
      <x:c r="N2958" s="17" t="str">
        <x:v>verified</x:v>
      </x:c>
      <x:c r="O2958" s="17" t="str">
        <x:v>Official repository paper checked 2026-09-10.</x:v>
      </x:c>
      <x:c r="P2958" s="18" t="e">
        <x:f>HYPERLINK("https://macsphere.mcmaster.ca/bitstream/11375/29612/1/main.pdf","Open source")</x:f>
        <x:v>HYPERLINK is not implemented. linkLocation=https://macsphere.mcmaster.ca/bitstream/11375/29612/1/main.pdf, friendlyName=Open source</x:v>
      </x:c>
    </x:row>
    <x:row r="2959" ht="46" customHeight="1">
      <x:c r="A2959" s="17" t="str">
        <x:v>stage4src:41442c233dc36298</x:v>
      </x:c>
      <x:c r="B2959" s="17" t="str">
        <x:v>professor</x:v>
      </x:c>
      <x:c r="C2959" s="17" t="str">
        <x:v>University of Manitoba</x:v>
      </x:c>
      <x:c r="D2959" s="17" t="str">
        <x:v>ca:dli:O19091528512:program:phd:phd-in-computer-science</x:v>
      </x:c>
      <x:c r="E2959" s="17" t="str">
        <x:v>ca:dli:O19091528512:faculty:shaowei-wang</x:v>
      </x:c>
      <x:c r="F2959" s="17" t="str">
        <x:v>recent work|research fit|graduate supervision</x:v>
      </x:c>
      <x:c r="G2959" s="17" t="str">
        <x:v>The 2026 thesis identifies Wang as advisor and documents LLM-based software-vulnerability detection research.</x:v>
      </x:c>
      <x:c r="H2959" s="17" t="str">
        <x:v>Representation-level and RAG-based Vulnerability Augmentation with LLMs</x:v>
      </x:c>
      <x:c r="I2959" s="17" t="str">
        <x:v>University of Manitoba</x:v>
      </x:c>
      <x:c r="J2959" s="17" t="str">
        <x:v>official</x:v>
      </x:c>
      <x:c r="K2959" s="17" t="str">
        <x:v>2026-09-11</x:v>
      </x:c>
      <x:c r="L2959" s="17" t="str">
        <x:v>2026</x:v>
      </x:c>
      <x:c r="M2959" s="17" t="str">
        <x:v>high</x:v>
      </x:c>
      <x:c r="N2959" s="17" t="str">
        <x:v>verified</x:v>
      </x:c>
      <x:c r="O2959" s="17" t="str">
        <x:v>Official university thesis checked 2026-09-10.</x:v>
      </x:c>
      <x:c r="P2959" s="18" t="e">
        <x:f>HYPERLINK("https://mspace.lib.umanitoba.ca/bitstreams/b0baac42-5bff-46ee-8e9f-5575dc281905/download","Open source")</x:f>
        <x:v>HYPERLINK is not implemented. linkLocation=https://mspace.lib.umanitoba.ca/bitstreams/b0baac42-5bff-46ee-8e9f-5575dc281905/download, friendlyName=Open source</x:v>
      </x:c>
    </x:row>
    <x:row r="2960" ht="46" customHeight="1">
      <x:c r="A2960" s="17" t="str">
        <x:v>stage4src:414802d5d7aa9a14</x:v>
      </x:c>
      <x:c r="B2960" s="17" t="str">
        <x:v>professor</x:v>
      </x:c>
      <x:c r="C2960" s="17" t="str">
        <x:v>George Washington University</x:v>
      </x:c>
      <x:c r="D2960" s="17" t="str">
        <x:v>us:ipeds:131469:program:phd:phd-in-computer-science</x:v>
      </x:c>
      <x:c r="E2960" s="17" t="str">
        <x:v>us:ipeds:131469:faculty:gabriel-parmer</x:v>
      </x:c>
      <x:c r="F2960" s="17" t="str">
        <x:v>program supervision authority|doctoral advisor rules</x:v>
      </x:c>
      <x:c r="G2960" s="17" t="str">
        <x:v>The PhD page provides for a dissertation advisor and permits GW faculty co-advisors, establishing department-faculty doctoral advising context.</x:v>
      </x:c>
      <x:c r="H2960" s="17" t="str">
        <x:v>PhD in Computer Science</x:v>
      </x:c>
      <x:c r="I2960" s="17" t="str">
        <x:v>George Washington University</x:v>
      </x:c>
      <x:c r="J2960" s="17" t="str">
        <x:v>official</x:v>
      </x:c>
      <x:c r="K2960" s="17" t="str">
        <x:v>2026-09-11</x:v>
      </x:c>
      <x:c r="L2960" s="17" t="str">
        <x:v>2026</x:v>
      </x:c>
      <x:c r="M2960" s="17" t="str">
        <x:v>high</x:v>
      </x:c>
      <x:c r="N2960" s="17" t="str">
        <x:v>verified</x:v>
      </x:c>
      <x:c r="O2960" s="17" t="str">
        <x:v>Live official program page checked 2026-09-11.</x:v>
      </x:c>
      <x:c r="P2960" s="18" t="e">
        <x:f>HYPERLINK("https://graduate.engineering.gwu.edu/phd-computer-science","Open source")</x:f>
        <x:v>HYPERLINK is not implemented. linkLocation=https://graduate.engineering.gwu.edu/phd-computer-science, friendlyName=Open source</x:v>
      </x:c>
    </x:row>
    <x:row r="2961" ht="46" customHeight="1">
      <x:c r="A2961" s="17" t="str">
        <x:v>stage4src:417ac1f92d99fae1</x:v>
      </x:c>
      <x:c r="B2961" s="17" t="str">
        <x:v>professor</x:v>
      </x:c>
      <x:c r="C2961" s="17" t="str">
        <x:v>Northwestern University</x:v>
      </x:c>
      <x:c r="D2961" s="17" t="str">
        <x:v>us:ipeds:147767:program:phd:phd-in-computer-science</x:v>
      </x:c>
      <x:c r="E2961" s="17" t="str">
        <x:v>us:ipeds:147767:faculty:robby-findler</x:v>
      </x:c>
      <x:c r="F2961" s="17" t="str">
        <x:v>prospective-student instructions|faculty preference</x:v>
      </x:c>
      <x:c r="G2961" s="17" t="str">
        <x:v>Northwestern asks PhD applicants to name up to two faculty members of interest and explain specific research and advising fit in the academic statement.</x:v>
      </x:c>
      <x:c r="H2961" s="17" t="str">
        <x:v>Computer Science Graduate Admissions</x:v>
      </x:c>
      <x:c r="I2961" s="17" t="str">
        <x:v>Northwestern University</x:v>
      </x:c>
      <x:c r="J2961" s="17" t="str">
        <x:v>official</x:v>
      </x:c>
      <x:c r="K2961" s="17" t="str">
        <x:v>2026-09-11</x:v>
      </x:c>
      <x:c r="L2961" s="17" t="str">
        <x:v>2026</x:v>
      </x:c>
      <x:c r="M2961" s="17" t="str">
        <x:v>high</x:v>
      </x:c>
      <x:c r="N2961" s="17" t="str">
        <x:v>verified</x:v>
      </x:c>
      <x:c r="O2961" s="17" t="str">
        <x:v>Live official instructions checked 2026-09-11; preferences do not establish capacity.</x:v>
      </x:c>
      <x:c r="P2961" s="18" t="e">
        <x:f>HYPERLINK("https://www.mccormick.northwestern.edu/computer-science/academics/graduate/admissions/","Open source")</x:f>
        <x:v>HYPERLINK is not implemented. linkLocation=https://www.mccormick.northwestern.edu/computer-science/academics/graduate/admissions/, friendlyName=Open source</x:v>
      </x:c>
    </x:row>
    <x:row r="2962" ht="46" customHeight="1">
      <x:c r="A2962" s="17" t="str">
        <x:v>stage4src:41934231828c88eb</x:v>
      </x:c>
      <x:c r="B2962" s="17" t="str">
        <x:v>professor</x:v>
      </x:c>
      <x:c r="C2962" s="17" t="str">
        <x:v>University of Cincinnati-Main Campus</x:v>
      </x:c>
      <x:c r="D2962" s="17" t="str">
        <x:v>us:ipeds:201885:program:phd:ph-d-in-computer-science-and-engineering</x:v>
      </x:c>
      <x:c r="E2962" s="17" t="str">
        <x:v>us:ipeds:201885:faculty:yu-zhao</x:v>
      </x:c>
      <x:c r="F2962" s="17" t="str">
        <x:v>program supervision context|department research areas</x:v>
      </x:c>
      <x:c r="G2962" s="17" t="str">
        <x:v>UC states that its Computer Science and Engineering PhD is jointly managed by the ECE and Computer Science departments and identifies software engineering and cybersecurity as department research areas.</x:v>
      </x:c>
      <x:c r="H2962" s="17" t="str">
        <x:v>About Electrical and Computer Engineering</x:v>
      </x:c>
      <x:c r="I2962" s="17" t="str">
        <x:v>University of Cincinnati-Main Campus</x:v>
      </x:c>
      <x:c r="J2962" s="17" t="str">
        <x:v>official</x:v>
      </x:c>
      <x:c r="K2962" s="17" t="str">
        <x:v>2026-09-11</x:v>
      </x:c>
      <x:c r="L2962" s="17" t="str">
        <x:v>2026</x:v>
      </x:c>
      <x:c r="M2962" s="17" t="str">
        <x:v>high</x:v>
      </x:c>
      <x:c r="N2962" s="17" t="str">
        <x:v>verified</x:v>
      </x:c>
      <x:c r="O2962" s="17" t="str">
        <x:v>Current official page checked 2026-09-10.</x:v>
      </x:c>
      <x:c r="P2962" s="18" t="e">
        <x:f>HYPERLINK("https://www.ceas.uc.edu/academics/departments/electrical-computer-engineering/about.html","Open source")</x:f>
        <x:v>HYPERLINK is not implemented. linkLocation=https://www.ceas.uc.edu/academics/departments/electrical-computer-engineering/about.html, friendlyName=Open source</x:v>
      </x:c>
    </x:row>
    <x:row r="2963" ht="46" customHeight="1">
      <x:c r="A2963" s="17" t="str">
        <x:v>stage4src:41e3bcd816633e8d</x:v>
      </x:c>
      <x:c r="B2963" s="17" t="str">
        <x:v>professor</x:v>
      </x:c>
      <x:c r="C2963" s="17" t="str">
        <x:v>Drexel University</x:v>
      </x:c>
      <x:c r="D2963" s="17" t="str">
        <x:v>us:ipeds:212054:program:phd:phd-in-computer-science</x:v>
      </x:c>
      <x:c r="E2963" s="17" t="str">
        <x:v>us:ipeds:212054:faculty:yuanfang-cai</x:v>
      </x:c>
      <x:c r="F2963" s="17" t="str">
        <x:v>recent work|LLM-assisted code generation|software architecture</x:v>
      </x:c>
      <x:c r="G2963" s="17" t="str">
        <x:v>Drexel records Cai's 2026 work on LLM-assisted code generation using architectural documents and implementation plans.</x:v>
      </x:c>
      <x:c r="H2963" s="17" t="str">
        <x:v>SCIS Research Bytes: Spring 2026</x:v>
      </x:c>
      <x:c r="I2963" s="17" t="str">
        <x:v>Drexel University</x:v>
      </x:c>
      <x:c r="J2963" s="17" t="str">
        <x:v>official</x:v>
      </x:c>
      <x:c r="K2963" s="17" t="str">
        <x:v>2026-09-11</x:v>
      </x:c>
      <x:c r="L2963" s="17" t="str">
        <x:v>2026</x:v>
      </x:c>
      <x:c r="M2963" s="17" t="str">
        <x:v>high</x:v>
      </x:c>
      <x:c r="N2963" s="17" t="str">
        <x:v>verified</x:v>
      </x:c>
      <x:c r="O2963" s="17" t="str">
        <x:v>Official article checked 2026-09-11.</x:v>
      </x:c>
      <x:c r="P2963" s="18" t="e">
        <x:f>HYPERLINK("https://drexel.edu/cci/news/2026/April/scis-research-bytes-april-2026/","Open source")</x:f>
        <x:v>HYPERLINK is not implemented. linkLocation=https://drexel.edu/cci/news/2026/April/scis-research-bytes-april-2026/, friendlyName=Open source</x:v>
      </x:c>
    </x:row>
    <x:row r="2964" ht="46" customHeight="1">
      <x:c r="A2964" s="17" t="str">
        <x:v>stage4src:43352ad5ee6ec372</x:v>
      </x:c>
      <x:c r="B2964" s="17" t="str">
        <x:v>professor</x:v>
      </x:c>
      <x:c r="C2964" s="17" t="str">
        <x:v>The University of Texas at Austin</x:v>
      </x:c>
      <x:c r="D2964" s="17" t="str">
        <x:v>us:ipeds:228778:program:phd:computer-science-phd</x:v>
      </x:c>
      <x:c r="E2964" s="17" t="str"/>
      <x:c r="F2964" s="17" t="str">
        <x:v>current faculty roster|candidate longlist</x:v>
      </x:c>
      <x:c r="G2964" s="17" t="str">
        <x:v>Current official department roster or research-area faculty listing used to identify the five-person Stage 4 candidate longlist.</x:v>
      </x:c>
      <x:c r="H2964" s="17" t="str">
        <x:v>The University of Texas at Austin current faculty roster</x:v>
      </x:c>
      <x:c r="I2964" s="17" t="str">
        <x:v>The University of Texas at Austin</x:v>
      </x:c>
      <x:c r="J2964" s="17" t="str">
        <x:v>official</x:v>
      </x:c>
      <x:c r="K2964" s="17" t="str">
        <x:v>2026-09-11</x:v>
      </x:c>
      <x:c r="L2964" s="17" t="str"/>
      <x:c r="M2964" s="17" t="str">
        <x:v>high</x:v>
      </x:c>
      <x:c r="N2964" s="17" t="str">
        <x:v>verified</x:v>
      </x:c>
      <x:c r="O2964" s="17" t="str">
        <x:v>Roster evidence establishes a current listing, not program-specific supervision authority or recruiting.</x:v>
      </x:c>
      <x:c r="P2964" s="18" t="e">
        <x:f>HYPERLINK("https://www.cs.utexas.edu/department-info/faculty-roster","Open source")</x:f>
        <x:v>HYPERLINK is not implemented. linkLocation=https://www.cs.utexas.edu/department-info/faculty-roster, friendlyName=Open source</x:v>
      </x:c>
    </x:row>
    <x:row r="2965" ht="46" customHeight="1">
      <x:c r="A2965" s="17" t="str">
        <x:v>stage4src:43c757a793075e4d</x:v>
      </x:c>
      <x:c r="B2965" s="17" t="str">
        <x:v>professor</x:v>
      </x:c>
      <x:c r="C2965" s="17" t="str">
        <x:v>Åbo Akademi University</x:v>
      </x:c>
      <x:c r="D2965" s="17" t="str">
        <x:v>ror:029pk6x14:program:thesis-or-research-master-s:erasmus-mundus-joint-master-in-engineering-of-data-intensive-intelligent-software-systems-ediss</x:v>
      </x:c>
      <x:c r="E2965" s="17" t="str">
        <x:v>ror:029pk6x14:faculty:sebastien-lafond</x:v>
      </x:c>
      <x:c r="F2965" s="17" t="str">
        <x:v>current faculty roster|candidate longlist</x:v>
      </x:c>
      <x:c r="G2965" s="17" t="str">
        <x:v>Åbo's Information Technology page lists Lafond and the four encoded alternatives as current teachers.</x:v>
      </x:c>
      <x:c r="H2965" s="17" t="str">
        <x:v>Information Technology research and staff</x:v>
      </x:c>
      <x:c r="I2965" s="17" t="str">
        <x:v>Åbo Akademi University</x:v>
      </x:c>
      <x:c r="J2965" s="17" t="str">
        <x:v>official</x:v>
      </x:c>
      <x:c r="K2965" s="17" t="str">
        <x:v>2026-09-11</x:v>
      </x:c>
      <x:c r="L2965" s="17" t="str">
        <x:v>2026</x:v>
      </x:c>
      <x:c r="M2965" s="17" t="str">
        <x:v>high</x:v>
      </x:c>
      <x:c r="N2965" s="17" t="str">
        <x:v>verified</x:v>
      </x:c>
      <x:c r="O2965" s="17" t="str">
        <x:v>Live official roster checked 2026-09-11.</x:v>
      </x:c>
      <x:c r="P2965" s="18" t="e">
        <x:f>HYPERLINK("https://www.abo.fi/en/information-technology-research-and-researchers-2-2-2/","Open source")</x:f>
        <x:v>HYPERLINK is not implemented. linkLocation=https://www.abo.fi/en/information-technology-research-and-researchers-2-2-2/, friendlyName=Open source</x:v>
      </x:c>
    </x:row>
    <x:row r="2966" ht="46" customHeight="1">
      <x:c r="A2966" s="17" t="str">
        <x:v>stage4src:444ee6ee4bdb231f</x:v>
      </x:c>
      <x:c r="B2966" s="17" t="str">
        <x:v>professor</x:v>
      </x:c>
      <x:c r="C2966" s="17" t="str">
        <x:v>York University</x:v>
      </x:c>
      <x:c r="D2966" s="17" t="str">
        <x:v>ca:dli:O19361109242:program:thesis-or-research-master-s:computer-science-msc-thesis-option</x:v>
      </x:c>
      <x:c r="E2966" s="17" t="str">
        <x:v>ca:dli:O19361109242:faculty:song-wang</x:v>
      </x:c>
      <x:c r="F2966" s="17" t="str">
        <x:v>discovery publication signal|recent work</x:v>
      </x:c>
      <x:c r="G2966" s="17" t="str">
        <x:v>Publication metadata was examined for shortlist triage only; publication-time affiliation does not establish current appointment, supervision authority, or recruiting.</x:v>
      </x:c>
      <x:c r="H2966" s="17" t="str">
        <x:v>OpenAlex publication signal for Song Wang</x:v>
      </x:c>
      <x:c r="I2966" s="17" t="str">
        <x:v>OpenAlex / cited venue</x:v>
      </x:c>
      <x:c r="J2966" s="17" t="str">
        <x:v>secondary</x:v>
      </x:c>
      <x:c r="K2966" s="17" t="str">
        <x:v>2026-09-11</x:v>
      </x:c>
      <x:c r="L2966" s="17" t="str"/>
      <x:c r="M2966" s="17" t="str">
        <x:v>medium</x:v>
      </x:c>
      <x:c r="N2966" s="17" t="str">
        <x:v>discovery_only</x:v>
      </x:c>
      <x:c r="O2966" s="17" t="str">
        <x:v>Not used to award a professor score or faculty-depth point.</x:v>
      </x:c>
      <x:c r="P2966" s="18" t="e">
        <x:f>HYPERLINK("https://openalex.org/A5100326213","Open source")</x:f>
        <x:v>HYPERLINK is not implemented. linkLocation=https://openalex.org/A5100326213, friendlyName=Open source</x:v>
      </x:c>
    </x:row>
    <x:row r="2967" ht="46" customHeight="1">
      <x:c r="A2967" s="17" t="str">
        <x:v>stage4src:445876dedbd7f666</x:v>
      </x:c>
      <x:c r="B2967" s="17" t="str">
        <x:v>professor</x:v>
      </x:c>
      <x:c r="C2967" s="17" t="str">
        <x:v>Florida International University</x:v>
      </x:c>
      <x:c r="D2967" s="17" t="str">
        <x:v>us:ipeds:133951:program:phd:doctor-of-philosophy-in-computer-science</x:v>
      </x:c>
      <x:c r="E2967" s="17" t="str"/>
      <x:c r="F2967" s="17" t="str">
        <x:v>current faculty roster|candidate longlist</x:v>
      </x:c>
      <x:c r="G2967" s="17" t="str">
        <x:v>Current official department roster or research-area faculty listing used to identify the five-person Stage 4 candidate longlist.</x:v>
      </x:c>
      <x:c r="H2967" s="17" t="str">
        <x:v>Florida International University current faculty roster</x:v>
      </x:c>
      <x:c r="I2967" s="17" t="str">
        <x:v>Florida International University</x:v>
      </x:c>
      <x:c r="J2967" s="17" t="str">
        <x:v>official</x:v>
      </x:c>
      <x:c r="K2967" s="17" t="str">
        <x:v>2026-09-11</x:v>
      </x:c>
      <x:c r="L2967" s="17" t="str"/>
      <x:c r="M2967" s="17" t="str">
        <x:v>high</x:v>
      </x:c>
      <x:c r="N2967" s="17" t="str">
        <x:v>verified</x:v>
      </x:c>
      <x:c r="O2967" s="17" t="str">
        <x:v>Roster evidence establishes a current listing, not program-specific supervision authority or recruiting.</x:v>
      </x:c>
      <x:c r="P2967" s="18" t="e">
        <x:f>HYPERLINK("https://www.cis.fiu.edu/faculty-staff/","Open source")</x:f>
        <x:v>HYPERLINK is not implemented. linkLocation=https://www.cis.fiu.edu/faculty-staff/, friendlyName=Open source</x:v>
      </x:c>
    </x:row>
    <x:row r="2968" ht="46" customHeight="1">
      <x:c r="A2968" s="17" t="str">
        <x:v>stage4src:446f800a69c589e3</x:v>
      </x:c>
      <x:c r="B2968" s="17" t="str">
        <x:v>professor</x:v>
      </x:c>
      <x:c r="C2968" s="17" t="str">
        <x:v>University of Missouri-Columbia</x:v>
      </x:c>
      <x:c r="D2968" s="17" t="str">
        <x:v>us:ipeds:178396:program:phd:phd-in-computer-science</x:v>
      </x:c>
      <x:c r="E2968" s="17" t="str">
        <x:v>us:ipeds:178396:faculty:rohit-chadha</x:v>
      </x:c>
      <x:c r="F2968" s="17" t="str">
        <x:v>recent work|research fit</x:v>
      </x:c>
      <x:c r="G2968" s="17" t="str">
        <x:v>The list records 2024-2025 work on differential-privacy verification, separation-logic satisfiability, and branching hyperproperties.</x:v>
      </x:c>
      <x:c r="H2968" s="17" t="str">
        <x:v>Rohit Chadha publications</x:v>
      </x:c>
      <x:c r="I2968" s="17" t="str">
        <x:v>University of Missouri-Columbia</x:v>
      </x:c>
      <x:c r="J2968" s="17" t="str">
        <x:v>official</x:v>
      </x:c>
      <x:c r="K2968" s="17" t="str">
        <x:v>2026-09-11</x:v>
      </x:c>
      <x:c r="L2968" s="17" t="str">
        <x:v>2025</x:v>
      </x:c>
      <x:c r="M2968" s="17" t="str">
        <x:v>high</x:v>
      </x:c>
      <x:c r="N2968" s="17" t="str">
        <x:v>verified</x:v>
      </x:c>
      <x:c r="O2968" s="17" t="str">
        <x:v>Live university-hosted list checked 2026-09-11.</x:v>
      </x:c>
      <x:c r="P2968" s="18" t="e">
        <x:f>HYPERLINK("https://chadhar.mufaculty.umsystem.edu/publications","Open source")</x:f>
        <x:v>HYPERLINK is not implemented. linkLocation=https://chadhar.mufaculty.umsystem.edu/publications, friendlyName=Open source</x:v>
      </x:c>
    </x:row>
    <x:row r="2969" ht="46" customHeight="1">
      <x:c r="A2969" s="17" t="str">
        <x:v>stage4src:4476c0a92523d7b6</x:v>
      </x:c>
      <x:c r="B2969" s="17" t="str">
        <x:v>professor</x:v>
      </x:c>
      <x:c r="C2969" s="17" t="str">
        <x:v>University at Albany</x:v>
      </x:c>
      <x:c r="D2969" s="17" t="str">
        <x:v>us:ipeds:196060:program:phd:doctor-of-philosophy-in-computer-science</x:v>
      </x:c>
      <x:c r="E2969" s="17" t="str">
        <x:v>us:ipeds:196060:faculty:jeff-offutt</x:v>
      </x:c>
      <x:c r="F2969" s="17" t="str">
        <x:v>current faculty roster|candidate longlist</x:v>
      </x:c>
      <x:c r="G2969" s="17" t="str">
        <x:v>The current CS roster lists Offutt and all four encoded alternatives.</x:v>
      </x:c>
      <x:c r="H2969" s="17" t="str">
        <x:v>Computer Science Faculty and Staff</x:v>
      </x:c>
      <x:c r="I2969" s="17" t="str">
        <x:v>University at Albany</x:v>
      </x:c>
      <x:c r="J2969" s="17" t="str">
        <x:v>official</x:v>
      </x:c>
      <x:c r="K2969" s="17" t="str">
        <x:v>2026-09-11</x:v>
      </x:c>
      <x:c r="L2969" s="17" t="str">
        <x:v>2026</x:v>
      </x:c>
      <x:c r="M2969" s="17" t="str">
        <x:v>high</x:v>
      </x:c>
      <x:c r="N2969" s="17" t="str">
        <x:v>verified</x:v>
      </x:c>
      <x:c r="O2969" s="17" t="str">
        <x:v>Live official roster checked 2026-09-11.</x:v>
      </x:c>
      <x:c r="P2969" s="18" t="e">
        <x:f>HYPERLINK("https://www.albany.edu/computer-science/faculty-staff","Open source")</x:f>
        <x:v>HYPERLINK is not implemented. linkLocation=https://www.albany.edu/computer-science/faculty-staff, friendlyName=Open source</x:v>
      </x:c>
    </x:row>
    <x:row r="2970" ht="46" customHeight="1">
      <x:c r="A2970" s="17" t="str">
        <x:v>stage4src:454caf5ecce6e439</x:v>
      </x:c>
      <x:c r="B2970" s="17" t="str">
        <x:v>professor</x:v>
      </x:c>
      <x:c r="C2970" s="17" t="str">
        <x:v>University of Nebraska at Omaha</x:v>
      </x:c>
      <x:c r="D2970" s="17" t="str">
        <x:v>us:ipeds:181394:program:phd:computing-information-science-ph-d</x:v>
      </x:c>
      <x:c r="E2970" s="17" t="str">
        <x:v>us:ipeds:181394:faculty:myoungkyu-song</x:v>
      </x:c>
      <x:c r="F2970" s="17" t="str">
        <x:v>program funding context|recruiting uncertainty</x:v>
      </x:c>
      <x:c r="G2970" s="17" t="str">
        <x:v>UNO automatically considers admitted CIS PhD students for program assistantships; it does not identify Song-specific capacity.</x:v>
      </x:c>
      <x:c r="H2970" s="17" t="str">
        <x:v>Financial Aid for the PhD in Computing &amp; Information Science</x:v>
      </x:c>
      <x:c r="I2970" s="17" t="str">
        <x:v>University of Nebraska at Omaha</x:v>
      </x:c>
      <x:c r="J2970" s="17" t="str">
        <x:v>official</x:v>
      </x:c>
      <x:c r="K2970" s="17" t="str">
        <x:v>2026-09-11</x:v>
      </x:c>
      <x:c r="L2970" s="17" t="str">
        <x:v>2026</x:v>
      </x:c>
      <x:c r="M2970" s="17" t="str">
        <x:v>high</x:v>
      </x:c>
      <x:c r="N2970" s="17" t="str">
        <x:v>verified</x:v>
      </x:c>
      <x:c r="O2970" s="17" t="str">
        <x:v>Live official page checked 2026-09-11; program funding was not treated as candidate-specific recruiting.</x:v>
      </x:c>
      <x:c r="P2970" s="18" t="e">
        <x:f>HYPERLINK("https://www.unomaha.edu/college-of-information-science-and-technology/phd-it/prospective-students/financial-aid.php","Open source")</x:f>
        <x:v>HYPERLINK is not implemented. linkLocation=https://www.unomaha.edu/college-of-information-science-and-technology/phd-it/prospective-students/financial-aid.php, friendlyName=Open source</x:v>
      </x:c>
    </x:row>
    <x:row r="2971" ht="46" customHeight="1">
      <x:c r="A2971" s="17" t="str">
        <x:v>stage4src:4582af8b9ae4cb92</x:v>
      </x:c>
      <x:c r="B2971" s="17" t="str">
        <x:v>professor</x:v>
      </x:c>
      <x:c r="C2971" s="17" t="str">
        <x:v>University of Missouri-Columbia</x:v>
      </x:c>
      <x:c r="D2971" s="17" t="str">
        <x:v>us:ipeds:178396:program:phd:phd-in-computer-science</x:v>
      </x:c>
      <x:c r="E2971" s="17" t="str"/>
      <x:c r="F2971" s="17" t="str">
        <x:v>current faculty roster|candidate longlist</x:v>
      </x:c>
      <x:c r="G2971" s="17" t="str">
        <x:v>Current official department roster or research-area faculty listing used to identify the five-person Stage 4 candidate longlist.</x:v>
      </x:c>
      <x:c r="H2971" s="17" t="str">
        <x:v>University of Missouri-Columbia current faculty roster</x:v>
      </x:c>
      <x:c r="I2971" s="17" t="str">
        <x:v>University of Missouri-Columbia</x:v>
      </x:c>
      <x:c r="J2971" s="17" t="str">
        <x:v>official</x:v>
      </x:c>
      <x:c r="K2971" s="17" t="str">
        <x:v>2026-09-11</x:v>
      </x:c>
      <x:c r="L2971" s="17" t="str"/>
      <x:c r="M2971" s="17" t="str">
        <x:v>high</x:v>
      </x:c>
      <x:c r="N2971" s="17" t="str">
        <x:v>verified</x:v>
      </x:c>
      <x:c r="O2971" s="17" t="str">
        <x:v>Roster evidence establishes a current listing, not program-specific supervision authority or recruiting.</x:v>
      </x:c>
      <x:c r="P2971" s="18" t="e">
        <x:f>HYPERLINK("https://engineering.missouri.edu/departments/eecs/eecs-faculty/","Open source")</x:f>
        <x:v>HYPERLINK is not implemented. linkLocation=https://engineering.missouri.edu/departments/eecs/eecs-faculty/, friendlyName=Open source</x:v>
      </x:c>
    </x:row>
    <x:row r="2972" ht="46" customHeight="1">
      <x:c r="A2972" s="17" t="str">
        <x:v>stage4src:45abffd6068b7092</x:v>
      </x:c>
      <x:c r="B2972" s="17" t="str">
        <x:v>professor</x:v>
      </x:c>
      <x:c r="C2972" s="17" t="str">
        <x:v>West Virginia University</x:v>
      </x:c>
      <x:c r="D2972" s="17" t="str">
        <x:v>us:ipeds:238032:program:phd:ph-d-in-computer-science-and-information-science</x:v>
      </x:c>
      <x:c r="E2972" s="17" t="str">
        <x:v>us:ipeds:238032:faculty:katerina-goseva-popstojanova</x:v>
      </x:c>
      <x:c r="F2972" s="17" t="str">
        <x:v>recent work|research fit</x:v>
      </x:c>
      <x:c r="G2972" s="17" t="str">
        <x:v>The 2026 article supports current empirical software-fault and reliability research.</x:v>
      </x:c>
      <x:c r="H2972" s="17" t="str">
        <x:v>Using case-control study to explain software fault-proneness</x:v>
      </x:c>
      <x:c r="I2972" s="17" t="str">
        <x:v>OpenAlex / cited venue</x:v>
      </x:c>
      <x:c r="J2972" s="17" t="str">
        <x:v>secondary</x:v>
      </x:c>
      <x:c r="K2972" s="17" t="str">
        <x:v>2026-09-11</x:v>
      </x:c>
      <x:c r="L2972" s="17" t="str">
        <x:v>2026</x:v>
      </x:c>
      <x:c r="M2972" s="17" t="str">
        <x:v>high</x:v>
      </x:c>
      <x:c r="N2972" s="17" t="str">
        <x:v>verified</x:v>
      </x:c>
      <x:c r="O2972" s="17" t="str">
        <x:v>Publisher DOI checked 2026-09-11.</x:v>
      </x:c>
      <x:c r="P2972" s="18" t="e">
        <x:f>HYPERLINK("https://doi.org/10.1007/s11219-025-09735-2","Open source")</x:f>
        <x:v>HYPERLINK is not implemented. linkLocation=https://doi.org/10.1007/s11219-025-09735-2, friendlyName=Open source</x:v>
      </x:c>
    </x:row>
    <x:row r="2973" ht="46" customHeight="1">
      <x:c r="A2973" s="17" t="str">
        <x:v>stage4src:45b07d9be797e78f</x:v>
      </x:c>
      <x:c r="B2973" s="17" t="str">
        <x:v>professor</x:v>
      </x:c>
      <x:c r="C2973" s="17" t="str">
        <x:v>The University of Texas at San Antonio</x:v>
      </x:c>
      <x:c r="D2973" s="17" t="str">
        <x:v>us:ipeds:229027:program:phd:phd-in-computer-science</x:v>
      </x:c>
      <x:c r="E2973" s="17" t="str">
        <x:v>us:ipeds:229027:faculty:xiaoyin-wang</x:v>
      </x:c>
      <x:c r="F2973" s="17" t="str">
        <x:v>current appointment|research themes|email</x:v>
      </x:c>
      <x:c r="G2973" s="17" t="str">
        <x:v>The current profile identifies Wang as Professor of Computer Science and documents software engineering, program analysis, and software-security interests.</x:v>
      </x:c>
      <x:c r="H2973" s="17" t="str">
        <x:v>Xiaoyin Wang</x:v>
      </x:c>
      <x:c r="I2973" s="17" t="str">
        <x:v>The University of Texas at San Antonio</x:v>
      </x:c>
      <x:c r="J2973" s="17" t="str">
        <x:v>official</x:v>
      </x:c>
      <x:c r="K2973" s="17" t="str">
        <x:v>2026-09-11</x:v>
      </x:c>
      <x:c r="L2973" s="17" t="str">
        <x:v>2026</x:v>
      </x:c>
      <x:c r="M2973" s="17" t="str">
        <x:v>high</x:v>
      </x:c>
      <x:c r="N2973" s="17" t="str">
        <x:v>verified</x:v>
      </x:c>
      <x:c r="O2973" s="17" t="str">
        <x:v>Current official profile checked 2026-09-10.</x:v>
      </x:c>
      <x:c r="P2973" s="18" t="e">
        <x:f>HYPERLINK("https://sciences.utsa.edu/faculty/profiles/wang-xiaoyin.html","Open source")</x:f>
        <x:v>HYPERLINK is not implemented. linkLocation=https://sciences.utsa.edu/faculty/profiles/wang-xiaoyin.html, friendlyName=Open source</x:v>
      </x:c>
    </x:row>
    <x:row r="2974" ht="46" customHeight="1">
      <x:c r="A2974" s="17" t="str">
        <x:v>stage4src:46855884272b4a38</x:v>
      </x:c>
      <x:c r="B2974" s="17" t="str">
        <x:v>professor</x:v>
      </x:c>
      <x:c r="C2974" s="17" t="str">
        <x:v>Concordia University</x:v>
      </x:c>
      <x:c r="D2974" s="17" t="str">
        <x:v>ca:dli:O19359011007:program:thesis-or-research-master-s:software-engineering-masc</x:v>
      </x:c>
      <x:c r="E2974" s="17" t="str">
        <x:v>ca:dli:O19359011007:faculty:shin-hwei-tan</x:v>
      </x:c>
      <x:c r="F2974" s="17" t="str">
        <x:v>recent work|research fit</x:v>
      </x:c>
      <x:c r="G2974" s="17" t="str">
        <x:v>Applicants may name three faculty; contact is highly recommended and no offer issues without a supervisor match.</x:v>
      </x:c>
      <x:c r="H2974" s="17" t="str">
        <x:v>Programs with additional requirements</x:v>
      </x:c>
      <x:c r="I2974" s="17" t="str">
        <x:v>Concordia University</x:v>
      </x:c>
      <x:c r="J2974" s="17" t="str">
        <x:v>official</x:v>
      </x:c>
      <x:c r="K2974" s="17" t="str">
        <x:v>2026-09-11</x:v>
      </x:c>
      <x:c r="L2974" s="17" t="str"/>
      <x:c r="M2974" s="17" t="str">
        <x:v>high</x:v>
      </x:c>
      <x:c r="N2974" s="17" t="str">
        <x:v>verified</x:v>
      </x:c>
      <x:c r="O2974" s="17" t="str">
        <x:v>No search snippet used as final evidence; URL/page content reviewed.</x:v>
      </x:c>
      <x:c r="P2974" s="18" t="e">
        <x:f>HYPERLINK("https://www.concordia.ca/gradstudies/future-students/how-to-apply/programs-with-additional-requirements.html","Open source")</x:f>
        <x:v>HYPERLINK is not implemented. linkLocation=https://www.concordia.ca/gradstudies/future-students/how-to-apply/programs-with-additional-requirements.html, friendlyName=Open source</x:v>
      </x:c>
    </x:row>
    <x:row r="2975" ht="46" customHeight="1">
      <x:c r="A2975" s="17" t="str">
        <x:v>stage4src:4702ab6c92a109af</x:v>
      </x:c>
      <x:c r="B2975" s="17" t="str">
        <x:v>professor</x:v>
      </x:c>
      <x:c r="C2975" s="17" t="str">
        <x:v>Kansas State University</x:v>
      </x:c>
      <x:c r="D2975" s="17" t="str">
        <x:v>us:ipeds:155399:program:phd:doctor-of-philosophy-in-computer-science</x:v>
      </x:c>
      <x:c r="E2975" s="17" t="str">
        <x:v>us:ipeds:155399:faculty:robby</x:v>
      </x:c>
      <x:c r="F2975" s="17" t="str">
        <x:v>active research direction|recent work|research fit</x:v>
      </x:c>
      <x:c r="G2975" s="17" t="str">
        <x:v>The current Sireum platform develops formal-method building blocks for high-assurance system validation and verification.</x:v>
      </x:c>
      <x:c r="H2975" s="17" t="str">
        <x:v>Sireum</x:v>
      </x:c>
      <x:c r="I2975" s="17" t="str">
        <x:v>Kansas State University</x:v>
      </x:c>
      <x:c r="J2975" s="17" t="str">
        <x:v>official</x:v>
      </x:c>
      <x:c r="K2975" s="17" t="str">
        <x:v>2026-09-11</x:v>
      </x:c>
      <x:c r="L2975" s="17" t="str">
        <x:v>2026</x:v>
      </x:c>
      <x:c r="M2975" s="17" t="str">
        <x:v>high</x:v>
      </x:c>
      <x:c r="N2975" s="17" t="str">
        <x:v>verified</x:v>
      </x:c>
      <x:c r="O2975" s="17" t="str">
        <x:v>Current project page checked 2026-09-11.</x:v>
      </x:c>
      <x:c r="P2975" s="18" t="e">
        <x:f>HYPERLINK("https://sireum.org/","Open source")</x:f>
        <x:v>HYPERLINK is not implemented. linkLocation=https://sireum.org/, friendlyName=Open source</x:v>
      </x:c>
    </x:row>
    <x:row r="2976" ht="46" customHeight="1">
      <x:c r="A2976" s="17" t="str">
        <x:v>stage4src:472b87d9a78d2279</x:v>
      </x:c>
      <x:c r="B2976" s="17" t="str">
        <x:v>professor</x:v>
      </x:c>
      <x:c r="C2976" s="17" t="str">
        <x:v>Simon Fraser University</x:v>
      </x:c>
      <x:c r="D2976" s="17" t="str">
        <x:v>ca:dli:O18781994282:program:thesis-or-research-master-s:computing-science-master-of-science-thesis</x:v>
      </x:c>
      <x:c r="E2976" s="17" t="str">
        <x:v>ca:dli:O18781994282:faculty:saba-alimadadi</x:v>
      </x:c>
      <x:c r="F2976" s="17" t="str">
        <x:v>recent work|research fit</x:v>
      </x:c>
      <x:c r="G2976" s="17" t="str">
        <x:v>The 2024 paper directly studies LLM-based detection and repair of JavaScript security vulnerabilities.</x:v>
      </x:c>
      <x:c r="H2976" s="17" t="str">
        <x:v>A Study of Vulnerability Repair in JavaScript Programs with Large Language Models</x:v>
      </x:c>
      <x:c r="I2976" s="17" t="str">
        <x:v>Simon Fraser University</x:v>
      </x:c>
      <x:c r="J2976" s="17" t="str">
        <x:v>official</x:v>
      </x:c>
      <x:c r="K2976" s="17" t="str">
        <x:v>2026-09-11</x:v>
      </x:c>
      <x:c r="L2976" s="17" t="str">
        <x:v>2024</x:v>
      </x:c>
      <x:c r="M2976" s="17" t="str">
        <x:v>high</x:v>
      </x:c>
      <x:c r="N2976" s="17" t="str">
        <x:v>verified</x:v>
      </x:c>
      <x:c r="O2976" s="17" t="str">
        <x:v>Publisher record checked 2026-09-10.</x:v>
      </x:c>
      <x:c r="P2976" s="18" t="e">
        <x:f>HYPERLINK("https://doi.org/10.1145/3589335.3651463","Open source")</x:f>
        <x:v>HYPERLINK is not implemented. linkLocation=https://doi.org/10.1145/3589335.3651463, friendlyName=Open source</x:v>
      </x:c>
    </x:row>
    <x:row r="2977" ht="46" customHeight="1">
      <x:c r="A2977" s="17" t="str">
        <x:v>stage4src:475b68ead1ba9517</x:v>
      </x:c>
      <x:c r="B2977" s="17" t="str">
        <x:v>professor</x:v>
      </x:c>
      <x:c r="C2977" s="17" t="str">
        <x:v>Saint Mary’s University</x:v>
      </x:c>
      <x:c r="D2977" s="17" t="str">
        <x:v>ca:dli:O19021279692:program:thesis-or-research-master-s:msc-in-applied-science-computing-science-research-field</x:v>
      </x:c>
      <x:c r="E2977" s="17" t="str">
        <x:v>ca:dli:O19021279692:faculty:somayeh-kafaie</x:v>
      </x:c>
      <x:c r="F2977" s="17" t="str">
        <x:v>current appointment|email|recent work|research fit</x:v>
      </x:c>
      <x:c r="G2977" s="17" t="str">
        <x:v>Kafaie's current page identifies her as an Associate Professor and records 2025-2026 work on explainable knowledge extraction, fact retrieval, fact checking, and malware detection.</x:v>
      </x:c>
      <x:c r="H2977" s="17" t="str">
        <x:v>Somayeh Kafaie</x:v>
      </x:c>
      <x:c r="I2977" s="17" t="str">
        <x:v>Saint Mary’s University</x:v>
      </x:c>
      <x:c r="J2977" s="17" t="str">
        <x:v>official</x:v>
      </x:c>
      <x:c r="K2977" s="17" t="str">
        <x:v>2026-09-11</x:v>
      </x:c>
      <x:c r="L2977" s="17" t="str">
        <x:v>2026</x:v>
      </x:c>
      <x:c r="M2977" s="17" t="str">
        <x:v>high</x:v>
      </x:c>
      <x:c r="N2977" s="17" t="str">
        <x:v>verified</x:v>
      </x:c>
      <x:c r="O2977" s="17" t="str">
        <x:v>Live university-hosted page checked 2026-09-11.</x:v>
      </x:c>
      <x:c r="P2977" s="18" t="e">
        <x:f>HYPERLINK("https://cs.smu.ca/~somayeh/","Open source")</x:f>
        <x:v>HYPERLINK is not implemented. linkLocation=https://cs.smu.ca/~somayeh/, friendlyName=Open source</x:v>
      </x:c>
    </x:row>
    <x:row r="2978" ht="46" customHeight="1">
      <x:c r="A2978" s="17" t="str">
        <x:v>stage4src:475e2d661a77f861</x:v>
      </x:c>
      <x:c r="B2978" s="17" t="str">
        <x:v>professor</x:v>
      </x:c>
      <x:c r="C2978" s="17" t="str">
        <x:v>University of California-Riverside</x:v>
      </x:c>
      <x:c r="D2978" s="17" t="str">
        <x:v>us:ipeds:110671:program:phd:phd-in-computer-science</x:v>
      </x:c>
      <x:c r="E2978" s="17" t="str"/>
      <x:c r="F2978" s="17" t="str">
        <x:v>current faculty roster|candidate longlist</x:v>
      </x:c>
      <x:c r="G2978" s="17" t="str">
        <x:v>Current official department roster or research-area faculty listing used to identify the five-person Stage 4 candidate longlist.</x:v>
      </x:c>
      <x:c r="H2978" s="17" t="str">
        <x:v>University of California-Riverside current faculty roster</x:v>
      </x:c>
      <x:c r="I2978" s="17" t="str">
        <x:v>University of California-Riverside</x:v>
      </x:c>
      <x:c r="J2978" s="17" t="str">
        <x:v>official</x:v>
      </x:c>
      <x:c r="K2978" s="17" t="str">
        <x:v>2026-09-11</x:v>
      </x:c>
      <x:c r="L2978" s="17" t="str"/>
      <x:c r="M2978" s="17" t="str">
        <x:v>high</x:v>
      </x:c>
      <x:c r="N2978" s="17" t="str">
        <x:v>verified</x:v>
      </x:c>
      <x:c r="O2978" s="17" t="str">
        <x:v>Roster evidence establishes a current listing, not program-specific supervision authority or recruiting.</x:v>
      </x:c>
      <x:c r="P2978" s="18" t="e">
        <x:f>HYPERLINK("https://www1.cs.ucr.edu/people/faculty","Open source")</x:f>
        <x:v>HYPERLINK is not implemented. linkLocation=https://www1.cs.ucr.edu/people/faculty, friendlyName=Open source</x:v>
      </x:c>
    </x:row>
    <x:row r="2979" ht="46" customHeight="1">
      <x:c r="A2979" s="17" t="str">
        <x:v>stage4src:47bad10b3d2bdac1</x:v>
      </x:c>
      <x:c r="B2979" s="17" t="str">
        <x:v>professor</x:v>
      </x:c>
      <x:c r="C2979" s="17" t="str">
        <x:v>Boston University</x:v>
      </x:c>
      <x:c r="D2979" s="17" t="str">
        <x:v>us:ipeds:164988:program:phd:computer-science-phd</x:v>
      </x:c>
      <x:c r="E2979" s="17" t="str">
        <x:v>us:ipeds:164988:faculty:ankush-das</x:v>
      </x:c>
      <x:c r="F2979" s="17" t="str">
        <x:v>recent work|research fit|email</x:v>
      </x:c>
      <x:c r="G2979" s="17" t="str">
        <x:v>The faculty-hosted PLDI 2025 paper documents recent verification and type-systems research and gives the official BU email.</x:v>
      </x:c>
      <x:c r="H2979" s="17" t="str">
        <x:v>Probabilistic Refinement Session Types</x:v>
      </x:c>
      <x:c r="I2979" s="17" t="str">
        <x:v>Boston University</x:v>
      </x:c>
      <x:c r="J2979" s="17" t="str">
        <x:v>official</x:v>
      </x:c>
      <x:c r="K2979" s="17" t="str">
        <x:v>2026-09-11</x:v>
      </x:c>
      <x:c r="L2979" s="17" t="str">
        <x:v>2025</x:v>
      </x:c>
      <x:c r="M2979" s="17" t="str">
        <x:v>high</x:v>
      </x:c>
      <x:c r="N2979" s="17" t="str">
        <x:v>verified</x:v>
      </x:c>
      <x:c r="O2979" s="17" t="str">
        <x:v>Faculty-hosted scholarly work checked 2026-09-10.</x:v>
      </x:c>
      <x:c r="P2979" s="18" t="e">
        <x:f>HYPERLINK("https://ankushdas.github.io/docs/pldi25.pdf","Open source")</x:f>
        <x:v>HYPERLINK is not implemented. linkLocation=https://ankushdas.github.io/docs/pldi25.pdf, friendlyName=Open source</x:v>
      </x:c>
    </x:row>
    <x:row r="2980" ht="46" customHeight="1">
      <x:c r="A2980" s="17" t="str">
        <x:v>stage4src:47d71f7b5cb6c28a</x:v>
      </x:c>
      <x:c r="B2980" s="17" t="str">
        <x:v>professor</x:v>
      </x:c>
      <x:c r="C2980" s="17" t="str">
        <x:v>Clarkson University</x:v>
      </x:c>
      <x:c r="D2980" s="17" t="str">
        <x:v>us:ipeds:190044:program:phd:phd-in-computer-science</x:v>
      </x:c>
      <x:c r="E2980" s="17" t="str">
        <x:v>us:ipeds:190044:faculty:faraz-hussain</x:v>
      </x:c>
      <x:c r="F2980" s="17" t="str">
        <x:v>recent project|research fit|software security</x:v>
      </x:c>
      <x:c r="G2980" s="17" t="str">
        <x:v>Clarkson identifies Hussain as a co-investigator on an active project using authentic software projects and assessment to integrate cybersecurity into computing.</x:v>
      </x:c>
      <x:c r="H2980" s="17" t="str">
        <x:v>Clarkson Professors Awarded Nearly $400K Grant from NSF for Integrating Cybersecurity into Computing Curricula</x:v>
      </x:c>
      <x:c r="I2980" s="17" t="str">
        <x:v>Clarkson University</x:v>
      </x:c>
      <x:c r="J2980" s="17" t="str">
        <x:v>official</x:v>
      </x:c>
      <x:c r="K2980" s="17" t="str">
        <x:v>2026-09-11</x:v>
      </x:c>
      <x:c r="L2980" s="17" t="str">
        <x:v>2023</x:v>
      </x:c>
      <x:c r="M2980" s="17" t="str">
        <x:v>high</x:v>
      </x:c>
      <x:c r="N2980" s="17" t="str">
        <x:v>verified</x:v>
      </x:c>
      <x:c r="O2980" s="17" t="str">
        <x:v>Official announcement checked 2026-09-11; grant activity is not recruiting evidence.</x:v>
      </x:c>
      <x:c r="P2980" s="18" t="e">
        <x:f>HYPERLINK("https://www.clarkson.edu/news-events/clarkson-professors-awarded-nearly-400k-grant-nsf-integrating-cybersecurity-computing-curricula","Open source")</x:f>
        <x:v>HYPERLINK is not implemented. linkLocation=https://www.clarkson.edu/news-events/clarkson-professors-awarded-nearly-400k-grant-nsf-integrating-cybersecurity-computing-curricula, friendlyName=Open source</x:v>
      </x:c>
    </x:row>
    <x:row r="2981" ht="46" customHeight="1">
      <x:c r="A2981" s="17" t="str">
        <x:v>stage4src:47d852c33361b108</x:v>
      </x:c>
      <x:c r="B2981" s="17" t="str">
        <x:v>professor</x:v>
      </x:c>
      <x:c r="C2981" s="17" t="str">
        <x:v>Brandeis University</x:v>
      </x:c>
      <x:c r="D2981" s="17" t="str">
        <x:v>us:ipeds:165015:program:phd:computer-science-phd</x:v>
      </x:c>
      <x:c r="E2981" s="17" t="str"/>
      <x:c r="F2981" s="17" t="str">
        <x:v>current faculty roster|candidate longlist</x:v>
      </x:c>
      <x:c r="G2981" s="17" t="str">
        <x:v>Current official department roster or research-area faculty listing used to identify the five-person Stage 4 candidate longlist.</x:v>
      </x:c>
      <x:c r="H2981" s="17" t="str">
        <x:v>Brandeis University current faculty roster</x:v>
      </x:c>
      <x:c r="I2981" s="17" t="str">
        <x:v>Brandeis University</x:v>
      </x:c>
      <x:c r="J2981" s="17" t="str">
        <x:v>official</x:v>
      </x:c>
      <x:c r="K2981" s="17" t="str">
        <x:v>2026-09-11</x:v>
      </x:c>
      <x:c r="L2981" s="17" t="str"/>
      <x:c r="M2981" s="17" t="str">
        <x:v>high</x:v>
      </x:c>
      <x:c r="N2981" s="17" t="str">
        <x:v>verified</x:v>
      </x:c>
      <x:c r="O2981" s="17" t="str">
        <x:v>Roster evidence establishes a current listing, not program-specific supervision authority or recruiting.</x:v>
      </x:c>
      <x:c r="P2981" s="18" t="e">
        <x:f>HYPERLINK("https://www.brandeis.edu/computer-science/people/index.html","Open source")</x:f>
        <x:v>HYPERLINK is not implemented. linkLocation=https://www.brandeis.edu/computer-science/people/index.html, friendlyName=Open source</x:v>
      </x:c>
    </x:row>
    <x:row r="2982" ht="46" customHeight="1">
      <x:c r="A2982" s="17" t="str">
        <x:v>stage4src:4914cb0788170408</x:v>
      </x:c>
      <x:c r="B2982" s="17" t="str">
        <x:v>professor</x:v>
      </x:c>
      <x:c r="C2982" s="17" t="str">
        <x:v>York University</x:v>
      </x:c>
      <x:c r="D2982" s="17" t="str">
        <x:v>ca:dli:O19361109242:program:thesis-or-research-master-s:computer-science-msc-thesis-option</x:v>
      </x:c>
      <x:c r="E2982" s="17" t="str">
        <x:v>ca:dli:O19361109242:faculty:zhen-ming-jack-jiang</x:v>
      </x:c>
      <x:c r="F2982" s="17" t="str">
        <x:v>recent work|research fit</x:v>
      </x:c>
      <x:c r="G2982" s="17" t="str">
        <x:v>The current York-hosted list records Jiang-coauthored work from 2024 through 2026 on LLM-based code translation, vulnerability detection, and code-review recommendation.</x:v>
      </x:c>
      <x:c r="H2982" s="17" t="str">
        <x:v>Recent software-engineering publications</x:v>
      </x:c>
      <x:c r="I2982" s="17" t="str">
        <x:v>York University</x:v>
      </x:c>
      <x:c r="J2982" s="17" t="str">
        <x:v>official</x:v>
      </x:c>
      <x:c r="K2982" s="17" t="str">
        <x:v>2026-09-11</x:v>
      </x:c>
      <x:c r="L2982" s="17" t="str">
        <x:v>2026</x:v>
      </x:c>
      <x:c r="M2982" s="17" t="str">
        <x:v>high</x:v>
      </x:c>
      <x:c r="N2982" s="17" t="str">
        <x:v>verified</x:v>
      </x:c>
      <x:c r="O2982" s="17" t="str">
        <x:v>University-hosted publication list checked 2026-09-10.</x:v>
      </x:c>
      <x:c r="P2982" s="18" t="e">
        <x:f>HYPERLINK("https://www.eecs.yorku.ca/~wangsong/publication.html","Open source")</x:f>
        <x:v>HYPERLINK is not implemented. linkLocation=https://www.eecs.yorku.ca/~wangsong/publication.html, friendlyName=Open source</x:v>
      </x:c>
    </x:row>
    <x:row r="2983" ht="46" customHeight="1">
      <x:c r="A2983" s="17" t="str">
        <x:v>stage4src:496bcf2cfc308c0b</x:v>
      </x:c>
      <x:c r="B2983" s="17" t="str">
        <x:v>professor</x:v>
      </x:c>
      <x:c r="C2983" s="17" t="str">
        <x:v>Saarland University</x:v>
      </x:c>
      <x:c r="D2983" s="17" t="str">
        <x:v>ror:01jdpyv68:program:integrated-or-structured-doctorate:saarbr-cken-graduate-school-of-computer-science</x:v>
      </x:c>
      <x:c r="E2983" s="17" t="str"/>
      <x:c r="F2983" s="17" t="str">
        <x:v>current faculty roster|candidate longlist</x:v>
      </x:c>
      <x:c r="G2983" s="17" t="str">
        <x:v>Current official department roster or research-area faculty listing used to identify the five-person Stage 4 candidate longlist.</x:v>
      </x:c>
      <x:c r="H2983" s="17" t="str">
        <x:v>Saarland University current faculty roster</x:v>
      </x:c>
      <x:c r="I2983" s="17" t="str">
        <x:v>Saarland University</x:v>
      </x:c>
      <x:c r="J2983" s="17" t="str">
        <x:v>official</x:v>
      </x:c>
      <x:c r="K2983" s="17" t="str">
        <x:v>2026-09-11</x:v>
      </x:c>
      <x:c r="L2983" s="17" t="str"/>
      <x:c r="M2983" s="17" t="str">
        <x:v>high</x:v>
      </x:c>
      <x:c r="N2983" s="17" t="str">
        <x:v>verified</x:v>
      </x:c>
      <x:c r="O2983" s="17" t="str">
        <x:v>Roster evidence establishes a current listing, not program-specific supervision authority or recruiting.</x:v>
      </x:c>
      <x:c r="P2983" s="18" t="e">
        <x:f>HYPERLINK("https://www.uni-saarland.de/en/university/organization/faculties/professors/mi/computer-science.html","Open source")</x:f>
        <x:v>HYPERLINK is not implemented. linkLocation=https://www.uni-saarland.de/en/university/organization/faculties/professors/mi/computer-science.html, friendlyName=Open source</x:v>
      </x:c>
    </x:row>
    <x:row r="2984" ht="46" customHeight="1">
      <x:c r="A2984" s="17" t="str">
        <x:v>stage4src:49a7498b1e04b398</x:v>
      </x:c>
      <x:c r="B2984" s="17" t="str">
        <x:v>professor</x:v>
      </x:c>
      <x:c r="C2984" s="17" t="str">
        <x:v>Rochester Institute of Technology</x:v>
      </x:c>
      <x:c r="D2984" s="17" t="str">
        <x:v>us:ipeds:195003:program:phd:computing-and-information-sciences-phd</x:v>
      </x:c>
      <x:c r="E2984" s="17" t="str"/>
      <x:c r="F2984" s="17" t="str">
        <x:v>current faculty roster|candidate longlist</x:v>
      </x:c>
      <x:c r="G2984" s="17" t="str">
        <x:v>Current official department roster or research-area faculty listing used to identify the five-person Stage 4 candidate longlist.</x:v>
      </x:c>
      <x:c r="H2984" s="17" t="str">
        <x:v>Rochester Institute of Technology current faculty roster</x:v>
      </x:c>
      <x:c r="I2984" s="17" t="str">
        <x:v>Rochester Institute of Technology</x:v>
      </x:c>
      <x:c r="J2984" s="17" t="str">
        <x:v>official</x:v>
      </x:c>
      <x:c r="K2984" s="17" t="str">
        <x:v>2026-09-11</x:v>
      </x:c>
      <x:c r="L2984" s="17" t="str"/>
      <x:c r="M2984" s="17" t="str">
        <x:v>high</x:v>
      </x:c>
      <x:c r="N2984" s="17" t="str">
        <x:v>verified</x:v>
      </x:c>
      <x:c r="O2984" s="17" t="str">
        <x:v>Roster evidence establishes a current listing, not program-specific supervision authority or recruiting.</x:v>
      </x:c>
      <x:c r="P2984" s="18" t="e">
        <x:f>HYPERLINK("https://www.rit.edu/computing/phd-computing-and-information-sciences/research/software-engineering","Open source")</x:f>
        <x:v>HYPERLINK is not implemented. linkLocation=https://www.rit.edu/computing/phd-computing-and-information-sciences/research/software-engineering, friendlyName=Open source</x:v>
      </x:c>
    </x:row>
    <x:row r="2985" ht="46" customHeight="1">
      <x:c r="A2985" s="17" t="str">
        <x:v>stage4src:4a0054fe68a64b5a</x:v>
      </x:c>
      <x:c r="B2985" s="17" t="str">
        <x:v>professor</x:v>
      </x:c>
      <x:c r="C2985" s="17" t="str">
        <x:v>Clarkson University</x:v>
      </x:c>
      <x:c r="D2985" s="17" t="str">
        <x:v>us:ipeds:190044:program:phd:phd-in-computer-science</x:v>
      </x:c>
      <x:c r="E2985" s="17" t="str">
        <x:v>us:ipeds:190044:faculty:faraz-hussain</x:v>
      </x:c>
      <x:c r="F2985" s="17" t="str">
        <x:v>program context|faculty advisor|assistantships|prospective instructions</x:v>
      </x:c>
      <x:c r="G2985" s="17" t="str">
        <x:v>Clarkson requires a faculty advisor before candidacy and states CS PhD applicants are eligible for funded research or teaching assistantships.</x:v>
      </x:c>
      <x:c r="H2985" s="17" t="str">
        <x:v>PhD in Computer Science</x:v>
      </x:c>
      <x:c r="I2985" s="17" t="str">
        <x:v>Clarkson University</x:v>
      </x:c>
      <x:c r="J2985" s="17" t="str">
        <x:v>official</x:v>
      </x:c>
      <x:c r="K2985" s="17" t="str">
        <x:v>2026-09-11</x:v>
      </x:c>
      <x:c r="L2985" s="17" t="str">
        <x:v>2026</x:v>
      </x:c>
      <x:c r="M2985" s="17" t="str">
        <x:v>high</x:v>
      </x:c>
      <x:c r="N2985" s="17" t="str">
        <x:v>verified</x:v>
      </x:c>
      <x:c r="O2985" s="17" t="str">
        <x:v>Live official program page checked 2026-09-11; general assistantship eligibility is not candidate-specific recruiting evidence.</x:v>
      </x:c>
      <x:c r="P2985" s="18" t="e">
        <x:f>HYPERLINK("https://www.clarkson.edu/academics/majors-minors/computer-science-phd","Open source")</x:f>
        <x:v>HYPERLINK is not implemented. linkLocation=https://www.clarkson.edu/academics/majors-minors/computer-science-phd, friendlyName=Open source</x:v>
      </x:c>
    </x:row>
    <x:row r="2986" ht="46" customHeight="1">
      <x:c r="A2986" s="17" t="str">
        <x:v>stage4src:4a2ac4b040e1d61d</x:v>
      </x:c>
      <x:c r="B2986" s="17" t="str">
        <x:v>professor</x:v>
      </x:c>
      <x:c r="C2986" s="17" t="str">
        <x:v>University of Idaho</x:v>
      </x:c>
      <x:c r="D2986" s="17" t="str">
        <x:v>us:ipeds:142285:program:phd:computer-science-ph-d</x:v>
      </x:c>
      <x:c r="E2986" s="17" t="str">
        <x:v>us:ipeds:142285:faculty:jia-song</x:v>
      </x:c>
      <x:c r="F2986" s="17" t="str">
        <x:v>program context|supervision authority|prospective instructions</x:v>
      </x:c>
      <x:c r="G2986" s="17" t="str">
        <x:v>The official research PhD establishes the faculty-advised doctoral context.</x:v>
      </x:c>
      <x:c r="H2986" s="17" t="str">
        <x:v>Computer Science Ph.D.</x:v>
      </x:c>
      <x:c r="I2986" s="17" t="str">
        <x:v>University of Idaho</x:v>
      </x:c>
      <x:c r="J2986" s="17" t="str">
        <x:v>official</x:v>
      </x:c>
      <x:c r="K2986" s="17" t="str">
        <x:v>2026-09-11</x:v>
      </x:c>
      <x:c r="L2986" s="17" t="str">
        <x:v>2026</x:v>
      </x:c>
      <x:c r="M2986" s="17" t="str">
        <x:v>high</x:v>
      </x:c>
      <x:c r="N2986" s="17" t="str">
        <x:v>verified</x:v>
      </x:c>
      <x:c r="O2986" s="17" t="str">
        <x:v>Live official page checked 2026-09-11.</x:v>
      </x:c>
      <x:c r="P2986" s="18" t="e">
        <x:f>HYPERLINK("https://www.uidaho.edu/academics/degree-finder/computer-sci-phd","Open source")</x:f>
        <x:v>HYPERLINK is not implemented. linkLocation=https://www.uidaho.edu/academics/degree-finder/computer-sci-phd, friendlyName=Open source</x:v>
      </x:c>
    </x:row>
    <x:row r="2987" ht="46" customHeight="1">
      <x:c r="A2987" s="17" t="str">
        <x:v>stage4src:4a494bfeb01dd290</x:v>
      </x:c>
      <x:c r="B2987" s="17" t="str">
        <x:v>professor</x:v>
      </x:c>
      <x:c r="C2987" s="17" t="str">
        <x:v>McGill University</x:v>
      </x:c>
      <x:c r="D2987" s="17" t="str">
        <x:v>ca:dli:O19359011033:program:thesis-or-research-master-s:electrical-engineering-thesis-m-sc</x:v>
      </x:c>
      <x:c r="E2987" s="17" t="str">
        <x:v>ca:dli:O19359011033:faculty:d-niel-varr</x:v>
      </x:c>
      <x:c r="F2987" s="17" t="str">
        <x:v>admissions process|prospective student instructions|recruiting control</x:v>
      </x:c>
      <x:c r="G2987" s="17" t="str">
        <x:v>ECE says professors individually accept MSc and PhD students into their research groups, with or without financial support.</x:v>
      </x:c>
      <x:c r="H2987" s="17" t="str">
        <x:v>ECE Graduate Procedures</x:v>
      </x:c>
      <x:c r="I2987" s="17" t="str">
        <x:v>McGill University</x:v>
      </x:c>
      <x:c r="J2987" s="17" t="str">
        <x:v>official</x:v>
      </x:c>
      <x:c r="K2987" s="17" t="str">
        <x:v>2026-09-11</x:v>
      </x:c>
      <x:c r="L2987" s="17" t="str">
        <x:v>2026</x:v>
      </x:c>
      <x:c r="M2987" s="17" t="str">
        <x:v>high</x:v>
      </x:c>
      <x:c r="N2987" s="17" t="str">
        <x:v>verified</x:v>
      </x:c>
      <x:c r="O2987" s="17" t="str">
        <x:v>Live official procedure checked 2026-09-11.</x:v>
      </x:c>
      <x:c r="P2987" s="18" t="e">
        <x:f>HYPERLINK("https://www.mcgill.ca/ece/graduate/graduate/procedures","Open source")</x:f>
        <x:v>HYPERLINK is not implemented. linkLocation=https://www.mcgill.ca/ece/graduate/graduate/procedures, friendlyName=Open source</x:v>
      </x:c>
    </x:row>
    <x:row r="2988" ht="46" customHeight="1">
      <x:c r="A2988" s="17" t="str">
        <x:v>stage4src:4a65efd877921ad8</x:v>
      </x:c>
      <x:c r="B2988" s="17" t="str">
        <x:v>professor</x:v>
      </x:c>
      <x:c r="C2988" s="17" t="str">
        <x:v>University of Cincinnati-Main Campus</x:v>
      </x:c>
      <x:c r="D2988" s="17" t="str">
        <x:v>us:ipeds:201885:program:phd:ph-d-in-computer-science-and-engineering</x:v>
      </x:c>
      <x:c r="E2988" s="17" t="str"/>
      <x:c r="F2988" s="17" t="str">
        <x:v>current faculty roster|candidate longlist</x:v>
      </x:c>
      <x:c r="G2988" s="17" t="str">
        <x:v>Current official department roster or research-area faculty listing used to identify the five-person Stage 4 candidate longlist.</x:v>
      </x:c>
      <x:c r="H2988" s="17" t="str">
        <x:v>University of Cincinnati-Main Campus current faculty roster</x:v>
      </x:c>
      <x:c r="I2988" s="17" t="str">
        <x:v>University of Cincinnati-Main Campus</x:v>
      </x:c>
      <x:c r="J2988" s="17" t="str">
        <x:v>official</x:v>
      </x:c>
      <x:c r="K2988" s="17" t="str">
        <x:v>2026-09-11</x:v>
      </x:c>
      <x:c r="L2988" s="17" t="str"/>
      <x:c r="M2988" s="17" t="str">
        <x:v>high</x:v>
      </x:c>
      <x:c r="N2988" s="17" t="str">
        <x:v>verified</x:v>
      </x:c>
      <x:c r="O2988" s="17" t="str">
        <x:v>Roster evidence establishes a current listing, not program-specific supervision authority or recruiting.</x:v>
      </x:c>
      <x:c r="P2988" s="18" t="e">
        <x:f>HYPERLINK("https://www.ceas.uc.edu/academics/departments/computer-science/computer-science-people.html","Open source")</x:f>
        <x:v>HYPERLINK is not implemented. linkLocation=https://www.ceas.uc.edu/academics/departments/computer-science/computer-science-people.html, friendlyName=Open source</x:v>
      </x:c>
    </x:row>
    <x:row r="2989" ht="46" customHeight="1">
      <x:c r="A2989" s="17" t="str">
        <x:v>stage4src:4ab40950b4363521</x:v>
      </x:c>
      <x:c r="B2989" s="17" t="str">
        <x:v>professor</x:v>
      </x:c>
      <x:c r="C2989" s="17" t="str">
        <x:v>ETH Zurich</x:v>
      </x:c>
      <x:c r="D2989" s="17" t="str">
        <x:v>ror:05a28rw58:program:direct-entry-phd:direct-doctorate-in-computer-science</x:v>
      </x:c>
      <x:c r="E2989" s="17" t="str">
        <x:v>ror:05a28rw58:faculty:martin-vechev</x:v>
      </x:c>
      <x:c r="F2989" s="17" t="str">
        <x:v>current appointment|program supervision authority|research themes</x:v>
      </x:c>
      <x:c r="G2989" s="17" t="str">
        <x:v>Official institutional profile/group page used to verify current role and research themes</x:v>
      </x:c>
      <x:c r="H2989" s="17" t="str">
        <x:v>Martin Vechev — official evidence</x:v>
      </x:c>
      <x:c r="I2989" s="17" t="str">
        <x:v>ETH Zurich</x:v>
      </x:c>
      <x:c r="J2989" s="17" t="str">
        <x:v>official</x:v>
      </x:c>
      <x:c r="K2989" s="17" t="str">
        <x:v>2026-09-11</x:v>
      </x:c>
      <x:c r="L2989" s="17" t="str"/>
      <x:c r="M2989" s="17" t="str">
        <x:v>high</x:v>
      </x:c>
      <x:c r="N2989" s="17" t="str">
        <x:v>verified</x:v>
      </x:c>
      <x:c r="O2989" s="17" t="str">
        <x:v>Search snippets were discovery only; final claim points to the official destination. Recheck cycle-specific facts when 2027 material opens.</x:v>
      </x:c>
      <x:c r="P2989" s="18" t="e">
        <x:f>HYPERLINK("https://www.sri.inf.ethz.ch/people/martin","Open source")</x:f>
        <x:v>HYPERLINK is not implemented. linkLocation=https://www.sri.inf.ethz.ch/people/martin, friendlyName=Open source</x:v>
      </x:c>
    </x:row>
    <x:row r="2990" ht="46" customHeight="1">
      <x:c r="A2990" s="17" t="str">
        <x:v>stage4src:4b08da54218fd9c2</x:v>
      </x:c>
      <x:c r="B2990" s="17" t="str">
        <x:v>professor</x:v>
      </x:c>
      <x:c r="C2990" s="17" t="str">
        <x:v>University of California-Davis</x:v>
      </x:c>
      <x:c r="D2990" s="17" t="str">
        <x:v>us:ipeds:110644:program:phd:computer-science-phd</x:v>
      </x:c>
      <x:c r="E2990" s="17" t="str">
        <x:v>us:ipeds:110644:faculty:hao-chen</x:v>
      </x:c>
      <x:c r="F2990" s="17" t="str">
        <x:v>discovery publication signal|recent work</x:v>
      </x:c>
      <x:c r="G2990" s="17" t="str">
        <x:v>Publication metadata was examined for shortlist triage only; publication-time affiliation does not establish current appointment, supervision authority, or recruiting.</x:v>
      </x:c>
      <x:c r="H2990" s="17" t="str">
        <x:v>OpenAlex publication signal for Hao Chen</x:v>
      </x:c>
      <x:c r="I2990" s="17" t="str">
        <x:v>OpenAlex / cited venue</x:v>
      </x:c>
      <x:c r="J2990" s="17" t="str">
        <x:v>secondary</x:v>
      </x:c>
      <x:c r="K2990" s="17" t="str">
        <x:v>2026-09-11</x:v>
      </x:c>
      <x:c r="L2990" s="17" t="str"/>
      <x:c r="M2990" s="17" t="str">
        <x:v>medium</x:v>
      </x:c>
      <x:c r="N2990" s="17" t="str">
        <x:v>discovery_only</x:v>
      </x:c>
      <x:c r="O2990" s="17" t="str">
        <x:v>Not used to award a professor score or faculty-depth point.</x:v>
      </x:c>
      <x:c r="P2990" s="18" t="e">
        <x:f>HYPERLINK("https://openalex.org/A5100353673","Open source")</x:f>
        <x:v>HYPERLINK is not implemented. linkLocation=https://openalex.org/A5100353673, friendlyName=Open source</x:v>
      </x:c>
    </x:row>
    <x:row r="2991" ht="46" customHeight="1">
      <x:c r="A2991" s="17" t="str">
        <x:v>stage4src:4b0c5e634d73cc64</x:v>
      </x:c>
      <x:c r="B2991" s="17" t="str">
        <x:v>professor</x:v>
      </x:c>
      <x:c r="C2991" s="17" t="str">
        <x:v>Purdue University-Main Campus</x:v>
      </x:c>
      <x:c r="D2991" s="17" t="str">
        <x:v>us:ipeds:243780:program:phd:computer-science-phd</x:v>
      </x:c>
      <x:c r="E2991" s="17" t="str">
        <x:v>us:ipeds:243780:faculty:lin-tan</x:v>
      </x:c>
      <x:c r="F2991" s="17" t="str">
        <x:v>current appointment|program supervision authority|research themes</x:v>
      </x:c>
      <x:c r="G2991" s="17" t="str">
        <x:v>Current appointment, email, and research themes</x:v>
      </x:c>
      <x:c r="H2991" s="17" t="str">
        <x:v>Lin Tan</x:v>
      </x:c>
      <x:c r="I2991" s="17" t="str">
        <x:v>Purdue University-Main Campus</x:v>
      </x:c>
      <x:c r="J2991" s="17" t="str">
        <x:v>official</x:v>
      </x:c>
      <x:c r="K2991" s="17" t="str">
        <x:v>2026-09-11</x:v>
      </x:c>
      <x:c r="L2991" s="17" t="str"/>
      <x:c r="M2991" s="17" t="str">
        <x:v>high</x:v>
      </x:c>
      <x:c r="N2991" s="17" t="str">
        <x:v>verified</x:v>
      </x:c>
      <x:c r="O2991" s="17" t="str"/>
      <x:c r="P2991" s="18" t="e">
        <x:f>HYPERLINK("https://www.cs.purdue.edu/people/faculty/lintan.html","Open source")</x:f>
        <x:v>HYPERLINK is not implemented. linkLocation=https://www.cs.purdue.edu/people/faculty/lintan.html, friendlyName=Open source</x:v>
      </x:c>
    </x:row>
    <x:row r="2992" ht="46" customHeight="1">
      <x:c r="A2992" s="17" t="str">
        <x:v>stage4src:4b367ee6ff64f09a</x:v>
      </x:c>
      <x:c r="B2992" s="17" t="str">
        <x:v>professor</x:v>
      </x:c>
      <x:c r="C2992" s="17" t="str">
        <x:v>Rutgers University-New Brunswick</x:v>
      </x:c>
      <x:c r="D2992" s="17" t="str">
        <x:v>us:ipeds:186380:program:phd:computer-science-phd</x:v>
      </x:c>
      <x:c r="E2992" s="17" t="str"/>
      <x:c r="F2992" s="17" t="str">
        <x:v>current faculty roster|candidate longlist</x:v>
      </x:c>
      <x:c r="G2992" s="17" t="str">
        <x:v>Current official department roster or research-area faculty listing used to identify the five-person Stage 4 candidate longlist.</x:v>
      </x:c>
      <x:c r="H2992" s="17" t="str">
        <x:v>Rutgers University-New Brunswick current faculty roster</x:v>
      </x:c>
      <x:c r="I2992" s="17" t="str">
        <x:v>Rutgers University-New Brunswick</x:v>
      </x:c>
      <x:c r="J2992" s="17" t="str">
        <x:v>official</x:v>
      </x:c>
      <x:c r="K2992" s="17" t="str">
        <x:v>2026-09-11</x:v>
      </x:c>
      <x:c r="L2992" s="17" t="str"/>
      <x:c r="M2992" s="17" t="str">
        <x:v>high</x:v>
      </x:c>
      <x:c r="N2992" s="17" t="str">
        <x:v>verified</x:v>
      </x:c>
      <x:c r="O2992" s="17" t="str">
        <x:v>Roster evidence establishes a current listing, not program-specific supervision authority or recruiting.</x:v>
      </x:c>
      <x:c r="P2992" s="18" t="e">
        <x:f>HYPERLINK("https://www.cs.rutgers.edu/people/directory.php?type=faculty","Open source")</x:f>
        <x:v>HYPERLINK is not implemented. linkLocation=https://www.cs.rutgers.edu/people/directory.php?type=faculty, friendlyName=Open source</x:v>
      </x:c>
    </x:row>
    <x:row r="2993" ht="46" customHeight="1">
      <x:c r="A2993" s="17" t="str">
        <x:v>stage4src:4b3b7ca1c23dae61</x:v>
      </x:c>
      <x:c r="B2993" s="17" t="str">
        <x:v>professor</x:v>
      </x:c>
      <x:c r="C2993" s="17" t="str">
        <x:v>University of Alberta</x:v>
      </x:c>
      <x:c r="D2993" s="17" t="str">
        <x:v>ca:dli:O19257171832:program:thesis-or-research-master-s:msc-in-computing-science-thesis</x:v>
      </x:c>
      <x:c r="E2993" s="17" t="str">
        <x:v>ca:dli:O19257171832:faculty:abram-hindle</x:v>
      </x:c>
      <x:c r="F2993" s="17" t="str">
        <x:v>recent work|research fit</x:v>
      </x:c>
      <x:c r="G2993" s="17" t="str">
        <x:v>Recent work supports the recorded TerraProbe/Evidex research overlap for Abram Hindle.</x:v>
      </x:c>
      <x:c r="H2993" s="17" t="str">
        <x:v>Recent scholarly work</x:v>
      </x:c>
      <x:c r="I2993" s="17" t="str">
        <x:v>OpenAlex / cited venue</x:v>
      </x:c>
      <x:c r="J2993" s="17" t="str">
        <x:v>secondary</x:v>
      </x:c>
      <x:c r="K2993" s="17" t="str">
        <x:v>2026-09-11</x:v>
      </x:c>
      <x:c r="L2993" s="17" t="str">
        <x:v>2023</x:v>
      </x:c>
      <x:c r="M2993" s="17" t="str">
        <x:v>high</x:v>
      </x:c>
      <x:c r="N2993" s="17" t="str">
        <x:v>verified</x:v>
      </x:c>
      <x:c r="O2993" s="17" t="str">
        <x:v>Carried from verified regional deep-review evidence.</x:v>
      </x:c>
      <x:c r="P2993" s="18" t="e">
        <x:f>HYPERLINK("https://arxiv.org/abs/2305.11293","Open source")</x:f>
        <x:v>HYPERLINK is not implemented. linkLocation=https://arxiv.org/abs/2305.11293, friendlyName=Open source</x:v>
      </x:c>
    </x:row>
    <x:row r="2994" ht="46" customHeight="1">
      <x:c r="A2994" s="17" t="str">
        <x:v>stage4src:4b67a6241bdf3bae</x:v>
      </x:c>
      <x:c r="B2994" s="17" t="str">
        <x:v>professor</x:v>
      </x:c>
      <x:c r="C2994" s="17" t="str">
        <x:v>University of Houston</x:v>
      </x:c>
      <x:c r="D2994" s="17" t="str">
        <x:v>us:ipeds:225511:program:phd:phd-in-computer-science</x:v>
      </x:c>
      <x:c r="E2994" s="17" t="str"/>
      <x:c r="F2994" s="17" t="str">
        <x:v>current faculty roster|candidate longlist</x:v>
      </x:c>
      <x:c r="G2994" s="17" t="str">
        <x:v>Current official department roster or research-area faculty listing used to identify the five-person Stage 4 candidate longlist.</x:v>
      </x:c>
      <x:c r="H2994" s="17" t="str">
        <x:v>University of Houston current faculty roster</x:v>
      </x:c>
      <x:c r="I2994" s="17" t="str">
        <x:v>University of Houston</x:v>
      </x:c>
      <x:c r="J2994" s="17" t="str">
        <x:v>official</x:v>
      </x:c>
      <x:c r="K2994" s="17" t="str">
        <x:v>2026-09-11</x:v>
      </x:c>
      <x:c r="L2994" s="17" t="str"/>
      <x:c r="M2994" s="17" t="str">
        <x:v>high</x:v>
      </x:c>
      <x:c r="N2994" s="17" t="str">
        <x:v>verified</x:v>
      </x:c>
      <x:c r="O2994" s="17" t="str">
        <x:v>Roster evidence establishes a current listing, not program-specific supervision authority or recruiting.</x:v>
      </x:c>
      <x:c r="P2994" s="18" t="e">
        <x:f>HYPERLINK("https://www.uh.edu/nsm/computer-science/people/faculty/","Open source")</x:f>
        <x:v>HYPERLINK is not implemented. linkLocation=https://www.uh.edu/nsm/computer-science/people/faculty/, friendlyName=Open source</x:v>
      </x:c>
    </x:row>
    <x:row r="2995" ht="46" customHeight="1">
      <x:c r="A2995" s="17" t="str">
        <x:v>stage4src:4b9acbd695903607</x:v>
      </x:c>
      <x:c r="B2995" s="17" t="str">
        <x:v>professor</x:v>
      </x:c>
      <x:c r="C2995" s="17" t="str">
        <x:v>Stevens Institute of Technology</x:v>
      </x:c>
      <x:c r="D2995" s="17" t="str">
        <x:v>us:ipeds:186867:program:phd:phd-in-computer-science</x:v>
      </x:c>
      <x:c r="E2995" s="17" t="str"/>
      <x:c r="F2995" s="17" t="str">
        <x:v>current faculty roster|candidate longlist</x:v>
      </x:c>
      <x:c r="G2995" s="17" t="str">
        <x:v>Current official department roster or research-area faculty listing used to identify the five-person Stage 4 candidate longlist.</x:v>
      </x:c>
      <x:c r="H2995" s="17" t="str">
        <x:v>Stevens Institute of Technology current faculty roster</x:v>
      </x:c>
      <x:c r="I2995" s="17" t="str">
        <x:v>Stevens Institute of Technology</x:v>
      </x:c>
      <x:c r="J2995" s="17" t="str">
        <x:v>official</x:v>
      </x:c>
      <x:c r="K2995" s="17" t="str">
        <x:v>2026-09-11</x:v>
      </x:c>
      <x:c r="L2995" s="17" t="str"/>
      <x:c r="M2995" s="17" t="str">
        <x:v>high</x:v>
      </x:c>
      <x:c r="N2995" s="17" t="str">
        <x:v>verified</x:v>
      </x:c>
      <x:c r="O2995" s="17" t="str">
        <x:v>Roster evidence establishes a current listing, not program-specific supervision authority or recruiting.</x:v>
      </x:c>
      <x:c r="P2995" s="18" t="e">
        <x:f>HYPERLINK("https://www.stevens.edu/page-minisite-landing/computer-science-department","Open source")</x:f>
        <x:v>HYPERLINK is not implemented. linkLocation=https://www.stevens.edu/page-minisite-landing/computer-science-department, friendlyName=Open source</x:v>
      </x:c>
    </x:row>
    <x:row r="2996" ht="46" customHeight="1">
      <x:c r="A2996" s="17" t="str">
        <x:v>stage4src:4c4b739cc69e4ef7</x:v>
      </x:c>
      <x:c r="B2996" s="17" t="str">
        <x:v>professor</x:v>
      </x:c>
      <x:c r="C2996" s="17" t="str">
        <x:v>Case Western Reserve University</x:v>
      </x:c>
      <x:c r="D2996" s="17" t="str">
        <x:v>us:ipeds:201645:program:phd:computer-science-phd</x:v>
      </x:c>
      <x:c r="E2996" s="17" t="str">
        <x:v>us:ipeds:201645:faculty:sumon-biswas</x:v>
      </x:c>
      <x:c r="F2996" s="17" t="str">
        <x:v>current appointment|program supervision authority|research themes</x:v>
      </x:c>
      <x:c r="G2996" s="17" t="str">
        <x:v>Current appointment, email, themes, and 2025 work</x:v>
      </x:c>
      <x:c r="H2996" s="17" t="str">
        <x:v>Sumon Biswas</x:v>
      </x:c>
      <x:c r="I2996" s="17" t="str">
        <x:v>Case Western Reserve University</x:v>
      </x:c>
      <x:c r="J2996" s="17" t="str">
        <x:v>official</x:v>
      </x:c>
      <x:c r="K2996" s="17" t="str">
        <x:v>2026-09-11</x:v>
      </x:c>
      <x:c r="L2996" s="17" t="str">
        <x:v>2025</x:v>
      </x:c>
      <x:c r="M2996" s="17" t="str">
        <x:v>high</x:v>
      </x:c>
      <x:c r="N2996" s="17" t="str">
        <x:v>verified</x:v>
      </x:c>
      <x:c r="O2996" s="17" t="str"/>
      <x:c r="P2996" s="18" t="e">
        <x:f>HYPERLINK("https://engineering.case.edu/about/school-directory/sumon-biswas","Open source")</x:f>
        <x:v>HYPERLINK is not implemented. linkLocation=https://engineering.case.edu/about/school-directory/sumon-biswas, friendlyName=Open source</x:v>
      </x:c>
    </x:row>
    <x:row r="2997" ht="46" customHeight="1">
      <x:c r="A2997" s="17" t="str">
        <x:v>stage4src:4ccebb370088e779</x:v>
      </x:c>
      <x:c r="B2997" s="17" t="str">
        <x:v>professor</x:v>
      </x:c>
      <x:c r="C2997" s="17" t="str">
        <x:v>Boston University</x:v>
      </x:c>
      <x:c r="D2997" s="17" t="str">
        <x:v>us:ipeds:164988:program:phd:computer-science-phd</x:v>
      </x:c>
      <x:c r="E2997" s="17" t="str"/>
      <x:c r="F2997" s="17" t="str">
        <x:v>current faculty roster|candidate longlist</x:v>
      </x:c>
      <x:c r="G2997" s="17" t="str">
        <x:v>Current official department roster or research-area faculty listing used to identify the five-person Stage 4 candidate longlist.</x:v>
      </x:c>
      <x:c r="H2997" s="17" t="str">
        <x:v>Boston University current faculty roster</x:v>
      </x:c>
      <x:c r="I2997" s="17" t="str">
        <x:v>Boston University</x:v>
      </x:c>
      <x:c r="J2997" s="17" t="str">
        <x:v>official</x:v>
      </x:c>
      <x:c r="K2997" s="17" t="str">
        <x:v>2026-09-11</x:v>
      </x:c>
      <x:c r="L2997" s="17" t="str"/>
      <x:c r="M2997" s="17" t="str">
        <x:v>high</x:v>
      </x:c>
      <x:c r="N2997" s="17" t="str">
        <x:v>verified</x:v>
      </x:c>
      <x:c r="O2997" s="17" t="str">
        <x:v>Roster evidence establishes a current listing, not program-specific supervision authority or recruiting.</x:v>
      </x:c>
      <x:c r="P2997" s="18" t="e">
        <x:f>HYPERLINK("https://www.bu.edu/cs/about/people/faculty/","Open source")</x:f>
        <x:v>HYPERLINK is not implemented. linkLocation=https://www.bu.edu/cs/about/people/faculty/, friendlyName=Open source</x:v>
      </x:c>
    </x:row>
    <x:row r="2998" ht="46" customHeight="1">
      <x:c r="A2998" s="17" t="str">
        <x:v>stage4src:4d766dbd9295d83d</x:v>
      </x:c>
      <x:c r="B2998" s="17" t="str">
        <x:v>professor</x:v>
      </x:c>
      <x:c r="C2998" s="17" t="str">
        <x:v>University of British Columbia</x:v>
      </x:c>
      <x:c r="D2998" s="17" t="str">
        <x:v>ca:dli:O19330231062:program:thesis-or-research-master-s:master-of-applied-science-in-electrical-and-computer-engineering</x:v>
      </x:c>
      <x:c r="E2998" s="17" t="str">
        <x:v>ca:dli:O19330231062:faculty:karthik-pattabiraman</x:v>
      </x:c>
      <x:c r="F2998" s="17" t="str">
        <x:v>supervision requirements|prospective student instructions|recruiting control</x:v>
      </x:c>
      <x:c r="G2998" s="17" t="str">
        <x:v>UBC says applicants should name faculty interests, may contact faculty, need no prior commitment, and are reviewed against available positions.</x:v>
      </x:c>
      <x:c r="H2998" s="17" t="str">
        <x:v>MASc in Electrical and Computer Engineering</x:v>
      </x:c>
      <x:c r="I2998" s="17" t="str">
        <x:v>University of British Columbia</x:v>
      </x:c>
      <x:c r="J2998" s="17" t="str">
        <x:v>official</x:v>
      </x:c>
      <x:c r="K2998" s="17" t="str">
        <x:v>2026-09-11</x:v>
      </x:c>
      <x:c r="L2998" s="17" t="str">
        <x:v>2026</x:v>
      </x:c>
      <x:c r="M2998" s="17" t="str">
        <x:v>high</x:v>
      </x:c>
      <x:c r="N2998" s="17" t="str">
        <x:v>verified</x:v>
      </x:c>
      <x:c r="O2998" s="17" t="str">
        <x:v>Live official program page checked 2026-09-11.</x:v>
      </x:c>
      <x:c r="P2998" s="18" t="e">
        <x:f>HYPERLINK("https://www.grad.ubc.ca/prospective-students/graduate-degree-programs/master-of-applied-science-electrical-computer-engineering","Open source")</x:f>
        <x:v>HYPERLINK is not implemented. linkLocation=https://www.grad.ubc.ca/prospective-students/graduate-degree-programs/master-of-applied-science-electrical-computer-engineering, friendlyName=Open source</x:v>
      </x:c>
    </x:row>
    <x:row r="2999" ht="46" customHeight="1">
      <x:c r="A2999" s="17" t="str">
        <x:v>stage4src:4e13337949ea1f60</x:v>
      </x:c>
      <x:c r="B2999" s="17" t="str">
        <x:v>professor</x:v>
      </x:c>
      <x:c r="C2999" s="17" t="str">
        <x:v>Old Dominion University</x:v>
      </x:c>
      <x:c r="D2999" s="17" t="str">
        <x:v>us:ipeds:232982:program:phd:computer-science-ph-d</x:v>
      </x:c>
      <x:c r="E2999" s="17" t="str">
        <x:v>us:ipeds:232982:faculty:shuai-hao</x:v>
      </x:c>
      <x:c r="F2999" s="17" t="str">
        <x:v>current appointment|department|email|recent work|research fit</x:v>
      </x:c>
      <x:c r="G2999" s="17" t="str">
        <x:v>ODU lists Hao as a current Computer Science Assistant Professor and records 2025-2026 work in LLM-assisted UI exploration, app analysis, and LLM privacy extraction.</x:v>
      </x:c>
      <x:c r="H2999" s="17" t="str">
        <x:v>Shuai Hao</x:v>
      </x:c>
      <x:c r="I2999" s="17" t="str">
        <x:v>Old Dominion University</x:v>
      </x:c>
      <x:c r="J2999" s="17" t="str">
        <x:v>official</x:v>
      </x:c>
      <x:c r="K2999" s="17" t="str">
        <x:v>2026-09-11</x:v>
      </x:c>
      <x:c r="L2999" s="17" t="str">
        <x:v>2026</x:v>
      </x:c>
      <x:c r="M2999" s="17" t="str">
        <x:v>high</x:v>
      </x:c>
      <x:c r="N2999" s="17" t="str">
        <x:v>verified</x:v>
      </x:c>
      <x:c r="O2999" s="17" t="str">
        <x:v>Live official profile checked 2026-09-11.</x:v>
      </x:c>
      <x:c r="P2999" s="18" t="e">
        <x:f>HYPERLINK("https://www.odu.edu/directory/shuai-hao","Open source")</x:f>
        <x:v>HYPERLINK is not implemented. linkLocation=https://www.odu.edu/directory/shuai-hao, friendlyName=Open source</x:v>
      </x:c>
    </x:row>
    <x:row r="3000" ht="46" customHeight="1">
      <x:c r="A3000" s="17" t="str">
        <x:v>stage4src:4e2a302f8eff8a54</x:v>
      </x:c>
      <x:c r="B3000" s="17" t="str">
        <x:v>professor</x:v>
      </x:c>
      <x:c r="C3000" s="17" t="str">
        <x:v>Virginia Polytechnic Institute and State University</x:v>
      </x:c>
      <x:c r="D3000" s="17" t="str">
        <x:v>us:ipeds:233921:program:phd:computer-science-phd</x:v>
      </x:c>
      <x:c r="E3000" s="17" t="str">
        <x:v>us:ipeds:233921:faculty:na-meng</x:v>
      </x:c>
      <x:c r="F3000" s="17" t="str">
        <x:v>recent work|research fit</x:v>
      </x:c>
      <x:c r="G3000" s="17" t="str">
        <x:v>Current 2025–26 LLM, testing, build-conflict, and security work</x:v>
      </x:c>
      <x:c r="H3000" s="17" t="str">
        <x:v>Na Meng Publications</x:v>
      </x:c>
      <x:c r="I3000" s="17" t="str">
        <x:v>Virginia Polytechnic Institute and State University</x:v>
      </x:c>
      <x:c r="J3000" s="17" t="str">
        <x:v>official</x:v>
      </x:c>
      <x:c r="K3000" s="17" t="str">
        <x:v>2026-09-11</x:v>
      </x:c>
      <x:c r="L3000" s="17" t="str">
        <x:v>2026</x:v>
      </x:c>
      <x:c r="M3000" s="17" t="str">
        <x:v>high</x:v>
      </x:c>
      <x:c r="N3000" s="17" t="str">
        <x:v>verified</x:v>
      </x:c>
      <x:c r="O3000" s="17" t="str"/>
      <x:c r="P3000" s="18" t="e">
        <x:f>HYPERLINK("https://people.cs.vt.edu/nm8247/publications.html","Open source")</x:f>
        <x:v>HYPERLINK is not implemented. linkLocation=https://people.cs.vt.edu/nm8247/publications.html, friendlyName=Open source</x:v>
      </x:c>
    </x:row>
    <x:row r="3001" ht="46" customHeight="1">
      <x:c r="A3001" s="17" t="str">
        <x:v>stage4src:4e3462c26e9e1f88</x:v>
      </x:c>
      <x:c r="B3001" s="17" t="str">
        <x:v>professor</x:v>
      </x:c>
      <x:c r="C3001" s="17" t="str">
        <x:v>Oklahoma State University-Main Campus</x:v>
      </x:c>
      <x:c r="D3001" s="17" t="str">
        <x:v>us:ipeds:207388:program:phd:doctor-of-philosophy-in-computer-science</x:v>
      </x:c>
      <x:c r="E3001" s="17" t="str">
        <x:v>us:ipeds:207388:faculty:cong-pu</x:v>
      </x:c>
      <x:c r="F3001" s="17" t="str">
        <x:v>recent work|doctoral supervision|research fit</x:v>
      </x:c>
      <x:c r="G3001" s="17" t="str">
        <x:v>OSU documents Pu's coauthored 2024 Internet-of-Drones authentication paper and PhD mentorship.</x:v>
      </x:c>
      <x:c r="H3001" s="17" t="str">
        <x:v>Computer Science Ph.D. student awarded Best Paper Award</x:v>
      </x:c>
      <x:c r="I3001" s="17" t="str">
        <x:v>Oklahoma State University-Main Campus</x:v>
      </x:c>
      <x:c r="J3001" s="17" t="str">
        <x:v>official</x:v>
      </x:c>
      <x:c r="K3001" s="17" t="str">
        <x:v>2026-09-11</x:v>
      </x:c>
      <x:c r="L3001" s="17" t="str">
        <x:v>2024</x:v>
      </x:c>
      <x:c r="M3001" s="17" t="str">
        <x:v>high</x:v>
      </x:c>
      <x:c r="N3001" s="17" t="str">
        <x:v>verified</x:v>
      </x:c>
      <x:c r="O3001" s="17" t="str">
        <x:v>Official news page checked 2026-09-11.</x:v>
      </x:c>
      <x:c r="P3001" s="18" t="e">
        <x:f>HYPERLINK("https://news.okstate.edu/articles/arts-sciences/2024/computer_science_phd_student_awarded_best_paper","Open source")</x:f>
        <x:v>HYPERLINK is not implemented. linkLocation=https://news.okstate.edu/articles/arts-sciences/2024/computer_science_phd_student_awarded_best_paper, friendlyName=Open source</x:v>
      </x:c>
    </x:row>
    <x:row r="3002" ht="46" customHeight="1">
      <x:c r="A3002" s="17" t="str">
        <x:v>stage4src:4e6b8d7a4ce5ff51</x:v>
      </x:c>
      <x:c r="B3002" s="17" t="str">
        <x:v>professor</x:v>
      </x:c>
      <x:c r="C3002" s="17" t="str">
        <x:v>University of Guelph</x:v>
      </x:c>
      <x:c r="D3002" s="17" t="str">
        <x:v>ca:dli:O19305391192:program:phd:phd-in-computer-science</x:v>
      </x:c>
      <x:c r="E3002" s="17" t="str">
        <x:v>ca:dli:O19305391192:faculty:wenjing-zhang</x:v>
      </x:c>
      <x:c r="F3002" s="17" t="str">
        <x:v>Graduate Faculty status|program supervision authority|doctoral research structure</x:v>
      </x:c>
      <x:c r="G3002" s="17" t="str">
        <x:v>The current calendar lists Wenjing Zhang as Graduate Faculty for Computer Science and describes the PhD's supervised research and dissertation structure.</x:v>
      </x:c>
      <x:c r="H3002" s="17" t="str">
        <x:v>Computer Science Graduate Calendar</x:v>
      </x:c>
      <x:c r="I3002" s="17" t="str">
        <x:v>University of Guelph</x:v>
      </x:c>
      <x:c r="J3002" s="17" t="str">
        <x:v>official</x:v>
      </x:c>
      <x:c r="K3002" s="17" t="str">
        <x:v>2026-09-11</x:v>
      </x:c>
      <x:c r="L3002" s="17" t="str">
        <x:v>2026</x:v>
      </x:c>
      <x:c r="M3002" s="17" t="str">
        <x:v>high</x:v>
      </x:c>
      <x:c r="N3002" s="17" t="str">
        <x:v>verified</x:v>
      </x:c>
      <x:c r="O3002" s="17" t="str">
        <x:v>Current official calendar checked 2026-09-10.</x:v>
      </x:c>
      <x:c r="P3002" s="18" t="e">
        <x:f>HYPERLINK("https://calendar.uoguelph.ca/graduate-calendar/graduate-programs/computer-science/","Open source")</x:f>
        <x:v>HYPERLINK is not implemented. linkLocation=https://calendar.uoguelph.ca/graduate-calendar/graduate-programs/computer-science/, friendlyName=Open source</x:v>
      </x:c>
    </x:row>
    <x:row r="3003" ht="46" customHeight="1">
      <x:c r="A3003" s="17" t="str">
        <x:v>stage4src:4e87fa2b7d5db2fc</x:v>
      </x:c>
      <x:c r="B3003" s="17" t="str">
        <x:v>professor</x:v>
      </x:c>
      <x:c r="C3003" s="17" t="str">
        <x:v>St. Francis Xavier University</x:v>
      </x:c>
      <x:c r="D3003" s="17" t="str">
        <x:v>ca:dli:O19391556899:program:thesis-or-research-master-s:master-of-science-in-computer-science</x:v>
      </x:c>
      <x:c r="E3003" s="17" t="str">
        <x:v>ca:dli:O19391556899:faculty:taylor-j-smith</x:v>
      </x:c>
      <x:c r="F3003" s="17" t="str">
        <x:v>recent work|formal languages|automata|algorithms</x:v>
      </x:c>
      <x:c r="G3003" s="17" t="str">
        <x:v>The current record lists Smith's 2024-2025 peer-reviewed automata, complexity, and automata-tooling works.</x:v>
      </x:c>
      <x:c r="H3003" s="17" t="str">
        <x:v>Taylor J. Smith — Publications</x:v>
      </x:c>
      <x:c r="I3003" s="17" t="str">
        <x:v>St. Francis Xavier University</x:v>
      </x:c>
      <x:c r="J3003" s="17" t="str">
        <x:v>official</x:v>
      </x:c>
      <x:c r="K3003" s="17" t="str">
        <x:v>2026-09-11</x:v>
      </x:c>
      <x:c r="L3003" s="17" t="str">
        <x:v>2026</x:v>
      </x:c>
      <x:c r="M3003" s="17" t="str">
        <x:v>high</x:v>
      </x:c>
      <x:c r="N3003" s="17" t="str">
        <x:v>verified</x:v>
      </x:c>
      <x:c r="O3003" s="17" t="str">
        <x:v>Live university-hosted record checked 2026-09-11.</x:v>
      </x:c>
      <x:c r="P3003" s="18" t="e">
        <x:f>HYPERLINK("https://people.stfx.ca/tjsmith/pub/","Open source")</x:f>
        <x:v>HYPERLINK is not implemented. linkLocation=https://people.stfx.ca/tjsmith/pub/, friendlyName=Open source</x:v>
      </x:c>
    </x:row>
    <x:row r="3004" ht="46" customHeight="1">
      <x:c r="A3004" s="17" t="str">
        <x:v>stage4src:4f65b2740e89bf02</x:v>
      </x:c>
      <x:c r="B3004" s="17" t="str">
        <x:v>professor</x:v>
      </x:c>
      <x:c r="C3004" s="17" t="str">
        <x:v>University of Kentucky</x:v>
      </x:c>
      <x:c r="D3004" s="17" t="str">
        <x:v>us:ipeds:157085:program:phd:doctoral-degree-in-computer-science</x:v>
      </x:c>
      <x:c r="E3004" s="17" t="str">
        <x:v>us:ipeds:157085:faculty:mark-marron</x:v>
      </x:c>
      <x:c r="F3004" s="17" t="str">
        <x:v>recent work|research fit</x:v>
      </x:c>
      <x:c r="G3004" s="17" t="str">
        <x:v>The official publication record documents Marron's 2024 work on intelligent development environments.</x:v>
      </x:c>
      <x:c r="H3004" s="17" t="str">
        <x:v>A New Generation of Intelligent Development Environments</x:v>
      </x:c>
      <x:c r="I3004" s="17" t="str">
        <x:v>University of Kentucky</x:v>
      </x:c>
      <x:c r="J3004" s="17" t="str">
        <x:v>official</x:v>
      </x:c>
      <x:c r="K3004" s="17" t="str">
        <x:v>2026-09-11</x:v>
      </x:c>
      <x:c r="L3004" s="17" t="str">
        <x:v>2024</x:v>
      </x:c>
      <x:c r="M3004" s="17" t="str">
        <x:v>high</x:v>
      </x:c>
      <x:c r="N3004" s="17" t="str">
        <x:v>verified</x:v>
      </x:c>
      <x:c r="O3004" s="17" t="str">
        <x:v>Official university publication record checked 2026-09-10.</x:v>
      </x:c>
      <x:c r="P3004" s="18" t="e">
        <x:f>HYPERLINK("https://scholars.uky.edu/es/publications/a-new-generation-of-intelligent-development-environments/","Open source")</x:f>
        <x:v>HYPERLINK is not implemented. linkLocation=https://scholars.uky.edu/es/publications/a-new-generation-of-intelligent-development-environments/, friendlyName=Open source</x:v>
      </x:c>
    </x:row>
    <x:row r="3005" ht="46" customHeight="1">
      <x:c r="A3005" s="17" t="str">
        <x:v>stage4src:4f7abe580b87fda6</x:v>
      </x:c>
      <x:c r="B3005" s="17" t="str">
        <x:v>professor</x:v>
      </x:c>
      <x:c r="C3005" s="17" t="str">
        <x:v>University of New Hampshire-Main Campus</x:v>
      </x:c>
      <x:c r="D3005" s="17" t="str">
        <x:v>us:ipeds:183044:program:phd:computer-science-ph-d</x:v>
      </x:c>
      <x:c r="E3005" s="17" t="str">
        <x:v>us:ipeds:183044:faculty:dongpeng-xu</x:v>
      </x:c>
      <x:c r="F3005" s="17" t="str">
        <x:v>doctoral supervision practice|recruiting uncertainty</x:v>
      </x:c>
      <x:c r="G3005" s="17" t="str">
        <x:v>The page lists current PhD students; it does not announce a new opening.</x:v>
      </x:c>
      <x:c r="H3005" s="17" t="str">
        <x:v>Dongpeng Xu students</x:v>
      </x:c>
      <x:c r="I3005" s="17" t="str">
        <x:v>University of New Hampshire-Main Campus</x:v>
      </x:c>
      <x:c r="J3005" s="17" t="str">
        <x:v>official</x:v>
      </x:c>
      <x:c r="K3005" s="17" t="str">
        <x:v>2026-09-11</x:v>
      </x:c>
      <x:c r="L3005" s="17" t="str">
        <x:v>2026</x:v>
      </x:c>
      <x:c r="M3005" s="17" t="str">
        <x:v>high</x:v>
      </x:c>
      <x:c r="N3005" s="17" t="str">
        <x:v>verified</x:v>
      </x:c>
      <x:c r="O3005" s="17" t="str">
        <x:v>Checked 2026-09-11; current students were not treated as recruiting.</x:v>
      </x:c>
      <x:c r="P3005" s="18" t="e">
        <x:f>HYPERLINK("https://www.cs.unh.edu/~dxu/students.html","Open source")</x:f>
        <x:v>HYPERLINK is not implemented. linkLocation=https://www.cs.unh.edu/~dxu/students.html, friendlyName=Open source</x:v>
      </x:c>
    </x:row>
    <x:row r="3006" ht="46" customHeight="1">
      <x:c r="A3006" s="17" t="str">
        <x:v>stage4src:4f83565fd27412ba</x:v>
      </x:c>
      <x:c r="B3006" s="17" t="str">
        <x:v>professor</x:v>
      </x:c>
      <x:c r="C3006" s="17" t="str">
        <x:v>École Polytechnique de Montréal</x:v>
      </x:c>
      <x:c r="D3006" s="17" t="str">
        <x:v>ca:dli:O19359011070:program:thesis-or-research-master-s:research-master-s-in-computer-engineering-software-engineering-option</x:v>
      </x:c>
      <x:c r="E3006" s="17" t="str">
        <x:v>ca:dli:O19359011070:faculty:maxime-lamothe</x:v>
      </x:c>
      <x:c r="F3006" s="17" t="str">
        <x:v>current appointment|department|candidate roster</x:v>
      </x:c>
      <x:c r="G3006" s="17" t="str">
        <x:v>The live department roster lists Lamothe and the four additional software-engineering candidates as current professors or researchers.</x:v>
      </x:c>
      <x:c r="H3006" s="17" t="str">
        <x:v>Computer and Software Engineering Staff Directory</x:v>
      </x:c>
      <x:c r="I3006" s="17" t="str">
        <x:v>École Polytechnique de Montréal</x:v>
      </x:c>
      <x:c r="J3006" s="17" t="str">
        <x:v>official</x:v>
      </x:c>
      <x:c r="K3006" s="17" t="str">
        <x:v>2026-09-11</x:v>
      </x:c>
      <x:c r="L3006" s="17" t="str">
        <x:v>2026</x:v>
      </x:c>
      <x:c r="M3006" s="17" t="str">
        <x:v>high</x:v>
      </x:c>
      <x:c r="N3006" s="17" t="str">
        <x:v>verified</x:v>
      </x:c>
      <x:c r="O3006" s="17" t="str">
        <x:v>Current official roster checked 2026-09-10.</x:v>
      </x:c>
      <x:c r="P3006" s="18" t="e">
        <x:f>HYPERLINK("https://www.polymtl.ca/gigl/en/contact-information-directories/staff-directory","Open source")</x:f>
        <x:v>HYPERLINK is not implemented. linkLocation=https://www.polymtl.ca/gigl/en/contact-information-directories/staff-directory, friendlyName=Open source</x:v>
      </x:c>
    </x:row>
    <x:row r="3007" ht="46" customHeight="1">
      <x:c r="A3007" s="17" t="str">
        <x:v>stage4src:4f8e3651f95a2a70</x:v>
      </x:c>
      <x:c r="B3007" s="17" t="str">
        <x:v>professor</x:v>
      </x:c>
      <x:c r="C3007" s="17" t="str">
        <x:v>University of California-Irvine</x:v>
      </x:c>
      <x:c r="D3007" s="17" t="str">
        <x:v>us:ipeds:110653:program:phd:software-engineering-phd</x:v>
      </x:c>
      <x:c r="E3007" s="17" t="str">
        <x:v>us:ipeds:110653:faculty:joshua-garcia</x:v>
      </x:c>
      <x:c r="F3007" s="17" t="str">
        <x:v>current appointment|program supervision authority|research themes</x:v>
      </x:c>
      <x:c r="G3007" s="17" t="str">
        <x:v>Joshua Garcia has a current verified appointment and verified authority to supervise this program.</x:v>
      </x:c>
      <x:c r="H3007" s="17" t="str">
        <x:v>Joshua Garcia</x:v>
      </x:c>
      <x:c r="I3007" s="17" t="str">
        <x:v>University of California-Irvine</x:v>
      </x:c>
      <x:c r="J3007" s="17" t="str">
        <x:v>official</x:v>
      </x:c>
      <x:c r="K3007" s="17" t="str">
        <x:v>2026-09-11</x:v>
      </x:c>
      <x:c r="L3007" s="17" t="str"/>
      <x:c r="M3007" s="17" t="str">
        <x:v>high</x:v>
      </x:c>
      <x:c r="N3007" s="17" t="str">
        <x:v>verified</x:v>
      </x:c>
      <x:c r="O3007" s="17" t="str">
        <x:v>Carried from verified regional deep-review evidence.</x:v>
      </x:c>
      <x:c r="P3007" s="18" t="e">
        <x:f>HYPERLINK("https://jgarcia.ics.uci.edu/","Open source")</x:f>
        <x:v>HYPERLINK is not implemented. linkLocation=https://jgarcia.ics.uci.edu/, friendlyName=Open source</x:v>
      </x:c>
    </x:row>
    <x:row r="3008" ht="46" customHeight="1">
      <x:c r="A3008" s="17" t="str">
        <x:v>stage4src:50164a8c1ac15aaa</x:v>
      </x:c>
      <x:c r="B3008" s="17" t="str">
        <x:v>professor</x:v>
      </x:c>
      <x:c r="C3008" s="17" t="str">
        <x:v>Saarland University</x:v>
      </x:c>
      <x:c r="D3008" s="17" t="str">
        <x:v>ror:01jdpyv68:program:integrated-or-structured-doctorate:saarbr-cken-graduate-school-of-computer-science</x:v>
      </x:c>
      <x:c r="E3008" s="17" t="str">
        <x:v>ror:01jdpyv68:faculty:andreas-zeller</x:v>
      </x:c>
      <x:c r="F3008" s="17" t="str">
        <x:v>current appointment|program supervision authority|research themes</x:v>
      </x:c>
      <x:c r="G3008" s="17" t="str">
        <x:v>Official institutional profile/group page used to verify current role and research themes</x:v>
      </x:c>
      <x:c r="H3008" s="17" t="str">
        <x:v>Andreas Zeller — official evidence</x:v>
      </x:c>
      <x:c r="I3008" s="17" t="str">
        <x:v>Saarland University</x:v>
      </x:c>
      <x:c r="J3008" s="17" t="str">
        <x:v>official</x:v>
      </x:c>
      <x:c r="K3008" s="17" t="str">
        <x:v>2026-09-11</x:v>
      </x:c>
      <x:c r="L3008" s="17" t="str"/>
      <x:c r="M3008" s="17" t="str">
        <x:v>high</x:v>
      </x:c>
      <x:c r="N3008" s="17" t="str">
        <x:v>verified</x:v>
      </x:c>
      <x:c r="O3008" s="17" t="str">
        <x:v>Search snippets were discovery only; final claim points to the official destination. Recheck cycle-specific facts when 2027 material opens.</x:v>
      </x:c>
      <x:c r="P3008" s="18" t="e">
        <x:f>HYPERLINK("https://cispa.de/en/people/c01aze","Open source")</x:f>
        <x:v>HYPERLINK is not implemented. linkLocation=https://cispa.de/en/people/c01aze, friendlyName=Open source</x:v>
      </x:c>
    </x:row>
    <x:row r="3009" ht="46" customHeight="1">
      <x:c r="A3009" s="17" t="str">
        <x:v>stage4src:50cdff1ff65d11b2</x:v>
      </x:c>
      <x:c r="B3009" s="17" t="str">
        <x:v>professor</x:v>
      </x:c>
      <x:c r="C3009" s="17" t="str">
        <x:v>University of South Florida</x:v>
      </x:c>
      <x:c r="D3009" s="17" t="str">
        <x:v>us:ipeds:137351:program:phd:ph-d-in-computer-science-and-engineering</x:v>
      </x:c>
      <x:c r="E3009" s="17" t="str">
        <x:v>us:ipeds:137351:faculty:kaushal-kafle</x:v>
      </x:c>
      <x:c r="F3009" s="17" t="str">
        <x:v>recent work|research fit</x:v>
      </x:c>
      <x:c r="G3009" s="17" t="str">
        <x:v>The 2024 WiSec paper supports current smart-home software-security and integrity-validation overlap.</x:v>
      </x:c>
      <x:c r="H3009" s="17" t="str">
        <x:v>Practical Integrity Validation in the Smart Home with HomeEndorser</x:v>
      </x:c>
      <x:c r="I3009" s="17" t="str">
        <x:v>OpenAlex / cited venue</x:v>
      </x:c>
      <x:c r="J3009" s="17" t="str">
        <x:v>secondary</x:v>
      </x:c>
      <x:c r="K3009" s="17" t="str">
        <x:v>2026-09-11</x:v>
      </x:c>
      <x:c r="L3009" s="17" t="str">
        <x:v>2024</x:v>
      </x:c>
      <x:c r="M3009" s="17" t="str">
        <x:v>high</x:v>
      </x:c>
      <x:c r="N3009" s="17" t="str">
        <x:v>verified</x:v>
      </x:c>
      <x:c r="O3009" s="17" t="str">
        <x:v>DOI checked 2026-09-10.</x:v>
      </x:c>
      <x:c r="P3009" s="18" t="e">
        <x:f>HYPERLINK("https://doi.org/10.1145/3643833.3656116","Open source")</x:f>
        <x:v>HYPERLINK is not implemented. linkLocation=https://doi.org/10.1145/3643833.3656116, friendlyName=Open source</x:v>
      </x:c>
    </x:row>
    <x:row r="3010" ht="46" customHeight="1">
      <x:c r="A3010" s="17" t="str">
        <x:v>stage4src:513a46bb477e04dd</x:v>
      </x:c>
      <x:c r="B3010" s="17" t="str">
        <x:v>professor</x:v>
      </x:c>
      <x:c r="C3010" s="17" t="str">
        <x:v>Worcester Polytechnic Institute</x:v>
      </x:c>
      <x:c r="D3010" s="17" t="str">
        <x:v>us:ipeds:168421:program:phd:phd-in-computer-science</x:v>
      </x:c>
      <x:c r="E3010" s="17" t="str">
        <x:v>us:ipeds:168421:faculty:robert-j-walls</x:v>
      </x:c>
      <x:c r="F3010" s="17" t="str">
        <x:v>current appointment|department|email|research themes</x:v>
      </x:c>
      <x:c r="G3010" s="17" t="str">
        <x:v>WPI lists Walls as current Associate Professor of CS and Cybersecurity Program Director working on systems security and compiler-based defenses.</x:v>
      </x:c>
      <x:c r="H3010" s="17" t="str">
        <x:v>Robert J. Walls</x:v>
      </x:c>
      <x:c r="I3010" s="17" t="str">
        <x:v>Worcester Polytechnic Institute</x:v>
      </x:c>
      <x:c r="J3010" s="17" t="str">
        <x:v>official</x:v>
      </x:c>
      <x:c r="K3010" s="17" t="str">
        <x:v>2026-09-11</x:v>
      </x:c>
      <x:c r="L3010" s="17" t="str">
        <x:v>2026</x:v>
      </x:c>
      <x:c r="M3010" s="17" t="str">
        <x:v>high</x:v>
      </x:c>
      <x:c r="N3010" s="17" t="str">
        <x:v>verified</x:v>
      </x:c>
      <x:c r="O3010" s="17" t="str">
        <x:v>Live official profile checked 2026-09-11.</x:v>
      </x:c>
      <x:c r="P3010" s="18" t="e">
        <x:f>HYPERLINK("https://www.wpi.edu/people/faculty/rjwalls","Open source")</x:f>
        <x:v>HYPERLINK is not implemented. linkLocation=https://www.wpi.edu/people/faculty/rjwalls, friendlyName=Open source</x:v>
      </x:c>
    </x:row>
    <x:row r="3011" ht="46" customHeight="1">
      <x:c r="A3011" s="17" t="str">
        <x:v>stage4src:51546782d879f5ab</x:v>
      </x:c>
      <x:c r="B3011" s="17" t="str">
        <x:v>professor</x:v>
      </x:c>
      <x:c r="C3011" s="17" t="str">
        <x:v>University of Kentucky</x:v>
      </x:c>
      <x:c r="D3011" s="17" t="str">
        <x:v>us:ipeds:157085:program:phd:doctoral-degree-in-computer-science</x:v>
      </x:c>
      <x:c r="E3011" s="17" t="str">
        <x:v>us:ipeds:157085:faculty:mark-marron</x:v>
      </x:c>
      <x:c r="F3011" s="17" t="str">
        <x:v>recent work|research fit</x:v>
      </x:c>
      <x:c r="G3011" s="17" t="str">
        <x:v>Recent work supports the recorded TerraProbe/Evidex research overlap for Mark Marron.</x:v>
      </x:c>
      <x:c r="H3011" s="17" t="str">
        <x:v>Recent scholarly work</x:v>
      </x:c>
      <x:c r="I3011" s="17" t="str">
        <x:v>OpenAlex / cited venue</x:v>
      </x:c>
      <x:c r="J3011" s="17" t="str">
        <x:v>secondary</x:v>
      </x:c>
      <x:c r="K3011" s="17" t="str">
        <x:v>2026-09-11</x:v>
      </x:c>
      <x:c r="L3011" s="17" t="str"/>
      <x:c r="M3011" s="17" t="str">
        <x:v>high</x:v>
      </x:c>
      <x:c r="N3011" s="17" t="str">
        <x:v>verified</x:v>
      </x:c>
      <x:c r="O3011" s="17" t="str">
        <x:v>Carried from verified regional deep-review evidence.</x:v>
      </x:c>
      <x:c r="P3011" s="18" t="e">
        <x:f>HYPERLINK("https://cs.engr.uky.edu/people-4","Open source")</x:f>
        <x:v>HYPERLINK is not implemented. linkLocation=https://cs.engr.uky.edu/people-4, friendlyName=Open source</x:v>
      </x:c>
    </x:row>
    <x:row r="3012" ht="46" customHeight="1">
      <x:c r="A3012" s="17" t="str">
        <x:v>stage4src:516248dcde9168fc</x:v>
      </x:c>
      <x:c r="B3012" s="17" t="str">
        <x:v>professor</x:v>
      </x:c>
      <x:c r="C3012" s="17" t="str">
        <x:v>Georgia Institute of Technology-Main Campus</x:v>
      </x:c>
      <x:c r="D3012" s="17" t="str">
        <x:v>us:ipeds:139755:program:phd:computer-science-phd</x:v>
      </x:c>
      <x:c r="E3012" s="17" t="str">
        <x:v>us:ipeds:139755:faculty:alessandro-orso</x:v>
      </x:c>
      <x:c r="F3012" s="17" t="str">
        <x:v>recent work|research fit</x:v>
      </x:c>
      <x:c r="G3012" s="17" t="str">
        <x:v>2024 recent publication evidence</x:v>
      </x:c>
      <x:c r="H3012" s="17" t="str">
        <x:v>Alessandro Orso CV</x:v>
      </x:c>
      <x:c r="I3012" s="17" t="str">
        <x:v>Georgia Institute of Technology-Main Campus</x:v>
      </x:c>
      <x:c r="J3012" s="17" t="str">
        <x:v>official</x:v>
      </x:c>
      <x:c r="K3012" s="17" t="str">
        <x:v>2026-09-11</x:v>
      </x:c>
      <x:c r="L3012" s="17" t="str">
        <x:v>2024</x:v>
      </x:c>
      <x:c r="M3012" s="17" t="str">
        <x:v>high</x:v>
      </x:c>
      <x:c r="N3012" s="17" t="str">
        <x:v>verified</x:v>
      </x:c>
      <x:c r="O3012" s="17" t="str"/>
      <x:c r="P3012" s="18" t="e">
        <x:f>HYPERLINK("https://sites.cc.gatech.edu/home/orso/orso.pdf","Open source")</x:f>
        <x:v>HYPERLINK is not implemented. linkLocation=https://sites.cc.gatech.edu/home/orso/orso.pdf, friendlyName=Open source</x:v>
      </x:c>
    </x:row>
    <x:row r="3013" ht="46" customHeight="1">
      <x:c r="A3013" s="17" t="str">
        <x:v>stage4src:520010b51da66ebc</x:v>
      </x:c>
      <x:c r="B3013" s="17" t="str">
        <x:v>professor</x:v>
      </x:c>
      <x:c r="C3013" s="17" t="str">
        <x:v>Brock University</x:v>
      </x:c>
      <x:c r="D3013" s="17" t="str">
        <x:v>ca:dli:O19394569014:program:thesis-or-research-master-s:computer-science-msc-thesis-stream</x:v>
      </x:c>
      <x:c r="E3013" s="17" t="str">
        <x:v>ca:dli:O19394569014:faculty:robson-de-grande</x:v>
      </x:c>
      <x:c r="F3013" s="17" t="str">
        <x:v>current appointment|department|email|research themes|strong fit</x:v>
      </x:c>
      <x:c r="G3013" s="17" t="str">
        <x:v>Brock lists De Grande as a current Computer Science Associate Professor working on distributed, edge-cloud, cyber-physical, vehicular, and IoT systems.</x:v>
      </x:c>
      <x:c r="H3013" s="17" t="str">
        <x:v>Robson De Grande</x:v>
      </x:c>
      <x:c r="I3013" s="17" t="str">
        <x:v>Brock University</x:v>
      </x:c>
      <x:c r="J3013" s="17" t="str">
        <x:v>official</x:v>
      </x:c>
      <x:c r="K3013" s="17" t="str">
        <x:v>2026-09-11</x:v>
      </x:c>
      <x:c r="L3013" s="17" t="str">
        <x:v>2026</x:v>
      </x:c>
      <x:c r="M3013" s="17" t="str">
        <x:v>high</x:v>
      </x:c>
      <x:c r="N3013" s="17" t="str">
        <x:v>verified</x:v>
      </x:c>
      <x:c r="O3013" s="17" t="str">
        <x:v>Live official profile checked 2026-09-11.</x:v>
      </x:c>
      <x:c r="P3013" s="18" t="e">
        <x:f>HYPERLINK("https://brocku.ca/mathematics-science/computer-science/faculty-staff/robson-de-grande/","Open source")</x:f>
        <x:v>HYPERLINK is not implemented. linkLocation=https://brocku.ca/mathematics-science/computer-science/faculty-staff/robson-de-grande/, friendlyName=Open source</x:v>
      </x:c>
    </x:row>
    <x:row r="3014" ht="46" customHeight="1">
      <x:c r="A3014" s="17" t="str">
        <x:v>stage4src:5231a5638835c6ed</x:v>
      </x:c>
      <x:c r="B3014" s="17" t="str">
        <x:v>professor</x:v>
      </x:c>
      <x:c r="C3014" s="17" t="str">
        <x:v>Iowa State University</x:v>
      </x:c>
      <x:c r="D3014" s="17" t="str">
        <x:v>us:ipeds:153603:program:phd:computer-science-phd</x:v>
      </x:c>
      <x:c r="E3014" s="17" t="str"/>
      <x:c r="F3014" s="17" t="str">
        <x:v>current faculty roster|candidate longlist</x:v>
      </x:c>
      <x:c r="G3014" s="17" t="str">
        <x:v>Current official department roster or research-area faculty listing used to identify the five-person Stage 4 candidate longlist.</x:v>
      </x:c>
      <x:c r="H3014" s="17" t="str">
        <x:v>Iowa State University current faculty roster</x:v>
      </x:c>
      <x:c r="I3014" s="17" t="str">
        <x:v>Iowa State University</x:v>
      </x:c>
      <x:c r="J3014" s="17" t="str">
        <x:v>official</x:v>
      </x:c>
      <x:c r="K3014" s="17" t="str">
        <x:v>2026-09-11</x:v>
      </x:c>
      <x:c r="L3014" s="17" t="str"/>
      <x:c r="M3014" s="17" t="str">
        <x:v>high</x:v>
      </x:c>
      <x:c r="N3014" s="17" t="str">
        <x:v>verified</x:v>
      </x:c>
      <x:c r="O3014" s="17" t="str">
        <x:v>Roster evidence establishes a current listing, not program-specific supervision authority or recruiting.</x:v>
      </x:c>
      <x:c r="P3014" s="18" t="e">
        <x:f>HYPERLINK("https://www.cs.iastate.edu/people/faculty","Open source")</x:f>
        <x:v>HYPERLINK is not implemented. linkLocation=https://www.cs.iastate.edu/people/faculty, friendlyName=Open source</x:v>
      </x:c>
    </x:row>
    <x:row r="3015" ht="46" customHeight="1">
      <x:c r="A3015" s="17" t="str">
        <x:v>stage4src:5266fafd3d60db27</x:v>
      </x:c>
      <x:c r="B3015" s="17" t="str">
        <x:v>professor</x:v>
      </x:c>
      <x:c r="C3015" s="17" t="str">
        <x:v>Saint Mary’s University</x:v>
      </x:c>
      <x:c r="D3015" s="17" t="str">
        <x:v>ca:dli:O19021279692:program:thesis-or-research-master-s:msc-in-applied-science-computing-science-research-field</x:v>
      </x:c>
      <x:c r="E3015" s="17" t="str"/>
      <x:c r="F3015" s="17" t="str">
        <x:v>current faculty roster|candidate longlist</x:v>
      </x:c>
      <x:c r="G3015" s="17" t="str">
        <x:v>Current official department roster or research-area faculty listing used to identify the five-person Stage 4 candidate longlist.</x:v>
      </x:c>
      <x:c r="H3015" s="17" t="str">
        <x:v>Saint Mary’s University current faculty roster</x:v>
      </x:c>
      <x:c r="I3015" s="17" t="str">
        <x:v>Saint Mary’s University</x:v>
      </x:c>
      <x:c r="J3015" s="17" t="str">
        <x:v>official</x:v>
      </x:c>
      <x:c r="K3015" s="17" t="str">
        <x:v>2026-09-11</x:v>
      </x:c>
      <x:c r="L3015" s="17" t="str"/>
      <x:c r="M3015" s="17" t="str">
        <x:v>high</x:v>
      </x:c>
      <x:c r="N3015" s="17" t="str">
        <x:v>verified</x:v>
      </x:c>
      <x:c r="O3015" s="17" t="str">
        <x:v>Roster evidence establishes a current listing, not program-specific supervision authority or recruiting.</x:v>
      </x:c>
      <x:c r="P3015" s="18" t="e">
        <x:f>HYPERLINK("https://www.smu.ca/math-cs/faculty-and-staff.html","Open source")</x:f>
        <x:v>HYPERLINK is not implemented. linkLocation=https://www.smu.ca/math-cs/faculty-and-staff.html, friendlyName=Open source</x:v>
      </x:c>
    </x:row>
    <x:row r="3016" ht="46" customHeight="1">
      <x:c r="A3016" s="17" t="str">
        <x:v>stage4src:527b1382f68e34c0</x:v>
      </x:c>
      <x:c r="B3016" s="17" t="str">
        <x:v>professor</x:v>
      </x:c>
      <x:c r="C3016" s="17" t="str">
        <x:v>University of Toronto</x:v>
      </x:c>
      <x:c r="D3016" s="17" t="str">
        <x:v>ca:dli:O19332746152:program:thesis-or-research-master-s:master-of-applied-science-in-electrical-and-computer-engineering</x:v>
      </x:c>
      <x:c r="E3016" s="17" t="str">
        <x:v>ca:dli:O19332746152:faculty:david-lie</x:v>
      </x:c>
      <x:c r="F3016" s="17" t="str">
        <x:v>current appointment|department|email|research themes</x:v>
      </x:c>
      <x:c r="G3016" s="17" t="str">
        <x:v>Toronto ECE lists Lie as current Professor working on mobile, cloud, and systems security.</x:v>
      </x:c>
      <x:c r="H3016" s="17" t="str">
        <x:v>David Lie</x:v>
      </x:c>
      <x:c r="I3016" s="17" t="str">
        <x:v>University of Toronto</x:v>
      </x:c>
      <x:c r="J3016" s="17" t="str">
        <x:v>official</x:v>
      </x:c>
      <x:c r="K3016" s="17" t="str">
        <x:v>2026-09-11</x:v>
      </x:c>
      <x:c r="L3016" s="17" t="str">
        <x:v>2026</x:v>
      </x:c>
      <x:c r="M3016" s="17" t="str">
        <x:v>high</x:v>
      </x:c>
      <x:c r="N3016" s="17" t="str">
        <x:v>verified</x:v>
      </x:c>
      <x:c r="O3016" s="17" t="str">
        <x:v>Live official profile checked 2026-09-11.</x:v>
      </x:c>
      <x:c r="P3016" s="18" t="e">
        <x:f>HYPERLINK("https://www.ece.utoronto.ca/people/lie-d/","Open source")</x:f>
        <x:v>HYPERLINK is not implemented. linkLocation=https://www.ece.utoronto.ca/people/lie-d/, friendlyName=Open source</x:v>
      </x:c>
    </x:row>
    <x:row r="3017" ht="46" customHeight="1">
      <x:c r="A3017" s="17" t="str">
        <x:v>stage4src:52b0cefd7486a9cc</x:v>
      </x:c>
      <x:c r="B3017" s="17" t="str">
        <x:v>professor</x:v>
      </x:c>
      <x:c r="C3017" s="17" t="str">
        <x:v>Boise State University</x:v>
      </x:c>
      <x:c r="D3017" s="17" t="str">
        <x:v>us:ipeds:142115:program:phd:computing-phd-computer-science-or-cybersecurity-emphasis</x:v>
      </x:c>
      <x:c r="E3017" s="17" t="str"/>
      <x:c r="F3017" s="17" t="str">
        <x:v>current faculty roster|candidate longlist</x:v>
      </x:c>
      <x:c r="G3017" s="17" t="str">
        <x:v>Current official department roster or research-area faculty listing used to identify the five-person Stage 4 candidate longlist.</x:v>
      </x:c>
      <x:c r="H3017" s="17" t="str">
        <x:v>Boise State University current faculty roster</x:v>
      </x:c>
      <x:c r="I3017" s="17" t="str">
        <x:v>Boise State University</x:v>
      </x:c>
      <x:c r="J3017" s="17" t="str">
        <x:v>official</x:v>
      </x:c>
      <x:c r="K3017" s="17" t="str">
        <x:v>2026-09-11</x:v>
      </x:c>
      <x:c r="L3017" s="17" t="str"/>
      <x:c r="M3017" s="17" t="str">
        <x:v>high</x:v>
      </x:c>
      <x:c r="N3017" s="17" t="str">
        <x:v>verified</x:v>
      </x:c>
      <x:c r="O3017" s="17" t="str">
        <x:v>Roster evidence establishes a current listing, not program-specific supervision authority or recruiting.</x:v>
      </x:c>
      <x:c r="P3017" s="18" t="e">
        <x:f>HYPERLINK("https://www.boisestate.edu/coen-cs/people/faculty/","Open source")</x:f>
        <x:v>HYPERLINK is not implemented. linkLocation=https://www.boisestate.edu/coen-cs/people/faculty/, friendlyName=Open source</x:v>
      </x:c>
    </x:row>
    <x:row r="3018" ht="46" customHeight="1">
      <x:c r="A3018" s="17" t="str">
        <x:v>stage4src:52cc389ffa90a488</x:v>
      </x:c>
      <x:c r="B3018" s="17" t="str">
        <x:v>professor</x:v>
      </x:c>
      <x:c r="C3018" s="17" t="str">
        <x:v>University of Houston</x:v>
      </x:c>
      <x:c r="D3018" s="17" t="str">
        <x:v>us:ipeds:225511:program:phd:phd-in-computer-science</x:v>
      </x:c>
      <x:c r="E3018" s="17" t="str">
        <x:v>us:ipeds:225511:faculty:ali-shokri</x:v>
      </x:c>
      <x:c r="F3018" s="17" t="str">
        <x:v>current appointment|research themes|email|recent work</x:v>
      </x:c>
      <x:c r="G3018" s="17" t="str">
        <x:v>The current profile identifies Shokri as a tenure-track Computer Science Assistant Professor and records 2024-2025 program-analysis and verification work.</x:v>
      </x:c>
      <x:c r="H3018" s="17" t="str">
        <x:v>Ali Shokri</x:v>
      </x:c>
      <x:c r="I3018" s="17" t="str">
        <x:v>University of Houston</x:v>
      </x:c>
      <x:c r="J3018" s="17" t="str">
        <x:v>official</x:v>
      </x:c>
      <x:c r="K3018" s="17" t="str">
        <x:v>2026-09-11</x:v>
      </x:c>
      <x:c r="L3018" s="17" t="str">
        <x:v>2025</x:v>
      </x:c>
      <x:c r="M3018" s="17" t="str">
        <x:v>high</x:v>
      </x:c>
      <x:c r="N3018" s="17" t="str">
        <x:v>verified</x:v>
      </x:c>
      <x:c r="O3018" s="17" t="str">
        <x:v>Current official profile checked 2026-09-10.</x:v>
      </x:c>
      <x:c r="P3018" s="18" t="e">
        <x:f>HYPERLINK("https://www.uh.edu/nsm/computer-science/people/faculty/profiles/alishokri.php","Open source")</x:f>
        <x:v>HYPERLINK is not implemented. linkLocation=https://www.uh.edu/nsm/computer-science/people/faculty/profiles/alishokri.php, friendlyName=Open source</x:v>
      </x:c>
    </x:row>
    <x:row r="3019" ht="46" customHeight="1">
      <x:c r="A3019" s="17" t="str">
        <x:v>stage4src:538a672e366bacbb</x:v>
      </x:c>
      <x:c r="B3019" s="17" t="str">
        <x:v>professor</x:v>
      </x:c>
      <x:c r="C3019" s="17" t="str">
        <x:v>Southern Methodist University</x:v>
      </x:c>
      <x:c r="D3019" s="17" t="str">
        <x:v>us:ipeds:228246:program:phd:ph-d-in-computer-science</x:v>
      </x:c>
      <x:c r="E3019" s="17" t="str">
        <x:v>us:ipeds:228246:faculty:jia-zhang</x:v>
      </x:c>
      <x:c r="F3019" s="17" t="str">
        <x:v>active projects|data infrastructure|recruiting</x:v>
      </x:c>
      <x:c r="G3019" s="17" t="str">
        <x:v>The page documents active AI research infrastructure projects and invites funded PhD and MS research assistants to email.</x:v>
      </x:c>
      <x:c r="H3019" s="17" t="str">
        <x:v>Jia Zhang research projects</x:v>
      </x:c>
      <x:c r="I3019" s="17" t="str">
        <x:v>Southern Methodist University</x:v>
      </x:c>
      <x:c r="J3019" s="17" t="str">
        <x:v>official</x:v>
      </x:c>
      <x:c r="K3019" s="17" t="str">
        <x:v>2026-09-11</x:v>
      </x:c>
      <x:c r="L3019" s="17" t="str">
        <x:v>2026</x:v>
      </x:c>
      <x:c r="M3019" s="17" t="str">
        <x:v>high</x:v>
      </x:c>
      <x:c r="N3019" s="17" t="str">
        <x:v>verified</x:v>
      </x:c>
      <x:c r="O3019" s="17" t="str">
        <x:v>University-hosted research page checked 2026-09-11; Fall 2027 applicability must be reconfirmed.</x:v>
      </x:c>
      <x:c r="P3019" s="18" t="e">
        <x:f>HYPERLINK("https://s2.smu.edu/~jiazhang/research.html","Open source")</x:f>
        <x:v>HYPERLINK is not implemented. linkLocation=https://s2.smu.edu/~jiazhang/research.html, friendlyName=Open source</x:v>
      </x:c>
    </x:row>
    <x:row r="3020" ht="46" customHeight="1">
      <x:c r="A3020" s="17" t="str">
        <x:v>stage4src:5404cb6375befaa2</x:v>
      </x:c>
      <x:c r="B3020" s="17" t="str">
        <x:v>professor</x:v>
      </x:c>
      <x:c r="C3020" s="17" t="str">
        <x:v>Emory University</x:v>
      </x:c>
      <x:c r="D3020" s="17" t="str">
        <x:v>us:ipeds:139658:program:phd:phd-in-computer-science-and-informatics</x:v>
      </x:c>
      <x:c r="E3020" s="17" t="str">
        <x:v>us:ipeds:139658:faculty:dorian-arnold</x:v>
      </x:c>
      <x:c r="F3020" s="17" t="str">
        <x:v>recent project|research themes|strong fit</x:v>
      </x:c>
      <x:c r="G3020" s="17" t="str">
        <x:v>The current portfolio identifies fault-tolerance, resilience benchmarks, reliable data aggregation, middleware, and large-scale debugging projects.</x:v>
      </x:c>
      <x:c r="H3020" s="17" t="str">
        <x:v>Dorian Arnold — Research</x:v>
      </x:c>
      <x:c r="I3020" s="17" t="str">
        <x:v>Emory University</x:v>
      </x:c>
      <x:c r="J3020" s="17" t="str">
        <x:v>official</x:v>
      </x:c>
      <x:c r="K3020" s="17" t="str">
        <x:v>2026-09-11</x:v>
      </x:c>
      <x:c r="L3020" s="17" t="str">
        <x:v>2026</x:v>
      </x:c>
      <x:c r="M3020" s="17" t="str">
        <x:v>high</x:v>
      </x:c>
      <x:c r="N3020" s="17" t="str">
        <x:v>verified</x:v>
      </x:c>
      <x:c r="O3020" s="17" t="str">
        <x:v>University-hosted live page checked 2026-09-11; projects support current work, not recruiting.</x:v>
      </x:c>
      <x:c r="P3020" s="18" t="e">
        <x:f>HYPERLINK("https://www.cs.emory.edu/~darnold/research.shtml","Open source")</x:f>
        <x:v>HYPERLINK is not implemented. linkLocation=https://www.cs.emory.edu/~darnold/research.shtml, friendlyName=Open source</x:v>
      </x:c>
    </x:row>
    <x:row r="3021" ht="46" customHeight="1">
      <x:c r="A3021" s="17" t="str">
        <x:v>stage4src:540eed168a3ea2f9</x:v>
      </x:c>
      <x:c r="B3021" s="17" t="str">
        <x:v>professor</x:v>
      </x:c>
      <x:c r="C3021" s="17" t="str">
        <x:v>University of New Mexico-Main Campus</x:v>
      </x:c>
      <x:c r="D3021" s="17" t="str">
        <x:v>us:ipeds:187985:program:phd:phd-in-computer-science</x:v>
      </x:c>
      <x:c r="E3021" s="17" t="str">
        <x:v>us:ipeds:187985:faculty:pavithra-prabhakar</x:v>
      </x:c>
      <x:c r="F3021" s="17" t="str">
        <x:v>recent work|research fit</x:v>
      </x:c>
      <x:c r="G3021" s="17" t="str">
        <x:v>The official lab news records the Prabhakar-coauthored 2024 EMSOFT work on conformance checking and neural-network controllers.</x:v>
      </x:c>
      <x:c r="H3021" s="17" t="str">
        <x:v>Approximate Conformance Checking for Closed-Loop Systems with Neural Network Controllers</x:v>
      </x:c>
      <x:c r="I3021" s="17" t="str">
        <x:v>University of New Mexico-Main Campus</x:v>
      </x:c>
      <x:c r="J3021" s="17" t="str">
        <x:v>official</x:v>
      </x:c>
      <x:c r="K3021" s="17" t="str">
        <x:v>2026-09-11</x:v>
      </x:c>
      <x:c r="L3021" s="17" t="str">
        <x:v>2024</x:v>
      </x:c>
      <x:c r="M3021" s="17" t="str">
        <x:v>high</x:v>
      </x:c>
      <x:c r="N3021" s="17" t="str">
        <x:v>verified</x:v>
      </x:c>
      <x:c r="O3021" s="17" t="str">
        <x:v>Official university-hosted research news checked 2026-09-10.</x:v>
      </x:c>
      <x:c r="P3021" s="18" t="e">
        <x:f>HYPERLINK("https://www.cs.unm.edu/~pprabhakar/news/hebib-join/","Open source")</x:f>
        <x:v>HYPERLINK is not implemented. linkLocation=https://www.cs.unm.edu/~pprabhakar/news/hebib-join/, friendlyName=Open source</x:v>
      </x:c>
    </x:row>
    <x:row r="3022" ht="46" customHeight="1">
      <x:c r="A3022" s="17" t="str">
        <x:v>stage4src:5443603757a71286</x:v>
      </x:c>
      <x:c r="B3022" s="17" t="str">
        <x:v>professor</x:v>
      </x:c>
      <x:c r="C3022" s="17" t="str">
        <x:v>Rochester Institute of Technology</x:v>
      </x:c>
      <x:c r="D3022" s="17" t="str">
        <x:v>us:ipeds:195003:program:phd:computing-and-information-sciences-phd</x:v>
      </x:c>
      <x:c r="E3022" s="17" t="str">
        <x:v>us:ipeds:195003:faculty:yinxi-liu</x:v>
      </x:c>
      <x:c r="F3022" s="17" t="str">
        <x:v>recent work|research fit</x:v>
      </x:c>
      <x:c r="G3022" s="17" t="str">
        <x:v>Current explicit PhD opening in agent security and program analysis/testing</x:v>
      </x:c>
      <x:c r="H3022" s="17" t="str">
        <x:v>PhD Research Opportunities</x:v>
      </x:c>
      <x:c r="I3022" s="17" t="str">
        <x:v>Rochester Institute of Technology</x:v>
      </x:c>
      <x:c r="J3022" s="17" t="str">
        <x:v>official</x:v>
      </x:c>
      <x:c r="K3022" s="17" t="str">
        <x:v>2026-09-11</x:v>
      </x:c>
      <x:c r="L3022" s="17" t="str">
        <x:v>2026</x:v>
      </x:c>
      <x:c r="M3022" s="17" t="str">
        <x:v>high</x:v>
      </x:c>
      <x:c r="N3022" s="17" t="str">
        <x:v>verified</x:v>
      </x:c>
      <x:c r="O3022" s="17" t="str">
        <x:v>Start cycle not explicit; confirm Fall 2027.</x:v>
      </x:c>
      <x:c r="P3022" s="18" t="e">
        <x:f>HYPERLINK("https://www.rit.edu/cybersecurity/phd-research-opportunities","Open source")</x:f>
        <x:v>HYPERLINK is not implemented. linkLocation=https://www.rit.edu/cybersecurity/phd-research-opportunities, friendlyName=Open source</x:v>
      </x:c>
    </x:row>
    <x:row r="3023" ht="46" customHeight="1">
      <x:c r="A3023" s="17" t="str">
        <x:v>stage4src:548cfee0c49fb21f</x:v>
      </x:c>
      <x:c r="B3023" s="17" t="str">
        <x:v>professor</x:v>
      </x:c>
      <x:c r="C3023" s="17" t="str">
        <x:v>University of Calgary</x:v>
      </x:c>
      <x:c r="D3023" s="17" t="str">
        <x:v>ca:dli:O18886830282:program:direct-entry-phd:phd-in-computer-science-without-completed-msc</x:v>
      </x:c>
      <x:c r="E3023" s="17" t="str">
        <x:v>ca:dli:O18886830282:faculty:yani-ioannou</x:v>
      </x:c>
      <x:c r="F3023" s="17" t="str">
        <x:v>discovery publication signal|recent work</x:v>
      </x:c>
      <x:c r="G3023" s="17" t="str">
        <x:v>Publication metadata was examined for shortlist triage only; publication-time affiliation does not establish current appointment, supervision authority, or recruiting.</x:v>
      </x:c>
      <x:c r="H3023" s="17" t="str">
        <x:v>OpenAlex publication signal for Yani Ioannou</x:v>
      </x:c>
      <x:c r="I3023" s="17" t="str">
        <x:v>OpenAlex / cited venue</x:v>
      </x:c>
      <x:c r="J3023" s="17" t="str">
        <x:v>secondary</x:v>
      </x:c>
      <x:c r="K3023" s="17" t="str">
        <x:v>2026-09-11</x:v>
      </x:c>
      <x:c r="L3023" s="17" t="str"/>
      <x:c r="M3023" s="17" t="str">
        <x:v>medium</x:v>
      </x:c>
      <x:c r="N3023" s="17" t="str">
        <x:v>discovery_only</x:v>
      </x:c>
      <x:c r="O3023" s="17" t="str">
        <x:v>Not used to award a professor score or faculty-depth point.</x:v>
      </x:c>
      <x:c r="P3023" s="18" t="e">
        <x:f>HYPERLINK("https://openalex.org/A5139733644","Open source")</x:f>
        <x:v>HYPERLINK is not implemented. linkLocation=https://openalex.org/A5139733644, friendlyName=Open source</x:v>
      </x:c>
    </x:row>
    <x:row r="3024" ht="46" customHeight="1">
      <x:c r="A3024" s="17" t="str">
        <x:v>stage4src:55058528ac9a41a9</x:v>
      </x:c>
      <x:c r="B3024" s="17" t="str">
        <x:v>professor</x:v>
      </x:c>
      <x:c r="C3024" s="17" t="str">
        <x:v>Montana State University</x:v>
      </x:c>
      <x:c r="D3024" s="17" t="str">
        <x:v>us:ipeds:180461:program:phd:computer-science-phd</x:v>
      </x:c>
      <x:c r="E3024" s="17" t="str">
        <x:v>us:ipeds:180461:faculty:charlie-murphy</x:v>
      </x:c>
      <x:c r="F3024" s="17" t="str">
        <x:v>current roster|program supervision context|recruiting status</x:v>
      </x:c>
      <x:c r="G3024" s="17" t="str">
        <x:v>The current school research page lists Murphy's formal-methods group and explicitly labels him as seeking students.</x:v>
      </x:c>
      <x:c r="H3024" s="17" t="str">
        <x:v>Gianforte School of Computing Research</x:v>
      </x:c>
      <x:c r="I3024" s="17" t="str">
        <x:v>Montana State University</x:v>
      </x:c>
      <x:c r="J3024" s="17" t="str">
        <x:v>official</x:v>
      </x:c>
      <x:c r="K3024" s="17" t="str">
        <x:v>2026-09-11</x:v>
      </x:c>
      <x:c r="L3024" s="17" t="str">
        <x:v>2026</x:v>
      </x:c>
      <x:c r="M3024" s="17" t="str">
        <x:v>high</x:v>
      </x:c>
      <x:c r="N3024" s="17" t="str">
        <x:v>verified</x:v>
      </x:c>
      <x:c r="O3024" s="17" t="str">
        <x:v>Live official page checked 2026-09-11; intake timing should be reconfirmed.</x:v>
      </x:c>
      <x:c r="P3024" s="18" t="e">
        <x:f>HYPERLINK("https://web1vm.cs.montana.edu/research.html","Open source")</x:f>
        <x:v>HYPERLINK is not implemented. linkLocation=https://web1vm.cs.montana.edu/research.html, friendlyName=Open source</x:v>
      </x:c>
    </x:row>
    <x:row r="3025" ht="46" customHeight="1">
      <x:c r="A3025" s="17" t="str">
        <x:v>stage4src:555fb74ef9855486</x:v>
      </x:c>
      <x:c r="B3025" s="17" t="str">
        <x:v>professor</x:v>
      </x:c>
      <x:c r="C3025" s="17" t="str">
        <x:v>University of Alabama at Birmingham</x:v>
      </x:c>
      <x:c r="D3025" s="17" t="str">
        <x:v>us:ipeds:100663:program:phd:ph-d-in-computer-science</x:v>
      </x:c>
      <x:c r="E3025" s="17" t="str">
        <x:v>us:ipeds:100663:faculty:ragib-hasan</x:v>
      </x:c>
      <x:c r="F3025" s="17" t="str">
        <x:v>Computer Science PhD supervision authority|recent work|research fit</x:v>
      </x:c>
      <x:c r="G3025" s="17" t="str">
        <x:v>The official profile identifies a UAB Computer Science PhD student working with Hasan on IoT, Metaverse, and AI-based coding-tool security.</x:v>
      </x:c>
      <x:c r="H3025" s="17" t="str">
        <x:v>Md Ismail Hossain</x:v>
      </x:c>
      <x:c r="I3025" s="17" t="str">
        <x:v>University of Alabama at Birmingham</x:v>
      </x:c>
      <x:c r="J3025" s="17" t="str">
        <x:v>official</x:v>
      </x:c>
      <x:c r="K3025" s="17" t="str">
        <x:v>2026-09-11</x:v>
      </x:c>
      <x:c r="L3025" s="17" t="str">
        <x:v>2023</x:v>
      </x:c>
      <x:c r="M3025" s="17" t="str">
        <x:v>high</x:v>
      </x:c>
      <x:c r="N3025" s="17" t="str">
        <x:v>verified</x:v>
      </x:c>
      <x:c r="O3025" s="17" t="str">
        <x:v>Official university profile checked 2026-09-10.</x:v>
      </x:c>
      <x:c r="P3025" s="18" t="e">
        <x:f>HYPERLINK("https://sites.uab.edu/in/2023/11/21/md-ismail-hossain/","Open source")</x:f>
        <x:v>HYPERLINK is not implemented. linkLocation=https://sites.uab.edu/in/2023/11/21/md-ismail-hossain/, friendlyName=Open source</x:v>
      </x:c>
    </x:row>
    <x:row r="3026" ht="46" customHeight="1">
      <x:c r="A3026" s="17" t="str">
        <x:v>stage4src:55dcb92d82384724</x:v>
      </x:c>
      <x:c r="B3026" s="17" t="str">
        <x:v>professor</x:v>
      </x:c>
      <x:c r="C3026" s="17" t="str">
        <x:v>University of Alberta</x:v>
      </x:c>
      <x:c r="D3026" s="17" t="str">
        <x:v>ca:dli:O19257171832:program:thesis-or-research-master-s:msc-in-computing-science-thesis</x:v>
      </x:c>
      <x:c r="E3026" s="17" t="str"/>
      <x:c r="F3026" s="17" t="str">
        <x:v>current faculty roster|candidate longlist</x:v>
      </x:c>
      <x:c r="G3026" s="17" t="str">
        <x:v>Current official department roster or research-area faculty listing used to identify the five-person Stage 4 candidate longlist.</x:v>
      </x:c>
      <x:c r="H3026" s="17" t="str">
        <x:v>University of Alberta current faculty roster</x:v>
      </x:c>
      <x:c r="I3026" s="17" t="str">
        <x:v>University of Alberta</x:v>
      </x:c>
      <x:c r="J3026" s="17" t="str">
        <x:v>official</x:v>
      </x:c>
      <x:c r="K3026" s="17" t="str">
        <x:v>2026-09-11</x:v>
      </x:c>
      <x:c r="L3026" s="17" t="str"/>
      <x:c r="M3026" s="17" t="str">
        <x:v>high</x:v>
      </x:c>
      <x:c r="N3026" s="17" t="str">
        <x:v>verified</x:v>
      </x:c>
      <x:c r="O3026" s="17" t="str">
        <x:v>Roster evidence establishes a current listing, not program-specific supervision authority or recruiting.</x:v>
      </x:c>
      <x:c r="P3026" s="18" t="e">
        <x:f>HYPERLINK("https://apps.ualberta.ca/directory/search/department/360300","Open source")</x:f>
        <x:v>HYPERLINK is not implemented. linkLocation=https://apps.ualberta.ca/directory/search/department/360300, friendlyName=Open source</x:v>
      </x:c>
    </x:row>
    <x:row r="3027" ht="46" customHeight="1">
      <x:c r="A3027" s="17" t="str">
        <x:v>stage4src:561f7c4b7824f79c</x:v>
      </x:c>
      <x:c r="B3027" s="17" t="str">
        <x:v>professor</x:v>
      </x:c>
      <x:c r="C3027" s="17" t="str">
        <x:v>Georgia State University</x:v>
      </x:c>
      <x:c r="D3027" s="17" t="str">
        <x:v>us:ipeds:139940:program:phd:computer-science-phd</x:v>
      </x:c>
      <x:c r="E3027" s="17" t="str">
        <x:v>us:ipeds:139940:faculty:wei-lisa-li</x:v>
      </x:c>
      <x:c r="F3027" s="17" t="str">
        <x:v>program supervision authority|graduate leadership</x:v>
      </x:c>
      <x:c r="G3027" s="17" t="str">
        <x:v>The current directory identifies Li as adviser for a Computer Science PhD student and as an Associate Director of Graduate Studies.</x:v>
      </x:c>
      <x:c r="H3027" s="17" t="str">
        <x:v>Computer Science PhD Student Directory</x:v>
      </x:c>
      <x:c r="I3027" s="17" t="str">
        <x:v>Georgia State University</x:v>
      </x:c>
      <x:c r="J3027" s="17" t="str">
        <x:v>official</x:v>
      </x:c>
      <x:c r="K3027" s="17" t="str">
        <x:v>2026-09-11</x:v>
      </x:c>
      <x:c r="L3027" s="17" t="str">
        <x:v>2026</x:v>
      </x:c>
      <x:c r="M3027" s="17" t="str">
        <x:v>high</x:v>
      </x:c>
      <x:c r="N3027" s="17" t="str">
        <x:v>verified</x:v>
      </x:c>
      <x:c r="O3027" s="17" t="str">
        <x:v>Live official directory checked 2026-09-11; current advisees are not recruiting evidence.</x:v>
      </x:c>
      <x:c r="P3027" s="18" t="e">
        <x:f>HYPERLINK("https://csds.gsu.edu/phdstudents/","Open source")</x:f>
        <x:v>HYPERLINK is not implemented. linkLocation=https://csds.gsu.edu/phdstudents/, friendlyName=Open source</x:v>
      </x:c>
    </x:row>
    <x:row r="3028" ht="46" customHeight="1">
      <x:c r="A3028" s="17" t="str">
        <x:v>stage4src:56221a67c5e56163</x:v>
      </x:c>
      <x:c r="B3028" s="17" t="str">
        <x:v>professor</x:v>
      </x:c>
      <x:c r="C3028" s="17" t="str">
        <x:v>University of Nebraska at Omaha</x:v>
      </x:c>
      <x:c r="D3028" s="17" t="str">
        <x:v>us:ipeds:181394:program:phd:computing-information-science-ph-d</x:v>
      </x:c>
      <x:c r="E3028" s="17" t="str">
        <x:v>us:ipeds:181394:faculty:myoungkyu-song</x:v>
      </x:c>
      <x:c r="F3028" s="17" t="str">
        <x:v>current appointment|email|current alternatives</x:v>
      </x:c>
      <x:c r="G3028" s="17" t="str">
        <x:v>The current department roster includes Song and the four bounded alternative candidates.</x:v>
      </x:c>
      <x:c r="H3028" s="17" t="str">
        <x:v>Computer Science Faculty &amp; Staff Directory</x:v>
      </x:c>
      <x:c r="I3028" s="17" t="str">
        <x:v>University of Nebraska at Omaha</x:v>
      </x:c>
      <x:c r="J3028" s="17" t="str">
        <x:v>official</x:v>
      </x:c>
      <x:c r="K3028" s="17" t="str">
        <x:v>2026-09-11</x:v>
      </x:c>
      <x:c r="L3028" s="17" t="str">
        <x:v>2026</x:v>
      </x:c>
      <x:c r="M3028" s="17" t="str">
        <x:v>high</x:v>
      </x:c>
      <x:c r="N3028" s="17" t="str">
        <x:v>verified</x:v>
      </x:c>
      <x:c r="O3028" s="17" t="str">
        <x:v>Live official roster checked 2026-09-11.</x:v>
      </x:c>
      <x:c r="P3028" s="18" t="e">
        <x:f>HYPERLINK("https://www.unomaha.edu/college-of-information-science-and-technology/computer-science/about/faculty-staff.php","Open source")</x:f>
        <x:v>HYPERLINK is not implemented. linkLocation=https://www.unomaha.edu/college-of-information-science-and-technology/computer-science/about/faculty-staff.php, friendlyName=Open source</x:v>
      </x:c>
    </x:row>
    <x:row r="3029" ht="46" customHeight="1">
      <x:c r="A3029" s="17" t="str">
        <x:v>stage4src:562e736ca48c7c3f</x:v>
      </x:c>
      <x:c r="B3029" s="17" t="str">
        <x:v>professor</x:v>
      </x:c>
      <x:c r="C3029" s="17" t="str">
        <x:v>Brandeis University</x:v>
      </x:c>
      <x:c r="D3029" s="17" t="str">
        <x:v>us:ipeds:165015:program:phd:computer-science-phd</x:v>
      </x:c>
      <x:c r="E3029" s="17" t="str">
        <x:v>us:ipeds:165015:faculty:subhadeep-sarkar</x:v>
      </x:c>
      <x:c r="F3029" s="17" t="str">
        <x:v>recent work|storage privacy|strong fit</x:v>
      </x:c>
      <x:c r="G3029" s="17" t="str">
        <x:v>The 2023 article supports current deletion-aware storage-engine and privacy-by-design overlap.</x:v>
      </x:c>
      <x:c r="H3029" s="17" t="str">
        <x:v>Enabling Timely and Persistent Deletion in LSM-Engines</x:v>
      </x:c>
      <x:c r="I3029" s="17" t="str">
        <x:v>OpenAlex / cited venue</x:v>
      </x:c>
      <x:c r="J3029" s="17" t="str">
        <x:v>secondary</x:v>
      </x:c>
      <x:c r="K3029" s="17" t="str">
        <x:v>2026-09-11</x:v>
      </x:c>
      <x:c r="L3029" s="17" t="str">
        <x:v>2023</x:v>
      </x:c>
      <x:c r="M3029" s="17" t="str">
        <x:v>high</x:v>
      </x:c>
      <x:c r="N3029" s="17" t="str">
        <x:v>verified</x:v>
      </x:c>
      <x:c r="O3029" s="17" t="str">
        <x:v>DOI and Brandeis repository metadata checked 2026-09-11.</x:v>
      </x:c>
      <x:c r="P3029" s="18" t="e">
        <x:f>HYPERLINK("https://doi.org/10.1145/3599724","Open source")</x:f>
        <x:v>HYPERLINK is not implemented. linkLocation=https://doi.org/10.1145/3599724, friendlyName=Open source</x:v>
      </x:c>
    </x:row>
    <x:row r="3030" ht="46" customHeight="1">
      <x:c r="A3030" s="17" t="str">
        <x:v>stage4src:565c5197b2b65c60</x:v>
      </x:c>
      <x:c r="B3030" s="17" t="str">
        <x:v>professor</x:v>
      </x:c>
      <x:c r="C3030" s="17" t="str">
        <x:v>Rice University</x:v>
      </x:c>
      <x:c r="D3030" s="17" t="str">
        <x:v>us:ipeds:227757:program:phd:ph-d-in-computer-science</x:v>
      </x:c>
      <x:c r="E3030" s="17" t="str"/>
      <x:c r="F3030" s="17" t="str">
        <x:v>current faculty roster|candidate longlist</x:v>
      </x:c>
      <x:c r="G3030" s="17" t="str">
        <x:v>Current official department roster or research-area faculty listing used to identify the five-person Stage 4 candidate longlist.</x:v>
      </x:c>
      <x:c r="H3030" s="17" t="str">
        <x:v>Rice University current faculty roster</x:v>
      </x:c>
      <x:c r="I3030" s="17" t="str">
        <x:v>Rice University</x:v>
      </x:c>
      <x:c r="J3030" s="17" t="str">
        <x:v>official</x:v>
      </x:c>
      <x:c r="K3030" s="17" t="str">
        <x:v>2026-09-11</x:v>
      </x:c>
      <x:c r="L3030" s="17" t="str"/>
      <x:c r="M3030" s="17" t="str">
        <x:v>high</x:v>
      </x:c>
      <x:c r="N3030" s="17" t="str">
        <x:v>verified</x:v>
      </x:c>
      <x:c r="O3030" s="17" t="str">
        <x:v>Roster evidence establishes a current listing, not program-specific supervision authority or recruiting.</x:v>
      </x:c>
      <x:c r="P3030" s="18" t="e">
        <x:f>HYPERLINK("https://compsci.rice.edu/people/faculty","Open source")</x:f>
        <x:v>HYPERLINK is not implemented. linkLocation=https://compsci.rice.edu/people/faculty, friendlyName=Open source</x:v>
      </x:c>
    </x:row>
    <x:row r="3031" ht="46" customHeight="1">
      <x:c r="A3031" s="17" t="str">
        <x:v>stage4src:56e51ed3d8b5d55b</x:v>
      </x:c>
      <x:c r="B3031" s="17" t="str">
        <x:v>professor</x:v>
      </x:c>
      <x:c r="C3031" s="17" t="str">
        <x:v>University of Guelph</x:v>
      </x:c>
      <x:c r="D3031" s="17" t="str">
        <x:v>ca:dli:O19305391192:program:phd:phd-in-computer-science</x:v>
      </x:c>
      <x:c r="E3031" s="17" t="str">
        <x:v>ca:dli:O19305391192:faculty:wenjing-zhang</x:v>
      </x:c>
      <x:c r="F3031" s="17" t="str">
        <x:v>current appointment|current supervision|active research directions</x:v>
      </x:c>
      <x:c r="G3031" s="17" t="str">
        <x:v>The current lab page identifies Zhang as faculty and records active MSc and PhD supervision in generative-AI security, privacy, and vulnerability detection.</x:v>
      </x:c>
      <x:c r="H3031" s="17" t="str">
        <x:v>AI Security Lab — Our Team</x:v>
      </x:c>
      <x:c r="I3031" s="17" t="str">
        <x:v>University of Guelph</x:v>
      </x:c>
      <x:c r="J3031" s="17" t="str">
        <x:v>official</x:v>
      </x:c>
      <x:c r="K3031" s="17" t="str">
        <x:v>2026-09-11</x:v>
      </x:c>
      <x:c r="L3031" s="17" t="str">
        <x:v>2026</x:v>
      </x:c>
      <x:c r="M3031" s="17" t="str">
        <x:v>high</x:v>
      </x:c>
      <x:c r="N3031" s="17" t="str">
        <x:v>verified</x:v>
      </x:c>
      <x:c r="O3031" s="17" t="str">
        <x:v>Official university-hosted lab page checked 2026-09-10; active students are not treated as proof of a future opening.</x:v>
      </x:c>
      <x:c r="P3031" s="18" t="e">
        <x:f>HYPERLINK("https://www.aisecurity.uoguelph.ca/people/","Open source")</x:f>
        <x:v>HYPERLINK is not implemented. linkLocation=https://www.aisecurity.uoguelph.ca/people/, friendlyName=Open source</x:v>
      </x:c>
    </x:row>
    <x:row r="3032" ht="46" customHeight="1">
      <x:c r="A3032" s="17" t="str">
        <x:v>stage4src:56ee5367e48e08ab</x:v>
      </x:c>
      <x:c r="B3032" s="17" t="str">
        <x:v>professor</x:v>
      </x:c>
      <x:c r="C3032" s="17" t="str">
        <x:v>Clarkson University</x:v>
      </x:c>
      <x:c r="D3032" s="17" t="str">
        <x:v>us:ipeds:190044:program:phd:phd-in-computer-science</x:v>
      </x:c>
      <x:c r="E3032" s="17" t="str">
        <x:v>us:ipeds:190044:faculty:faraz-hussain</x:v>
      </x:c>
      <x:c r="F3032" s="17" t="str">
        <x:v>research themes|candidate longlist</x:v>
      </x:c>
      <x:c r="G3032" s="17" t="str">
        <x:v>Clarkson describes Hussain's programming-languages, software-engineering, formal-methods, distributed-systems, and applied-ML interests and supports the alternative shortlist.</x:v>
      </x:c>
      <x:c r="H3032" s="17" t="str">
        <x:v>Computer Science Research Areas</x:v>
      </x:c>
      <x:c r="I3032" s="17" t="str">
        <x:v>Clarkson University</x:v>
      </x:c>
      <x:c r="J3032" s="17" t="str">
        <x:v>official</x:v>
      </x:c>
      <x:c r="K3032" s="17" t="str">
        <x:v>2026-09-11</x:v>
      </x:c>
      <x:c r="L3032" s="17" t="str">
        <x:v>2026</x:v>
      </x:c>
      <x:c r="M3032" s="17" t="str">
        <x:v>high</x:v>
      </x:c>
      <x:c r="N3032" s="17" t="str">
        <x:v>verified</x:v>
      </x:c>
      <x:c r="O3032" s="17" t="str">
        <x:v>Live official page checked 2026-09-11.</x:v>
      </x:c>
      <x:c r="P3032" s="18" t="e">
        <x:f>HYPERLINK("https://www.clarkson.edu/academics/schools-colleges/engineering/computer-science-department/computer-science-research-areas","Open source")</x:f>
        <x:v>HYPERLINK is not implemented. linkLocation=https://www.clarkson.edu/academics/schools-colleges/engineering/computer-science-department/computer-science-research-areas, friendlyName=Open source</x:v>
      </x:c>
    </x:row>
    <x:row r="3033" ht="46" customHeight="1">
      <x:c r="A3033" s="17" t="str">
        <x:v>stage4src:574670f64188833b</x:v>
      </x:c>
      <x:c r="B3033" s="17" t="str">
        <x:v>professor</x:v>
      </x:c>
      <x:c r="C3033" s="17" t="str">
        <x:v>Carnegie Mellon University</x:v>
      </x:c>
      <x:c r="D3033" s="17" t="str">
        <x:v>us:ipeds:211440:program:phd:software-engineering-phd</x:v>
      </x:c>
      <x:c r="E3033" s="17" t="str">
        <x:v>us:ipeds:211440:faculty:ruben-martins</x:v>
      </x:c>
      <x:c r="F3033" s="17" t="str">
        <x:v>discovery publication signal|recent work</x:v>
      </x:c>
      <x:c r="G3033" s="17" t="str">
        <x:v>Publication metadata was examined for shortlist triage only; publication-time affiliation does not establish current appointment, supervision authority, or recruiting.</x:v>
      </x:c>
      <x:c r="H3033" s="17" t="str">
        <x:v>OpenAlex publication signal for Ruben Martins</x:v>
      </x:c>
      <x:c r="I3033" s="17" t="str">
        <x:v>OpenAlex / cited venue</x:v>
      </x:c>
      <x:c r="J3033" s="17" t="str">
        <x:v>secondary</x:v>
      </x:c>
      <x:c r="K3033" s="17" t="str">
        <x:v>2026-09-11</x:v>
      </x:c>
      <x:c r="L3033" s="17" t="str"/>
      <x:c r="M3033" s="17" t="str">
        <x:v>medium</x:v>
      </x:c>
      <x:c r="N3033" s="17" t="str">
        <x:v>discovery_only</x:v>
      </x:c>
      <x:c r="O3033" s="17" t="str">
        <x:v>Not used to award a professor score or faculty-depth point.</x:v>
      </x:c>
      <x:c r="P3033" s="18" t="e">
        <x:f>HYPERLINK("https://openalex.org/A5101995804","Open source")</x:f>
        <x:v>HYPERLINK is not implemented. linkLocation=https://openalex.org/A5101995804, friendlyName=Open source</x:v>
      </x:c>
    </x:row>
    <x:row r="3034" ht="46" customHeight="1">
      <x:c r="A3034" s="17" t="str">
        <x:v>stage4src:5756bf1f80585f3b</x:v>
      </x:c>
      <x:c r="B3034" s="17" t="str">
        <x:v>professor</x:v>
      </x:c>
      <x:c r="C3034" s="17" t="str">
        <x:v>University of Cambridge</x:v>
      </x:c>
      <x:c r="D3034" s="17" t="str">
        <x:v>ror:013meh722:program:phd:phd-in-computer-science</x:v>
      </x:c>
      <x:c r="E3034" s="17" t="str">
        <x:v>ror:013meh722:faculty:peter-sewell</x:v>
      </x:c>
      <x:c r="F3034" s="17" t="str">
        <x:v>discovery publication signal|recent work</x:v>
      </x:c>
      <x:c r="G3034" s="17" t="str">
        <x:v>Publication metadata was examined for shortlist triage only; publication-time affiliation does not establish current appointment, supervision authority, or recruiting.</x:v>
      </x:c>
      <x:c r="H3034" s="17" t="str">
        <x:v>OpenAlex publication signal for Peter Sewell</x:v>
      </x:c>
      <x:c r="I3034" s="17" t="str">
        <x:v>OpenAlex / cited venue</x:v>
      </x:c>
      <x:c r="J3034" s="17" t="str">
        <x:v>secondary</x:v>
      </x:c>
      <x:c r="K3034" s="17" t="str">
        <x:v>2026-09-11</x:v>
      </x:c>
      <x:c r="L3034" s="17" t="str"/>
      <x:c r="M3034" s="17" t="str">
        <x:v>medium</x:v>
      </x:c>
      <x:c r="N3034" s="17" t="str">
        <x:v>discovery_only</x:v>
      </x:c>
      <x:c r="O3034" s="17" t="str">
        <x:v>Not used to award a professor score or faculty-depth point.</x:v>
      </x:c>
      <x:c r="P3034" s="18" t="e">
        <x:f>HYPERLINK("https://openalex.org/A5083405043","Open source")</x:f>
        <x:v>HYPERLINK is not implemented. linkLocation=https://openalex.org/A5083405043, friendlyName=Open source</x:v>
      </x:c>
    </x:row>
    <x:row r="3035" ht="46" customHeight="1">
      <x:c r="A3035" s="17" t="str">
        <x:v>stage4src:578a8465bb3a3212</x:v>
      </x:c>
      <x:c r="B3035" s="17" t="str">
        <x:v>professor</x:v>
      </x:c>
      <x:c r="C3035" s="17" t="str">
        <x:v>University of Saskatchewan</x:v>
      </x:c>
      <x:c r="D3035" s="17" t="str">
        <x:v>ca:dli:O19425660421:program:thesis-or-research-master-s:msc-in-computer-science-thesis</x:v>
      </x:c>
      <x:c r="E3035" s="17" t="str">
        <x:v>ca:dli:O19425660421:faculty:natalia-stakhanova</x:v>
      </x:c>
      <x:c r="F3035" s="17" t="str">
        <x:v>discovery publication signal|recent work</x:v>
      </x:c>
      <x:c r="G3035" s="17" t="str">
        <x:v>Publication metadata was examined for shortlist triage only; publication-time affiliation does not establish current appointment, supervision authority, or recruiting.</x:v>
      </x:c>
      <x:c r="H3035" s="17" t="str">
        <x:v>OpenAlex publication signal for Natalia Stakhanova</x:v>
      </x:c>
      <x:c r="I3035" s="17" t="str">
        <x:v>OpenAlex / cited venue</x:v>
      </x:c>
      <x:c r="J3035" s="17" t="str">
        <x:v>secondary</x:v>
      </x:c>
      <x:c r="K3035" s="17" t="str">
        <x:v>2026-09-11</x:v>
      </x:c>
      <x:c r="L3035" s="17" t="str"/>
      <x:c r="M3035" s="17" t="str">
        <x:v>medium</x:v>
      </x:c>
      <x:c r="N3035" s="17" t="str">
        <x:v>discovery_only</x:v>
      </x:c>
      <x:c r="O3035" s="17" t="str">
        <x:v>Not used to award a professor score or faculty-depth point.</x:v>
      </x:c>
      <x:c r="P3035" s="18" t="e">
        <x:f>HYPERLINK("https://openalex.org/A5042013797","Open source")</x:f>
        <x:v>HYPERLINK is not implemented. linkLocation=https://openalex.org/A5042013797, friendlyName=Open source</x:v>
      </x:c>
    </x:row>
    <x:row r="3036" ht="46" customHeight="1">
      <x:c r="A3036" s="17" t="str">
        <x:v>stage4src:58b67f4bcc0cea95</x:v>
      </x:c>
      <x:c r="B3036" s="17" t="str">
        <x:v>professor</x:v>
      </x:c>
      <x:c r="C3036" s="17" t="str">
        <x:v>Simon Fraser University</x:v>
      </x:c>
      <x:c r="D3036" s="17" t="str">
        <x:v>ca:dli:O18781994282:program:thesis-or-research-master-s:master-of-applied-science-in-engineering-science</x:v>
      </x:c>
      <x:c r="E3036" s="17" t="str">
        <x:v>ca:dli:O18781994282:faculty:zhenman-fang</x:v>
      </x:c>
      <x:c r="F3036" s="17" t="str">
        <x:v>recent work|accelerated systems|performance evaluation</x:v>
      </x:c>
      <x:c r="G3036" s="17" t="str">
        <x:v>The university-hosted 2024 paper documents current system and acceleration work involving Fang.</x:v>
      </x:c>
      <x:c r="H3036" s="17" t="str">
        <x:v>Fast Learned Image Compression with Discretized Gaussian Mixture Likelihoods and Attention Modules</x:v>
      </x:c>
      <x:c r="I3036" s="17" t="str">
        <x:v>Simon Fraser University</x:v>
      </x:c>
      <x:c r="J3036" s="17" t="str">
        <x:v>official</x:v>
      </x:c>
      <x:c r="K3036" s="17" t="str">
        <x:v>2026-09-11</x:v>
      </x:c>
      <x:c r="L3036" s="17" t="str">
        <x:v>2024</x:v>
      </x:c>
      <x:c r="M3036" s="17" t="str">
        <x:v>high</x:v>
      </x:c>
      <x:c r="N3036" s="17" t="str">
        <x:v>verified</x:v>
      </x:c>
      <x:c r="O3036" s="17" t="str">
        <x:v>University-hosted paper checked 2026-09-11.</x:v>
      </x:c>
      <x:c r="P3036" s="18" t="e">
        <x:f>HYPERLINK("https://www.sfu.ca/~zhenman/files/J17-TIP2024-Fast-LIC.pdf","Open source")</x:f>
        <x:v>HYPERLINK is not implemented. linkLocation=https://www.sfu.ca/~zhenman/files/J17-TIP2024-Fast-LIC.pdf, friendlyName=Open source</x:v>
      </x:c>
    </x:row>
    <x:row r="3037" ht="46" customHeight="1">
      <x:c r="A3037" s="17" t="str">
        <x:v>stage4src:592249202afa336a</x:v>
      </x:c>
      <x:c r="B3037" s="17" t="str">
        <x:v>professor</x:v>
      </x:c>
      <x:c r="C3037" s="17" t="str">
        <x:v>University of New Hampshire-Main Campus</x:v>
      </x:c>
      <x:c r="D3037" s="17" t="str">
        <x:v>us:ipeds:183044:program:phd:computer-science-ph-d</x:v>
      </x:c>
      <x:c r="E3037" s="17" t="str">
        <x:v>us:ipeds:183044:faculty:dongpeng-xu</x:v>
      </x:c>
      <x:c r="F3037" s="17" t="str">
        <x:v>current appointment|candidate longlist</x:v>
      </x:c>
      <x:c r="G3037" s="17" t="str">
        <x:v>The current roster lists Xu and the four bounded alternative candidates.</x:v>
      </x:c>
      <x:c r="H3037" s="17" t="str">
        <x:v>Computer Science Faculty and Staff Directory</x:v>
      </x:c>
      <x:c r="I3037" s="17" t="str">
        <x:v>University of New Hampshire-Main Campus</x:v>
      </x:c>
      <x:c r="J3037" s="17" t="str">
        <x:v>official</x:v>
      </x:c>
      <x:c r="K3037" s="17" t="str">
        <x:v>2026-09-11</x:v>
      </x:c>
      <x:c r="L3037" s="17" t="str">
        <x:v>2026</x:v>
      </x:c>
      <x:c r="M3037" s="17" t="str">
        <x:v>high</x:v>
      </x:c>
      <x:c r="N3037" s="17" t="str">
        <x:v>verified</x:v>
      </x:c>
      <x:c r="O3037" s="17" t="str">
        <x:v>Live roster checked 2026-09-11.</x:v>
      </x:c>
      <x:c r="P3037" s="18" t="e">
        <x:f>HYPERLINK("https://ceps.unh.edu/computer-science/faculty-staff-directory","Open source")</x:f>
        <x:v>HYPERLINK is not implemented. linkLocation=https://ceps.unh.edu/computer-science/faculty-staff-directory, friendlyName=Open source</x:v>
      </x:c>
    </x:row>
    <x:row r="3038" ht="46" customHeight="1">
      <x:c r="A3038" s="17" t="str">
        <x:v>stage4src:592ee62ef505b1a8</x:v>
      </x:c>
      <x:c r="B3038" s="17" t="str">
        <x:v>professor</x:v>
      </x:c>
      <x:c r="C3038" s="17" t="str">
        <x:v>Simon Fraser University</x:v>
      </x:c>
      <x:c r="D3038" s="17" t="str">
        <x:v>ca:dli:O18781994282:program:thesis-or-research-master-s:master-of-applied-science-in-engineering-science</x:v>
      </x:c>
      <x:c r="E3038" s="17" t="str"/>
      <x:c r="F3038" s="17" t="str">
        <x:v>current faculty roster|candidate longlist</x:v>
      </x:c>
      <x:c r="G3038" s="17" t="str">
        <x:v>Current official department roster or research-area faculty listing used to identify the five-person Stage 4 candidate longlist.</x:v>
      </x:c>
      <x:c r="H3038" s="17" t="str">
        <x:v>Simon Fraser University current faculty roster</x:v>
      </x:c>
      <x:c r="I3038" s="17" t="str">
        <x:v>Simon Fraser University</x:v>
      </x:c>
      <x:c r="J3038" s="17" t="str">
        <x:v>official</x:v>
      </x:c>
      <x:c r="K3038" s="17" t="str">
        <x:v>2026-09-11</x:v>
      </x:c>
      <x:c r="L3038" s="17" t="str"/>
      <x:c r="M3038" s="17" t="str">
        <x:v>high</x:v>
      </x:c>
      <x:c r="N3038" s="17" t="str">
        <x:v>verified</x:v>
      </x:c>
      <x:c r="O3038" s="17" t="str">
        <x:v>Roster evidence establishes a current listing, not program-specific supervision authority or recruiting.</x:v>
      </x:c>
      <x:c r="P3038" s="18" t="e">
        <x:f>HYPERLINK("https://www.sfu.ca/fas/schools/engineering-science/faculty/","Open source")</x:f>
        <x:v>HYPERLINK is not implemented. linkLocation=https://www.sfu.ca/fas/schools/engineering-science/faculty/, friendlyName=Open source</x:v>
      </x:c>
    </x:row>
    <x:row r="3039" ht="46" customHeight="1">
      <x:c r="A3039" s="17" t="str">
        <x:v>stage4src:595b27a921d34278</x:v>
      </x:c>
      <x:c r="B3039" s="17" t="str">
        <x:v>professor</x:v>
      </x:c>
      <x:c r="C3039" s="17" t="str">
        <x:v>Stony Brook University</x:v>
      </x:c>
      <x:c r="D3039" s="17" t="str">
        <x:v>us:ipeds:196097:program:phd:computer-science-phd</x:v>
      </x:c>
      <x:c r="E3039" s="17" t="str">
        <x:v>us:ipeds:196097:faculty:dongyoon-lee</x:v>
      </x:c>
      <x:c r="F3039" s="17" t="str">
        <x:v>recent work|research fit</x:v>
      </x:c>
      <x:c r="G3039" s="17" t="str">
        <x:v>The current publication list records the 2024 DaCapo and INTOS systems-security work.</x:v>
      </x:c>
      <x:c r="H3039" s="17" t="str">
        <x:v>Dongyoon Lee publications</x:v>
      </x:c>
      <x:c r="I3039" s="17" t="str">
        <x:v>Stony Brook University</x:v>
      </x:c>
      <x:c r="J3039" s="17" t="str">
        <x:v>official</x:v>
      </x:c>
      <x:c r="K3039" s="17" t="str">
        <x:v>2026-09-11</x:v>
      </x:c>
      <x:c r="L3039" s="17" t="str">
        <x:v>2024</x:v>
      </x:c>
      <x:c r="M3039" s="17" t="str">
        <x:v>high</x:v>
      </x:c>
      <x:c r="N3039" s="17" t="str">
        <x:v>verified</x:v>
      </x:c>
      <x:c r="O3039" s="17" t="str">
        <x:v>University-hosted publication list checked 2026-09-10.</x:v>
      </x:c>
      <x:c r="P3039" s="18" t="e">
        <x:f>HYPERLINK("https://www3.cs.stonybrook.edu/~dongyoon/pubs.html","Open source")</x:f>
        <x:v>HYPERLINK is not implemented. linkLocation=https://www3.cs.stonybrook.edu/~dongyoon/pubs.html, friendlyName=Open source</x:v>
      </x:c>
    </x:row>
    <x:row r="3040" ht="46" customHeight="1">
      <x:c r="A3040" s="17" t="str">
        <x:v>stage4src:598e37c4d74f755d</x:v>
      </x:c>
      <x:c r="B3040" s="17" t="str">
        <x:v>professor</x:v>
      </x:c>
      <x:c r="C3040" s="17" t="str">
        <x:v>William &amp; Mary</x:v>
      </x:c>
      <x:c r="D3040" s="17" t="str">
        <x:v>us:ipeds:231624:program:phd:computer-science-phd</x:v>
      </x:c>
      <x:c r="E3040" s="17" t="str">
        <x:v>us:ipeds:231624:faculty:denys-poshyvanyk</x:v>
      </x:c>
      <x:c r="F3040" s="17" t="str">
        <x:v>current appointment|program supervision authority|research themes</x:v>
      </x:c>
      <x:c r="G3040" s="17" t="str">
        <x:v>Current appointment, email, and research themes</x:v>
      </x:c>
      <x:c r="H3040" s="17" t="str">
        <x:v>Denys Poshyvanyk</x:v>
      </x:c>
      <x:c r="I3040" s="17" t="str">
        <x:v>William &amp; Mary</x:v>
      </x:c>
      <x:c r="J3040" s="17" t="str">
        <x:v>official</x:v>
      </x:c>
      <x:c r="K3040" s="17" t="str">
        <x:v>2026-09-11</x:v>
      </x:c>
      <x:c r="L3040" s="17" t="str"/>
      <x:c r="M3040" s="17" t="str">
        <x:v>high</x:v>
      </x:c>
      <x:c r="N3040" s="17" t="str">
        <x:v>verified</x:v>
      </x:c>
      <x:c r="O3040" s="17" t="str"/>
      <x:c r="P3040" s="18" t="e">
        <x:f>HYPERLINK("https://www.cs.wm.edu/~dposhyvanyk/index.html","Open source")</x:f>
        <x:v>HYPERLINK is not implemented. linkLocation=https://www.cs.wm.edu/~dposhyvanyk/index.html, friendlyName=Open source</x:v>
      </x:c>
    </x:row>
    <x:row r="3041" ht="46" customHeight="1">
      <x:c r="A3041" s="17" t="str">
        <x:v>stage4src:59a605158b5c7ac3</x:v>
      </x:c>
      <x:c r="B3041" s="17" t="str">
        <x:v>professor</x:v>
      </x:c>
      <x:c r="C3041" s="17" t="str">
        <x:v>University of Pisa</x:v>
      </x:c>
      <x:c r="D3041" s="17" t="str">
        <x:v>ror:03ad39j10:program:thesis-or-research-master-s:master-s-degree-in-computer-science</x:v>
      </x:c>
      <x:c r="E3041" s="17" t="str">
        <x:v>ror:03ad39j10:faculty:patrizio-dazzi</x:v>
      </x:c>
      <x:c r="F3041" s="17" t="str">
        <x:v>program context|prospective-student instructions</x:v>
      </x:c>
      <x:c r="G3041" s="17" t="str">
        <x:v>The official page establishes the current English-language Computer Science master's route.</x:v>
      </x:c>
      <x:c r="H3041" s="17" t="str">
        <x:v>Master's Degree in Computer Science</x:v>
      </x:c>
      <x:c r="I3041" s="17" t="str">
        <x:v>University of Pisa</x:v>
      </x:c>
      <x:c r="J3041" s="17" t="str">
        <x:v>official</x:v>
      </x:c>
      <x:c r="K3041" s="17" t="str">
        <x:v>2026-09-11</x:v>
      </x:c>
      <x:c r="L3041" s="17" t="str">
        <x:v>2026</x:v>
      </x:c>
      <x:c r="M3041" s="17" t="str">
        <x:v>high</x:v>
      </x:c>
      <x:c r="N3041" s="17" t="str">
        <x:v>verified</x:v>
      </x:c>
      <x:c r="O3041" s="17" t="str">
        <x:v>Live official page checked 2026-09-11.</x:v>
      </x:c>
      <x:c r="P3041" s="18" t="e">
        <x:f>HYPERLINK("https://www.unipi.it/en/education/courses/master-degree/computer-science-wif-lm-en/","Open source")</x:f>
        <x:v>HYPERLINK is not implemented. linkLocation=https://www.unipi.it/en/education/courses/master-degree/computer-science-wif-lm-en/, friendlyName=Open source</x:v>
      </x:c>
    </x:row>
    <x:row r="3042" ht="46" customHeight="1">
      <x:c r="A3042" s="17" t="str">
        <x:v>stage4src:59ae971a679f7fba</x:v>
      </x:c>
      <x:c r="B3042" s="17" t="str">
        <x:v>professor</x:v>
      </x:c>
      <x:c r="C3042" s="17" t="str">
        <x:v>Trent University</x:v>
      </x:c>
      <x:c r="D3042" s="17" t="str">
        <x:v>ca:dli:O19395164223:program:thesis-or-research-master-s:msc-in-applied-modelling-and-quantitative-methods-thesis-stream</x:v>
      </x:c>
      <x:c r="E3042" s="17" t="str">
        <x:v>ca:dli:O19395164223:faculty:omar-alam</x:v>
      </x:c>
      <x:c r="F3042" s="17" t="str">
        <x:v>supervision process|prospective-student instructions|recruiting uncertainty</x:v>
      </x:c>
      <x:c r="G3042" s="17" t="str">
        <x:v>Trent instructs thesis applicants to identify and contact potential supervisors, while candidate-specific availability must be confirmed.</x:v>
      </x:c>
      <x:c r="H3042" s="17" t="str">
        <x:v>Find a Supervisor</x:v>
      </x:c>
      <x:c r="I3042" s="17" t="str">
        <x:v>Trent University</x:v>
      </x:c>
      <x:c r="J3042" s="17" t="str">
        <x:v>official</x:v>
      </x:c>
      <x:c r="K3042" s="17" t="str">
        <x:v>2026-09-11</x:v>
      </x:c>
      <x:c r="L3042" s="17" t="str">
        <x:v>2026</x:v>
      </x:c>
      <x:c r="M3042" s="17" t="str">
        <x:v>high</x:v>
      </x:c>
      <x:c r="N3042" s="17" t="str">
        <x:v>verified</x:v>
      </x:c>
      <x:c r="O3042" s="17" t="str">
        <x:v>Live official page checked 2026-09-11.</x:v>
      </x:c>
      <x:c r="P3042" s="18" t="e">
        <x:f>HYPERLINK("https://www.trentu.ca/graduatestudies/admissions/find-supervisor","Open source")</x:f>
        <x:v>HYPERLINK is not implemented. linkLocation=https://www.trentu.ca/graduatestudies/admissions/find-supervisor, friendlyName=Open source</x:v>
      </x:c>
    </x:row>
    <x:row r="3043" ht="46" customHeight="1">
      <x:c r="A3043" s="17" t="str">
        <x:v>stage4src:5a2b1cf379c9bb3a</x:v>
      </x:c>
      <x:c r="B3043" s="17" t="str">
        <x:v>professor</x:v>
      </x:c>
      <x:c r="C3043" s="17" t="str">
        <x:v>Case Western Reserve University</x:v>
      </x:c>
      <x:c r="D3043" s="17" t="str">
        <x:v>us:ipeds:201645:program:phd:computer-science-phd</x:v>
      </x:c>
      <x:c r="E3043" s="17" t="str"/>
      <x:c r="F3043" s="17" t="str">
        <x:v>current faculty roster|candidate longlist</x:v>
      </x:c>
      <x:c r="G3043" s="17" t="str">
        <x:v>Current official department roster or research-area faculty listing used to identify the five-person Stage 4 candidate longlist.</x:v>
      </x:c>
      <x:c r="H3043" s="17" t="str">
        <x:v>Case Western Reserve University current faculty roster</x:v>
      </x:c>
      <x:c r="I3043" s="17" t="str">
        <x:v>Case Western Reserve University</x:v>
      </x:c>
      <x:c r="J3043" s="17" t="str">
        <x:v>official</x:v>
      </x:c>
      <x:c r="K3043" s="17" t="str">
        <x:v>2026-09-11</x:v>
      </x:c>
      <x:c r="L3043" s="17" t="str"/>
      <x:c r="M3043" s="17" t="str">
        <x:v>high</x:v>
      </x:c>
      <x:c r="N3043" s="17" t="str">
        <x:v>verified</x:v>
      </x:c>
      <x:c r="O3043" s="17" t="str">
        <x:v>Roster evidence establishes a current listing, not program-specific supervision authority or recruiting.</x:v>
      </x:c>
      <x:c r="P3043" s="18" t="e">
        <x:f>HYPERLINK("https://bulletin.case.edu/engineering/computer-data-sciences/","Open source")</x:f>
        <x:v>HYPERLINK is not implemented. linkLocation=https://bulletin.case.edu/engineering/computer-data-sciences/, friendlyName=Open source</x:v>
      </x:c>
    </x:row>
    <x:row r="3044" ht="46" customHeight="1">
      <x:c r="A3044" s="17" t="str">
        <x:v>stage4src:5a4cdf55eaac384e</x:v>
      </x:c>
      <x:c r="B3044" s="17" t="str">
        <x:v>professor</x:v>
      </x:c>
      <x:c r="C3044" s="17" t="str">
        <x:v>University of Georgia</x:v>
      </x:c>
      <x:c r="D3044" s="17" t="str">
        <x:v>us:ipeds:139959:program:phd:doctor-of-philosophy-in-computer-science</x:v>
      </x:c>
      <x:c r="E3044" s="17" t="str">
        <x:v>us:ipeds:139959:faculty:le-guan</x:v>
      </x:c>
      <x:c r="F3044" s="17" t="str">
        <x:v>current appointment|department|email|research themes</x:v>
      </x:c>
      <x:c r="G3044" s="17" t="str">
        <x:v>UGA lists Guan as Associate Professor of Computer Science, provides his email, and records systems-security research and his 2024 promotion.</x:v>
      </x:c>
      <x:c r="H3044" s="17" t="str">
        <x:v>Le Guan</x:v>
      </x:c>
      <x:c r="I3044" s="17" t="str">
        <x:v>University of Georgia</x:v>
      </x:c>
      <x:c r="J3044" s="17" t="str">
        <x:v>official</x:v>
      </x:c>
      <x:c r="K3044" s="17" t="str">
        <x:v>2026-09-11</x:v>
      </x:c>
      <x:c r="L3044" s="17" t="str">
        <x:v>2026</x:v>
      </x:c>
      <x:c r="M3044" s="17" t="str">
        <x:v>high</x:v>
      </x:c>
      <x:c r="N3044" s="17" t="str">
        <x:v>verified</x:v>
      </x:c>
      <x:c r="O3044" s="17" t="str">
        <x:v>Live official profile checked 2026-09-11.</x:v>
      </x:c>
      <x:c r="P3044" s="18" t="e">
        <x:f>HYPERLINK("https://www.cs.uga.edu/directory/people/le-guan","Open source")</x:f>
        <x:v>HYPERLINK is not implemented. linkLocation=https://www.cs.uga.edu/directory/people/le-guan, friendlyName=Open source</x:v>
      </x:c>
    </x:row>
    <x:row r="3045" ht="46" customHeight="1">
      <x:c r="A3045" s="17" t="str">
        <x:v>stage4src:5aa9a9f03242fbb8</x:v>
      </x:c>
      <x:c r="B3045" s="17" t="str">
        <x:v>professor</x:v>
      </x:c>
      <x:c r="C3045" s="17" t="str">
        <x:v>University of New Hampshire-Main Campus</x:v>
      </x:c>
      <x:c r="D3045" s="17" t="str">
        <x:v>us:ipeds:183044:program:phd:computer-science-ph-d</x:v>
      </x:c>
      <x:c r="E3045" s="17" t="str">
        <x:v>us:ipeds:183044:faculty:dongpeng-xu</x:v>
      </x:c>
      <x:c r="F3045" s="17" t="str">
        <x:v>program context|faculty mentorship|prospective instructions</x:v>
      </x:c>
      <x:c r="G3045" s="17" t="str">
        <x:v>UNH describes faculty-mentored doctoral research and the application route.</x:v>
      </x:c>
      <x:c r="H3045" s="17" t="str">
        <x:v>Computer Science PhD</x:v>
      </x:c>
      <x:c r="I3045" s="17" t="str">
        <x:v>University of New Hampshire-Main Campus</x:v>
      </x:c>
      <x:c r="J3045" s="17" t="str">
        <x:v>official</x:v>
      </x:c>
      <x:c r="K3045" s="17" t="str">
        <x:v>2026-09-11</x:v>
      </x:c>
      <x:c r="L3045" s="17" t="str">
        <x:v>2026</x:v>
      </x:c>
      <x:c r="M3045" s="17" t="str">
        <x:v>high</x:v>
      </x:c>
      <x:c r="N3045" s="17" t="str">
        <x:v>verified</x:v>
      </x:c>
      <x:c r="O3045" s="17" t="str">
        <x:v>Live program page checked 2026-09-11.</x:v>
      </x:c>
      <x:c r="P3045" s="18" t="e">
        <x:f>HYPERLINK("https://www.unh.edu/program/doctor-philosophy/computer-science","Open source")</x:f>
        <x:v>HYPERLINK is not implemented. linkLocation=https://www.unh.edu/program/doctor-philosophy/computer-science, friendlyName=Open source</x:v>
      </x:c>
    </x:row>
    <x:row r="3046" ht="46" customHeight="1">
      <x:c r="A3046" s="17" t="str">
        <x:v>stage4src:5ad2655e7a8eee61</x:v>
      </x:c>
      <x:c r="B3046" s="17" t="str">
        <x:v>professor</x:v>
      </x:c>
      <x:c r="C3046" s="17" t="str">
        <x:v>Illinois Institute of Technology</x:v>
      </x:c>
      <x:c r="D3046" s="17" t="str">
        <x:v>us:ipeds:145725:program:phd:computer-science-ph-d</x:v>
      </x:c>
      <x:c r="E3046" s="17" t="str">
        <x:v>us:ipeds:145725:faculty:nik-sultana</x:v>
      </x:c>
      <x:c r="F3046" s="17" t="str">
        <x:v>current appointment|candidate longlist</x:v>
      </x:c>
      <x:c r="G3046" s="17" t="str">
        <x:v>The official department-filtered directory is the current-roster basis for Sultana and the four bounded alternatives.</x:v>
      </x:c>
      <x:c r="H3046" s="17" t="str">
        <x:v>Computer Science Faculty Directory</x:v>
      </x:c>
      <x:c r="I3046" s="17" t="str">
        <x:v>Illinois Institute of Technology</x:v>
      </x:c>
      <x:c r="J3046" s="17" t="str">
        <x:v>official</x:v>
      </x:c>
      <x:c r="K3046" s="17" t="str">
        <x:v>2026-09-11</x:v>
      </x:c>
      <x:c r="L3046" s="17" t="str">
        <x:v>2026</x:v>
      </x:c>
      <x:c r="M3046" s="17" t="str">
        <x:v>high</x:v>
      </x:c>
      <x:c r="N3046" s="17" t="str">
        <x:v>verified</x:v>
      </x:c>
      <x:c r="O3046" s="17" t="str">
        <x:v>Official directory checked 2026-09-11.</x:v>
      </x:c>
      <x:c r="P3046" s="18" t="e">
        <x:f>HYPERLINK("https://www.iit.edu/directory/people?organization=116826&amp;profile_type=21","Open source")</x:f>
        <x:v>HYPERLINK is not implemented. linkLocation=https://www.iit.edu/directory/people?organization=116826&amp;profile_type=21, friendlyName=Open source</x:v>
      </x:c>
    </x:row>
    <x:row r="3047" ht="46" customHeight="1">
      <x:c r="A3047" s="17" t="str">
        <x:v>stage4src:5afc559c2bdf560c</x:v>
      </x:c>
      <x:c r="B3047" s="17" t="str">
        <x:v>professor</x:v>
      </x:c>
      <x:c r="C3047" s="17" t="str">
        <x:v>University of Cincinnati-Main Campus</x:v>
      </x:c>
      <x:c r="D3047" s="17" t="str">
        <x:v>us:ipeds:201885:program:phd:ph-d-in-computer-science-and-engineering</x:v>
      </x:c>
      <x:c r="E3047" s="17" t="str">
        <x:v>us:ipeds:201885:faculty:yu-zhao</x:v>
      </x:c>
      <x:c r="F3047" s="17" t="str">
        <x:v>current appointment|department|email|research themes|explicit recruiting</x:v>
      </x:c>
      <x:c r="G3047" s="17" t="str">
        <x:v>UC lists Zhao as a current Computer Science Assistant Professor, gives his email and software-testing interests, and explicitly states that he is hiring students who should send a CV.</x:v>
      </x:c>
      <x:c r="H3047" s="17" t="str">
        <x:v>Yu Zhao — Expert Profile</x:v>
      </x:c>
      <x:c r="I3047" s="17" t="str">
        <x:v>University of Cincinnati-Main Campus</x:v>
      </x:c>
      <x:c r="J3047" s="17" t="str">
        <x:v>official</x:v>
      </x:c>
      <x:c r="K3047" s="17" t="str">
        <x:v>2026-09-11</x:v>
      </x:c>
      <x:c r="L3047" s="17" t="str">
        <x:v>2026</x:v>
      </x:c>
      <x:c r="M3047" s="17" t="str">
        <x:v>high</x:v>
      </x:c>
      <x:c r="N3047" s="17" t="str">
        <x:v>verified</x:v>
      </x:c>
      <x:c r="O3047" s="17" t="str">
        <x:v>Live official profile checked 2026-09-10; recruiting statement requires refresh before contact.</x:v>
      </x:c>
      <x:c r="P3047" s="18" t="e">
        <x:f>HYPERLINK("https://researchdirectory.uc.edu/p/zhao3y3","Open source")</x:f>
        <x:v>HYPERLINK is not implemented. linkLocation=https://researchdirectory.uc.edu/p/zhao3y3, friendlyName=Open source</x:v>
      </x:c>
    </x:row>
    <x:row r="3048" ht="46" customHeight="1">
      <x:c r="A3048" s="17" t="str">
        <x:v>stage4src:5b54d260b4ab4355</x:v>
      </x:c>
      <x:c r="B3048" s="17" t="str">
        <x:v>professor</x:v>
      </x:c>
      <x:c r="C3048" s="17" t="str">
        <x:v>University of British Columbia</x:v>
      </x:c>
      <x:c r="D3048" s="17" t="str">
        <x:v>ca:dli:O19330231062:program:thesis-or-research-master-s:master-of-applied-science-in-electrical-and-computer-engineering</x:v>
      </x:c>
      <x:c r="E3048" s="17" t="str">
        <x:v>ca:dli:O19330231062:faculty:karthik-pattabiraman</x:v>
      </x:c>
      <x:c r="F3048" s="17" t="str">
        <x:v>current appointment|program supervision authority|program affiliation</x:v>
      </x:c>
      <x:c r="G3048" s="17" t="str">
        <x:v>UBC lists Pattabiraman as Professor, G+PS member, and an affiliated supervisor for the ECE MASc.</x:v>
      </x:c>
      <x:c r="H3048" s="17" t="str">
        <x:v>Karthik Pattabiraman</x:v>
      </x:c>
      <x:c r="I3048" s="17" t="str">
        <x:v>University of British Columbia</x:v>
      </x:c>
      <x:c r="J3048" s="17" t="str">
        <x:v>official</x:v>
      </x:c>
      <x:c r="K3048" s="17" t="str">
        <x:v>2026-09-11</x:v>
      </x:c>
      <x:c r="L3048" s="17" t="str">
        <x:v>2026</x:v>
      </x:c>
      <x:c r="M3048" s="17" t="str">
        <x:v>high</x:v>
      </x:c>
      <x:c r="N3048" s="17" t="str">
        <x:v>verified</x:v>
      </x:c>
      <x:c r="O3048" s="17" t="str">
        <x:v>Live official graduate profile checked 2026-09-11.</x:v>
      </x:c>
      <x:c r="P3048" s="18" t="e">
        <x:f>HYPERLINK("https://www.grad.ubc.ca/researcher/13624-pattabiraman","Open source")</x:f>
        <x:v>HYPERLINK is not implemented. linkLocation=https://www.grad.ubc.ca/researcher/13624-pattabiraman, friendlyName=Open source</x:v>
      </x:c>
    </x:row>
    <x:row r="3049" ht="46" customHeight="1">
      <x:c r="A3049" s="17" t="str">
        <x:v>stage4src:5c71a10aed48cf3d</x:v>
      </x:c>
      <x:c r="B3049" s="17" t="str">
        <x:v>professor</x:v>
      </x:c>
      <x:c r="C3049" s="17" t="str">
        <x:v>University of Wisconsin-Madison</x:v>
      </x:c>
      <x:c r="D3049" s="17" t="str">
        <x:v>us:ipeds:240444:program:phd:computer-sciences-phd</x:v>
      </x:c>
      <x:c r="E3049" s="17" t="str">
        <x:v>us:ipeds:240444:faculty:aws-albarghouthi</x:v>
      </x:c>
      <x:c r="F3049" s="17" t="str">
        <x:v>recent work|research fit</x:v>
      </x:c>
      <x:c r="G3049" s="17" t="str">
        <x:v>The current CV records the 2025 OOPSLA work Checking Observational Correctness of Database Systems.</x:v>
      </x:c>
      <x:c r="H3049" s="17" t="str">
        <x:v>Aws Albarghouthi curriculum vitae</x:v>
      </x:c>
      <x:c r="I3049" s="17" t="str">
        <x:v>University of Wisconsin-Madison</x:v>
      </x:c>
      <x:c r="J3049" s="17" t="str">
        <x:v>official</x:v>
      </x:c>
      <x:c r="K3049" s="17" t="str">
        <x:v>2026-09-11</x:v>
      </x:c>
      <x:c r="L3049" s="17" t="str">
        <x:v>2025</x:v>
      </x:c>
      <x:c r="M3049" s="17" t="str">
        <x:v>high</x:v>
      </x:c>
      <x:c r="N3049" s="17" t="str">
        <x:v>verified</x:v>
      </x:c>
      <x:c r="O3049" s="17" t="str">
        <x:v>University-hosted CV checked 2026-09-10.</x:v>
      </x:c>
      <x:c r="P3049" s="18" t="e">
        <x:f>HYPERLINK("https://pages.cs.wisc.edu/~aws/cv.pdf","Open source")</x:f>
        <x:v>HYPERLINK is not implemented. linkLocation=https://pages.cs.wisc.edu/~aws/cv.pdf, friendlyName=Open source</x:v>
      </x:c>
    </x:row>
    <x:row r="3050" ht="46" customHeight="1">
      <x:c r="A3050" s="17" t="str">
        <x:v>stage4src:5c9cb6735f644f43</x:v>
      </x:c>
      <x:c r="B3050" s="17" t="str">
        <x:v>professor</x:v>
      </x:c>
      <x:c r="C3050" s="17" t="str">
        <x:v>McMaster University</x:v>
      </x:c>
      <x:c r="D3050" s="17" t="str">
        <x:v>ca:dli:O19395535729:program:thesis-or-research-master-s:software-engineering-masc</x:v>
      </x:c>
      <x:c r="E3050" s="17" t="str">
        <x:v>ca:dli:O19395535729:faculty:s-bastien-mosser</x:v>
      </x:c>
      <x:c r="F3050" s="17" t="str">
        <x:v>discovery publication signal|recent work</x:v>
      </x:c>
      <x:c r="G3050" s="17" t="str">
        <x:v>Publication metadata was examined for shortlist triage only; publication-time affiliation does not establish current appointment, supervision authority, or recruiting.</x:v>
      </x:c>
      <x:c r="H3050" s="17" t="str">
        <x:v>OpenAlex publication signal for Sébastien Mosser</x:v>
      </x:c>
      <x:c r="I3050" s="17" t="str">
        <x:v>OpenAlex / cited venue</x:v>
      </x:c>
      <x:c r="J3050" s="17" t="str">
        <x:v>secondary</x:v>
      </x:c>
      <x:c r="K3050" s="17" t="str">
        <x:v>2026-09-11</x:v>
      </x:c>
      <x:c r="L3050" s="17" t="str"/>
      <x:c r="M3050" s="17" t="str">
        <x:v>medium</x:v>
      </x:c>
      <x:c r="N3050" s="17" t="str">
        <x:v>discovery_only</x:v>
      </x:c>
      <x:c r="O3050" s="17" t="str">
        <x:v>Not used to award a professor score or faculty-depth point.</x:v>
      </x:c>
      <x:c r="P3050" s="18" t="e">
        <x:f>HYPERLINK("https://openalex.org/A5086951358","Open source")</x:f>
        <x:v>HYPERLINK is not implemented. linkLocation=https://openalex.org/A5086951358, friendlyName=Open source</x:v>
      </x:c>
    </x:row>
    <x:row r="3051" ht="46" customHeight="1">
      <x:c r="A3051" s="17" t="str">
        <x:v>stage4src:5cb42dc2cd4536de</x:v>
      </x:c>
      <x:c r="B3051" s="17" t="str">
        <x:v>professor</x:v>
      </x:c>
      <x:c r="C3051" s="17" t="str">
        <x:v>University of South Carolina-Columbia</x:v>
      </x:c>
      <x:c r="D3051" s="17" t="str">
        <x:v>us:ipeds:218663:program:phd:doctor-of-philosophy-in-computer-science</x:v>
      </x:c>
      <x:c r="E3051" s="17" t="str">
        <x:v>us:ipeds:218663:faculty:chin-tser-huang</x:v>
      </x:c>
      <x:c r="F3051" s="17" t="str">
        <x:v>recent project|blockchain|network measurement|strong fit</x:v>
      </x:c>
      <x:c r="G3051" s="17" t="str">
        <x:v>The 2023 department symposium records Huang's Smarkchain and V2V communication-channel projects.</x:v>
      </x:c>
      <x:c r="H3051" s="17" t="str">
        <x:v>CSE Research Symposium</x:v>
      </x:c>
      <x:c r="I3051" s="17" t="str">
        <x:v>University of South Carolina-Columbia</x:v>
      </x:c>
      <x:c r="J3051" s="17" t="str">
        <x:v>official</x:v>
      </x:c>
      <x:c r="K3051" s="17" t="str">
        <x:v>2026-09-11</x:v>
      </x:c>
      <x:c r="L3051" s="17" t="str">
        <x:v>2023</x:v>
      </x:c>
      <x:c r="M3051" s="17" t="str">
        <x:v>high</x:v>
      </x:c>
      <x:c r="N3051" s="17" t="str">
        <x:v>verified</x:v>
      </x:c>
      <x:c r="O3051" s="17" t="str">
        <x:v>Official department page checked 2026-09-11.</x:v>
      </x:c>
      <x:c r="P3051" s="18" t="e">
        <x:f>HYPERLINK("https://cse.sc.edu/event/cse-research-symposium","Open source")</x:f>
        <x:v>HYPERLINK is not implemented. linkLocation=https://cse.sc.edu/event/cse-research-symposium, friendlyName=Open source</x:v>
      </x:c>
    </x:row>
    <x:row r="3052" ht="46" customHeight="1">
      <x:c r="A3052" s="17" t="str">
        <x:v>stage4src:5d79fede16e70dd5</x:v>
      </x:c>
      <x:c r="B3052" s="17" t="str">
        <x:v>professor</x:v>
      </x:c>
      <x:c r="C3052" s="17" t="str">
        <x:v>Florida International University</x:v>
      </x:c>
      <x:c r="D3052" s="17" t="str">
        <x:v>us:ipeds:133951:program:phd:doctor-of-philosophy-in-computer-science</x:v>
      </x:c>
      <x:c r="E3052" s="17" t="str">
        <x:v>us:ipeds:133951:faculty:amin-kharraz</x:v>
      </x:c>
      <x:c r="F3052" s="17" t="str">
        <x:v>current faculty|Computer Science PhD supervision authority</x:v>
      </x:c>
      <x:c r="G3052" s="17" t="str">
        <x:v>The current handbook lists Kharraz among School faculty; FIU's dissertation-advisor framework requires eligible Graduate Faculty authority.</x:v>
      </x:c>
      <x:c r="H3052" s="17" t="str">
        <x:v>Graduate Student Handbook 2026</x:v>
      </x:c>
      <x:c r="I3052" s="17" t="str">
        <x:v>Florida International University</x:v>
      </x:c>
      <x:c r="J3052" s="17" t="str">
        <x:v>official</x:v>
      </x:c>
      <x:c r="K3052" s="17" t="str">
        <x:v>2026-09-11</x:v>
      </x:c>
      <x:c r="L3052" s="17" t="str">
        <x:v>2026</x:v>
      </x:c>
      <x:c r="M3052" s="17" t="str">
        <x:v>high</x:v>
      </x:c>
      <x:c r="N3052" s="17" t="str">
        <x:v>verified</x:v>
      </x:c>
      <x:c r="O3052" s="17" t="str">
        <x:v>Official current handbook checked 2026-09-10.</x:v>
      </x:c>
      <x:c r="P3052" s="18" t="e">
        <x:f>HYPERLINK("https://www.cis.fiu.edu/wp-content/uploads/2026/03/Graduate-Student-Handbook_2026.pdf","Open source")</x:f>
        <x:v>HYPERLINK is not implemented. linkLocation=https://www.cis.fiu.edu/wp-content/uploads/2026/03/Graduate-Student-Handbook_2026.pdf, friendlyName=Open source</x:v>
      </x:c>
    </x:row>
    <x:row r="3053" ht="46" customHeight="1">
      <x:c r="A3053" s="17" t="str">
        <x:v>stage4src:5daf3dd40c7f001e</x:v>
      </x:c>
      <x:c r="B3053" s="17" t="str">
        <x:v>professor</x:v>
      </x:c>
      <x:c r="C3053" s="17" t="str">
        <x:v>University of Gothenburg</x:v>
      </x:c>
      <x:c r="D3053" s="17" t="str">
        <x:v>ror:01tm6cn81:program:thesis-or-research-master-s:software-engineering-and-management-master-s-programme</x:v>
      </x:c>
      <x:c r="E3053" s="17" t="str"/>
      <x:c r="F3053" s="17" t="str">
        <x:v>current faculty roster|candidate longlist</x:v>
      </x:c>
      <x:c r="G3053" s="17" t="str">
        <x:v>Current official department roster or research-area faculty listing used to identify the five-person Stage 4 candidate longlist.</x:v>
      </x:c>
      <x:c r="H3053" s="17" t="str">
        <x:v>University of Gothenburg current faculty roster</x:v>
      </x:c>
      <x:c r="I3053" s="17" t="str">
        <x:v>University of Gothenburg</x:v>
      </x:c>
      <x:c r="J3053" s="17" t="str">
        <x:v>official</x:v>
      </x:c>
      <x:c r="K3053" s="17" t="str">
        <x:v>2026-09-11</x:v>
      </x:c>
      <x:c r="L3053" s="17" t="str"/>
      <x:c r="M3053" s="17" t="str">
        <x:v>high</x:v>
      </x:c>
      <x:c r="N3053" s="17" t="str">
        <x:v>verified</x:v>
      </x:c>
      <x:c r="O3053" s="17" t="str">
        <x:v>Roster evidence establishes a current listing, not program-specific supervision authority or recruiting.</x:v>
      </x:c>
      <x:c r="P3053" s="18" t="e">
        <x:f>HYPERLINK("https://www.gu.se/en/about/find-organisation/department-of-computer-science-and-engineering-3","Open source")</x:f>
        <x:v>HYPERLINK is not implemented. linkLocation=https://www.gu.se/en/about/find-organisation/department-of-computer-science-and-engineering-3, friendlyName=Open source</x:v>
      </x:c>
    </x:row>
    <x:row r="3054" ht="46" customHeight="1">
      <x:c r="A3054" s="17" t="str">
        <x:v>stage4src:5dc3f9b8473fc9bc</x:v>
      </x:c>
      <x:c r="B3054" s="17" t="str">
        <x:v>professor</x:v>
      </x:c>
      <x:c r="C3054" s="17" t="str">
        <x:v>The University of Tennessee-Knoxville</x:v>
      </x:c>
      <x:c r="D3054" s="17" t="str">
        <x:v>us:ipeds:221759:program:phd:computer-science-phd</x:v>
      </x:c>
      <x:c r="E3054" s="17" t="str">
        <x:v>us:ipeds:221759:faculty:audris-mockus</x:v>
      </x:c>
      <x:c r="F3054" s="17" t="str">
        <x:v>recent work|research fit</x:v>
      </x:c>
      <x:c r="G3054" s="17" t="str">
        <x:v>The official university record documents Mockus's 2024 work on data filtering in open-source software analysis.</x:v>
      </x:c>
      <x:c r="H3054" s="17" t="str">
        <x:v>The Role of Data Filtering in Open Source Software Ranking and Selection</x:v>
      </x:c>
      <x:c r="I3054" s="17" t="str">
        <x:v>The University of Tennessee-Knoxville</x:v>
      </x:c>
      <x:c r="J3054" s="17" t="str">
        <x:v>official</x:v>
      </x:c>
      <x:c r="K3054" s="17" t="str">
        <x:v>2026-09-11</x:v>
      </x:c>
      <x:c r="L3054" s="17" t="str">
        <x:v>2024</x:v>
      </x:c>
      <x:c r="M3054" s="17" t="str">
        <x:v>high</x:v>
      </x:c>
      <x:c r="N3054" s="17" t="str">
        <x:v>verified</x:v>
      </x:c>
      <x:c r="O3054" s="17" t="str">
        <x:v>Official university publication record checked 2026-09-10.</x:v>
      </x:c>
      <x:c r="P3054" s="18" t="e">
        <x:f>HYPERLINK("https://voljournals.utk.edu/utk-comppubs/7/","Open source")</x:f>
        <x:v>HYPERLINK is not implemented. linkLocation=https://voljournals.utk.edu/utk-comppubs/7/, friendlyName=Open source</x:v>
      </x:c>
    </x:row>
    <x:row r="3055" ht="46" customHeight="1">
      <x:c r="A3055" s="17" t="str">
        <x:v>stage4src:5dcb83d21bd89e56</x:v>
      </x:c>
      <x:c r="B3055" s="17" t="str">
        <x:v>professor</x:v>
      </x:c>
      <x:c r="C3055" s="17" t="str">
        <x:v>McGill University</x:v>
      </x:c>
      <x:c r="D3055" s="17" t="str">
        <x:v>ca:dli:O19359011033:program:thesis-or-research-master-s:msc-in-computer-science-thesis</x:v>
      </x:c>
      <x:c r="E3055" s="17" t="str"/>
      <x:c r="F3055" s="17" t="str">
        <x:v>current faculty roster|candidate longlist</x:v>
      </x:c>
      <x:c r="G3055" s="17" t="str">
        <x:v>Current official department roster or research-area faculty listing used to identify the five-person Stage 4 candidate longlist.</x:v>
      </x:c>
      <x:c r="H3055" s="17" t="str">
        <x:v>McGill University current faculty roster</x:v>
      </x:c>
      <x:c r="I3055" s="17" t="str">
        <x:v>McGill University</x:v>
      </x:c>
      <x:c r="J3055" s="17" t="str">
        <x:v>official</x:v>
      </x:c>
      <x:c r="K3055" s="17" t="str">
        <x:v>2026-09-11</x:v>
      </x:c>
      <x:c r="L3055" s="17" t="str"/>
      <x:c r="M3055" s="17" t="str">
        <x:v>high</x:v>
      </x:c>
      <x:c r="N3055" s="17" t="str">
        <x:v>verified</x:v>
      </x:c>
      <x:c r="O3055" s="17" t="str">
        <x:v>Roster evidence establishes a current listing, not program-specific supervision authority or recruiting.</x:v>
      </x:c>
      <x:c r="P3055" s="18" t="e">
        <x:f>HYPERLINK("https://www.mcgill.ca/ece/people","Open source")</x:f>
        <x:v>HYPERLINK is not implemented. linkLocation=https://www.mcgill.ca/ece/people, friendlyName=Open source</x:v>
      </x:c>
    </x:row>
    <x:row r="3056" ht="46" customHeight="1">
      <x:c r="A3056" s="17" t="str">
        <x:v>stage4src:5ecb706d586a6f9e</x:v>
      </x:c>
      <x:c r="B3056" s="17" t="str">
        <x:v>professor</x:v>
      </x:c>
      <x:c r="C3056" s="17" t="str">
        <x:v>University of Missouri-Columbia</x:v>
      </x:c>
      <x:c r="D3056" s="17" t="str">
        <x:v>us:ipeds:178396:program:phd:phd-in-computer-science</x:v>
      </x:c>
      <x:c r="E3056" s="17" t="str">
        <x:v>us:ipeds:178396:faculty:rohit-chadha</x:v>
      </x:c>
      <x:c r="F3056" s="17" t="str">
        <x:v>supervision authority|doctoral advisor requirement</x:v>
      </x:c>
      <x:c r="G3056" s="17" t="str">
        <x:v>Missouri doctoral students select dissertation supervisors from doctoral faculty in the major department or area by mutual consent.</x:v>
      </x:c>
      <x:c r="H3056" s="17" t="str">
        <x:v>Choosing an Advisor</x:v>
      </x:c>
      <x:c r="I3056" s="17" t="str">
        <x:v>University of Missouri-Columbia</x:v>
      </x:c>
      <x:c r="J3056" s="17" t="str">
        <x:v>official</x:v>
      </x:c>
      <x:c r="K3056" s="17" t="str">
        <x:v>2026-09-11</x:v>
      </x:c>
      <x:c r="L3056" s="17" t="str">
        <x:v>2026</x:v>
      </x:c>
      <x:c r="M3056" s="17" t="str">
        <x:v>high</x:v>
      </x:c>
      <x:c r="N3056" s="17" t="str">
        <x:v>verified</x:v>
      </x:c>
      <x:c r="O3056" s="17" t="str">
        <x:v>Live policy checked 2026-09-11.</x:v>
      </x:c>
      <x:c r="P3056" s="18" t="e">
        <x:f>HYPERLINK("https://gradschool.missouri.edu/policy/choosing-an-advisor/","Open source")</x:f>
        <x:v>HYPERLINK is not implemented. linkLocation=https://gradschool.missouri.edu/policy/choosing-an-advisor/, friendlyName=Open source</x:v>
      </x:c>
    </x:row>
    <x:row r="3057" ht="46" customHeight="1">
      <x:c r="A3057" s="17" t="str">
        <x:v>stage4src:5f09d31bc670b7e9</x:v>
      </x:c>
      <x:c r="B3057" s="17" t="str">
        <x:v>professor</x:v>
      </x:c>
      <x:c r="C3057" s="17" t="str">
        <x:v>Virginia Commonwealth University</x:v>
      </x:c>
      <x:c r="D3057" s="17" t="str">
        <x:v>us:ipeds:234030:program:phd:doctor-of-philosophy-in-computer-science</x:v>
      </x:c>
      <x:c r="E3057" s="17" t="str">
        <x:v>us:ipeds:234030:faculty:irfan-ahmed</x:v>
      </x:c>
      <x:c r="F3057" s="17" t="str">
        <x:v>discovery publication signal|recent work</x:v>
      </x:c>
      <x:c r="G3057" s="17" t="str">
        <x:v>Publication metadata was examined for shortlist triage only; publication-time affiliation does not establish current appointment, supervision authority, or recruiting.</x:v>
      </x:c>
      <x:c r="H3057" s="17" t="str">
        <x:v>OpenAlex publication signal for Irfan Ahmed</x:v>
      </x:c>
      <x:c r="I3057" s="17" t="str">
        <x:v>OpenAlex / cited venue</x:v>
      </x:c>
      <x:c r="J3057" s="17" t="str">
        <x:v>secondary</x:v>
      </x:c>
      <x:c r="K3057" s="17" t="str">
        <x:v>2026-09-11</x:v>
      </x:c>
      <x:c r="L3057" s="17" t="str"/>
      <x:c r="M3057" s="17" t="str">
        <x:v>medium</x:v>
      </x:c>
      <x:c r="N3057" s="17" t="str">
        <x:v>discovery_only</x:v>
      </x:c>
      <x:c r="O3057" s="17" t="str">
        <x:v>Not used to award a professor score or faculty-depth point.</x:v>
      </x:c>
      <x:c r="P3057" s="18" t="e">
        <x:f>HYPERLINK("https://openalex.org/A5063509441","Open source")</x:f>
        <x:v>HYPERLINK is not implemented. linkLocation=https://openalex.org/A5063509441, friendlyName=Open source</x:v>
      </x:c>
    </x:row>
    <x:row r="3058" ht="46" customHeight="1">
      <x:c r="A3058" s="17" t="str">
        <x:v>stage4src:5f1ae3138a3ce3ab</x:v>
      </x:c>
      <x:c r="B3058" s="17" t="str">
        <x:v>professor</x:v>
      </x:c>
      <x:c r="C3058" s="17" t="str">
        <x:v>University of Utah</x:v>
      </x:c>
      <x:c r="D3058" s="17" t="str">
        <x:v>us:ipeds:230764:program:phd:computing-phd</x:v>
      </x:c>
      <x:c r="E3058" s="17" t="str">
        <x:v>us:ipeds:230764:faculty:john-regehr</x:v>
      </x:c>
      <x:c r="F3058" s="17" t="str">
        <x:v>current appointment|program supervision authority|research themes</x:v>
      </x:c>
      <x:c r="G3058" s="17" t="str">
        <x:v>Current Professor profile documents software verification, compiler testing, program synthesis, and current supervised research.</x:v>
      </x:c>
      <x:c r="H3058" s="17" t="str">
        <x:v>John Regehr</x:v>
      </x:c>
      <x:c r="I3058" s="17" t="str">
        <x:v>University of Utah</x:v>
      </x:c>
      <x:c r="J3058" s="17" t="str">
        <x:v>official</x:v>
      </x:c>
      <x:c r="K3058" s="17" t="str">
        <x:v>2026-09-11</x:v>
      </x:c>
      <x:c r="L3058" s="17" t="str">
        <x:v>2026</x:v>
      </x:c>
      <x:c r="M3058" s="17" t="str">
        <x:v>high</x:v>
      </x:c>
      <x:c r="N3058" s="17" t="str">
        <x:v>verified</x:v>
      </x:c>
      <x:c r="O3058" s="17" t="str">
        <x:v>Official university-hosted profile checked 2026-09-10.</x:v>
      </x:c>
      <x:c r="P3058" s="18" t="e">
        <x:f>HYPERLINK("https://users.cs.utah.edu/~regehr/","Open source")</x:f>
        <x:v>HYPERLINK is not implemented. linkLocation=https://users.cs.utah.edu/~regehr/, friendlyName=Open source</x:v>
      </x:c>
    </x:row>
    <x:row r="3059" ht="46" customHeight="1">
      <x:c r="A3059" s="17" t="str">
        <x:v>stage4src:5f1ff8b1d30321a8</x:v>
      </x:c>
      <x:c r="B3059" s="17" t="str">
        <x:v>professor</x:v>
      </x:c>
      <x:c r="C3059" s="17" t="str">
        <x:v>University of British Columbia</x:v>
      </x:c>
      <x:c r="D3059" s="17" t="str">
        <x:v>ca:dli:O19330231062:program:integrated-or-structured-doctorate:phd-track-via-msc</x:v>
      </x:c>
      <x:c r="E3059" s="17" t="str">
        <x:v>ca:dli:O19330231062:faculty:reid-holmes</x:v>
      </x:c>
      <x:c r="F3059" s="17" t="str">
        <x:v>recent work|research fit</x:v>
      </x:c>
      <x:c r="G3059" s="17" t="str">
        <x:v>Recent work supports the recorded TerraProbe/Evidex research overlap for Reid Holmes.</x:v>
      </x:c>
      <x:c r="H3059" s="17" t="str">
        <x:v>Recent scholarly work</x:v>
      </x:c>
      <x:c r="I3059" s="17" t="str">
        <x:v>OpenAlex / cited venue</x:v>
      </x:c>
      <x:c r="J3059" s="17" t="str">
        <x:v>secondary</x:v>
      </x:c>
      <x:c r="K3059" s="17" t="str">
        <x:v>2026-09-11</x:v>
      </x:c>
      <x:c r="L3059" s="17" t="str">
        <x:v>2024</x:v>
      </x:c>
      <x:c r="M3059" s="17" t="str">
        <x:v>high</x:v>
      </x:c>
      <x:c r="N3059" s="17" t="str">
        <x:v>verified</x:v>
      </x:c>
      <x:c r="O3059" s="17" t="str">
        <x:v>Carried from verified regional deep-review evidence.</x:v>
      </x:c>
      <x:c r="P3059" s="18" t="e">
        <x:f>HYPERLINK("https://www.cs.ubc.ca/~rtholmes/papers/jss_2024_russo.pdf","Open source")</x:f>
        <x:v>HYPERLINK is not implemented. linkLocation=https://www.cs.ubc.ca/~rtholmes/papers/jss_2024_russo.pdf, friendlyName=Open source</x:v>
      </x:c>
    </x:row>
    <x:row r="3060" ht="46" customHeight="1">
      <x:c r="A3060" s="17" t="str">
        <x:v>stage4src:600b1708f0c2dd61</x:v>
      </x:c>
      <x:c r="B3060" s="17" t="str">
        <x:v>professor</x:v>
      </x:c>
      <x:c r="C3060" s="17" t="str">
        <x:v>University of Virginia-Main Campus</x:v>
      </x:c>
      <x:c r="D3060" s="17" t="str">
        <x:v>us:ipeds:234076:program:phd:computer-science-phd</x:v>
      </x:c>
      <x:c r="E3060" s="17" t="str"/>
      <x:c r="F3060" s="17" t="str">
        <x:v>current faculty roster|candidate longlist</x:v>
      </x:c>
      <x:c r="G3060" s="17" t="str">
        <x:v>Current official department roster or research-area faculty listing used to identify the five-person Stage 4 candidate longlist.</x:v>
      </x:c>
      <x:c r="H3060" s="17" t="str">
        <x:v>University of Virginia-Main Campus current faculty roster</x:v>
      </x:c>
      <x:c r="I3060" s="17" t="str">
        <x:v>University of Virginia-Main Campus</x:v>
      </x:c>
      <x:c r="J3060" s="17" t="str">
        <x:v>official</x:v>
      </x:c>
      <x:c r="K3060" s="17" t="str">
        <x:v>2026-09-11</x:v>
      </x:c>
      <x:c r="L3060" s="17" t="str"/>
      <x:c r="M3060" s="17" t="str">
        <x:v>high</x:v>
      </x:c>
      <x:c r="N3060" s="17" t="str">
        <x:v>verified</x:v>
      </x:c>
      <x:c r="O3060" s="17" t="str">
        <x:v>Roster evidence establishes a current listing, not program-specific supervision authority or recruiting.</x:v>
      </x:c>
      <x:c r="P3060" s="18" t="e">
        <x:f>HYPERLINK("https://engineering.virginia.edu/department/computer-science/people","Open source")</x:f>
        <x:v>HYPERLINK is not implemented. linkLocation=https://engineering.virginia.edu/department/computer-science/people, friendlyName=Open source</x:v>
      </x:c>
    </x:row>
    <x:row r="3061" ht="46" customHeight="1">
      <x:c r="A3061" s="17" t="str">
        <x:v>stage4src:6053d1ae44bb5b7e</x:v>
      </x:c>
      <x:c r="B3061" s="17" t="str">
        <x:v>professor</x:v>
      </x:c>
      <x:c r="C3061" s="17" t="str">
        <x:v>University of Tulsa</x:v>
      </x:c>
      <x:c r="D3061" s="17" t="str">
        <x:v>us:ipeds:207971:program:phd:computer-science-ph-d</x:v>
      </x:c>
      <x:c r="E3061" s="17" t="str">
        <x:v>us:ipeds:207971:faculty:rose-gamble</x:v>
      </x:c>
      <x:c r="F3061" s="17" t="str">
        <x:v>Computer Science PhD supervision practice</x:v>
      </x:c>
      <x:c r="G3061" s="17" t="str">
        <x:v>The SEAT roster documents Gamble with multiple completed and current Computer Science PhD students.</x:v>
      </x:c>
      <x:c r="H3061" s="17" t="str">
        <x:v>Software Engineering and Architecture Team — People</x:v>
      </x:c>
      <x:c r="I3061" s="17" t="str">
        <x:v>University of Tulsa</x:v>
      </x:c>
      <x:c r="J3061" s="17" t="str">
        <x:v>official</x:v>
      </x:c>
      <x:c r="K3061" s="17" t="str">
        <x:v>2026-09-11</x:v>
      </x:c>
      <x:c r="L3061" s="17" t="str">
        <x:v>2026</x:v>
      </x:c>
      <x:c r="M3061" s="17" t="str">
        <x:v>high</x:v>
      </x:c>
      <x:c r="N3061" s="17" t="str">
        <x:v>verified</x:v>
      </x:c>
      <x:c r="O3061" s="17" t="str">
        <x:v>University-hosted lab page checked 2026-09-11; student presence is not recruiting evidence.</x:v>
      </x:c>
      <x:c r="P3061" s="18" t="e">
        <x:f>HYPERLINK("https://seat.utulsa.edu/people/","Open source")</x:f>
        <x:v>HYPERLINK is not implemented. linkLocation=https://seat.utulsa.edu/people/, friendlyName=Open source</x:v>
      </x:c>
    </x:row>
    <x:row r="3062" ht="46" customHeight="1">
      <x:c r="A3062" s="17" t="str">
        <x:v>stage4src:60a2204d4a328131</x:v>
      </x:c>
      <x:c r="B3062" s="17" t="str">
        <x:v>professor</x:v>
      </x:c>
      <x:c r="C3062" s="17" t="str">
        <x:v>Drexel University</x:v>
      </x:c>
      <x:c r="D3062" s="17" t="str">
        <x:v>us:ipeds:212054:program:phd:phd-in-computer-science</x:v>
      </x:c>
      <x:c r="E3062" s="17" t="str">
        <x:v>us:ipeds:212054:faculty:yuanfang-cai</x:v>
      </x:c>
      <x:c r="F3062" s="17" t="str">
        <x:v>current faculty roster|candidate longlist</x:v>
      </x:c>
      <x:c r="G3062" s="17" t="str">
        <x:v>The page lists Cai and the four encoded alternatives as current Computer Science faculty.</x:v>
      </x:c>
      <x:c r="H3062" s="17" t="str">
        <x:v>Computer Science Faculty</x:v>
      </x:c>
      <x:c r="I3062" s="17" t="str">
        <x:v>Drexel University</x:v>
      </x:c>
      <x:c r="J3062" s="17" t="str">
        <x:v>official</x:v>
      </x:c>
      <x:c r="K3062" s="17" t="str">
        <x:v>2026-09-11</x:v>
      </x:c>
      <x:c r="L3062" s="17" t="str">
        <x:v>2026</x:v>
      </x:c>
      <x:c r="M3062" s="17" t="str">
        <x:v>high</x:v>
      </x:c>
      <x:c r="N3062" s="17" t="str">
        <x:v>verified</x:v>
      </x:c>
      <x:c r="O3062" s="17" t="str">
        <x:v>Live official roster checked 2026-09-11.</x:v>
      </x:c>
      <x:c r="P3062" s="18" t="e">
        <x:f>HYPERLINK("https://drexel.edu/cci/academics/computer-science-department/faculty/","Open source")</x:f>
        <x:v>HYPERLINK is not implemented. linkLocation=https://drexel.edu/cci/academics/computer-science-department/faculty/, friendlyName=Open source</x:v>
      </x:c>
    </x:row>
    <x:row r="3063" ht="46" customHeight="1">
      <x:c r="A3063" s="17" t="str">
        <x:v>stage4src:60a8b3e39f065762</x:v>
      </x:c>
      <x:c r="B3063" s="17" t="str">
        <x:v>professor</x:v>
      </x:c>
      <x:c r="C3063" s="17" t="str">
        <x:v>University of New Hampshire-Main Campus</x:v>
      </x:c>
      <x:c r="D3063" s="17" t="str">
        <x:v>us:ipeds:183044:program:phd:computer-science-ph-d</x:v>
      </x:c>
      <x:c r="E3063" s="17" t="str"/>
      <x:c r="F3063" s="17" t="str">
        <x:v>current faculty roster|candidate longlist</x:v>
      </x:c>
      <x:c r="G3063" s="17" t="str">
        <x:v>Current official department roster or research-area faculty listing used to identify the five-person Stage 4 candidate longlist.</x:v>
      </x:c>
      <x:c r="H3063" s="17" t="str">
        <x:v>University of New Hampshire-Main Campus current faculty roster</x:v>
      </x:c>
      <x:c r="I3063" s="17" t="str">
        <x:v>University of New Hampshire-Main Campus</x:v>
      </x:c>
      <x:c r="J3063" s="17" t="str">
        <x:v>official</x:v>
      </x:c>
      <x:c r="K3063" s="17" t="str">
        <x:v>2026-09-11</x:v>
      </x:c>
      <x:c r="L3063" s="17" t="str"/>
      <x:c r="M3063" s="17" t="str">
        <x:v>high</x:v>
      </x:c>
      <x:c r="N3063" s="17" t="str">
        <x:v>verified</x:v>
      </x:c>
      <x:c r="O3063" s="17" t="str">
        <x:v>Roster evidence establishes a current listing, not program-specific supervision authority or recruiting.</x:v>
      </x:c>
      <x:c r="P3063" s="18" t="e">
        <x:f>HYPERLINK("https://ceps.unh.edu/computer-science/faculty-staff-directory","Open source")</x:f>
        <x:v>HYPERLINK is not implemented. linkLocation=https://ceps.unh.edu/computer-science/faculty-staff-directory, friendlyName=Open source</x:v>
      </x:c>
    </x:row>
    <x:row r="3064" ht="46" customHeight="1">
      <x:c r="A3064" s="17" t="str">
        <x:v>stage4src:61795fe33c26d09c</x:v>
      </x:c>
      <x:c r="B3064" s="17" t="str">
        <x:v>professor</x:v>
      </x:c>
      <x:c r="C3064" s="17" t="str">
        <x:v>University of Nebraska-Lincoln</x:v>
      </x:c>
      <x:c r="D3064" s="17" t="str">
        <x:v>us:ipeds:181464:program:phd:computer-science-phd</x:v>
      </x:c>
      <x:c r="E3064" s="17" t="str">
        <x:v>us:ipeds:181464:faculty:hamid-bagheri</x:v>
      </x:c>
      <x:c r="F3064" s="17" t="str">
        <x:v>current appointment|program supervision authority|research themes</x:v>
      </x:c>
      <x:c r="G3064" s="17" t="str">
        <x:v>Current appointment and research themes</x:v>
      </x:c>
      <x:c r="H3064" s="17" t="str">
        <x:v>Hamid Bagheri</x:v>
      </x:c>
      <x:c r="I3064" s="17" t="str">
        <x:v>University of Nebraska-Lincoln</x:v>
      </x:c>
      <x:c r="J3064" s="17" t="str">
        <x:v>official</x:v>
      </x:c>
      <x:c r="K3064" s="17" t="str">
        <x:v>2026-09-11</x:v>
      </x:c>
      <x:c r="L3064" s="17" t="str"/>
      <x:c r="M3064" s="17" t="str">
        <x:v>high</x:v>
      </x:c>
      <x:c r="N3064" s="17" t="str">
        <x:v>verified</x:v>
      </x:c>
      <x:c r="O3064" s="17" t="str"/>
      <x:c r="P3064" s="18" t="e">
        <x:f>HYPERLINK("https://cse.unl.edu/~hbagheri/","Open source")</x:f>
        <x:v>HYPERLINK is not implemented. linkLocation=https://cse.unl.edu/~hbagheri/, friendlyName=Open source</x:v>
      </x:c>
    </x:row>
    <x:row r="3065" ht="46" customHeight="1">
      <x:c r="A3065" s="17" t="str">
        <x:v>stage4src:61849b7cbd19372c</x:v>
      </x:c>
      <x:c r="B3065" s="17" t="str">
        <x:v>professor</x:v>
      </x:c>
      <x:c r="C3065" s="17" t="str">
        <x:v>University College London</x:v>
      </x:c>
      <x:c r="D3065" s="17" t="str">
        <x:v>ror:02jx3x895:program:integrated-or-structured-doctorate:computer-science-mphil-phd</x:v>
      </x:c>
      <x:c r="E3065" s="17" t="str">
        <x:v>ror:02jx3x895:faculty:earl-barr</x:v>
      </x:c>
      <x:c r="F3065" s="17" t="str">
        <x:v>current appointment|program supervision authority|research themes</x:v>
      </x:c>
      <x:c r="G3065" s="17" t="str">
        <x:v>Official institutional profile/group page used to verify current role and research themes</x:v>
      </x:c>
      <x:c r="H3065" s="17" t="str">
        <x:v>Earl Barr — official evidence</x:v>
      </x:c>
      <x:c r="I3065" s="17" t="str">
        <x:v>University College London</x:v>
      </x:c>
      <x:c r="J3065" s="17" t="str">
        <x:v>official</x:v>
      </x:c>
      <x:c r="K3065" s="17" t="str">
        <x:v>2026-09-11</x:v>
      </x:c>
      <x:c r="L3065" s="17" t="str"/>
      <x:c r="M3065" s="17" t="str">
        <x:v>high</x:v>
      </x:c>
      <x:c r="N3065" s="17" t="str">
        <x:v>verified</x:v>
      </x:c>
      <x:c r="O3065" s="17" t="str">
        <x:v>Search snippets were discovery only; final claim points to the official destination. Recheck cycle-specific facts when 2027 material opens.</x:v>
      </x:c>
      <x:c r="P3065" s="18" t="e">
        <x:f>HYPERLINK("https://www.ucl.ac.uk/engineering/computer-science/research/research-groups-and-centres/software-systems-engineering-group/people","Open source")</x:f>
        <x:v>HYPERLINK is not implemented. linkLocation=https://www.ucl.ac.uk/engineering/computer-science/research/research-groups-and-centres/software-systems-engineering-group/people, friendlyName=Open source</x:v>
      </x:c>
    </x:row>
    <x:row r="3066" ht="46" customHeight="1">
      <x:c r="A3066" s="17" t="str">
        <x:v>stage4src:618b5950fcf2a4f5</x:v>
      </x:c>
      <x:c r="B3066" s="17" t="str">
        <x:v>professor</x:v>
      </x:c>
      <x:c r="C3066" s="17" t="str">
        <x:v>University of Georgia</x:v>
      </x:c>
      <x:c r="D3066" s="17" t="str">
        <x:v>us:ipeds:139959:program:phd:doctor-of-philosophy-in-computer-science</x:v>
      </x:c>
      <x:c r="E3066" s="17" t="str">
        <x:v>us:ipeds:139959:faculty:le-guan</x:v>
      </x:c>
      <x:c r="F3066" s="17" t="str">
        <x:v>recent project|microcontroller lifecycle security|strong fit</x:v>
      </x:c>
      <x:c r="G3066" s="17" t="str">
        <x:v>UGA documents Guan's five-year project on improving lifecycle security of microcontroller devices.</x:v>
      </x:c>
      <x:c r="H3066" s="17" t="str">
        <x:v>Le Guan wins NSF CAREER Award</x:v>
      </x:c>
      <x:c r="I3066" s="17" t="str">
        <x:v>University of Georgia</x:v>
      </x:c>
      <x:c r="J3066" s="17" t="str">
        <x:v>official</x:v>
      </x:c>
      <x:c r="K3066" s="17" t="str">
        <x:v>2026-09-11</x:v>
      </x:c>
      <x:c r="L3066" s="17" t="str">
        <x:v>2023</x:v>
      </x:c>
      <x:c r="M3066" s="17" t="str">
        <x:v>high</x:v>
      </x:c>
      <x:c r="N3066" s="17" t="str">
        <x:v>verified</x:v>
      </x:c>
      <x:c r="O3066" s="17" t="str">
        <x:v>Official article checked 2026-09-11; an active award is not recruiting evidence.</x:v>
      </x:c>
      <x:c r="P3066" s="18" t="e">
        <x:f>HYPERLINK("https://www.cs.uga.edu/news/stories/2023/congratulations-dr-le-guan-winning-nsf-career-award","Open source")</x:f>
        <x:v>HYPERLINK is not implemented. linkLocation=https://www.cs.uga.edu/news/stories/2023/congratulations-dr-le-guan-winning-nsf-career-award, friendlyName=Open source</x:v>
      </x:c>
    </x:row>
    <x:row r="3067" ht="46" customHeight="1">
      <x:c r="A3067" s="17" t="str">
        <x:v>stage4src:61a3e62efe67bac6</x:v>
      </x:c>
      <x:c r="B3067" s="17" t="str">
        <x:v>professor</x:v>
      </x:c>
      <x:c r="C3067" s="17" t="str">
        <x:v>York University</x:v>
      </x:c>
      <x:c r="D3067" s="17" t="str">
        <x:v>ca:dli:O19361109242:program:thesis-or-research-master-s:computer-science-msc-thesis-option</x:v>
      </x:c>
      <x:c r="E3067" s="17" t="str">
        <x:v>ca:dli:O19361109242:faculty:zhen-ming-jack-jiang</x:v>
      </x:c>
      <x:c r="F3067" s="17" t="str">
        <x:v>current graduate faculty roster|MSc supervision authority</x:v>
      </x:c>
      <x:c r="G3067" s="17" t="str">
        <x:v>The current EECS graduate-faculty page establishes eligibility to supervise graduate research in the department.</x:v>
      </x:c>
      <x:c r="H3067" s="17" t="str">
        <x:v>EECS graduate faculty</x:v>
      </x:c>
      <x:c r="I3067" s="17" t="str">
        <x:v>York University</x:v>
      </x:c>
      <x:c r="J3067" s="17" t="str">
        <x:v>official</x:v>
      </x:c>
      <x:c r="K3067" s="17" t="str">
        <x:v>2026-09-11</x:v>
      </x:c>
      <x:c r="L3067" s="17" t="str">
        <x:v>2026</x:v>
      </x:c>
      <x:c r="M3067" s="17" t="str">
        <x:v>high</x:v>
      </x:c>
      <x:c r="N3067" s="17" t="str">
        <x:v>verified</x:v>
      </x:c>
      <x:c r="O3067" s="17" t="str">
        <x:v>Current official graduate-faculty roster checked 2026-09-10.</x:v>
      </x:c>
      <x:c r="P3067" s="18" t="e">
        <x:f>HYPERLINK("https://lassonde.yorku.ca/eecs/academics/graduate/graduate-faculty/","Open source")</x:f>
        <x:v>HYPERLINK is not implemented. linkLocation=https://lassonde.yorku.ca/eecs/academics/graduate/graduate-faculty/, friendlyName=Open source</x:v>
      </x:c>
    </x:row>
    <x:row r="3068" ht="46" customHeight="1">
      <x:c r="A3068" s="17" t="str">
        <x:v>stage4src:61a91431fa55150b</x:v>
      </x:c>
      <x:c r="B3068" s="17" t="str">
        <x:v>professor</x:v>
      </x:c>
      <x:c r="C3068" s="17" t="str">
        <x:v>University of Gothenburg</x:v>
      </x:c>
      <x:c r="D3068" s="17" t="str">
        <x:v>ror:01tm6cn81:program:thesis-or-research-master-s:software-engineering-and-management-master-s-programme</x:v>
      </x:c>
      <x:c r="E3068" s="17" t="str">
        <x:v>ror:01tm6cn81:faculty:miroslaw-staron</x:v>
      </x:c>
      <x:c r="F3068" s="17" t="str">
        <x:v>exact program|thesis structure|prospective instructions</x:v>
      </x:c>
      <x:c r="G3068" s="17" t="str">
        <x:v>The current Autumn 2027 program includes advanced empirical software-engineering work and a master's thesis without a prior-supervisor admissions requirement.</x:v>
      </x:c>
      <x:c r="H3068" s="17" t="str">
        <x:v>Software Engineering and Management Master's Programme</x:v>
      </x:c>
      <x:c r="I3068" s="17" t="str">
        <x:v>University of Gothenburg</x:v>
      </x:c>
      <x:c r="J3068" s="17" t="str">
        <x:v>official</x:v>
      </x:c>
      <x:c r="K3068" s="17" t="str">
        <x:v>2026-09-11</x:v>
      </x:c>
      <x:c r="L3068" s="17" t="str">
        <x:v>2027</x:v>
      </x:c>
      <x:c r="M3068" s="17" t="str">
        <x:v>high</x:v>
      </x:c>
      <x:c r="N3068" s="17" t="str">
        <x:v>verified</x:v>
      </x:c>
      <x:c r="O3068" s="17" t="str">
        <x:v>Explicit Autumn 2027 official program page checked 2026-09-10.</x:v>
      </x:c>
      <x:c r="P3068" s="18" t="e">
        <x:f>HYPERLINK("https://www.gu.se/en/study-gothenburg/software-engineering-and-management-masters-programme-n2sof","Open source")</x:f>
        <x:v>HYPERLINK is not implemented. linkLocation=https://www.gu.se/en/study-gothenburg/software-engineering-and-management-masters-programme-n2sof, friendlyName=Open source</x:v>
      </x:c>
    </x:row>
    <x:row r="3069" ht="46" customHeight="1">
      <x:c r="A3069" s="17" t="str">
        <x:v>stage4src:61cd5695b27b89fa</x:v>
      </x:c>
      <x:c r="B3069" s="17" t="str">
        <x:v>professor</x:v>
      </x:c>
      <x:c r="C3069" s="17" t="str">
        <x:v>University of Alabama in Huntsville</x:v>
      </x:c>
      <x:c r="D3069" s="17" t="str">
        <x:v>us:ipeds:100706:program:phd:computer-science-ph-d</x:v>
      </x:c>
      <x:c r="E3069" s="17" t="str"/>
      <x:c r="F3069" s="17" t="str">
        <x:v>current faculty roster|candidate longlist</x:v>
      </x:c>
      <x:c r="G3069" s="17" t="str">
        <x:v>Current official department roster or research-area faculty listing used to identify the five-person Stage 4 candidate longlist.</x:v>
      </x:c>
      <x:c r="H3069" s="17" t="str">
        <x:v>University of Alabama in Huntsville current faculty roster</x:v>
      </x:c>
      <x:c r="I3069" s="17" t="str">
        <x:v>University of Alabama in Huntsville</x:v>
      </x:c>
      <x:c r="J3069" s="17" t="str">
        <x:v>official</x:v>
      </x:c>
      <x:c r="K3069" s="17" t="str">
        <x:v>2026-09-11</x:v>
      </x:c>
      <x:c r="L3069" s="17" t="str"/>
      <x:c r="M3069" s="17" t="str">
        <x:v>high</x:v>
      </x:c>
      <x:c r="N3069" s="17" t="str">
        <x:v>verified</x:v>
      </x:c>
      <x:c r="O3069" s="17" t="str">
        <x:v>Roster evidence establishes a current listing, not program-specific supervision authority or recruiting.</x:v>
      </x:c>
      <x:c r="P3069" s="18" t="e">
        <x:f>HYPERLINK("https://www.uah.edu/science/departments/computer-science/faculty-staff","Open source")</x:f>
        <x:v>HYPERLINK is not implemented. linkLocation=https://www.uah.edu/science/departments/computer-science/faculty-staff, friendlyName=Open source</x:v>
      </x:c>
    </x:row>
    <x:row r="3070" ht="46" customHeight="1">
      <x:c r="A3070" s="17" t="str">
        <x:v>stage4src:62981176bde0e751</x:v>
      </x:c>
      <x:c r="B3070" s="17" t="str">
        <x:v>professor</x:v>
      </x:c>
      <x:c r="C3070" s="17" t="str">
        <x:v>University of Central Florida</x:v>
      </x:c>
      <x:c r="D3070" s="17" t="str">
        <x:v>us:ipeds:132903:program:phd:computer-science-phd</x:v>
      </x:c>
      <x:c r="E3070" s="17" t="str">
        <x:v>us:ipeds:132903:faculty:kevin-moran</x:v>
      </x:c>
      <x:c r="F3070" s="17" t="str">
        <x:v>current Computer Science doctoral supervision authority</x:v>
      </x:c>
      <x:c r="G3070" s="17" t="str">
        <x:v>The official 2026 commencement record identifies Kevin Moran as major advisor to a Computer Science doctoral graduate.</x:v>
      </x:c>
      <x:c r="H3070" s="17" t="str">
        <x:v>UCF Spring 2026 commencement program</x:v>
      </x:c>
      <x:c r="I3070" s="17" t="str">
        <x:v>University of Central Florida</x:v>
      </x:c>
      <x:c r="J3070" s="17" t="str">
        <x:v>official</x:v>
      </x:c>
      <x:c r="K3070" s="17" t="str">
        <x:v>2026-09-11</x:v>
      </x:c>
      <x:c r="L3070" s="17" t="str">
        <x:v>2026</x:v>
      </x:c>
      <x:c r="M3070" s="17" t="str">
        <x:v>high</x:v>
      </x:c>
      <x:c r="N3070" s="17" t="str">
        <x:v>verified</x:v>
      </x:c>
      <x:c r="O3070" s="17" t="str">
        <x:v>Official university doctoral record checked 2026-09-10.</x:v>
      </x:c>
      <x:c r="P3070" s="18" t="e">
        <x:f>HYPERLINK("https://www.ucf.edu/graduation/document/spring-commencement-program/","Open source")</x:f>
        <x:v>HYPERLINK is not implemented. linkLocation=https://www.ucf.edu/graduation/document/spring-commencement-program/, friendlyName=Open source</x:v>
      </x:c>
    </x:row>
    <x:row r="3071" ht="46" customHeight="1">
      <x:c r="A3071" s="17" t="str">
        <x:v>stage4src:62ae4a12eef2b629</x:v>
      </x:c>
      <x:c r="B3071" s="17" t="str">
        <x:v>professor</x:v>
      </x:c>
      <x:c r="C3071" s="17" t="str">
        <x:v>University of Virginia-Main Campus</x:v>
      </x:c>
      <x:c r="D3071" s="17" t="str">
        <x:v>us:ipeds:234076:program:phd:computer-science-phd</x:v>
      </x:c>
      <x:c r="E3071" s="17" t="str">
        <x:v>us:ipeds:234076:faculty:homa-alemzadeh</x:v>
      </x:c>
      <x:c r="F3071" s="17" t="str">
        <x:v>recent work|research fit</x:v>
      </x:c>
      <x:c r="G3071" s="17" t="str">
        <x:v>The 2024 official article documents an active resilience project addressing software errors and safety-critical failures.</x:v>
      </x:c>
      <x:c r="H3071" s="17" t="str">
        <x:v>Autonomous Vehicles Can Be Imperfect — As Long as They're Resilient</x:v>
      </x:c>
      <x:c r="I3071" s="17" t="str">
        <x:v>University of Virginia-Main Campus</x:v>
      </x:c>
      <x:c r="J3071" s="17" t="str">
        <x:v>official</x:v>
      </x:c>
      <x:c r="K3071" s="17" t="str">
        <x:v>2026-09-11</x:v>
      </x:c>
      <x:c r="L3071" s="17" t="str">
        <x:v>2024</x:v>
      </x:c>
      <x:c r="M3071" s="17" t="str">
        <x:v>high</x:v>
      </x:c>
      <x:c r="N3071" s="17" t="str">
        <x:v>verified</x:v>
      </x:c>
      <x:c r="O3071" s="17" t="str">
        <x:v>Official research article checked 2026-09-10.</x:v>
      </x:c>
      <x:c r="P3071" s="18" t="e">
        <x:f>HYPERLINK("https://engineering.virginia.edu/news-events/news/autonomous-vehicles-can-be-imperfect-long-theyre-resilient","Open source")</x:f>
        <x:v>HYPERLINK is not implemented. linkLocation=https://engineering.virginia.edu/news-events/news/autonomous-vehicles-can-be-imperfect-long-theyre-resilient, friendlyName=Open source</x:v>
      </x:c>
    </x:row>
    <x:row r="3072" ht="46" customHeight="1">
      <x:c r="A3072" s="17" t="str">
        <x:v>stage4src:63186ab9ceb0e190</x:v>
      </x:c>
      <x:c r="B3072" s="17" t="str">
        <x:v>professor</x:v>
      </x:c>
      <x:c r="C3072" s="17" t="str">
        <x:v>University of Notre Dame</x:v>
      </x:c>
      <x:c r="D3072" s="17" t="str">
        <x:v>us:ipeds:152080:program:phd:computer-science-and-engineering-phd</x:v>
      </x:c>
      <x:c r="E3072" s="17" t="str">
        <x:v>us:ipeds:152080:faculty:joanna-cecilia-da-silva-santos</x:v>
      </x:c>
      <x:c r="F3072" s="17" t="str">
        <x:v>current appointment|program supervision authority|research themes</x:v>
      </x:c>
      <x:c r="G3072" s="17" t="str">
        <x:v>Current appointment, email, and research areas</x:v>
      </x:c>
      <x:c r="H3072" s="17" t="str">
        <x:v>Joanna Cecilia da Silva Santos</x:v>
      </x:c>
      <x:c r="I3072" s="17" t="str">
        <x:v>University of Notre Dame</x:v>
      </x:c>
      <x:c r="J3072" s="17" t="str">
        <x:v>official</x:v>
      </x:c>
      <x:c r="K3072" s="17" t="str">
        <x:v>2026-09-11</x:v>
      </x:c>
      <x:c r="L3072" s="17" t="str"/>
      <x:c r="M3072" s="17" t="str">
        <x:v>high</x:v>
      </x:c>
      <x:c r="N3072" s="17" t="str">
        <x:v>verified</x:v>
      </x:c>
      <x:c r="O3072" s="17" t="str"/>
      <x:c r="P3072" s="18" t="e">
        <x:f>HYPERLINK("https://cse.nd.edu/faculty/joanna-cecilia-da-silva-santos/","Open source")</x:f>
        <x:v>HYPERLINK is not implemented. linkLocation=https://cse.nd.edu/faculty/joanna-cecilia-da-silva-santos/, friendlyName=Open source</x:v>
      </x:c>
    </x:row>
    <x:row r="3073" ht="46" customHeight="1">
      <x:c r="A3073" s="17" t="str">
        <x:v>stage4src:6333d093d11a944e</x:v>
      </x:c>
      <x:c r="B3073" s="17" t="str">
        <x:v>professor</x:v>
      </x:c>
      <x:c r="C3073" s="17" t="str">
        <x:v>University of New Hampshire-Main Campus</x:v>
      </x:c>
      <x:c r="D3073" s="17" t="str">
        <x:v>us:ipeds:183044:program:phd:computer-science-ph-d</x:v>
      </x:c>
      <x:c r="E3073" s="17" t="str">
        <x:v>us:ipeds:183044:faculty:laura-dietz</x:v>
      </x:c>
      <x:c r="F3073" s="17" t="str">
        <x:v>discovery publication signal|recent work</x:v>
      </x:c>
      <x:c r="G3073" s="17" t="str">
        <x:v>Publication metadata was examined for shortlist triage only; publication-time affiliation does not establish current appointment, supervision authority, or recruiting.</x:v>
      </x:c>
      <x:c r="H3073" s="17" t="str">
        <x:v>OpenAlex publication signal for Laura Dietz</x:v>
      </x:c>
      <x:c r="I3073" s="17" t="str">
        <x:v>OpenAlex / cited venue</x:v>
      </x:c>
      <x:c r="J3073" s="17" t="str">
        <x:v>secondary</x:v>
      </x:c>
      <x:c r="K3073" s="17" t="str">
        <x:v>2026-09-11</x:v>
      </x:c>
      <x:c r="L3073" s="17" t="str"/>
      <x:c r="M3073" s="17" t="str">
        <x:v>medium</x:v>
      </x:c>
      <x:c r="N3073" s="17" t="str">
        <x:v>discovery_only</x:v>
      </x:c>
      <x:c r="O3073" s="17" t="str">
        <x:v>Not used to award a professor score or faculty-depth point.</x:v>
      </x:c>
      <x:c r="P3073" s="18" t="e">
        <x:f>HYPERLINK("https://openalex.org/A5027260515","Open source")</x:f>
        <x:v>HYPERLINK is not implemented. linkLocation=https://openalex.org/A5027260515, friendlyName=Open source</x:v>
      </x:c>
    </x:row>
    <x:row r="3074" ht="46" customHeight="1">
      <x:c r="A3074" s="17" t="str">
        <x:v>stage4src:63447270703457e8</x:v>
      </x:c>
      <x:c r="B3074" s="17" t="str">
        <x:v>professor</x:v>
      </x:c>
      <x:c r="C3074" s="17" t="str">
        <x:v>Clarkson University</x:v>
      </x:c>
      <x:c r="D3074" s="17" t="str">
        <x:v>us:ipeds:190044:program:phd:phd-in-computer-science</x:v>
      </x:c>
      <x:c r="E3074" s="17" t="str">
        <x:v>us:ipeds:190044:faculty:faraz-hussain</x:v>
      </x:c>
      <x:c r="F3074" s="17" t="str">
        <x:v>active research direction|doctoral advising|recruiting evidence|prospective instructions</x:v>
      </x:c>
      <x:c r="G3074" s="17" t="str">
        <x:v>SERL lists Hussain as faculty, records a CS PhD student co-advised by Hussain, identifies formal methods, software engineering, cybersecurity and applied ML as current topics, and invites prospective graduate students to contact faculty.</x:v>
      </x:c>
      <x:c r="H3074" s="17" t="str">
        <x:v>Software Engineering Research Laboratory</x:v>
      </x:c>
      <x:c r="I3074" s="17" t="str">
        <x:v>Clarkson University</x:v>
      </x:c>
      <x:c r="J3074" s="17" t="str">
        <x:v>official</x:v>
      </x:c>
      <x:c r="K3074" s="17" t="str">
        <x:v>2026-09-11</x:v>
      </x:c>
      <x:c r="L3074" s="17" t="str">
        <x:v>2026</x:v>
      </x:c>
      <x:c r="M3074" s="17" t="str">
        <x:v>high</x:v>
      </x:c>
      <x:c r="N3074" s="17" t="str">
        <x:v>verified</x:v>
      </x:c>
      <x:c r="O3074" s="17" t="str">
        <x:v>Live primary lab page checked 2026-09-11; exact Fall 2027 capacity remains unverified.</x:v>
      </x:c>
      <x:c r="P3074" s="18" t="e">
        <x:f>HYPERLINK("https://cu-softe.github.io/","Open source")</x:f>
        <x:v>HYPERLINK is not implemented. linkLocation=https://cu-softe.github.io/, friendlyName=Open source</x:v>
      </x:c>
    </x:row>
    <x:row r="3075" ht="46" customHeight="1">
      <x:c r="A3075" s="17" t="str">
        <x:v>stage4src:63513a0dbfdc88c5</x:v>
      </x:c>
      <x:c r="B3075" s="17" t="str">
        <x:v>professor</x:v>
      </x:c>
      <x:c r="C3075" s="17" t="str">
        <x:v>University of Massachusetts-Lowell</x:v>
      </x:c>
      <x:c r="D3075" s="17" t="str">
        <x:v>us:ipeds:166513:program:phd:doctor-of-philosophy-ph-d-in-computer-science</x:v>
      </x:c>
      <x:c r="E3075" s="17" t="str">
        <x:v>us:ipeds:166513:faculty:matteo-cimini</x:v>
      </x:c>
      <x:c r="F3075" s="17" t="str">
        <x:v>recent work|research fit</x:v>
      </x:c>
      <x:c r="G3075" s="17" t="str">
        <x:v>The publication list records 2025-2026 work on typestate, program logics, type soundness, and debugging language-parameterized proofs.</x:v>
      </x:c>
      <x:c r="H3075" s="17" t="str">
        <x:v>Matteo Cimini — Publications</x:v>
      </x:c>
      <x:c r="I3075" s="17" t="str">
        <x:v>University of Massachusetts-Lowell</x:v>
      </x:c>
      <x:c r="J3075" s="17" t="str">
        <x:v>official</x:v>
      </x:c>
      <x:c r="K3075" s="17" t="str">
        <x:v>2026-09-11</x:v>
      </x:c>
      <x:c r="L3075" s="17" t="str">
        <x:v>2026</x:v>
      </x:c>
      <x:c r="M3075" s="17" t="str">
        <x:v>high</x:v>
      </x:c>
      <x:c r="N3075" s="17" t="str">
        <x:v>verified</x:v>
      </x:c>
      <x:c r="O3075" s="17" t="str">
        <x:v>Live university-hosted publication list checked 2026-09-11.</x:v>
      </x:c>
      <x:c r="P3075" s="18" t="e">
        <x:f>HYPERLINK("https://www.cs.uml.edu/~mcimini/publications/publications.html","Open source")</x:f>
        <x:v>HYPERLINK is not implemented. linkLocation=https://www.cs.uml.edu/~mcimini/publications/publications.html, friendlyName=Open source</x:v>
      </x:c>
    </x:row>
    <x:row r="3076" ht="46" customHeight="1">
      <x:c r="A3076" s="17" t="str">
        <x:v>stage4src:638a4b91457b5279</x:v>
      </x:c>
      <x:c r="B3076" s="17" t="str">
        <x:v>professor</x:v>
      </x:c>
      <x:c r="C3076" s="17" t="str">
        <x:v>University of Pittsburgh-Pittsburgh Campus</x:v>
      </x:c>
      <x:c r="D3076" s="17" t="str">
        <x:v>us:ipeds:215293:program:phd:phd-in-computer-science</x:v>
      </x:c>
      <x:c r="E3076" s="17" t="str">
        <x:v>us:ipeds:215293:faculty:adam-j-lee</x:v>
      </x:c>
      <x:c r="F3076" s="17" t="str">
        <x:v>recent work|usable privacy|strong fit</x:v>
      </x:c>
      <x:c r="G3076" s="17" t="str">
        <x:v>The 2022 article supports empirical privacy-control and trustworthy connected-device overlap.</x:v>
      </x:c>
      <x:c r="H3076" s="17" t="str">
        <x:v>Tangible Privacy for Smart Voice Assistants</x:v>
      </x:c>
      <x:c r="I3076" s="17" t="str">
        <x:v>OpenAlex / cited venue</x:v>
      </x:c>
      <x:c r="J3076" s="17" t="str">
        <x:v>secondary</x:v>
      </x:c>
      <x:c r="K3076" s="17" t="str">
        <x:v>2026-09-11</x:v>
      </x:c>
      <x:c r="L3076" s="17" t="str">
        <x:v>2022</x:v>
      </x:c>
      <x:c r="M3076" s="17" t="str">
        <x:v>high</x:v>
      </x:c>
      <x:c r="N3076" s="17" t="str">
        <x:v>verified</x:v>
      </x:c>
      <x:c r="O3076" s="17" t="str">
        <x:v>DOI and public manuscript metadata checked 2026-09-11.</x:v>
      </x:c>
      <x:c r="P3076" s="18" t="e">
        <x:f>HYPERLINK("https://doi.org/10.1145/3555089","Open source")</x:f>
        <x:v>HYPERLINK is not implemented. linkLocation=https://doi.org/10.1145/3555089, friendlyName=Open source</x:v>
      </x:c>
    </x:row>
    <x:row r="3077" ht="46" customHeight="1">
      <x:c r="A3077" s="17" t="str">
        <x:v>stage4src:63fb608323f0eb7b</x:v>
      </x:c>
      <x:c r="B3077" s="17" t="str">
        <x:v>professor</x:v>
      </x:c>
      <x:c r="C3077" s="17" t="str">
        <x:v>Temple University</x:v>
      </x:c>
      <x:c r="D3077" s="17" t="str">
        <x:v>us:ipeds:216339:program:phd:computer-and-information-science-phd</x:v>
      </x:c>
      <x:c r="E3077" s="17" t="str"/>
      <x:c r="F3077" s="17" t="str">
        <x:v>current faculty roster|candidate longlist</x:v>
      </x:c>
      <x:c r="G3077" s="17" t="str">
        <x:v>Current official department roster or research-area faculty listing used to identify the five-person Stage 4 candidate longlist.</x:v>
      </x:c>
      <x:c r="H3077" s="17" t="str">
        <x:v>Temple University current faculty roster</x:v>
      </x:c>
      <x:c r="I3077" s="17" t="str">
        <x:v>Temple University</x:v>
      </x:c>
      <x:c r="J3077" s="17" t="str">
        <x:v>official</x:v>
      </x:c>
      <x:c r="K3077" s="17" t="str">
        <x:v>2026-09-11</x:v>
      </x:c>
      <x:c r="L3077" s="17" t="str"/>
      <x:c r="M3077" s="17" t="str">
        <x:v>high</x:v>
      </x:c>
      <x:c r="N3077" s="17" t="str">
        <x:v>verified</x:v>
      </x:c>
      <x:c r="O3077" s="17" t="str">
        <x:v>Roster evidence establishes a current listing, not program-specific supervision authority or recruiting.</x:v>
      </x:c>
      <x:c r="P3077" s="18" t="e">
        <x:f>HYPERLINK("https://cis.temple.edu/people/faculty/?s=cs","Open source")</x:f>
        <x:v>HYPERLINK is not implemented. linkLocation=https://cis.temple.edu/people/faculty/?s=cs, friendlyName=Open source</x:v>
      </x:c>
    </x:row>
    <x:row r="3078" ht="46" customHeight="1">
      <x:c r="A3078" s="17" t="str">
        <x:v>stage4src:645965580c6d5902</x:v>
      </x:c>
      <x:c r="B3078" s="17" t="str">
        <x:v>professor</x:v>
      </x:c>
      <x:c r="C3078" s="17" t="str">
        <x:v>University of Maryland-College Park</x:v>
      </x:c>
      <x:c r="D3078" s="17" t="str">
        <x:v>us:ipeds:163286:program:phd:computer-science-phd</x:v>
      </x:c>
      <x:c r="E3078" s="17" t="str">
        <x:v>us:ipeds:163286:faculty:david-van-horn</x:v>
      </x:c>
      <x:c r="F3078" s="17" t="str">
        <x:v>current appointment|program supervision authority|research themes</x:v>
      </x:c>
      <x:c r="G3078" s="17" t="str">
        <x:v>Current appointment, research themes, and 2024–25 work</x:v>
      </x:c>
      <x:c r="H3078" s="17" t="str">
        <x:v>David Van Horn</x:v>
      </x:c>
      <x:c r="I3078" s="17" t="str">
        <x:v>University of Maryland-College Park</x:v>
      </x:c>
      <x:c r="J3078" s="17" t="str">
        <x:v>official</x:v>
      </x:c>
      <x:c r="K3078" s="17" t="str">
        <x:v>2026-09-11</x:v>
      </x:c>
      <x:c r="L3078" s="17" t="str">
        <x:v>2025</x:v>
      </x:c>
      <x:c r="M3078" s="17" t="str">
        <x:v>high</x:v>
      </x:c>
      <x:c r="N3078" s="17" t="str">
        <x:v>verified</x:v>
      </x:c>
      <x:c r="O3078" s="17" t="str"/>
      <x:c r="P3078" s="18" t="e">
        <x:f>HYPERLINK("https://www.cs.umd.edu/~dvanhorn/","Open source")</x:f>
        <x:v>HYPERLINK is not implemented. linkLocation=https://www.cs.umd.edu/~dvanhorn/, friendlyName=Open source</x:v>
      </x:c>
    </x:row>
    <x:row r="3079" ht="46" customHeight="1">
      <x:c r="A3079" s="17" t="str">
        <x:v>stage4src:64c4b62e0e4b7e8a</x:v>
      </x:c>
      <x:c r="B3079" s="17" t="str">
        <x:v>professor</x:v>
      </x:c>
      <x:c r="C3079" s="17" t="str">
        <x:v>The University of Texas at El Paso</x:v>
      </x:c>
      <x:c r="D3079" s="17" t="str">
        <x:v>us:ipeds:228796:program:phd:doctor-of-philosophy-in-computer-science</x:v>
      </x:c>
      <x:c r="E3079" s="17" t="str">
        <x:v>us:ipeds:228796:faculty:yoonsik-cheon</x:v>
      </x:c>
      <x:c r="F3079" s="17" t="str">
        <x:v>active research direction|research fit</x:v>
      </x:c>
      <x:c r="G3079" s="17" t="str">
        <x:v>SSVL documents an active program in formal specification, verification, JML, and automated testing led by Cheon.</x:v>
      </x:c>
      <x:c r="H3079" s="17" t="str">
        <x:v>Software Specification and Verification Laboratory</x:v>
      </x:c>
      <x:c r="I3079" s="17" t="str">
        <x:v>The University of Texas at El Paso</x:v>
      </x:c>
      <x:c r="J3079" s="17" t="str">
        <x:v>official</x:v>
      </x:c>
      <x:c r="K3079" s="17" t="str">
        <x:v>2026-09-11</x:v>
      </x:c>
      <x:c r="L3079" s="17" t="str">
        <x:v>2026</x:v>
      </x:c>
      <x:c r="M3079" s="17" t="str">
        <x:v>high</x:v>
      </x:c>
      <x:c r="N3079" s="17" t="str">
        <x:v>verified</x:v>
      </x:c>
      <x:c r="O3079" s="17" t="str">
        <x:v>Current lab page checked 2026-09-11; lab activity is not recruiting evidence.</x:v>
      </x:c>
      <x:c r="P3079" s="18" t="e">
        <x:f>HYPERLINK("https://www.cs.utep.edu/cheon/ssvl/","Open source")</x:f>
        <x:v>HYPERLINK is not implemented. linkLocation=https://www.cs.utep.edu/cheon/ssvl/, friendlyName=Open source</x:v>
      </x:c>
    </x:row>
    <x:row r="3080" ht="46" customHeight="1">
      <x:c r="A3080" s="17" t="str">
        <x:v>stage4src:653c18119023024d</x:v>
      </x:c>
      <x:c r="B3080" s="17" t="str">
        <x:v>professor</x:v>
      </x:c>
      <x:c r="C3080" s="17" t="str">
        <x:v>University of Trento</x:v>
      </x:c>
      <x:c r="D3080" s="17" t="str">
        <x:v>ror:05trd4x28:program:thesis-or-research-master-s:master-s-degree-in-computer-science</x:v>
      </x:c>
      <x:c r="E3080" s="17" t="str">
        <x:v>ror:05trd4x28:faculty:sandro-luigi-fiore</x:v>
      </x:c>
      <x:c r="F3080" s="17" t="str">
        <x:v>recent work|research fit</x:v>
      </x:c>
      <x:c r="G3080" s="17" t="str">
        <x:v>The 2026 paper supports the recorded provenance, reproducibility, and scientific-workflow fit.</x:v>
      </x:c>
      <x:c r="H3080" s="17" t="str">
        <x:v>Graph Data Model-based Micro-Provenance for Reproducible Scientific Workflows</x:v>
      </x:c>
      <x:c r="I3080" s="17" t="str">
        <x:v>University of Trento</x:v>
      </x:c>
      <x:c r="J3080" s="17" t="str">
        <x:v>official</x:v>
      </x:c>
      <x:c r="K3080" s="17" t="str">
        <x:v>2026-09-11</x:v>
      </x:c>
      <x:c r="L3080" s="17" t="str">
        <x:v>2026</x:v>
      </x:c>
      <x:c r="M3080" s="17" t="str">
        <x:v>high</x:v>
      </x:c>
      <x:c r="N3080" s="17" t="str">
        <x:v>verified</x:v>
      </x:c>
      <x:c r="O3080" s="17" t="str">
        <x:v>Official repository paper checked 2026-09-10.</x:v>
      </x:c>
      <x:c r="P3080" s="18" t="e">
        <x:f>HYPERLINK("https://iris.unitn.it/retrieve/f2cb6374-03ab-47e4-ad3e-eba5fed393d0/Provenance_Fiore_FINAL_v2.1.pdf","Open source")</x:f>
        <x:v>HYPERLINK is not implemented. linkLocation=https://iris.unitn.it/retrieve/f2cb6374-03ab-47e4-ad3e-eba5fed393d0/Provenance_Fiore_FINAL_v2.1.pdf, friendlyName=Open source</x:v>
      </x:c>
    </x:row>
    <x:row r="3081" ht="46" customHeight="1">
      <x:c r="A3081" s="17" t="str">
        <x:v>stage4src:6558dc0ec9d95459</x:v>
      </x:c>
      <x:c r="B3081" s="17" t="str">
        <x:v>professor</x:v>
      </x:c>
      <x:c r="C3081" s="17" t="str">
        <x:v>Portland State University</x:v>
      </x:c>
      <x:c r="D3081" s="17" t="str">
        <x:v>us:ipeds:209807:program:phd:doctoral-degree-in-computer-science-ph-d</x:v>
      </x:c>
      <x:c r="E3081" s="17" t="str">
        <x:v>us:ipeds:209807:faculty:fei-xie</x:v>
      </x:c>
      <x:c r="F3081" s="17" t="str">
        <x:v>program supervision context|doctoral route</x:v>
      </x:c>
      <x:c r="G3081" s="17" t="str">
        <x:v>The current page establishes the Computer Science PhD route in which the verified advising occurred.</x:v>
      </x:c>
      <x:c r="H3081" s="17" t="str">
        <x:v>Doctoral Degree in Computer Science</x:v>
      </x:c>
      <x:c r="I3081" s="17" t="str">
        <x:v>Portland State University</x:v>
      </x:c>
      <x:c r="J3081" s="17" t="str">
        <x:v>official</x:v>
      </x:c>
      <x:c r="K3081" s="17" t="str">
        <x:v>2026-09-11</x:v>
      </x:c>
      <x:c r="L3081" s="17" t="str">
        <x:v>2026</x:v>
      </x:c>
      <x:c r="M3081" s="17" t="str">
        <x:v>high</x:v>
      </x:c>
      <x:c r="N3081" s="17" t="str">
        <x:v>verified</x:v>
      </x:c>
      <x:c r="O3081" s="17" t="str">
        <x:v>Official program page checked 2026-09-11.</x:v>
      </x:c>
      <x:c r="P3081" s="18" t="e">
        <x:f>HYPERLINK("https://web.cs.pdx.edu/phd-doctoral-degree-in-cs/","Open source")</x:f>
        <x:v>HYPERLINK is not implemented. linkLocation=https://web.cs.pdx.edu/phd-doctoral-degree-in-cs/, friendlyName=Open source</x:v>
      </x:c>
    </x:row>
    <x:row r="3082" ht="46" customHeight="1">
      <x:c r="A3082" s="17" t="str">
        <x:v>stage4src:65bc3ca35046cba6</x:v>
      </x:c>
      <x:c r="B3082" s="17" t="str">
        <x:v>professor</x:v>
      </x:c>
      <x:c r="C3082" s="17" t="str">
        <x:v>Tennessee Technological University</x:v>
      </x:c>
      <x:c r="D3082" s="17" t="str">
        <x:v>us:ipeds:221847:program:phd:computer-science-phd</x:v>
      </x:c>
      <x:c r="E3082" s="17" t="str"/>
      <x:c r="F3082" s="17" t="str">
        <x:v>current faculty roster|candidate longlist</x:v>
      </x:c>
      <x:c r="G3082" s="17" t="str">
        <x:v>Current official department roster or research-area faculty listing used to identify the five-person Stage 4 candidate longlist.</x:v>
      </x:c>
      <x:c r="H3082" s="17" t="str">
        <x:v>Tennessee Technological University current faculty roster</x:v>
      </x:c>
      <x:c r="I3082" s="17" t="str">
        <x:v>Tennessee Technological University</x:v>
      </x:c>
      <x:c r="J3082" s="17" t="str">
        <x:v>official</x:v>
      </x:c>
      <x:c r="K3082" s="17" t="str">
        <x:v>2026-09-11</x:v>
      </x:c>
      <x:c r="L3082" s="17" t="str"/>
      <x:c r="M3082" s="17" t="str">
        <x:v>high</x:v>
      </x:c>
      <x:c r="N3082" s="17" t="str">
        <x:v>verified</x:v>
      </x:c>
      <x:c r="O3082" s="17" t="str">
        <x:v>Roster evidence establishes a current listing, not program-specific supervision authority or recruiting.</x:v>
      </x:c>
      <x:c r="P3082" s="18" t="e">
        <x:f>HYPERLINK("https://www.tntech.edu/engineering/programs/csc/faculty-and-staff.php","Open source")</x:f>
        <x:v>HYPERLINK is not implemented. linkLocation=https://www.tntech.edu/engineering/programs/csc/faculty-and-staff.php, friendlyName=Open source</x:v>
      </x:c>
    </x:row>
    <x:row r="3083" ht="46" customHeight="1">
      <x:c r="A3083" s="17" t="str">
        <x:v>stage4src:6608b03a2bc58425</x:v>
      </x:c>
      <x:c r="B3083" s="17" t="str">
        <x:v>professor</x:v>
      </x:c>
      <x:c r="C3083" s="17" t="str">
        <x:v>Clarkson University</x:v>
      </x:c>
      <x:c r="D3083" s="17" t="str">
        <x:v>us:ipeds:190044:program:phd:phd-in-computer-science</x:v>
      </x:c>
      <x:c r="E3083" s="17" t="str">
        <x:v>us:ipeds:190044:faculty:faraz-hussain</x:v>
      </x:c>
      <x:c r="F3083" s="17" t="str">
        <x:v>current appointment|department|email</x:v>
      </x:c>
      <x:c r="G3083" s="17" t="str">
        <x:v>Clarkson lists Hussain as a current Associate Professor in both Computer Science and Electrical &amp; Computer Engineering and supplies his official email.</x:v>
      </x:c>
      <x:c r="H3083" s="17" t="str">
        <x:v>Faraz Hussain</x:v>
      </x:c>
      <x:c r="I3083" s="17" t="str">
        <x:v>Clarkson University</x:v>
      </x:c>
      <x:c r="J3083" s="17" t="str">
        <x:v>official</x:v>
      </x:c>
      <x:c r="K3083" s="17" t="str">
        <x:v>2026-09-11</x:v>
      </x:c>
      <x:c r="L3083" s="17" t="str">
        <x:v>2026</x:v>
      </x:c>
      <x:c r="M3083" s="17" t="str">
        <x:v>high</x:v>
      </x:c>
      <x:c r="N3083" s="17" t="str">
        <x:v>verified</x:v>
      </x:c>
      <x:c r="O3083" s="17" t="str">
        <x:v>Live official profile checked 2026-09-11.</x:v>
      </x:c>
      <x:c r="P3083" s="18" t="e">
        <x:f>HYPERLINK("https://www.clarkson.edu/people/faraz-hussain","Open source")</x:f>
        <x:v>HYPERLINK is not implemented. linkLocation=https://www.clarkson.edu/people/faraz-hussain, friendlyName=Open source</x:v>
      </x:c>
    </x:row>
    <x:row r="3084" ht="46" customHeight="1">
      <x:c r="A3084" s="17" t="str">
        <x:v>stage4src:661f3e77fe25c4db</x:v>
      </x:c>
      <x:c r="B3084" s="17" t="str">
        <x:v>professor</x:v>
      </x:c>
      <x:c r="C3084" s="17" t="str">
        <x:v>University of Nebraska at Omaha</x:v>
      </x:c>
      <x:c r="D3084" s="17" t="str">
        <x:v>us:ipeds:181394:program:phd:computing-information-science-ph-d</x:v>
      </x:c>
      <x:c r="E3084" s="17" t="str">
        <x:v>us:ipeds:181394:faculty:myoungkyu-song</x:v>
      </x:c>
      <x:c r="F3084" s="17" t="str">
        <x:v>current appointment|department|email|recent active directions|research fit</x:v>
      </x:c>
      <x:c r="G3084" s="17" t="str">
        <x:v>UNO lists Song as a current Computer Science Associate Professor and documents active work combining program analysis, LLM developer tools, automated repair, correctness, and security.</x:v>
      </x:c>
      <x:c r="H3084" s="17" t="str">
        <x:v>Myoungkyu Song</x:v>
      </x:c>
      <x:c r="I3084" s="17" t="str">
        <x:v>University of Nebraska at Omaha</x:v>
      </x:c>
      <x:c r="J3084" s="17" t="str">
        <x:v>official</x:v>
      </x:c>
      <x:c r="K3084" s="17" t="str">
        <x:v>2026-09-11</x:v>
      </x:c>
      <x:c r="L3084" s="17" t="str">
        <x:v>2026</x:v>
      </x:c>
      <x:c r="M3084" s="17" t="str">
        <x:v>high</x:v>
      </x:c>
      <x:c r="N3084" s="17" t="str">
        <x:v>verified</x:v>
      </x:c>
      <x:c r="O3084" s="17" t="str">
        <x:v>Live official profile checked 2026-09-11.</x:v>
      </x:c>
      <x:c r="P3084" s="18" t="e">
        <x:f>HYPERLINK("https://www.unomaha.edu/college-of-information-science-and-technology/about/faculty-staff/myoungkyu-song.php","Open source")</x:f>
        <x:v>HYPERLINK is not implemented. linkLocation=https://www.unomaha.edu/college-of-information-science-and-technology/about/faculty-staff/myoungkyu-song.php, friendlyName=Open source</x:v>
      </x:c>
    </x:row>
    <x:row r="3085" ht="46" customHeight="1">
      <x:c r="A3085" s="17" t="str">
        <x:v>stage4src:66296e985f8eb65e</x:v>
      </x:c>
      <x:c r="B3085" s="17" t="str">
        <x:v>professor</x:v>
      </x:c>
      <x:c r="C3085" s="17" t="str">
        <x:v>Concordia University</x:v>
      </x:c>
      <x:c r="D3085" s="17" t="str">
        <x:v>ca:dli:O19359011007:program:thesis-or-research-master-s:master-of-computer-science-thesis</x:v>
      </x:c>
      <x:c r="E3085" s="17" t="str">
        <x:v>ca:dli:O19359011007:faculty:emad-shihab</x:v>
      </x:c>
      <x:c r="F3085" s="17" t="str">
        <x:v>recent work|research fit</x:v>
      </x:c>
      <x:c r="G3085" s="17" t="str">
        <x:v>Recent work supports the recorded TerraProbe/Evidex research overlap for Emad Shihab.</x:v>
      </x:c>
      <x:c r="H3085" s="17" t="str">
        <x:v>Recent scholarly work</x:v>
      </x:c>
      <x:c r="I3085" s="17" t="str">
        <x:v>OpenAlex / cited venue</x:v>
      </x:c>
      <x:c r="J3085" s="17" t="str">
        <x:v>secondary</x:v>
      </x:c>
      <x:c r="K3085" s="17" t="str">
        <x:v>2026-09-11</x:v>
      </x:c>
      <x:c r="L3085" s="17" t="str">
        <x:v>2025</x:v>
      </x:c>
      <x:c r="M3085" s="17" t="str">
        <x:v>high</x:v>
      </x:c>
      <x:c r="N3085" s="17" t="str">
        <x:v>verified</x:v>
      </x:c>
      <x:c r="O3085" s="17" t="str">
        <x:v>Carried from verified regional deep-review evidence.</x:v>
      </x:c>
      <x:c r="P3085" s="18" t="e">
        <x:f>HYPERLINK("https://www.concordia.ca/news/stories/2025/02/20/concordia-partners-with-national-bank-of-canada-to-advance-trustworthy-artificial-intelligence-systems.html","Open source")</x:f>
        <x:v>HYPERLINK is not implemented. linkLocation=https://www.concordia.ca/news/stories/2025/02/20/concordia-partners-with-national-bank-of-canada-to-advance-trustworthy-artificial-intelligence-systems.html, friendlyName=Open source</x:v>
      </x:c>
    </x:row>
    <x:row r="3086" ht="46" customHeight="1">
      <x:c r="A3086" s="17" t="str">
        <x:v>stage4src:66cd507c6fce8f8d</x:v>
      </x:c>
      <x:c r="B3086" s="17" t="str">
        <x:v>professor</x:v>
      </x:c>
      <x:c r="C3086" s="17" t="str">
        <x:v>University of Waterloo</x:v>
      </x:c>
      <x:c r="D3086" s="17" t="str">
        <x:v>ca:dli:O19305471522:program:direct-entry-phd:phd-in-computer-science-direct-from-bachelor-s-exception</x:v>
      </x:c>
      <x:c r="E3086" s="17" t="str"/>
      <x:c r="F3086" s="17" t="str">
        <x:v>current faculty roster|candidate longlist</x:v>
      </x:c>
      <x:c r="G3086" s="17" t="str">
        <x:v>Current official department roster or research-area faculty listing used to identify the five-person Stage 4 candidate longlist.</x:v>
      </x:c>
      <x:c r="H3086" s="17" t="str">
        <x:v>University of Waterloo current faculty roster</x:v>
      </x:c>
      <x:c r="I3086" s="17" t="str">
        <x:v>University of Waterloo</x:v>
      </x:c>
      <x:c r="J3086" s="17" t="str">
        <x:v>official</x:v>
      </x:c>
      <x:c r="K3086" s="17" t="str">
        <x:v>2026-09-11</x:v>
      </x:c>
      <x:c r="L3086" s="17" t="str"/>
      <x:c r="M3086" s="17" t="str">
        <x:v>high</x:v>
      </x:c>
      <x:c r="N3086" s="17" t="str">
        <x:v>verified</x:v>
      </x:c>
      <x:c r="O3086" s="17" t="str">
        <x:v>Roster evidence establishes a current listing, not program-specific supervision authority or recruiting.</x:v>
      </x:c>
      <x:c r="P3086" s="18" t="e">
        <x:f>HYPERLINK("https://uwaterloo.ca/electrical-computer-engineering/contacts?group%5B61%5D=61&amp;title=","Open source")</x:f>
        <x:v>HYPERLINK is not implemented. linkLocation=https://uwaterloo.ca/electrical-computer-engineering/contacts?group%5B61%5D=61&amp;title=, friendlyName=Open source</x:v>
      </x:c>
    </x:row>
    <x:row r="3087" ht="46" customHeight="1">
      <x:c r="A3087" s="17" t="str">
        <x:v>stage4src:671206092ec5f23e</x:v>
      </x:c>
      <x:c r="B3087" s="17" t="str">
        <x:v>professor</x:v>
      </x:c>
      <x:c r="C3087" s="17" t="str">
        <x:v>The University of Texas at Arlington</x:v>
      </x:c>
      <x:c r="D3087" s="17" t="str">
        <x:v>us:ipeds:228769:program:phd:doctoral-degree-in-computer-science-computer-engineering</x:v>
      </x:c>
      <x:c r="E3087" s="17" t="str">
        <x:v>us:ipeds:228769:faculty:christoph-csallner</x:v>
      </x:c>
      <x:c r="F3087" s="17" t="str">
        <x:v>current research direction|research fit</x:v>
      </x:c>
      <x:c r="G3087" s="17" t="str">
        <x:v>The current center page identifies Csallner and an active software-engineering research direction.</x:v>
      </x:c>
      <x:c r="H3087" s="17" t="str">
        <x:v>Software Engineering Research Center</x:v>
      </x:c>
      <x:c r="I3087" s="17" t="str">
        <x:v>The University of Texas at Arlington</x:v>
      </x:c>
      <x:c r="J3087" s="17" t="str">
        <x:v>official</x:v>
      </x:c>
      <x:c r="K3087" s="17" t="str">
        <x:v>2026-09-11</x:v>
      </x:c>
      <x:c r="L3087" s="17" t="str">
        <x:v>2026</x:v>
      </x:c>
      <x:c r="M3087" s="17" t="str">
        <x:v>high</x:v>
      </x:c>
      <x:c r="N3087" s="17" t="str">
        <x:v>verified</x:v>
      </x:c>
      <x:c r="O3087" s="17" t="str">
        <x:v>Current official center page checked 2026-09-10.</x:v>
      </x:c>
      <x:c r="P3087" s="18" t="e">
        <x:f>HYPERLINK("https://se-research-center.uta.edu/","Open source")</x:f>
        <x:v>HYPERLINK is not implemented. linkLocation=https://se-research-center.uta.edu/, friendlyName=Open source</x:v>
      </x:c>
    </x:row>
    <x:row r="3088" ht="46" customHeight="1">
      <x:c r="A3088" s="17" t="str">
        <x:v>stage4src:6760e578deaa322e</x:v>
      </x:c>
      <x:c r="B3088" s="17" t="str">
        <x:v>professor</x:v>
      </x:c>
      <x:c r="C3088" s="17" t="str">
        <x:v>Queen’s University</x:v>
      </x:c>
      <x:c r="D3088" s="17" t="str">
        <x:v>ca:dli:O19376023352:program:thesis-or-research-master-s:msc-in-computing-research-pattern</x:v>
      </x:c>
      <x:c r="E3088" s="17" t="str">
        <x:v>ca:dli:O19376023352:faculty:ahmed-e-hassan</x:v>
      </x:c>
      <x:c r="F3088" s="17" t="str">
        <x:v>current appointment|program supervision authority|research themes</x:v>
      </x:c>
      <x:c r="G3088" s="17" t="str">
        <x:v>Ahmed E. Hassan has a current verified appointment and verified authority to supervise this program.</x:v>
      </x:c>
      <x:c r="H3088" s="17" t="str">
        <x:v>Ahmed E. Hassan</x:v>
      </x:c>
      <x:c r="I3088" s="17" t="str">
        <x:v>Queen’s University</x:v>
      </x:c>
      <x:c r="J3088" s="17" t="str">
        <x:v>official</x:v>
      </x:c>
      <x:c r="K3088" s="17" t="str">
        <x:v>2026-09-11</x:v>
      </x:c>
      <x:c r="L3088" s="17" t="str"/>
      <x:c r="M3088" s="17" t="str">
        <x:v>high</x:v>
      </x:c>
      <x:c r="N3088" s="17" t="str">
        <x:v>verified</x:v>
      </x:c>
      <x:c r="O3088" s="17" t="str">
        <x:v>Carried from verified regional deep-review evidence.</x:v>
      </x:c>
      <x:c r="P3088" s="18" t="e">
        <x:f>HYPERLINK("https://www.cs.queensu.ca/people/Ahmed/Hassan","Open source")</x:f>
        <x:v>HYPERLINK is not implemented. linkLocation=https://www.cs.queensu.ca/people/Ahmed/Hassan, friendlyName=Open source</x:v>
      </x:c>
    </x:row>
    <x:row r="3089" ht="46" customHeight="1">
      <x:c r="A3089" s="17" t="str">
        <x:v>stage4src:68444e7b897b3e96</x:v>
      </x:c>
      <x:c r="B3089" s="17" t="str">
        <x:v>professor</x:v>
      </x:c>
      <x:c r="C3089" s="17" t="str">
        <x:v>Temple University</x:v>
      </x:c>
      <x:c r="D3089" s="17" t="str">
        <x:v>us:ipeds:216339:program:phd:computer-and-information-science-phd</x:v>
      </x:c>
      <x:c r="E3089" s="17" t="str">
        <x:v>us:ipeds:216339:faculty:stephen-macneil</x:v>
      </x:c>
      <x:c r="F3089" s="17" t="str">
        <x:v>current appointment|recent work|research fit</x:v>
      </x:c>
      <x:c r="G3089" s="17" t="str">
        <x:v>The August 2026 CV verifies MacNeil's current Temple appointment and 2024 logic-error comparison work.</x:v>
      </x:c>
      <x:c r="H3089" s="17" t="str">
        <x:v>Stephen MacNeil Curriculum Vitae</x:v>
      </x:c>
      <x:c r="I3089" s="17" t="str">
        <x:v>Temple University</x:v>
      </x:c>
      <x:c r="J3089" s="17" t="str">
        <x:v>official</x:v>
      </x:c>
      <x:c r="K3089" s="17" t="str">
        <x:v>2026-09-11</x:v>
      </x:c>
      <x:c r="L3089" s="17" t="str">
        <x:v>2026</x:v>
      </x:c>
      <x:c r="M3089" s="17" t="str">
        <x:v>high</x:v>
      </x:c>
      <x:c r="N3089" s="17" t="str">
        <x:v>verified</x:v>
      </x:c>
      <x:c r="O3089" s="17" t="str">
        <x:v>Current CV checked 2026-09-11.</x:v>
      </x:c>
      <x:c r="P3089" s="18" t="e">
        <x:f>HYPERLINK("https://stevemacn.github.io/resources/cv-macneil.pdf","Open source")</x:f>
        <x:v>HYPERLINK is not implemented. linkLocation=https://stevemacn.github.io/resources/cv-macneil.pdf, friendlyName=Open source</x:v>
      </x:c>
    </x:row>
    <x:row r="3090" ht="46" customHeight="1">
      <x:c r="A3090" s="17" t="str">
        <x:v>stage4src:6875d0398dec49a4</x:v>
      </x:c>
      <x:c r="B3090" s="17" t="str">
        <x:v>professor</x:v>
      </x:c>
      <x:c r="C3090" s="17" t="str">
        <x:v>University of Pittsburgh-Pittsburgh Campus</x:v>
      </x:c>
      <x:c r="D3090" s="17" t="str">
        <x:v>us:ipeds:215293:program:phd:phd-in-computer-science</x:v>
      </x:c>
      <x:c r="E3090" s="17" t="str"/>
      <x:c r="F3090" s="17" t="str">
        <x:v>current faculty roster|candidate longlist</x:v>
      </x:c>
      <x:c r="G3090" s="17" t="str">
        <x:v>Current official department roster or research-area faculty listing used to identify the five-person Stage 4 candidate longlist.</x:v>
      </x:c>
      <x:c r="H3090" s="17" t="str">
        <x:v>University of Pittsburgh-Pittsburgh Campus current faculty roster</x:v>
      </x:c>
      <x:c r="I3090" s="17" t="str">
        <x:v>University of Pittsburgh-Pittsburgh Campus</x:v>
      </x:c>
      <x:c r="J3090" s="17" t="str">
        <x:v>official</x:v>
      </x:c>
      <x:c r="K3090" s="17" t="str">
        <x:v>2026-09-11</x:v>
      </x:c>
      <x:c r="L3090" s="17" t="str"/>
      <x:c r="M3090" s="17" t="str">
        <x:v>high</x:v>
      </x:c>
      <x:c r="N3090" s="17" t="str">
        <x:v>verified</x:v>
      </x:c>
      <x:c r="O3090" s="17" t="str">
        <x:v>Roster evidence establishes a current listing, not program-specific supervision authority or recruiting.</x:v>
      </x:c>
      <x:c r="P3090" s="18" t="e">
        <x:f>HYPERLINK("https://www.sci.pitt.edu/people/faculty","Open source")</x:f>
        <x:v>HYPERLINK is not implemented. linkLocation=https://www.sci.pitt.edu/people/faculty, friendlyName=Open source</x:v>
      </x:c>
    </x:row>
    <x:row r="3091" ht="46" customHeight="1">
      <x:c r="A3091" s="17" t="str">
        <x:v>stage4src:68c646683d6f8a18</x:v>
      </x:c>
      <x:c r="B3091" s="17" t="str">
        <x:v>professor</x:v>
      </x:c>
      <x:c r="C3091" s="17" t="str">
        <x:v>Iowa State University</x:v>
      </x:c>
      <x:c r="D3091" s="17" t="str">
        <x:v>us:ipeds:153603:program:phd:computer-science-phd</x:v>
      </x:c>
      <x:c r="E3091" s="17" t="str">
        <x:v>us:ipeds:153603:faculty:lotfi-ben-othmane</x:v>
      </x:c>
      <x:c r="F3091" s="17" t="str">
        <x:v>discovery publication signal|recent work</x:v>
      </x:c>
      <x:c r="G3091" s="17" t="str">
        <x:v>Publication metadata was examined for shortlist triage only; publication-time affiliation does not establish current appointment, supervision authority, or recruiting.</x:v>
      </x:c>
      <x:c r="H3091" s="17" t="str">
        <x:v>OpenAlex publication signal for Lotfi ben Othmane</x:v>
      </x:c>
      <x:c r="I3091" s="17" t="str">
        <x:v>OpenAlex / cited venue</x:v>
      </x:c>
      <x:c r="J3091" s="17" t="str">
        <x:v>secondary</x:v>
      </x:c>
      <x:c r="K3091" s="17" t="str">
        <x:v>2026-09-11</x:v>
      </x:c>
      <x:c r="L3091" s="17" t="str"/>
      <x:c r="M3091" s="17" t="str">
        <x:v>medium</x:v>
      </x:c>
      <x:c r="N3091" s="17" t="str">
        <x:v>discovery_only</x:v>
      </x:c>
      <x:c r="O3091" s="17" t="str">
        <x:v>Not used to award a professor score or faculty-depth point.</x:v>
      </x:c>
      <x:c r="P3091" s="18" t="e">
        <x:f>HYPERLINK("https://openalex.org/A5102983091","Open source")</x:f>
        <x:v>HYPERLINK is not implemented. linkLocation=https://openalex.org/A5102983091, friendlyName=Open source</x:v>
      </x:c>
    </x:row>
    <x:row r="3092" ht="46" customHeight="1">
      <x:c r="A3092" s="17" t="str">
        <x:v>stage4src:68c76cb8ca103f3e</x:v>
      </x:c>
      <x:c r="B3092" s="17" t="str">
        <x:v>professor</x:v>
      </x:c>
      <x:c r="C3092" s="17" t="str">
        <x:v>University of Alabama in Huntsville</x:v>
      </x:c>
      <x:c r="D3092" s="17" t="str">
        <x:v>us:ipeds:100706:program:phd:computer-science-ph-d</x:v>
      </x:c>
      <x:c r="E3092" s="17" t="str">
        <x:v>us:ipeds:100706:faculty:bramwell-brizendine</x:v>
      </x:c>
      <x:c r="F3092" s="17" t="str">
        <x:v>program context|supervision authority|prospective instructions|recruiting control</x:v>
      </x:c>
      <x:c r="G3092" s="17" t="str">
        <x:v>UAH offers the CS PhD, states research positions are handled at faculty level, and directs applicants to contact individual faculty about openings.</x:v>
      </x:c>
      <x:c r="H3092" s="17" t="str">
        <x:v>Computer Science Graduate Programs</x:v>
      </x:c>
      <x:c r="I3092" s="17" t="str">
        <x:v>University of Alabama in Huntsville</x:v>
      </x:c>
      <x:c r="J3092" s="17" t="str">
        <x:v>official</x:v>
      </x:c>
      <x:c r="K3092" s="17" t="str">
        <x:v>2026-09-11</x:v>
      </x:c>
      <x:c r="L3092" s="17" t="str">
        <x:v>2026</x:v>
      </x:c>
      <x:c r="M3092" s="17" t="str">
        <x:v>high</x:v>
      </x:c>
      <x:c r="N3092" s="17" t="str">
        <x:v>verified</x:v>
      </x:c>
      <x:c r="O3092" s="17" t="str">
        <x:v>Live official page checked 2026-09-11.</x:v>
      </x:c>
      <x:c r="P3092" s="18" t="e">
        <x:f>HYPERLINK("https://www.uah.edu/science/departments/computer-science/cs-graduate-programs","Open source")</x:f>
        <x:v>HYPERLINK is not implemented. linkLocation=https://www.uah.edu/science/departments/computer-science/cs-graduate-programs, friendlyName=Open source</x:v>
      </x:c>
    </x:row>
    <x:row r="3093" ht="46" customHeight="1">
      <x:c r="A3093" s="17" t="str">
        <x:v>stage4src:6912f02a760ad550</x:v>
      </x:c>
      <x:c r="B3093" s="17" t="str">
        <x:v>professor</x:v>
      </x:c>
      <x:c r="C3093" s="17" t="str">
        <x:v>Kansas State University</x:v>
      </x:c>
      <x:c r="D3093" s="17" t="str">
        <x:v>us:ipeds:155399:program:phd:doctor-of-philosophy-in-computer-science</x:v>
      </x:c>
      <x:c r="E3093" s="17" t="str">
        <x:v>us:ipeds:155399:faculty:robby</x:v>
      </x:c>
      <x:c r="F3093" s="17" t="str">
        <x:v>current lab|active projects|program supervision context</x:v>
      </x:c>
      <x:c r="G3093" s="17" t="str">
        <x:v>The K-State SAnToS lab lists Robby and its current Sireum, HAMR, Awas, and Logika projects.</x:v>
      </x:c>
      <x:c r="H3093" s="17" t="str">
        <x:v>SAnToS Laboratory</x:v>
      </x:c>
      <x:c r="I3093" s="17" t="str">
        <x:v>Kansas State University</x:v>
      </x:c>
      <x:c r="J3093" s="17" t="str">
        <x:v>official</x:v>
      </x:c>
      <x:c r="K3093" s="17" t="str">
        <x:v>2026-09-11</x:v>
      </x:c>
      <x:c r="L3093" s="17" t="str">
        <x:v>2026</x:v>
      </x:c>
      <x:c r="M3093" s="17" t="str">
        <x:v>high</x:v>
      </x:c>
      <x:c r="N3093" s="17" t="str">
        <x:v>verified</x:v>
      </x:c>
      <x:c r="O3093" s="17" t="str">
        <x:v>Current lab page checked 2026-09-11; lab activity is not recruiting evidence.</x:v>
      </x:c>
      <x:c r="P3093" s="18" t="e">
        <x:f>HYPERLINK("https://santoslab.org/","Open source")</x:f>
        <x:v>HYPERLINK is not implemented. linkLocation=https://santoslab.org/, friendlyName=Open source</x:v>
      </x:c>
    </x:row>
    <x:row r="3094" ht="46" customHeight="1">
      <x:c r="A3094" s="17" t="str">
        <x:v>stage4src:6976784e660e4b8b</x:v>
      </x:c>
      <x:c r="B3094" s="17" t="str">
        <x:v>professor</x:v>
      </x:c>
      <x:c r="C3094" s="17" t="str">
        <x:v>University of Pisa</x:v>
      </x:c>
      <x:c r="D3094" s="17" t="str">
        <x:v>ror:03ad39j10:program:thesis-or-research-master-s:master-s-degree-in-computer-science</x:v>
      </x:c>
      <x:c r="E3094" s="17" t="str">
        <x:v>ror:03ad39j10:faculty:patrizio-dazzi</x:v>
      </x:c>
      <x:c r="F3094" s="17" t="str">
        <x:v>supervision authority|possible recruiting|prospective-student instructions</x:v>
      </x:c>
      <x:c r="G3094" s="17" t="str">
        <x:v>Dazzi publishes MSc thesis topics in distributed ML, big data, edge systems, partitioning, and consistency.</x:v>
      </x:c>
      <x:c r="H3094" s="17" t="str">
        <x:v>Thesis Topics</x:v>
      </x:c>
      <x:c r="I3094" s="17" t="str">
        <x:v>University of Pisa</x:v>
      </x:c>
      <x:c r="J3094" s="17" t="str">
        <x:v>official</x:v>
      </x:c>
      <x:c r="K3094" s="17" t="str">
        <x:v>2026-09-11</x:v>
      </x:c>
      <x:c r="L3094" s="17" t="str">
        <x:v>2026</x:v>
      </x:c>
      <x:c r="M3094" s="17" t="str">
        <x:v>high</x:v>
      </x:c>
      <x:c r="N3094" s="17" t="str">
        <x:v>verified</x:v>
      </x:c>
      <x:c r="O3094" s="17" t="str">
        <x:v>Live page checked 2026-09-11; topic publication does not guarantee capacity.</x:v>
      </x:c>
      <x:c r="P3094" s="18" t="e">
        <x:f>HYPERLINK("https://pages.di.unipi.it/dazzi/thesis-topics/","Open source")</x:f>
        <x:v>HYPERLINK is not implemented. linkLocation=https://pages.di.unipi.it/dazzi/thesis-topics/, friendlyName=Open source</x:v>
      </x:c>
    </x:row>
    <x:row r="3095" ht="46" customHeight="1">
      <x:c r="A3095" s="17" t="str">
        <x:v>stage4src:69a4024c72463178</x:v>
      </x:c>
      <x:c r="B3095" s="17" t="str">
        <x:v>professor</x:v>
      </x:c>
      <x:c r="C3095" s="17" t="str">
        <x:v>New Mexico Institute of Mining and Technology</x:v>
      </x:c>
      <x:c r="D3095" s="17" t="str">
        <x:v>us:ipeds:187967:program:phd:doctor-of-philosophy-in-computer-science</x:v>
      </x:c>
      <x:c r="E3095" s="17" t="str">
        <x:v>us:ipeds:187967:faculty:dongwan-shin</x:v>
      </x:c>
      <x:c r="F3095" s="17" t="str">
        <x:v>current appointment|department|email|research themes</x:v>
      </x:c>
      <x:c r="G3095" s="17" t="str">
        <x:v>New Mexico Tech lists Shin as a current CSE Professor working in security, privacy, software engineering, and cybersecurity.</x:v>
      </x:c>
      <x:c r="H3095" s="17" t="str">
        <x:v>Dongwan Shin, PhD</x:v>
      </x:c>
      <x:c r="I3095" s="17" t="str">
        <x:v>New Mexico Institute of Mining and Technology</x:v>
      </x:c>
      <x:c r="J3095" s="17" t="str">
        <x:v>official</x:v>
      </x:c>
      <x:c r="K3095" s="17" t="str">
        <x:v>2026-09-11</x:v>
      </x:c>
      <x:c r="L3095" s="17" t="str">
        <x:v>2026</x:v>
      </x:c>
      <x:c r="M3095" s="17" t="str">
        <x:v>high</x:v>
      </x:c>
      <x:c r="N3095" s="17" t="str">
        <x:v>verified</x:v>
      </x:c>
      <x:c r="O3095" s="17" t="str">
        <x:v>Live official profile checked 2026-09-11.</x:v>
      </x:c>
      <x:c r="P3095" s="18" t="e">
        <x:f>HYPERLINK("https://www.nmt.edu/academics/compsci/faculty/doshin.php","Open source")</x:f>
        <x:v>HYPERLINK is not implemented. linkLocation=https://www.nmt.edu/academics/compsci/faculty/doshin.php, friendlyName=Open source</x:v>
      </x:c>
    </x:row>
    <x:row r="3096" ht="46" customHeight="1">
      <x:c r="A3096" s="17" t="str">
        <x:v>stage4src:69b03baad96f0b4d</x:v>
      </x:c>
      <x:c r="B3096" s="17" t="str">
        <x:v>professor</x:v>
      </x:c>
      <x:c r="C3096" s="17" t="str">
        <x:v>University of Illinois Chicago</x:v>
      </x:c>
      <x:c r="D3096" s="17" t="str">
        <x:v>us:ipeds:145600:program:phd:phd-in-computer-science</x:v>
      </x:c>
      <x:c r="E3096" s="17" t="str"/>
      <x:c r="F3096" s="17" t="str">
        <x:v>current faculty roster|candidate longlist</x:v>
      </x:c>
      <x:c r="G3096" s="17" t="str">
        <x:v>Current official department roster or research-area faculty listing used to identify the five-person Stage 4 candidate longlist.</x:v>
      </x:c>
      <x:c r="H3096" s="17" t="str">
        <x:v>University of Illinois Chicago current faculty roster</x:v>
      </x:c>
      <x:c r="I3096" s="17" t="str">
        <x:v>University of Illinois Chicago</x:v>
      </x:c>
      <x:c r="J3096" s="17" t="str">
        <x:v>official</x:v>
      </x:c>
      <x:c r="K3096" s="17" t="str">
        <x:v>2026-09-11</x:v>
      </x:c>
      <x:c r="L3096" s="17" t="str"/>
      <x:c r="M3096" s="17" t="str">
        <x:v>high</x:v>
      </x:c>
      <x:c r="N3096" s="17" t="str">
        <x:v>verified</x:v>
      </x:c>
      <x:c r="O3096" s="17" t="str">
        <x:v>Roster evidence establishes a current listing, not program-specific supervision authority or recruiting.</x:v>
      </x:c>
      <x:c r="P3096" s="18" t="e">
        <x:f>HYPERLINK("https://cs.uic.edu/cs-research/research-areas-2/","Open source")</x:f>
        <x:v>HYPERLINK is not implemented. linkLocation=https://cs.uic.edu/cs-research/research-areas-2/, friendlyName=Open source</x:v>
      </x:c>
    </x:row>
    <x:row r="3097" ht="46" customHeight="1">
      <x:c r="A3097" s="17" t="str">
        <x:v>stage4src:69e54e0324343b22</x:v>
      </x:c>
      <x:c r="B3097" s="17" t="str">
        <x:v>professor</x:v>
      </x:c>
      <x:c r="C3097" s="17" t="str">
        <x:v>University at Albany</x:v>
      </x:c>
      <x:c r="D3097" s="17" t="str">
        <x:v>us:ipeds:196060:program:phd:doctor-of-philosophy-in-computer-science</x:v>
      </x:c>
      <x:c r="E3097" s="17" t="str">
        <x:v>us:ipeds:196060:faculty:jeff-offutt</x:v>
      </x:c>
      <x:c r="F3097" s="17" t="str">
        <x:v>current appointment|department|email|research themes</x:v>
      </x:c>
      <x:c r="G3097" s="17" t="str">
        <x:v>UAlbany lists Offutt as Professor and Chair with software testing, evolution, and maintenance expertise.</x:v>
      </x:c>
      <x:c r="H3097" s="17" t="str">
        <x:v>Jeff Offutt</x:v>
      </x:c>
      <x:c r="I3097" s="17" t="str">
        <x:v>University at Albany</x:v>
      </x:c>
      <x:c r="J3097" s="17" t="str">
        <x:v>official</x:v>
      </x:c>
      <x:c r="K3097" s="17" t="str">
        <x:v>2026-09-11</x:v>
      </x:c>
      <x:c r="L3097" s="17" t="str">
        <x:v>2026</x:v>
      </x:c>
      <x:c r="M3097" s="17" t="str">
        <x:v>high</x:v>
      </x:c>
      <x:c r="N3097" s="17" t="str">
        <x:v>verified</x:v>
      </x:c>
      <x:c r="O3097" s="17" t="str">
        <x:v>Live official profile checked 2026-09-11.</x:v>
      </x:c>
      <x:c r="P3097" s="18" t="e">
        <x:f>HYPERLINK("https://www.albany.edu/computer-science/faculty/jeff-offutt","Open source")</x:f>
        <x:v>HYPERLINK is not implemented. linkLocation=https://www.albany.edu/computer-science/faculty/jeff-offutt, friendlyName=Open source</x:v>
      </x:c>
    </x:row>
    <x:row r="3098" ht="46" customHeight="1">
      <x:c r="A3098" s="17" t="str">
        <x:v>stage4src:69f2aa34f113c9ec</x:v>
      </x:c>
      <x:c r="B3098" s="17" t="str">
        <x:v>professor</x:v>
      </x:c>
      <x:c r="C3098" s="17" t="str">
        <x:v>New Jersey Institute of Technology</x:v>
      </x:c>
      <x:c r="D3098" s="17" t="str">
        <x:v>us:ipeds:185828:program:phd:ph-d-computer-science</x:v>
      </x:c>
      <x:c r="E3098" s="17" t="str">
        <x:v>us:ipeds:185828:faculty:martin-kellogg</x:v>
      </x:c>
      <x:c r="F3098" s="17" t="str">
        <x:v>current research area|candidate longlist</x:v>
      </x:c>
      <x:c r="G3098" s="17" t="str">
        <x:v>NJIT places Kellogg and relevant alternatives in its current software-engineering and programming-languages research group.</x:v>
      </x:c>
      <x:c r="H3098" s="17" t="str">
        <x:v>Software Engineering and Programming Languages</x:v>
      </x:c>
      <x:c r="I3098" s="17" t="str">
        <x:v>New Jersey Institute of Technology</x:v>
      </x:c>
      <x:c r="J3098" s="17" t="str">
        <x:v>official</x:v>
      </x:c>
      <x:c r="K3098" s="17" t="str">
        <x:v>2026-09-11</x:v>
      </x:c>
      <x:c r="L3098" s="17" t="str">
        <x:v>2026</x:v>
      </x:c>
      <x:c r="M3098" s="17" t="str">
        <x:v>high</x:v>
      </x:c>
      <x:c r="N3098" s="17" t="str">
        <x:v>verified</x:v>
      </x:c>
      <x:c r="O3098" s="17" t="str">
        <x:v>Live group page checked 2026-09-11.</x:v>
      </x:c>
      <x:c r="P3098" s="18" t="e">
        <x:f>HYPERLINK("https://computing.njit.edu/software-engineering-and-programming-languages","Open source")</x:f>
        <x:v>HYPERLINK is not implemented. linkLocation=https://computing.njit.edu/software-engineering-and-programming-languages, friendlyName=Open source</x:v>
      </x:c>
    </x:row>
    <x:row r="3099" ht="46" customHeight="1">
      <x:c r="A3099" s="17" t="str">
        <x:v>stage4src:6a0885804dd9f3f2</x:v>
      </x:c>
      <x:c r="B3099" s="17" t="str">
        <x:v>professor</x:v>
      </x:c>
      <x:c r="C3099" s="17" t="str">
        <x:v>University of Massachusetts-Lowell</x:v>
      </x:c>
      <x:c r="D3099" s="17" t="str">
        <x:v>us:ipeds:166513:program:phd:doctor-of-philosophy-ph-d-in-computer-science</x:v>
      </x:c>
      <x:c r="E3099" s="17" t="str"/>
      <x:c r="F3099" s="17" t="str">
        <x:v>current faculty roster|candidate longlist</x:v>
      </x:c>
      <x:c r="G3099" s="17" t="str">
        <x:v>Current official department roster or research-area faculty listing used to identify the five-person Stage 4 candidate longlist.</x:v>
      </x:c>
      <x:c r="H3099" s="17" t="str">
        <x:v>University of Massachusetts-Lowell current faculty roster</x:v>
      </x:c>
      <x:c r="I3099" s="17" t="str">
        <x:v>University of Massachusetts-Lowell</x:v>
      </x:c>
      <x:c r="J3099" s="17" t="str">
        <x:v>official</x:v>
      </x:c>
      <x:c r="K3099" s="17" t="str">
        <x:v>2026-09-11</x:v>
      </x:c>
      <x:c r="L3099" s="17" t="str"/>
      <x:c r="M3099" s="17" t="str">
        <x:v>high</x:v>
      </x:c>
      <x:c r="N3099" s="17" t="str">
        <x:v>verified</x:v>
      </x:c>
      <x:c r="O3099" s="17" t="str">
        <x:v>Roster evidence establishes a current listing, not program-specific supervision authority or recruiting.</x:v>
      </x:c>
      <x:c r="P3099" s="18" t="e">
        <x:f>HYPERLINK("https://www.uml.edu/sciences/computer-science/people/faculty.aspx","Open source")</x:f>
        <x:v>HYPERLINK is not implemented. linkLocation=https://www.uml.edu/sciences/computer-science/people/faculty.aspx, friendlyName=Open source</x:v>
      </x:c>
    </x:row>
    <x:row r="3100" ht="46" customHeight="1">
      <x:c r="A3100" s="17" t="str">
        <x:v>stage4src:6aba2db82d8d1102</x:v>
      </x:c>
      <x:c r="B3100" s="17" t="str">
        <x:v>professor</x:v>
      </x:c>
      <x:c r="C3100" s="17" t="str">
        <x:v>University of Kansas</x:v>
      </x:c>
      <x:c r="D3100" s="17" t="str">
        <x:v>us:ipeds:155317:program:phd:doctor-of-philosophy-in-computer-science</x:v>
      </x:c>
      <x:c r="E3100" s="17" t="str">
        <x:v>us:ipeds:155317:faculty:perry-alexander</x:v>
      </x:c>
      <x:c r="F3100" s="17" t="str">
        <x:v>current doctoral supervision authority</x:v>
      </x:c>
      <x:c r="G3100" s="17" t="str">
        <x:v>The official 2025 defense record identifies Perry Alexander as chair of a doctoral defense.</x:v>
      </x:c>
      <x:c r="H3100" s="17" t="str">
        <x:v>KU EECS defense notices</x:v>
      </x:c>
      <x:c r="I3100" s="17" t="str">
        <x:v>University of Kansas</x:v>
      </x:c>
      <x:c r="J3100" s="17" t="str">
        <x:v>official</x:v>
      </x:c>
      <x:c r="K3100" s="17" t="str">
        <x:v>2026-09-11</x:v>
      </x:c>
      <x:c r="L3100" s="17" t="str">
        <x:v>2025</x:v>
      </x:c>
      <x:c r="M3100" s="17" t="str">
        <x:v>high</x:v>
      </x:c>
      <x:c r="N3100" s="17" t="str">
        <x:v>verified</x:v>
      </x:c>
      <x:c r="O3100" s="17" t="str">
        <x:v>Official defense record checked 2026-09-10.</x:v>
      </x:c>
      <x:c r="P3100" s="18" t="e">
        <x:f>HYPERLINK("https://eecs.ku.edu/defense-notices?page=%2C6","Open source")</x:f>
        <x:v>HYPERLINK is not implemented. linkLocation=https://eecs.ku.edu/defense-notices?page=%2C6, friendlyName=Open source</x:v>
      </x:c>
    </x:row>
    <x:row r="3101" ht="46" customHeight="1">
      <x:c r="A3101" s="17" t="str">
        <x:v>stage4src:6b251a935a1c9410</x:v>
      </x:c>
      <x:c r="B3101" s="17" t="str">
        <x:v>professor</x:v>
      </x:c>
      <x:c r="C3101" s="17" t="str">
        <x:v>Wichita State University</x:v>
      </x:c>
      <x:c r="D3101" s="17" t="str">
        <x:v>us:ipeds:156125:program:phd:phd-in-electrical-engineering-and-computer-science</x:v>
      </x:c>
      <x:c r="E3101" s="17" t="str">
        <x:v>us:ipeds:156125:faculty:sergio-salinas-monroy</x:v>
      </x:c>
      <x:c r="F3101" s="17" t="str">
        <x:v>current appointment|email|research themes</x:v>
      </x:c>
      <x:c r="G3101" s="17" t="str">
        <x:v>Wichita State lists Salinas Monroy as an Associate Professor working on cyber-physical, network, critical-infrastructure, edge, and privacy security.</x:v>
      </x:c>
      <x:c r="H3101" s="17" t="str">
        <x:v>Sergio Salinas Monroy</x:v>
      </x:c>
      <x:c r="I3101" s="17" t="str">
        <x:v>Wichita State University</x:v>
      </x:c>
      <x:c r="J3101" s="17" t="str">
        <x:v>official</x:v>
      </x:c>
      <x:c r="K3101" s="17" t="str">
        <x:v>2026-09-11</x:v>
      </x:c>
      <x:c r="L3101" s="17" t="str">
        <x:v>2026</x:v>
      </x:c>
      <x:c r="M3101" s="17" t="str">
        <x:v>high</x:v>
      </x:c>
      <x:c r="N3101" s="17" t="str">
        <x:v>verified</x:v>
      </x:c>
      <x:c r="O3101" s="17" t="str">
        <x:v>Live official profile checked 2026-09-11.</x:v>
      </x:c>
      <x:c r="P3101" s="18" t="e">
        <x:f>HYPERLINK("https://www.wichita.edu/profiles/academics/engineering/ECE/01_Faculty/Salinas-Sergio.php","Open source")</x:f>
        <x:v>HYPERLINK is not implemented. linkLocation=https://www.wichita.edu/profiles/academics/engineering/ECE/01_Faculty/Salinas-Sergio.php, friendlyName=Open source</x:v>
      </x:c>
    </x:row>
    <x:row r="3102" ht="46" customHeight="1">
      <x:c r="A3102" s="17" t="str">
        <x:v>stage4src:6b444364e0e6d375</x:v>
      </x:c>
      <x:c r="B3102" s="17" t="str">
        <x:v>professor</x:v>
      </x:c>
      <x:c r="C3102" s="17" t="str">
        <x:v>Boise State University</x:v>
      </x:c>
      <x:c r="D3102" s="17" t="str">
        <x:v>us:ipeds:142115:program:phd:computing-phd-computer-science-or-cybersecurity-emphasis</x:v>
      </x:c>
      <x:c r="E3102" s="17" t="str">
        <x:v>us:ipeds:142115:faculty:elena-sherman</x:v>
      </x:c>
      <x:c r="F3102" s="17" t="str">
        <x:v>current appointment|research themes|email</x:v>
      </x:c>
      <x:c r="G3102" s="17" t="str">
        <x:v>The current profile identifies Sherman as Associate Professor and records program-analysis, testing, symbolic-execution, and decision-procedure research.</x:v>
      </x:c>
      <x:c r="H3102" s="17" t="str">
        <x:v>Elena Sherman</x:v>
      </x:c>
      <x:c r="I3102" s="17" t="str">
        <x:v>Boise State University</x:v>
      </x:c>
      <x:c r="J3102" s="17" t="str">
        <x:v>official</x:v>
      </x:c>
      <x:c r="K3102" s="17" t="str">
        <x:v>2026-09-11</x:v>
      </x:c>
      <x:c r="L3102" s="17" t="str">
        <x:v>2026</x:v>
      </x:c>
      <x:c r="M3102" s="17" t="str">
        <x:v>high</x:v>
      </x:c>
      <x:c r="N3102" s="17" t="str">
        <x:v>verified</x:v>
      </x:c>
      <x:c r="O3102" s="17" t="str">
        <x:v>Current official profile checked 2026-09-10.</x:v>
      </x:c>
      <x:c r="P3102" s="18" t="e">
        <x:f>HYPERLINK("https://www.boisestate.edu/coen-cs/people/faculty/elena-sherman/","Open source")</x:f>
        <x:v>HYPERLINK is not implemented. linkLocation=https://www.boisestate.edu/coen-cs/people/faculty/elena-sherman/, friendlyName=Open source</x:v>
      </x:c>
    </x:row>
    <x:row r="3103" ht="46" customHeight="1">
      <x:c r="A3103" s="17" t="str">
        <x:v>stage4src:6b6bf269f81d029c</x:v>
      </x:c>
      <x:c r="B3103" s="17" t="str">
        <x:v>professor</x:v>
      </x:c>
      <x:c r="C3103" s="17" t="str">
        <x:v>Carnegie Mellon University</x:v>
      </x:c>
      <x:c r="D3103" s="17" t="str">
        <x:v>us:ipeds:211440:program:phd:software-engineering-phd</x:v>
      </x:c>
      <x:c r="E3103" s="17" t="str">
        <x:v>us:ipeds:211440:faculty:claire-le-goues</x:v>
      </x:c>
      <x:c r="F3103" s="17" t="str">
        <x:v>recent work|research fit</x:v>
      </x:c>
      <x:c r="G3103" s="17" t="str">
        <x:v>Current AI/software-engineering project evidence</x:v>
      </x:c>
      <x:c r="H3103" s="17" t="str">
        <x:v>Humans in Software Engineering</x:v>
      </x:c>
      <x:c r="I3103" s="17" t="str">
        <x:v>Carnegie Mellon University</x:v>
      </x:c>
      <x:c r="J3103" s="17" t="str">
        <x:v>official</x:v>
      </x:c>
      <x:c r="K3103" s="17" t="str">
        <x:v>2026-09-11</x:v>
      </x:c>
      <x:c r="L3103" s="17" t="str">
        <x:v>2026</x:v>
      </x:c>
      <x:c r="M3103" s="17" t="str">
        <x:v>high</x:v>
      </x:c>
      <x:c r="N3103" s="17" t="str">
        <x:v>verified</x:v>
      </x:c>
      <x:c r="O3103" s="17" t="str"/>
      <x:c r="P3103" s="18" t="e">
        <x:f>HYPERLINK("https://s3d.cmu.edu/news/2026/0728-humans-in-se.html","Open source")</x:f>
        <x:v>HYPERLINK is not implemented. linkLocation=https://s3d.cmu.edu/news/2026/0728-humans-in-se.html, friendlyName=Open source</x:v>
      </x:c>
    </x:row>
    <x:row r="3104" ht="46" customHeight="1">
      <x:c r="A3104" s="17" t="str">
        <x:v>stage4src:6bb5fb20cae6b2d1</x:v>
      </x:c>
      <x:c r="B3104" s="17" t="str">
        <x:v>professor</x:v>
      </x:c>
      <x:c r="C3104" s="17" t="str">
        <x:v>University of Florence</x:v>
      </x:c>
      <x:c r="D3104" s="17" t="str">
        <x:v>ror:04jr1s763:program:thesis-or-research-master-s:msc-in-software-science-and-technology</x:v>
      </x:c>
      <x:c r="E3104" s="17" t="str">
        <x:v>ror:04jr1s763:faculty:andrea-ceccarelli</x:v>
      </x:c>
      <x:c r="F3104" s="17" t="str">
        <x:v>current appointment|research themes|recent work|thesis contact|strong fit</x:v>
      </x:c>
      <x:c r="G3104" s="17" t="str">
        <x:v>Florence lists Ceccarelli as current Associate Professor, records 2024 anomaly and intrusion-detection work, and invites master's-thesis contact.</x:v>
      </x:c>
      <x:c r="H3104" s="17" t="str">
        <x:v>Andrea Ceccarelli</x:v>
      </x:c>
      <x:c r="I3104" s="17" t="str">
        <x:v>University of Florence</x:v>
      </x:c>
      <x:c r="J3104" s="17" t="str">
        <x:v>official</x:v>
      </x:c>
      <x:c r="K3104" s="17" t="str">
        <x:v>2026-09-11</x:v>
      </x:c>
      <x:c r="L3104" s="17" t="str">
        <x:v>2024</x:v>
      </x:c>
      <x:c r="M3104" s="17" t="str">
        <x:v>high</x:v>
      </x:c>
      <x:c r="N3104" s="17" t="str">
        <x:v>verified</x:v>
      </x:c>
      <x:c r="O3104" s="17" t="str">
        <x:v>Live official profile checked 2026-09-11; thesis contact invitation does not guarantee capacity.</x:v>
      </x:c>
      <x:c r="P3104" s="18" t="e">
        <x:f>HYPERLINK("https://cercachi.unifi.it/p-doc2-0-0-A-3f2b342f372e2b.html","Open source")</x:f>
        <x:v>HYPERLINK is not implemented. linkLocation=https://cercachi.unifi.it/p-doc2-0-0-A-3f2b342f372e2b.html, friendlyName=Open source</x:v>
      </x:c>
    </x:row>
    <x:row r="3105" ht="46" customHeight="1">
      <x:c r="A3105" s="17" t="str">
        <x:v>stage4src:6bfa549cd325d621</x:v>
      </x:c>
      <x:c r="B3105" s="17" t="str">
        <x:v>professor</x:v>
      </x:c>
      <x:c r="C3105" s="17" t="str">
        <x:v>Southern Methodist University</x:v>
      </x:c>
      <x:c r="D3105" s="17" t="str">
        <x:v>us:ipeds:228246:program:phd:ph-d-in-computer-science</x:v>
      </x:c>
      <x:c r="E3105" s="17" t="str">
        <x:v>us:ipeds:228246:faculty:jia-zhang</x:v>
      </x:c>
      <x:c r="F3105" s="17" t="str">
        <x:v>current faculty roster|candidate longlist</x:v>
      </x:c>
      <x:c r="G3105" s="17" t="str">
        <x:v>The current roster lists Zhang and the four encoded alternatives as Computer Science faculty.</x:v>
      </x:c>
      <x:c r="H3105" s="17" t="str">
        <x:v>Computer Science Faculty</x:v>
      </x:c>
      <x:c r="I3105" s="17" t="str">
        <x:v>Southern Methodist University</x:v>
      </x:c>
      <x:c r="J3105" s="17" t="str">
        <x:v>official</x:v>
      </x:c>
      <x:c r="K3105" s="17" t="str">
        <x:v>2026-09-11</x:v>
      </x:c>
      <x:c r="L3105" s="17" t="str">
        <x:v>2026</x:v>
      </x:c>
      <x:c r="M3105" s="17" t="str">
        <x:v>high</x:v>
      </x:c>
      <x:c r="N3105" s="17" t="str">
        <x:v>verified</x:v>
      </x:c>
      <x:c r="O3105" s="17" t="str">
        <x:v>Official roster checked 2026-09-11.</x:v>
      </x:c>
      <x:c r="P3105" s="18" t="e">
        <x:f>HYPERLINK("https://www.smu.edu/lyle/departments/cs/people/faculty","Open source")</x:f>
        <x:v>HYPERLINK is not implemented. linkLocation=https://www.smu.edu/lyle/departments/cs/people/faculty, friendlyName=Open source</x:v>
      </x:c>
    </x:row>
    <x:row r="3106" ht="46" customHeight="1">
      <x:c r="A3106" s="17" t="str">
        <x:v>stage4src:6c6df417836d0596</x:v>
      </x:c>
      <x:c r="B3106" s="17" t="str">
        <x:v>professor</x:v>
      </x:c>
      <x:c r="C3106" s="17" t="str">
        <x:v>University of Wisconsin-Milwaukee</x:v>
      </x:c>
      <x:c r="D3106" s="17" t="str">
        <x:v>us:ipeds:240453:program:phd:computer-science-phd</x:v>
      </x:c>
      <x:c r="E3106" s="17" t="str">
        <x:v>us:ipeds:240453:faculty:tian-zhao</x:v>
      </x:c>
      <x:c r="F3106" s="17" t="str">
        <x:v>current faculty mentorship|recruiting uncertainty</x:v>
      </x:c>
      <x:c r="G3106" s="17" t="str">
        <x:v>UWM identifies Zhao as a current faculty mentor; the announcement does not establish a doctoral opening.</x:v>
      </x:c>
      <x:c r="H3106" s="17" t="str">
        <x:v>NMDSI student research scholars</x:v>
      </x:c>
      <x:c r="I3106" s="17" t="str">
        <x:v>University of Wisconsin-Milwaukee</x:v>
      </x:c>
      <x:c r="J3106" s="17" t="str">
        <x:v>official</x:v>
      </x:c>
      <x:c r="K3106" s="17" t="str">
        <x:v>2026-09-11</x:v>
      </x:c>
      <x:c r="L3106" s="17" t="str">
        <x:v>2025</x:v>
      </x:c>
      <x:c r="M3106" s="17" t="str">
        <x:v>high</x:v>
      </x:c>
      <x:c r="N3106" s="17" t="str">
        <x:v>verified</x:v>
      </x:c>
      <x:c r="O3106" s="17" t="str">
        <x:v>Official announcement checked 2026-09-11.</x:v>
      </x:c>
      <x:c r="P3106" s="18" t="e">
        <x:f>HYPERLINK("https://uwm.edu/engineering/six-nmdsi-student-research-scholars-from-the-college-named/","Open source")</x:f>
        <x:v>HYPERLINK is not implemented. linkLocation=https://uwm.edu/engineering/six-nmdsi-student-research-scholars-from-the-college-named/, friendlyName=Open source</x:v>
      </x:c>
    </x:row>
    <x:row r="3107" ht="46" customHeight="1">
      <x:c r="A3107" s="17" t="str">
        <x:v>stage4src:6ce370f8ce07af18</x:v>
      </x:c>
      <x:c r="B3107" s="17" t="str">
        <x:v>professor</x:v>
      </x:c>
      <x:c r="C3107" s="17" t="str">
        <x:v>University of Victoria</x:v>
      </x:c>
      <x:c r="D3107" s="17" t="str">
        <x:v>ca:dli:O19280533442:program:thesis-or-research-master-s:master-of-applied-science-in-electrical-and-computer-engineering</x:v>
      </x:c>
      <x:c r="E3107" s="17" t="str">
        <x:v>ca:dli:O19280533442:faculty:issa-traor</x:v>
      </x:c>
      <x:c r="F3107" s="17" t="str">
        <x:v>current appointment|research themes|email</x:v>
      </x:c>
      <x:c r="G3107" s="17" t="str">
        <x:v>UVic lists Traoré as a current ECE Professor and provides his email and software-security, quality, and formal-methods research areas.</x:v>
      </x:c>
      <x:c r="H3107" s="17" t="str">
        <x:v>Issa Traoré</x:v>
      </x:c>
      <x:c r="I3107" s="17" t="str">
        <x:v>University of Victoria</x:v>
      </x:c>
      <x:c r="J3107" s="17" t="str">
        <x:v>official</x:v>
      </x:c>
      <x:c r="K3107" s="17" t="str">
        <x:v>2026-09-11</x:v>
      </x:c>
      <x:c r="L3107" s="17" t="str">
        <x:v>2026</x:v>
      </x:c>
      <x:c r="M3107" s="17" t="str">
        <x:v>high</x:v>
      </x:c>
      <x:c r="N3107" s="17" t="str">
        <x:v>verified</x:v>
      </x:c>
      <x:c r="O3107" s="17" t="str">
        <x:v>Current official profile checked 2026-09-10.</x:v>
      </x:c>
      <x:c r="P3107" s="18" t="e">
        <x:f>HYPERLINK("https://www.uvic.ca/ecs/ece/faculty-and-staff/home/faculty/traoreissa.php","Open source")</x:f>
        <x:v>HYPERLINK is not implemented. linkLocation=https://www.uvic.ca/ecs/ece/faculty-and-staff/home/faculty/traoreissa.php, friendlyName=Open source</x:v>
      </x:c>
    </x:row>
    <x:row r="3108" ht="46" customHeight="1">
      <x:c r="A3108" s="17" t="str">
        <x:v>stage4src:6d0602f2c343b05d</x:v>
      </x:c>
      <x:c r="B3108" s="17" t="str">
        <x:v>professor</x:v>
      </x:c>
      <x:c r="C3108" s="17" t="str">
        <x:v>University of Rhode Island</x:v>
      </x:c>
      <x:c r="D3108" s="17" t="str">
        <x:v>us:ipeds:217484:program:phd:computer-science-ph-d</x:v>
      </x:c>
      <x:c r="E3108" s="17" t="str">
        <x:v>us:ipeds:217484:faculty:kaleel-mahmood</x:v>
      </x:c>
      <x:c r="F3108" s="17" t="str">
        <x:v>recent work|research fit</x:v>
      </x:c>
      <x:c r="G3108" s="17" t="str">
        <x:v>The 2024 work analyzes and improves a black-box adversarial attack through reinforcement learning.</x:v>
      </x:c>
      <x:c r="H3108" s="17" t="str">
        <x:v>Theoretical Corrections and Leveraging Reinforcement Learning to Enhance Triangle Attack</x:v>
      </x:c>
      <x:c r="I3108" s="17" t="str">
        <x:v>OpenAlex / cited venue</x:v>
      </x:c>
      <x:c r="J3108" s="17" t="str">
        <x:v>secondary</x:v>
      </x:c>
      <x:c r="K3108" s="17" t="str">
        <x:v>2026-09-11</x:v>
      </x:c>
      <x:c r="L3108" s="17" t="str">
        <x:v>2024</x:v>
      </x:c>
      <x:c r="M3108" s="17" t="str">
        <x:v>high</x:v>
      </x:c>
      <x:c r="N3108" s="17" t="str">
        <x:v>verified</x:v>
      </x:c>
      <x:c r="O3108" s="17" t="str">
        <x:v>Author-posted record checked 2026-09-11.</x:v>
      </x:c>
      <x:c r="P3108" s="18" t="e">
        <x:f>HYPERLINK("https://arxiv.org/abs/2411.12071","Open source")</x:f>
        <x:v>HYPERLINK is not implemented. linkLocation=https://arxiv.org/abs/2411.12071, friendlyName=Open source</x:v>
      </x:c>
    </x:row>
    <x:row r="3109" ht="46" customHeight="1">
      <x:c r="A3109" s="17" t="str">
        <x:v>stage4src:6d66773766c60216</x:v>
      </x:c>
      <x:c r="B3109" s="17" t="str">
        <x:v>professor</x:v>
      </x:c>
      <x:c r="C3109" s="17" t="str">
        <x:v>University of Maryland-Baltimore County</x:v>
      </x:c>
      <x:c r="D3109" s="17" t="str">
        <x:v>us:ipeds:163268:program:phd:phd-in-computer-science</x:v>
      </x:c>
      <x:c r="E3109" s="17" t="str">
        <x:v>us:ipeds:163268:faculty:anupam-joshi</x:v>
      </x:c>
      <x:c r="F3109" s="17" t="str">
        <x:v>current appointment|research themes|email</x:v>
      </x:c>
      <x:c r="G3109" s="17" t="str">
        <x:v>The current profile identifies Joshi as Oros Family Professor of CSEE and documents AI-security, privacy, policy, and data research.</x:v>
      </x:c>
      <x:c r="H3109" s="17" t="str">
        <x:v>Anupam Joshi</x:v>
      </x:c>
      <x:c r="I3109" s="17" t="str">
        <x:v>University of Maryland-Baltimore County</x:v>
      </x:c>
      <x:c r="J3109" s="17" t="str">
        <x:v>official</x:v>
      </x:c>
      <x:c r="K3109" s="17" t="str">
        <x:v>2026-09-11</x:v>
      </x:c>
      <x:c r="L3109" s="17" t="str">
        <x:v>2026</x:v>
      </x:c>
      <x:c r="M3109" s="17" t="str">
        <x:v>high</x:v>
      </x:c>
      <x:c r="N3109" s="17" t="str">
        <x:v>verified</x:v>
      </x:c>
      <x:c r="O3109" s="17" t="str">
        <x:v>Current official profile checked 2026-09-10.</x:v>
      </x:c>
      <x:c r="P3109" s="18" t="e">
        <x:f>HYPERLINK("https://www.csee.umbc.edu/people/tenure-track-faculty/anupam-joshi-3/","Open source")</x:f>
        <x:v>HYPERLINK is not implemented. linkLocation=https://www.csee.umbc.edu/people/tenure-track-faculty/anupam-joshi-3/, friendlyName=Open source</x:v>
      </x:c>
    </x:row>
    <x:row r="3110" ht="46" customHeight="1">
      <x:c r="A3110" s="17" t="str">
        <x:v>stage4src:6d713874b2961713</x:v>
      </x:c>
      <x:c r="B3110" s="17" t="str">
        <x:v>professor</x:v>
      </x:c>
      <x:c r="C3110" s="17" t="str">
        <x:v>University of Minnesota-Twin Cities</x:v>
      </x:c>
      <x:c r="D3110" s="17" t="str">
        <x:v>us:ipeds:174066:program:phd:computer-science-phd</x:v>
      </x:c>
      <x:c r="E3110" s="17" t="str">
        <x:v>us:ipeds:174066:faculty:kangjie-lu</x:v>
      </x:c>
      <x:c r="F3110" s="17" t="str">
        <x:v>current appointment|program supervision authority|research themes|recruiting|contact instructions</x:v>
      </x:c>
      <x:c r="G3110" s="17" t="str">
        <x:v>Current Associate Professor profile documents systems security, software analysis, cloud infrastructure research, current PhD advisees, and an explicit invitation to prospective PhD students.</x:v>
      </x:c>
      <x:c r="H3110" s="17" t="str">
        <x:v>Kangjie Lu</x:v>
      </x:c>
      <x:c r="I3110" s="17" t="str">
        <x:v>University of Minnesota-Twin Cities</x:v>
      </x:c>
      <x:c r="J3110" s="17" t="str">
        <x:v>official</x:v>
      </x:c>
      <x:c r="K3110" s="17" t="str">
        <x:v>2026-09-11</x:v>
      </x:c>
      <x:c r="L3110" s="17" t="str">
        <x:v>2026</x:v>
      </x:c>
      <x:c r="M3110" s="17" t="str">
        <x:v>high</x:v>
      </x:c>
      <x:c r="N3110" s="17" t="str">
        <x:v>verified</x:v>
      </x:c>
      <x:c r="O3110" s="17" t="str">
        <x:v>Current university-hosted profile checked 2026-09-10.</x:v>
      </x:c>
      <x:c r="P3110" s="18" t="e">
        <x:f>HYPERLINK("https://www-users.cse.umn.edu/~kjlu/","Open source")</x:f>
        <x:v>HYPERLINK is not implemented. linkLocation=https://www-users.cse.umn.edu/~kjlu/, friendlyName=Open source</x:v>
      </x:c>
    </x:row>
    <x:row r="3111" ht="46" customHeight="1">
      <x:c r="A3111" s="17" t="str">
        <x:v>stage4src:6d91c1c578e0995c</x:v>
      </x:c>
      <x:c r="B3111" s="17" t="str">
        <x:v>professor</x:v>
      </x:c>
      <x:c r="C3111" s="17" t="str">
        <x:v>Simon Fraser University</x:v>
      </x:c>
      <x:c r="D3111" s="17" t="str">
        <x:v>ca:dli:O18781994282:program:thesis-or-research-master-s:master-of-applied-science-in-engineering-science</x:v>
      </x:c>
      <x:c r="E3111" s="17" t="str">
        <x:v>ca:dli:O18781994282:faculty:zhenman-fang</x:v>
      </x:c>
      <x:c r="F3111" s="17" t="str">
        <x:v>active projects|recruiting|prospective-student instructions</x:v>
      </x:c>
      <x:c r="G3111" s="17" t="str">
        <x:v>Fang invites PhD and MASc applicants, describes funded research master's study, and gives email-document instructions for HiAccel openings.</x:v>
      </x:c>
      <x:c r="H3111" s="17" t="str">
        <x:v>Zhenman Fang and HiAccel</x:v>
      </x:c>
      <x:c r="I3111" s="17" t="str">
        <x:v>Simon Fraser University</x:v>
      </x:c>
      <x:c r="J3111" s="17" t="str">
        <x:v>official</x:v>
      </x:c>
      <x:c r="K3111" s="17" t="str">
        <x:v>2026-09-11</x:v>
      </x:c>
      <x:c r="L3111" s="17" t="str">
        <x:v>2026</x:v>
      </x:c>
      <x:c r="M3111" s="17" t="str">
        <x:v>high</x:v>
      </x:c>
      <x:c r="N3111" s="17" t="str">
        <x:v>verified</x:v>
      </x:c>
      <x:c r="O3111" s="17" t="str">
        <x:v>University-hosted page checked 2026-09-11; Fall 2027 capacity requires confirmation.</x:v>
      </x:c>
      <x:c r="P3111" s="18" t="e">
        <x:f>HYPERLINK("https://www.sfu.ca/~zhenman/","Open source")</x:f>
        <x:v>HYPERLINK is not implemented. linkLocation=https://www.sfu.ca/~zhenman/, friendlyName=Open source</x:v>
      </x:c>
    </x:row>
    <x:row r="3112" ht="46" customHeight="1">
      <x:c r="A3112" s="17" t="str">
        <x:v>stage4src:6dc6b90e43ff6944</x:v>
      </x:c>
      <x:c r="B3112" s="17" t="str">
        <x:v>professor</x:v>
      </x:c>
      <x:c r="C3112" s="17" t="str">
        <x:v>The University of Tennessee-Knoxville</x:v>
      </x:c>
      <x:c r="D3112" s="17" t="str">
        <x:v>us:ipeds:221759:program:phd:computer-science-phd</x:v>
      </x:c>
      <x:c r="E3112" s="17" t="str">
        <x:v>us:ipeds:221759:faculty:audris-mockus</x:v>
      </x:c>
      <x:c r="F3112" s="17" t="str">
        <x:v>current appointment|research themes|email</x:v>
      </x:c>
      <x:c r="G3112" s="17" t="str">
        <x:v>The current EECS profile lists Mockus as the Ericsson-Harlan Mills Chair Professor and provides his email and software-engineering research themes.</x:v>
      </x:c>
      <x:c r="H3112" s="17" t="str">
        <x:v>Audris Mockus</x:v>
      </x:c>
      <x:c r="I3112" s="17" t="str">
        <x:v>The University of Tennessee-Knoxville</x:v>
      </x:c>
      <x:c r="J3112" s="17" t="str">
        <x:v>official</x:v>
      </x:c>
      <x:c r="K3112" s="17" t="str">
        <x:v>2026-09-11</x:v>
      </x:c>
      <x:c r="L3112" s="17" t="str">
        <x:v>2026</x:v>
      </x:c>
      <x:c r="M3112" s="17" t="str">
        <x:v>high</x:v>
      </x:c>
      <x:c r="N3112" s="17" t="str">
        <x:v>verified</x:v>
      </x:c>
      <x:c r="O3112" s="17" t="str">
        <x:v>Current official profile checked 2026-09-10.</x:v>
      </x:c>
      <x:c r="P3112" s="18" t="e">
        <x:f>HYPERLINK("https://eecs.utk.edu/people/audris-mockus/","Open source")</x:f>
        <x:v>HYPERLINK is not implemented. linkLocation=https://eecs.utk.edu/people/audris-mockus/, friendlyName=Open source</x:v>
      </x:c>
    </x:row>
    <x:row r="3113" ht="46" customHeight="1">
      <x:c r="A3113" s="17" t="str">
        <x:v>stage4src:6ddeb8177e71ad3a</x:v>
      </x:c>
      <x:c r="B3113" s="17" t="str">
        <x:v>professor</x:v>
      </x:c>
      <x:c r="C3113" s="17" t="str">
        <x:v>University of Cincinnati-Main Campus</x:v>
      </x:c>
      <x:c r="D3113" s="17" t="str">
        <x:v>us:ipeds:201885:program:phd:ph-d-in-computer-science-and-engineering</x:v>
      </x:c>
      <x:c r="E3113" s="17" t="str">
        <x:v>us:ipeds:201885:faculty:yu-zhao</x:v>
      </x:c>
      <x:c r="F3113" s="17" t="str">
        <x:v>recent work|automated testing|research fit</x:v>
      </x:c>
      <x:c r="G3113" s="17" t="str">
        <x:v>The 2024 TOSEM article supports current automated Android testing and reinforcement-learning overlap.</x:v>
      </x:c>
      <x:c r="H3113" s="17" t="str">
        <x:v>DinoDroid: Testing Android Apps Using Deep Q-Networks</x:v>
      </x:c>
      <x:c r="I3113" s="17" t="str">
        <x:v>OpenAlex / cited venue</x:v>
      </x:c>
      <x:c r="J3113" s="17" t="str">
        <x:v>secondary</x:v>
      </x:c>
      <x:c r="K3113" s="17" t="str">
        <x:v>2026-09-11</x:v>
      </x:c>
      <x:c r="L3113" s="17" t="str">
        <x:v>2024</x:v>
      </x:c>
      <x:c r="M3113" s="17" t="str">
        <x:v>high</x:v>
      </x:c>
      <x:c r="N3113" s="17" t="str">
        <x:v>verified</x:v>
      </x:c>
      <x:c r="O3113" s="17" t="str">
        <x:v>DOI and public NSF manuscript metadata checked 2026-09-10.</x:v>
      </x:c>
      <x:c r="P3113" s="18" t="e">
        <x:f>HYPERLINK("https://doi.org/10.1145/3652150","Open source")</x:f>
        <x:v>HYPERLINK is not implemented. linkLocation=https://doi.org/10.1145/3652150, friendlyName=Open source</x:v>
      </x:c>
    </x:row>
    <x:row r="3114" ht="46" customHeight="1">
      <x:c r="A3114" s="17" t="str">
        <x:v>stage4src:6df13c13c8772237</x:v>
      </x:c>
      <x:c r="B3114" s="17" t="str">
        <x:v>professor</x:v>
      </x:c>
      <x:c r="C3114" s="17" t="str">
        <x:v>Oregon State University</x:v>
      </x:c>
      <x:c r="D3114" s="17" t="str">
        <x:v>us:ipeds:209542:program:phd:computer-science-phd</x:v>
      </x:c>
      <x:c r="E3114" s="17" t="str"/>
      <x:c r="F3114" s="17" t="str">
        <x:v>current faculty roster|candidate longlist</x:v>
      </x:c>
      <x:c r="G3114" s="17" t="str">
        <x:v>Current official department roster or research-area faculty listing used to identify the five-person Stage 4 candidate longlist.</x:v>
      </x:c>
      <x:c r="H3114" s="17" t="str">
        <x:v>Oregon State University current faculty roster</x:v>
      </x:c>
      <x:c r="I3114" s="17" t="str">
        <x:v>Oregon State University</x:v>
      </x:c>
      <x:c r="J3114" s="17" t="str">
        <x:v>official</x:v>
      </x:c>
      <x:c r="K3114" s="17" t="str">
        <x:v>2026-09-11</x:v>
      </x:c>
      <x:c r="L3114" s="17" t="str"/>
      <x:c r="M3114" s="17" t="str">
        <x:v>high</x:v>
      </x:c>
      <x:c r="N3114" s="17" t="str">
        <x:v>verified</x:v>
      </x:c>
      <x:c r="O3114" s="17" t="str">
        <x:v>Roster evidence establishes a current listing, not program-specific supervision authority or recruiting.</x:v>
      </x:c>
      <x:c r="P3114" s="18" t="e">
        <x:f>HYPERLINK("https://engineering.oregonstate.edu/EECS/research/software-engineering-and-human-computer-interaction","Open source")</x:f>
        <x:v>HYPERLINK is not implemented. linkLocation=https://engineering.oregonstate.edu/EECS/research/software-engineering-and-human-computer-interaction, friendlyName=Open source</x:v>
      </x:c>
    </x:row>
    <x:row r="3115" ht="46" customHeight="1">
      <x:c r="A3115" s="17" t="str">
        <x:v>stage4src:6e3182f0ab7070ac</x:v>
      </x:c>
      <x:c r="B3115" s="17" t="str">
        <x:v>professor</x:v>
      </x:c>
      <x:c r="C3115" s="17" t="str">
        <x:v>University of Utah</x:v>
      </x:c>
      <x:c r="D3115" s="17" t="str">
        <x:v>us:ipeds:230764:program:phd:computing-phd</x:v>
      </x:c>
      <x:c r="E3115" s="17" t="str"/>
      <x:c r="F3115" s="17" t="str">
        <x:v>current faculty roster|candidate longlist</x:v>
      </x:c>
      <x:c r="G3115" s="17" t="str">
        <x:v>Current official department roster or research-area faculty listing used to identify the five-person Stage 4 candidate longlist.</x:v>
      </x:c>
      <x:c r="H3115" s="17" t="str">
        <x:v>University of Utah current faculty roster</x:v>
      </x:c>
      <x:c r="I3115" s="17" t="str">
        <x:v>University of Utah</x:v>
      </x:c>
      <x:c r="J3115" s="17" t="str">
        <x:v>official</x:v>
      </x:c>
      <x:c r="K3115" s="17" t="str">
        <x:v>2026-09-11</x:v>
      </x:c>
      <x:c r="L3115" s="17" t="str"/>
      <x:c r="M3115" s="17" t="str">
        <x:v>high</x:v>
      </x:c>
      <x:c r="N3115" s="17" t="str">
        <x:v>verified</x:v>
      </x:c>
      <x:c r="O3115" s="17" t="str">
        <x:v>Roster evidence establishes a current listing, not program-specific supervision authority or recruiting.</x:v>
      </x:c>
      <x:c r="P3115" s="18" t="e">
        <x:f>HYPERLINK("https://www.cs.utah.edu/people/faculty/","Open source")</x:f>
        <x:v>HYPERLINK is not implemented. linkLocation=https://www.cs.utah.edu/people/faculty/, friendlyName=Open source</x:v>
      </x:c>
    </x:row>
    <x:row r="3116" ht="46" customHeight="1">
      <x:c r="A3116" s="17" t="str">
        <x:v>stage4src:6e6de41a07982f2d</x:v>
      </x:c>
      <x:c r="B3116" s="17" t="str">
        <x:v>professor</x:v>
      </x:c>
      <x:c r="C3116" s="17" t="str">
        <x:v>Oklahoma State University-Main Campus</x:v>
      </x:c>
      <x:c r="D3116" s="17" t="str">
        <x:v>us:ipeds:207388:program:phd:doctor-of-philosophy-in-computer-science</x:v>
      </x:c>
      <x:c r="E3116" s="17" t="str">
        <x:v>us:ipeds:207388:faculty:cong-pu</x:v>
      </x:c>
      <x:c r="F3116" s="17" t="str">
        <x:v>program context|supervision authority|prospective instructions</x:v>
      </x:c>
      <x:c r="G3116" s="17" t="str">
        <x:v>The official PhD page establishes the faculty-supervised research route.</x:v>
      </x:c>
      <x:c r="H3116" s="17" t="str">
        <x:v>Ph.D. in Computer Science</x:v>
      </x:c>
      <x:c r="I3116" s="17" t="str">
        <x:v>Oklahoma State University-Main Campus</x:v>
      </x:c>
      <x:c r="J3116" s="17" t="str">
        <x:v>official</x:v>
      </x:c>
      <x:c r="K3116" s="17" t="str">
        <x:v>2026-09-11</x:v>
      </x:c>
      <x:c r="L3116" s="17" t="str">
        <x:v>2026</x:v>
      </x:c>
      <x:c r="M3116" s="17" t="str">
        <x:v>high</x:v>
      </x:c>
      <x:c r="N3116" s="17" t="str">
        <x:v>verified</x:v>
      </x:c>
      <x:c r="O3116" s="17" t="str">
        <x:v>Live official page checked 2026-09-11.</x:v>
      </x:c>
      <x:c r="P3116" s="18" t="e">
        <x:f>HYPERLINK("https://cas.okstate.edu/computer_science/graduate/phd_cs","Open source")</x:f>
        <x:v>HYPERLINK is not implemented. linkLocation=https://cas.okstate.edu/computer_science/graduate/phd_cs, friendlyName=Open source</x:v>
      </x:c>
    </x:row>
    <x:row r="3117" ht="46" customHeight="1">
      <x:c r="A3117" s="17" t="str">
        <x:v>stage4src:6e8441101d89b930</x:v>
      </x:c>
      <x:c r="B3117" s="17" t="str">
        <x:v>professor</x:v>
      </x:c>
      <x:c r="C3117" s="17" t="str">
        <x:v>University of Colorado Colorado Springs</x:v>
      </x:c>
      <x:c r="D3117" s="17" t="str">
        <x:v>us:ipeds:126580:program:phd:cybersecurity-phd</x:v>
      </x:c>
      <x:c r="E3117" s="17" t="str">
        <x:v>us:ipeds:126580:faculty:sang-yoon-chang</x:v>
      </x:c>
      <x:c r="F3117" s="17" t="str">
        <x:v>exact-program authority|program contact</x:v>
      </x:c>
      <x:c r="G3117" s="17" t="str">
        <x:v>UCCS names Chang as program faculty for the Engineering: Cybersecurity PhD.</x:v>
      </x:c>
      <x:c r="H3117" s="17" t="str">
        <x:v>Program Faculty</x:v>
      </x:c>
      <x:c r="I3117" s="17" t="str">
        <x:v>University of Colorado Colorado Springs</x:v>
      </x:c>
      <x:c r="J3117" s="17" t="str">
        <x:v>official</x:v>
      </x:c>
      <x:c r="K3117" s="17" t="str">
        <x:v>2026-09-11</x:v>
      </x:c>
      <x:c r="L3117" s="17" t="str">
        <x:v>2026</x:v>
      </x:c>
      <x:c r="M3117" s="17" t="str">
        <x:v>high</x:v>
      </x:c>
      <x:c r="N3117" s="17" t="str">
        <x:v>verified</x:v>
      </x:c>
      <x:c r="O3117" s="17" t="str">
        <x:v>Live official directory checked 2026-09-11.</x:v>
      </x:c>
      <x:c r="P3117" s="18" t="e">
        <x:f>HYPERLINK("https://graduateschool.uccs.edu/contact-us/program-faculty","Open source")</x:f>
        <x:v>HYPERLINK is not implemented. linkLocation=https://graduateschool.uccs.edu/contact-us/program-faculty, friendlyName=Open source</x:v>
      </x:c>
    </x:row>
    <x:row r="3118" ht="46" customHeight="1">
      <x:c r="A3118" s="17" t="str">
        <x:v>stage4src:6e95ed23568f0ff4</x:v>
      </x:c>
      <x:c r="B3118" s="17" t="str">
        <x:v>professor</x:v>
      </x:c>
      <x:c r="C3118" s="17" t="str">
        <x:v>University of Kentucky</x:v>
      </x:c>
      <x:c r="D3118" s="17" t="str">
        <x:v>us:ipeds:157085:program:phd:doctoral-degree-in-computer-science</x:v>
      </x:c>
      <x:c r="E3118" s="17" t="str"/>
      <x:c r="F3118" s="17" t="str">
        <x:v>current faculty roster|candidate longlist</x:v>
      </x:c>
      <x:c r="G3118" s="17" t="str">
        <x:v>Current official department roster or research-area faculty listing used to identify the five-person Stage 4 candidate longlist.</x:v>
      </x:c>
      <x:c r="H3118" s="17" t="str">
        <x:v>University of Kentucky current faculty roster</x:v>
      </x:c>
      <x:c r="I3118" s="17" t="str">
        <x:v>University of Kentucky</x:v>
      </x:c>
      <x:c r="J3118" s="17" t="str">
        <x:v>official</x:v>
      </x:c>
      <x:c r="K3118" s="17" t="str">
        <x:v>2026-09-11</x:v>
      </x:c>
      <x:c r="L3118" s="17" t="str"/>
      <x:c r="M3118" s="17" t="str">
        <x:v>high</x:v>
      </x:c>
      <x:c r="N3118" s="17" t="str">
        <x:v>verified</x:v>
      </x:c>
      <x:c r="O3118" s="17" t="str">
        <x:v>Roster evidence establishes a current listing, not program-specific supervision authority or recruiting.</x:v>
      </x:c>
      <x:c r="P3118" s="18" t="e">
        <x:f>HYPERLINK("https://cs.engr.uky.edu/people-4","Open source")</x:f>
        <x:v>HYPERLINK is not implemented. linkLocation=https://cs.engr.uky.edu/people-4, friendlyName=Open source</x:v>
      </x:c>
    </x:row>
    <x:row r="3119" ht="46" customHeight="1">
      <x:c r="A3119" s="17" t="str">
        <x:v>stage4src:6f0bec3b55473ad5</x:v>
      </x:c>
      <x:c r="B3119" s="17" t="str">
        <x:v>professor</x:v>
      </x:c>
      <x:c r="C3119" s="17" t="str">
        <x:v>Wichita State University</x:v>
      </x:c>
      <x:c r="D3119" s="17" t="str">
        <x:v>us:ipeds:156125:program:phd:phd-in-electrical-engineering-and-computer-science</x:v>
      </x:c>
      <x:c r="E3119" s="17" t="str">
        <x:v>us:ipeds:156125:faculty:sergio-salinas-monroy</x:v>
      </x:c>
      <x:c r="F3119" s="17" t="str">
        <x:v>doctoral program|advisor requirement|contact appropriateness</x:v>
      </x:c>
      <x:c r="G3119" s="17" t="str">
        <x:v>The EECS PhD requires bachelor's-entry applicants to secure a willing faculty advisor from the outset.</x:v>
      </x:c>
      <x:c r="H3119" s="17" t="str">
        <x:v>PhD in Electrical Engineering and Computer Science</x:v>
      </x:c>
      <x:c r="I3119" s="17" t="str">
        <x:v>Wichita State University</x:v>
      </x:c>
      <x:c r="J3119" s="17" t="str">
        <x:v>official</x:v>
      </x:c>
      <x:c r="K3119" s="17" t="str">
        <x:v>2026-09-11</x:v>
      </x:c>
      <x:c r="L3119" s="17" t="str">
        <x:v>2026</x:v>
      </x:c>
      <x:c r="M3119" s="17" t="str">
        <x:v>high</x:v>
      </x:c>
      <x:c r="N3119" s="17" t="str">
        <x:v>verified</x:v>
      </x:c>
      <x:c r="O3119" s="17" t="str">
        <x:v>Current official catalog checked 2026-09-11.</x:v>
      </x:c>
      <x:c r="P3119" s="18" t="e">
        <x:f>HYPERLINK("https://catalog.wichita.edu/graduate/engineering/electrical-computer-engineering/phd-in-eecs/","Open source")</x:f>
        <x:v>HYPERLINK is not implemented. linkLocation=https://catalog.wichita.edu/graduate/engineering/electrical-computer-engineering/phd-in-eecs/, friendlyName=Open source</x:v>
      </x:c>
    </x:row>
    <x:row r="3120" ht="46" customHeight="1">
      <x:c r="A3120" s="17" t="str">
        <x:v>stage4src:6f743afd2871783e</x:v>
      </x:c>
      <x:c r="B3120" s="17" t="str">
        <x:v>professor</x:v>
      </x:c>
      <x:c r="C3120" s="17" t="str">
        <x:v>George Washington University</x:v>
      </x:c>
      <x:c r="D3120" s="17" t="str">
        <x:v>us:ipeds:131469:program:phd:phd-in-computer-science</x:v>
      </x:c>
      <x:c r="E3120" s="17" t="str">
        <x:v>us:ipeds:131469:faculty:jie-zhou</x:v>
      </x:c>
      <x:c r="F3120" s="17" t="str">
        <x:v>discovery publication signal|recent work</x:v>
      </x:c>
      <x:c r="G3120" s="17" t="str">
        <x:v>Publication metadata was examined for shortlist triage only; publication-time affiliation does not establish current appointment, supervision authority, or recruiting.</x:v>
      </x:c>
      <x:c r="H3120" s="17" t="str">
        <x:v>OpenAlex publication signal for Jie Zhou</x:v>
      </x:c>
      <x:c r="I3120" s="17" t="str">
        <x:v>OpenAlex / cited venue</x:v>
      </x:c>
      <x:c r="J3120" s="17" t="str">
        <x:v>secondary</x:v>
      </x:c>
      <x:c r="K3120" s="17" t="str">
        <x:v>2026-09-11</x:v>
      </x:c>
      <x:c r="L3120" s="17" t="str"/>
      <x:c r="M3120" s="17" t="str">
        <x:v>medium</x:v>
      </x:c>
      <x:c r="N3120" s="17" t="str">
        <x:v>discovery_only</x:v>
      </x:c>
      <x:c r="O3120" s="17" t="str">
        <x:v>Not used to award a professor score or faculty-depth point.</x:v>
      </x:c>
      <x:c r="P3120" s="18" t="e">
        <x:f>HYPERLINK("https://openalex.org/A5051074074","Open source")</x:f>
        <x:v>HYPERLINK is not implemented. linkLocation=https://openalex.org/A5051074074, friendlyName=Open source</x:v>
      </x:c>
    </x:row>
    <x:row r="3121" ht="46" customHeight="1">
      <x:c r="A3121" s="17" t="str">
        <x:v>stage4src:6f7d5616c5dae076</x:v>
      </x:c>
      <x:c r="B3121" s="17" t="str">
        <x:v>professor</x:v>
      </x:c>
      <x:c r="C3121" s="17" t="str">
        <x:v>Washington State University</x:v>
      </x:c>
      <x:c r="D3121" s="17" t="str">
        <x:v>us:ipeds:236939:program:phd:doctor-of-philosophy-in-computer-science</x:v>
      </x:c>
      <x:c r="E3121" s="17" t="str">
        <x:v>us:ipeds:236939:faculty:thomas-gilray</x:v>
      </x:c>
      <x:c r="F3121" s="17" t="str">
        <x:v>recent work|research fit</x:v>
      </x:c>
      <x:c r="G3121" s="17" t="str">
        <x:v>The 2025 publication supports current logic-program and program-analysis overlap.</x:v>
      </x:c>
      <x:c r="H3121" s="17" t="str">
        <x:v>Datalog with First-Class Facts</x:v>
      </x:c>
      <x:c r="I3121" s="17" t="str">
        <x:v>OpenAlex / cited venue</x:v>
      </x:c>
      <x:c r="J3121" s="17" t="str">
        <x:v>secondary</x:v>
      </x:c>
      <x:c r="K3121" s="17" t="str">
        <x:v>2026-09-11</x:v>
      </x:c>
      <x:c r="L3121" s="17" t="str">
        <x:v>2025</x:v>
      </x:c>
      <x:c r="M3121" s="17" t="str">
        <x:v>high</x:v>
      </x:c>
      <x:c r="N3121" s="17" t="str">
        <x:v>verified</x:v>
      </x:c>
      <x:c r="O3121" s="17" t="str">
        <x:v>Scholarly record checked 2026-09-10.</x:v>
      </x:c>
      <x:c r="P3121" s="18" t="e">
        <x:f>HYPERLINK("https://arxiv.org/abs/2411.14330","Open source")</x:f>
        <x:v>HYPERLINK is not implemented. linkLocation=https://arxiv.org/abs/2411.14330, friendlyName=Open source</x:v>
      </x:c>
    </x:row>
    <x:row r="3122" ht="46" customHeight="1">
      <x:c r="A3122" s="17" t="str">
        <x:v>stage4src:7017d60719d53869</x:v>
      </x:c>
      <x:c r="B3122" s="17" t="str">
        <x:v>professor</x:v>
      </x:c>
      <x:c r="C3122" s="17" t="str">
        <x:v>University of Toronto</x:v>
      </x:c>
      <x:c r="D3122" s="17" t="str">
        <x:v>ca:dli:O19332746152:program:thesis-or-research-master-s:master-of-applied-science-in-electrical-and-computer-engineering</x:v>
      </x:c>
      <x:c r="E3122" s="17" t="str">
        <x:v>ca:dli:O19332746152:faculty:david-lie</x:v>
      </x:c>
      <x:c r="F3122" s="17" t="str">
        <x:v>prospective student instructions|faculty contact|recruiting control</x:v>
      </x:c>
      <x:c r="G3122" s="17" t="str">
        <x:v>ECE says on-time MASc applicants need no supervisor before applying but may contact potential professors; responses are not guaranteed.</x:v>
      </x:c>
      <x:c r="H3122" s="17" t="str">
        <x:v>ECE Frequently Asked Questions</x:v>
      </x:c>
      <x:c r="I3122" s="17" t="str">
        <x:v>University of Toronto</x:v>
      </x:c>
      <x:c r="J3122" s="17" t="str">
        <x:v>official</x:v>
      </x:c>
      <x:c r="K3122" s="17" t="str">
        <x:v>2026-09-11</x:v>
      </x:c>
      <x:c r="L3122" s="17" t="str">
        <x:v>2026</x:v>
      </x:c>
      <x:c r="M3122" s="17" t="str">
        <x:v>high</x:v>
      </x:c>
      <x:c r="N3122" s="17" t="str">
        <x:v>verified</x:v>
      </x:c>
      <x:c r="O3122" s="17" t="str">
        <x:v>Live official FAQ checked 2026-09-11.</x:v>
      </x:c>
      <x:c r="P3122" s="18" t="e">
        <x:f>HYPERLINK("https://www.ece.utoronto.ca/frequently-asked-questions/","Open source")</x:f>
        <x:v>HYPERLINK is not implemented. linkLocation=https://www.ece.utoronto.ca/frequently-asked-questions/, friendlyName=Open source</x:v>
      </x:c>
    </x:row>
    <x:row r="3123" ht="46" customHeight="1">
      <x:c r="A3123" s="17" t="str">
        <x:v>stage4src:7055bd19ee25acbb</x:v>
      </x:c>
      <x:c r="B3123" s="17" t="str">
        <x:v>professor</x:v>
      </x:c>
      <x:c r="C3123" s="17" t="str">
        <x:v>Brown University</x:v>
      </x:c>
      <x:c r="D3123" s="17" t="str">
        <x:v>us:ipeds:217156:program:phd:computer-science-phd</x:v>
      </x:c>
      <x:c r="E3123" s="17" t="str">
        <x:v>us:ipeds:217156:faculty:malte-schwarzkopf</x:v>
      </x:c>
      <x:c r="F3123" s="17" t="str">
        <x:v>current faculty roster|program supervision authority</x:v>
      </x:c>
      <x:c r="G3123" s="17" t="str">
        <x:v>The current official Brown CS roster lists Malte Schwarzkopf as Associate Professor of Computer Science.</x:v>
      </x:c>
      <x:c r="H3123" s="17" t="str">
        <x:v>Brown CS Faculty</x:v>
      </x:c>
      <x:c r="I3123" s="17" t="str">
        <x:v>Brown University</x:v>
      </x:c>
      <x:c r="J3123" s="17" t="str">
        <x:v>official</x:v>
      </x:c>
      <x:c r="K3123" s="17" t="str">
        <x:v>2026-09-11</x:v>
      </x:c>
      <x:c r="L3123" s="17" t="str">
        <x:v>2026</x:v>
      </x:c>
      <x:c r="M3123" s="17" t="str">
        <x:v>high</x:v>
      </x:c>
      <x:c r="N3123" s="17" t="str">
        <x:v>verified</x:v>
      </x:c>
      <x:c r="O3123" s="17" t="str">
        <x:v>Current roster checked 2026-09-10.</x:v>
      </x:c>
      <x:c r="P3123" s="18" t="e">
        <x:f>HYPERLINK("https://cs.brown.edu/people/faculty/","Open source")</x:f>
        <x:v>HYPERLINK is not implemented. linkLocation=https://cs.brown.edu/people/faculty/, friendlyName=Open source</x:v>
      </x:c>
    </x:row>
    <x:row r="3124" ht="46" customHeight="1">
      <x:c r="A3124" s="17" t="str">
        <x:v>stage4src:7058eecc0fbfdf89</x:v>
      </x:c>
      <x:c r="B3124" s="17" t="str">
        <x:v>professor</x:v>
      </x:c>
      <x:c r="C3124" s="17" t="str">
        <x:v>University of Waterloo</x:v>
      </x:c>
      <x:c r="D3124" s="17" t="str">
        <x:v>ca:dli:O19305471522:program:thesis-or-research-master-s:master-of-applied-science-in-electrical-and-computer-engineering</x:v>
      </x:c>
      <x:c r="E3124" s="17" t="str">
        <x:v>ca:dli:O19305471522:faculty:patrick-lam</x:v>
      </x:c>
      <x:c r="F3124" s="17" t="str">
        <x:v>exact program|supervision model|prospective instructions</x:v>
      </x:c>
      <x:c r="G3124" s="17" t="str">
        <x:v>The page establishes the ECE MASc and its faculty-supervised research and thesis structure.</x:v>
      </x:c>
      <x:c r="H3124" s="17" t="str">
        <x:v>Master of Applied Science in Electrical and Computer Engineering</x:v>
      </x:c>
      <x:c r="I3124" s="17" t="str">
        <x:v>University of Waterloo</x:v>
      </x:c>
      <x:c r="J3124" s="17" t="str">
        <x:v>official</x:v>
      </x:c>
      <x:c r="K3124" s="17" t="str">
        <x:v>2026-09-11</x:v>
      </x:c>
      <x:c r="L3124" s="17" t="str">
        <x:v>2026</x:v>
      </x:c>
      <x:c r="M3124" s="17" t="str">
        <x:v>high</x:v>
      </x:c>
      <x:c r="N3124" s="17" t="str">
        <x:v>verified</x:v>
      </x:c>
      <x:c r="O3124" s="17" t="str">
        <x:v>Current official program page checked 2026-09-10.</x:v>
      </x:c>
      <x:c r="P3124" s="18" t="e">
        <x:f>HYPERLINK("https://uwaterloo.ca/electrical-computer-engineering/master-applied-science-masc","Open source")</x:f>
        <x:v>HYPERLINK is not implemented. linkLocation=https://uwaterloo.ca/electrical-computer-engineering/master-applied-science-masc, friendlyName=Open source</x:v>
      </x:c>
    </x:row>
    <x:row r="3125" ht="46" customHeight="1">
      <x:c r="A3125" s="17" t="str">
        <x:v>stage4src:707d962182ebe039</x:v>
      </x:c>
      <x:c r="B3125" s="17" t="str">
        <x:v>professor</x:v>
      </x:c>
      <x:c r="C3125" s="17" t="str">
        <x:v>University of Idaho</x:v>
      </x:c>
      <x:c r="D3125" s="17" t="str">
        <x:v>us:ipeds:142285:program:phd:computer-science-ph-d</x:v>
      </x:c>
      <x:c r="E3125" s="17" t="str">
        <x:v>us:ipeds:142285:faculty:jia-song</x:v>
      </x:c>
      <x:c r="F3125" s="17" t="str">
        <x:v>recent work|research fit</x:v>
      </x:c>
      <x:c r="G3125" s="17" t="str">
        <x:v>The institutional profile records 2024-2026 work in PLC and directional fuzzing and formal access-control policy analysis.</x:v>
      </x:c>
      <x:c r="H3125" s="17" t="str">
        <x:v>Jia Song scholarship output</x:v>
      </x:c>
      <x:c r="I3125" s="17" t="str">
        <x:v>University of Idaho</x:v>
      </x:c>
      <x:c r="J3125" s="17" t="str">
        <x:v>official</x:v>
      </x:c>
      <x:c r="K3125" s="17" t="str">
        <x:v>2026-09-11</x:v>
      </x:c>
      <x:c r="L3125" s="17" t="str">
        <x:v>2026</x:v>
      </x:c>
      <x:c r="M3125" s="17" t="str">
        <x:v>high</x:v>
      </x:c>
      <x:c r="N3125" s="17" t="str">
        <x:v>verified</x:v>
      </x:c>
      <x:c r="O3125" s="17" t="str">
        <x:v>Live institutional profile checked 2026-09-11.</x:v>
      </x:c>
      <x:c r="P3125" s="18" t="e">
        <x:f>HYPERLINK("https://verso.uidaho.edu/esploro/profile/jia_song/output/publication?institution=01ALLIANCE_UID","Open source")</x:f>
        <x:v>HYPERLINK is not implemented. linkLocation=https://verso.uidaho.edu/esploro/profile/jia_song/output/publication?institution=01ALLIANCE_UID, friendlyName=Open source</x:v>
      </x:c>
    </x:row>
    <x:row r="3126" ht="46" customHeight="1">
      <x:c r="A3126" s="17" t="str">
        <x:v>stage4src:7133acefef50a752</x:v>
      </x:c>
      <x:c r="B3126" s="17" t="str">
        <x:v>professor</x:v>
      </x:c>
      <x:c r="C3126" s="17" t="str">
        <x:v>Brock University</x:v>
      </x:c>
      <x:c r="D3126" s="17" t="str">
        <x:v>ca:dli:O19394569014:program:thesis-or-research-master-s:computer-science-msc-thesis-stream</x:v>
      </x:c>
      <x:c r="E3126" s="17" t="str">
        <x:v>ca:dli:O19394569014:faculty:robson-de-grande</x:v>
      </x:c>
      <x:c r="F3126" s="17" t="str">
        <x:v>program context|supervision authority|prospective instructions</x:v>
      </x:c>
      <x:c r="G3126" s="17" t="str">
        <x:v>The official thesis MSc establishes faculty supervision and the research-statement application context.</x:v>
      </x:c>
      <x:c r="H3126" s="17" t="str">
        <x:v>Computer Science MSc</x:v>
      </x:c>
      <x:c r="I3126" s="17" t="str">
        <x:v>Brock University</x:v>
      </x:c>
      <x:c r="J3126" s="17" t="str">
        <x:v>official</x:v>
      </x:c>
      <x:c r="K3126" s="17" t="str">
        <x:v>2026-09-11</x:v>
      </x:c>
      <x:c r="L3126" s="17" t="str">
        <x:v>2026</x:v>
      </x:c>
      <x:c r="M3126" s="17" t="str">
        <x:v>high</x:v>
      </x:c>
      <x:c r="N3126" s="17" t="str">
        <x:v>verified</x:v>
      </x:c>
      <x:c r="O3126" s="17" t="str">
        <x:v>Live official page checked 2026-09-11.</x:v>
      </x:c>
      <x:c r="P3126" s="18" t="e">
        <x:f>HYPERLINK("https://brocku.ca/programs/graduate/msc-cosc/","Open source")</x:f>
        <x:v>HYPERLINK is not implemented. linkLocation=https://brocku.ca/programs/graduate/msc-cosc/, friendlyName=Open source</x:v>
      </x:c>
    </x:row>
    <x:row r="3127" ht="46" customHeight="1">
      <x:c r="A3127" s="17" t="str">
        <x:v>stage4src:71611836ed24370b</x:v>
      </x:c>
      <x:c r="B3127" s="17" t="str">
        <x:v>professor</x:v>
      </x:c>
      <x:c r="C3127" s="17" t="str">
        <x:v>University of Maryland-Baltimore County</x:v>
      </x:c>
      <x:c r="D3127" s="17" t="str">
        <x:v>us:ipeds:163268:program:phd:phd-in-computer-science</x:v>
      </x:c>
      <x:c r="E3127" s="17" t="str">
        <x:v>us:ipeds:163268:faculty:anupam-joshi</x:v>
      </x:c>
      <x:c r="F3127" s="17" t="str">
        <x:v>Computer Science PhD supervision authority|recent work|research fit</x:v>
      </x:c>
      <x:c r="G3127" s="17" t="str">
        <x:v>The current record identifies Joshi as mentor to three 2024 Computer Science PhD graduates in privacy, trust, generative models, and neurosymbolic analysis.</x:v>
      </x:c>
      <x:c r="H3127" s="17" t="str">
        <x:v>CSEE PhD Graduates</x:v>
      </x:c>
      <x:c r="I3127" s="17" t="str">
        <x:v>University of Maryland-Baltimore County</x:v>
      </x:c>
      <x:c r="J3127" s="17" t="str">
        <x:v>official</x:v>
      </x:c>
      <x:c r="K3127" s="17" t="str">
        <x:v>2026-09-11</x:v>
      </x:c>
      <x:c r="L3127" s="17" t="str">
        <x:v>2024</x:v>
      </x:c>
      <x:c r="M3127" s="17" t="str">
        <x:v>high</x:v>
      </x:c>
      <x:c r="N3127" s="17" t="str">
        <x:v>verified</x:v>
      </x:c>
      <x:c r="O3127" s="17" t="str">
        <x:v>Official doctoral record checked 2026-09-10.</x:v>
      </x:c>
      <x:c r="P3127" s="18" t="e">
        <x:f>HYPERLINK("https://www.csee.umbc.edu/research/phd-graduates/","Open source")</x:f>
        <x:v>HYPERLINK is not implemented. linkLocation=https://www.csee.umbc.edu/research/phd-graduates/, friendlyName=Open source</x:v>
      </x:c>
    </x:row>
    <x:row r="3128" ht="46" customHeight="1">
      <x:c r="A3128" s="17" t="str">
        <x:v>stage4src:716d9af9fc069be1</x:v>
      </x:c>
      <x:c r="B3128" s="17" t="str">
        <x:v>professor</x:v>
      </x:c>
      <x:c r="C3128" s="17" t="str">
        <x:v>The University of Texas at El Paso</x:v>
      </x:c>
      <x:c r="D3128" s="17" t="str">
        <x:v>us:ipeds:228796:program:phd:doctor-of-philosophy-in-computer-science</x:v>
      </x:c>
      <x:c r="E3128" s="17" t="str">
        <x:v>us:ipeds:228796:faculty:yoonsik-cheon</x:v>
      </x:c>
      <x:c r="F3128" s="17" t="str">
        <x:v>program context|supervision authority|prospective instructions</x:v>
      </x:c>
      <x:c r="G3128" s="17" t="str">
        <x:v>The catalog establishes a faculty-supervised Computer Science research doctorate in Cheon's department.</x:v>
      </x:c>
      <x:c r="H3128" s="17" t="str">
        <x:v>Computer Science, PhD</x:v>
      </x:c>
      <x:c r="I3128" s="17" t="str">
        <x:v>The University of Texas at El Paso</x:v>
      </x:c>
      <x:c r="J3128" s="17" t="str">
        <x:v>official</x:v>
      </x:c>
      <x:c r="K3128" s="17" t="str">
        <x:v>2026-09-11</x:v>
      </x:c>
      <x:c r="L3128" s="17" t="str">
        <x:v>2026</x:v>
      </x:c>
      <x:c r="M3128" s="17" t="str">
        <x:v>high</x:v>
      </x:c>
      <x:c r="N3128" s="17" t="str">
        <x:v>verified</x:v>
      </x:c>
      <x:c r="O3128" s="17" t="str">
        <x:v>Live official catalog checked 2026-09-11.</x:v>
      </x:c>
      <x:c r="P3128" s="18" t="e">
        <x:f>HYPERLINK("https://catalog.utep.edu/grad/college-of-engineering/computer-science/computer-science-phd/","Open source")</x:f>
        <x:v>HYPERLINK is not implemented. linkLocation=https://catalog.utep.edu/grad/college-of-engineering/computer-science/computer-science-phd/, friendlyName=Open source</x:v>
      </x:c>
    </x:row>
    <x:row r="3129" ht="46" customHeight="1">
      <x:c r="A3129" s="17" t="str">
        <x:v>stage4src:724eccdc38f0163b</x:v>
      </x:c>
      <x:c r="B3129" s="17" t="str">
        <x:v>professor</x:v>
      </x:c>
      <x:c r="C3129" s="17" t="str">
        <x:v>Illinois Institute of Technology</x:v>
      </x:c>
      <x:c r="D3129" s="17" t="str">
        <x:v>us:ipeds:145725:program:phd:computer-science-ph-d</x:v>
      </x:c>
      <x:c r="E3129" s="17" t="str">
        <x:v>us:ipeds:145725:faculty:nik-sultana</x:v>
      </x:c>
      <x:c r="F3129" s="17" t="str">
        <x:v>current appointment|department|email|research themes</x:v>
      </x:c>
      <x:c r="G3129" s="17" t="str">
        <x:v>Illinois Tech lists Sultana as a current Computer Science Assistant Professor in distributed systems, programmable networking, security, and formal methods.</x:v>
      </x:c>
      <x:c r="H3129" s="17" t="str">
        <x:v>Nik Sultana</x:v>
      </x:c>
      <x:c r="I3129" s="17" t="str">
        <x:v>Illinois Institute of Technology</x:v>
      </x:c>
      <x:c r="J3129" s="17" t="str">
        <x:v>official</x:v>
      </x:c>
      <x:c r="K3129" s="17" t="str">
        <x:v>2026-09-11</x:v>
      </x:c>
      <x:c r="L3129" s="17" t="str">
        <x:v>2026</x:v>
      </x:c>
      <x:c r="M3129" s="17" t="str">
        <x:v>high</x:v>
      </x:c>
      <x:c r="N3129" s="17" t="str">
        <x:v>verified</x:v>
      </x:c>
      <x:c r="O3129" s="17" t="str">
        <x:v>Live profile checked 2026-09-11.</x:v>
      </x:c>
      <x:c r="P3129" s="18" t="e">
        <x:f>HYPERLINK("https://www.iit.edu/directory/people/nik-sultana","Open source")</x:f>
        <x:v>HYPERLINK is not implemented. linkLocation=https://www.iit.edu/directory/people/nik-sultana, friendlyName=Open source</x:v>
      </x:c>
    </x:row>
    <x:row r="3130" ht="46" customHeight="1">
      <x:c r="A3130" s="17" t="str">
        <x:v>stage4src:72aacce3a32b188c</x:v>
      </x:c>
      <x:c r="B3130" s="17" t="str">
        <x:v>professor</x:v>
      </x:c>
      <x:c r="C3130" s="17" t="str">
        <x:v>University of Illinois Urbana-Champaign</x:v>
      </x:c>
      <x:c r="D3130" s="17" t="str">
        <x:v>us:ipeds:145637:program:phd:computer-science-phd</x:v>
      </x:c>
      <x:c r="E3130" s="17" t="str">
        <x:v>us:ipeds:145637:faculty:lingming-zhang</x:v>
      </x:c>
      <x:c r="F3130" s="17" t="str">
        <x:v>current appointment|program supervision authority|research themes</x:v>
      </x:c>
      <x:c r="G3130" s="17" t="str">
        <x:v>Current appointment, email, and research themes</x:v>
      </x:c>
      <x:c r="H3130" s="17" t="str">
        <x:v>Lingming Zhang</x:v>
      </x:c>
      <x:c r="I3130" s="17" t="str">
        <x:v>University of Illinois Urbana-Champaign</x:v>
      </x:c>
      <x:c r="J3130" s="17" t="str">
        <x:v>official</x:v>
      </x:c>
      <x:c r="K3130" s="17" t="str">
        <x:v>2026-09-11</x:v>
      </x:c>
      <x:c r="L3130" s="17" t="str"/>
      <x:c r="M3130" s="17" t="str">
        <x:v>high</x:v>
      </x:c>
      <x:c r="N3130" s="17" t="str">
        <x:v>verified</x:v>
      </x:c>
      <x:c r="O3130" s="17" t="str"/>
      <x:c r="P3130" s="18" t="e">
        <x:f>HYPERLINK("https://siebelschool.illinois.edu/about/people/all-faculty/lingming","Open source")</x:f>
        <x:v>HYPERLINK is not implemented. linkLocation=https://siebelschool.illinois.edu/about/people/all-faculty/lingming, friendlyName=Open source</x:v>
      </x:c>
    </x:row>
    <x:row r="3131" ht="46" customHeight="1">
      <x:c r="A3131" s="17" t="str">
        <x:v>stage4src:72bc8d2cf240df77</x:v>
      </x:c>
      <x:c r="B3131" s="17" t="str">
        <x:v>professor</x:v>
      </x:c>
      <x:c r="C3131" s="17" t="str">
        <x:v>University of South Carolina-Columbia</x:v>
      </x:c>
      <x:c r="D3131" s="17" t="str">
        <x:v>us:ipeds:218663:program:phd:doctor-of-philosophy-in-computer-science</x:v>
      </x:c>
      <x:c r="E3131" s="17" t="str"/>
      <x:c r="F3131" s="17" t="str">
        <x:v>current faculty roster|candidate longlist</x:v>
      </x:c>
      <x:c r="G3131" s="17" t="str">
        <x:v>Current official department roster or research-area faculty listing used to identify the five-person Stage 4 candidate longlist.</x:v>
      </x:c>
      <x:c r="H3131" s="17" t="str">
        <x:v>University of South Carolina-Columbia current faculty roster</x:v>
      </x:c>
      <x:c r="I3131" s="17" t="str">
        <x:v>University of South Carolina-Columbia</x:v>
      </x:c>
      <x:c r="J3131" s="17" t="str">
        <x:v>official</x:v>
      </x:c>
      <x:c r="K3131" s="17" t="str">
        <x:v>2026-09-11</x:v>
      </x:c>
      <x:c r="L3131" s="17" t="str"/>
      <x:c r="M3131" s="17" t="str">
        <x:v>high</x:v>
      </x:c>
      <x:c r="N3131" s="17" t="str">
        <x:v>verified</x:v>
      </x:c>
      <x:c r="O3131" s="17" t="str">
        <x:v>Roster evidence establishes a current listing, not program-specific supervision authority or recruiting.</x:v>
      </x:c>
      <x:c r="P3131" s="18" t="e">
        <x:f>HYPERLINK("https://www.cse.sc.edu/isl/people","Open source")</x:f>
        <x:v>HYPERLINK is not implemented. linkLocation=https://www.cse.sc.edu/isl/people, friendlyName=Open source</x:v>
      </x:c>
    </x:row>
    <x:row r="3132" ht="46" customHeight="1">
      <x:c r="A3132" s="17" t="str">
        <x:v>stage4src:72dc5ccaa35dbf4a</x:v>
      </x:c>
      <x:c r="B3132" s="17" t="str">
        <x:v>professor</x:v>
      </x:c>
      <x:c r="C3132" s="17" t="str">
        <x:v>École Polytechnique de Montréal</x:v>
      </x:c>
      <x:c r="D3132" s="17" t="str">
        <x:v>ca:dli:O19359011070:program:thesis-or-research-master-s:research-master-s-in-computer-engineering-software-engineering-option</x:v>
      </x:c>
      <x:c r="E3132" s="17" t="str">
        <x:v>ca:dli:O19359011070:faculty:maxime-lamothe</x:v>
      </x:c>
      <x:c r="F3132" s="17" t="str">
        <x:v>software-engineering faculty roster|research themes|student research instructions</x:v>
      </x:c>
      <x:c r="G3132" s="17" t="str">
        <x:v>The department places Lamothe and the alternatives in software engineering and analytics and links students to currently offered supervised research projects.</x:v>
      </x:c>
      <x:c r="H3132" s="17" t="str">
        <x:v>Areas of Research</x:v>
      </x:c>
      <x:c r="I3132" s="17" t="str">
        <x:v>École Polytechnique de Montréal</x:v>
      </x:c>
      <x:c r="J3132" s="17" t="str">
        <x:v>official</x:v>
      </x:c>
      <x:c r="K3132" s="17" t="str">
        <x:v>2026-09-11</x:v>
      </x:c>
      <x:c r="L3132" s="17" t="str">
        <x:v>2026</x:v>
      </x:c>
      <x:c r="M3132" s="17" t="str">
        <x:v>high</x:v>
      </x:c>
      <x:c r="N3132" s="17" t="str">
        <x:v>verified</x:v>
      </x:c>
      <x:c r="O3132" s="17" t="str">
        <x:v>Live official page checked 2026-09-10.</x:v>
      </x:c>
      <x:c r="P3132" s="18" t="e">
        <x:f>HYPERLINK("https://www.polymtl.ca/gigl/en/research/areas-research","Open source")</x:f>
        <x:v>HYPERLINK is not implemented. linkLocation=https://www.polymtl.ca/gigl/en/research/areas-research, friendlyName=Open source</x:v>
      </x:c>
    </x:row>
    <x:row r="3133" ht="46" customHeight="1">
      <x:c r="A3133" s="17" t="str">
        <x:v>stage4src:73680b1bd55d5afb</x:v>
      </x:c>
      <x:c r="B3133" s="17" t="str">
        <x:v>professor</x:v>
      </x:c>
      <x:c r="C3133" s="17" t="str">
        <x:v>Howard University</x:v>
      </x:c>
      <x:c r="D3133" s="17" t="str">
        <x:v>us:ipeds:131520:program:phd:computer-science-ph-d</x:v>
      </x:c>
      <x:c r="E3133" s="17" t="str">
        <x:v>us:ipeds:131520:faculty:danda-b-rawat</x:v>
      </x:c>
      <x:c r="F3133" s="17" t="str">
        <x:v>doctoral route|admissions model</x:v>
      </x:c>
      <x:c r="G3133" s="17" t="str">
        <x:v>The official page establishes the Computer Science PhD route.</x:v>
      </x:c>
      <x:c r="H3133" s="17" t="str">
        <x:v>Computer Science PhD</x:v>
      </x:c>
      <x:c r="I3133" s="17" t="str">
        <x:v>Howard University</x:v>
      </x:c>
      <x:c r="J3133" s="17" t="str">
        <x:v>official</x:v>
      </x:c>
      <x:c r="K3133" s="17" t="str">
        <x:v>2026-09-11</x:v>
      </x:c>
      <x:c r="L3133" s="17" t="str">
        <x:v>2026</x:v>
      </x:c>
      <x:c r="M3133" s="17" t="str">
        <x:v>high</x:v>
      </x:c>
      <x:c r="N3133" s="17" t="str">
        <x:v>verified</x:v>
      </x:c>
      <x:c r="O3133" s="17" t="str">
        <x:v>Official program page checked 2026-09-11.</x:v>
      </x:c>
      <x:c r="P3133" s="18" t="e">
        <x:f>HYPERLINK("https://gs.howard.edu/index.php/computer-science-phd","Open source")</x:f>
        <x:v>HYPERLINK is not implemented. linkLocation=https://gs.howard.edu/index.php/computer-science-phd, friendlyName=Open source</x:v>
      </x:c>
    </x:row>
    <x:row r="3134" ht="46" customHeight="1">
      <x:c r="A3134" s="17" t="str">
        <x:v>stage4src:73a2e2329a1702ad</x:v>
      </x:c>
      <x:c r="B3134" s="17" t="str">
        <x:v>professor</x:v>
      </x:c>
      <x:c r="C3134" s="17" t="str">
        <x:v>Wichita State University</x:v>
      </x:c>
      <x:c r="D3134" s="17" t="str">
        <x:v>us:ipeds:156125:program:phd:phd-in-electrical-engineering-and-computer-science</x:v>
      </x:c>
      <x:c r="E3134" s="17" t="str">
        <x:v>us:ipeds:156125:faculty:sergio-salinas-monroy</x:v>
      </x:c>
      <x:c r="F3134" s="17" t="str">
        <x:v>recent work|EECS doctoral supervision</x:v>
      </x:c>
      <x:c r="G3134" s="17" t="str">
        <x:v>The program names Salinas Monroy as adviser for a 2025 EECS dissertation on privacy, security, adversarial machine learning, and diffusion techniques.</x:v>
      </x:c>
      <x:c r="H3134" s="17" t="str">
        <x:v>Spring 2025 Commencement Program</x:v>
      </x:c>
      <x:c r="I3134" s="17" t="str">
        <x:v>Wichita State University</x:v>
      </x:c>
      <x:c r="J3134" s="17" t="str">
        <x:v>official</x:v>
      </x:c>
      <x:c r="K3134" s="17" t="str">
        <x:v>2026-09-11</x:v>
      </x:c>
      <x:c r="L3134" s="17" t="str">
        <x:v>2025</x:v>
      </x:c>
      <x:c r="M3134" s="17" t="str">
        <x:v>high</x:v>
      </x:c>
      <x:c r="N3134" s="17" t="str">
        <x:v>verified</x:v>
      </x:c>
      <x:c r="O3134" s="17" t="str">
        <x:v>Official commencement record checked 2026-09-11.</x:v>
      </x:c>
      <x:c r="P3134" s="18" t="e">
        <x:f>HYPERLINK("https://www.wichita.edu/_archive/about/commencement/documents/Spring-2025-program.pdf","Open source")</x:f>
        <x:v>HYPERLINK is not implemented. linkLocation=https://www.wichita.edu/_archive/about/commencement/documents/Spring-2025-program.pdf, friendlyName=Open source</x:v>
      </x:c>
    </x:row>
    <x:row r="3135" ht="46" customHeight="1">
      <x:c r="A3135" s="17" t="str">
        <x:v>stage4src:73ccd378c5af0f1c</x:v>
      </x:c>
      <x:c r="B3135" s="17" t="str">
        <x:v>professor</x:v>
      </x:c>
      <x:c r="C3135" s="17" t="str">
        <x:v>University of Nebraska at Omaha</x:v>
      </x:c>
      <x:c r="D3135" s="17" t="str">
        <x:v>us:ipeds:181394:program:phd:computing-information-science-ph-d</x:v>
      </x:c>
      <x:c r="E3135" s="17" t="str"/>
      <x:c r="F3135" s="17" t="str">
        <x:v>current faculty roster|candidate longlist</x:v>
      </x:c>
      <x:c r="G3135" s="17" t="str">
        <x:v>Current official department roster or research-area faculty listing used to identify the five-person Stage 4 candidate longlist.</x:v>
      </x:c>
      <x:c r="H3135" s="17" t="str">
        <x:v>University of Nebraska at Omaha current faculty roster</x:v>
      </x:c>
      <x:c r="I3135" s="17" t="str">
        <x:v>University of Nebraska at Omaha</x:v>
      </x:c>
      <x:c r="J3135" s="17" t="str">
        <x:v>official</x:v>
      </x:c>
      <x:c r="K3135" s="17" t="str">
        <x:v>2026-09-11</x:v>
      </x:c>
      <x:c r="L3135" s="17" t="str"/>
      <x:c r="M3135" s="17" t="str">
        <x:v>high</x:v>
      </x:c>
      <x:c r="N3135" s="17" t="str">
        <x:v>verified</x:v>
      </x:c>
      <x:c r="O3135" s="17" t="str">
        <x:v>Roster evidence establishes a current listing, not program-specific supervision authority or recruiting.</x:v>
      </x:c>
      <x:c r="P3135" s="18" t="e">
        <x:f>HYPERLINK("https://www.unomaha.edu/college-of-information-science-and-technology/computer-science/about/faculty-staff.php","Open source")</x:f>
        <x:v>HYPERLINK is not implemented. linkLocation=https://www.unomaha.edu/college-of-information-science-and-technology/computer-science/about/faculty-staff.php, friendlyName=Open source</x:v>
      </x:c>
    </x:row>
    <x:row r="3136" ht="46" customHeight="1">
      <x:c r="A3136" s="17" t="str">
        <x:v>stage4src:742ea18de9a25978</x:v>
      </x:c>
      <x:c r="B3136" s="17" t="str">
        <x:v>professor</x:v>
      </x:c>
      <x:c r="C3136" s="17" t="str">
        <x:v>Concordia University</x:v>
      </x:c>
      <x:c r="D3136" s="17" t="str">
        <x:v>ca:dli:O19359011007:program:thesis-or-research-master-s:cybersecurity-engineering-masc</x:v>
      </x:c>
      <x:c r="E3136" s="17" t="str">
        <x:v>ca:dli:O19359011007:faculty:mourad-debbabi</x:v>
      </x:c>
      <x:c r="F3136" s="17" t="str">
        <x:v>recent work|research fit</x:v>
      </x:c>
      <x:c r="G3136" s="17" t="str">
        <x:v>Applicants may name three faculty; contact is highly recommended and no offer issues without a supervisor match.</x:v>
      </x:c>
      <x:c r="H3136" s="17" t="str">
        <x:v>Programs with additional requirements</x:v>
      </x:c>
      <x:c r="I3136" s="17" t="str">
        <x:v>Concordia University</x:v>
      </x:c>
      <x:c r="J3136" s="17" t="str">
        <x:v>official</x:v>
      </x:c>
      <x:c r="K3136" s="17" t="str">
        <x:v>2026-09-11</x:v>
      </x:c>
      <x:c r="L3136" s="17" t="str"/>
      <x:c r="M3136" s="17" t="str">
        <x:v>high</x:v>
      </x:c>
      <x:c r="N3136" s="17" t="str">
        <x:v>verified</x:v>
      </x:c>
      <x:c r="O3136" s="17" t="str">
        <x:v>No search snippet used as final evidence; URL/page content reviewed.</x:v>
      </x:c>
      <x:c r="P3136" s="18" t="e">
        <x:f>HYPERLINK("https://www.concordia.ca/gradstudies/future-students/how-to-apply/programs-with-additional-requirements.html","Open source")</x:f>
        <x:v>HYPERLINK is not implemented. linkLocation=https://www.concordia.ca/gradstudies/future-students/how-to-apply/programs-with-additional-requirements.html, friendlyName=Open source</x:v>
      </x:c>
    </x:row>
    <x:row r="3137" ht="46" customHeight="1">
      <x:c r="A3137" s="17" t="str">
        <x:v>stage4src:74327e0e32ed32c2</x:v>
      </x:c>
      <x:c r="B3137" s="17" t="str">
        <x:v>professor</x:v>
      </x:c>
      <x:c r="C3137" s="17" t="str">
        <x:v>University of Illinois Urbana-Champaign</x:v>
      </x:c>
      <x:c r="D3137" s="17" t="str">
        <x:v>us:ipeds:145637:program:phd:computer-science-phd</x:v>
      </x:c>
      <x:c r="E3137" s="17" t="str">
        <x:v>us:ipeds:145637:faculty:tianyin-xu</x:v>
      </x:c>
      <x:c r="F3137" s="17" t="str">
        <x:v>discovery publication signal|recent work</x:v>
      </x:c>
      <x:c r="G3137" s="17" t="str">
        <x:v>Publication metadata was examined for shortlist triage only; publication-time affiliation does not establish current appointment, supervision authority, or recruiting.</x:v>
      </x:c>
      <x:c r="H3137" s="17" t="str">
        <x:v>OpenAlex publication signal for Tianyin Xu</x:v>
      </x:c>
      <x:c r="I3137" s="17" t="str">
        <x:v>OpenAlex / cited venue</x:v>
      </x:c>
      <x:c r="J3137" s="17" t="str">
        <x:v>secondary</x:v>
      </x:c>
      <x:c r="K3137" s="17" t="str">
        <x:v>2026-09-11</x:v>
      </x:c>
      <x:c r="L3137" s="17" t="str"/>
      <x:c r="M3137" s="17" t="str">
        <x:v>medium</x:v>
      </x:c>
      <x:c r="N3137" s="17" t="str">
        <x:v>discovery_only</x:v>
      </x:c>
      <x:c r="O3137" s="17" t="str">
        <x:v>Not used to award a professor score or faculty-depth point.</x:v>
      </x:c>
      <x:c r="P3137" s="18" t="e">
        <x:f>HYPERLINK("https://openalex.org/A5143997830","Open source")</x:f>
        <x:v>HYPERLINK is not implemented. linkLocation=https://openalex.org/A5143997830, friendlyName=Open source</x:v>
      </x:c>
    </x:row>
    <x:row r="3138" ht="46" customHeight="1">
      <x:c r="A3138" s="17" t="str">
        <x:v>stage4src:743b2171036186fe</x:v>
      </x:c>
      <x:c r="B3138" s="17" t="str">
        <x:v>professor</x:v>
      </x:c>
      <x:c r="C3138" s="17" t="str">
        <x:v>Worcester Polytechnic Institute</x:v>
      </x:c>
      <x:c r="D3138" s="17" t="str">
        <x:v>us:ipeds:168421:program:phd:phd-in-computer-science</x:v>
      </x:c>
      <x:c r="E3138" s="17" t="str"/>
      <x:c r="F3138" s="17" t="str">
        <x:v>current faculty roster|candidate longlist</x:v>
      </x:c>
      <x:c r="G3138" s="17" t="str">
        <x:v>Current official department roster or research-area faculty listing used to identify the five-person Stage 4 candidate longlist.</x:v>
      </x:c>
      <x:c r="H3138" s="17" t="str">
        <x:v>Worcester Polytechnic Institute current faculty roster</x:v>
      </x:c>
      <x:c r="I3138" s="17" t="str">
        <x:v>Worcester Polytechnic Institute</x:v>
      </x:c>
      <x:c r="J3138" s="17" t="str">
        <x:v>official</x:v>
      </x:c>
      <x:c r="K3138" s="17" t="str">
        <x:v>2026-09-11</x:v>
      </x:c>
      <x:c r="L3138" s="17" t="str"/>
      <x:c r="M3138" s="17" t="str">
        <x:v>high</x:v>
      </x:c>
      <x:c r="N3138" s="17" t="str">
        <x:v>verified</x:v>
      </x:c>
      <x:c r="O3138" s="17" t="str">
        <x:v>Roster evidence establishes a current listing, not program-specific supervision authority or recruiting.</x:v>
      </x:c>
      <x:c r="P3138" s="18" t="e">
        <x:f>HYPERLINK("https://www.wpi.edu/academics/departments/computer-science/faculty-staff","Open source")</x:f>
        <x:v>HYPERLINK is not implemented. linkLocation=https://www.wpi.edu/academics/departments/computer-science/faculty-staff, friendlyName=Open source</x:v>
      </x:c>
    </x:row>
    <x:row r="3139" ht="46" customHeight="1">
      <x:c r="A3139" s="17" t="str">
        <x:v>stage4src:7461f683e5f5657f</x:v>
      </x:c>
      <x:c r="B3139" s="17" t="str">
        <x:v>professor</x:v>
      </x:c>
      <x:c r="C3139" s="17" t="str">
        <x:v>Simon Fraser University</x:v>
      </x:c>
      <x:c r="D3139" s="17" t="str">
        <x:v>ca:dli:O18781994282:program:thesis-or-research-master-s:master-of-applied-science-in-engineering-science</x:v>
      </x:c>
      <x:c r="E3139" s="17" t="str">
        <x:v>ca:dli:O18781994282:faculty:zhenman-fang</x:v>
      </x:c>
      <x:c r="F3139" s="17" t="str">
        <x:v>current faculty roster|candidate longlist</x:v>
      </x:c>
      <x:c r="G3139" s="17" t="str">
        <x:v>The current Engineering Science roster lists Fang and the four encoded alternatives.</x:v>
      </x:c>
      <x:c r="H3139" s="17" t="str">
        <x:v>School of Engineering Science Faculty</x:v>
      </x:c>
      <x:c r="I3139" s="17" t="str">
        <x:v>Simon Fraser University</x:v>
      </x:c>
      <x:c r="J3139" s="17" t="str">
        <x:v>official</x:v>
      </x:c>
      <x:c r="K3139" s="17" t="str">
        <x:v>2026-09-11</x:v>
      </x:c>
      <x:c r="L3139" s="17" t="str">
        <x:v>2026</x:v>
      </x:c>
      <x:c r="M3139" s="17" t="str">
        <x:v>high</x:v>
      </x:c>
      <x:c r="N3139" s="17" t="str">
        <x:v>verified</x:v>
      </x:c>
      <x:c r="O3139" s="17" t="str">
        <x:v>Official roster checked 2026-09-11.</x:v>
      </x:c>
      <x:c r="P3139" s="18" t="e">
        <x:f>HYPERLINK("https://www.sfu.ca/fas/schools/engineering-science/faculty/","Open source")</x:f>
        <x:v>HYPERLINK is not implemented. linkLocation=https://www.sfu.ca/fas/schools/engineering-science/faculty/, friendlyName=Open source</x:v>
      </x:c>
    </x:row>
    <x:row r="3140" ht="46" customHeight="1">
      <x:c r="A3140" s="17" t="str">
        <x:v>stage4src:747fad1b188cf77c</x:v>
      </x:c>
      <x:c r="B3140" s="17" t="str">
        <x:v>professor</x:v>
      </x:c>
      <x:c r="C3140" s="17" t="str">
        <x:v>Brown University</x:v>
      </x:c>
      <x:c r="D3140" s="17" t="str">
        <x:v>us:ipeds:217156:program:phd:computer-science-phd</x:v>
      </x:c>
      <x:c r="E3140" s="17" t="str">
        <x:v>us:ipeds:217156:faculty:malte-schwarzkopf</x:v>
      </x:c>
      <x:c r="F3140" s="17" t="str">
        <x:v>recent work|research fit</x:v>
      </x:c>
      <x:c r="G3140" s="17" t="str">
        <x:v>The OSDI 2025 paper documents practical static analysis that finds privacy bugs in real Rust applications.</x:v>
      </x:c>
      <x:c r="H3140" s="17" t="str">
        <x:v>Paralegal: Practical Static Analysis for Privacy Bugs</x:v>
      </x:c>
      <x:c r="I3140" s="17" t="str">
        <x:v>Brown University</x:v>
      </x:c>
      <x:c r="J3140" s="17" t="str">
        <x:v>official</x:v>
      </x:c>
      <x:c r="K3140" s="17" t="str">
        <x:v>2026-09-11</x:v>
      </x:c>
      <x:c r="L3140" s="17" t="str">
        <x:v>2025</x:v>
      </x:c>
      <x:c r="M3140" s="17" t="str">
        <x:v>high</x:v>
      </x:c>
      <x:c r="N3140" s="17" t="str">
        <x:v>verified</x:v>
      </x:c>
      <x:c r="O3140" s="17" t="str">
        <x:v>University-hosted paper checked 2026-09-10.</x:v>
      </x:c>
      <x:c r="P3140" s="18" t="e">
        <x:f>HYPERLINK("https://cs.brown.edu/people/malte/pub/papers/2025-osdi-paralegal.pdf","Open source")</x:f>
        <x:v>HYPERLINK is not implemented. linkLocation=https://cs.brown.edu/people/malte/pub/papers/2025-osdi-paralegal.pdf, friendlyName=Open source</x:v>
      </x:c>
    </x:row>
    <x:row r="3141" ht="46" customHeight="1">
      <x:c r="A3141" s="17" t="str">
        <x:v>stage4src:74a7f2d1ce1431f4</x:v>
      </x:c>
      <x:c r="B3141" s="17" t="str">
        <x:v>professor</x:v>
      </x:c>
      <x:c r="C3141" s="17" t="str">
        <x:v>Florida International University</x:v>
      </x:c>
      <x:c r="D3141" s="17" t="str">
        <x:v>us:ipeds:133951:program:phd:doctor-of-philosophy-in-computer-science</x:v>
      </x:c>
      <x:c r="E3141" s="17" t="str">
        <x:v>us:ipeds:133951:faculty:amin-kharraz</x:v>
      </x:c>
      <x:c r="F3141" s="17" t="str">
        <x:v>recent work|research fit</x:v>
      </x:c>
      <x:c r="G3141" s="17" t="str">
        <x:v>The page records 2024–2025 work on malicious-code analysis, evasive behavior, and web security.</x:v>
      </x:c>
      <x:c r="H3141" s="17" t="str">
        <x:v>Amin Kharraz — Publications</x:v>
      </x:c>
      <x:c r="I3141" s="17" t="str">
        <x:v>OpenAlex / cited venue</x:v>
      </x:c>
      <x:c r="J3141" s="17" t="str">
        <x:v>secondary</x:v>
      </x:c>
      <x:c r="K3141" s="17" t="str">
        <x:v>2026-09-11</x:v>
      </x:c>
      <x:c r="L3141" s="17" t="str">
        <x:v>2025</x:v>
      </x:c>
      <x:c r="M3141" s="17" t="str">
        <x:v>high</x:v>
      </x:c>
      <x:c r="N3141" s="17" t="str">
        <x:v>verified</x:v>
      </x:c>
      <x:c r="O3141" s="17" t="str">
        <x:v>Author-maintained page checked 2026-09-10.</x:v>
      </x:c>
      <x:c r="P3141" s="18" t="e">
        <x:f>HYPERLINK("https://kharraz.org/","Open source")</x:f>
        <x:v>HYPERLINK is not implemented. linkLocation=https://kharraz.org/, friendlyName=Open source</x:v>
      </x:c>
    </x:row>
    <x:row r="3142" ht="46" customHeight="1">
      <x:c r="A3142" s="17" t="str">
        <x:v>stage4src:7503db15343e9ed1</x:v>
      </x:c>
      <x:c r="B3142" s="17" t="str">
        <x:v>professor</x:v>
      </x:c>
      <x:c r="C3142" s="17" t="str">
        <x:v>University of Wisconsin-Milwaukee</x:v>
      </x:c>
      <x:c r="D3142" s="17" t="str">
        <x:v>us:ipeds:240453:program:phd:computer-science-phd</x:v>
      </x:c>
      <x:c r="E3142" s="17" t="str">
        <x:v>us:ipeds:240453:faculty:tian-zhao</x:v>
      </x:c>
      <x:c r="F3142" s="17" t="str">
        <x:v>current research|research fit</x:v>
      </x:c>
      <x:c r="G3142" s="17" t="str">
        <x:v>The current university-hosted page documents Zhao's active programming-languages and systems research.</x:v>
      </x:c>
      <x:c r="H3142" s="17" t="str">
        <x:v>Tian Zhao</x:v>
      </x:c>
      <x:c r="I3142" s="17" t="str">
        <x:v>University of Wisconsin-Milwaukee</x:v>
      </x:c>
      <x:c r="J3142" s="17" t="str">
        <x:v>official</x:v>
      </x:c>
      <x:c r="K3142" s="17" t="str">
        <x:v>2026-09-11</x:v>
      </x:c>
      <x:c r="L3142" s="17" t="str">
        <x:v>2026</x:v>
      </x:c>
      <x:c r="M3142" s="17" t="str">
        <x:v>high</x:v>
      </x:c>
      <x:c r="N3142" s="17" t="str">
        <x:v>verified</x:v>
      </x:c>
      <x:c r="O3142" s="17" t="str">
        <x:v>Checked 2026-09-11.</x:v>
      </x:c>
      <x:c r="P3142" s="18" t="e">
        <x:f>HYPERLINK("https://boyang.cs.uwm.edu/","Open source")</x:f>
        <x:v>HYPERLINK is not implemented. linkLocation=https://boyang.cs.uwm.edu/, friendlyName=Open source</x:v>
      </x:c>
    </x:row>
    <x:row r="3143" ht="46" customHeight="1">
      <x:c r="A3143" s="17" t="str">
        <x:v>stage4src:757ea76f99940f3c</x:v>
      </x:c>
      <x:c r="B3143" s="17" t="str">
        <x:v>professor</x:v>
      </x:c>
      <x:c r="C3143" s="17" t="str">
        <x:v>Concordia University</x:v>
      </x:c>
      <x:c r="D3143" s="17" t="str">
        <x:v>ca:dli:O19359011007:program:thesis-or-research-master-s:software-engineering-masc</x:v>
      </x:c>
      <x:c r="E3143" s="17" t="str">
        <x:v>ca:dli:O19359011007:faculty:shin-hwei-tan</x:v>
      </x:c>
      <x:c r="F3143" s="17" t="str">
        <x:v>recent work|research fit</x:v>
      </x:c>
      <x:c r="G3143" s="17" t="str">
        <x:v>The author-maintained page records 2024 static-analyzer fault testing and LLM program reduction work and 2025 LLM-based broken-Web-UI-test repair.</x:v>
      </x:c>
      <x:c r="H3143" s="17" t="str">
        <x:v>Shin Hwei Tan — Publications</x:v>
      </x:c>
      <x:c r="I3143" s="17" t="str">
        <x:v>OpenAlex / cited venue</x:v>
      </x:c>
      <x:c r="J3143" s="17" t="str">
        <x:v>secondary</x:v>
      </x:c>
      <x:c r="K3143" s="17" t="str">
        <x:v>2026-09-11</x:v>
      </x:c>
      <x:c r="L3143" s="17" t="str">
        <x:v>2025</x:v>
      </x:c>
      <x:c r="M3143" s="17" t="str">
        <x:v>high</x:v>
      </x:c>
      <x:c r="N3143" s="17" t="str">
        <x:v>verified</x:v>
      </x:c>
      <x:c r="O3143" s="17" t="str">
        <x:v>Author-maintained page linked from the official Concordia profile; checked 2026-09-10.</x:v>
      </x:c>
      <x:c r="P3143" s="18" t="e">
        <x:f>HYPERLINK("https://www.shinhwei.com/","Open source")</x:f>
        <x:v>HYPERLINK is not implemented. linkLocation=https://www.shinhwei.com/, friendlyName=Open source</x:v>
      </x:c>
    </x:row>
    <x:row r="3144" ht="46" customHeight="1">
      <x:c r="A3144" s="17" t="str">
        <x:v>stage4src:762fe65b0db7ced9</x:v>
      </x:c>
      <x:c r="B3144" s="17" t="str">
        <x:v>professor</x:v>
      </x:c>
      <x:c r="C3144" s="17" t="str">
        <x:v>York University</x:v>
      </x:c>
      <x:c r="D3144" s="17" t="str">
        <x:v>ca:dli:O19361109242:program:thesis-or-research-master-s:computer-science-msc-thesis-option</x:v>
      </x:c>
      <x:c r="E3144" s="17" t="str"/>
      <x:c r="F3144" s="17" t="str">
        <x:v>current faculty roster|candidate longlist</x:v>
      </x:c>
      <x:c r="G3144" s="17" t="str">
        <x:v>Current official department roster or research-area faculty listing used to identify the five-person Stage 4 candidate longlist.</x:v>
      </x:c>
      <x:c r="H3144" s="17" t="str">
        <x:v>York University current faculty roster</x:v>
      </x:c>
      <x:c r="I3144" s="17" t="str">
        <x:v>York University</x:v>
      </x:c>
      <x:c r="J3144" s="17" t="str">
        <x:v>official</x:v>
      </x:c>
      <x:c r="K3144" s="17" t="str">
        <x:v>2026-09-11</x:v>
      </x:c>
      <x:c r="L3144" s="17" t="str"/>
      <x:c r="M3144" s="17" t="str">
        <x:v>high</x:v>
      </x:c>
      <x:c r="N3144" s="17" t="str">
        <x:v>verified</x:v>
      </x:c>
      <x:c r="O3144" s="17" t="str">
        <x:v>Roster evidence establishes a current listing, not program-specific supervision authority or recruiting.</x:v>
      </x:c>
      <x:c r="P3144" s="18" t="e">
        <x:f>HYPERLINK("https://lassonde.yorku.ca/eecs/academics/graduate/graduate-faculty/","Open source")</x:f>
        <x:v>HYPERLINK is not implemented. linkLocation=https://lassonde.yorku.ca/eecs/academics/graduate/graduate-faculty/, friendlyName=Open source</x:v>
      </x:c>
    </x:row>
    <x:row r="3145" ht="46" customHeight="1">
      <x:c r="A3145" s="17" t="str">
        <x:v>stage4src:764870e277e8cdf3</x:v>
      </x:c>
      <x:c r="B3145" s="17" t="str">
        <x:v>professor</x:v>
      </x:c>
      <x:c r="C3145" s="17" t="str">
        <x:v>Rutgers University-New Brunswick</x:v>
      </x:c>
      <x:c r="D3145" s="17" t="str">
        <x:v>us:ipeds:186380:program:phd:computer-science-phd</x:v>
      </x:c>
      <x:c r="E3145" s="17" t="str">
        <x:v>us:ipeds:186380:faculty:santosh-nagarakatte</x:v>
      </x:c>
      <x:c r="F3145" s="17" t="str">
        <x:v>recent work|current doctoral supervision|research fit</x:v>
      </x:c>
      <x:c r="G3145" s="17" t="str">
        <x:v>The current group page lists PhD members and the 2024 SAS eBPF-verifier paper.</x:v>
      </x:c>
      <x:c r="H3145" s="17" t="str">
        <x:v>Rutgers Architecture and Programming Languages Research Group</x:v>
      </x:c>
      <x:c r="I3145" s="17" t="str">
        <x:v>Rutgers University-New Brunswick</x:v>
      </x:c>
      <x:c r="J3145" s="17" t="str">
        <x:v>official</x:v>
      </x:c>
      <x:c r="K3145" s="17" t="str">
        <x:v>2026-09-11</x:v>
      </x:c>
      <x:c r="L3145" s="17" t="str">
        <x:v>2024</x:v>
      </x:c>
      <x:c r="M3145" s="17" t="str">
        <x:v>high</x:v>
      </x:c>
      <x:c r="N3145" s="17" t="str">
        <x:v>verified</x:v>
      </x:c>
      <x:c r="O3145" s="17" t="str">
        <x:v>University-hosted research-group page checked 2026-09-10.</x:v>
      </x:c>
      <x:c r="P3145" s="18" t="e">
        <x:f>HYPERLINK("https://people.cs.rutgers.edu/~sn349/rapl/index.html","Open source")</x:f>
        <x:v>HYPERLINK is not implemented. linkLocation=https://people.cs.rutgers.edu/~sn349/rapl/index.html, friendlyName=Open source</x:v>
      </x:c>
    </x:row>
    <x:row r="3146" ht="46" customHeight="1">
      <x:c r="A3146" s="17" t="str">
        <x:v>stage4src:76647dabb236e96b</x:v>
      </x:c>
      <x:c r="B3146" s="17" t="str">
        <x:v>professor</x:v>
      </x:c>
      <x:c r="C3146" s="17" t="str">
        <x:v>University of California-Santa Barbara</x:v>
      </x:c>
      <x:c r="D3146" s="17" t="str">
        <x:v>us:ipeds:110705:program:phd:computer-science-phd</x:v>
      </x:c>
      <x:c r="E3146" s="17" t="str">
        <x:v>us:ipeds:110705:faculty:tevfik-bultan</x:v>
      </x:c>
      <x:c r="F3146" s="17" t="str">
        <x:v>current appointment|current doctoral supervision|research themes</x:v>
      </x:c>
      <x:c r="G3146" s="17" t="str">
        <x:v>The current faculty page documents UCSB affiliation, research themes, and current PhD advising activity.</x:v>
      </x:c>
      <x:c r="H3146" s="17" t="str">
        <x:v>Tevfik Bultan research page</x:v>
      </x:c>
      <x:c r="I3146" s="17" t="str">
        <x:v>University of California-Santa Barbara</x:v>
      </x:c>
      <x:c r="J3146" s="17" t="str">
        <x:v>official</x:v>
      </x:c>
      <x:c r="K3146" s="17" t="str">
        <x:v>2026-09-11</x:v>
      </x:c>
      <x:c r="L3146" s="17" t="str">
        <x:v>2026</x:v>
      </x:c>
      <x:c r="M3146" s="17" t="str">
        <x:v>high</x:v>
      </x:c>
      <x:c r="N3146" s="17" t="str">
        <x:v>verified</x:v>
      </x:c>
      <x:c r="O3146" s="17" t="str">
        <x:v>University-hosted faculty page checked 2026-09-10.</x:v>
      </x:c>
      <x:c r="P3146" s="18" t="e">
        <x:f>HYPERLINK("https://sites.cs.ucsb.edu/~bultan/","Open source")</x:f>
        <x:v>HYPERLINK is not implemented. linkLocation=https://sites.cs.ucsb.edu/~bultan/, friendlyName=Open source</x:v>
      </x:c>
    </x:row>
    <x:row r="3147" ht="46" customHeight="1">
      <x:c r="A3147" s="17" t="str">
        <x:v>stage4src:76e8accbcdd305f0</x:v>
      </x:c>
      <x:c r="B3147" s="17" t="str">
        <x:v>professor</x:v>
      </x:c>
      <x:c r="C3147" s="17" t="str">
        <x:v>Johns Hopkins University</x:v>
      </x:c>
      <x:c r="D3147" s="17" t="str">
        <x:v>us:ipeds:162928:program:phd:phd-in-computer-science</x:v>
      </x:c>
      <x:c r="E3147" s="17" t="str">
        <x:v>us:ipeds:162928:faculty:yinzhi-cao</x:v>
      </x:c>
      <x:c r="F3147" s="17" t="str">
        <x:v>current appointment|department|email|research themes|active projects</x:v>
      </x:c>
      <x:c r="G3147" s="17" t="str">
        <x:v>JHU lists Cao as Associate Professor of Computer Science and records current web-vulnerability and machine-learning-security projects.</x:v>
      </x:c>
      <x:c r="H3147" s="17" t="str">
        <x:v>Yinzhi Cao</x:v>
      </x:c>
      <x:c r="I3147" s="17" t="str">
        <x:v>Johns Hopkins University</x:v>
      </x:c>
      <x:c r="J3147" s="17" t="str">
        <x:v>official</x:v>
      </x:c>
      <x:c r="K3147" s="17" t="str">
        <x:v>2026-09-11</x:v>
      </x:c>
      <x:c r="L3147" s="17" t="str">
        <x:v>2026</x:v>
      </x:c>
      <x:c r="M3147" s="17" t="str">
        <x:v>high</x:v>
      </x:c>
      <x:c r="N3147" s="17" t="str">
        <x:v>verified</x:v>
      </x:c>
      <x:c r="O3147" s="17" t="str">
        <x:v>Live official profile checked 2026-09-11.</x:v>
      </x:c>
      <x:c r="P3147" s="18" t="e">
        <x:f>HYPERLINK("https://www.cs.jhu.edu/faculty/yinzhi-cao/","Open source")</x:f>
        <x:v>HYPERLINK is not implemented. linkLocation=https://www.cs.jhu.edu/faculty/yinzhi-cao/, friendlyName=Open source</x:v>
      </x:c>
    </x:row>
    <x:row r="3148" ht="46" customHeight="1">
      <x:c r="A3148" s="17" t="str">
        <x:v>stage4src:76fe5da590b9a8ed</x:v>
      </x:c>
      <x:c r="B3148" s="17" t="str">
        <x:v>professor</x:v>
      </x:c>
      <x:c r="C3148" s="17" t="str">
        <x:v>Ohio State University-Main Campus</x:v>
      </x:c>
      <x:c r="D3148" s="17" t="str">
        <x:v>us:ipeds:204796:program:phd:computer-science-and-engineering-phd</x:v>
      </x:c>
      <x:c r="E3148" s="17" t="str"/>
      <x:c r="F3148" s="17" t="str">
        <x:v>current faculty roster|candidate longlist</x:v>
      </x:c>
      <x:c r="G3148" s="17" t="str">
        <x:v>Current official department roster or research-area faculty listing used to identify the five-person Stage 4 candidate longlist.</x:v>
      </x:c>
      <x:c r="H3148" s="17" t="str">
        <x:v>Ohio State University-Main Campus current faculty roster</x:v>
      </x:c>
      <x:c r="I3148" s="17" t="str">
        <x:v>Ohio State University-Main Campus</x:v>
      </x:c>
      <x:c r="J3148" s="17" t="str">
        <x:v>official</x:v>
      </x:c>
      <x:c r="K3148" s="17" t="str">
        <x:v>2026-09-11</x:v>
      </x:c>
      <x:c r="L3148" s="17" t="str"/>
      <x:c r="M3148" s="17" t="str">
        <x:v>high</x:v>
      </x:c>
      <x:c r="N3148" s="17" t="str">
        <x:v>verified</x:v>
      </x:c>
      <x:c r="O3148" s="17" t="str">
        <x:v>Roster evidence establishes a current listing, not program-specific supervision authority or recruiting.</x:v>
      </x:c>
      <x:c r="P3148" s="18" t="e">
        <x:f>HYPERLINK("https://cse.osu.edu/directory/faculty","Open source")</x:f>
        <x:v>HYPERLINK is not implemented. linkLocation=https://cse.osu.edu/directory/faculty, friendlyName=Open source</x:v>
      </x:c>
    </x:row>
    <x:row r="3149" ht="46" customHeight="1">
      <x:c r="A3149" s="17" t="str">
        <x:v>stage4src:7729b736eaedb463</x:v>
      </x:c>
      <x:c r="B3149" s="17" t="str">
        <x:v>professor</x:v>
      </x:c>
      <x:c r="C3149" s="17" t="str">
        <x:v>Ontario Tech University</x:v>
      </x:c>
      <x:c r="D3149" s="17" t="str">
        <x:v>ca:dli:O19315945002:program:thesis-or-research-master-s:software-engineering-masc</x:v>
      </x:c>
      <x:c r="E3149" s="17" t="str">
        <x:v>ca:dli:O19315945002:faculty:kundi-yao</x:v>
      </x:c>
      <x:c r="F3149" s="17" t="str">
        <x:v>Software Engineering MASc supervision authority|current graduate faculty</x:v>
      </x:c>
      <x:c r="G3149" s="17" t="str">
        <x:v>The official record approves Kundi Yao as Graduate Faculty (I) in Electrical, Computer and Software Engineering.</x:v>
      </x:c>
      <x:c r="H3149" s="17" t="str">
        <x:v>Graduate Studies Committee Minutes — April 28, 2026</x:v>
      </x:c>
      <x:c r="I3149" s="17" t="str">
        <x:v>Ontario Tech University</x:v>
      </x:c>
      <x:c r="J3149" s="17" t="str">
        <x:v>official</x:v>
      </x:c>
      <x:c r="K3149" s="17" t="str">
        <x:v>2026-09-11</x:v>
      </x:c>
      <x:c r="L3149" s="17" t="str">
        <x:v>2026</x:v>
      </x:c>
      <x:c r="M3149" s="17" t="str">
        <x:v>high</x:v>
      </x:c>
      <x:c r="N3149" s="17" t="str">
        <x:v>verified</x:v>
      </x:c>
      <x:c r="O3149" s="17" t="str">
        <x:v>Official governance PDF checked 2026-09-10.</x:v>
      </x:c>
      <x:c r="P3149" s="18" t="e">
        <x:f>HYPERLINK("https://shared.ontariotechu.ca/shared/department/governance/documents/p_gsc-2026-04-28_minutes.pdf","Open source")</x:f>
        <x:v>HYPERLINK is not implemented. linkLocation=https://shared.ontariotechu.ca/shared/department/governance/documents/p_gsc-2026-04-28_minutes.pdf, friendlyName=Open source</x:v>
      </x:c>
    </x:row>
    <x:row r="3150" ht="46" customHeight="1">
      <x:c r="A3150" s="17" t="str">
        <x:v>stage4src:77408a0b343edeb4</x:v>
      </x:c>
      <x:c r="B3150" s="17" t="str">
        <x:v>professor</x:v>
      </x:c>
      <x:c r="C3150" s="17" t="str">
        <x:v>Louisiana State University and Agricultural &amp; Mechanical College</x:v>
      </x:c>
      <x:c r="D3150" s="17" t="str">
        <x:v>us:ipeds:159391:program:phd:ph-d-in-computer-science-and-engineering</x:v>
      </x:c>
      <x:c r="E3150" s="17" t="str"/>
      <x:c r="F3150" s="17" t="str">
        <x:v>current faculty roster|candidate longlist</x:v>
      </x:c>
      <x:c r="G3150" s="17" t="str">
        <x:v>Current official department roster or research-area faculty listing used to identify the five-person Stage 4 candidate longlist.</x:v>
      </x:c>
      <x:c r="H3150" s="17" t="str">
        <x:v>Louisiana State University and Agricultural &amp; Mechanical College current faculty roster</x:v>
      </x:c>
      <x:c r="I3150" s="17" t="str">
        <x:v>Louisiana State University and Agricultural &amp; Mechanical College</x:v>
      </x:c>
      <x:c r="J3150" s="17" t="str">
        <x:v>official</x:v>
      </x:c>
      <x:c r="K3150" s="17" t="str">
        <x:v>2026-09-11</x:v>
      </x:c>
      <x:c r="L3150" s="17" t="str"/>
      <x:c r="M3150" s="17" t="str">
        <x:v>high</x:v>
      </x:c>
      <x:c r="N3150" s="17" t="str">
        <x:v>verified</x:v>
      </x:c>
      <x:c r="O3150" s="17" t="str">
        <x:v>Roster evidence establishes a current listing, not program-specific supervision authority or recruiting.</x:v>
      </x:c>
      <x:c r="P3150" s="18" t="e">
        <x:f>HYPERLINK("https://www.lsu.edu/eng/cse/people/faculty/index.php","Open source")</x:f>
        <x:v>HYPERLINK is not implemented. linkLocation=https://www.lsu.edu/eng/cse/people/faculty/index.php, friendlyName=Open source</x:v>
      </x:c>
    </x:row>
    <x:row r="3151" ht="46" customHeight="1">
      <x:c r="A3151" s="17" t="str">
        <x:v>stage4src:7766b07040bc0583</x:v>
      </x:c>
      <x:c r="B3151" s="17" t="str">
        <x:v>professor</x:v>
      </x:c>
      <x:c r="C3151" s="17" t="str">
        <x:v>University of Missouri-Columbia</x:v>
      </x:c>
      <x:c r="D3151" s="17" t="str">
        <x:v>us:ipeds:178396:program:phd:phd-in-computer-science</x:v>
      </x:c>
      <x:c r="E3151" s="17" t="str">
        <x:v>us:ipeds:178396:faculty:prasad-calyam</x:v>
      </x:c>
      <x:c r="F3151" s="17" t="str">
        <x:v>discovery publication signal|recent work</x:v>
      </x:c>
      <x:c r="G3151" s="17" t="str">
        <x:v>Publication metadata was examined for shortlist triage only; publication-time affiliation does not establish current appointment, supervision authority, or recruiting.</x:v>
      </x:c>
      <x:c r="H3151" s="17" t="str">
        <x:v>OpenAlex publication signal for Prasad Calyam</x:v>
      </x:c>
      <x:c r="I3151" s="17" t="str">
        <x:v>OpenAlex / cited venue</x:v>
      </x:c>
      <x:c r="J3151" s="17" t="str">
        <x:v>secondary</x:v>
      </x:c>
      <x:c r="K3151" s="17" t="str">
        <x:v>2026-09-11</x:v>
      </x:c>
      <x:c r="L3151" s="17" t="str"/>
      <x:c r="M3151" s="17" t="str">
        <x:v>medium</x:v>
      </x:c>
      <x:c r="N3151" s="17" t="str">
        <x:v>discovery_only</x:v>
      </x:c>
      <x:c r="O3151" s="17" t="str">
        <x:v>Not used to award a professor score or faculty-depth point.</x:v>
      </x:c>
      <x:c r="P3151" s="18" t="e">
        <x:f>HYPERLINK("https://openalex.org/A5072008189","Open source")</x:f>
        <x:v>HYPERLINK is not implemented. linkLocation=https://openalex.org/A5072008189, friendlyName=Open source</x:v>
      </x:c>
    </x:row>
    <x:row r="3152" ht="46" customHeight="1">
      <x:c r="A3152" s="17" t="str">
        <x:v>stage4src:7853c587c17734c4</x:v>
      </x:c>
      <x:c r="B3152" s="17" t="str">
        <x:v>professor</x:v>
      </x:c>
      <x:c r="C3152" s="17" t="str">
        <x:v>University of California-Santa Barbara</x:v>
      </x:c>
      <x:c r="D3152" s="17" t="str">
        <x:v>us:ipeds:110705:program:phd:computer-science-phd</x:v>
      </x:c>
      <x:c r="E3152" s="17" t="str">
        <x:v>us:ipeds:110705:faculty:tevfik-bultan</x:v>
      </x:c>
      <x:c r="F3152" s="17" t="str">
        <x:v>recent work|research fit</x:v>
      </x:c>
      <x:c r="G3152" s="17" t="str">
        <x:v>The university-hosted list records Bultan-coauthored verification and robustness work from 2024 through 2026.</x:v>
      </x:c>
      <x:c r="H3152" s="17" t="str">
        <x:v>Recent coauthored verification and robustness publications</x:v>
      </x:c>
      <x:c r="I3152" s="17" t="str">
        <x:v>University of California-Santa Barbara</x:v>
      </x:c>
      <x:c r="J3152" s="17" t="str">
        <x:v>official</x:v>
      </x:c>
      <x:c r="K3152" s="17" t="str">
        <x:v>2026-09-11</x:v>
      </x:c>
      <x:c r="L3152" s="17" t="str">
        <x:v>2026</x:v>
      </x:c>
      <x:c r="M3152" s="17" t="str">
        <x:v>high</x:v>
      </x:c>
      <x:c r="N3152" s="17" t="str">
        <x:v>verified</x:v>
      </x:c>
      <x:c r="O3152" s="17" t="str">
        <x:v>University-hosted publication list checked 2026-09-10.</x:v>
      </x:c>
      <x:c r="P3152" s="18" t="e">
        <x:f>HYPERLINK("https://sites.cs.ucsb.edu/~maradowning/publications.html","Open source")</x:f>
        <x:v>HYPERLINK is not implemented. linkLocation=https://sites.cs.ucsb.edu/~maradowning/publications.html, friendlyName=Open source</x:v>
      </x:c>
    </x:row>
    <x:row r="3153" ht="46" customHeight="1">
      <x:c r="A3153" s="17" t="str">
        <x:v>stage4src:7878fceabdc9c49b</x:v>
      </x:c>
      <x:c r="B3153" s="17" t="str">
        <x:v>professor</x:v>
      </x:c>
      <x:c r="C3153" s="17" t="str">
        <x:v>Washington State University</x:v>
      </x:c>
      <x:c r="D3153" s="17" t="str">
        <x:v>us:ipeds:236939:program:phd:doctor-of-philosophy-in-computer-science</x:v>
      </x:c>
      <x:c r="E3153" s="17" t="str">
        <x:v>us:ipeds:236939:faculty:thomas-gilray</x:v>
      </x:c>
      <x:c r="F3153" s="17" t="str">
        <x:v>recent work|research fit|current appointment</x:v>
      </x:c>
      <x:c r="G3153" s="17" t="str">
        <x:v>The official 2024 seminar documents Gilray's work on contracts, correctness, verification, auditing, and program analysis.</x:v>
      </x:c>
      <x:c r="H3153" s="17" t="str">
        <x:v>Correctness and Verification using Software Contracts</x:v>
      </x:c>
      <x:c r="I3153" s="17" t="str">
        <x:v>Washington State University</x:v>
      </x:c>
      <x:c r="J3153" s="17" t="str">
        <x:v>official</x:v>
      </x:c>
      <x:c r="K3153" s="17" t="str">
        <x:v>2026-09-11</x:v>
      </x:c>
      <x:c r="L3153" s="17" t="str">
        <x:v>2024</x:v>
      </x:c>
      <x:c r="M3153" s="17" t="str">
        <x:v>high</x:v>
      </x:c>
      <x:c r="N3153" s="17" t="str">
        <x:v>verified</x:v>
      </x:c>
      <x:c r="O3153" s="17" t="str">
        <x:v>Official WSU PDF checked 2026-09-10.</x:v>
      </x:c>
      <x:c r="P3153" s="18" t="e">
        <x:f>HYPERLINK("https://wpcdn.web.wsu.edu/wp-vcea/uploads/sites/3267/2024/09/CySER_seminar_Thomas_Gilray_v2.pdf","Open source")</x:f>
        <x:v>HYPERLINK is not implemented. linkLocation=https://wpcdn.web.wsu.edu/wp-vcea/uploads/sites/3267/2024/09/CySER_seminar_Thomas_Gilray_v2.pdf, friendlyName=Open source</x:v>
      </x:c>
    </x:row>
    <x:row r="3154" ht="46" customHeight="1">
      <x:c r="A3154" s="17" t="str">
        <x:v>stage4src:7884133890f7defc</x:v>
      </x:c>
      <x:c r="B3154" s="17" t="str">
        <x:v>professor</x:v>
      </x:c>
      <x:c r="C3154" s="17" t="str">
        <x:v>Stevens Institute of Technology</x:v>
      </x:c>
      <x:c r="D3154" s="17" t="str">
        <x:v>us:ipeds:186867:program:phd:phd-in-computer-science</x:v>
      </x:c>
      <x:c r="E3154" s="17" t="str">
        <x:v>us:ipeds:186867:faculty:tegan-brennan</x:v>
      </x:c>
      <x:c r="F3154" s="17" t="str">
        <x:v>recent work|research fit</x:v>
      </x:c>
      <x:c r="G3154" s="17" t="str">
        <x:v>The official 2025 news page documents Brennan's active privacy-aware JIT compilation project.</x:v>
      </x:c>
      <x:c r="H3154" s="17" t="str">
        <x:v>NSF Awards Tegan Brennan $575K to Improve Software Security and Performance</x:v>
      </x:c>
      <x:c r="I3154" s="17" t="str">
        <x:v>Stevens Institute of Technology</x:v>
      </x:c>
      <x:c r="J3154" s="17" t="str">
        <x:v>official</x:v>
      </x:c>
      <x:c r="K3154" s="17" t="str">
        <x:v>2026-09-11</x:v>
      </x:c>
      <x:c r="L3154" s="17" t="str">
        <x:v>2025</x:v>
      </x:c>
      <x:c r="M3154" s="17" t="str">
        <x:v>high</x:v>
      </x:c>
      <x:c r="N3154" s="17" t="str">
        <x:v>verified</x:v>
      </x:c>
      <x:c r="O3154" s="17" t="str">
        <x:v>Official active-project page checked 2026-09-10.</x:v>
      </x:c>
      <x:c r="P3154" s="18" t="e">
        <x:f>HYPERLINK("https://www.stevens.edu/news/nsf-awards-tegan-brennan-usd575k-to-improve-software-security","Open source")</x:f>
        <x:v>HYPERLINK is not implemented. linkLocation=https://www.stevens.edu/news/nsf-awards-tegan-brennan-usd575k-to-improve-software-security, friendlyName=Open source</x:v>
      </x:c>
    </x:row>
    <x:row r="3155" ht="46" customHeight="1">
      <x:c r="A3155" s="17" t="str">
        <x:v>stage4src:78a6b2fd6db7e97c</x:v>
      </x:c>
      <x:c r="B3155" s="17" t="str">
        <x:v>professor</x:v>
      </x:c>
      <x:c r="C3155" s="17" t="str">
        <x:v>Lehigh University</x:v>
      </x:c>
      <x:c r="D3155" s="17" t="str">
        <x:v>us:ipeds:213543:program:phd:phd-in-computer-science</x:v>
      </x:c>
      <x:c r="E3155" s="17" t="str"/>
      <x:c r="F3155" s="17" t="str">
        <x:v>current faculty roster|candidate longlist</x:v>
      </x:c>
      <x:c r="G3155" s="17" t="str">
        <x:v>Current official department roster or research-area faculty listing used to identify the five-person Stage 4 candidate longlist.</x:v>
      </x:c>
      <x:c r="H3155" s="17" t="str">
        <x:v>Lehigh University current faculty roster</x:v>
      </x:c>
      <x:c r="I3155" s="17" t="str">
        <x:v>Lehigh University</x:v>
      </x:c>
      <x:c r="J3155" s="17" t="str">
        <x:v>official</x:v>
      </x:c>
      <x:c r="K3155" s="17" t="str">
        <x:v>2026-09-11</x:v>
      </x:c>
      <x:c r="L3155" s="17" t="str"/>
      <x:c r="M3155" s="17" t="str">
        <x:v>high</x:v>
      </x:c>
      <x:c r="N3155" s="17" t="str">
        <x:v>verified</x:v>
      </x:c>
      <x:c r="O3155" s="17" t="str">
        <x:v>Roster evidence establishes a current listing, not program-specific supervision authority or recruiting.</x:v>
      </x:c>
      <x:c r="P3155" s="18" t="e">
        <x:f>HYPERLINK("https://engineering.lehigh.edu/faculty","Open source")</x:f>
        <x:v>HYPERLINK is not implemented. linkLocation=https://engineering.lehigh.edu/faculty, friendlyName=Open source</x:v>
      </x:c>
    </x:row>
    <x:row r="3156" ht="46" customHeight="1">
      <x:c r="A3156" s="17" t="str">
        <x:v>stage4src:78f30fb33d2559d1</x:v>
      </x:c>
      <x:c r="B3156" s="17" t="str">
        <x:v>professor</x:v>
      </x:c>
      <x:c r="C3156" s="17" t="str">
        <x:v>Virginia Commonwealth University</x:v>
      </x:c>
      <x:c r="D3156" s="17" t="str">
        <x:v>us:ipeds:234030:program:phd:doctor-of-philosophy-in-computer-science</x:v>
      </x:c>
      <x:c r="E3156" s="17" t="str">
        <x:v>us:ipeds:234030:faculty:kostadin-damevski</x:v>
      </x:c>
      <x:c r="F3156" s="17" t="str">
        <x:v>recent work|secure AI-assisted programming|research fit</x:v>
      </x:c>
      <x:c r="G3156" s="17" t="str">
        <x:v>The 2025 article evaluates whether LLM answers recognize vulnerable code and supports secure AI-assisted software-engineering overlap.</x:v>
      </x:c>
      <x:c r="H3156" s="17" t="str">
        <x:v>Do LLMs Consider Security? An Empirical Study on Responses to Programming Questions</x:v>
      </x:c>
      <x:c r="I3156" s="17" t="str">
        <x:v>OpenAlex / cited venue</x:v>
      </x:c>
      <x:c r="J3156" s="17" t="str">
        <x:v>secondary</x:v>
      </x:c>
      <x:c r="K3156" s="17" t="str">
        <x:v>2026-09-11</x:v>
      </x:c>
      <x:c r="L3156" s="17" t="str">
        <x:v>2025</x:v>
      </x:c>
      <x:c r="M3156" s="17" t="str">
        <x:v>high</x:v>
      </x:c>
      <x:c r="N3156" s="17" t="str">
        <x:v>verified</x:v>
      </x:c>
      <x:c r="O3156" s="17" t="str">
        <x:v>Publisher DOI metadata checked 2026-09-10.</x:v>
      </x:c>
      <x:c r="P3156" s="18" t="e">
        <x:f>HYPERLINK("https://doi.org/10.1007/s10664-025-10658-6","Open source")</x:f>
        <x:v>HYPERLINK is not implemented. linkLocation=https://doi.org/10.1007/s10664-025-10658-6, friendlyName=Open source</x:v>
      </x:c>
    </x:row>
    <x:row r="3157" ht="46" customHeight="1">
      <x:c r="A3157" s="17" t="str">
        <x:v>stage4src:798d73b94b08a75c</x:v>
      </x:c>
      <x:c r="B3157" s="17" t="str">
        <x:v>professor</x:v>
      </x:c>
      <x:c r="C3157" s="17" t="str">
        <x:v>Temple University</x:v>
      </x:c>
      <x:c r="D3157" s="17" t="str">
        <x:v>us:ipeds:216339:program:phd:computer-and-information-science-phd</x:v>
      </x:c>
      <x:c r="E3157" s="17" t="str">
        <x:v>us:ipeds:216339:faculty:stephen-macneil</x:v>
      </x:c>
      <x:c r="F3157" s="17" t="str">
        <x:v>recent work|research themes|research fit</x:v>
      </x:c>
      <x:c r="G3157" s="17" t="str">
        <x:v>MacNeil's current research page documents 2025 work on GenAI as a software-design partner and GenAI use in software design.</x:v>
      </x:c>
      <x:c r="H3157" s="17" t="str">
        <x:v>Stephen MacNeil Research</x:v>
      </x:c>
      <x:c r="I3157" s="17" t="str">
        <x:v>Temple University</x:v>
      </x:c>
      <x:c r="J3157" s="17" t="str">
        <x:v>official</x:v>
      </x:c>
      <x:c r="K3157" s="17" t="str">
        <x:v>2026-09-11</x:v>
      </x:c>
      <x:c r="L3157" s="17" t="str">
        <x:v>2026</x:v>
      </x:c>
      <x:c r="M3157" s="17" t="str">
        <x:v>high</x:v>
      </x:c>
      <x:c r="N3157" s="17" t="str">
        <x:v>verified</x:v>
      </x:c>
      <x:c r="O3157" s="17" t="str">
        <x:v>Current faculty research page checked 2026-09-11.</x:v>
      </x:c>
      <x:c r="P3157" s="18" t="e">
        <x:f>HYPERLINK("https://stevemacn.github.io/research/","Open source")</x:f>
        <x:v>HYPERLINK is not implemented. linkLocation=https://stevemacn.github.io/research/, friendlyName=Open source</x:v>
      </x:c>
    </x:row>
    <x:row r="3158" ht="46" customHeight="1">
      <x:c r="A3158" s="17" t="str">
        <x:v>stage4src:7a5229b5f669b5d8</x:v>
      </x:c>
      <x:c r="B3158" s="17" t="str">
        <x:v>professor</x:v>
      </x:c>
      <x:c r="C3158" s="17" t="str">
        <x:v>Purdue University-Main Campus</x:v>
      </x:c>
      <x:c r="D3158" s="17" t="str">
        <x:v>us:ipeds:243780:program:phd:computer-science-phd</x:v>
      </x:c>
      <x:c r="E3158" s="17" t="str">
        <x:v>us:ipeds:243780:faculty:tianyi-zhang</x:v>
      </x:c>
      <x:c r="F3158" s="17" t="str">
        <x:v>discovery publication signal|recent work</x:v>
      </x:c>
      <x:c r="G3158" s="17" t="str">
        <x:v>Publication metadata was examined for shortlist triage only; publication-time affiliation does not establish current appointment, supervision authority, or recruiting.</x:v>
      </x:c>
      <x:c r="H3158" s="17" t="str">
        <x:v>OpenAlex publication signal for Tianyi Zhang</x:v>
      </x:c>
      <x:c r="I3158" s="17" t="str">
        <x:v>OpenAlex / cited venue</x:v>
      </x:c>
      <x:c r="J3158" s="17" t="str">
        <x:v>secondary</x:v>
      </x:c>
      <x:c r="K3158" s="17" t="str">
        <x:v>2026-09-11</x:v>
      </x:c>
      <x:c r="L3158" s="17" t="str"/>
      <x:c r="M3158" s="17" t="str">
        <x:v>medium</x:v>
      </x:c>
      <x:c r="N3158" s="17" t="str">
        <x:v>discovery_only</x:v>
      </x:c>
      <x:c r="O3158" s="17" t="str">
        <x:v>Not used to award a professor score or faculty-depth point.</x:v>
      </x:c>
      <x:c r="P3158" s="18" t="e">
        <x:f>HYPERLINK("https://openalex.org/A5100437453","Open source")</x:f>
        <x:v>HYPERLINK is not implemented. linkLocation=https://openalex.org/A5100437453, friendlyName=Open source</x:v>
      </x:c>
    </x:row>
    <x:row r="3159" ht="46" customHeight="1">
      <x:c r="A3159" s="17" t="str">
        <x:v>stage4src:7a7c8d3d62b6ff18</x:v>
      </x:c>
      <x:c r="B3159" s="17" t="str">
        <x:v>professor</x:v>
      </x:c>
      <x:c r="C3159" s="17" t="str">
        <x:v>University of South Carolina-Columbia</x:v>
      </x:c>
      <x:c r="D3159" s="17" t="str">
        <x:v>us:ipeds:218663:program:phd:doctor-of-philosophy-in-computer-science</x:v>
      </x:c>
      <x:c r="E3159" s="17" t="str">
        <x:v>us:ipeds:218663:faculty:chin-tser-huang</x:v>
      </x:c>
      <x:c r="F3159" s="17" t="str">
        <x:v>current roster|candidate longlist|research context</x:v>
      </x:c>
      <x:c r="G3159" s="17" t="str">
        <x:v>The live cybersecurity roster lists Huang and the four bounded alternative candidates; stale former-faculty names were excluded.</x:v>
      </x:c>
      <x:c r="H3159" s="17" t="str">
        <x:v>Cybersecurity Faculty and Staff</x:v>
      </x:c>
      <x:c r="I3159" s="17" t="str">
        <x:v>University of South Carolina-Columbia</x:v>
      </x:c>
      <x:c r="J3159" s="17" t="str">
        <x:v>official</x:v>
      </x:c>
      <x:c r="K3159" s="17" t="str">
        <x:v>2026-09-11</x:v>
      </x:c>
      <x:c r="L3159" s="17" t="str">
        <x:v>2026</x:v>
      </x:c>
      <x:c r="M3159" s="17" t="str">
        <x:v>high</x:v>
      </x:c>
      <x:c r="N3159" s="17" t="str">
        <x:v>verified</x:v>
      </x:c>
      <x:c r="O3159" s="17" t="str">
        <x:v>Live official roster checked 2026-09-11.</x:v>
      </x:c>
      <x:c r="P3159" s="18" t="e">
        <x:f>HYPERLINK("https://www.cse.sc.edu/isl/people","Open source")</x:f>
        <x:v>HYPERLINK is not implemented. linkLocation=https://www.cse.sc.edu/isl/people, friendlyName=Open source</x:v>
      </x:c>
    </x:row>
    <x:row r="3160" ht="46" customHeight="1">
      <x:c r="A3160" s="17" t="str">
        <x:v>stage4src:7aebcc36ee18b717</x:v>
      </x:c>
      <x:c r="B3160" s="17" t="str">
        <x:v>professor</x:v>
      </x:c>
      <x:c r="C3160" s="17" t="str">
        <x:v>University of Colorado Colorado Springs</x:v>
      </x:c>
      <x:c r="D3160" s="17" t="str">
        <x:v>us:ipeds:126580:program:phd:cybersecurity-phd</x:v>
      </x:c>
      <x:c r="E3160" s="17" t="str">
        <x:v>us:ipeds:126580:faculty:sang-yoon-chang</x:v>
      </x:c>
      <x:c r="F3160" s="17" t="str">
        <x:v>supervision authority|advisory committee|program structure</x:v>
      </x:c>
      <x:c r="G3160" s="17" t="str">
        <x:v>The Security PhD requires a dissertation advisor selected from approved graduate faculty and a faculty advisory committee.</x:v>
      </x:c>
      <x:c r="H3160" s="17" t="str">
        <x:v>Procedures &amp; Requirements for Graduation — Security PhD</x:v>
      </x:c>
      <x:c r="I3160" s="17" t="str">
        <x:v>University of Colorado Colorado Springs</x:v>
      </x:c>
      <x:c r="J3160" s="17" t="str">
        <x:v>official</x:v>
      </x:c>
      <x:c r="K3160" s="17" t="str">
        <x:v>2026-09-11</x:v>
      </x:c>
      <x:c r="L3160" s="17" t="str">
        <x:v>2026</x:v>
      </x:c>
      <x:c r="M3160" s="17" t="str">
        <x:v>high</x:v>
      </x:c>
      <x:c r="N3160" s="17" t="str">
        <x:v>verified</x:v>
      </x:c>
      <x:c r="O3160" s="17" t="str">
        <x:v>Live official requirements checked 2026-09-11.</x:v>
      </x:c>
      <x:c r="P3160" s="18" t="e">
        <x:f>HYPERLINK("https://eas.uccs.edu/graduate-programs/security-phd/graduation-requirements","Open source")</x:f>
        <x:v>HYPERLINK is not implemented. linkLocation=https://eas.uccs.edu/graduate-programs/security-phd/graduation-requirements, friendlyName=Open source</x:v>
      </x:c>
    </x:row>
    <x:row r="3161" ht="46" customHeight="1">
      <x:c r="A3161" s="17" t="str">
        <x:v>stage4src:7b2ccdbd03521531</x:v>
      </x:c>
      <x:c r="B3161" s="17" t="str">
        <x:v>professor</x:v>
      </x:c>
      <x:c r="C3161" s="17" t="str">
        <x:v>University of Trento</x:v>
      </x:c>
      <x:c r="D3161" s="17" t="str">
        <x:v>ror:05trd4x28:program:thesis-or-research-master-s:master-s-degree-in-computer-science</x:v>
      </x:c>
      <x:c r="E3161" s="17" t="str">
        <x:v>ror:05trd4x28:faculty:sandro-luigi-fiore</x:v>
      </x:c>
      <x:c r="F3161" s="17" t="str">
        <x:v>current appointment|research themes|email</x:v>
      </x:c>
      <x:c r="G3161" s="17" t="str">
        <x:v>The current profile identifies Fiore as Associate Professor and records scientific workflows, provenance, reproducibility, HPC, and climate-informatics research.</x:v>
      </x:c>
      <x:c r="H3161" s="17" t="str">
        <x:v>Sandro Luigi Fiore</x:v>
      </x:c>
      <x:c r="I3161" s="17" t="str">
        <x:v>University of Trento</x:v>
      </x:c>
      <x:c r="J3161" s="17" t="str">
        <x:v>official</x:v>
      </x:c>
      <x:c r="K3161" s="17" t="str">
        <x:v>2026-09-11</x:v>
      </x:c>
      <x:c r="L3161" s="17" t="str">
        <x:v>2026</x:v>
      </x:c>
      <x:c r="M3161" s="17" t="str">
        <x:v>high</x:v>
      </x:c>
      <x:c r="N3161" s="17" t="str">
        <x:v>verified</x:v>
      </x:c>
      <x:c r="O3161" s="17" t="str">
        <x:v>Current official profile checked 2026-09-10.</x:v>
      </x:c>
      <x:c r="P3161" s="18" t="e">
        <x:f>HYPERLINK("https://www.soi.unitn.it/staff/sandro-luigi-fiore","Open source")</x:f>
        <x:v>HYPERLINK is not implemented. linkLocation=https://www.soi.unitn.it/staff/sandro-luigi-fiore, friendlyName=Open source</x:v>
      </x:c>
    </x:row>
    <x:row r="3162" ht="46" customHeight="1">
      <x:c r="A3162" s="17" t="str">
        <x:v>stage4src:7b2e4c76494ae8db</x:v>
      </x:c>
      <x:c r="B3162" s="17" t="str">
        <x:v>professor</x:v>
      </x:c>
      <x:c r="C3162" s="17" t="str">
        <x:v>University of Missouri-Columbia</x:v>
      </x:c>
      <x:c r="D3162" s="17" t="str">
        <x:v>us:ipeds:178396:program:phd:phd-in-computer-science</x:v>
      </x:c>
      <x:c r="E3162" s="17" t="str">
        <x:v>us:ipeds:178396:faculty:rohit-chadha</x:v>
      </x:c>
      <x:c r="F3162" s="17" t="str">
        <x:v>current research|email|research fit</x:v>
      </x:c>
      <x:c r="G3162" s="17" t="str">
        <x:v>Chadha's university-hosted page confirms his current research program and Missouri affiliation.</x:v>
      </x:c>
      <x:c r="H3162" s="17" t="str">
        <x:v>Rohit Chadha</x:v>
      </x:c>
      <x:c r="I3162" s="17" t="str">
        <x:v>University of Missouri-Columbia</x:v>
      </x:c>
      <x:c r="J3162" s="17" t="str">
        <x:v>official</x:v>
      </x:c>
      <x:c r="K3162" s="17" t="str">
        <x:v>2026-09-11</x:v>
      </x:c>
      <x:c r="L3162" s="17" t="str">
        <x:v>2026</x:v>
      </x:c>
      <x:c r="M3162" s="17" t="str">
        <x:v>high</x:v>
      </x:c>
      <x:c r="N3162" s="17" t="str">
        <x:v>verified</x:v>
      </x:c>
      <x:c r="O3162" s="17" t="str">
        <x:v>Checked 2026-09-11.</x:v>
      </x:c>
      <x:c r="P3162" s="18" t="e">
        <x:f>HYPERLINK("https://chadhar.mufaculty.umsystem.edu/home","Open source")</x:f>
        <x:v>HYPERLINK is not implemented. linkLocation=https://chadhar.mufaculty.umsystem.edu/home, friendlyName=Open source</x:v>
      </x:c>
    </x:row>
    <x:row r="3163" ht="46" customHeight="1">
      <x:c r="A3163" s="17" t="str">
        <x:v>stage4src:7b372d51adb28395</x:v>
      </x:c>
      <x:c r="B3163" s="17" t="str">
        <x:v>professor</x:v>
      </x:c>
      <x:c r="C3163" s="17" t="str">
        <x:v>Duke University</x:v>
      </x:c>
      <x:c r="D3163" s="17" t="str">
        <x:v>us:ipeds:198419:program:phd:computer-science-phd</x:v>
      </x:c>
      <x:c r="E3163" s="17" t="str">
        <x:v>us:ipeds:198419:faculty:danfeng-zhang</x:v>
      </x:c>
      <x:c r="F3163" s="17" t="str">
        <x:v>recent work|research fit</x:v>
      </x:c>
      <x:c r="G3163" s="17" t="str">
        <x:v>The current publication page records 2025 work on verification for confidential computing and LLM verification of system software.</x:v>
      </x:c>
      <x:c r="H3163" s="17" t="str">
        <x:v>Danfeng Zhang publications</x:v>
      </x:c>
      <x:c r="I3163" s="17" t="str">
        <x:v>Duke University</x:v>
      </x:c>
      <x:c r="J3163" s="17" t="str">
        <x:v>official</x:v>
      </x:c>
      <x:c r="K3163" s="17" t="str">
        <x:v>2026-09-11</x:v>
      </x:c>
      <x:c r="L3163" s="17" t="str">
        <x:v>2025</x:v>
      </x:c>
      <x:c r="M3163" s="17" t="str">
        <x:v>high</x:v>
      </x:c>
      <x:c r="N3163" s="17" t="str">
        <x:v>verified</x:v>
      </x:c>
      <x:c r="O3163" s="17" t="str">
        <x:v>Official publication page checked 2026-09-10.</x:v>
      </x:c>
      <x:c r="P3163" s="18" t="e">
        <x:f>HYPERLINK("https://users.cs.duke.edu/~dz132/publication.html","Open source")</x:f>
        <x:v>HYPERLINK is not implemented. linkLocation=https://users.cs.duke.edu/~dz132/publication.html, friendlyName=Open source</x:v>
      </x:c>
    </x:row>
    <x:row r="3164" ht="46" customHeight="1">
      <x:c r="A3164" s="17" t="str">
        <x:v>stage4src:7b4920c409304f01</x:v>
      </x:c>
      <x:c r="B3164" s="17" t="str">
        <x:v>professor</x:v>
      </x:c>
      <x:c r="C3164" s="17" t="str">
        <x:v>University of North Carolina at Charlotte</x:v>
      </x:c>
      <x:c r="D3164" s="17" t="str">
        <x:v>us:ipeds:199139:program:phd:computing-and-information-systems-phd-software-and-information-systems-track</x:v>
      </x:c>
      <x:c r="E3164" s="17" t="str">
        <x:v>us:ipeds:199139:faculty:jinpeng-wei</x:v>
      </x:c>
      <x:c r="F3164" s="17" t="str">
        <x:v>recent work|research fit</x:v>
      </x:c>
      <x:c r="G3164" s="17" t="str">
        <x:v>The university-hosted record lists 2023-2025 work on cryptographic-secret protection, microservice attacks, and verifiable orchestration.</x:v>
      </x:c>
      <x:c r="H3164" s="17" t="str">
        <x:v>Jinpeng Wei publication record</x:v>
      </x:c>
      <x:c r="I3164" s="17" t="str">
        <x:v>University of North Carolina at Charlotte</x:v>
      </x:c>
      <x:c r="J3164" s="17" t="str">
        <x:v>official</x:v>
      </x:c>
      <x:c r="K3164" s="17" t="str">
        <x:v>2026-09-11</x:v>
      </x:c>
      <x:c r="L3164" s="17" t="str">
        <x:v>2025</x:v>
      </x:c>
      <x:c r="M3164" s="17" t="str">
        <x:v>high</x:v>
      </x:c>
      <x:c r="N3164" s="17" t="str">
        <x:v>verified</x:v>
      </x:c>
      <x:c r="O3164" s="17" t="str">
        <x:v>University-hosted publication record checked 2026-09-10.</x:v>
      </x:c>
      <x:c r="P3164" s="18" t="e">
        <x:f>HYPERLINK("https://webpages.charlotte.edu/jwei8/Jinpeng_Homepage_files/detail0.htm","Open source")</x:f>
        <x:v>HYPERLINK is not implemented. linkLocation=https://webpages.charlotte.edu/jwei8/Jinpeng_Homepage_files/detail0.htm, friendlyName=Open source</x:v>
      </x:c>
    </x:row>
    <x:row r="3165" ht="46" customHeight="1">
      <x:c r="A3165" s="17" t="str">
        <x:v>stage4src:7c2e8c82d4a7b1ba</x:v>
      </x:c>
      <x:c r="B3165" s="17" t="str">
        <x:v>professor</x:v>
      </x:c>
      <x:c r="C3165" s="17" t="str">
        <x:v>University of Cincinnati-Main Campus</x:v>
      </x:c>
      <x:c r="D3165" s="17" t="str">
        <x:v>us:ipeds:201885:program:phd:ph-d-in-computer-science-and-engineering</x:v>
      </x:c>
      <x:c r="E3165" s="17" t="str">
        <x:v>us:ipeds:201885:faculty:yu-zhao</x:v>
      </x:c>
      <x:c r="F3165" s="17" t="str">
        <x:v>recent work|regression testing|research fit</x:v>
      </x:c>
      <x:c r="G3165" s="17" t="str">
        <x:v>The 2023 ESEM work supports regression-testing and continuous-integration overlap.</x:v>
      </x:c>
      <x:c r="H3165" s="17" t="str">
        <x:v>An Empirical Study of Regression Testing for Android Apps in Continuous Integration Environment</x:v>
      </x:c>
      <x:c r="I3165" s="17" t="str">
        <x:v>OpenAlex / cited venue</x:v>
      </x:c>
      <x:c r="J3165" s="17" t="str">
        <x:v>secondary</x:v>
      </x:c>
      <x:c r="K3165" s="17" t="str">
        <x:v>2026-09-11</x:v>
      </x:c>
      <x:c r="L3165" s="17" t="str">
        <x:v>2023</x:v>
      </x:c>
      <x:c r="M3165" s="17" t="str">
        <x:v>high</x:v>
      </x:c>
      <x:c r="N3165" s="17" t="str">
        <x:v>verified</x:v>
      </x:c>
      <x:c r="O3165" s="17" t="str">
        <x:v>DOI metadata checked 2026-09-10.</x:v>
      </x:c>
      <x:c r="P3165" s="18" t="e">
        <x:f>HYPERLINK("https://doi.org/10.1109/ESEM56168.2023.10304799","Open source")</x:f>
        <x:v>HYPERLINK is not implemented. linkLocation=https://doi.org/10.1109/ESEM56168.2023.10304799, friendlyName=Open source</x:v>
      </x:c>
    </x:row>
    <x:row r="3166" ht="46" customHeight="1">
      <x:c r="A3166" s="17" t="str">
        <x:v>stage4src:7cbeeb42c6f81b23</x:v>
      </x:c>
      <x:c r="B3166" s="17" t="str">
        <x:v>professor</x:v>
      </x:c>
      <x:c r="C3166" s="17" t="str">
        <x:v>Kansas State University</x:v>
      </x:c>
      <x:c r="D3166" s="17" t="str">
        <x:v>us:ipeds:155399:program:phd:doctor-of-philosophy-in-computer-science</x:v>
      </x:c>
      <x:c r="E3166" s="17" t="str">
        <x:v>us:ipeds:155399:faculty:robby</x:v>
      </x:c>
      <x:c r="F3166" s="17" t="str">
        <x:v>recent work|research fit</x:v>
      </x:c>
      <x:c r="G3166" s="17" t="str">
        <x:v>The 2025 paper documents Robby's current program-verification and proof-checking framework.</x:v>
      </x:c>
      <x:c r="H3166" s="17" t="str">
        <x:v>Logika: the Sireum verification framework</x:v>
      </x:c>
      <x:c r="I3166" s="17" t="str">
        <x:v>OpenAlex / cited venue</x:v>
      </x:c>
      <x:c r="J3166" s="17" t="str">
        <x:v>secondary</x:v>
      </x:c>
      <x:c r="K3166" s="17" t="str">
        <x:v>2026-09-11</x:v>
      </x:c>
      <x:c r="L3166" s="17" t="str">
        <x:v>2025</x:v>
      </x:c>
      <x:c r="M3166" s="17" t="str">
        <x:v>high</x:v>
      </x:c>
      <x:c r="N3166" s="17" t="str">
        <x:v>verified</x:v>
      </x:c>
      <x:c r="O3166" s="17" t="str">
        <x:v>Publisher DOI checked 2026-09-11.</x:v>
      </x:c>
      <x:c r="P3166" s="18" t="e">
        <x:f>HYPERLINK("https://doi.org/10.1007/s10009-025-00828-8","Open source")</x:f>
        <x:v>HYPERLINK is not implemented. linkLocation=https://doi.org/10.1007/s10009-025-00828-8, friendlyName=Open source</x:v>
      </x:c>
    </x:row>
    <x:row r="3167" ht="46" customHeight="1">
      <x:c r="A3167" s="17" t="str">
        <x:v>stage4src:7d3c3f8a0718339a</x:v>
      </x:c>
      <x:c r="B3167" s="17" t="str">
        <x:v>professor</x:v>
      </x:c>
      <x:c r="C3167" s="17" t="str">
        <x:v>University of Massachusetts-Amherst</x:v>
      </x:c>
      <x:c r="D3167" s="17" t="str">
        <x:v>us:ipeds:166629:program:phd:computer-science-phd</x:v>
      </x:c>
      <x:c r="E3167" s="17" t="str">
        <x:v>us:ipeds:166629:faculty:yuriy-brun</x:v>
      </x:c>
      <x:c r="F3167" s="17" t="str">
        <x:v>current appointment|program supervision authority|research themes</x:v>
      </x:c>
      <x:c r="G3167" s="17" t="str">
        <x:v>Current appointment and research areas</x:v>
      </x:c>
      <x:c r="H3167" s="17" t="str">
        <x:v>Yuriy Brun</x:v>
      </x:c>
      <x:c r="I3167" s="17" t="str">
        <x:v>University of Massachusetts-Amherst</x:v>
      </x:c>
      <x:c r="J3167" s="17" t="str">
        <x:v>official</x:v>
      </x:c>
      <x:c r="K3167" s="17" t="str">
        <x:v>2026-09-11</x:v>
      </x:c>
      <x:c r="L3167" s="17" t="str"/>
      <x:c r="M3167" s="17" t="str">
        <x:v>high</x:v>
      </x:c>
      <x:c r="N3167" s="17" t="str">
        <x:v>verified</x:v>
      </x:c>
      <x:c r="O3167" s="17" t="str"/>
      <x:c r="P3167" s="18" t="e">
        <x:f>HYPERLINK("https://www.cics.umass.edu/about/directory/yuriy-brun","Open source")</x:f>
        <x:v>HYPERLINK is not implemented. linkLocation=https://www.cics.umass.edu/about/directory/yuriy-brun, friendlyName=Open source</x:v>
      </x:c>
    </x:row>
    <x:row r="3168" ht="46" customHeight="1">
      <x:c r="A3168" s="17" t="str">
        <x:v>stage4src:7dd2399975b3c0d6</x:v>
      </x:c>
      <x:c r="B3168" s="17" t="str">
        <x:v>professor</x:v>
      </x:c>
      <x:c r="C3168" s="17" t="str">
        <x:v>University of Wisconsin-Madison</x:v>
      </x:c>
      <x:c r="D3168" s="17" t="str">
        <x:v>us:ipeds:240444:program:phd:computer-sciences-phd</x:v>
      </x:c>
      <x:c r="E3168" s="17" t="str"/>
      <x:c r="F3168" s="17" t="str">
        <x:v>current faculty roster|candidate longlist</x:v>
      </x:c>
      <x:c r="G3168" s="17" t="str">
        <x:v>Current official department roster or research-area faculty listing used to identify the five-person Stage 4 candidate longlist.</x:v>
      </x:c>
      <x:c r="H3168" s="17" t="str">
        <x:v>University of Wisconsin-Madison current faculty roster</x:v>
      </x:c>
      <x:c r="I3168" s="17" t="str">
        <x:v>University of Wisconsin-Madison</x:v>
      </x:c>
      <x:c r="J3168" s="17" t="str">
        <x:v>official</x:v>
      </x:c>
      <x:c r="K3168" s="17" t="str">
        <x:v>2026-09-11</x:v>
      </x:c>
      <x:c r="L3168" s="17" t="str"/>
      <x:c r="M3168" s="17" t="str">
        <x:v>high</x:v>
      </x:c>
      <x:c r="N3168" s="17" t="str">
        <x:v>verified</x:v>
      </x:c>
      <x:c r="O3168" s="17" t="str">
        <x:v>Roster evidence establishes a current listing, not program-specific supervision authority or recruiting.</x:v>
      </x:c>
      <x:c r="P3168" s="18" t="e">
        <x:f>HYPERLINK("https://madpl.cs.wisc.edu/","Open source")</x:f>
        <x:v>HYPERLINK is not implemented. linkLocation=https://madpl.cs.wisc.edu/, friendlyName=Open source</x:v>
      </x:c>
    </x:row>
    <x:row r="3169" ht="46" customHeight="1">
      <x:c r="A3169" s="17" t="str">
        <x:v>stage4src:7ddea2129b1a0b78</x:v>
      </x:c>
      <x:c r="B3169" s="17" t="str">
        <x:v>professor</x:v>
      </x:c>
      <x:c r="C3169" s="17" t="str">
        <x:v>Concordia University</x:v>
      </x:c>
      <x:c r="D3169" s="17" t="str">
        <x:v>ca:dli:O19359011007:program:thesis-or-research-master-s:master-of-computer-science-thesis</x:v>
      </x:c>
      <x:c r="E3169" s="17" t="str">
        <x:v>ca:dli:O19359011007:faculty:emad-shihab</x:v>
      </x:c>
      <x:c r="F3169" s="17" t="str">
        <x:v>recent work|research fit</x:v>
      </x:c>
      <x:c r="G3169" s="17" t="str">
        <x:v>Emad Shihab is current Professor; lab page lists 2026 LLM documentation-code traceability work.</x:v>
      </x:c>
      <x:c r="H3169" s="17" t="str">
        <x:v>Faculty members / DAS Lab</x:v>
      </x:c>
      <x:c r="I3169" s="17" t="str">
        <x:v>Concordia University</x:v>
      </x:c>
      <x:c r="J3169" s="17" t="str">
        <x:v>official</x:v>
      </x:c>
      <x:c r="K3169" s="17" t="str">
        <x:v>2026-09-11</x:v>
      </x:c>
      <x:c r="L3169" s="17" t="str">
        <x:v>2026</x:v>
      </x:c>
      <x:c r="M3169" s="17" t="str">
        <x:v>high</x:v>
      </x:c>
      <x:c r="N3169" s="17" t="str">
        <x:v>verified</x:v>
      </x:c>
      <x:c r="O3169" s="17" t="str">
        <x:v>No search snippet used as final evidence; URL/page content reviewed.</x:v>
      </x:c>
      <x:c r="P3169" s="18" t="e">
        <x:f>HYPERLINK("https://das.encs.concordia.ca/members/emad-shihab","Open source")</x:f>
        <x:v>HYPERLINK is not implemented. linkLocation=https://das.encs.concordia.ca/members/emad-shihab, friendlyName=Open source</x:v>
      </x:c>
    </x:row>
    <x:row r="3170" ht="46" customHeight="1">
      <x:c r="A3170" s="17" t="str">
        <x:v>stage4src:7e0da2806d242d9b</x:v>
      </x:c>
      <x:c r="B3170" s="17" t="str">
        <x:v>professor</x:v>
      </x:c>
      <x:c r="C3170" s="17" t="str">
        <x:v>Portland State University</x:v>
      </x:c>
      <x:c r="D3170" s="17" t="str">
        <x:v>us:ipeds:209807:program:phd:doctoral-degree-in-computer-science-ph-d</x:v>
      </x:c>
      <x:c r="E3170" s="17" t="str"/>
      <x:c r="F3170" s="17" t="str">
        <x:v>current faculty roster|candidate longlist</x:v>
      </x:c>
      <x:c r="G3170" s="17" t="str">
        <x:v>Current official department roster or research-area faculty listing used to identify the five-person Stage 4 candidate longlist.</x:v>
      </x:c>
      <x:c r="H3170" s="17" t="str">
        <x:v>Portland State University current faculty roster</x:v>
      </x:c>
      <x:c r="I3170" s="17" t="str">
        <x:v>Portland State University</x:v>
      </x:c>
      <x:c r="J3170" s="17" t="str">
        <x:v>official</x:v>
      </x:c>
      <x:c r="K3170" s="17" t="str">
        <x:v>2026-09-11</x:v>
      </x:c>
      <x:c r="L3170" s="17" t="str"/>
      <x:c r="M3170" s="17" t="str">
        <x:v>high</x:v>
      </x:c>
      <x:c r="N3170" s="17" t="str">
        <x:v>verified</x:v>
      </x:c>
      <x:c r="O3170" s="17" t="str">
        <x:v>Roster evidence establishes a current listing, not program-specific supervision authority or recruiting.</x:v>
      </x:c>
      <x:c r="P3170" s="18" t="e">
        <x:f>HYPERLINK("https://www.pdx.edu/engineering/CS-research","Open source")</x:f>
        <x:v>HYPERLINK is not implemented. linkLocation=https://www.pdx.edu/engineering/CS-research, friendlyName=Open source</x:v>
      </x:c>
    </x:row>
    <x:row r="3171" ht="46" customHeight="1">
      <x:c r="A3171" s="17" t="str">
        <x:v>stage4src:7e0f954ea2c1586a</x:v>
      </x:c>
      <x:c r="B3171" s="17" t="str">
        <x:v>professor</x:v>
      </x:c>
      <x:c r="C3171" s="17" t="str">
        <x:v>Western University</x:v>
      </x:c>
      <x:c r="D3171" s="17" t="str">
        <x:v>ca:dli:O19375892122:program:thesis-or-research-master-s:master-of-engineering-science-mesc-in-electrical-and-computer-engineering</x:v>
      </x:c>
      <x:c r="E3171" s="17" t="str">
        <x:v>ca:dli:O19375892122:faculty:abdallah-shami</x:v>
      </x:c>
      <x:c r="F3171" s="17" t="str">
        <x:v>current graduate supervision|lab continuity</x:v>
      </x:c>
      <x:c r="G3171" s="17" t="str">
        <x:v>Western lists Shami as the OC2 faculty member with a current graduate-student team.</x:v>
      </x:c>
      <x:c r="H3171" s="17" t="str">
        <x:v>OC2 Lab People</x:v>
      </x:c>
      <x:c r="I3171" s="17" t="str">
        <x:v>Western University</x:v>
      </x:c>
      <x:c r="J3171" s="17" t="str">
        <x:v>official</x:v>
      </x:c>
      <x:c r="K3171" s="17" t="str">
        <x:v>2026-09-11</x:v>
      </x:c>
      <x:c r="L3171" s="17" t="str">
        <x:v>2026</x:v>
      </x:c>
      <x:c r="M3171" s="17" t="str">
        <x:v>high</x:v>
      </x:c>
      <x:c r="N3171" s="17" t="str">
        <x:v>verified</x:v>
      </x:c>
      <x:c r="O3171" s="17" t="str">
        <x:v>Live official lab roster checked 2026-09-11; current students are not recruiting evidence.</x:v>
      </x:c>
      <x:c r="P3171" s="18" t="e">
        <x:f>HYPERLINK("https://www.eng.uwo.ca/oc2/people/index.html","Open source")</x:f>
        <x:v>HYPERLINK is not implemented. linkLocation=https://www.eng.uwo.ca/oc2/people/index.html, friendlyName=Open source</x:v>
      </x:c>
    </x:row>
    <x:row r="3172" ht="46" customHeight="1">
      <x:c r="A3172" s="17" t="str">
        <x:v>stage4src:7e3b4fe94bfee7c8</x:v>
      </x:c>
      <x:c r="B3172" s="17" t="str">
        <x:v>professor</x:v>
      </x:c>
      <x:c r="C3172" s="17" t="str">
        <x:v>University of Louisiana at Lafayette</x:v>
      </x:c>
      <x:c r="D3172" s="17" t="str">
        <x:v>us:ipeds:160658:program:phd:phd-in-applied-computing-and-information-sciences</x:v>
      </x:c>
      <x:c r="E3172" s="17" t="str">
        <x:v>us:ipeds:160658:faculty:bhupendra-acharya</x:v>
      </x:c>
      <x:c r="F3172" s="17" t="str">
        <x:v>current appointment|department|email|research themes|recent work|strong fit</x:v>
      </x:c>
      <x:c r="G3172" s="17" t="str">
        <x:v>The university lists Acharya as a current School of Computing and Informatics Assistant Professor and records 2024-2026 web-security and cybercrime work.</x:v>
      </x:c>
      <x:c r="H3172" s="17" t="str">
        <x:v>Bhupendra Acharya</x:v>
      </x:c>
      <x:c r="I3172" s="17" t="str">
        <x:v>University of Louisiana at Lafayette</x:v>
      </x:c>
      <x:c r="J3172" s="17" t="str">
        <x:v>official</x:v>
      </x:c>
      <x:c r="K3172" s="17" t="str">
        <x:v>2026-09-11</x:v>
      </x:c>
      <x:c r="L3172" s="17" t="str">
        <x:v>2026</x:v>
      </x:c>
      <x:c r="M3172" s="17" t="str">
        <x:v>high</x:v>
      </x:c>
      <x:c r="N3172" s="17" t="str">
        <x:v>verified</x:v>
      </x:c>
      <x:c r="O3172" s="17" t="str">
        <x:v>Live official profile checked 2026-09-11; activity is not recruiting evidence.</x:v>
      </x:c>
      <x:c r="P3172" s="18" t="e">
        <x:f>HYPERLINK("https://louisiana.edu/directory/people/bhupendra-acharya","Open source")</x:f>
        <x:v>HYPERLINK is not implemented. linkLocation=https://louisiana.edu/directory/people/bhupendra-acharya, friendlyName=Open source</x:v>
      </x:c>
    </x:row>
    <x:row r="3173" ht="46" customHeight="1">
      <x:c r="A3173" s="17" t="str">
        <x:v>stage4src:7ec76d10ff353b52</x:v>
      </x:c>
      <x:c r="B3173" s="17" t="str">
        <x:v>professor</x:v>
      </x:c>
      <x:c r="C3173" s="17" t="str">
        <x:v>Trent University</x:v>
      </x:c>
      <x:c r="D3173" s="17" t="str">
        <x:v>ca:dli:O19395164223:program:thesis-or-research-master-s:msc-in-applied-modelling-and-quantitative-methods-thesis-stream</x:v>
      </x:c>
      <x:c r="E3173" s="17" t="str">
        <x:v>ca:dli:O19395164223:faculty:omar-alam</x:v>
      </x:c>
      <x:c r="F3173" s="17" t="str">
        <x:v>recent work|sustained research|strong fit</x:v>
      </x:c>
      <x:c r="G3173" s="17" t="str">
        <x:v>The author-maintained list records 2023-2024 work in CPS validation, transit modelling, and three-way model differencing.</x:v>
      </x:c>
      <x:c r="H3173" s="17" t="str">
        <x:v>Omar Alam Publications</x:v>
      </x:c>
      <x:c r="I3173" s="17" t="str">
        <x:v>OpenAlex / cited venue</x:v>
      </x:c>
      <x:c r="J3173" s="17" t="str">
        <x:v>secondary</x:v>
      </x:c>
      <x:c r="K3173" s="17" t="str">
        <x:v>2026-09-11</x:v>
      </x:c>
      <x:c r="L3173" s="17" t="str">
        <x:v>2024</x:v>
      </x:c>
      <x:c r="M3173" s="17" t="str">
        <x:v>high</x:v>
      </x:c>
      <x:c r="N3173" s="17" t="str">
        <x:v>verified</x:v>
      </x:c>
      <x:c r="O3173" s="17" t="str">
        <x:v>Current author page checked 2026-09-11; not used as appointment or recruiting evidence.</x:v>
      </x:c>
      <x:c r="P3173" s="18" t="e">
        <x:f>HYPERLINK("https://omaralam.org/publications/","Open source")</x:f>
        <x:v>HYPERLINK is not implemented. linkLocation=https://omaralam.org/publications/, friendlyName=Open source</x:v>
      </x:c>
    </x:row>
    <x:row r="3174" ht="46" customHeight="1">
      <x:c r="A3174" s="17" t="str">
        <x:v>stage4src:7f116454bed50254</x:v>
      </x:c>
      <x:c r="B3174" s="17" t="str">
        <x:v>professor</x:v>
      </x:c>
      <x:c r="C3174" s="17" t="str">
        <x:v>University of Connecticut</x:v>
      </x:c>
      <x:c r="D3174" s="17" t="str">
        <x:v>us:ipeds:129020:program:phd:computer-science-and-engineering-phd</x:v>
      </x:c>
      <x:c r="E3174" s="17" t="str">
        <x:v>us:ipeds:129020:faculty:amir-herzberg</x:v>
      </x:c>
      <x:c r="F3174" s="17" t="str">
        <x:v>faculty-led admission|research-group supervision|prospective instructions</x:v>
      </x:c>
      <x:c r="G3174" s="17" t="str">
        <x:v>UConn states that individual faculty admit PhD students directly into their research groups and mentor doctoral research.</x:v>
      </x:c>
      <x:c r="H3174" s="17" t="str">
        <x:v>PhD in Computing</x:v>
      </x:c>
      <x:c r="I3174" s="17" t="str">
        <x:v>University of Connecticut</x:v>
      </x:c>
      <x:c r="J3174" s="17" t="str">
        <x:v>official</x:v>
      </x:c>
      <x:c r="K3174" s="17" t="str">
        <x:v>2026-09-11</x:v>
      </x:c>
      <x:c r="L3174" s="17" t="str">
        <x:v>2026</x:v>
      </x:c>
      <x:c r="M3174" s="17" t="str">
        <x:v>high</x:v>
      </x:c>
      <x:c r="N3174" s="17" t="str">
        <x:v>verified</x:v>
      </x:c>
      <x:c r="O3174" s="17" t="str">
        <x:v>Live program page checked 2026-09-11.</x:v>
      </x:c>
      <x:c r="P3174" s="18" t="e">
        <x:f>HYPERLINK("https://computing.engineering.uconn.edu/graduate-studies/ph-d-program/","Open source")</x:f>
        <x:v>HYPERLINK is not implemented. linkLocation=https://computing.engineering.uconn.edu/graduate-studies/ph-d-program/, friendlyName=Open source</x:v>
      </x:c>
    </x:row>
    <x:row r="3175" ht="46" customHeight="1">
      <x:c r="A3175" s="17" t="str">
        <x:v>stage4src:7f4e078bce78c165</x:v>
      </x:c>
      <x:c r="B3175" s="17" t="str">
        <x:v>professor</x:v>
      </x:c>
      <x:c r="C3175" s="17" t="str">
        <x:v>University of British Columbia</x:v>
      </x:c>
      <x:c r="D3175" s="17" t="str">
        <x:v>ca:dli:O19330231062:program:thesis-or-research-master-s:msc-in-computer-science-research</x:v>
      </x:c>
      <x:c r="E3175" s="17" t="str">
        <x:v>ca:dli:O19330231062:faculty:reid-holmes</x:v>
      </x:c>
      <x:c r="F3175" s="17" t="str">
        <x:v>recent work|research fit</x:v>
      </x:c>
      <x:c r="G3175" s="17" t="str">
        <x:v>Recent work supports the recorded TerraProbe/Evidex research overlap for Reid Holmes.</x:v>
      </x:c>
      <x:c r="H3175" s="17" t="str">
        <x:v>Recent scholarly work</x:v>
      </x:c>
      <x:c r="I3175" s="17" t="str">
        <x:v>OpenAlex / cited venue</x:v>
      </x:c>
      <x:c r="J3175" s="17" t="str">
        <x:v>secondary</x:v>
      </x:c>
      <x:c r="K3175" s="17" t="str">
        <x:v>2026-09-11</x:v>
      </x:c>
      <x:c r="L3175" s="17" t="str">
        <x:v>2024</x:v>
      </x:c>
      <x:c r="M3175" s="17" t="str">
        <x:v>high</x:v>
      </x:c>
      <x:c r="N3175" s="17" t="str">
        <x:v>verified</x:v>
      </x:c>
      <x:c r="O3175" s="17" t="str">
        <x:v>Carried from verified regional deep-review evidence.</x:v>
      </x:c>
      <x:c r="P3175" s="18" t="e">
        <x:f>HYPERLINK("https://www.cs.ubc.ca/~rtholmes/papers/jss_2024_russo.pdf","Open source")</x:f>
        <x:v>HYPERLINK is not implemented. linkLocation=https://www.cs.ubc.ca/~rtholmes/papers/jss_2024_russo.pdf, friendlyName=Open source</x:v>
      </x:c>
    </x:row>
    <x:row r="3176" ht="46" customHeight="1">
      <x:c r="A3176" s="17" t="str">
        <x:v>stage4src:7fba32dede587e86</x:v>
      </x:c>
      <x:c r="B3176" s="17" t="str">
        <x:v>professor</x:v>
      </x:c>
      <x:c r="C3176" s="17" t="str">
        <x:v>University of Louisville</x:v>
      </x:c>
      <x:c r="D3176" s="17" t="str">
        <x:v>us:ipeds:157289:program:phd:doctor-of-philosophy-in-computer-science-and-engineering</x:v>
      </x:c>
      <x:c r="E3176" s="17" t="str">
        <x:v>us:ipeds:157289:faculty:roman-yampolskiy</x:v>
      </x:c>
      <x:c r="F3176" s="17" t="str">
        <x:v>current appointment|department|current alternatives</x:v>
      </x:c>
      <x:c r="G3176" s="17" t="str">
        <x:v>UofL lists Yampolskiy and three bounded alternatives as active Computer Science and Engineering cybersecurity faculty.</x:v>
      </x:c>
      <x:c r="H3176" s="17" t="str">
        <x:v>Active Cybersecurity Faculty</x:v>
      </x:c>
      <x:c r="I3176" s="17" t="str">
        <x:v>University of Louisville</x:v>
      </x:c>
      <x:c r="J3176" s="17" t="str">
        <x:v>official</x:v>
      </x:c>
      <x:c r="K3176" s="17" t="str">
        <x:v>2026-09-11</x:v>
      </x:c>
      <x:c r="L3176" s="17" t="str">
        <x:v>2026</x:v>
      </x:c>
      <x:c r="M3176" s="17" t="str">
        <x:v>high</x:v>
      </x:c>
      <x:c r="N3176" s="17" t="str">
        <x:v>verified</x:v>
      </x:c>
      <x:c r="O3176" s="17" t="str">
        <x:v>Live official roster checked 2026-09-11.</x:v>
      </x:c>
      <x:c r="P3176" s="18" t="e">
        <x:f>HYPERLINK("https://engineering.louisville.edu/cybercenter/homepage/faculty/","Open source")</x:f>
        <x:v>HYPERLINK is not implemented. linkLocation=https://engineering.louisville.edu/cybercenter/homepage/faculty/, friendlyName=Open source</x:v>
      </x:c>
    </x:row>
    <x:row r="3177" ht="46" customHeight="1">
      <x:c r="A3177" s="17" t="str">
        <x:v>stage4src:7fd77e88d03ef160</x:v>
      </x:c>
      <x:c r="B3177" s="17" t="str">
        <x:v>professor</x:v>
      </x:c>
      <x:c r="C3177" s="17" t="str">
        <x:v>Portland State University</x:v>
      </x:c>
      <x:c r="D3177" s="17" t="str">
        <x:v>us:ipeds:209807:program:phd:doctoral-degree-in-computer-science-ph-d</x:v>
      </x:c>
      <x:c r="E3177" s="17" t="str">
        <x:v>us:ipeds:209807:faculty:fei-xie</x:v>
      </x:c>
      <x:c r="F3177" s="17" t="str">
        <x:v>current appointment|department|email|research themes</x:v>
      </x:c>
      <x:c r="G3177" s="17" t="str">
        <x:v>Xie is a current Computer Science Professor working in software engineering, formal methods, and safe, secure, reliable systems.</x:v>
      </x:c>
      <x:c r="H3177" s="17" t="str">
        <x:v>Fei Xie</x:v>
      </x:c>
      <x:c r="I3177" s="17" t="str">
        <x:v>Portland State University</x:v>
      </x:c>
      <x:c r="J3177" s="17" t="str">
        <x:v>official</x:v>
      </x:c>
      <x:c r="K3177" s="17" t="str">
        <x:v>2026-09-11</x:v>
      </x:c>
      <x:c r="L3177" s="17" t="str">
        <x:v>2026</x:v>
      </x:c>
      <x:c r="M3177" s="17" t="str">
        <x:v>high</x:v>
      </x:c>
      <x:c r="N3177" s="17" t="str">
        <x:v>verified</x:v>
      </x:c>
      <x:c r="O3177" s="17" t="str">
        <x:v>Live university-hosted profile checked 2026-09-11.</x:v>
      </x:c>
      <x:c r="P3177" s="18" t="e">
        <x:f>HYPERLINK("https://web.cecs.pdx.edu/xie/","Open source")</x:f>
        <x:v>HYPERLINK is not implemented. linkLocation=https://web.cecs.pdx.edu/xie/, friendlyName=Open source</x:v>
      </x:c>
    </x:row>
    <x:row r="3178" ht="46" customHeight="1">
      <x:c r="A3178" s="17" t="str">
        <x:v>stage4src:7fdab7b528c4640e</x:v>
      </x:c>
      <x:c r="B3178" s="17" t="str">
        <x:v>professor</x:v>
      </x:c>
      <x:c r="C3178" s="17" t="str">
        <x:v>York University</x:v>
      </x:c>
      <x:c r="D3178" s="17" t="str">
        <x:v>ca:dli:O19361109242:program:thesis-or-research-master-s:computer-science-msc-thesis-option</x:v>
      </x:c>
      <x:c r="E3178" s="17" t="str">
        <x:v>ca:dli:O19361109242:faculty:zhen-ming-jack-jiang</x:v>
      </x:c>
      <x:c r="F3178" s="17" t="str">
        <x:v>current supervision activity|research themes|email|contact instructions</x:v>
      </x:c>
      <x:c r="G3178" s="17" t="str">
        <x:v>The live 2026 department listing identifies Zhen Ming Jiang as supervisor for LLM-for-software-engineering and foundation-model operations projects and provides his current York email.</x:v>
      </x:c>
      <x:c r="H3178" s="17" t="str">
        <x:v>Summer 2026 EECS project listings</x:v>
      </x:c>
      <x:c r="I3178" s="17" t="str">
        <x:v>York University</x:v>
      </x:c>
      <x:c r="J3178" s="17" t="str">
        <x:v>official</x:v>
      </x:c>
      <x:c r="K3178" s="17" t="str">
        <x:v>2026-09-11</x:v>
      </x:c>
      <x:c r="L3178" s="17" t="str">
        <x:v>2026</x:v>
      </x:c>
      <x:c r="M3178" s="17" t="str">
        <x:v>high</x:v>
      </x:c>
      <x:c r="N3178" s="17" t="str">
        <x:v>verified</x:v>
      </x:c>
      <x:c r="O3178" s="17" t="str">
        <x:v>Current official department project listing checked 2026-09-10.</x:v>
      </x:c>
      <x:c r="P3178" s="18" t="e">
        <x:f>HYPERLINK("https://wiki.eecs.yorku.ca/dept/project-courses/2026-27%3Asummer","Open source")</x:f>
        <x:v>HYPERLINK is not implemented. linkLocation=https://wiki.eecs.yorku.ca/dept/project-courses/2026-27%3Asummer, friendlyName=Open source</x:v>
      </x:c>
    </x:row>
    <x:row r="3179" ht="46" customHeight="1">
      <x:c r="A3179" s="17" t="str">
        <x:v>stage4src:7ff32dd0e58be145</x:v>
      </x:c>
      <x:c r="B3179" s="17" t="str">
        <x:v>professor</x:v>
      </x:c>
      <x:c r="C3179" s="17" t="str">
        <x:v>North Dakota State University-Main Campus</x:v>
      </x:c>
      <x:c r="D3179" s="17" t="str">
        <x:v>us:ipeds:200332:program:phd:ph-d-in-software-and-security-engineering</x:v>
      </x:c>
      <x:c r="E3179" s="17" t="str"/>
      <x:c r="F3179" s="17" t="str">
        <x:v>current faculty roster|candidate longlist</x:v>
      </x:c>
      <x:c r="G3179" s="17" t="str">
        <x:v>Current official department roster or research-area faculty listing used to identify the five-person Stage 4 candidate longlist.</x:v>
      </x:c>
      <x:c r="H3179" s="17" t="str">
        <x:v>North Dakota State University-Main Campus current faculty roster</x:v>
      </x:c>
      <x:c r="I3179" s="17" t="str">
        <x:v>North Dakota State University-Main Campus</x:v>
      </x:c>
      <x:c r="J3179" s="17" t="str">
        <x:v>official</x:v>
      </x:c>
      <x:c r="K3179" s="17" t="str">
        <x:v>2026-09-11</x:v>
      </x:c>
      <x:c r="L3179" s="17" t="str"/>
      <x:c r="M3179" s="17" t="str">
        <x:v>high</x:v>
      </x:c>
      <x:c r="N3179" s="17" t="str">
        <x:v>verified</x:v>
      </x:c>
      <x:c r="O3179" s="17" t="str">
        <x:v>Roster evidence establishes a current listing, not program-specific supervision authority or recruiting.</x:v>
      </x:c>
      <x:c r="P3179" s="18" t="e">
        <x:f>HYPERLINK("https://www.ndsu.edu/cs/people/faculty/","Open source")</x:f>
        <x:v>HYPERLINK is not implemented. linkLocation=https://www.ndsu.edu/cs/people/faculty/, friendlyName=Open source</x:v>
      </x:c>
    </x:row>
    <x:row r="3180" ht="46" customHeight="1">
      <x:c r="A3180" s="17" t="str">
        <x:v>stage4src:80400e1f10004ad1</x:v>
      </x:c>
      <x:c r="B3180" s="17" t="str">
        <x:v>professor</x:v>
      </x:c>
      <x:c r="C3180" s="17" t="str">
        <x:v>University of Arizona</x:v>
      </x:c>
      <x:c r="D3180" s="17" t="str">
        <x:v>us:ipeds:104179:program:phd:computer-science-phd</x:v>
      </x:c>
      <x:c r="E3180" s="17" t="str">
        <x:v>us:ipeds:104179:faculty:roberto-giacobazzi</x:v>
      </x:c>
      <x:c r="F3180" s="17" t="str">
        <x:v>current faculty roster|program supervision authority|research themes</x:v>
      </x:c>
      <x:c r="G3180" s="17" t="str">
        <x:v>The current official roster lists Roberto Giacobazzi as Professor with program-analysis, verification, and programming-languages interests.</x:v>
      </x:c>
      <x:c r="H3180" s="17" t="str">
        <x:v>University of Arizona Computer Science Faculty</x:v>
      </x:c>
      <x:c r="I3180" s="17" t="str">
        <x:v>University of Arizona</x:v>
      </x:c>
      <x:c r="J3180" s="17" t="str">
        <x:v>official</x:v>
      </x:c>
      <x:c r="K3180" s="17" t="str">
        <x:v>2026-09-11</x:v>
      </x:c>
      <x:c r="L3180" s="17" t="str">
        <x:v>2026</x:v>
      </x:c>
      <x:c r="M3180" s="17" t="str">
        <x:v>high</x:v>
      </x:c>
      <x:c r="N3180" s="17" t="str">
        <x:v>verified</x:v>
      </x:c>
      <x:c r="O3180" s="17" t="str">
        <x:v>Current official roster checked 2026-09-10.</x:v>
      </x:c>
      <x:c r="P3180" s="18" t="e">
        <x:f>HYPERLINK("https://cs.arizona.edu/about/faculty","Open source")</x:f>
        <x:v>HYPERLINK is not implemented. linkLocation=https://cs.arizona.edu/about/faculty, friendlyName=Open source</x:v>
      </x:c>
    </x:row>
    <x:row r="3181" ht="46" customHeight="1">
      <x:c r="A3181" s="17" t="str">
        <x:v>stage4src:80d94d496a72824e</x:v>
      </x:c>
      <x:c r="B3181" s="17" t="str">
        <x:v>professor</x:v>
      </x:c>
      <x:c r="C3181" s="17" t="str">
        <x:v>University of Cambridge</x:v>
      </x:c>
      <x:c r="D3181" s="17" t="str">
        <x:v>ror:013meh722:program:phd:phd-in-computer-science</x:v>
      </x:c>
      <x:c r="E3181" s="17" t="str">
        <x:v>ror:013meh722:faculty:alastair-beresford</x:v>
      </x:c>
      <x:c r="F3181" s="17" t="str">
        <x:v>current appointment|program supervision authority|research themes</x:v>
      </x:c>
      <x:c r="G3181" s="17" t="str">
        <x:v>Official institutional profile/group page used to verify current role and research themes</x:v>
      </x:c>
      <x:c r="H3181" s="17" t="str">
        <x:v>Alastair Beresford — official evidence</x:v>
      </x:c>
      <x:c r="I3181" s="17" t="str">
        <x:v>University of Cambridge</x:v>
      </x:c>
      <x:c r="J3181" s="17" t="str">
        <x:v>official</x:v>
      </x:c>
      <x:c r="K3181" s="17" t="str">
        <x:v>2026-09-11</x:v>
      </x:c>
      <x:c r="L3181" s="17" t="str"/>
      <x:c r="M3181" s="17" t="str">
        <x:v>high</x:v>
      </x:c>
      <x:c r="N3181" s="17" t="str">
        <x:v>verified</x:v>
      </x:c>
      <x:c r="O3181" s="17" t="str">
        <x:v>Search snippets were discovery only; final claim points to the official destination. Recheck cycle-specific facts when 2027 material opens.</x:v>
      </x:c>
      <x:c r="P3181" s="18" t="e">
        <x:f>HYPERLINK("https://www.cst.cam.ac.uk/people/arb33","Open source")</x:f>
        <x:v>HYPERLINK is not implemented. linkLocation=https://www.cst.cam.ac.uk/people/arb33, friendlyName=Open source</x:v>
      </x:c>
    </x:row>
    <x:row r="3182" ht="46" customHeight="1">
      <x:c r="A3182" s="17" t="str">
        <x:v>stage4src:81b3c5f57ca96f9a</x:v>
      </x:c>
      <x:c r="B3182" s="17" t="str">
        <x:v>professor</x:v>
      </x:c>
      <x:c r="C3182" s="17" t="str">
        <x:v>Saint Mary’s University</x:v>
      </x:c>
      <x:c r="D3182" s="17" t="str">
        <x:v>ca:dli:O19021279692:program:thesis-or-research-master-s:msc-in-applied-science-computing-science-research-field</x:v>
      </x:c>
      <x:c r="E3182" s="17" t="str">
        <x:v>ca:dli:O19021279692:faculty:somayeh-kafaie</x:v>
      </x:c>
      <x:c r="F3182" s="17" t="str">
        <x:v>current MSc supervision|recruiting uncertainty</x:v>
      </x:c>
      <x:c r="G3182" s="17" t="str">
        <x:v>The page lists current MSc students and supervision activity; it does not promise a new opening.</x:v>
      </x:c>
      <x:c r="H3182" s="17" t="str">
        <x:v>Somayeh Kafaie research group</x:v>
      </x:c>
      <x:c r="I3182" s="17" t="str">
        <x:v>Saint Mary’s University</x:v>
      </x:c>
      <x:c r="J3182" s="17" t="str">
        <x:v>official</x:v>
      </x:c>
      <x:c r="K3182" s="17" t="str">
        <x:v>2026-09-11</x:v>
      </x:c>
      <x:c r="L3182" s="17" t="str">
        <x:v>2026</x:v>
      </x:c>
      <x:c r="M3182" s="17" t="str">
        <x:v>high</x:v>
      </x:c>
      <x:c r="N3182" s="17" t="str">
        <x:v>verified</x:v>
      </x:c>
      <x:c r="O3182" s="17" t="str">
        <x:v>Checked 2026-09-11; current students were not treated as recruiting.</x:v>
      </x:c>
      <x:c r="P3182" s="18" t="e">
        <x:f>HYPERLINK("https://cs.smu.ca/~somayeh/group.html","Open source")</x:f>
        <x:v>HYPERLINK is not implemented. linkLocation=https://cs.smu.ca/~somayeh/group.html, friendlyName=Open source</x:v>
      </x:c>
    </x:row>
    <x:row r="3183" ht="46" customHeight="1">
      <x:c r="A3183" s="17" t="str">
        <x:v>stage4src:81bdef3c1e4ef9d6</x:v>
      </x:c>
      <x:c r="B3183" s="17" t="str">
        <x:v>professor</x:v>
      </x:c>
      <x:c r="C3183" s="17" t="str">
        <x:v>Florida International University</x:v>
      </x:c>
      <x:c r="D3183" s="17" t="str">
        <x:v>us:ipeds:133951:program:phd:doctor-of-philosophy-in-computer-science</x:v>
      </x:c>
      <x:c r="E3183" s="17" t="str">
        <x:v>us:ipeds:133951:faculty:amin-kharraz</x:v>
      </x:c>
      <x:c r="F3183" s="17" t="str">
        <x:v>recent work|research fit</x:v>
      </x:c>
      <x:c r="G3183" s="17" t="str">
        <x:v>The 2024 paper supports the recorded web-security measurement fit.</x:v>
      </x:c>
      <x:c r="H3183" s="17" t="str">
        <x:v>The Matter of Captchas</x:v>
      </x:c>
      <x:c r="I3183" s="17" t="str">
        <x:v>OpenAlex / cited venue</x:v>
      </x:c>
      <x:c r="J3183" s="17" t="str">
        <x:v>secondary</x:v>
      </x:c>
      <x:c r="K3183" s="17" t="str">
        <x:v>2026-09-11</x:v>
      </x:c>
      <x:c r="L3183" s="17" t="str">
        <x:v>2024</x:v>
      </x:c>
      <x:c r="M3183" s="17" t="str">
        <x:v>high</x:v>
      </x:c>
      <x:c r="N3183" s="17" t="str">
        <x:v>verified</x:v>
      </x:c>
      <x:c r="O3183" s="17" t="str">
        <x:v>Paper checked 2026-09-10.</x:v>
      </x:c>
      <x:c r="P3183" s="18" t="e">
        <x:f>HYPERLINK("https://sajjadium.github.io/files/www2024captchas_paper.pdf","Open source")</x:f>
        <x:v>HYPERLINK is not implemented. linkLocation=https://sajjadium.github.io/files/www2024captchas_paper.pdf, friendlyName=Open source</x:v>
      </x:c>
    </x:row>
    <x:row r="3184" ht="46" customHeight="1">
      <x:c r="A3184" s="17" t="str">
        <x:v>stage4src:81c8558ce445f17a</x:v>
      </x:c>
      <x:c r="B3184" s="17" t="str">
        <x:v>professor</x:v>
      </x:c>
      <x:c r="C3184" s="17" t="str">
        <x:v>Lehigh University</x:v>
      </x:c>
      <x:c r="D3184" s="17" t="str">
        <x:v>us:ipeds:213543:program:phd:phd-in-computer-science</x:v>
      </x:c>
      <x:c r="E3184" s="17" t="str">
        <x:v>us:ipeds:213543:faculty:lichao-sun</x:v>
      </x:c>
      <x:c r="F3184" s="17" t="str">
        <x:v>recent work|generative AI safety|LLM evaluation</x:v>
      </x:c>
      <x:c r="G3184" s="17" t="str">
        <x:v>The 2025 feature documents Sun's research evaluating safety, security, and privacy in generative AI and LLMs with PhD students.</x:v>
      </x:c>
      <x:c r="H3184" s="17" t="str">
        <x:v>Lichao Sun: Finding harmony in the age of artificial intelligence</x:v>
      </x:c>
      <x:c r="I3184" s="17" t="str">
        <x:v>Lehigh University</x:v>
      </x:c>
      <x:c r="J3184" s="17" t="str">
        <x:v>official</x:v>
      </x:c>
      <x:c r="K3184" s="17" t="str">
        <x:v>2026-09-11</x:v>
      </x:c>
      <x:c r="L3184" s="17" t="str">
        <x:v>2025</x:v>
      </x:c>
      <x:c r="M3184" s="17" t="str">
        <x:v>high</x:v>
      </x:c>
      <x:c r="N3184" s="17" t="str">
        <x:v>verified</x:v>
      </x:c>
      <x:c r="O3184" s="17" t="str">
        <x:v>Official feature checked 2026-09-11.</x:v>
      </x:c>
      <x:c r="P3184" s="18" t="e">
        <x:f>HYPERLINK("https://engineering.lehigh.edu/research/resolve/volume-1-2025/lichao-sun-finding-harmony-age-artificial-intelligence","Open source")</x:f>
        <x:v>HYPERLINK is not implemented. linkLocation=https://engineering.lehigh.edu/research/resolve/volume-1-2025/lichao-sun-finding-harmony-age-artificial-intelligence, friendlyName=Open source</x:v>
      </x:c>
    </x:row>
    <x:row r="3185" ht="46" customHeight="1">
      <x:c r="A3185" s="17" t="str">
        <x:v>stage4src:8214ccbce0042422</x:v>
      </x:c>
      <x:c r="B3185" s="17" t="str">
        <x:v>professor</x:v>
      </x:c>
      <x:c r="C3185" s="17" t="str">
        <x:v>École Polytechnique de Montréal</x:v>
      </x:c>
      <x:c r="D3185" s="17" t="str">
        <x:v>ca:dli:O19359011070:program:thesis-or-research-master-s:research-master-s-in-computer-engineering-software-engineering-option</x:v>
      </x:c>
      <x:c r="E3185" s="17" t="str">
        <x:v>ca:dli:O19359011070:faculty:foutse-khomh</x:v>
      </x:c>
      <x:c r="F3185" s="17" t="str">
        <x:v>discovery publication signal|recent work</x:v>
      </x:c>
      <x:c r="G3185" s="17" t="str">
        <x:v>Publication metadata was examined for shortlist triage only; publication-time affiliation does not establish current appointment, supervision authority, or recruiting.</x:v>
      </x:c>
      <x:c r="H3185" s="17" t="str">
        <x:v>OpenAlex publication signal for Foutse Khomh</x:v>
      </x:c>
      <x:c r="I3185" s="17" t="str">
        <x:v>OpenAlex / cited venue</x:v>
      </x:c>
      <x:c r="J3185" s="17" t="str">
        <x:v>secondary</x:v>
      </x:c>
      <x:c r="K3185" s="17" t="str">
        <x:v>2026-09-11</x:v>
      </x:c>
      <x:c r="L3185" s="17" t="str"/>
      <x:c r="M3185" s="17" t="str">
        <x:v>medium</x:v>
      </x:c>
      <x:c r="N3185" s="17" t="str">
        <x:v>discovery_only</x:v>
      </x:c>
      <x:c r="O3185" s="17" t="str">
        <x:v>Not used to award a professor score or faculty-depth point.</x:v>
      </x:c>
      <x:c r="P3185" s="18" t="e">
        <x:f>HYPERLINK("https://openalex.org/A5071052367","Open source")</x:f>
        <x:v>HYPERLINK is not implemented. linkLocation=https://openalex.org/A5071052367, friendlyName=Open source</x:v>
      </x:c>
    </x:row>
    <x:row r="3186" ht="46" customHeight="1">
      <x:c r="A3186" s="17" t="str">
        <x:v>stage4src:821f27383d3745dd</x:v>
      </x:c>
      <x:c r="B3186" s="17" t="str">
        <x:v>professor</x:v>
      </x:c>
      <x:c r="C3186" s="17" t="str">
        <x:v>University of Arizona</x:v>
      </x:c>
      <x:c r="D3186" s="17" t="str">
        <x:v>us:ipeds:104179:program:phd:computer-science-phd</x:v>
      </x:c>
      <x:c r="E3186" s="17" t="str">
        <x:v>us:ipeds:104179:faculty:roberto-giacobazzi</x:v>
      </x:c>
      <x:c r="F3186" s="17" t="str">
        <x:v>current appointment|research themes</x:v>
      </x:c>
      <x:c r="G3186" s="17" t="str">
        <x:v>The university-hosted profile documents abstract interpretation, program analysis and verification, language semantics, and program transformation research.</x:v>
      </x:c>
      <x:c r="H3186" s="17" t="str">
        <x:v>Roberto Giacobazzi</x:v>
      </x:c>
      <x:c r="I3186" s="17" t="str">
        <x:v>University of Arizona</x:v>
      </x:c>
      <x:c r="J3186" s="17" t="str">
        <x:v>official</x:v>
      </x:c>
      <x:c r="K3186" s="17" t="str">
        <x:v>2026-09-11</x:v>
      </x:c>
      <x:c r="L3186" s="17" t="str">
        <x:v>2026</x:v>
      </x:c>
      <x:c r="M3186" s="17" t="str">
        <x:v>high</x:v>
      </x:c>
      <x:c r="N3186" s="17" t="str">
        <x:v>verified</x:v>
      </x:c>
      <x:c r="O3186" s="17" t="str">
        <x:v>Official university-hosted profile checked 2026-09-10.</x:v>
      </x:c>
      <x:c r="P3186" s="18" t="e">
        <x:f>HYPERLINK("https://www2.cs.arizona.edu/people/giacobazzi/","Open source")</x:f>
        <x:v>HYPERLINK is not implemented. linkLocation=https://www2.cs.arizona.edu/people/giacobazzi/, friendlyName=Open source</x:v>
      </x:c>
    </x:row>
    <x:row r="3187" ht="46" customHeight="1">
      <x:c r="A3187" s="17" t="str">
        <x:v>stage4src:82554ef920704122</x:v>
      </x:c>
      <x:c r="B3187" s="17" t="str">
        <x:v>professor</x:v>
      </x:c>
      <x:c r="C3187" s="17" t="str">
        <x:v>Howard University</x:v>
      </x:c>
      <x:c r="D3187" s="17" t="str">
        <x:v>us:ipeds:131520:program:phd:computer-science-ph-d</x:v>
      </x:c>
      <x:c r="E3187" s="17" t="str">
        <x:v>us:ipeds:131520:faculty:danda-b-rawat</x:v>
      </x:c>
      <x:c r="F3187" s="17" t="str">
        <x:v>program supervision context|recent research|cybersecurity</x:v>
      </x:c>
      <x:c r="G3187" s="17" t="str">
        <x:v>The current PhD page links Rawat and the Data Science and Cybersecurity Center to Computer Science doctoral research.</x:v>
      </x:c>
      <x:c r="H3187" s="17" t="str">
        <x:v>Computer Science PhD Program Details</x:v>
      </x:c>
      <x:c r="I3187" s="17" t="str">
        <x:v>Howard University</x:v>
      </x:c>
      <x:c r="J3187" s="17" t="str">
        <x:v>official</x:v>
      </x:c>
      <x:c r="K3187" s="17" t="str">
        <x:v>2026-09-11</x:v>
      </x:c>
      <x:c r="L3187" s="17" t="str">
        <x:v>2026</x:v>
      </x:c>
      <x:c r="M3187" s="17" t="str">
        <x:v>high</x:v>
      </x:c>
      <x:c r="N3187" s="17" t="str">
        <x:v>verified</x:v>
      </x:c>
      <x:c r="O3187" s="17" t="str">
        <x:v>Official program page checked 2026-09-11.</x:v>
      </x:c>
      <x:c r="P3187" s="18" t="e">
        <x:f>HYPERLINK("https://gs.howard.edu/academics/degree-programs/computer-science-phd-program-details","Open source")</x:f>
        <x:v>HYPERLINK is not implemented. linkLocation=https://gs.howard.edu/academics/degree-programs/computer-science-phd-program-details, friendlyName=Open source</x:v>
      </x:c>
    </x:row>
    <x:row r="3188" ht="46" customHeight="1">
      <x:c r="A3188" s="17" t="str">
        <x:v>stage4src:82679d9f7b7b0414</x:v>
      </x:c>
      <x:c r="B3188" s="17" t="str">
        <x:v>professor</x:v>
      </x:c>
      <x:c r="C3188" s="17" t="str">
        <x:v>Southern Methodist University</x:v>
      </x:c>
      <x:c r="D3188" s="17" t="str">
        <x:v>us:ipeds:228246:program:phd:ph-d-in-computer-science</x:v>
      </x:c>
      <x:c r="E3188" s="17" t="str">
        <x:v>us:ipeds:228246:faculty:jia-zhang</x:v>
      </x:c>
      <x:c r="F3188" s="17" t="str">
        <x:v>recent work|responsible AI|critical evaluation</x:v>
      </x:c>
      <x:c r="G3188" s="17" t="str">
        <x:v>SMU records Zhang's 2026 recognition for work on responsible, critical AI learning.</x:v>
      </x:c>
      <x:c r="H3188" s="17" t="str">
        <x:v>Lyle CS Paper Named Highlighted Article in IEEE ComputingEdge</x:v>
      </x:c>
      <x:c r="I3188" s="17" t="str">
        <x:v>Southern Methodist University</x:v>
      </x:c>
      <x:c r="J3188" s="17" t="str">
        <x:v>official</x:v>
      </x:c>
      <x:c r="K3188" s="17" t="str">
        <x:v>2026-09-11</x:v>
      </x:c>
      <x:c r="L3188" s="17" t="str">
        <x:v>2026</x:v>
      </x:c>
      <x:c r="M3188" s="17" t="str">
        <x:v>high</x:v>
      </x:c>
      <x:c r="N3188" s="17" t="str">
        <x:v>verified</x:v>
      </x:c>
      <x:c r="O3188" s="17" t="str">
        <x:v>Official university article checked 2026-09-11.</x:v>
      </x:c>
      <x:c r="P3188" s="18" t="e">
        <x:f>HYPERLINK("https://www.smu.edu/lyle/latest-at-lyle/research/xie-and-zhang-ieee-article-highlighted","Open source")</x:f>
        <x:v>HYPERLINK is not implemented. linkLocation=https://www.smu.edu/lyle/latest-at-lyle/research/xie-and-zhang-ieee-article-highlighted, friendlyName=Open source</x:v>
      </x:c>
    </x:row>
    <x:row r="3189" ht="46" customHeight="1">
      <x:c r="A3189" s="17" t="str">
        <x:v>stage4src:8287ce22d54727e2</x:v>
      </x:c>
      <x:c r="B3189" s="17" t="str">
        <x:v>professor</x:v>
      </x:c>
      <x:c r="C3189" s="17" t="str">
        <x:v>University of Pittsburgh-Pittsburgh Campus</x:v>
      </x:c>
      <x:c r="D3189" s="17" t="str">
        <x:v>us:ipeds:215293:program:phd:phd-in-computer-science</x:v>
      </x:c>
      <x:c r="E3189" s="17" t="str">
        <x:v>us:ipeds:215293:faculty:adam-j-lee</x:v>
      </x:c>
      <x:c r="F3189" s="17" t="str">
        <x:v>current appointment|department|email|research themes</x:v>
      </x:c>
      <x:c r="G3189" s="17" t="str">
        <x:v>Pitt lists Lee as Professor in Computer Science and records security, privacy, and distributed-systems research.</x:v>
      </x:c>
      <x:c r="H3189" s="17" t="str">
        <x:v>Adam J. Lee</x:v>
      </x:c>
      <x:c r="I3189" s="17" t="str">
        <x:v>University of Pittsburgh-Pittsburgh Campus</x:v>
      </x:c>
      <x:c r="J3189" s="17" t="str">
        <x:v>official</x:v>
      </x:c>
      <x:c r="K3189" s="17" t="str">
        <x:v>2026-09-11</x:v>
      </x:c>
      <x:c r="L3189" s="17" t="str">
        <x:v>2026</x:v>
      </x:c>
      <x:c r="M3189" s="17" t="str">
        <x:v>high</x:v>
      </x:c>
      <x:c r="N3189" s="17" t="str">
        <x:v>verified</x:v>
      </x:c>
      <x:c r="O3189" s="17" t="str">
        <x:v>Live official profile checked 2026-09-11.</x:v>
      </x:c>
      <x:c r="P3189" s="18" t="e">
        <x:f>HYPERLINK("https://www.sci.pitt.edu/people/adam-j-lee","Open source")</x:f>
        <x:v>HYPERLINK is not implemented. linkLocation=https://www.sci.pitt.edu/people/adam-j-lee, friendlyName=Open source</x:v>
      </x:c>
    </x:row>
    <x:row r="3190" ht="46" customHeight="1">
      <x:c r="A3190" s="17" t="str">
        <x:v>stage4src:82f13976c76dadc5</x:v>
      </x:c>
      <x:c r="B3190" s="17" t="str">
        <x:v>professor</x:v>
      </x:c>
      <x:c r="C3190" s="17" t="str">
        <x:v>University of Calgary</x:v>
      </x:c>
      <x:c r="D3190" s="17" t="str">
        <x:v>ca:dli:O18886830282:program:thesis-or-research-master-s:msc-in-computer-science-thesis</x:v>
      </x:c>
      <x:c r="E3190" s="17" t="str"/>
      <x:c r="F3190" s="17" t="str">
        <x:v>current faculty roster|candidate longlist</x:v>
      </x:c>
      <x:c r="G3190" s="17" t="str">
        <x:v>Current official department roster or research-area faculty listing used to identify the five-person Stage 4 candidate longlist.</x:v>
      </x:c>
      <x:c r="H3190" s="17" t="str">
        <x:v>University of Calgary current faculty roster</x:v>
      </x:c>
      <x:c r="I3190" s="17" t="str">
        <x:v>University of Calgary</x:v>
      </x:c>
      <x:c r="J3190" s="17" t="str">
        <x:v>official</x:v>
      </x:c>
      <x:c r="K3190" s="17" t="str">
        <x:v>2026-09-11</x:v>
      </x:c>
      <x:c r="L3190" s="17" t="str"/>
      <x:c r="M3190" s="17" t="str">
        <x:v>high</x:v>
      </x:c>
      <x:c r="N3190" s="17" t="str">
        <x:v>verified</x:v>
      </x:c>
      <x:c r="O3190" s="17" t="str">
        <x:v>Roster evidence establishes a current listing, not program-specific supervision authority or recruiting.</x:v>
      </x:c>
      <x:c r="P3190" s="18" t="e">
        <x:f>HYPERLINK("https://science.ucalgary.ca/computer-science/contacts/faculty-members","Open source")</x:f>
        <x:v>HYPERLINK is not implemented. linkLocation=https://science.ucalgary.ca/computer-science/contacts/faculty-members, friendlyName=Open source</x:v>
      </x:c>
    </x:row>
    <x:row r="3191" ht="46" customHeight="1">
      <x:c r="A3191" s="17" t="str">
        <x:v>stage4src:8346716acf29e5fb</x:v>
      </x:c>
      <x:c r="B3191" s="17" t="str">
        <x:v>professor</x:v>
      </x:c>
      <x:c r="C3191" s="17" t="str">
        <x:v>University of Maryland-Baltimore County</x:v>
      </x:c>
      <x:c r="D3191" s="17" t="str">
        <x:v>us:ipeds:163268:program:phd:phd-in-computer-science</x:v>
      </x:c>
      <x:c r="E3191" s="17" t="str"/>
      <x:c r="F3191" s="17" t="str">
        <x:v>current faculty roster|candidate longlist</x:v>
      </x:c>
      <x:c r="G3191" s="17" t="str">
        <x:v>Current official department roster or research-area faculty listing used to identify the five-person Stage 4 candidate longlist.</x:v>
      </x:c>
      <x:c r="H3191" s="17" t="str">
        <x:v>University of Maryland-Baltimore County current faculty roster</x:v>
      </x:c>
      <x:c r="I3191" s="17" t="str">
        <x:v>University of Maryland-Baltimore County</x:v>
      </x:c>
      <x:c r="J3191" s="17" t="str">
        <x:v>official</x:v>
      </x:c>
      <x:c r="K3191" s="17" t="str">
        <x:v>2026-09-11</x:v>
      </x:c>
      <x:c r="L3191" s="17" t="str"/>
      <x:c r="M3191" s="17" t="str">
        <x:v>high</x:v>
      </x:c>
      <x:c r="N3191" s="17" t="str">
        <x:v>verified</x:v>
      </x:c>
      <x:c r="O3191" s="17" t="str">
        <x:v>Roster evidence establishes a current listing, not program-specific supervision authority or recruiting.</x:v>
      </x:c>
      <x:c r="P3191" s="18" t="e">
        <x:f>HYPERLINK("https://www.csee.umbc.edu/people/tenure-track-faculty/","Open source")</x:f>
        <x:v>HYPERLINK is not implemented. linkLocation=https://www.csee.umbc.edu/people/tenure-track-faculty/, friendlyName=Open source</x:v>
      </x:c>
    </x:row>
    <x:row r="3192" ht="46" customHeight="1">
      <x:c r="A3192" s="17" t="str">
        <x:v>stage4src:83ccfcae49706a79</x:v>
      </x:c>
      <x:c r="B3192" s="17" t="str">
        <x:v>professor</x:v>
      </x:c>
      <x:c r="C3192" s="17" t="str">
        <x:v>The University of Texas at Austin</x:v>
      </x:c>
      <x:c r="D3192" s="17" t="str">
        <x:v>us:ipeds:228778:program:phd:computer-science-phd</x:v>
      </x:c>
      <x:c r="E3192" s="17" t="str">
        <x:v>us:ipeds:228778:faculty:isil-dillig</x:v>
      </x:c>
      <x:c r="F3192" s="17" t="str">
        <x:v>current appointment|program supervision authority|research themes</x:v>
      </x:c>
      <x:c r="G3192" s="17" t="str">
        <x:v>Current appointment and research themes</x:v>
      </x:c>
      <x:c r="H3192" s="17" t="str">
        <x:v>Isil Dillig</x:v>
      </x:c>
      <x:c r="I3192" s="17" t="str">
        <x:v>The University of Texas at Austin</x:v>
      </x:c>
      <x:c r="J3192" s="17" t="str">
        <x:v>official</x:v>
      </x:c>
      <x:c r="K3192" s="17" t="str">
        <x:v>2026-09-11</x:v>
      </x:c>
      <x:c r="L3192" s="17" t="str"/>
      <x:c r="M3192" s="17" t="str">
        <x:v>high</x:v>
      </x:c>
      <x:c r="N3192" s="17" t="str">
        <x:v>verified</x:v>
      </x:c>
      <x:c r="O3192" s="17" t="str"/>
      <x:c r="P3192" s="18" t="e">
        <x:f>HYPERLINK("https://www.cs.utexas.edu/people/faculty-researchers/isil-dillig","Open source")</x:f>
        <x:v>HYPERLINK is not implemented. linkLocation=https://www.cs.utexas.edu/people/faculty-researchers/isil-dillig, friendlyName=Open source</x:v>
      </x:c>
    </x:row>
    <x:row r="3193" ht="46" customHeight="1">
      <x:c r="A3193" s="17" t="str">
        <x:v>stage4src:84141ec116f2b119</x:v>
      </x:c>
      <x:c r="B3193" s="17" t="str">
        <x:v>professor</x:v>
      </x:c>
      <x:c r="C3193" s="17" t="str">
        <x:v>Western University</x:v>
      </x:c>
      <x:c r="D3193" s="17" t="str">
        <x:v>ca:dli:O19375892122:program:thesis-or-research-master-s:master-of-engineering-science-mesc-in-electrical-and-computer-engineering</x:v>
      </x:c>
      <x:c r="E3193" s="17" t="str">
        <x:v>ca:dli:O19375892122:faculty:abdallah-shami</x:v>
      </x:c>
      <x:c r="F3193" s="17" t="str">
        <x:v>current appointment|department|email|research themes</x:v>
      </x:c>
      <x:c r="G3193" s="17" t="str">
        <x:v>Western lists Shami as current ECE Professor and Chair working in smart infrastructure, network security, distributed systems, and IoT.</x:v>
      </x:c>
      <x:c r="H3193" s="17" t="str">
        <x:v>Abdallah Shami</x:v>
      </x:c>
      <x:c r="I3193" s="17" t="str">
        <x:v>Western University</x:v>
      </x:c>
      <x:c r="J3193" s="17" t="str">
        <x:v>official</x:v>
      </x:c>
      <x:c r="K3193" s="17" t="str">
        <x:v>2026-09-11</x:v>
      </x:c>
      <x:c r="L3193" s="17" t="str">
        <x:v>2026</x:v>
      </x:c>
      <x:c r="M3193" s="17" t="str">
        <x:v>high</x:v>
      </x:c>
      <x:c r="N3193" s="17" t="str">
        <x:v>verified</x:v>
      </x:c>
      <x:c r="O3193" s="17" t="str">
        <x:v>Live official profile checked 2026-09-11.</x:v>
      </x:c>
      <x:c r="P3193" s="18" t="e">
        <x:f>HYPERLINK("https://www.eng.uwo.ca/electrical/faculty/shami_a/index.html","Open source")</x:f>
        <x:v>HYPERLINK is not implemented. linkLocation=https://www.eng.uwo.ca/electrical/faculty/shami_a/index.html, friendlyName=Open source</x:v>
      </x:c>
    </x:row>
    <x:row r="3194" ht="46" customHeight="1">
      <x:c r="A3194" s="17" t="str">
        <x:v>stage4src:8443c64260743e1e</x:v>
      </x:c>
      <x:c r="B3194" s="17" t="str">
        <x:v>professor</x:v>
      </x:c>
      <x:c r="C3194" s="17" t="str">
        <x:v>University of North Carolina at Charlotte</x:v>
      </x:c>
      <x:c r="D3194" s="17" t="str">
        <x:v>us:ipeds:199139:program:phd:computing-and-information-systems-phd-software-and-information-systems-track</x:v>
      </x:c>
      <x:c r="E3194" s="17" t="str">
        <x:v>us:ipeds:199139:faculty:rrezarta-krasniqi</x:v>
      </x:c>
      <x:c r="F3194" s="17" t="str">
        <x:v>discovery publication signal|recent work</x:v>
      </x:c>
      <x:c r="G3194" s="17" t="str">
        <x:v>Publication metadata was examined for shortlist triage only; publication-time affiliation does not establish current appointment, supervision authority, or recruiting.</x:v>
      </x:c>
      <x:c r="H3194" s="17" t="str">
        <x:v>OpenAlex publication signal for Rrezarta Krasniqi</x:v>
      </x:c>
      <x:c r="I3194" s="17" t="str">
        <x:v>OpenAlex / cited venue</x:v>
      </x:c>
      <x:c r="J3194" s="17" t="str">
        <x:v>secondary</x:v>
      </x:c>
      <x:c r="K3194" s="17" t="str">
        <x:v>2026-09-11</x:v>
      </x:c>
      <x:c r="L3194" s="17" t="str"/>
      <x:c r="M3194" s="17" t="str">
        <x:v>medium</x:v>
      </x:c>
      <x:c r="N3194" s="17" t="str">
        <x:v>discovery_only</x:v>
      </x:c>
      <x:c r="O3194" s="17" t="str">
        <x:v>Not used to award a professor score or faculty-depth point.</x:v>
      </x:c>
      <x:c r="P3194" s="18" t="e">
        <x:f>HYPERLINK("https://openalex.org/A5016486678","Open source")</x:f>
        <x:v>HYPERLINK is not implemented. linkLocation=https://openalex.org/A5016486678, friendlyName=Open source</x:v>
      </x:c>
    </x:row>
    <x:row r="3195" ht="46" customHeight="1">
      <x:c r="A3195" s="17" t="str">
        <x:v>stage4src:84bef58499d25001</x:v>
      </x:c>
      <x:c r="B3195" s="17" t="str">
        <x:v>professor</x:v>
      </x:c>
      <x:c r="C3195" s="17" t="str">
        <x:v>Simon Fraser University</x:v>
      </x:c>
      <x:c r="D3195" s="17" t="str">
        <x:v>ca:dli:O18781994282:program:thesis-or-research-master-s:master-of-applied-science-in-engineering-science</x:v>
      </x:c>
      <x:c r="E3195" s="17" t="str">
        <x:v>ca:dli:O18781994282:faculty:zhenman-fang</x:v>
      </x:c>
      <x:c r="F3195" s="17" t="str">
        <x:v>exact program|supervisor commitment|research route</x:v>
      </x:c>
      <x:c r="G3195" s="17" t="str">
        <x:v>The current MASc page requires applicants to identify and obtain commitment from an Engineering Science thesis supervisor.</x:v>
      </x:c>
      <x:c r="H3195" s="17" t="str">
        <x:v>Master of Applied Science in Engineering Science</x:v>
      </x:c>
      <x:c r="I3195" s="17" t="str">
        <x:v>Simon Fraser University</x:v>
      </x:c>
      <x:c r="J3195" s="17" t="str">
        <x:v>official</x:v>
      </x:c>
      <x:c r="K3195" s="17" t="str">
        <x:v>2026-09-11</x:v>
      </x:c>
      <x:c r="L3195" s="17" t="str">
        <x:v>2026</x:v>
      </x:c>
      <x:c r="M3195" s="17" t="str">
        <x:v>high</x:v>
      </x:c>
      <x:c r="N3195" s="17" t="str">
        <x:v>verified</x:v>
      </x:c>
      <x:c r="O3195" s="17" t="str">
        <x:v>Official program page checked 2026-09-11.</x:v>
      </x:c>
      <x:c r="P3195" s="18" t="e">
        <x:f>HYPERLINK("https://www.sfu.ca/fas/study/future-graduates/programs/master-applied-science.html","Open source")</x:f>
        <x:v>HYPERLINK is not implemented. linkLocation=https://www.sfu.ca/fas/study/future-graduates/programs/master-applied-science.html, friendlyName=Open source</x:v>
      </x:c>
    </x:row>
    <x:row r="3196" ht="46" customHeight="1">
      <x:c r="A3196" s="17" t="str">
        <x:v>stage4src:84c85afe729bcc7c</x:v>
      </x:c>
      <x:c r="B3196" s="17" t="str">
        <x:v>professor</x:v>
      </x:c>
      <x:c r="C3196" s="17" t="str">
        <x:v>University of Alabama in Huntsville</x:v>
      </x:c>
      <x:c r="D3196" s="17" t="str">
        <x:v>us:ipeds:100706:program:phd:computer-science-ph-d</x:v>
      </x:c>
      <x:c r="E3196" s="17" t="str">
        <x:v>us:ipeds:100706:faculty:bramwell-brizendine</x:v>
      </x:c>
      <x:c r="F3196" s="17" t="str">
        <x:v>recent work|research fit</x:v>
      </x:c>
      <x:c r="G3196" s="17" t="str">
        <x:v>The 2025 paper reports a generalized and experimentally validated ROP-only process-injection methodology.</x:v>
      </x:c>
      <x:c r="H3196" s="17" t="str">
        <x:v>Process Injection Using Return-Oriented Programming</x:v>
      </x:c>
      <x:c r="I3196" s="17" t="str">
        <x:v>OpenAlex / cited venue</x:v>
      </x:c>
      <x:c r="J3196" s="17" t="str">
        <x:v>secondary</x:v>
      </x:c>
      <x:c r="K3196" s="17" t="str">
        <x:v>2026-09-11</x:v>
      </x:c>
      <x:c r="L3196" s="17" t="str">
        <x:v>2025</x:v>
      </x:c>
      <x:c r="M3196" s="17" t="str">
        <x:v>high</x:v>
      </x:c>
      <x:c r="N3196" s="17" t="str">
        <x:v>verified</x:v>
      </x:c>
      <x:c r="O3196" s="17" t="str">
        <x:v>Publisher DOI and indexed metadata checked 2026-09-11.</x:v>
      </x:c>
      <x:c r="P3196" s="18" t="e">
        <x:f>HYPERLINK("https://doi.org/10.1109/ACCESS.2025.3592128","Open source")</x:f>
        <x:v>HYPERLINK is not implemented. linkLocation=https://doi.org/10.1109/ACCESS.2025.3592128, friendlyName=Open source</x:v>
      </x:c>
    </x:row>
    <x:row r="3197" ht="46" customHeight="1">
      <x:c r="A3197" s="17" t="str">
        <x:v>stage4src:84d77c4f430e219a</x:v>
      </x:c>
      <x:c r="B3197" s="17" t="str">
        <x:v>professor</x:v>
      </x:c>
      <x:c r="C3197" s="17" t="str">
        <x:v>University of Colorado Colorado Springs</x:v>
      </x:c>
      <x:c r="D3197" s="17" t="str">
        <x:v>us:ipeds:126580:program:phd:cybersecurity-phd</x:v>
      </x:c>
      <x:c r="E3197" s="17" t="str"/>
      <x:c r="F3197" s="17" t="str">
        <x:v>current faculty roster|candidate longlist</x:v>
      </x:c>
      <x:c r="G3197" s="17" t="str">
        <x:v>Current official department roster or research-area faculty listing used to identify the five-person Stage 4 candidate longlist.</x:v>
      </x:c>
      <x:c r="H3197" s="17" t="str">
        <x:v>University of Colorado Colorado Springs current faculty roster</x:v>
      </x:c>
      <x:c r="I3197" s="17" t="str">
        <x:v>University of Colorado Colorado Springs</x:v>
      </x:c>
      <x:c r="J3197" s="17" t="str">
        <x:v>official</x:v>
      </x:c>
      <x:c r="K3197" s="17" t="str">
        <x:v>2026-09-11</x:v>
      </x:c>
      <x:c r="L3197" s="17" t="str"/>
      <x:c r="M3197" s="17" t="str">
        <x:v>high</x:v>
      </x:c>
      <x:c r="N3197" s="17" t="str">
        <x:v>verified</x:v>
      </x:c>
      <x:c r="O3197" s="17" t="str">
        <x:v>Roster evidence establishes a current listing, not program-specific supervision authority or recruiting.</x:v>
      </x:c>
      <x:c r="P3197" s="18" t="e">
        <x:f>HYPERLINK("https://eas.uccs.edu/departments/computer-science/directory/faculty","Open source")</x:f>
        <x:v>HYPERLINK is not implemented. linkLocation=https://eas.uccs.edu/departments/computer-science/directory/faculty, friendlyName=Open source</x:v>
      </x:c>
    </x:row>
    <x:row r="3198" ht="46" customHeight="1">
      <x:c r="A3198" s="17" t="str">
        <x:v>stage4src:84f38215683e57ef</x:v>
      </x:c>
      <x:c r="B3198" s="17" t="str">
        <x:v>professor</x:v>
      </x:c>
      <x:c r="C3198" s="17" t="str">
        <x:v>University of Manitoba</x:v>
      </x:c>
      <x:c r="D3198" s="17" t="str">
        <x:v>ca:dli:O19091528512:program:phd:phd-in-computer-science</x:v>
      </x:c>
      <x:c r="E3198" s="17" t="str">
        <x:v>ca:dli:O19091528512:faculty:shaowei-wang</x:v>
      </x:c>
      <x:c r="F3198" s="17" t="str">
        <x:v>Computer Science PhD supervision authority|prospective student instructions</x:v>
      </x:c>
      <x:c r="G3198" s="17" t="str">
        <x:v>The department states that professors may supervise, requires confirmed supervisor acceptance, and gives the materials to send in a fit inquiry.</x:v>
      </x:c>
      <x:c r="H3198" s="17" t="str">
        <x:v>Applying for Graduate Programs in Computer Science</x:v>
      </x:c>
      <x:c r="I3198" s="17" t="str">
        <x:v>University of Manitoba</x:v>
      </x:c>
      <x:c r="J3198" s="17" t="str">
        <x:v>official</x:v>
      </x:c>
      <x:c r="K3198" s="17" t="str">
        <x:v>2026-09-11</x:v>
      </x:c>
      <x:c r="L3198" s="17" t="str">
        <x:v>2026</x:v>
      </x:c>
      <x:c r="M3198" s="17" t="str">
        <x:v>high</x:v>
      </x:c>
      <x:c r="N3198" s="17" t="str">
        <x:v>verified</x:v>
      </x:c>
      <x:c r="O3198" s="17" t="str">
        <x:v>Current official policy checked 2026-09-10.</x:v>
      </x:c>
      <x:c r="P3198" s="18" t="e">
        <x:f>HYPERLINK("https://umanitoba.ca/science/computer-science/graduate-programs-application-info","Open source")</x:f>
        <x:v>HYPERLINK is not implemented. linkLocation=https://umanitoba.ca/science/computer-science/graduate-programs-application-info, friendlyName=Open source</x:v>
      </x:c>
    </x:row>
    <x:row r="3199" ht="46" customHeight="1">
      <x:c r="A3199" s="17" t="str">
        <x:v>stage4src:851d62536b13563c</x:v>
      </x:c>
      <x:c r="B3199" s="17" t="str">
        <x:v>professor</x:v>
      </x:c>
      <x:c r="C3199" s="17" t="str">
        <x:v>George Mason University</x:v>
      </x:c>
      <x:c r="D3199" s="17" t="str">
        <x:v>us:ipeds:232186:program:phd:computer-science-phd</x:v>
      </x:c>
      <x:c r="E3199" s="17" t="str">
        <x:v>us:ipeds:232186:faculty:brittany-johnson-matthews</x:v>
      </x:c>
      <x:c r="F3199" s="17" t="str">
        <x:v>recent work|research fit</x:v>
      </x:c>
      <x:c r="G3199" s="17" t="str">
        <x:v>2024 automated program repair in practice paper</x:v>
      </x:c>
      <x:c r="H3199" s="17" t="str">
        <x:v>Exploring Experiences with Automated Program Repair in Practice</x:v>
      </x:c>
      <x:c r="I3199" s="17" t="str">
        <x:v>OpenAlex / cited venue</x:v>
      </x:c>
      <x:c r="J3199" s="17" t="str">
        <x:v>secondary</x:v>
      </x:c>
      <x:c r="K3199" s="17" t="str">
        <x:v>2026-09-11</x:v>
      </x:c>
      <x:c r="L3199" s="17" t="str">
        <x:v>2024</x:v>
      </x:c>
      <x:c r="M3199" s="17" t="str">
        <x:v>high</x:v>
      </x:c>
      <x:c r="N3199" s="17" t="str">
        <x:v>verified</x:v>
      </x:c>
      <x:c r="O3199" s="17" t="str"/>
      <x:c r="P3199" s="18" t="e">
        <x:f>HYPERLINK("https://doi.org/10.1145/3597503.3639182","Open source")</x:f>
        <x:v>HYPERLINK is not implemented. linkLocation=https://doi.org/10.1145/3597503.3639182, friendlyName=Open source</x:v>
      </x:c>
    </x:row>
    <x:row r="3200" ht="46" customHeight="1">
      <x:c r="A3200" s="17" t="str">
        <x:v>stage4src:852047db7542c190</x:v>
      </x:c>
      <x:c r="B3200" s="17" t="str">
        <x:v>professor</x:v>
      </x:c>
      <x:c r="C3200" s="17" t="str">
        <x:v>York University</x:v>
      </x:c>
      <x:c r="D3200" s="17" t="str">
        <x:v>ca:dli:O19361109242:program:thesis-or-research-master-s:masc-in-electrical-and-computer-engineering</x:v>
      </x:c>
      <x:c r="E3200" s="17" t="str">
        <x:v>ca:dli:O19361109242:faculty:maleknaz-nayebi</x:v>
      </x:c>
      <x:c r="F3200" s="17" t="str">
        <x:v>current graduate faculty roster|MSc supervision authority</x:v>
      </x:c>
      <x:c r="G3200" s="17" t="str">
        <x:v>The current EECS graduate-faculty page establishes eligibility to supervise graduate research in the department.</x:v>
      </x:c>
      <x:c r="H3200" s="17" t="str">
        <x:v>EECS graduate faculty</x:v>
      </x:c>
      <x:c r="I3200" s="17" t="str">
        <x:v>York University</x:v>
      </x:c>
      <x:c r="J3200" s="17" t="str">
        <x:v>official</x:v>
      </x:c>
      <x:c r="K3200" s="17" t="str">
        <x:v>2026-09-11</x:v>
      </x:c>
      <x:c r="L3200" s="17" t="str">
        <x:v>2026</x:v>
      </x:c>
      <x:c r="M3200" s="17" t="str">
        <x:v>high</x:v>
      </x:c>
      <x:c r="N3200" s="17" t="str">
        <x:v>verified</x:v>
      </x:c>
      <x:c r="O3200" s="17" t="str">
        <x:v>Current official graduate-faculty roster checked 2026-09-10.</x:v>
      </x:c>
      <x:c r="P3200" s="18" t="e">
        <x:f>HYPERLINK("https://lassonde.yorku.ca/eecs/academics/graduate/graduate-faculty/","Open source")</x:f>
        <x:v>HYPERLINK is not implemented. linkLocation=https://lassonde.yorku.ca/eecs/academics/graduate/graduate-faculty/, friendlyName=Open source</x:v>
      </x:c>
    </x:row>
    <x:row r="3201" ht="46" customHeight="1">
      <x:c r="A3201" s="17" t="str">
        <x:v>stage4src:8520dba90d8df5e8</x:v>
      </x:c>
      <x:c r="B3201" s="17" t="str">
        <x:v>professor</x:v>
      </x:c>
      <x:c r="C3201" s="17" t="str">
        <x:v>University of Notre Dame</x:v>
      </x:c>
      <x:c r="D3201" s="17" t="str">
        <x:v>us:ipeds:152080:program:phd:computer-science-and-engineering-phd</x:v>
      </x:c>
      <x:c r="E3201" s="17" t="str"/>
      <x:c r="F3201" s="17" t="str">
        <x:v>current faculty roster|candidate longlist</x:v>
      </x:c>
      <x:c r="G3201" s="17" t="str">
        <x:v>Current official department roster or research-area faculty listing used to identify the five-person Stage 4 candidate longlist.</x:v>
      </x:c>
      <x:c r="H3201" s="17" t="str">
        <x:v>University of Notre Dame current faculty roster</x:v>
      </x:c>
      <x:c r="I3201" s="17" t="str">
        <x:v>University of Notre Dame</x:v>
      </x:c>
      <x:c r="J3201" s="17" t="str">
        <x:v>official</x:v>
      </x:c>
      <x:c r="K3201" s="17" t="str">
        <x:v>2026-09-11</x:v>
      </x:c>
      <x:c r="L3201" s="17" t="str"/>
      <x:c r="M3201" s="17" t="str">
        <x:v>high</x:v>
      </x:c>
      <x:c r="N3201" s="17" t="str">
        <x:v>verified</x:v>
      </x:c>
      <x:c r="O3201" s="17" t="str">
        <x:v>Roster evidence establishes a current listing, not program-specific supervision authority or recruiting.</x:v>
      </x:c>
      <x:c r="P3201" s="18" t="e">
        <x:f>HYPERLINK("https://cse.nd.edu/research/","Open source")</x:f>
        <x:v>HYPERLINK is not implemented. linkLocation=https://cse.nd.edu/research/, friendlyName=Open source</x:v>
      </x:c>
    </x:row>
    <x:row r="3202" ht="46" customHeight="1">
      <x:c r="A3202" s="17" t="str">
        <x:v>stage4src:8554c3eb00a93f3c</x:v>
      </x:c>
      <x:c r="B3202" s="17" t="str">
        <x:v>professor</x:v>
      </x:c>
      <x:c r="C3202" s="17" t="str">
        <x:v>University of Maryland-College Park</x:v>
      </x:c>
      <x:c r="D3202" s="17" t="str">
        <x:v>us:ipeds:163286:program:phd:computer-science-phd</x:v>
      </x:c>
      <x:c r="E3202" s="17" t="str"/>
      <x:c r="F3202" s="17" t="str">
        <x:v>current faculty roster|candidate longlist</x:v>
      </x:c>
      <x:c r="G3202" s="17" t="str">
        <x:v>Current official department roster or research-area faculty listing used to identify the five-person Stage 4 candidate longlist.</x:v>
      </x:c>
      <x:c r="H3202" s="17" t="str">
        <x:v>University of Maryland-College Park current faculty roster</x:v>
      </x:c>
      <x:c r="I3202" s="17" t="str">
        <x:v>University of Maryland-College Park</x:v>
      </x:c>
      <x:c r="J3202" s="17" t="str">
        <x:v>official</x:v>
      </x:c>
      <x:c r="K3202" s="17" t="str">
        <x:v>2026-09-11</x:v>
      </x:c>
      <x:c r="L3202" s="17" t="str"/>
      <x:c r="M3202" s="17" t="str">
        <x:v>high</x:v>
      </x:c>
      <x:c r="N3202" s="17" t="str">
        <x:v>verified</x:v>
      </x:c>
      <x:c r="O3202" s="17" t="str">
        <x:v>Roster evidence establishes a current listing, not program-specific supervision authority or recruiting.</x:v>
      </x:c>
      <x:c r="P3202" s="18" t="e">
        <x:f>HYPERLINK("https://www.cs.umd.edu/people/faculty","Open source")</x:f>
        <x:v>HYPERLINK is not implemented. linkLocation=https://www.cs.umd.edu/people/faculty, friendlyName=Open source</x:v>
      </x:c>
    </x:row>
    <x:row r="3203" ht="46" customHeight="1">
      <x:c r="A3203" s="17" t="str">
        <x:v>stage4src:86023d79c8fd1912</x:v>
      </x:c>
      <x:c r="B3203" s="17" t="str">
        <x:v>professor</x:v>
      </x:c>
      <x:c r="C3203" s="17" t="str">
        <x:v>Northwestern University</x:v>
      </x:c>
      <x:c r="D3203" s="17" t="str">
        <x:v>us:ipeds:147767:program:phd:phd-in-computer-science</x:v>
      </x:c>
      <x:c r="E3203" s="17" t="str">
        <x:v>us:ipeds:147767:faculty:robby-findler</x:v>
      </x:c>
      <x:c r="F3203" s="17" t="str">
        <x:v>recent work|language design|strong fit</x:v>
      </x:c>
      <x:c r="G3203" s="17" t="str">
        <x:v>The 2024 ICFP article supports current programming-language design and executable-semantics overlap.</x:v>
      </x:c>
      <x:c r="H3203" s="17" t="str">
        <x:v>The Functional, the Imperative, and the Sudoku</x:v>
      </x:c>
      <x:c r="I3203" s="17" t="str">
        <x:v>OpenAlex / cited venue</x:v>
      </x:c>
      <x:c r="J3203" s="17" t="str">
        <x:v>secondary</x:v>
      </x:c>
      <x:c r="K3203" s="17" t="str">
        <x:v>2026-09-11</x:v>
      </x:c>
      <x:c r="L3203" s="17" t="str">
        <x:v>2024</x:v>
      </x:c>
      <x:c r="M3203" s="17" t="str">
        <x:v>high</x:v>
      </x:c>
      <x:c r="N3203" s="17" t="str">
        <x:v>verified</x:v>
      </x:c>
      <x:c r="O3203" s="17" t="str">
        <x:v>University-hosted author manuscript checked 2026-09-11.</x:v>
      </x:c>
      <x:c r="P3203" s="18" t="e">
        <x:f>HYPERLINK("https://users.cs.northwestern.edu/~robby/pubs/papers/icfp2024-sf.pdf","Open source")</x:f>
        <x:v>HYPERLINK is not implemented. linkLocation=https://users.cs.northwestern.edu/~robby/pubs/papers/icfp2024-sf.pdf, friendlyName=Open source</x:v>
      </x:c>
    </x:row>
    <x:row r="3204" ht="46" customHeight="1">
      <x:c r="A3204" s="17" t="str">
        <x:v>stage4src:8617331e81ff364b</x:v>
      </x:c>
      <x:c r="B3204" s="17" t="str">
        <x:v>professor</x:v>
      </x:c>
      <x:c r="C3204" s="17" t="str">
        <x:v>Southern Illinois University-Carbondale</x:v>
      </x:c>
      <x:c r="D3204" s="17" t="str">
        <x:v>us:ipeds:149222:program:phd:computer-science-doctor-of-philosophy</x:v>
      </x:c>
      <x:c r="E3204" s="17" t="str">
        <x:v>us:ipeds:149222:faculty:khaled-ahmed</x:v>
      </x:c>
      <x:c r="F3204" s="17" t="str">
        <x:v>recent project|graduate collaboration|edge-cloud infrastructure</x:v>
      </x:c>
      <x:c r="G3204" s="17" t="str">
        <x:v>The 2023-2024 project names Ahmed and documents graduate-student work using deep learning and edge-cloud infrastructure.</x:v>
      </x:c>
      <x:c r="H3204" s="17" t="str">
        <x:v>Developing Deep Learning Algorithms for Classifying the Growth Stages of Weeds in Soybean Fields</x:v>
      </x:c>
      <x:c r="I3204" s="17" t="str">
        <x:v>Southern Illinois University-Carbondale</x:v>
      </x:c>
      <x:c r="J3204" s="17" t="str">
        <x:v>official</x:v>
      </x:c>
      <x:c r="K3204" s="17" t="str">
        <x:v>2026-09-11</x:v>
      </x:c>
      <x:c r="L3204" s="17" t="str">
        <x:v>2024</x:v>
      </x:c>
      <x:c r="M3204" s="17" t="str">
        <x:v>high</x:v>
      </x:c>
      <x:c r="N3204" s="17" t="str">
        <x:v>verified</x:v>
      </x:c>
      <x:c r="O3204" s="17" t="str">
        <x:v>Official project record checked 2026-09-11; expired and not used as recruiting evidence.</x:v>
      </x:c>
      <x:c r="P3204" s="18" t="e">
        <x:f>HYPERLINK("https://conferenceservices.siu.edu/_common/documents/camps/stem-research-project-list.pdf","Open source")</x:f>
        <x:v>HYPERLINK is not implemented. linkLocation=https://conferenceservices.siu.edu/_common/documents/camps/stem-research-project-list.pdf, friendlyName=Open source</x:v>
      </x:c>
    </x:row>
    <x:row r="3205" ht="46" customHeight="1">
      <x:c r="A3205" s="17" t="str">
        <x:v>stage4src:86354e7e2aab2387</x:v>
      </x:c>
      <x:c r="B3205" s="17" t="str">
        <x:v>professor</x:v>
      </x:c>
      <x:c r="C3205" s="17" t="str">
        <x:v>Howard University</x:v>
      </x:c>
      <x:c r="D3205" s="17" t="str">
        <x:v>us:ipeds:131520:program:phd:computer-science-ph-d</x:v>
      </x:c>
      <x:c r="E3205" s="17" t="str"/>
      <x:c r="F3205" s="17" t="str">
        <x:v>current faculty roster|candidate longlist</x:v>
      </x:c>
      <x:c r="G3205" s="17" t="str">
        <x:v>Current official department roster or research-area faculty listing used to identify the five-person Stage 4 candidate longlist.</x:v>
      </x:c>
      <x:c r="H3205" s="17" t="str">
        <x:v>Howard University current faculty roster</x:v>
      </x:c>
      <x:c r="I3205" s="17" t="str">
        <x:v>Howard University</x:v>
      </x:c>
      <x:c r="J3205" s="17" t="str">
        <x:v>official</x:v>
      </x:c>
      <x:c r="K3205" s="17" t="str">
        <x:v>2026-09-11</x:v>
      </x:c>
      <x:c r="L3205" s="17" t="str"/>
      <x:c r="M3205" s="17" t="str">
        <x:v>high</x:v>
      </x:c>
      <x:c r="N3205" s="17" t="str">
        <x:v>verified</x:v>
      </x:c>
      <x:c r="O3205" s="17" t="str">
        <x:v>Roster evidence establishes a current listing, not program-specific supervision authority or recruiting.</x:v>
      </x:c>
      <x:c r="P3205" s="18" t="e">
        <x:f>HYPERLINK("https://cea.howard.edu/academics/departments/electrical-engineering-and-computer-science/people-eecs","Open source")</x:f>
        <x:v>HYPERLINK is not implemented. linkLocation=https://cea.howard.edu/academics/departments/electrical-engineering-and-computer-science/people-eecs, friendlyName=Open source</x:v>
      </x:c>
    </x:row>
    <x:row r="3206" ht="46" customHeight="1">
      <x:c r="A3206" s="17" t="str">
        <x:v>stage4src:8639ee110dfca855</x:v>
      </x:c>
      <x:c r="B3206" s="17" t="str">
        <x:v>professor</x:v>
      </x:c>
      <x:c r="C3206" s="17" t="str">
        <x:v>Texas A&amp;M University-College Station</x:v>
      </x:c>
      <x:c r="D3206" s="17" t="str">
        <x:v>us:ipeds:228723:program:phd:doctor-of-philosophy-in-computer-science</x:v>
      </x:c>
      <x:c r="E3206" s="17" t="str">
        <x:v>us:ipeds:228723:faculty:jeff-huang</x:v>
      </x:c>
      <x:c r="F3206" s="17" t="str">
        <x:v>current faculty roster|candidate longlist</x:v>
      </x:c>
      <x:c r="G3206" s="17" t="str">
        <x:v>The current CSE directory is the roster basis for Huang and the four encoded alternatives.</x:v>
      </x:c>
      <x:c r="H3206" s="17" t="str">
        <x:v>Computer Science and Engineering Directory</x:v>
      </x:c>
      <x:c r="I3206" s="17" t="str">
        <x:v>Texas A&amp;M University-College Station</x:v>
      </x:c>
      <x:c r="J3206" s="17" t="str">
        <x:v>official</x:v>
      </x:c>
      <x:c r="K3206" s="17" t="str">
        <x:v>2026-09-11</x:v>
      </x:c>
      <x:c r="L3206" s="17" t="str">
        <x:v>2026</x:v>
      </x:c>
      <x:c r="M3206" s="17" t="str">
        <x:v>high</x:v>
      </x:c>
      <x:c r="N3206" s="17" t="str">
        <x:v>verified</x:v>
      </x:c>
      <x:c r="O3206" s="17" t="str">
        <x:v>Official directory checked 2026-09-11.</x:v>
      </x:c>
      <x:c r="P3206" s="18" t="e">
        <x:f>HYPERLINK("https://engineering.tamu.edu/cse/profiles/index.html","Open source")</x:f>
        <x:v>HYPERLINK is not implemented. linkLocation=https://engineering.tamu.edu/cse/profiles/index.html, friendlyName=Open source</x:v>
      </x:c>
    </x:row>
    <x:row r="3207" ht="46" customHeight="1">
      <x:c r="A3207" s="17" t="str">
        <x:v>stage4src:86adcecd31d2c2c2</x:v>
      </x:c>
      <x:c r="B3207" s="17" t="str">
        <x:v>professor</x:v>
      </x:c>
      <x:c r="C3207" s="17" t="str">
        <x:v>University of Nebraska at Omaha</x:v>
      </x:c>
      <x:c r="D3207" s="17" t="str">
        <x:v>us:ipeds:181394:program:phd:computing-information-science-ph-d</x:v>
      </x:c>
      <x:c r="E3207" s="17" t="str">
        <x:v>us:ipeds:181394:faculty:myoungkyu-song</x:v>
      </x:c>
      <x:c r="F3207" s="17" t="str">
        <x:v>research themes|candidate longlist</x:v>
      </x:c>
      <x:c r="G3207" s="17" t="str">
        <x:v>UNO places Song and multiple bounded alternatives in software engineering, program transformation, repository mining, and automated reasoning areas.</x:v>
      </x:c>
      <x:c r="H3207" s="17" t="str">
        <x:v>Computer Science Faculty Expertise</x:v>
      </x:c>
      <x:c r="I3207" s="17" t="str">
        <x:v>University of Nebraska at Omaha</x:v>
      </x:c>
      <x:c r="J3207" s="17" t="str">
        <x:v>official</x:v>
      </x:c>
      <x:c r="K3207" s="17" t="str">
        <x:v>2026-09-11</x:v>
      </x:c>
      <x:c r="L3207" s="17" t="str">
        <x:v>2026</x:v>
      </x:c>
      <x:c r="M3207" s="17" t="str">
        <x:v>high</x:v>
      </x:c>
      <x:c r="N3207" s="17" t="str">
        <x:v>verified</x:v>
      </x:c>
      <x:c r="O3207" s="17" t="str">
        <x:v>Live official page checked 2026-09-11.</x:v>
      </x:c>
      <x:c r="P3207" s="18" t="e">
        <x:f>HYPERLINK("https://www.unomaha.edu/college-of-information-science-and-technology/computer-science/research/faculty-expertise.php","Open source")</x:f>
        <x:v>HYPERLINK is not implemented. linkLocation=https://www.unomaha.edu/college-of-information-science-and-technology/computer-science/research/faculty-expertise.php, friendlyName=Open source</x:v>
      </x:c>
    </x:row>
    <x:row r="3208" ht="46" customHeight="1">
      <x:c r="A3208" s="17" t="str">
        <x:v>stage4src:8736aff217b76266</x:v>
      </x:c>
      <x:c r="B3208" s="17" t="str">
        <x:v>professor</x:v>
      </x:c>
      <x:c r="C3208" s="17" t="str">
        <x:v>Temple University</x:v>
      </x:c>
      <x:c r="D3208" s="17" t="str">
        <x:v>us:ipeds:216339:program:phd:computer-and-information-science-phd</x:v>
      </x:c>
      <x:c r="E3208" s="17" t="str">
        <x:v>us:ipeds:216339:faculty:stephen-macneil</x:v>
      </x:c>
      <x:c r="F3208" s="17" t="str">
        <x:v>current appointment|active research direction|research fit</x:v>
      </x:c>
      <x:c r="G3208" s="17" t="str">
        <x:v>Temple identifies MacNeil as an Assistant Professor and describes his AI-copilot evaluation project with graduate-student participation.</x:v>
      </x:c>
      <x:c r="H3208" s="17" t="str">
        <x:v>Stephen MacNeil's AI Copilot Project Earns CST Boost Funds</x:v>
      </x:c>
      <x:c r="I3208" s="17" t="str">
        <x:v>Temple University</x:v>
      </x:c>
      <x:c r="J3208" s="17" t="str">
        <x:v>official</x:v>
      </x:c>
      <x:c r="K3208" s="17" t="str">
        <x:v>2026-09-11</x:v>
      </x:c>
      <x:c r="L3208" s="17" t="str">
        <x:v>2024</x:v>
      </x:c>
      <x:c r="M3208" s="17" t="str">
        <x:v>high</x:v>
      </x:c>
      <x:c r="N3208" s="17" t="str">
        <x:v>verified</x:v>
      </x:c>
      <x:c r="O3208" s="17" t="str">
        <x:v>Official announcement checked 2026-09-11; grant and student activity are not recruiting evidence.</x:v>
      </x:c>
      <x:c r="P3208" s="18" t="e">
        <x:f>HYPERLINK("https://cst.temple.edu/news/2024/11/stephen-macneils-ai-copilot-project-earns-cst-boost-funds","Open source")</x:f>
        <x:v>HYPERLINK is not implemented. linkLocation=https://cst.temple.edu/news/2024/11/stephen-macneils-ai-copilot-project-earns-cst-boost-funds, friendlyName=Open source</x:v>
      </x:c>
    </x:row>
    <x:row r="3209" ht="46" customHeight="1">
      <x:c r="A3209" s="17" t="str">
        <x:v>stage4src:87a59c8639f6f741</x:v>
      </x:c>
      <x:c r="B3209" s="17" t="str">
        <x:v>professor</x:v>
      </x:c>
      <x:c r="C3209" s="17" t="str">
        <x:v>Carleton University</x:v>
      </x:c>
      <x:c r="D3209" s="17" t="str">
        <x:v>ca:dli:O19332687812:program:thesis-or-research-master-s:electrical-and-computer-engineering-masc-software-engineering-concentration</x:v>
      </x:c>
      <x:c r="E3209" s="17" t="str">
        <x:v>ca:dli:O19332687812:faculty:yvan-labiche</x:v>
      </x:c>
      <x:c r="F3209" s="17" t="str">
        <x:v>current appointment|research themes|email</x:v>
      </x:c>
      <x:c r="G3209" s="17" t="str">
        <x:v>The current profile identifies Labiche as Professor and records software verification, validation, testing, quality, modeling, and AI-for-SE research.</x:v>
      </x:c>
      <x:c r="H3209" s="17" t="str">
        <x:v>SQUALL Principal Investigator — Yvan Labiche</x:v>
      </x:c>
      <x:c r="I3209" s="17" t="str">
        <x:v>Carleton University</x:v>
      </x:c>
      <x:c r="J3209" s="17" t="str">
        <x:v>official</x:v>
      </x:c>
      <x:c r="K3209" s="17" t="str">
        <x:v>2026-09-11</x:v>
      </x:c>
      <x:c r="L3209" s="17" t="str">
        <x:v>2026</x:v>
      </x:c>
      <x:c r="M3209" s="17" t="str">
        <x:v>high</x:v>
      </x:c>
      <x:c r="N3209" s="17" t="str">
        <x:v>verified</x:v>
      </x:c>
      <x:c r="O3209" s="17" t="str">
        <x:v>Current official profile checked 2026-09-10.</x:v>
      </x:c>
      <x:c r="P3209" s="18" t="e">
        <x:f>HYPERLINK("https://carleton.ca/squall/squall-principal-investigator/","Open source")</x:f>
        <x:v>HYPERLINK is not implemented. linkLocation=https://carleton.ca/squall/squall-principal-investigator/, friendlyName=Open source</x:v>
      </x:c>
    </x:row>
    <x:row r="3210" ht="46" customHeight="1">
      <x:c r="A3210" s="17" t="str">
        <x:v>stage4src:87d18a3cf97fb183</x:v>
      </x:c>
      <x:c r="B3210" s="17" t="str">
        <x:v>professor</x:v>
      </x:c>
      <x:c r="C3210" s="17" t="str">
        <x:v>West Virginia University</x:v>
      </x:c>
      <x:c r="D3210" s="17" t="str">
        <x:v>us:ipeds:238032:program:phd:ph-d-in-computer-science-and-information-science</x:v>
      </x:c>
      <x:c r="E3210" s="17" t="str">
        <x:v>us:ipeds:238032:faculty:katerina-goseva-popstojanova</x:v>
      </x:c>
      <x:c r="F3210" s="17" t="str">
        <x:v>recent work|research fit</x:v>
      </x:c>
      <x:c r="G3210" s="17" t="str">
        <x:v>The 2025 paper examines autonomous-system development and verification-and-validation practices.</x:v>
      </x:c>
      <x:c r="H3210" s="17" t="str">
        <x:v>On the Practices of Autonomous Systems Development</x:v>
      </x:c>
      <x:c r="I3210" s="17" t="str">
        <x:v>OpenAlex / cited venue</x:v>
      </x:c>
      <x:c r="J3210" s="17" t="str">
        <x:v>secondary</x:v>
      </x:c>
      <x:c r="K3210" s="17" t="str">
        <x:v>2026-09-11</x:v>
      </x:c>
      <x:c r="L3210" s="17" t="str">
        <x:v>2025</x:v>
      </x:c>
      <x:c r="M3210" s="17" t="str">
        <x:v>high</x:v>
      </x:c>
      <x:c r="N3210" s="17" t="str">
        <x:v>verified</x:v>
      </x:c>
      <x:c r="O3210" s="17" t="str">
        <x:v>Preprint record checked 2026-09-11.</x:v>
      </x:c>
      <x:c r="P3210" s="18" t="e">
        <x:f>HYPERLINK("https://arxiv.org/abs/2506.04438","Open source")</x:f>
        <x:v>HYPERLINK is not implemented. linkLocation=https://arxiv.org/abs/2506.04438, friendlyName=Open source</x:v>
      </x:c>
    </x:row>
    <x:row r="3211" ht="46" customHeight="1">
      <x:c r="A3211" s="17" t="str">
        <x:v>stage4src:882bc703faf496de</x:v>
      </x:c>
      <x:c r="B3211" s="17" t="str">
        <x:v>professor</x:v>
      </x:c>
      <x:c r="C3211" s="17" t="str">
        <x:v>University of California-Santa Barbara</x:v>
      </x:c>
      <x:c r="D3211" s="17" t="str">
        <x:v>us:ipeds:110705:program:phd:computer-science-phd</x:v>
      </x:c>
      <x:c r="E3211" s="17" t="str">
        <x:v>us:ipeds:110705:faculty:christopher-kruegel</x:v>
      </x:c>
      <x:c r="F3211" s="17" t="str">
        <x:v>discovery publication signal|recent work</x:v>
      </x:c>
      <x:c r="G3211" s="17" t="str">
        <x:v>Publication metadata was examined for shortlist triage only; publication-time affiliation does not establish current appointment, supervision authority, or recruiting.</x:v>
      </x:c>
      <x:c r="H3211" s="17" t="str">
        <x:v>OpenAlex publication signal for Christopher Kruegel</x:v>
      </x:c>
      <x:c r="I3211" s="17" t="str">
        <x:v>OpenAlex / cited venue</x:v>
      </x:c>
      <x:c r="J3211" s="17" t="str">
        <x:v>secondary</x:v>
      </x:c>
      <x:c r="K3211" s="17" t="str">
        <x:v>2026-09-11</x:v>
      </x:c>
      <x:c r="L3211" s="17" t="str"/>
      <x:c r="M3211" s="17" t="str">
        <x:v>medium</x:v>
      </x:c>
      <x:c r="N3211" s="17" t="str">
        <x:v>discovery_only</x:v>
      </x:c>
      <x:c r="O3211" s="17" t="str">
        <x:v>Not used to award a professor score or faculty-depth point.</x:v>
      </x:c>
      <x:c r="P3211" s="18" t="e">
        <x:f>HYPERLINK("https://openalex.org/A5022177364","Open source")</x:f>
        <x:v>HYPERLINK is not implemented. linkLocation=https://openalex.org/A5022177364, friendlyName=Open source</x:v>
      </x:c>
    </x:row>
    <x:row r="3212" ht="46" customHeight="1">
      <x:c r="A3212" s="17" t="str">
        <x:v>stage4src:88aa398626d81c48</x:v>
      </x:c>
      <x:c r="B3212" s="17" t="str">
        <x:v>professor</x:v>
      </x:c>
      <x:c r="C3212" s="17" t="str">
        <x:v>Western University</x:v>
      </x:c>
      <x:c r="D3212" s="17" t="str">
        <x:v>ca:dli:O19375892122:program:thesis-or-research-master-s:master-of-engineering-science-mesc-in-electrical-and-computer-engineering</x:v>
      </x:c>
      <x:c r="E3212" s="17" t="str">
        <x:v>ca:dli:O19375892122:faculty:abdallah-shami</x:v>
      </x:c>
      <x:c r="F3212" s="17" t="str">
        <x:v>recent work|graduate supervision|software engineering|security</x:v>
      </x:c>
      <x:c r="G3212" s="17" t="str">
        <x:v>The record names Shami as supervisor of a 2024 software-engineering penetration-testing project for open-source EV charging infrastructure using MQTT.</x:v>
      </x:c>
      <x:c r="H3212" s="17" t="str">
        <x:v>ECE Graduate Research Seminars — Summer 2024</x:v>
      </x:c>
      <x:c r="I3212" s="17" t="str">
        <x:v>Western University</x:v>
      </x:c>
      <x:c r="J3212" s="17" t="str">
        <x:v>official</x:v>
      </x:c>
      <x:c r="K3212" s="17" t="str">
        <x:v>2026-09-11</x:v>
      </x:c>
      <x:c r="L3212" s="17" t="str">
        <x:v>2024</x:v>
      </x:c>
      <x:c r="M3212" s="17" t="str">
        <x:v>high</x:v>
      </x:c>
      <x:c r="N3212" s="17" t="str">
        <x:v>verified</x:v>
      </x:c>
      <x:c r="O3212" s="17" t="str">
        <x:v>Official graduate research record checked 2026-09-11.</x:v>
      </x:c>
      <x:c r="P3212" s="18" t="e">
        <x:f>HYPERLINK("https://www.eng.uwo.ca/electrical/pdf/ECE_Graduate_Research_Seminars_Remote_June_18_am1.pdf","Open source")</x:f>
        <x:v>HYPERLINK is not implemented. linkLocation=https://www.eng.uwo.ca/electrical/pdf/ECE_Graduate_Research_Seminars_Remote_June_18_am1.pdf, friendlyName=Open source</x:v>
      </x:c>
    </x:row>
    <x:row r="3213" ht="46" customHeight="1">
      <x:c r="A3213" s="17" t="str">
        <x:v>stage4src:8960c644fd0880b8</x:v>
      </x:c>
      <x:c r="B3213" s="17" t="str">
        <x:v>professor</x:v>
      </x:c>
      <x:c r="C3213" s="17" t="str">
        <x:v>Oklahoma State University-Main Campus</x:v>
      </x:c>
      <x:c r="D3213" s="17" t="str">
        <x:v>us:ipeds:207388:program:phd:doctor-of-philosophy-in-computer-science</x:v>
      </x:c>
      <x:c r="E3213" s="17" t="str"/>
      <x:c r="F3213" s="17" t="str">
        <x:v>current faculty roster|candidate longlist</x:v>
      </x:c>
      <x:c r="G3213" s="17" t="str">
        <x:v>Current official department roster or research-area faculty listing used to identify the five-person Stage 4 candidate longlist.</x:v>
      </x:c>
      <x:c r="H3213" s="17" t="str">
        <x:v>Oklahoma State University-Main Campus current faculty roster</x:v>
      </x:c>
      <x:c r="I3213" s="17" t="str">
        <x:v>Oklahoma State University-Main Campus</x:v>
      </x:c>
      <x:c r="J3213" s="17" t="str">
        <x:v>official</x:v>
      </x:c>
      <x:c r="K3213" s="17" t="str">
        <x:v>2026-09-11</x:v>
      </x:c>
      <x:c r="L3213" s="17" t="str"/>
      <x:c r="M3213" s="17" t="str">
        <x:v>high</x:v>
      </x:c>
      <x:c r="N3213" s="17" t="str">
        <x:v>verified</x:v>
      </x:c>
      <x:c r="O3213" s="17" t="str">
        <x:v>Roster evidence establishes a current listing, not program-specific supervision authority or recruiting.</x:v>
      </x:c>
      <x:c r="P3213" s="18" t="e">
        <x:f>HYPERLINK("https://cas.okstate.edu/computer_science/about_us/faculty_staff","Open source")</x:f>
        <x:v>HYPERLINK is not implemented. linkLocation=https://cas.okstate.edu/computer_science/about_us/faculty_staff, friendlyName=Open source</x:v>
      </x:c>
    </x:row>
    <x:row r="3214" ht="46" customHeight="1">
      <x:c r="A3214" s="17" t="str">
        <x:v>stage4src:89aec6d972e55cea</x:v>
      </x:c>
      <x:c r="B3214" s="17" t="str">
        <x:v>professor</x:v>
      </x:c>
      <x:c r="C3214" s="17" t="str">
        <x:v>University of California-Davis</x:v>
      </x:c>
      <x:c r="D3214" s="17" t="str">
        <x:v>us:ipeds:110644:program:phd:computer-science-phd</x:v>
      </x:c>
      <x:c r="E3214" s="17" t="str">
        <x:v>us:ipeds:110644:faculty:cindy-rubio-gonz-lez</x:v>
      </x:c>
      <x:c r="F3214" s="17" t="str">
        <x:v>recent work|research fit</x:v>
      </x:c>
      <x:c r="G3214" s="17" t="str">
        <x:v>Current appointment context and 2026 CI/defect work</x:v>
      </x:c>
      <x:c r="H3214" s="17" t="str">
        <x:v>Cindy Rubio-González</x:v>
      </x:c>
      <x:c r="I3214" s="17" t="str">
        <x:v>University of California-Davis</x:v>
      </x:c>
      <x:c r="J3214" s="17" t="str">
        <x:v>official</x:v>
      </x:c>
      <x:c r="K3214" s="17" t="str">
        <x:v>2026-09-11</x:v>
      </x:c>
      <x:c r="L3214" s="17" t="str">
        <x:v>2026</x:v>
      </x:c>
      <x:c r="M3214" s="17" t="str">
        <x:v>high</x:v>
      </x:c>
      <x:c r="N3214" s="17" t="str">
        <x:v>verified</x:v>
      </x:c>
      <x:c r="O3214" s="17" t="str"/>
      <x:c r="P3214" s="18" t="e">
        <x:f>HYPERLINK("https://web.cs.ucdavis.edu/~rubio/","Open source")</x:f>
        <x:v>HYPERLINK is not implemented. linkLocation=https://web.cs.ucdavis.edu/~rubio/, friendlyName=Open source</x:v>
      </x:c>
    </x:row>
    <x:row r="3215" ht="46" customHeight="1">
      <x:c r="A3215" s="17" t="str">
        <x:v>stage4src:89b65d2da016a6e1</x:v>
      </x:c>
      <x:c r="B3215" s="17" t="str">
        <x:v>professor</x:v>
      </x:c>
      <x:c r="C3215" s="17" t="str">
        <x:v>The University of Tennessee-Knoxville</x:v>
      </x:c>
      <x:c r="D3215" s="17" t="str">
        <x:v>us:ipeds:221759:program:phd:computer-science-phd</x:v>
      </x:c>
      <x:c r="E3215" s="17" t="str">
        <x:v>us:ipeds:221759:faculty:audris-mockus</x:v>
      </x:c>
      <x:c r="F3215" s="17" t="str">
        <x:v>recent work|research fit</x:v>
      </x:c>
      <x:c r="G3215" s="17" t="str">
        <x:v>The official university record documents Mockus's 2025 software-engineering risk-model work.</x:v>
      </x:c>
      <x:c r="H3215" s="17" t="str">
        <x:v>Leveraging Risk Models to Improve Productivity for Effective Code Un-Freeze at Scale</x:v>
      </x:c>
      <x:c r="I3215" s="17" t="str">
        <x:v>The University of Tennessee-Knoxville</x:v>
      </x:c>
      <x:c r="J3215" s="17" t="str">
        <x:v>official</x:v>
      </x:c>
      <x:c r="K3215" s="17" t="str">
        <x:v>2026-09-11</x:v>
      </x:c>
      <x:c r="L3215" s="17" t="str">
        <x:v>2025</x:v>
      </x:c>
      <x:c r="M3215" s="17" t="str">
        <x:v>high</x:v>
      </x:c>
      <x:c r="N3215" s="17" t="str">
        <x:v>verified</x:v>
      </x:c>
      <x:c r="O3215" s="17" t="str">
        <x:v>Official university publication record checked 2026-09-10.</x:v>
      </x:c>
      <x:c r="P3215" s="18" t="e">
        <x:f>HYPERLINK("https://voljournals.utk.edu/utk-comppubs/12/","Open source")</x:f>
        <x:v>HYPERLINK is not implemented. linkLocation=https://voljournals.utk.edu/utk-comppubs/12/, friendlyName=Open source</x:v>
      </x:c>
    </x:row>
    <x:row r="3216" ht="46" customHeight="1">
      <x:c r="A3216" s="17" t="str">
        <x:v>stage4src:8a400b212cd7b2bc</x:v>
      </x:c>
      <x:c r="B3216" s="17" t="str">
        <x:v>professor</x:v>
      </x:c>
      <x:c r="C3216" s="17" t="str">
        <x:v>Northwestern University</x:v>
      </x:c>
      <x:c r="D3216" s="17" t="str">
        <x:v>us:ipeds:147767:program:phd:phd-in-computer-science</x:v>
      </x:c>
      <x:c r="E3216" s="17" t="str">
        <x:v>us:ipeds:147767:faculty:yan-chen</x:v>
      </x:c>
      <x:c r="F3216" s="17" t="str">
        <x:v>discovery publication signal|recent work</x:v>
      </x:c>
      <x:c r="G3216" s="17" t="str">
        <x:v>Publication metadata was examined for shortlist triage only; publication-time affiliation does not establish current appointment, supervision authority, or recruiting.</x:v>
      </x:c>
      <x:c r="H3216" s="17" t="str">
        <x:v>OpenAlex publication signal for Yan Chen</x:v>
      </x:c>
      <x:c r="I3216" s="17" t="str">
        <x:v>OpenAlex / cited venue</x:v>
      </x:c>
      <x:c r="J3216" s="17" t="str">
        <x:v>secondary</x:v>
      </x:c>
      <x:c r="K3216" s="17" t="str">
        <x:v>2026-09-11</x:v>
      </x:c>
      <x:c r="L3216" s="17" t="str"/>
      <x:c r="M3216" s="17" t="str">
        <x:v>medium</x:v>
      </x:c>
      <x:c r="N3216" s="17" t="str">
        <x:v>discovery_only</x:v>
      </x:c>
      <x:c r="O3216" s="17" t="str">
        <x:v>Not used to award a professor score or faculty-depth point.</x:v>
      </x:c>
      <x:c r="P3216" s="18" t="e">
        <x:f>HYPERLINK("https://openalex.org/A5100378046","Open source")</x:f>
        <x:v>HYPERLINK is not implemented. linkLocation=https://openalex.org/A5100378046, friendlyName=Open source</x:v>
      </x:c>
    </x:row>
    <x:row r="3217" ht="46" customHeight="1">
      <x:c r="A3217" s="17" t="str">
        <x:v>stage4src:8a4f658155491ea1</x:v>
      </x:c>
      <x:c r="B3217" s="17" t="str">
        <x:v>professor</x:v>
      </x:c>
      <x:c r="C3217" s="17" t="str">
        <x:v>Clarkson University</x:v>
      </x:c>
      <x:c r="D3217" s="17" t="str">
        <x:v>us:ipeds:190044:program:phd:phd-in-computer-science</x:v>
      </x:c>
      <x:c r="E3217" s="17" t="str">
        <x:v>us:ipeds:190044:faculty:faraz-hussain</x:v>
      </x:c>
      <x:c r="F3217" s="17" t="str">
        <x:v>current appointment|email|current alternatives</x:v>
      </x:c>
      <x:c r="G3217" s="17" t="str">
        <x:v>The official Computer Science roster lists Hussain and all four bounded alternatives.</x:v>
      </x:c>
      <x:c r="H3217" s="17" t="str">
        <x:v>Computer Science Faculty and Staff</x:v>
      </x:c>
      <x:c r="I3217" s="17" t="str">
        <x:v>Clarkson University</x:v>
      </x:c>
      <x:c r="J3217" s="17" t="str">
        <x:v>official</x:v>
      </x:c>
      <x:c r="K3217" s="17" t="str">
        <x:v>2026-09-11</x:v>
      </x:c>
      <x:c r="L3217" s="17" t="str">
        <x:v>2026</x:v>
      </x:c>
      <x:c r="M3217" s="17" t="str">
        <x:v>high</x:v>
      </x:c>
      <x:c r="N3217" s="17" t="str">
        <x:v>verified</x:v>
      </x:c>
      <x:c r="O3217" s="17" t="str">
        <x:v>Live official roster checked 2026-09-11.</x:v>
      </x:c>
      <x:c r="P3217" s="18" t="e">
        <x:f>HYPERLINK("https://www.clarkson.edu/academics/schools-colleges/arts-sciences/departments/computer-science/faculty-staff","Open source")</x:f>
        <x:v>HYPERLINK is not implemented. linkLocation=https://www.clarkson.edu/academics/schools-colleges/arts-sciences/departments/computer-science/faculty-staff, friendlyName=Open source</x:v>
      </x:c>
    </x:row>
    <x:row r="3218" ht="46" customHeight="1">
      <x:c r="A3218" s="17" t="str">
        <x:v>stage4src:8ab3fcd59ad0518a</x:v>
      </x:c>
      <x:c r="B3218" s="17" t="str">
        <x:v>professor</x:v>
      </x:c>
      <x:c r="C3218" s="17" t="str">
        <x:v>Florida Atlantic University</x:v>
      </x:c>
      <x:c r="D3218" s="17" t="str">
        <x:v>us:ipeds:133669:program:phd:doctor-of-philosophy-with-major-in-computer-science</x:v>
      </x:c>
      <x:c r="E3218" s="17" t="str">
        <x:v>us:ipeds:133669:faculty:taghi-m-khoshgoftaar</x:v>
      </x:c>
      <x:c r="F3218" s="17" t="str">
        <x:v>program supervision authority|doctoral committee rule</x:v>
      </x:c>
      <x:c r="G3218" s="17" t="str">
        <x:v>The Computer Science PhD requires a dissertation committee chaired by an EECS faculty member, supporting home-department supervision authority.</x:v>
      </x:c>
      <x:c r="H3218" s="17" t="str">
        <x:v>Engineering and Computer Science Programs</x:v>
      </x:c>
      <x:c r="I3218" s="17" t="str">
        <x:v>Florida Atlantic University</x:v>
      </x:c>
      <x:c r="J3218" s="17" t="str">
        <x:v>official</x:v>
      </x:c>
      <x:c r="K3218" s="17" t="str">
        <x:v>2026-09-11</x:v>
      </x:c>
      <x:c r="L3218" s="17" t="str">
        <x:v>2026</x:v>
      </x:c>
      <x:c r="M3218" s="17" t="str">
        <x:v>high</x:v>
      </x:c>
      <x:c r="N3218" s="17" t="str">
        <x:v>verified</x:v>
      </x:c>
      <x:c r="O3218" s="17" t="str">
        <x:v>Current official catalog checked 2026-09-11.</x:v>
      </x:c>
      <x:c r="P3218" s="18" t="e">
        <x:f>HYPERLINK("https://www.fau.edu/registrar/university-catalog/catalog/engineering/","Open source")</x:f>
        <x:v>HYPERLINK is not implemented. linkLocation=https://www.fau.edu/registrar/university-catalog/catalog/engineering/, friendlyName=Open source</x:v>
      </x:c>
    </x:row>
    <x:row r="3219" ht="46" customHeight="1">
      <x:c r="A3219" s="17" t="str">
        <x:v>stage4src:8acca37351881826</x:v>
      </x:c>
      <x:c r="B3219" s="17" t="str">
        <x:v>professor</x:v>
      </x:c>
      <x:c r="C3219" s="17" t="str">
        <x:v>University of Rochester</x:v>
      </x:c>
      <x:c r="D3219" s="17" t="str">
        <x:v>us:ipeds:195030:program:phd:phd-program-in-computer-science</x:v>
      </x:c>
      <x:c r="E3219" s="17" t="str"/>
      <x:c r="F3219" s="17" t="str">
        <x:v>current faculty roster|candidate longlist</x:v>
      </x:c>
      <x:c r="G3219" s="17" t="str">
        <x:v>Current official department roster or research-area faculty listing used to identify the five-person Stage 4 candidate longlist.</x:v>
      </x:c>
      <x:c r="H3219" s="17" t="str">
        <x:v>University of Rochester current faculty roster</x:v>
      </x:c>
      <x:c r="I3219" s="17" t="str">
        <x:v>University of Rochester</x:v>
      </x:c>
      <x:c r="J3219" s="17" t="str">
        <x:v>official</x:v>
      </x:c>
      <x:c r="K3219" s="17" t="str">
        <x:v>2026-09-11</x:v>
      </x:c>
      <x:c r="L3219" s="17" t="str"/>
      <x:c r="M3219" s="17" t="str">
        <x:v>high</x:v>
      </x:c>
      <x:c r="N3219" s="17" t="str">
        <x:v>verified</x:v>
      </x:c>
      <x:c r="O3219" s="17" t="str">
        <x:v>Roster evidence establishes a current listing, not program-specific supervision authority or recruiting.</x:v>
      </x:c>
      <x:c r="P3219" s="18" t="e">
        <x:f>HYPERLINK("https://www.cs.rochester.edu/people/faculty/index.html","Open source")</x:f>
        <x:v>HYPERLINK is not implemented. linkLocation=https://www.cs.rochester.edu/people/faculty/index.html, friendlyName=Open source</x:v>
      </x:c>
    </x:row>
    <x:row r="3220" ht="46" customHeight="1">
      <x:c r="A3220" s="17" t="str">
        <x:v>stage4src:8c0a7d47a6a71d65</x:v>
      </x:c>
      <x:c r="B3220" s="17" t="str">
        <x:v>professor</x:v>
      </x:c>
      <x:c r="C3220" s="17" t="str">
        <x:v>University of Nevada-Reno</x:v>
      </x:c>
      <x:c r="D3220" s="17" t="str">
        <x:v>us:ipeds:182290:program:phd:ph-d-in-computer-science-and-engineering</x:v>
      </x:c>
      <x:c r="E3220" s="17" t="str">
        <x:v>us:ipeds:182290:faculty:sergiu-dascalu</x:v>
      </x:c>
      <x:c r="F3220" s="17" t="str">
        <x:v>program context|prospective-student instructions</x:v>
      </x:c>
      <x:c r="G3220" s="17" t="str">
        <x:v>UNR provides the controlling Computer Science and Engineering PhD program and application context.</x:v>
      </x:c>
      <x:c r="H3220" s="17" t="str">
        <x:v>MS and PhD Program</x:v>
      </x:c>
      <x:c r="I3220" s="17" t="str">
        <x:v>University of Nevada-Reno</x:v>
      </x:c>
      <x:c r="J3220" s="17" t="str">
        <x:v>official</x:v>
      </x:c>
      <x:c r="K3220" s="17" t="str">
        <x:v>2026-09-11</x:v>
      </x:c>
      <x:c r="L3220" s="17" t="str">
        <x:v>2026</x:v>
      </x:c>
      <x:c r="M3220" s="17" t="str">
        <x:v>high</x:v>
      </x:c>
      <x:c r="N3220" s="17" t="str">
        <x:v>verified</x:v>
      </x:c>
      <x:c r="O3220" s="17" t="str">
        <x:v>Live official program page checked 2026-09-11.</x:v>
      </x:c>
      <x:c r="P3220" s="18" t="e">
        <x:f>HYPERLINK("https://www.unr.edu/cse/graduate-program","Open source")</x:f>
        <x:v>HYPERLINK is not implemented. linkLocation=https://www.unr.edu/cse/graduate-program, friendlyName=Open source</x:v>
      </x:c>
    </x:row>
    <x:row r="3221" ht="46" customHeight="1">
      <x:c r="A3221" s="17" t="str">
        <x:v>stage4src:8ce20c7df9a37a6b</x:v>
      </x:c>
      <x:c r="B3221" s="17" t="str">
        <x:v>professor</x:v>
      </x:c>
      <x:c r="C3221" s="17" t="str">
        <x:v>University of Massachusetts-Amherst</x:v>
      </x:c>
      <x:c r="D3221" s="17" t="str">
        <x:v>us:ipeds:166629:program:phd:computer-science-phd</x:v>
      </x:c>
      <x:c r="E3221" s="17" t="str">
        <x:v>us:ipeds:166629:faculty:yuriy-brun</x:v>
      </x:c>
      <x:c r="F3221" s="17" t="str">
        <x:v>recent work|research fit</x:v>
      </x:c>
      <x:c r="G3221" s="17" t="str">
        <x:v>2025 recent work and sustained repair/testing research</x:v>
      </x:c>
      <x:c r="H3221" s="17" t="str">
        <x:v>Yuriy Brun</x:v>
      </x:c>
      <x:c r="I3221" s="17" t="str">
        <x:v>University of Massachusetts-Amherst</x:v>
      </x:c>
      <x:c r="J3221" s="17" t="str">
        <x:v>official</x:v>
      </x:c>
      <x:c r="K3221" s="17" t="str">
        <x:v>2026-09-11</x:v>
      </x:c>
      <x:c r="L3221" s="17" t="str">
        <x:v>2025</x:v>
      </x:c>
      <x:c r="M3221" s="17" t="str">
        <x:v>high</x:v>
      </x:c>
      <x:c r="N3221" s="17" t="str">
        <x:v>verified</x:v>
      </x:c>
      <x:c r="O3221" s="17" t="str"/>
      <x:c r="P3221" s="18" t="e">
        <x:f>HYPERLINK("https://people.cs.umass.edu/~brun/","Open source")</x:f>
        <x:v>HYPERLINK is not implemented. linkLocation=https://people.cs.umass.edu/~brun/, friendlyName=Open source</x:v>
      </x:c>
    </x:row>
    <x:row r="3222" ht="46" customHeight="1">
      <x:c r="A3222" s="17" t="str">
        <x:v>stage4src:8d1b591d645d795f</x:v>
      </x:c>
      <x:c r="B3222" s="17" t="str">
        <x:v>professor</x:v>
      </x:c>
      <x:c r="C3222" s="17" t="str">
        <x:v>Illinois Institute of Technology</x:v>
      </x:c>
      <x:c r="D3222" s="17" t="str">
        <x:v>us:ipeds:145725:program:phd:computer-science-ph-d</x:v>
      </x:c>
      <x:c r="E3222" s="17" t="str">
        <x:v>us:ipeds:145725:faculty:nik-sultana</x:v>
      </x:c>
      <x:c r="F3222" s="17" t="str">
        <x:v>program context|dissertation|application route</x:v>
      </x:c>
      <x:c r="G3222" s="17" t="str">
        <x:v>Illinois Tech describes its Computer Science research doctorate and dissertation route.</x:v>
      </x:c>
      <x:c r="H3222" s="17" t="str">
        <x:v>Computer Science PhD</x:v>
      </x:c>
      <x:c r="I3222" s="17" t="str">
        <x:v>Illinois Institute of Technology</x:v>
      </x:c>
      <x:c r="J3222" s="17" t="str">
        <x:v>official</x:v>
      </x:c>
      <x:c r="K3222" s="17" t="str">
        <x:v>2026-09-11</x:v>
      </x:c>
      <x:c r="L3222" s="17" t="str">
        <x:v>2026</x:v>
      </x:c>
      <x:c r="M3222" s="17" t="str">
        <x:v>high</x:v>
      </x:c>
      <x:c r="N3222" s="17" t="str">
        <x:v>verified</x:v>
      </x:c>
      <x:c r="O3222" s="17" t="str">
        <x:v>Live program page checked 2026-09-11.</x:v>
      </x:c>
      <x:c r="P3222" s="18" t="e">
        <x:f>HYPERLINK("https://www.iit.edu/academics/programs/computer-science-phd","Open source")</x:f>
        <x:v>HYPERLINK is not implemented. linkLocation=https://www.iit.edu/academics/programs/computer-science-phd, friendlyName=Open source</x:v>
      </x:c>
    </x:row>
    <x:row r="3223" ht="46" customHeight="1">
      <x:c r="A3223" s="17" t="str">
        <x:v>stage4src:8d202e90759d0fc4</x:v>
      </x:c>
      <x:c r="B3223" s="17" t="str">
        <x:v>professor</x:v>
      </x:c>
      <x:c r="C3223" s="17" t="str">
        <x:v>Carleton University</x:v>
      </x:c>
      <x:c r="D3223" s="17" t="str">
        <x:v>ca:dli:O19332687812:program:thesis-or-research-master-s:electrical-and-computer-engineering-masc-software-engineering-concentration</x:v>
      </x:c>
      <x:c r="E3223" s="17" t="str">
        <x:v>ca:dli:O19332687812:faculty:yvan-labiche</x:v>
      </x:c>
      <x:c r="F3223" s="17" t="str">
        <x:v>current appointment|candidate longlist</x:v>
      </x:c>
      <x:c r="G3223" s="17" t="str">
        <x:v>The current roster lists Labiche and the four bounded alternative candidates in Systems and Computer Engineering.</x:v>
      </x:c>
      <x:c r="H3223" s="17" t="str">
        <x:v>Systems and Computer Engineering Faculty</x:v>
      </x:c>
      <x:c r="I3223" s="17" t="str">
        <x:v>Carleton University</x:v>
      </x:c>
      <x:c r="J3223" s="17" t="str">
        <x:v>official</x:v>
      </x:c>
      <x:c r="K3223" s="17" t="str">
        <x:v>2026-09-11</x:v>
      </x:c>
      <x:c r="L3223" s="17" t="str">
        <x:v>2026</x:v>
      </x:c>
      <x:c r="M3223" s="17" t="str">
        <x:v>high</x:v>
      </x:c>
      <x:c r="N3223" s="17" t="str">
        <x:v>verified</x:v>
      </x:c>
      <x:c r="O3223" s="17" t="str">
        <x:v>Current official roster checked 2026-09-10.</x:v>
      </x:c>
      <x:c r="P3223" s="18" t="e">
        <x:f>HYPERLINK("https://carleton.ca/sce/faculty/","Open source")</x:f>
        <x:v>HYPERLINK is not implemented. linkLocation=https://carleton.ca/sce/faculty/, friendlyName=Open source</x:v>
      </x:c>
    </x:row>
    <x:row r="3224" ht="46" customHeight="1">
      <x:c r="A3224" s="17" t="str">
        <x:v>stage4src:8d35a74ebcaeee28</x:v>
      </x:c>
      <x:c r="B3224" s="17" t="str">
        <x:v>professor</x:v>
      </x:c>
      <x:c r="C3224" s="17" t="str">
        <x:v>Northeastern University</x:v>
      </x:c>
      <x:c r="D3224" s="17" t="str">
        <x:v>us:ipeds:167358:program:phd:computer-science-phd</x:v>
      </x:c>
      <x:c r="E3224" s="17" t="str"/>
      <x:c r="F3224" s="17" t="str">
        <x:v>current faculty roster|candidate longlist</x:v>
      </x:c>
      <x:c r="G3224" s="17" t="str">
        <x:v>Current official department roster or research-area faculty listing used to identify the five-person Stage 4 candidate longlist.</x:v>
      </x:c>
      <x:c r="H3224" s="17" t="str">
        <x:v>Northeastern University current faculty roster</x:v>
      </x:c>
      <x:c r="I3224" s="17" t="str">
        <x:v>Northeastern University</x:v>
      </x:c>
      <x:c r="J3224" s="17" t="str">
        <x:v>official</x:v>
      </x:c>
      <x:c r="K3224" s="17" t="str">
        <x:v>2026-09-11</x:v>
      </x:c>
      <x:c r="L3224" s="17" t="str"/>
      <x:c r="M3224" s="17" t="str">
        <x:v>high</x:v>
      </x:c>
      <x:c r="N3224" s="17" t="str">
        <x:v>verified</x:v>
      </x:c>
      <x:c r="O3224" s="17" t="str">
        <x:v>Roster evidence establishes a current listing, not program-specific supervision authority or recruiting.</x:v>
      </x:c>
      <x:c r="P3224" s="18" t="e">
        <x:f>HYPERLINK("https://www.khoury.northeastern.edu/people/","Open source")</x:f>
        <x:v>HYPERLINK is not implemented. linkLocation=https://www.khoury.northeastern.edu/people/, friendlyName=Open source</x:v>
      </x:c>
    </x:row>
    <x:row r="3225" ht="46" customHeight="1">
      <x:c r="A3225" s="17" t="str">
        <x:v>stage4src:8d956cc2923e704e</x:v>
      </x:c>
      <x:c r="B3225" s="17" t="str">
        <x:v>professor</x:v>
      </x:c>
      <x:c r="C3225" s="17" t="str">
        <x:v>Northwestern University</x:v>
      </x:c>
      <x:c r="D3225" s="17" t="str">
        <x:v>us:ipeds:147767:program:phd:phd-in-computer-science</x:v>
      </x:c>
      <x:c r="E3225" s="17" t="str">
        <x:v>us:ipeds:147767:faculty:robby-findler</x:v>
      </x:c>
      <x:c r="F3225" s="17" t="str">
        <x:v>recent work|program semantics|strong fit</x:v>
      </x:c>
      <x:c r="G3225" s="17" t="str">
        <x:v>The 2025 OOPSLA article supports current software-contract, mechanized-metatheory, and semantic-validation overlap.</x:v>
      </x:c>
      <x:c r="H3225" s="17" t="str">
        <x:v>Contract System Metatheories à la Carte</x:v>
      </x:c>
      <x:c r="I3225" s="17" t="str">
        <x:v>OpenAlex / cited venue</x:v>
      </x:c>
      <x:c r="J3225" s="17" t="str">
        <x:v>secondary</x:v>
      </x:c>
      <x:c r="K3225" s="17" t="str">
        <x:v>2026-09-11</x:v>
      </x:c>
      <x:c r="L3225" s="17" t="str">
        <x:v>2025</x:v>
      </x:c>
      <x:c r="M3225" s="17" t="str">
        <x:v>high</x:v>
      </x:c>
      <x:c r="N3225" s="17" t="str">
        <x:v>verified</x:v>
      </x:c>
      <x:c r="O3225" s="17" t="str">
        <x:v>University-hosted author manuscript checked 2026-09-11.</x:v>
      </x:c>
      <x:c r="P3225" s="18" t="e">
        <x:f>HYPERLINK("https://users.cs.northwestern.edu/~robby/pubs/papers/oopsla2025-ydf.pdf","Open source")</x:f>
        <x:v>HYPERLINK is not implemented. linkLocation=https://users.cs.northwestern.edu/~robby/pubs/papers/oopsla2025-ydf.pdf, friendlyName=Open source</x:v>
      </x:c>
    </x:row>
    <x:row r="3226" ht="46" customHeight="1">
      <x:c r="A3226" s="17" t="str">
        <x:v>stage4src:8dc876784f89e9b1</x:v>
      </x:c>
      <x:c r="B3226" s="17" t="str">
        <x:v>professor</x:v>
      </x:c>
      <x:c r="C3226" s="17" t="str">
        <x:v>University of Toronto</x:v>
      </x:c>
      <x:c r="D3226" s="17" t="str">
        <x:v>ca:dli:O19332746152:program:thesis-or-research-master-s:master-of-applied-science-in-electrical-and-computer-engineering</x:v>
      </x:c>
      <x:c r="E3226" s="17" t="str">
        <x:v>ca:dli:O19332746152:faculty:david-lie</x:v>
      </x:c>
      <x:c r="F3226" s="17" t="str">
        <x:v>current faculty roster|candidate longlist</x:v>
      </x:c>
      <x:c r="G3226" s="17" t="str">
        <x:v>The current ECE directory provides the roster used for the five-candidate review.</x:v>
      </x:c>
      <x:c r="H3226" s="17" t="str">
        <x:v>ECE Faculty Directory</x:v>
      </x:c>
      <x:c r="I3226" s="17" t="str">
        <x:v>University of Toronto</x:v>
      </x:c>
      <x:c r="J3226" s="17" t="str">
        <x:v>official</x:v>
      </x:c>
      <x:c r="K3226" s="17" t="str">
        <x:v>2026-09-11</x:v>
      </x:c>
      <x:c r="L3226" s="17" t="str">
        <x:v>2026</x:v>
      </x:c>
      <x:c r="M3226" s="17" t="str">
        <x:v>high</x:v>
      </x:c>
      <x:c r="N3226" s="17" t="str">
        <x:v>verified</x:v>
      </x:c>
      <x:c r="O3226" s="17" t="str">
        <x:v>Live official directory checked 2026-09-11.</x:v>
      </x:c>
      <x:c r="P3226" s="18" t="e">
        <x:f>HYPERLINK("https://www.ece.utoronto.ca/faculty/faculty-directory/","Open source")</x:f>
        <x:v>HYPERLINK is not implemented. linkLocation=https://www.ece.utoronto.ca/faculty/faculty-directory/, friendlyName=Open source</x:v>
      </x:c>
    </x:row>
    <x:row r="3227" ht="46" customHeight="1">
      <x:c r="A3227" s="17" t="str">
        <x:v>stage4src:8e1dbd79c0fa1219</x:v>
      </x:c>
      <x:c r="B3227" s="17" t="str">
        <x:v>professor</x:v>
      </x:c>
      <x:c r="C3227" s="17" t="str">
        <x:v>University of Nevada-Reno</x:v>
      </x:c>
      <x:c r="D3227" s="17" t="str">
        <x:v>us:ipeds:182290:program:phd:ph-d-in-computer-science-and-engineering</x:v>
      </x:c>
      <x:c r="E3227" s="17" t="str">
        <x:v>us:ipeds:182290:faculty:sergiu-dascalu</x:v>
      </x:c>
      <x:c r="F3227" s="17" t="str">
        <x:v>current appointment|email|program supervision authority|research themes|possible recruiting</x:v>
      </x:c>
      <x:c r="G3227" s="17" t="str">
        <x:v>UNR lists Dascalu as Professor, documents 13 completed PhD advisees, records software-systems interests, and welcomes prospective graduate applicants subject to funding.</x:v>
      </x:c>
      <x:c r="H3227" s="17" t="str">
        <x:v>Sergiu Dascalu</x:v>
      </x:c>
      <x:c r="I3227" s="17" t="str">
        <x:v>University of Nevada-Reno</x:v>
      </x:c>
      <x:c r="J3227" s="17" t="str">
        <x:v>official</x:v>
      </x:c>
      <x:c r="K3227" s="17" t="str">
        <x:v>2026-09-11</x:v>
      </x:c>
      <x:c r="L3227" s="17" t="str">
        <x:v>2026</x:v>
      </x:c>
      <x:c r="M3227" s="17" t="str">
        <x:v>high</x:v>
      </x:c>
      <x:c r="N3227" s="17" t="str">
        <x:v>verified</x:v>
      </x:c>
      <x:c r="O3227" s="17" t="str">
        <x:v>Live official profile checked 2026-09-11; conditional invitation is not confirmed recruiting.</x:v>
      </x:c>
      <x:c r="P3227" s="18" t="e">
        <x:f>HYPERLINK("https://www.unr.edu/cse/people/sergiu-dascalu","Open source")</x:f>
        <x:v>HYPERLINK is not implemented. linkLocation=https://www.unr.edu/cse/people/sergiu-dascalu, friendlyName=Open source</x:v>
      </x:c>
    </x:row>
    <x:row r="3228" ht="46" customHeight="1">
      <x:c r="A3228" s="17" t="str">
        <x:v>stage4src:8e1f277f6b6760ae</x:v>
      </x:c>
      <x:c r="B3228" s="17" t="str">
        <x:v>professor</x:v>
      </x:c>
      <x:c r="C3228" s="17" t="str">
        <x:v>University of Arizona</x:v>
      </x:c>
      <x:c r="D3228" s="17" t="str">
        <x:v>us:ipeds:104179:program:phd:computer-science-phd</x:v>
      </x:c>
      <x:c r="E3228" s="17" t="str"/>
      <x:c r="F3228" s="17" t="str">
        <x:v>current faculty roster|candidate longlist</x:v>
      </x:c>
      <x:c r="G3228" s="17" t="str">
        <x:v>Current official department roster or research-area faculty listing used to identify the five-person Stage 4 candidate longlist.</x:v>
      </x:c>
      <x:c r="H3228" s="17" t="str">
        <x:v>University of Arizona current faculty roster</x:v>
      </x:c>
      <x:c r="I3228" s="17" t="str">
        <x:v>University of Arizona</x:v>
      </x:c>
      <x:c r="J3228" s="17" t="str">
        <x:v>official</x:v>
      </x:c>
      <x:c r="K3228" s="17" t="str">
        <x:v>2026-09-11</x:v>
      </x:c>
      <x:c r="L3228" s="17" t="str"/>
      <x:c r="M3228" s="17" t="str">
        <x:v>high</x:v>
      </x:c>
      <x:c r="N3228" s="17" t="str">
        <x:v>verified</x:v>
      </x:c>
      <x:c r="O3228" s="17" t="str">
        <x:v>Roster evidence establishes a current listing, not program-specific supervision authority or recruiting.</x:v>
      </x:c>
      <x:c r="P3228" s="18" t="e">
        <x:f>HYPERLINK("https://cs.arizona.edu/about/faculty","Open source")</x:f>
        <x:v>HYPERLINK is not implemented. linkLocation=https://cs.arizona.edu/about/faculty, friendlyName=Open source</x:v>
      </x:c>
    </x:row>
    <x:row r="3229" ht="46" customHeight="1">
      <x:c r="A3229" s="17" t="str">
        <x:v>stage4src:8e473d5cba1c0166</x:v>
      </x:c>
      <x:c r="B3229" s="17" t="str">
        <x:v>professor</x:v>
      </x:c>
      <x:c r="C3229" s="17" t="str">
        <x:v>William &amp; Mary</x:v>
      </x:c>
      <x:c r="D3229" s="17" t="str">
        <x:v>us:ipeds:231624:program:phd:computer-science-phd</x:v>
      </x:c>
      <x:c r="E3229" s="17" t="str">
        <x:v>us:ipeds:231624:faculty:denys-poshyvanyk</x:v>
      </x:c>
      <x:c r="F3229" s="17" t="str">
        <x:v>recent work|research fit</x:v>
      </x:c>
      <x:c r="G3229" s="17" t="str">
        <x:v>2025–26 AI-for-SE and code-hallucination work</x:v>
      </x:c>
      <x:c r="H3229" s="17" t="str">
        <x:v>Denys Poshyvanyk Publications</x:v>
      </x:c>
      <x:c r="I3229" s="17" t="str">
        <x:v>William &amp; Mary</x:v>
      </x:c>
      <x:c r="J3229" s="17" t="str">
        <x:v>official</x:v>
      </x:c>
      <x:c r="K3229" s="17" t="str">
        <x:v>2026-09-11</x:v>
      </x:c>
      <x:c r="L3229" s="17" t="str">
        <x:v>2026</x:v>
      </x:c>
      <x:c r="M3229" s="17" t="str">
        <x:v>high</x:v>
      </x:c>
      <x:c r="N3229" s="17" t="str">
        <x:v>verified</x:v>
      </x:c>
      <x:c r="O3229" s="17" t="str"/>
      <x:c r="P3229" s="18" t="e">
        <x:f>HYPERLINK("https://www.cs.wm.edu/~dposhyvanyk/publications.html","Open source")</x:f>
        <x:v>HYPERLINK is not implemented. linkLocation=https://www.cs.wm.edu/~dposhyvanyk/publications.html, friendlyName=Open source</x:v>
      </x:c>
    </x:row>
    <x:row r="3230" ht="46" customHeight="1">
      <x:c r="A3230" s="17" t="str">
        <x:v>stage4src:8e85e291df292241</x:v>
      </x:c>
      <x:c r="B3230" s="17" t="str">
        <x:v>professor</x:v>
      </x:c>
      <x:c r="C3230" s="17" t="str">
        <x:v>University of Manitoba</x:v>
      </x:c>
      <x:c r="D3230" s="17" t="str">
        <x:v>ca:dli:O19091528512:program:phd:phd-in-computer-science</x:v>
      </x:c>
      <x:c r="E3230" s="17" t="str">
        <x:v>ca:dli:O19091528512:faculty:shaowei-wang</x:v>
      </x:c>
      <x:c r="F3230" s="17" t="str">
        <x:v>current appointment|research themes|email</x:v>
      </x:c>
      <x:c r="G3230" s="17" t="str">
        <x:v>The current profile identifies Wang as Associate Professor of Computer Science and documents AI-for-SE, security, code-generation, vulnerability-detection, and bug-localization research.</x:v>
      </x:c>
      <x:c r="H3230" s="17" t="str">
        <x:v>Shaowei Wang</x:v>
      </x:c>
      <x:c r="I3230" s="17" t="str">
        <x:v>University of Manitoba</x:v>
      </x:c>
      <x:c r="J3230" s="17" t="str">
        <x:v>official</x:v>
      </x:c>
      <x:c r="K3230" s="17" t="str">
        <x:v>2026-09-11</x:v>
      </x:c>
      <x:c r="L3230" s="17" t="str">
        <x:v>2026</x:v>
      </x:c>
      <x:c r="M3230" s="17" t="str">
        <x:v>high</x:v>
      </x:c>
      <x:c r="N3230" s="17" t="str">
        <x:v>verified</x:v>
      </x:c>
      <x:c r="O3230" s="17" t="str">
        <x:v>Current official profile checked 2026-09-10.</x:v>
      </x:c>
      <x:c r="P3230" s="18" t="e">
        <x:f>HYPERLINK("https://umanitoba.ca/science/directory/computer-science/shaowei-wang","Open source")</x:f>
        <x:v>HYPERLINK is not implemented. linkLocation=https://umanitoba.ca/science/directory/computer-science/shaowei-wang, friendlyName=Open source</x:v>
      </x:c>
    </x:row>
    <x:row r="3231" ht="46" customHeight="1">
      <x:c r="A3231" s="17" t="str">
        <x:v>stage4src:8eaa2c5b93823dc5</x:v>
      </x:c>
      <x:c r="B3231" s="17" t="str">
        <x:v>professor</x:v>
      </x:c>
      <x:c r="C3231" s="17" t="str">
        <x:v>Università di Camerino</x:v>
      </x:c>
      <x:c r="D3231" s="17" t="str">
        <x:v>ror:0005w8d69:program:thesis-or-research-master-s:master-of-science-in-computer-science</x:v>
      </x:c>
      <x:c r="E3231" s="17" t="str">
        <x:v>ror:0005w8d69:faculty:barbara-re</x:v>
      </x:c>
      <x:c r="F3231" s="17" t="str">
        <x:v>program context|current roster|supervision authority|prospective-student instructions</x:v>
      </x:c>
      <x:c r="G3231" s="17" t="str">
        <x:v>The official page establishes the Computer Science program and identifies Re and current reference faculty.</x:v>
      </x:c>
      <x:c r="H3231" s="17" t="str">
        <x:v>Computer Science</x:v>
      </x:c>
      <x:c r="I3231" s="17" t="str">
        <x:v>Università di Camerino</x:v>
      </x:c>
      <x:c r="J3231" s="17" t="str">
        <x:v>official</x:v>
      </x:c>
      <x:c r="K3231" s="17" t="str">
        <x:v>2026-09-11</x:v>
      </x:c>
      <x:c r="L3231" s="17" t="str">
        <x:v>2026</x:v>
      </x:c>
      <x:c r="M3231" s="17" t="str">
        <x:v>high</x:v>
      </x:c>
      <x:c r="N3231" s="17" t="str">
        <x:v>verified</x:v>
      </x:c>
      <x:c r="O3231" s="17" t="str">
        <x:v>Live official page checked 2026-09-11.</x:v>
      </x:c>
      <x:c r="P3231" s="18" t="e">
        <x:f>HYPERLINK("https://sst.unicam.it/corsi/computer-science","Open source")</x:f>
        <x:v>HYPERLINK is not implemented. linkLocation=https://sst.unicam.it/corsi/computer-science, friendlyName=Open source</x:v>
      </x:c>
    </x:row>
    <x:row r="3232" ht="46" customHeight="1">
      <x:c r="A3232" s="17" t="str">
        <x:v>stage4src:8efd87e87d2e7938</x:v>
      </x:c>
      <x:c r="B3232" s="17" t="str">
        <x:v>professor</x:v>
      </x:c>
      <x:c r="C3232" s="17" t="str">
        <x:v>University of Colorado Boulder</x:v>
      </x:c>
      <x:c r="D3232" s="17" t="str">
        <x:v>us:ipeds:126614:program:phd:computer-science-phd</x:v>
      </x:c>
      <x:c r="E3232" s="17" t="str">
        <x:v>us:ipeds:126614:faculty:sriram-sankaranarayanan</x:v>
      </x:c>
      <x:c r="F3232" s="17" t="str">
        <x:v>recruiting|contact instructions|program supervision authority</x:v>
      </x:c>
      <x:c r="G3232" s="17" t="str">
        <x:v>The official Fall 2027 page explicitly presents Sriram Sankaranarayanan's verification and synthesis interests and states that he is looking for PhD students.</x:v>
      </x:c>
      <x:c r="H3232" s="17" t="str">
        <x:v>Discover Graduate Programs and Active Faculty Recruitment — Fall 2027</x:v>
      </x:c>
      <x:c r="I3232" s="17" t="str">
        <x:v>University of Colorado Boulder</x:v>
      </x:c>
      <x:c r="J3232" s="17" t="str">
        <x:v>official</x:v>
      </x:c>
      <x:c r="K3232" s="17" t="str">
        <x:v>2026-09-11</x:v>
      </x:c>
      <x:c r="L3232" s="17" t="str">
        <x:v>2026</x:v>
      </x:c>
      <x:c r="M3232" s="17" t="str">
        <x:v>high</x:v>
      </x:c>
      <x:c r="N3232" s="17" t="str">
        <x:v>verified</x:v>
      </x:c>
      <x:c r="O3232" s="17" t="str">
        <x:v>Direct recruiting statement checked 2026-09-10.</x:v>
      </x:c>
      <x:c r="P3232" s="18" t="e">
        <x:f>HYPERLINK("https://www.colorado.edu/cs/admissions/graduate-admissions/discover-graduate-programs","Open source")</x:f>
        <x:v>HYPERLINK is not implemented. linkLocation=https://www.colorado.edu/cs/admissions/graduate-admissions/discover-graduate-programs, friendlyName=Open source</x:v>
      </x:c>
    </x:row>
    <x:row r="3233" ht="46" customHeight="1">
      <x:c r="A3233" s="17" t="str">
        <x:v>stage4src:8f1b6126f8d9de63</x:v>
      </x:c>
      <x:c r="B3233" s="17" t="str">
        <x:v>professor</x:v>
      </x:c>
      <x:c r="C3233" s="17" t="str">
        <x:v>The University of Texas at Arlington</x:v>
      </x:c>
      <x:c r="D3233" s="17" t="str">
        <x:v>us:ipeds:228769:program:phd:doctoral-degree-in-computer-science-computer-engineering</x:v>
      </x:c>
      <x:c r="E3233" s="17" t="str">
        <x:v>us:ipeds:228769:faculty:christoph-csallner</x:v>
      </x:c>
      <x:c r="F3233" s="17" t="str">
        <x:v>recent work|research fit</x:v>
      </x:c>
      <x:c r="G3233" s="17" t="str">
        <x:v>The 2022 paper documents Csallner's open-source corpus and Simulink toolchain testing work.</x:v>
      </x:c>
      <x:c r="H3233" s="17" t="str">
        <x:v>SLNET: A Redistributable Corpus of Third-Party Simulink Models</x:v>
      </x:c>
      <x:c r="I3233" s="17" t="str">
        <x:v>The University of Texas at Arlington</x:v>
      </x:c>
      <x:c r="J3233" s="17" t="str">
        <x:v>official</x:v>
      </x:c>
      <x:c r="K3233" s="17" t="str">
        <x:v>2026-09-11</x:v>
      </x:c>
      <x:c r="L3233" s="17" t="str">
        <x:v>2022</x:v>
      </x:c>
      <x:c r="M3233" s="17" t="str">
        <x:v>high</x:v>
      </x:c>
      <x:c r="N3233" s="17" t="str">
        <x:v>verified</x:v>
      </x:c>
      <x:c r="O3233" s="17" t="str">
        <x:v>University-hosted paper checked 2026-09-10.</x:v>
      </x:c>
      <x:c r="P3233" s="18" t="e">
        <x:f>HYPERLINK("https://ranger.uta.edu/~csallner/papers/Shrestha22SLNET.pdf","Open source")</x:f>
        <x:v>HYPERLINK is not implemented. linkLocation=https://ranger.uta.edu/~csallner/papers/Shrestha22SLNET.pdf, friendlyName=Open source</x:v>
      </x:c>
    </x:row>
    <x:row r="3234" ht="46" customHeight="1">
      <x:c r="A3234" s="17" t="str">
        <x:v>stage4src:8f2ef6b3c6ba50f7</x:v>
      </x:c>
      <x:c r="B3234" s="17" t="str">
        <x:v>professor</x:v>
      </x:c>
      <x:c r="C3234" s="17" t="str">
        <x:v>University of Michigan-Ann Arbor</x:v>
      </x:c>
      <x:c r="D3234" s="17" t="str">
        <x:v>us:ipeds:170976:program:phd:computer-science-and-engineering-phd</x:v>
      </x:c>
      <x:c r="E3234" s="17" t="str">
        <x:v>us:ipeds:170976:faculty:westley-weimer</x:v>
      </x:c>
      <x:c r="F3234" s="17" t="str">
        <x:v>current appointment|program supervision authority|research themes</x:v>
      </x:c>
      <x:c r="G3234" s="17" t="str">
        <x:v>Current appointment and research themes</x:v>
      </x:c>
      <x:c r="H3234" s="17" t="str">
        <x:v>Westley Weimer</x:v>
      </x:c>
      <x:c r="I3234" s="17" t="str">
        <x:v>University of Michigan-Ann Arbor</x:v>
      </x:c>
      <x:c r="J3234" s="17" t="str">
        <x:v>official</x:v>
      </x:c>
      <x:c r="K3234" s="17" t="str">
        <x:v>2026-09-11</x:v>
      </x:c>
      <x:c r="L3234" s="17" t="str"/>
      <x:c r="M3234" s="17" t="str">
        <x:v>high</x:v>
      </x:c>
      <x:c r="N3234" s="17" t="str">
        <x:v>verified</x:v>
      </x:c>
      <x:c r="O3234" s="17" t="str"/>
      <x:c r="P3234" s="18" t="e">
        <x:f>HYPERLINK("https://eecs.engin.umich.edu/people/weimer-westley/","Open source")</x:f>
        <x:v>HYPERLINK is not implemented. linkLocation=https://eecs.engin.umich.edu/people/weimer-westley/, friendlyName=Open source</x:v>
      </x:c>
    </x:row>
    <x:row r="3235" ht="46" customHeight="1">
      <x:c r="A3235" s="17" t="str">
        <x:v>stage4src:8f8599c52f845539</x:v>
      </x:c>
      <x:c r="B3235" s="17" t="str">
        <x:v>professor</x:v>
      </x:c>
      <x:c r="C3235" s="17" t="str">
        <x:v>University of Alabama at Birmingham</x:v>
      </x:c>
      <x:c r="D3235" s="17" t="str">
        <x:v>us:ipeds:100663:program:phd:ph-d-in-computer-science</x:v>
      </x:c>
      <x:c r="E3235" s="17" t="str">
        <x:v>us:ipeds:100663:faculty:ragib-hasan</x:v>
      </x:c>
      <x:c r="F3235" s="17" t="str">
        <x:v>current research direction|recent work|research fit</x:v>
      </x:c>
      <x:c r="G3235" s="17" t="str">
        <x:v>The current page records active secure IoT, reliable and secure cloud storage, cyber-security analytics, and related advanced-cyberinfrastructure research associated with Hasan's lab.</x:v>
      </x:c>
      <x:c r="H3235" s="17" t="str">
        <x:v>Advanced Cyberinfrastructure</x:v>
      </x:c>
      <x:c r="I3235" s="17" t="str">
        <x:v>University of Alabama at Birmingham</x:v>
      </x:c>
      <x:c r="J3235" s="17" t="str">
        <x:v>official</x:v>
      </x:c>
      <x:c r="K3235" s="17" t="str">
        <x:v>2026-09-11</x:v>
      </x:c>
      <x:c r="L3235" s="17" t="str">
        <x:v>2026</x:v>
      </x:c>
      <x:c r="M3235" s="17" t="str">
        <x:v>high</x:v>
      </x:c>
      <x:c r="N3235" s="17" t="str">
        <x:v>verified</x:v>
      </x:c>
      <x:c r="O3235" s="17" t="str">
        <x:v>Current official research page checked 2026-09-10.</x:v>
      </x:c>
      <x:c r="P3235" s="18" t="e">
        <x:f>HYPERLINK("https://www.uab.edu/cas/computerscience/research/research-clusters/advanced-cyberinfrastructure","Open source")</x:f>
        <x:v>HYPERLINK is not implemented. linkLocation=https://www.uab.edu/cas/computerscience/research/research-clusters/advanced-cyberinfrastructure, friendlyName=Open source</x:v>
      </x:c>
    </x:row>
    <x:row r="3236" ht="46" customHeight="1">
      <x:c r="A3236" s="17" t="str">
        <x:v>stage4src:8f873f0c744eea32</x:v>
      </x:c>
      <x:c r="B3236" s="17" t="str">
        <x:v>professor</x:v>
      </x:c>
      <x:c r="C3236" s="17" t="str">
        <x:v>Northeastern University</x:v>
      </x:c>
      <x:c r="D3236" s="17" t="str">
        <x:v>us:ipeds:167358:program:phd:computer-science-phd</x:v>
      </x:c>
      <x:c r="E3236" s="17" t="str">
        <x:v>us:ipeds:167358:faculty:alina-oprea</x:v>
      </x:c>
      <x:c r="F3236" s="17" t="str">
        <x:v>discovery publication signal|recent work</x:v>
      </x:c>
      <x:c r="G3236" s="17" t="str">
        <x:v>Publication metadata was examined for shortlist triage only; publication-time affiliation does not establish current appointment, supervision authority, or recruiting.</x:v>
      </x:c>
      <x:c r="H3236" s="17" t="str">
        <x:v>OpenAlex publication signal for Alina Oprea</x:v>
      </x:c>
      <x:c r="I3236" s="17" t="str">
        <x:v>OpenAlex / cited venue</x:v>
      </x:c>
      <x:c r="J3236" s="17" t="str">
        <x:v>secondary</x:v>
      </x:c>
      <x:c r="K3236" s="17" t="str">
        <x:v>2026-09-11</x:v>
      </x:c>
      <x:c r="L3236" s="17" t="str"/>
      <x:c r="M3236" s="17" t="str">
        <x:v>medium</x:v>
      </x:c>
      <x:c r="N3236" s="17" t="str">
        <x:v>discovery_only</x:v>
      </x:c>
      <x:c r="O3236" s="17" t="str">
        <x:v>Not used to award a professor score or faculty-depth point.</x:v>
      </x:c>
      <x:c r="P3236" s="18" t="e">
        <x:f>HYPERLINK("https://openalex.org/A5035574749","Open source")</x:f>
        <x:v>HYPERLINK is not implemented. linkLocation=https://openalex.org/A5035574749, friendlyName=Open source</x:v>
      </x:c>
    </x:row>
    <x:row r="3237" ht="46" customHeight="1">
      <x:c r="A3237" s="17" t="str">
        <x:v>stage4src:8f96c9cb25af4966</x:v>
      </x:c>
      <x:c r="B3237" s="17" t="str">
        <x:v>professor</x:v>
      </x:c>
      <x:c r="C3237" s="17" t="str">
        <x:v>University of Houston</x:v>
      </x:c>
      <x:c r="D3237" s="17" t="str">
        <x:v>us:ipeds:225511:program:phd:phd-in-computer-science</x:v>
      </x:c>
      <x:c r="E3237" s="17" t="str">
        <x:v>us:ipeds:225511:faculty:ali-shokri</x:v>
      </x:c>
      <x:c r="F3237" s="17" t="str">
        <x:v>Computer Science PhD supervision authority|prospective student instructions</x:v>
      </x:c>
      <x:c r="G3237" s="17" t="str">
        <x:v>The department states that tenured and tenure-track Computer Science faculty may serve as PhD research advisors and that pre-application contact is helpful but not required.</x:v>
      </x:c>
      <x:c r="H3237" s="17" t="str">
        <x:v>Graduate Admissions</x:v>
      </x:c>
      <x:c r="I3237" s="17" t="str">
        <x:v>University of Houston</x:v>
      </x:c>
      <x:c r="J3237" s="17" t="str">
        <x:v>official</x:v>
      </x:c>
      <x:c r="K3237" s="17" t="str">
        <x:v>2026-09-11</x:v>
      </x:c>
      <x:c r="L3237" s="17" t="str">
        <x:v>2026</x:v>
      </x:c>
      <x:c r="M3237" s="17" t="str">
        <x:v>high</x:v>
      </x:c>
      <x:c r="N3237" s="17" t="str">
        <x:v>verified</x:v>
      </x:c>
      <x:c r="O3237" s="17" t="str">
        <x:v>Current official policy checked 2026-09-10.</x:v>
      </x:c>
      <x:c r="P3237" s="18" t="e">
        <x:f>HYPERLINK("https://www.uh.edu/nsm/computer-science/graduate/admissions/","Open source")</x:f>
        <x:v>HYPERLINK is not implemented. linkLocation=https://www.uh.edu/nsm/computer-science/graduate/admissions/, friendlyName=Open source</x:v>
      </x:c>
    </x:row>
    <x:row r="3238" ht="46" customHeight="1">
      <x:c r="A3238" s="17" t="str">
        <x:v>stage4src:900c05109d00fcd5</x:v>
      </x:c>
      <x:c r="B3238" s="17" t="str">
        <x:v>professor</x:v>
      </x:c>
      <x:c r="C3238" s="17" t="str">
        <x:v>Carleton University</x:v>
      </x:c>
      <x:c r="D3238" s="17" t="str">
        <x:v>ca:dli:O19332687812:program:thesis-or-research-master-s:electrical-and-computer-engineering-masc-software-engineering-concentration</x:v>
      </x:c>
      <x:c r="E3238" s="17" t="str">
        <x:v>ca:dli:O19332687812:faculty:yvan-labiche</x:v>
      </x:c>
      <x:c r="F3238" s="17" t="str">
        <x:v>recent work|research fit</x:v>
      </x:c>
      <x:c r="G3238" s="17" t="str">
        <x:v>The 2026 preprint supports the recorded natural-language-to-test and automated-software-testing fit.</x:v>
      </x:c>
      <x:c r="H3238" s="17" t="str">
        <x:v>Automated Tool Support for Category-Partition Testing</x:v>
      </x:c>
      <x:c r="I3238" s="17" t="str">
        <x:v>OpenAlex / cited venue</x:v>
      </x:c>
      <x:c r="J3238" s="17" t="str">
        <x:v>secondary</x:v>
      </x:c>
      <x:c r="K3238" s="17" t="str">
        <x:v>2026-09-11</x:v>
      </x:c>
      <x:c r="L3238" s="17" t="str">
        <x:v>2026</x:v>
      </x:c>
      <x:c r="M3238" s="17" t="str">
        <x:v>high</x:v>
      </x:c>
      <x:c r="N3238" s="17" t="str">
        <x:v>verified</x:v>
      </x:c>
      <x:c r="O3238" s="17" t="str">
        <x:v>Preprint record checked 2026-09-10.</x:v>
      </x:c>
      <x:c r="P3238" s="18" t="e">
        <x:f>HYPERLINK("https://arxiv.org/abs/2601.12559","Open source")</x:f>
        <x:v>HYPERLINK is not implemented. linkLocation=https://arxiv.org/abs/2601.12559, friendlyName=Open source</x:v>
      </x:c>
    </x:row>
    <x:row r="3239" ht="46" customHeight="1">
      <x:c r="A3239" s="17" t="str">
        <x:v>stage4src:905994502122bfe4</x:v>
      </x:c>
      <x:c r="B3239" s="17" t="str">
        <x:v>professor</x:v>
      </x:c>
      <x:c r="C3239" s="17" t="str">
        <x:v>Ontario Tech University</x:v>
      </x:c>
      <x:c r="D3239" s="17" t="str">
        <x:v>ca:dli:O19315945002:program:thesis-or-research-master-s:software-engineering-masc</x:v>
      </x:c>
      <x:c r="E3239" s="17" t="str">
        <x:v>ca:dli:O19315945002:faculty:kundi-yao</x:v>
      </x:c>
      <x:c r="F3239" s="17" t="str">
        <x:v>exact program|supervisor requirement|prospective student instructions</x:v>
      </x:c>
      <x:c r="G3239" s="17" t="str">
        <x:v>The current page establishes the exact MASc and the requirement to secure an aligned supervisor before acceptance.</x:v>
      </x:c>
      <x:c r="H3239" s="17" t="str">
        <x:v>Software Engineering MASc</x:v>
      </x:c>
      <x:c r="I3239" s="17" t="str">
        <x:v>Ontario Tech University</x:v>
      </x:c>
      <x:c r="J3239" s="17" t="str">
        <x:v>official</x:v>
      </x:c>
      <x:c r="K3239" s="17" t="str">
        <x:v>2026-09-11</x:v>
      </x:c>
      <x:c r="L3239" s="17" t="str">
        <x:v>2026</x:v>
      </x:c>
      <x:c r="M3239" s="17" t="str">
        <x:v>high</x:v>
      </x:c>
      <x:c r="N3239" s="17" t="str">
        <x:v>verified</x:v>
      </x:c>
      <x:c r="O3239" s="17" t="str">
        <x:v>Current official page checked 2026-09-10.</x:v>
      </x:c>
      <x:c r="P3239" s="18" t="e">
        <x:f>HYPERLINK("https://gradstudies.ontariotechu.ca/future_students/programs/masters_programs/software_engineering/index.php","Open source")</x:f>
        <x:v>HYPERLINK is not implemented. linkLocation=https://gradstudies.ontariotechu.ca/future_students/programs/masters_programs/software_engineering/index.php, friendlyName=Open source</x:v>
      </x:c>
    </x:row>
    <x:row r="3240" ht="46" customHeight="1">
      <x:c r="A3240" s="17" t="str">
        <x:v>stage4src:91534f9b2279a8a1</x:v>
      </x:c>
      <x:c r="B3240" s="17" t="str">
        <x:v>professor</x:v>
      </x:c>
      <x:c r="C3240" s="17" t="str">
        <x:v>McGill University</x:v>
      </x:c>
      <x:c r="D3240" s="17" t="str">
        <x:v>ca:dli:O19359011033:program:thesis-or-research-master-s:electrical-engineering-thesis-m-sc</x:v>
      </x:c>
      <x:c r="E3240" s="17" t="str">
        <x:v>ca:dli:O19359011033:faculty:d-niel-varr</x:v>
      </x:c>
      <x:c r="F3240" s="17" t="str">
        <x:v>current department affiliation</x:v>
      </x:c>
      <x:c r="G3240" s="17" t="str">
        <x:v>McGill's Faculty of Engineering profile places Varró in Electrical and Computer Engineering.</x:v>
      </x:c>
      <x:c r="H3240" s="17" t="str">
        <x:v>Daniel Varro</x:v>
      </x:c>
      <x:c r="I3240" s="17" t="str">
        <x:v>McGill University</x:v>
      </x:c>
      <x:c r="J3240" s="17" t="str">
        <x:v>official</x:v>
      </x:c>
      <x:c r="K3240" s="17" t="str">
        <x:v>2026-09-11</x:v>
      </x:c>
      <x:c r="L3240" s="17" t="str">
        <x:v>2026</x:v>
      </x:c>
      <x:c r="M3240" s="17" t="str">
        <x:v>high</x:v>
      </x:c>
      <x:c r="N3240" s="17" t="str">
        <x:v>verified</x:v>
      </x:c>
      <x:c r="O3240" s="17" t="str">
        <x:v>Live official profile checked 2026-09-11.</x:v>
      </x:c>
      <x:c r="P3240" s="18" t="e">
        <x:f>HYPERLINK("https://www.mcgill.ca/engineering/node/7464","Open source")</x:f>
        <x:v>HYPERLINK is not implemented. linkLocation=https://www.mcgill.ca/engineering/node/7464, friendlyName=Open source</x:v>
      </x:c>
    </x:row>
    <x:row r="3241" ht="46" customHeight="1">
      <x:c r="A3241" s="17" t="str">
        <x:v>stage4src:921b127ba309c2d9</x:v>
      </x:c>
      <x:c r="B3241" s="17" t="str">
        <x:v>professor</x:v>
      </x:c>
      <x:c r="C3241" s="17" t="str">
        <x:v>University of Waterloo</x:v>
      </x:c>
      <x:c r="D3241" s="17" t="str">
        <x:v>ca:dli:O19305471522:program:thesis-or-research-master-s:mmath-in-computer-science-thesis</x:v>
      </x:c>
      <x:c r="E3241" s="17" t="str">
        <x:v>ca:dli:O19305471522:faculty:shane-mcintosh</x:v>
      </x:c>
      <x:c r="F3241" s="17" t="str">
        <x:v>recent work|research fit</x:v>
      </x:c>
      <x:c r="G3241" s="17" t="str">
        <x:v>Lab bibliography lists multiple 2024 CI/build/software-quality papers involving Shane McIntosh.</x:v>
      </x:c>
      <x:c r="H3241" s="17" t="str">
        <x:v>Software REBELs publications</x:v>
      </x:c>
      <x:c r="I3241" s="17" t="str">
        <x:v>University of Waterloo</x:v>
      </x:c>
      <x:c r="J3241" s="17" t="str">
        <x:v>official</x:v>
      </x:c>
      <x:c r="K3241" s="17" t="str">
        <x:v>2026-09-11</x:v>
      </x:c>
      <x:c r="L3241" s="17" t="str">
        <x:v>2024</x:v>
      </x:c>
      <x:c r="M3241" s="17" t="str">
        <x:v>high</x:v>
      </x:c>
      <x:c r="N3241" s="17" t="str">
        <x:v>verified</x:v>
      </x:c>
      <x:c r="O3241" s="17" t="str">
        <x:v>No search snippet used as final evidence; URL/page content reviewed.</x:v>
      </x:c>
      <x:c r="P3241" s="18" t="e">
        <x:f>HYPERLINK("https://rebels.cs.uwaterloo.ca/publications.html","Open source")</x:f>
        <x:v>HYPERLINK is not implemented. linkLocation=https://rebels.cs.uwaterloo.ca/publications.html, friendlyName=Open source</x:v>
      </x:c>
    </x:row>
    <x:row r="3242" ht="46" customHeight="1">
      <x:c r="A3242" s="17" t="str">
        <x:v>stage4src:92a4bd245a615268</x:v>
      </x:c>
      <x:c r="B3242" s="17" t="str">
        <x:v>professor</x:v>
      </x:c>
      <x:c r="C3242" s="17" t="str">
        <x:v>Brandeis University</x:v>
      </x:c>
      <x:c r="D3242" s="17" t="str">
        <x:v>us:ipeds:165015:program:phd:computer-science-phd</x:v>
      </x:c>
      <x:c r="E3242" s="17" t="str">
        <x:v>us:ipeds:165015:faculty:subhadeep-sarkar</x:v>
      </x:c>
      <x:c r="F3242" s="17" t="str">
        <x:v>active research|research themes|strong fit</x:v>
      </x:c>
      <x:c r="G3242" s="17" t="str">
        <x:v>Brandeis identifies Sarkar as lead of the SSD Lab and describes current scalable data systems and privacy-by-design storage research.</x:v>
      </x:c>
      <x:c r="H3242" s="17" t="str">
        <x:v>Computer Science Research Labs</x:v>
      </x:c>
      <x:c r="I3242" s="17" t="str">
        <x:v>Brandeis University</x:v>
      </x:c>
      <x:c r="J3242" s="17" t="str">
        <x:v>official</x:v>
      </x:c>
      <x:c r="K3242" s="17" t="str">
        <x:v>2026-09-11</x:v>
      </x:c>
      <x:c r="L3242" s="17" t="str">
        <x:v>2026</x:v>
      </x:c>
      <x:c r="M3242" s="17" t="str">
        <x:v>high</x:v>
      </x:c>
      <x:c r="N3242" s="17" t="str">
        <x:v>verified</x:v>
      </x:c>
      <x:c r="O3242" s="17" t="str">
        <x:v>Live official page checked 2026-09-11; lab activity is not recruiting evidence.</x:v>
      </x:c>
      <x:c r="P3242" s="18" t="e">
        <x:f>HYPERLINK("https://www.brandeis.edu/computer-science/research/index.html","Open source")</x:f>
        <x:v>HYPERLINK is not implemented. linkLocation=https://www.brandeis.edu/computer-science/research/index.html, friendlyName=Open source</x:v>
      </x:c>
    </x:row>
    <x:row r="3243" ht="46" customHeight="1">
      <x:c r="A3243" s="17" t="str">
        <x:v>stage4src:92b4d594b9438529</x:v>
      </x:c>
      <x:c r="B3243" s="17" t="str">
        <x:v>professor</x:v>
      </x:c>
      <x:c r="C3243" s="17" t="str">
        <x:v>Virginia Polytechnic Institute and State University</x:v>
      </x:c>
      <x:c r="D3243" s="17" t="str">
        <x:v>us:ipeds:233921:program:phd:computer-science-phd</x:v>
      </x:c>
      <x:c r="E3243" s="17" t="str">
        <x:v>us:ipeds:233921:faculty:na-meng</x:v>
      </x:c>
      <x:c r="F3243" s="17" t="str">
        <x:v>current appointment|program supervision authority|research themes</x:v>
      </x:c>
      <x:c r="G3243" s="17" t="str">
        <x:v>Na Meng has a current verified appointment and verified authority to supervise this program.</x:v>
      </x:c>
      <x:c r="H3243" s="17" t="str">
        <x:v>Na Meng</x:v>
      </x:c>
      <x:c r="I3243" s="17" t="str">
        <x:v>Virginia Polytechnic Institute and State University</x:v>
      </x:c>
      <x:c r="J3243" s="17" t="str">
        <x:v>official</x:v>
      </x:c>
      <x:c r="K3243" s="17" t="str">
        <x:v>2026-09-11</x:v>
      </x:c>
      <x:c r="L3243" s="17" t="str"/>
      <x:c r="M3243" s="17" t="str">
        <x:v>high</x:v>
      </x:c>
      <x:c r="N3243" s="17" t="str">
        <x:v>verified</x:v>
      </x:c>
      <x:c r="O3243" s="17" t="str">
        <x:v>Carried from verified regional deep-review evidence.</x:v>
      </x:c>
      <x:c r="P3243" s="18" t="e">
        <x:f>HYPERLINK("https://website.cs.vt.edu/people/faculty/na-ming.html","Open source")</x:f>
        <x:v>HYPERLINK is not implemented. linkLocation=https://website.cs.vt.edu/people/faculty/na-ming.html, friendlyName=Open source</x:v>
      </x:c>
    </x:row>
    <x:row r="3244" ht="46" customHeight="1">
      <x:c r="A3244" s="17" t="str">
        <x:v>stage4src:92d4ef18b200da37</x:v>
      </x:c>
      <x:c r="B3244" s="17" t="str">
        <x:v>professor</x:v>
      </x:c>
      <x:c r="C3244" s="17" t="str">
        <x:v>University of Connecticut</x:v>
      </x:c>
      <x:c r="D3244" s="17" t="str">
        <x:v>us:ipeds:129020:program:phd:computer-science-and-engineering-phd</x:v>
      </x:c>
      <x:c r="E3244" s="17" t="str">
        <x:v>us:ipeds:129020:faculty:amir-herzberg</x:v>
      </x:c>
      <x:c r="F3244" s="17" t="str">
        <x:v>major-advisor authority|supervision framework</x:v>
      </x:c>
      <x:c r="G3244" s="17" t="str">
        <x:v>UConn appoints graduate faculty at the appropriate level and field to authorize service as major advisor.</x:v>
      </x:c>
      <x:c r="H3244" s="17" t="str">
        <x:v>Graduate Faculty Appointment</x:v>
      </x:c>
      <x:c r="I3244" s="17" t="str">
        <x:v>University of Connecticut</x:v>
      </x:c>
      <x:c r="J3244" s="17" t="str">
        <x:v>official</x:v>
      </x:c>
      <x:c r="K3244" s="17" t="str">
        <x:v>2026-09-11</x:v>
      </x:c>
      <x:c r="L3244" s="17" t="str">
        <x:v>2026</x:v>
      </x:c>
      <x:c r="M3244" s="17" t="str">
        <x:v>high</x:v>
      </x:c>
      <x:c r="N3244" s="17" t="str">
        <x:v>verified</x:v>
      </x:c>
      <x:c r="O3244" s="17" t="str">
        <x:v>Live policy checked 2026-09-11.</x:v>
      </x:c>
      <x:c r="P3244" s="18" t="e">
        <x:f>HYPERLINK("https://grad.uconn.edu/faculty/faculty-appointment/","Open source")</x:f>
        <x:v>HYPERLINK is not implemented. linkLocation=https://grad.uconn.edu/faculty/faculty-appointment/, friendlyName=Open source</x:v>
      </x:c>
    </x:row>
    <x:row r="3245" ht="46" customHeight="1">
      <x:c r="A3245" s="17" t="str">
        <x:v>stage4src:93224523f6063942</x:v>
      </x:c>
      <x:c r="B3245" s="17" t="str">
        <x:v>professor</x:v>
      </x:c>
      <x:c r="C3245" s="17" t="str">
        <x:v>New Mexico Institute of Mining and Technology</x:v>
      </x:c>
      <x:c r="D3245" s="17" t="str">
        <x:v>us:ipeds:187967:program:phd:doctor-of-philosophy-in-computer-science</x:v>
      </x:c>
      <x:c r="E3245" s="17" t="str">
        <x:v>us:ipeds:187967:faculty:dongwan-shin</x:v>
      </x:c>
      <x:c r="F3245" s="17" t="str">
        <x:v>doctoral program|faculty advising|supervision context</x:v>
      </x:c>
      <x:c r="G3245" s="17" t="str">
        <x:v>New Mexico Tech documents the Computer Science PhD and its faculty advisory and dissertation structure.</x:v>
      </x:c>
      <x:c r="H3245" s="17" t="str">
        <x:v>Computer Science Graduate Program</x:v>
      </x:c>
      <x:c r="I3245" s="17" t="str">
        <x:v>New Mexico Institute of Mining and Technology</x:v>
      </x:c>
      <x:c r="J3245" s="17" t="str">
        <x:v>official</x:v>
      </x:c>
      <x:c r="K3245" s="17" t="str">
        <x:v>2026-09-11</x:v>
      </x:c>
      <x:c r="L3245" s="17" t="str">
        <x:v>2026</x:v>
      </x:c>
      <x:c r="M3245" s="17" t="str">
        <x:v>high</x:v>
      </x:c>
      <x:c r="N3245" s="17" t="str">
        <x:v>verified</x:v>
      </x:c>
      <x:c r="O3245" s="17" t="str">
        <x:v>Live official program page checked 2026-09-11.</x:v>
      </x:c>
      <x:c r="P3245" s="18" t="e">
        <x:f>HYPERLINK("https://www.nmt.edu/academics/compsci/graduate.php","Open source")</x:f>
        <x:v>HYPERLINK is not implemented. linkLocation=https://www.nmt.edu/academics/compsci/graduate.php, friendlyName=Open source</x:v>
      </x:c>
    </x:row>
    <x:row r="3246" ht="46" customHeight="1">
      <x:c r="A3246" s="17" t="str">
        <x:v>stage4src:93b92993dc70a166</x:v>
      </x:c>
      <x:c r="B3246" s="17" t="str">
        <x:v>professor</x:v>
      </x:c>
      <x:c r="C3246" s="17" t="str">
        <x:v>University of Guelph</x:v>
      </x:c>
      <x:c r="D3246" s="17" t="str">
        <x:v>ca:dli:O19305391192:program:phd:phd-in-computer-science</x:v>
      </x:c>
      <x:c r="E3246" s="17" t="str">
        <x:v>ca:dli:O19305391192:faculty:wenjing-zhang</x:v>
      </x:c>
      <x:c r="F3246" s="17" t="str">
        <x:v>current appointment|email|research themes|recent projects|explicit position availability</x:v>
      </x:c>
      <x:c r="G3246" s="17" t="str">
        <x:v>Guelph lists Zhang as a current tenure-track Assistant Professor, provides her email, describes 2025 generative-AI security projects, and marks graduate positions available.</x:v>
      </x:c>
      <x:c r="H3246" s="17" t="str">
        <x:v>Wenjing Zhang</x:v>
      </x:c>
      <x:c r="I3246" s="17" t="str">
        <x:v>University of Guelph</x:v>
      </x:c>
      <x:c r="J3246" s="17" t="str">
        <x:v>official</x:v>
      </x:c>
      <x:c r="K3246" s="17" t="str">
        <x:v>2026-09-11</x:v>
      </x:c>
      <x:c r="L3246" s="17" t="str">
        <x:v>2026</x:v>
      </x:c>
      <x:c r="M3246" s="17" t="str">
        <x:v>high</x:v>
      </x:c>
      <x:c r="N3246" s="17" t="str">
        <x:v>verified</x:v>
      </x:c>
      <x:c r="O3246" s="17" t="str">
        <x:v>Live official profile checked 2026-09-10; position availability must be refreshed before outreach.</x:v>
      </x:c>
      <x:c r="P3246" s="18" t="e">
        <x:f>HYPERLINK("https://www.uoguelph.ca/profile/wenjing-zhang","Open source")</x:f>
        <x:v>HYPERLINK is not implemented. linkLocation=https://www.uoguelph.ca/profile/wenjing-zhang, friendlyName=Open source</x:v>
      </x:c>
    </x:row>
    <x:row r="3247" ht="46" customHeight="1">
      <x:c r="A3247" s="17" t="str">
        <x:v>stage4src:93fd9b1da6eb65d4</x:v>
      </x:c>
      <x:c r="B3247" s="17" t="str">
        <x:v>professor</x:v>
      </x:c>
      <x:c r="C3247" s="17" t="str">
        <x:v>The University of Texas at El Paso</x:v>
      </x:c>
      <x:c r="D3247" s="17" t="str">
        <x:v>us:ipeds:228796:program:phd:doctor-of-philosophy-in-computer-science</x:v>
      </x:c>
      <x:c r="E3247" s="17" t="str"/>
      <x:c r="F3247" s="17" t="str">
        <x:v>current faculty roster|candidate longlist</x:v>
      </x:c>
      <x:c r="G3247" s="17" t="str">
        <x:v>Current official department roster or research-area faculty listing used to identify the five-person Stage 4 candidate longlist.</x:v>
      </x:c>
      <x:c r="H3247" s="17" t="str">
        <x:v>The University of Texas at El Paso current faculty roster</x:v>
      </x:c>
      <x:c r="I3247" s="17" t="str">
        <x:v>The University of Texas at El Paso</x:v>
      </x:c>
      <x:c r="J3247" s="17" t="str">
        <x:v>official</x:v>
      </x:c>
      <x:c r="K3247" s="17" t="str">
        <x:v>2026-09-11</x:v>
      </x:c>
      <x:c r="L3247" s="17" t="str"/>
      <x:c r="M3247" s="17" t="str">
        <x:v>high</x:v>
      </x:c>
      <x:c r="N3247" s="17" t="str">
        <x:v>verified</x:v>
      </x:c>
      <x:c r="O3247" s="17" t="str">
        <x:v>Roster evidence establishes a current listing, not program-specific supervision authority or recruiting.</x:v>
      </x:c>
      <x:c r="P3247" s="18" t="e">
        <x:f>HYPERLINK("https://www.utep.edu/cs/people/","Open source")</x:f>
        <x:v>HYPERLINK is not implemented. linkLocation=https://www.utep.edu/cs/people/, friendlyName=Open source</x:v>
      </x:c>
    </x:row>
    <x:row r="3248" ht="46" customHeight="1">
      <x:c r="A3248" s="17" t="str">
        <x:v>stage4src:94a73add6fb11a83</x:v>
      </x:c>
      <x:c r="B3248" s="17" t="str">
        <x:v>professor</x:v>
      </x:c>
      <x:c r="C3248" s="17" t="str">
        <x:v>Texas A&amp;M University-College Station</x:v>
      </x:c>
      <x:c r="D3248" s="17" t="str">
        <x:v>us:ipeds:228723:program:phd:doctor-of-philosophy-in-computer-science</x:v>
      </x:c>
      <x:c r="E3248" s="17" t="str">
        <x:v>us:ipeds:228723:faculty:jeff-huang</x:v>
      </x:c>
      <x:c r="F3248" s="17" t="str">
        <x:v>program supervision context|doctoral route</x:v>
      </x:c>
      <x:c r="G3248" s="17" t="str">
        <x:v>The official page establishes the department's Computer Science PhD research route.</x:v>
      </x:c>
      <x:c r="H3248" s="17" t="str">
        <x:v>Ph.D. in Computer Science</x:v>
      </x:c>
      <x:c r="I3248" s="17" t="str">
        <x:v>Texas A&amp;M University-College Station</x:v>
      </x:c>
      <x:c r="J3248" s="17" t="str">
        <x:v>official</x:v>
      </x:c>
      <x:c r="K3248" s="17" t="str">
        <x:v>2026-09-11</x:v>
      </x:c>
      <x:c r="L3248" s="17" t="str">
        <x:v>2026</x:v>
      </x:c>
      <x:c r="M3248" s="17" t="str">
        <x:v>high</x:v>
      </x:c>
      <x:c r="N3248" s="17" t="str">
        <x:v>verified</x:v>
      </x:c>
      <x:c r="O3248" s="17" t="str">
        <x:v>Official program page checked 2026-09-11.</x:v>
      </x:c>
      <x:c r="P3248" s="18" t="e">
        <x:f>HYPERLINK("https://engineering.tamu.edu/cse/academics/degrees/graduate/phd-cs.html","Open source")</x:f>
        <x:v>HYPERLINK is not implemented. linkLocation=https://engineering.tamu.edu/cse/academics/degrees/graduate/phd-cs.html, friendlyName=Open source</x:v>
      </x:c>
    </x:row>
    <x:row r="3249" ht="46" customHeight="1">
      <x:c r="A3249" s="17" t="str">
        <x:v>stage4src:953030967dd62d30</x:v>
      </x:c>
      <x:c r="B3249" s="17" t="str">
        <x:v>professor</x:v>
      </x:c>
      <x:c r="C3249" s="17" t="str">
        <x:v>University of Massachusetts-Amherst</x:v>
      </x:c>
      <x:c r="D3249" s="17" t="str">
        <x:v>us:ipeds:166629:program:phd:computer-science-phd</x:v>
      </x:c>
      <x:c r="E3249" s="17" t="str"/>
      <x:c r="F3249" s="17" t="str">
        <x:v>current faculty roster|candidate longlist</x:v>
      </x:c>
      <x:c r="G3249" s="17" t="str">
        <x:v>Current official department roster or research-area faculty listing used to identify the five-person Stage 4 candidate longlist.</x:v>
      </x:c>
      <x:c r="H3249" s="17" t="str">
        <x:v>University of Massachusetts-Amherst current faculty roster</x:v>
      </x:c>
      <x:c r="I3249" s="17" t="str">
        <x:v>University of Massachusetts-Amherst</x:v>
      </x:c>
      <x:c r="J3249" s="17" t="str">
        <x:v>official</x:v>
      </x:c>
      <x:c r="K3249" s="17" t="str">
        <x:v>2026-09-11</x:v>
      </x:c>
      <x:c r="L3249" s="17" t="str"/>
      <x:c r="M3249" s="17" t="str">
        <x:v>high</x:v>
      </x:c>
      <x:c r="N3249" s="17" t="str">
        <x:v>verified</x:v>
      </x:c>
      <x:c r="O3249" s="17" t="str">
        <x:v>Roster evidence establishes a current listing, not program-specific supervision authority or recruiting.</x:v>
      </x:c>
      <x:c r="P3249" s="18" t="e">
        <x:f>HYPERLINK("https://www.cics.umass.edu/about/people","Open source")</x:f>
        <x:v>HYPERLINK is not implemented. linkLocation=https://www.cics.umass.edu/about/people, friendlyName=Open source</x:v>
      </x:c>
    </x:row>
    <x:row r="3250" ht="46" customHeight="1">
      <x:c r="A3250" s="17" t="str">
        <x:v>stage4src:95320863e6bfd83b</x:v>
      </x:c>
      <x:c r="B3250" s="17" t="str">
        <x:v>professor</x:v>
      </x:c>
      <x:c r="C3250" s="17" t="str">
        <x:v>Louisiana State University and Agricultural &amp; Mechanical College</x:v>
      </x:c>
      <x:c r="D3250" s="17" t="str">
        <x:v>us:ipeds:159391:program:phd:ph-d-in-computer-science-and-engineering</x:v>
      </x:c>
      <x:c r="E3250" s="17" t="str">
        <x:v>us:ipeds:159391:faculty:elias-bou-harb</x:v>
      </x:c>
      <x:c r="F3250" s="17" t="str">
        <x:v>current appointment|department|email|research themes|recent work|prospective contact|strong fit</x:v>
      </x:c>
      <x:c r="G3250" s="17" t="str">
        <x:v>The LSU-hosted page lists Bou-Harb as a tenured CSE Associate Professor and lab director and records planetary-scale network-security work, Jbeil 2024, and ChargePrint 2023.</x:v>
      </x:c>
      <x:c r="H3250" s="17" t="str">
        <x:v>Elias Bou-Harb - Cyber Threat Intelligence Lab</x:v>
      </x:c>
      <x:c r="I3250" s="17" t="str">
        <x:v>Louisiana State University and Agricultural &amp; Mechanical College</x:v>
      </x:c>
      <x:c r="J3250" s="17" t="str">
        <x:v>official</x:v>
      </x:c>
      <x:c r="K3250" s="17" t="str">
        <x:v>2026-09-11</x:v>
      </x:c>
      <x:c r="L3250" s="17" t="str">
        <x:v>2026</x:v>
      </x:c>
      <x:c r="M3250" s="17" t="str">
        <x:v>high</x:v>
      </x:c>
      <x:c r="N3250" s="17" t="str">
        <x:v>verified</x:v>
      </x:c>
      <x:c r="O3250" s="17" t="str">
        <x:v>Live university-hosted profile checked 2026-09-11; prospective contact is not an explicit opening.</x:v>
      </x:c>
      <x:c r="P3250" s="18" t="e">
        <x:f>HYPERLINK("https://www.csc.lsu.edu/~ebouharb/","Open source")</x:f>
        <x:v>HYPERLINK is not implemented. linkLocation=https://www.csc.lsu.edu/~ebouharb/, friendlyName=Open source</x:v>
      </x:c>
    </x:row>
    <x:row r="3251" ht="46" customHeight="1">
      <x:c r="A3251" s="17" t="str">
        <x:v>stage4src:953726be5abe8e4d</x:v>
      </x:c>
      <x:c r="B3251" s="17" t="str">
        <x:v>professor</x:v>
      </x:c>
      <x:c r="C3251" s="17" t="str">
        <x:v>University of Missouri-Columbia</x:v>
      </x:c>
      <x:c r="D3251" s="17" t="str">
        <x:v>us:ipeds:178396:program:phd:phd-in-computer-science</x:v>
      </x:c>
      <x:c r="E3251" s="17" t="str">
        <x:v>us:ipeds:178396:faculty:rohit-chadha</x:v>
      </x:c>
      <x:c r="F3251" s="17" t="str">
        <x:v>current appointment|department|email|research themes</x:v>
      </x:c>
      <x:c r="G3251" s="17" t="str">
        <x:v>Missouri lists Chadha as a current EECS Associate Professor in formal methods, cybersecurity, and program analysis.</x:v>
      </x:c>
      <x:c r="H3251" s="17" t="str">
        <x:v>Rohit Chadha</x:v>
      </x:c>
      <x:c r="I3251" s="17" t="str">
        <x:v>University of Missouri-Columbia</x:v>
      </x:c>
      <x:c r="J3251" s="17" t="str">
        <x:v>official</x:v>
      </x:c>
      <x:c r="K3251" s="17" t="str">
        <x:v>2026-09-11</x:v>
      </x:c>
      <x:c r="L3251" s="17" t="str">
        <x:v>2026</x:v>
      </x:c>
      <x:c r="M3251" s="17" t="str">
        <x:v>high</x:v>
      </x:c>
      <x:c r="N3251" s="17" t="str">
        <x:v>verified</x:v>
      </x:c>
      <x:c r="O3251" s="17" t="str">
        <x:v>Live profile checked 2026-09-11.</x:v>
      </x:c>
      <x:c r="P3251" s="18" t="e">
        <x:f>HYPERLINK("https://engineering.missouri.edu/faculty/rohit-chadha/","Open source")</x:f>
        <x:v>HYPERLINK is not implemented. linkLocation=https://engineering.missouri.edu/faculty/rohit-chadha/, friendlyName=Open source</x:v>
      </x:c>
    </x:row>
    <x:row r="3252" ht="46" customHeight="1">
      <x:c r="A3252" s="17" t="str">
        <x:v>stage4src:95c7f292f4a450b0</x:v>
      </x:c>
      <x:c r="B3252" s="17" t="str">
        <x:v>professor</x:v>
      </x:c>
      <x:c r="C3252" s="17" t="str">
        <x:v>Trinity College Dublin</x:v>
      </x:c>
      <x:c r="D3252" s="17" t="str">
        <x:v>ror:02tyrky19:program:phd:phd-in-computer-science-and-statistics</x:v>
      </x:c>
      <x:c r="E3252" s="17" t="str">
        <x:v>ror:02tyrky19:faculty:siobh-n-clarke</x:v>
      </x:c>
      <x:c r="F3252" s="17" t="str">
        <x:v>current appointment|program supervision authority|research themes</x:v>
      </x:c>
      <x:c r="G3252" s="17" t="str">
        <x:v>Official institutional profile/group page used to verify current role and research themes</x:v>
      </x:c>
      <x:c r="H3252" s="17" t="str">
        <x:v>Siobhán Clarke — official evidence</x:v>
      </x:c>
      <x:c r="I3252" s="17" t="str">
        <x:v>Trinity College Dublin</x:v>
      </x:c>
      <x:c r="J3252" s="17" t="str">
        <x:v>official</x:v>
      </x:c>
      <x:c r="K3252" s="17" t="str">
        <x:v>2026-09-11</x:v>
      </x:c>
      <x:c r="L3252" s="17" t="str">
        <x:v>2024</x:v>
      </x:c>
      <x:c r="M3252" s="17" t="str">
        <x:v>high</x:v>
      </x:c>
      <x:c r="N3252" s="17" t="str">
        <x:v>verified</x:v>
      </x:c>
      <x:c r="O3252" s="17" t="str">
        <x:v>Search snippets were discovery only; final claim points to the official destination. Recheck cycle-specific facts when 2027 material opens.</x:v>
      </x:c>
      <x:c r="P3252" s="18" t="e">
        <x:f>HYPERLINK("https://www.tcd.ie/research/profiles/index.php?profile=sclarke&amp;prpublications=true","Open source")</x:f>
        <x:v>HYPERLINK is not implemented. linkLocation=https://www.tcd.ie/research/profiles/index.php?profile=sclarke&amp;prpublications=true, friendlyName=Open source</x:v>
      </x:c>
    </x:row>
    <x:row r="3253" ht="46" customHeight="1">
      <x:c r="A3253" s="17" t="str">
        <x:v>stage4src:95cc5195877f5020</x:v>
      </x:c>
      <x:c r="B3253" s="17" t="str">
        <x:v>professor</x:v>
      </x:c>
      <x:c r="C3253" s="17" t="str">
        <x:v>Temple University</x:v>
      </x:c>
      <x:c r="D3253" s="17" t="str">
        <x:v>us:ipeds:216339:program:phd:computer-and-information-science-phd</x:v>
      </x:c>
      <x:c r="E3253" s="17" t="str">
        <x:v>us:ipeds:216339:faculty:stephen-macneil</x:v>
      </x:c>
      <x:c r="F3253" s="17" t="str">
        <x:v>recruiting evidence|prospective instructions|active projects</x:v>
      </x:c>
      <x:c r="G3253" s="17" t="str">
        <x:v>The current page welcomes prospective PhD researchers and describes active research directions and contact expectations.</x:v>
      </x:c>
      <x:c r="H3253" s="17" t="str">
        <x:v>PhD Opportunities</x:v>
      </x:c>
      <x:c r="I3253" s="17" t="str">
        <x:v>Temple University</x:v>
      </x:c>
      <x:c r="J3253" s="17" t="str">
        <x:v>official</x:v>
      </x:c>
      <x:c r="K3253" s="17" t="str">
        <x:v>2026-09-11</x:v>
      </x:c>
      <x:c r="L3253" s="17" t="str">
        <x:v>2026</x:v>
      </x:c>
      <x:c r="M3253" s="17" t="str">
        <x:v>high</x:v>
      </x:c>
      <x:c r="N3253" s="17" t="str">
        <x:v>verified</x:v>
      </x:c>
      <x:c r="O3253" s="17" t="str">
        <x:v>Current faculty page checked 2026-09-11; exact Fall 2027 capacity remains unverified.</x:v>
      </x:c>
      <x:c r="P3253" s="18" t="e">
        <x:f>HYPERLINK("https://stevemacn.github.io/phd/","Open source")</x:f>
        <x:v>HYPERLINK is not implemented. linkLocation=https://stevemacn.github.io/phd/, friendlyName=Open source</x:v>
      </x:c>
    </x:row>
    <x:row r="3254" ht="46" customHeight="1">
      <x:c r="A3254" s="17" t="str">
        <x:v>stage4src:96355045dfc82666</x:v>
      </x:c>
      <x:c r="B3254" s="17" t="str">
        <x:v>professor</x:v>
      </x:c>
      <x:c r="C3254" s="17" t="str">
        <x:v>University of Massachusetts-Lowell</x:v>
      </x:c>
      <x:c r="D3254" s="17" t="str">
        <x:v>us:ipeds:166513:program:phd:doctor-of-philosophy-ph-d-in-computer-science</x:v>
      </x:c>
      <x:c r="E3254" s="17" t="str">
        <x:v>us:ipeds:166513:faculty:matteo-cimini</x:v>
      </x:c>
      <x:c r="F3254" s="17" t="str">
        <x:v>current appointment|department|email|research themes</x:v>
      </x:c>
      <x:c r="G3254" s="17" t="str">
        <x:v>UMass Lowell lists Cimini as a current Assistant Professor with programming-languages, formal-methods, theorem-proving, and concurrency interests.</x:v>
      </x:c>
      <x:c r="H3254" s="17" t="str">
        <x:v>Matteo Cimini</x:v>
      </x:c>
      <x:c r="I3254" s="17" t="str">
        <x:v>University of Massachusetts-Lowell</x:v>
      </x:c>
      <x:c r="J3254" s="17" t="str">
        <x:v>official</x:v>
      </x:c>
      <x:c r="K3254" s="17" t="str">
        <x:v>2026-09-11</x:v>
      </x:c>
      <x:c r="L3254" s="17" t="str">
        <x:v>2026</x:v>
      </x:c>
      <x:c r="M3254" s="17" t="str">
        <x:v>high</x:v>
      </x:c>
      <x:c r="N3254" s="17" t="str">
        <x:v>verified</x:v>
      </x:c>
      <x:c r="O3254" s="17" t="str">
        <x:v>Live official profile checked 2026-09-11.</x:v>
      </x:c>
      <x:c r="P3254" s="18" t="e">
        <x:f>HYPERLINK("https://www.uml.edu/sciences/computer-science/people/cimini-matteo.aspx","Open source")</x:f>
        <x:v>HYPERLINK is not implemented. linkLocation=https://www.uml.edu/sciences/computer-science/people/cimini-matteo.aspx, friendlyName=Open source</x:v>
      </x:c>
    </x:row>
    <x:row r="3255" ht="46" customHeight="1">
      <x:c r="A3255" s="17" t="str">
        <x:v>stage4src:9652e7997648c914</x:v>
      </x:c>
      <x:c r="B3255" s="17" t="str">
        <x:v>professor</x:v>
      </x:c>
      <x:c r="C3255" s="17" t="str">
        <x:v>University of Connecticut</x:v>
      </x:c>
      <x:c r="D3255" s="17" t="str">
        <x:v>us:ipeds:129020:program:phd:computer-science-and-engineering-phd</x:v>
      </x:c>
      <x:c r="E3255" s="17" t="str">
        <x:v>us:ipeds:129020:faculty:amir-herzberg</x:v>
      </x:c>
      <x:c r="F3255" s="17" t="str">
        <x:v>recent work|research fit</x:v>
      </x:c>
      <x:c r="G3255" s="17" t="str">
        <x:v>DBLP records Herzberg as coauthor of the 2025 NDSS paper on securing BGP.</x:v>
      </x:c>
      <x:c r="H3255" s="17" t="str">
        <x:v>Securing BGP ASAP</x:v>
      </x:c>
      <x:c r="I3255" s="17" t="str">
        <x:v>OpenAlex / cited venue</x:v>
      </x:c>
      <x:c r="J3255" s="17" t="str">
        <x:v>secondary</x:v>
      </x:c>
      <x:c r="K3255" s="17" t="str">
        <x:v>2026-09-11</x:v>
      </x:c>
      <x:c r="L3255" s="17" t="str">
        <x:v>2025</x:v>
      </x:c>
      <x:c r="M3255" s="17" t="str">
        <x:v>high</x:v>
      </x:c>
      <x:c r="N3255" s="17" t="str">
        <x:v>verified</x:v>
      </x:c>
      <x:c r="O3255" s="17" t="str">
        <x:v>Scholarly metadata checked 2026-09-11.</x:v>
      </x:c>
      <x:c r="P3255" s="18" t="e">
        <x:f>HYPERLINK("https://dblp.org/rec/conf/ndss/FurunessMMK0H25","Open source")</x:f>
        <x:v>HYPERLINK is not implemented. linkLocation=https://dblp.org/rec/conf/ndss/FurunessMMK0H25, friendlyName=Open source</x:v>
      </x:c>
    </x:row>
    <x:row r="3256" ht="46" customHeight="1">
      <x:c r="A3256" s="17" t="str">
        <x:v>stage4src:969d640b524af6a4</x:v>
      </x:c>
      <x:c r="B3256" s="17" t="str">
        <x:v>professor</x:v>
      </x:c>
      <x:c r="C3256" s="17" t="str">
        <x:v>Brown University</x:v>
      </x:c>
      <x:c r="D3256" s="17" t="str">
        <x:v>us:ipeds:217156:program:phd:computer-science-phd</x:v>
      </x:c>
      <x:c r="E3256" s="17" t="str">
        <x:v>us:ipeds:217156:faculty:malte-schwarzkopf</x:v>
      </x:c>
      <x:c r="F3256" s="17" t="str">
        <x:v>current appointment|program supervision authority|research themes</x:v>
      </x:c>
      <x:c r="G3256" s="17" t="str">
        <x:v>Current Brown CS Associate Professor profile documents systems, privacy-compliant software, current students, and current research directions.</x:v>
      </x:c>
      <x:c r="H3256" s="17" t="str">
        <x:v>Malte Schwarzkopf</x:v>
      </x:c>
      <x:c r="I3256" s="17" t="str">
        <x:v>Brown University</x:v>
      </x:c>
      <x:c r="J3256" s="17" t="str">
        <x:v>official</x:v>
      </x:c>
      <x:c r="K3256" s="17" t="str">
        <x:v>2026-09-11</x:v>
      </x:c>
      <x:c r="L3256" s="17" t="str">
        <x:v>2026</x:v>
      </x:c>
      <x:c r="M3256" s="17" t="str">
        <x:v>high</x:v>
      </x:c>
      <x:c r="N3256" s="17" t="str">
        <x:v>verified</x:v>
      </x:c>
      <x:c r="O3256" s="17" t="str">
        <x:v>Official faculty profile checked 2026-09-10.</x:v>
      </x:c>
      <x:c r="P3256" s="18" t="e">
        <x:f>HYPERLINK("https://cs.brown.edu/people/malte/","Open source")</x:f>
        <x:v>HYPERLINK is not implemented. linkLocation=https://cs.brown.edu/people/malte/, friendlyName=Open source</x:v>
      </x:c>
    </x:row>
    <x:row r="3257" ht="46" customHeight="1">
      <x:c r="A3257" s="17" t="str">
        <x:v>stage4src:96c0341f1a428323</x:v>
      </x:c>
      <x:c r="B3257" s="17" t="str">
        <x:v>professor</x:v>
      </x:c>
      <x:c r="C3257" s="17" t="str">
        <x:v>New Mexico Institute of Mining and Technology</x:v>
      </x:c>
      <x:c r="D3257" s="17" t="str">
        <x:v>us:ipeds:187967:program:phd:doctor-of-philosophy-in-computer-science</x:v>
      </x:c>
      <x:c r="E3257" s="17" t="str"/>
      <x:c r="F3257" s="17" t="str">
        <x:v>current faculty roster|candidate longlist</x:v>
      </x:c>
      <x:c r="G3257" s="17" t="str">
        <x:v>Current official department roster or research-area faculty listing used to identify the five-person Stage 4 candidate longlist.</x:v>
      </x:c>
      <x:c r="H3257" s="17" t="str">
        <x:v>New Mexico Institute of Mining and Technology current faculty roster</x:v>
      </x:c>
      <x:c r="I3257" s="17" t="str">
        <x:v>New Mexico Institute of Mining and Technology</x:v>
      </x:c>
      <x:c r="J3257" s="17" t="str">
        <x:v>official</x:v>
      </x:c>
      <x:c r="K3257" s="17" t="str">
        <x:v>2026-09-11</x:v>
      </x:c>
      <x:c r="L3257" s="17" t="str"/>
      <x:c r="M3257" s="17" t="str">
        <x:v>high</x:v>
      </x:c>
      <x:c r="N3257" s="17" t="str">
        <x:v>verified</x:v>
      </x:c>
      <x:c r="O3257" s="17" t="str">
        <x:v>Roster evidence establishes a current listing, not program-specific supervision authority or recruiting.</x:v>
      </x:c>
      <x:c r="P3257" s="18" t="e">
        <x:f>HYPERLINK("https://www.cs.nmt.edu/faculty/","Open source")</x:f>
        <x:v>HYPERLINK is not implemented. linkLocation=https://www.cs.nmt.edu/faculty/, friendlyName=Open source</x:v>
      </x:c>
    </x:row>
    <x:row r="3258" ht="46" customHeight="1">
      <x:c r="A3258" s="17" t="str">
        <x:v>stage4src:96c45bfc7da609c4</x:v>
      </x:c>
      <x:c r="B3258" s="17" t="str">
        <x:v>professor</x:v>
      </x:c>
      <x:c r="C3258" s="17" t="str">
        <x:v>Drexel University</x:v>
      </x:c>
      <x:c r="D3258" s="17" t="str">
        <x:v>us:ipeds:212054:program:phd:phd-in-computer-science</x:v>
      </x:c>
      <x:c r="E3258" s="17" t="str">
        <x:v>us:ipeds:212054:faculty:yuanfang-cai</x:v>
      </x:c>
      <x:c r="F3258" s="17" t="str">
        <x:v>program supervision context|research partnership</x:v>
      </x:c>
      <x:c r="G3258" s="17" t="str">
        <x:v>The PhD is conducted through state-of-the-art research in partnership with Computer Science faculty.</x:v>
      </x:c>
      <x:c r="H3258" s="17" t="str">
        <x:v>PhD in Computer Science</x:v>
      </x:c>
      <x:c r="I3258" s="17" t="str">
        <x:v>Drexel University</x:v>
      </x:c>
      <x:c r="J3258" s="17" t="str">
        <x:v>official</x:v>
      </x:c>
      <x:c r="K3258" s="17" t="str">
        <x:v>2026-09-11</x:v>
      </x:c>
      <x:c r="L3258" s="17" t="str">
        <x:v>2026</x:v>
      </x:c>
      <x:c r="M3258" s="17" t="str">
        <x:v>high</x:v>
      </x:c>
      <x:c r="N3258" s="17" t="str">
        <x:v>verified</x:v>
      </x:c>
      <x:c r="O3258" s="17" t="str">
        <x:v>Live official program page checked 2026-09-11.</x:v>
      </x:c>
      <x:c r="P3258" s="18" t="e">
        <x:f>HYPERLINK("https://drexel.edu/cci/academics/doctoral-programs/phd-computer-science/","Open source")</x:f>
        <x:v>HYPERLINK is not implemented. linkLocation=https://drexel.edu/cci/academics/doctoral-programs/phd-computer-science/, friendlyName=Open source</x:v>
      </x:c>
    </x:row>
    <x:row r="3259" ht="46" customHeight="1">
      <x:c r="A3259" s="17" t="str">
        <x:v>stage4src:96ee3418c6bfcaf1</x:v>
      </x:c>
      <x:c r="B3259" s="17" t="str">
        <x:v>professor</x:v>
      </x:c>
      <x:c r="C3259" s="17" t="str">
        <x:v>Portland State University</x:v>
      </x:c>
      <x:c r="D3259" s="17" t="str">
        <x:v>us:ipeds:209807:program:phd:doctoral-degree-in-computer-science-ph-d</x:v>
      </x:c>
      <x:c r="E3259" s="17" t="str">
        <x:v>us:ipeds:209807:faculty:fei-xie</x:v>
      </x:c>
      <x:c r="F3259" s="17" t="str">
        <x:v>recent direction|AI for software engineering|testing|debugging</x:v>
      </x:c>
      <x:c r="G3259" s="17" t="str">
        <x:v>Xie's 2026 graduate course examines LLM agents in requirements, code generation, testing, and debugging.</x:v>
      </x:c>
      <x:c r="H3259" s="17" t="str">
        <x:v>Agentic Software Engineering</x:v>
      </x:c>
      <x:c r="I3259" s="17" t="str">
        <x:v>Portland State University</x:v>
      </x:c>
      <x:c r="J3259" s="17" t="str">
        <x:v>official</x:v>
      </x:c>
      <x:c r="K3259" s="17" t="str">
        <x:v>2026-09-11</x:v>
      </x:c>
      <x:c r="L3259" s="17" t="str">
        <x:v>2026</x:v>
      </x:c>
      <x:c r="M3259" s="17" t="str">
        <x:v>high</x:v>
      </x:c>
      <x:c r="N3259" s="17" t="str">
        <x:v>verified</x:v>
      </x:c>
      <x:c r="O3259" s="17" t="str">
        <x:v>University-hosted course page checked 2026-09-11.</x:v>
      </x:c>
      <x:c r="P3259" s="18" t="e">
        <x:f>HYPERLINK("https://web.cecs.pdx.edu/~xie/ase-w26/ase-w26.htm","Open source")</x:f>
        <x:v>HYPERLINK is not implemented. linkLocation=https://web.cecs.pdx.edu/~xie/ase-w26/ase-w26.htm, friendlyName=Open source</x:v>
      </x:c>
    </x:row>
    <x:row r="3260" ht="46" customHeight="1">
      <x:c r="A3260" s="17" t="str">
        <x:v>stage4src:9707f5313d2cfd02</x:v>
      </x:c>
      <x:c r="B3260" s="17" t="str">
        <x:v>professor</x:v>
      </x:c>
      <x:c r="C3260" s="17" t="str">
        <x:v>University of Edinburgh</x:v>
      </x:c>
      <x:c r="D3260" s="17" t="str">
        <x:v>ror:01nrxwf90:program:phd:phd-informatics</x:v>
      </x:c>
      <x:c r="E3260" s="17" t="str">
        <x:v>ror:01nrxwf90:faculty:david-aspinall</x:v>
      </x:c>
      <x:c r="F3260" s="17" t="str">
        <x:v>current appointment|program supervision authority|research themes</x:v>
      </x:c>
      <x:c r="G3260" s="17" t="str">
        <x:v>Official institutional profile/group page used to verify current role and research themes</x:v>
      </x:c>
      <x:c r="H3260" s="17" t="str">
        <x:v>David Aspinall — official evidence</x:v>
      </x:c>
      <x:c r="I3260" s="17" t="str">
        <x:v>University of Edinburgh</x:v>
      </x:c>
      <x:c r="J3260" s="17" t="str">
        <x:v>official</x:v>
      </x:c>
      <x:c r="K3260" s="17" t="str">
        <x:v>2026-09-11</x:v>
      </x:c>
      <x:c r="L3260" s="17" t="str">
        <x:v>2025</x:v>
      </x:c>
      <x:c r="M3260" s="17" t="str">
        <x:v>high</x:v>
      </x:c>
      <x:c r="N3260" s="17" t="str">
        <x:v>verified</x:v>
      </x:c>
      <x:c r="O3260" s="17" t="str">
        <x:v>Search snippets were discovery only; final claim points to the official destination. Recheck cycle-specific facts when 2027 material opens.</x:v>
      </x:c>
      <x:c r="P3260" s="18" t="e">
        <x:f>HYPERLINK("https://www.research.ed.ac.uk/en/persons/david-aspinall/","Open source")</x:f>
        <x:v>HYPERLINK is not implemented. linkLocation=https://www.research.ed.ac.uk/en/persons/david-aspinall/, friendlyName=Open source</x:v>
      </x:c>
    </x:row>
    <x:row r="3261" ht="46" customHeight="1">
      <x:c r="A3261" s="17" t="str">
        <x:v>stage4src:9783ab4bc129e086</x:v>
      </x:c>
      <x:c r="B3261" s="17" t="str">
        <x:v>professor</x:v>
      </x:c>
      <x:c r="C3261" s="17" t="str">
        <x:v>McMaster University</x:v>
      </x:c>
      <x:c r="D3261" s="17" t="str">
        <x:v>ca:dli:O19395535729:program:thesis-or-research-master-s:software-engineering-masc</x:v>
      </x:c>
      <x:c r="E3261" s="17" t="str">
        <x:v>ca:dli:O19395535729:faculty:richard-paige</x:v>
      </x:c>
      <x:c r="F3261" s="17" t="str">
        <x:v>current supervision authority|research fit|email</x:v>
      </x:c>
      <x:c r="G3261" s="17" t="str">
        <x:v>The current graduate research directory lists Paige with software engineering, safety, model-driven engineering, security, formal methods, cloud, and search-based software engineering projects and his official email.</x:v>
      </x:c>
      <x:c r="H3261" s="17" t="str">
        <x:v>Computing and Software Graduate Research Projects</x:v>
      </x:c>
      <x:c r="I3261" s="17" t="str">
        <x:v>McMaster University</x:v>
      </x:c>
      <x:c r="J3261" s="17" t="str">
        <x:v>official</x:v>
      </x:c>
      <x:c r="K3261" s="17" t="str">
        <x:v>2026-09-11</x:v>
      </x:c>
      <x:c r="L3261" s="17" t="str">
        <x:v>2026</x:v>
      </x:c>
      <x:c r="M3261" s="17" t="str">
        <x:v>high</x:v>
      </x:c>
      <x:c r="N3261" s="17" t="str">
        <x:v>verified</x:v>
      </x:c>
      <x:c r="O3261" s="17" t="str">
        <x:v>Current official graduate research page checked 2026-09-10.</x:v>
      </x:c>
      <x:c r="P3261" s="18" t="e">
        <x:f>HYPERLINK("https://www.eng.mcmaster.ca/future-students/future-graduate-students/graduate-research-projects/computing-and-software/","Open source")</x:f>
        <x:v>HYPERLINK is not implemented. linkLocation=https://www.eng.mcmaster.ca/future-students/future-graduate-students/graduate-research-projects/computing-and-software/, friendlyName=Open source</x:v>
      </x:c>
    </x:row>
    <x:row r="3262" ht="46" customHeight="1">
      <x:c r="A3262" s="17" t="str">
        <x:v>stage4src:97f9e4836b691b49</x:v>
      </x:c>
      <x:c r="B3262" s="17" t="str">
        <x:v>professor</x:v>
      </x:c>
      <x:c r="C3262" s="17" t="str">
        <x:v>Concordia University</x:v>
      </x:c>
      <x:c r="D3262" s="17" t="str">
        <x:v>ca:dli:O19359011007:program:thesis-or-research-master-s:software-engineering-masc</x:v>
      </x:c>
      <x:c r="E3262" s="17" t="str">
        <x:v>ca:dli:O19359011007:faculty:shin-hwei-tan</x:v>
      </x:c>
      <x:c r="F3262" s="17" t="str">
        <x:v>current appointment|Software Engineering MASc supervision authority|research themes|email|recruiting status</x:v>
      </x:c>
      <x:c r="G3262" s="17" t="str">
        <x:v>The current profile identifies Tan as Associate Professor and Gina Cody Research Chair, lists Software Engineering MASc supervision, labels her Seeking students, and records automated repair and testing research.</x:v>
      </x:c>
      <x:c r="H3262" s="17" t="str">
        <x:v>Shin Hwei Tan</x:v>
      </x:c>
      <x:c r="I3262" s="17" t="str">
        <x:v>Concordia University</x:v>
      </x:c>
      <x:c r="J3262" s="17" t="str">
        <x:v>official</x:v>
      </x:c>
      <x:c r="K3262" s="17" t="str">
        <x:v>2026-09-11</x:v>
      </x:c>
      <x:c r="L3262" s="17" t="str">
        <x:v>2026</x:v>
      </x:c>
      <x:c r="M3262" s="17" t="str">
        <x:v>high</x:v>
      </x:c>
      <x:c r="N3262" s="17" t="str">
        <x:v>verified</x:v>
      </x:c>
      <x:c r="O3262" s="17" t="str">
        <x:v>Current official profile checked 2026-09-10.</x:v>
      </x:c>
      <x:c r="P3262" s="18" t="e">
        <x:f>HYPERLINK("https://www.concordia.ca/faculty/shinhwei-tan.html","Open source")</x:f>
        <x:v>HYPERLINK is not implemented. linkLocation=https://www.concordia.ca/faculty/shinhwei-tan.html, friendlyName=Open source</x:v>
      </x:c>
    </x:row>
    <x:row r="3263" ht="46" customHeight="1">
      <x:c r="A3263" s="17" t="str">
        <x:v>stage4src:985dcd5a77033329</x:v>
      </x:c>
      <x:c r="B3263" s="17" t="str">
        <x:v>professor</x:v>
      </x:c>
      <x:c r="C3263" s="17" t="str">
        <x:v>University of Wisconsin-Milwaukee</x:v>
      </x:c>
      <x:c r="D3263" s="17" t="str">
        <x:v>us:ipeds:240453:program:phd:computer-science-phd</x:v>
      </x:c>
      <x:c r="E3263" s="17" t="str">
        <x:v>us:ipeds:240453:faculty:tian-zhao</x:v>
      </x:c>
      <x:c r="F3263" s="17" t="str">
        <x:v>recent work|research fit</x:v>
      </x:c>
      <x:c r="G3263" s="17" t="str">
        <x:v>The page records 2025-2026 work on agentic partial evaluation, entity-component semantics, and federated-learning libraries.</x:v>
      </x:c>
      <x:c r="H3263" s="17" t="str">
        <x:v>Tian Zhao research</x:v>
      </x:c>
      <x:c r="I3263" s="17" t="str">
        <x:v>University of Wisconsin-Milwaukee</x:v>
      </x:c>
      <x:c r="J3263" s="17" t="str">
        <x:v>official</x:v>
      </x:c>
      <x:c r="K3263" s="17" t="str">
        <x:v>2026-09-11</x:v>
      </x:c>
      <x:c r="L3263" s="17" t="str">
        <x:v>2026</x:v>
      </x:c>
      <x:c r="M3263" s="17" t="str">
        <x:v>high</x:v>
      </x:c>
      <x:c r="N3263" s="17" t="str">
        <x:v>verified</x:v>
      </x:c>
      <x:c r="O3263" s="17" t="str">
        <x:v>Live university-hosted page checked 2026-09-11.</x:v>
      </x:c>
      <x:c r="P3263" s="18" t="e">
        <x:f>HYPERLINK("https://boyang.cs.uwm.edu/research.html","Open source")</x:f>
        <x:v>HYPERLINK is not implemented. linkLocation=https://boyang.cs.uwm.edu/research.html, friendlyName=Open source</x:v>
      </x:c>
    </x:row>
    <x:row r="3264" ht="46" customHeight="1">
      <x:c r="A3264" s="17" t="str">
        <x:v>stage4src:987fd5b4acb7aa47</x:v>
      </x:c>
      <x:c r="B3264" s="17" t="str">
        <x:v>professor</x:v>
      </x:c>
      <x:c r="C3264" s="17" t="str">
        <x:v>University of Gothenburg</x:v>
      </x:c>
      <x:c r="D3264" s="17" t="str">
        <x:v>ror:01tm6cn81:program:thesis-or-research-master-s:software-engineering-and-management-master-s-programme</x:v>
      </x:c>
      <x:c r="E3264" s="17" t="str">
        <x:v>ror:01tm6cn81:faculty:miroslaw-staron</x:v>
      </x:c>
      <x:c r="F3264" s="17" t="str">
        <x:v>current appointment|research themes|email|recent work</x:v>
      </x:c>
      <x:c r="G3264" s="17" t="str">
        <x:v>Gothenburg lists Staron as a current Software Engineering Professor, provides his email and research focus, and lists current 2025 publications.</x:v>
      </x:c>
      <x:c r="H3264" s="17" t="str">
        <x:v>Miroslaw Staron</x:v>
      </x:c>
      <x:c r="I3264" s="17" t="str">
        <x:v>University of Gothenburg</x:v>
      </x:c>
      <x:c r="J3264" s="17" t="str">
        <x:v>official</x:v>
      </x:c>
      <x:c r="K3264" s="17" t="str">
        <x:v>2026-09-11</x:v>
      </x:c>
      <x:c r="L3264" s="17" t="str">
        <x:v>2026</x:v>
      </x:c>
      <x:c r="M3264" s="17" t="str">
        <x:v>high</x:v>
      </x:c>
      <x:c r="N3264" s="17" t="str">
        <x:v>verified</x:v>
      </x:c>
      <x:c r="O3264" s="17" t="str">
        <x:v>Current official profile checked 2026-09-10.</x:v>
      </x:c>
      <x:c r="P3264" s="18" t="e">
        <x:f>HYPERLINK("https://www.gu.se/en/about/find-staff/miroslawstaron","Open source")</x:f>
        <x:v>HYPERLINK is not implemented. linkLocation=https://www.gu.se/en/about/find-staff/miroslawstaron, friendlyName=Open source</x:v>
      </x:c>
    </x:row>
    <x:row r="3265" ht="46" customHeight="1">
      <x:c r="A3265" s="17" t="str">
        <x:v>stage4src:98a5a509267179f9</x:v>
      </x:c>
      <x:c r="B3265" s="17" t="str">
        <x:v>professor</x:v>
      </x:c>
      <x:c r="C3265" s="17" t="str">
        <x:v>University of Alabama at Birmingham</x:v>
      </x:c>
      <x:c r="D3265" s="17" t="str">
        <x:v>us:ipeds:100663:program:phd:ph-d-in-computer-science</x:v>
      </x:c>
      <x:c r="E3265" s="17" t="str">
        <x:v>us:ipeds:100663:faculty:ragib-hasan</x:v>
      </x:c>
      <x:c r="F3265" s="17" t="str">
        <x:v>prospective student instructions|contact appropriateness</x:v>
      </x:c>
      <x:c r="G3265" s="17" t="str">
        <x:v>Applicants identify research areas and associated faculty; faculty contact is permitted for research interests but prohibited for admission pre-evaluation or funding inquiries.</x:v>
      </x:c>
      <x:c r="H3265" s="17" t="str">
        <x:v>Doctoral Admissions</x:v>
      </x:c>
      <x:c r="I3265" s="17" t="str">
        <x:v>University of Alabama at Birmingham</x:v>
      </x:c>
      <x:c r="J3265" s="17" t="str">
        <x:v>official</x:v>
      </x:c>
      <x:c r="K3265" s="17" t="str">
        <x:v>2026-09-11</x:v>
      </x:c>
      <x:c r="L3265" s="17" t="str">
        <x:v>2026</x:v>
      </x:c>
      <x:c r="M3265" s="17" t="str">
        <x:v>high</x:v>
      </x:c>
      <x:c r="N3265" s="17" t="str">
        <x:v>verified</x:v>
      </x:c>
      <x:c r="O3265" s="17" t="str">
        <x:v>Current official admissions page checked 2026-09-10.</x:v>
      </x:c>
      <x:c r="P3265" s="18" t="e">
        <x:f>HYPERLINK("https://www.uab.edu/cas/computerscience/graduate-programs/doctoral-program/doctoral-admissions","Open source")</x:f>
        <x:v>HYPERLINK is not implemented. linkLocation=https://www.uab.edu/cas/computerscience/graduate-programs/doctoral-program/doctoral-admissions, friendlyName=Open source</x:v>
      </x:c>
    </x:row>
    <x:row r="3266" ht="46" customHeight="1">
      <x:c r="A3266" s="17" t="str">
        <x:v>stage4src:999fa28d6332b0ce</x:v>
      </x:c>
      <x:c r="B3266" s="17" t="str">
        <x:v>professor</x:v>
      </x:c>
      <x:c r="C3266" s="17" t="str">
        <x:v>Oklahoma State University-Main Campus</x:v>
      </x:c>
      <x:c r="D3266" s="17" t="str">
        <x:v>us:ipeds:207388:program:phd:doctor-of-philosophy-in-computer-science</x:v>
      </x:c>
      <x:c r="E3266" s="17" t="str">
        <x:v>us:ipeds:207388:faculty:cong-pu</x:v>
      </x:c>
      <x:c r="F3266" s="17" t="str">
        <x:v>recruiting status|prospective instructions|program supervision context</x:v>
      </x:c>
      <x:c r="G3266" s="17" t="str">
        <x:v>The official lab page says Pu seeks PhD students year-round and specifies inquiry materials and desired background.</x:v>
      </x:c>
      <x:c r="H3266" s="17" t="str">
        <x:v>SecNet research team and prospective students</x:v>
      </x:c>
      <x:c r="I3266" s="17" t="str">
        <x:v>Oklahoma State University-Main Campus</x:v>
      </x:c>
      <x:c r="J3266" s="17" t="str">
        <x:v>official</x:v>
      </x:c>
      <x:c r="K3266" s="17" t="str">
        <x:v>2026-09-11</x:v>
      </x:c>
      <x:c r="L3266" s="17" t="str">
        <x:v>2026</x:v>
      </x:c>
      <x:c r="M3266" s="17" t="str">
        <x:v>high</x:v>
      </x:c>
      <x:c r="N3266" s="17" t="str">
        <x:v>verified</x:v>
      </x:c>
      <x:c r="O3266" s="17" t="str">
        <x:v>Current statement checked 2026-09-11; Fall 2027 timing still requires direct confirmation.</x:v>
      </x:c>
      <x:c r="P3266" s="18" t="e">
        <x:f>HYPERLINK("https://cas.okstate.edu/computer_science/about_us/dr_pu_lab/research_team","Open source")</x:f>
        <x:v>HYPERLINK is not implemented. linkLocation=https://cas.okstate.edu/computer_science/about_us/dr_pu_lab/research_team, friendlyName=Open source</x:v>
      </x:c>
    </x:row>
    <x:row r="3267" ht="46" customHeight="1">
      <x:c r="A3267" s="17" t="str">
        <x:v>stage4src:99e648a0abf2b4f1</x:v>
      </x:c>
      <x:c r="B3267" s="17" t="str">
        <x:v>professor</x:v>
      </x:c>
      <x:c r="C3267" s="17" t="str">
        <x:v>Worcester Polytechnic Institute</x:v>
      </x:c>
      <x:c r="D3267" s="17" t="str">
        <x:v>us:ipeds:168421:program:phd:phd-in-computer-science</x:v>
      </x:c>
      <x:c r="E3267" s="17" t="str">
        <x:v>us:ipeds:168421:faculty:robert-j-walls</x:v>
      </x:c>
      <x:c r="F3267" s="17" t="str">
        <x:v>recent work|program supervision authority|compiler-assisted security</x:v>
      </x:c>
      <x:c r="G3267" s="17" t="str">
        <x:v>The April 2026 CS dissertation record lists Walls as advisor on firmware analysis and compiler-assisted transformations.</x:v>
      </x:c>
      <x:c r="H3267" s="17" t="str">
        <x:v>CS PhD Dissertation Defense: Securing Embedded Systems through Firmware Analysis and Compiler-Assisted Transformations</x:v>
      </x:c>
      <x:c r="I3267" s="17" t="str">
        <x:v>Worcester Polytechnic Institute</x:v>
      </x:c>
      <x:c r="J3267" s="17" t="str">
        <x:v>official</x:v>
      </x:c>
      <x:c r="K3267" s="17" t="str">
        <x:v>2026-09-11</x:v>
      </x:c>
      <x:c r="L3267" s="17" t="str">
        <x:v>2026</x:v>
      </x:c>
      <x:c r="M3267" s="17" t="str">
        <x:v>high</x:v>
      </x:c>
      <x:c r="N3267" s="17" t="str">
        <x:v>verified</x:v>
      </x:c>
      <x:c r="O3267" s="17" t="str">
        <x:v>Official defense record checked 2026-09-11.</x:v>
      </x:c>
      <x:c r="P3267" s="18" t="e">
        <x:f>HYPERLINK("https://www.wpi.edu/news/calendar/events/computer-science-department-phd-dissertation-defense-tongwei-ren-securing-embedded-system-through","Open source")</x:f>
        <x:v>HYPERLINK is not implemented. linkLocation=https://www.wpi.edu/news/calendar/events/computer-science-department-phd-dissertation-defense-tongwei-ren-securing-embedded-system-through, friendlyName=Open source</x:v>
      </x:c>
    </x:row>
    <x:row r="3268" ht="46" customHeight="1">
      <x:c r="A3268" s="17" t="str">
        <x:v>stage4src:9a354de43475c049</x:v>
      </x:c>
      <x:c r="B3268" s="17" t="str">
        <x:v>professor</x:v>
      </x:c>
      <x:c r="C3268" s="17" t="str">
        <x:v>Rensselaer Polytechnic Institute</x:v>
      </x:c>
      <x:c r="D3268" s="17" t="str">
        <x:v>us:ipeds:194824:program:phd:ph-d-in-computer-science</x:v>
      </x:c>
      <x:c r="E3268" s="17" t="str"/>
      <x:c r="F3268" s="17" t="str">
        <x:v>current faculty roster|candidate longlist</x:v>
      </x:c>
      <x:c r="G3268" s="17" t="str">
        <x:v>Current official department roster or research-area faculty listing used to identify the five-person Stage 4 candidate longlist.</x:v>
      </x:c>
      <x:c r="H3268" s="17" t="str">
        <x:v>Rensselaer Polytechnic Institute current faculty roster</x:v>
      </x:c>
      <x:c r="I3268" s="17" t="str">
        <x:v>Rensselaer Polytechnic Institute</x:v>
      </x:c>
      <x:c r="J3268" s="17" t="str">
        <x:v>official</x:v>
      </x:c>
      <x:c r="K3268" s="17" t="str">
        <x:v>2026-09-11</x:v>
      </x:c>
      <x:c r="L3268" s="17" t="str"/>
      <x:c r="M3268" s="17" t="str">
        <x:v>high</x:v>
      </x:c>
      <x:c r="N3268" s="17" t="str">
        <x:v>verified</x:v>
      </x:c>
      <x:c r="O3268" s="17" t="str">
        <x:v>Roster evidence establishes a current listing, not program-specific supervision authority or recruiting.</x:v>
      </x:c>
      <x:c r="P3268" s="18" t="e">
        <x:f>HYPERLINK("https://faculty.rpi.edu/departments/computer-science","Open source")</x:f>
        <x:v>HYPERLINK is not implemented. linkLocation=https://faculty.rpi.edu/departments/computer-science, friendlyName=Open source</x:v>
      </x:c>
    </x:row>
    <x:row r="3269" ht="46" customHeight="1">
      <x:c r="A3269" s="17" t="str">
        <x:v>stage4src:9a4f4356ff3d12fb</x:v>
      </x:c>
      <x:c r="B3269" s="17" t="str">
        <x:v>professor</x:v>
      </x:c>
      <x:c r="C3269" s="17" t="str">
        <x:v>Iowa State University</x:v>
      </x:c>
      <x:c r="D3269" s="17" t="str">
        <x:v>us:ipeds:153603:program:phd:computer-science-phd</x:v>
      </x:c>
      <x:c r="E3269" s="17" t="str">
        <x:v>us:ipeds:153603:faculty:myra-cohen</x:v>
      </x:c>
      <x:c r="F3269" s="17" t="str">
        <x:v>recent work|research fit</x:v>
      </x:c>
      <x:c r="G3269" s="17" t="str">
        <x:v>2024 configurable-software testing work</x:v>
      </x:c>
      <x:c r="H3269" s="17" t="str">
        <x:v>Recent Configurable Software Research</x:v>
      </x:c>
      <x:c r="I3269" s="17" t="str">
        <x:v>OpenAlex / cited venue</x:v>
      </x:c>
      <x:c r="J3269" s="17" t="str">
        <x:v>secondary</x:v>
      </x:c>
      <x:c r="K3269" s="17" t="str">
        <x:v>2026-09-11</x:v>
      </x:c>
      <x:c r="L3269" s="17" t="str">
        <x:v>2024</x:v>
      </x:c>
      <x:c r="M3269" s="17" t="str">
        <x:v>high</x:v>
      </x:c>
      <x:c r="N3269" s="17" t="str">
        <x:v>verified</x:v>
      </x:c>
      <x:c r="O3269" s="17" t="str">
        <x:v>DOI used as recent-work evidence; faculty page establishes current appointment.</x:v>
      </x:c>
      <x:c r="P3269" s="18" t="e">
        <x:f>HYPERLINK("https://doi.org/10.1145/3646548.3672597","Open source")</x:f>
        <x:v>HYPERLINK is not implemented. linkLocation=https://doi.org/10.1145/3646548.3672597, friendlyName=Open source</x:v>
      </x:c>
    </x:row>
    <x:row r="3270" ht="46" customHeight="1">
      <x:c r="A3270" s="17" t="str">
        <x:v>stage4src:9a86a3add46c181e</x:v>
      </x:c>
      <x:c r="B3270" s="17" t="str">
        <x:v>professor</x:v>
      </x:c>
      <x:c r="C3270" s="17" t="str">
        <x:v>University of Louisville</x:v>
      </x:c>
      <x:c r="D3270" s="17" t="str">
        <x:v>us:ipeds:157289:program:phd:doctor-of-philosophy-in-computer-science-and-engineering</x:v>
      </x:c>
      <x:c r="E3270" s="17" t="str">
        <x:v>us:ipeds:157289:faculty:roman-yampolskiy</x:v>
      </x:c>
      <x:c r="F3270" s="17" t="str">
        <x:v>program context|doctoral department|prospective instructions</x:v>
      </x:c>
      <x:c r="G3270" s="17" t="str">
        <x:v>The catalog establishes the research doctorate in Yampolskiy's Computer Science and Engineering department and directs program questions to the graduate director.</x:v>
      </x:c>
      <x:c r="H3270" s="17" t="str">
        <x:v>Computer Science and Engineering PhD</x:v>
      </x:c>
      <x:c r="I3270" s="17" t="str">
        <x:v>University of Louisville</x:v>
      </x:c>
      <x:c r="J3270" s="17" t="str">
        <x:v>official</x:v>
      </x:c>
      <x:c r="K3270" s="17" t="str">
        <x:v>2026-09-11</x:v>
      </x:c>
      <x:c r="L3270" s="17" t="str">
        <x:v>2026</x:v>
      </x:c>
      <x:c r="M3270" s="17" t="str">
        <x:v>high</x:v>
      </x:c>
      <x:c r="N3270" s="17" t="str">
        <x:v>verified</x:v>
      </x:c>
      <x:c r="O3270" s="17" t="str">
        <x:v>Live official catalog checked 2026-09-11.</x:v>
      </x:c>
      <x:c r="P3270" s="18" t="e">
        <x:f>HYPERLINK("https://catalog.louisville.edu/graduate/programs-study/doctor-philosophy-computer-science-engineering/","Open source")</x:f>
        <x:v>HYPERLINK is not implemented. linkLocation=https://catalog.louisville.edu/graduate/programs-study/doctor-philosophy-computer-science-engineering/, friendlyName=Open source</x:v>
      </x:c>
    </x:row>
    <x:row r="3271" ht="46" customHeight="1">
      <x:c r="A3271" s="17" t="str">
        <x:v>stage4src:9af686d016e936ae</x:v>
      </x:c>
      <x:c r="B3271" s="17" t="str">
        <x:v>professor</x:v>
      </x:c>
      <x:c r="C3271" s="17" t="str">
        <x:v>The University of Texas at Dallas</x:v>
      </x:c>
      <x:c r="D3271" s="17" t="str">
        <x:v>us:ipeds:228787:program:phd:computer-science-phd</x:v>
      </x:c>
      <x:c r="E3271" s="17" t="str">
        <x:v>us:ipeds:228787:faculty:w-eric-wong</x:v>
      </x:c>
      <x:c r="F3271" s="17" t="str">
        <x:v>current appointment|program supervision authority|research themes</x:v>
      </x:c>
      <x:c r="G3271" s="17" t="str">
        <x:v>W. Eric Wong has a current verified appointment and verified authority to supervise this program.</x:v>
      </x:c>
      <x:c r="H3271" s="17" t="str">
        <x:v>W. Eric Wong</x:v>
      </x:c>
      <x:c r="I3271" s="17" t="str">
        <x:v>The University of Texas at Dallas</x:v>
      </x:c>
      <x:c r="J3271" s="17" t="str">
        <x:v>official</x:v>
      </x:c>
      <x:c r="K3271" s="17" t="str">
        <x:v>2026-09-11</x:v>
      </x:c>
      <x:c r="L3271" s="17" t="str"/>
      <x:c r="M3271" s="17" t="str">
        <x:v>high</x:v>
      </x:c>
      <x:c r="N3271" s="17" t="str">
        <x:v>verified</x:v>
      </x:c>
      <x:c r="O3271" s="17" t="str">
        <x:v>Carried from verified regional deep-review evidence.</x:v>
      </x:c>
      <x:c r="P3271" s="18" t="e">
        <x:f>HYPERLINK("https://cs.utdallas.edu/people/faculty/","Open source")</x:f>
        <x:v>HYPERLINK is not implemented. linkLocation=https://cs.utdallas.edu/people/faculty/, friendlyName=Open source</x:v>
      </x:c>
    </x:row>
    <x:row r="3272" ht="46" customHeight="1">
      <x:c r="A3272" s="17" t="str">
        <x:v>stage4src:9b3eb666debfbad8</x:v>
      </x:c>
      <x:c r="B3272" s="17" t="str">
        <x:v>professor</x:v>
      </x:c>
      <x:c r="C3272" s="17" t="str">
        <x:v>York University</x:v>
      </x:c>
      <x:c r="D3272" s="17" t="str">
        <x:v>ca:dli:O19361109242:program:thesis-or-research-master-s:masc-in-electrical-and-computer-engineering</x:v>
      </x:c>
      <x:c r="E3272" s="17" t="str">
        <x:v>ca:dli:O19361109242:faculty:maleknaz-nayebi</x:v>
      </x:c>
      <x:c r="F3272" s="17" t="str">
        <x:v>research themes|student research leadership|research continuity</x:v>
      </x:c>
      <x:c r="G3272" s="17" t="str">
        <x:v>York documents Nayebi's empirical software-engineering, platform, release-planning, requirements, and student-led software-innovation program.</x:v>
      </x:c>
      <x:c r="H3272" s="17" t="str">
        <x:v>Maleknaz Nayebi</x:v>
      </x:c>
      <x:c r="I3272" s="17" t="str">
        <x:v>York University</x:v>
      </x:c>
      <x:c r="J3272" s="17" t="str">
        <x:v>official</x:v>
      </x:c>
      <x:c r="K3272" s="17" t="str">
        <x:v>2026-09-11</x:v>
      </x:c>
      <x:c r="L3272" s="17" t="str">
        <x:v>2026</x:v>
      </x:c>
      <x:c r="M3272" s="17" t="str">
        <x:v>high</x:v>
      </x:c>
      <x:c r="N3272" s="17" t="str">
        <x:v>verified</x:v>
      </x:c>
      <x:c r="O3272" s="17" t="str">
        <x:v>Live official center profile checked 2026-09-11.</x:v>
      </x:c>
      <x:c r="P3272" s="18" t="e">
        <x:f>HYPERLINK("https://lassonde.yorku.ca/ical/maleknaz-nayebi/","Open source")</x:f>
        <x:v>HYPERLINK is not implemented. linkLocation=https://lassonde.yorku.ca/ical/maleknaz-nayebi/, friendlyName=Open source</x:v>
      </x:c>
    </x:row>
    <x:row r="3273" ht="46" customHeight="1">
      <x:c r="A3273" s="17" t="str">
        <x:v>stage4src:9b976afa3deca6cf</x:v>
      </x:c>
      <x:c r="B3273" s="17" t="str">
        <x:v>professor</x:v>
      </x:c>
      <x:c r="C3273" s="17" t="str">
        <x:v>Vanderbilt University</x:v>
      </x:c>
      <x:c r="D3273" s="17" t="str">
        <x:v>us:ipeds:221999:program:phd:computer-science-phd</x:v>
      </x:c>
      <x:c r="E3273" s="17" t="str">
        <x:v>us:ipeds:221999:faculty:kevin-leach</x:v>
      </x:c>
      <x:c r="F3273" s="17" t="str">
        <x:v>current appointment|program supervision authority|research themes</x:v>
      </x:c>
      <x:c r="G3273" s="17" t="str">
        <x:v>Current appointment and dependable-software/security research</x:v>
      </x:c>
      <x:c r="H3273" s="17" t="str">
        <x:v>Kevin Leach</x:v>
      </x:c>
      <x:c r="I3273" s="17" t="str">
        <x:v>Vanderbilt University</x:v>
      </x:c>
      <x:c r="J3273" s="17" t="str">
        <x:v>official</x:v>
      </x:c>
      <x:c r="K3273" s="17" t="str">
        <x:v>2026-09-11</x:v>
      </x:c>
      <x:c r="L3273" s="17" t="str"/>
      <x:c r="M3273" s="17" t="str">
        <x:v>high</x:v>
      </x:c>
      <x:c r="N3273" s="17" t="str">
        <x:v>verified</x:v>
      </x:c>
      <x:c r="O3273" s="17" t="str"/>
      <x:c r="P3273" s="18" t="e">
        <x:f>HYPERLINK("https://computing.vanderbilt.edu/bio/kevin-leach/","Open source")</x:f>
        <x:v>HYPERLINK is not implemented. linkLocation=https://computing.vanderbilt.edu/bio/kevin-leach/, friendlyName=Open source</x:v>
      </x:c>
    </x:row>
    <x:row r="3274" ht="46" customHeight="1">
      <x:c r="A3274" s="17" t="str">
        <x:v>stage4src:9ca4c1ea583da10a</x:v>
      </x:c>
      <x:c r="B3274" s="17" t="str">
        <x:v>professor</x:v>
      </x:c>
      <x:c r="C3274" s="17" t="str">
        <x:v>University of Calgary</x:v>
      </x:c>
      <x:c r="D3274" s="17" t="str">
        <x:v>ca:dli:O18886830282:program:thesis-or-research-master-s:msc-in-computer-science-thesis</x:v>
      </x:c>
      <x:c r="E3274" s="17" t="str">
        <x:v>ca:dli:O18886830282:faculty:mahmoud-alfadel</x:v>
      </x:c>
      <x:c r="F3274" s="17" t="str">
        <x:v>current appointment|program supervision authority|research themes</x:v>
      </x:c>
      <x:c r="G3274" s="17" t="str">
        <x:v>Mahmoud Alfadel is current Assistant Professor researching build systems, releases, vulnerabilities and repository mining.</x:v>
      </x:c>
      <x:c r="H3274" s="17" t="str">
        <x:v>Mahmoud Alfadel</x:v>
      </x:c>
      <x:c r="I3274" s="17" t="str">
        <x:v>University of Calgary</x:v>
      </x:c>
      <x:c r="J3274" s="17" t="str">
        <x:v>official</x:v>
      </x:c>
      <x:c r="K3274" s="17" t="str">
        <x:v>2026-09-11</x:v>
      </x:c>
      <x:c r="L3274" s="17" t="str"/>
      <x:c r="M3274" s="17" t="str">
        <x:v>high</x:v>
      </x:c>
      <x:c r="N3274" s="17" t="str">
        <x:v>verified</x:v>
      </x:c>
      <x:c r="O3274" s="17" t="str">
        <x:v>No search snippet used as final evidence; URL/page content reviewed.</x:v>
      </x:c>
      <x:c r="P3274" s="18" t="e">
        <x:f>HYPERLINK("https://profiles.ucalgary.ca/mahmoud-alfadel","Open source")</x:f>
        <x:v>HYPERLINK is not implemented. linkLocation=https://profiles.ucalgary.ca/mahmoud-alfadel, friendlyName=Open source</x:v>
      </x:c>
    </x:row>
    <x:row r="3275" ht="46" customHeight="1">
      <x:c r="A3275" s="17" t="str">
        <x:v>stage4src:9d50609de3823055</x:v>
      </x:c>
      <x:c r="B3275" s="17" t="str">
        <x:v>professor</x:v>
      </x:c>
      <x:c r="C3275" s="17" t="str">
        <x:v>George Mason University</x:v>
      </x:c>
      <x:c r="D3275" s="17" t="str">
        <x:v>us:ipeds:232186:program:phd:computer-science-phd</x:v>
      </x:c>
      <x:c r="E3275" s="17" t="str"/>
      <x:c r="F3275" s="17" t="str">
        <x:v>current faculty roster|candidate longlist</x:v>
      </x:c>
      <x:c r="G3275" s="17" t="str">
        <x:v>Current official department roster or research-area faculty listing used to identify the five-person Stage 4 candidate longlist.</x:v>
      </x:c>
      <x:c r="H3275" s="17" t="str">
        <x:v>George Mason University current faculty roster</x:v>
      </x:c>
      <x:c r="I3275" s="17" t="str">
        <x:v>George Mason University</x:v>
      </x:c>
      <x:c r="J3275" s="17" t="str">
        <x:v>official</x:v>
      </x:c>
      <x:c r="K3275" s="17" t="str">
        <x:v>2026-09-11</x:v>
      </x:c>
      <x:c r="L3275" s="17" t="str"/>
      <x:c r="M3275" s="17" t="str">
        <x:v>high</x:v>
      </x:c>
      <x:c r="N3275" s="17" t="str">
        <x:v>verified</x:v>
      </x:c>
      <x:c r="O3275" s="17" t="str">
        <x:v>Roster evidence establishes a current listing, not program-specific supervision authority or recruiting.</x:v>
      </x:c>
      <x:c r="P3275" s="18" t="e">
        <x:f>HYPERLINK("https://cs.gmu.edu/research/software-engineering","Open source")</x:f>
        <x:v>HYPERLINK is not implemented. linkLocation=https://cs.gmu.edu/research/software-engineering, friendlyName=Open source</x:v>
      </x:c>
    </x:row>
    <x:row r="3276" ht="46" customHeight="1">
      <x:c r="A3276" s="17" t="str">
        <x:v>stage4src:9db5a9b5bd4d4f4a</x:v>
      </x:c>
      <x:c r="B3276" s="17" t="str">
        <x:v>professor</x:v>
      </x:c>
      <x:c r="C3276" s="17" t="str">
        <x:v>Florida Atlantic University</x:v>
      </x:c>
      <x:c r="D3276" s="17" t="str">
        <x:v>us:ipeds:133669:program:phd:doctor-of-philosophy-with-major-in-computer-science</x:v>
      </x:c>
      <x:c r="E3276" s="17" t="str"/>
      <x:c r="F3276" s="17" t="str">
        <x:v>current faculty roster|candidate longlist</x:v>
      </x:c>
      <x:c r="G3276" s="17" t="str">
        <x:v>Current official department roster or research-area faculty listing used to identify the five-person Stage 4 candidate longlist.</x:v>
      </x:c>
      <x:c r="H3276" s="17" t="str">
        <x:v>Florida Atlantic University current faculty roster</x:v>
      </x:c>
      <x:c r="I3276" s="17" t="str">
        <x:v>Florida Atlantic University</x:v>
      </x:c>
      <x:c r="J3276" s="17" t="str">
        <x:v>official</x:v>
      </x:c>
      <x:c r="K3276" s="17" t="str">
        <x:v>2026-09-11</x:v>
      </x:c>
      <x:c r="L3276" s="17" t="str"/>
      <x:c r="M3276" s="17" t="str">
        <x:v>high</x:v>
      </x:c>
      <x:c r="N3276" s="17" t="str">
        <x:v>verified</x:v>
      </x:c>
      <x:c r="O3276" s="17" t="str">
        <x:v>Roster evidence establishes a current listing, not program-specific supervision authority or recruiting.</x:v>
      </x:c>
      <x:c r="P3276" s="18" t="e">
        <x:f>HYPERLINK("https://www.fau.edu/engineering/eecs/research/research-interests/","Open source")</x:f>
        <x:v>HYPERLINK is not implemented. linkLocation=https://www.fau.edu/engineering/eecs/research/research-interests/, friendlyName=Open source</x:v>
      </x:c>
    </x:row>
    <x:row r="3277" ht="46" customHeight="1">
      <x:c r="A3277" s="17" t="str">
        <x:v>stage4src:9e225068ee1ec511</x:v>
      </x:c>
      <x:c r="B3277" s="17" t="str">
        <x:v>professor</x:v>
      </x:c>
      <x:c r="C3277" s="17" t="str">
        <x:v>Brown University</x:v>
      </x:c>
      <x:c r="D3277" s="17" t="str">
        <x:v>us:ipeds:217156:program:phd:computer-science-phd</x:v>
      </x:c>
      <x:c r="E3277" s="17" t="str"/>
      <x:c r="F3277" s="17" t="str">
        <x:v>current faculty roster|candidate longlist</x:v>
      </x:c>
      <x:c r="G3277" s="17" t="str">
        <x:v>Current official department roster or research-area faculty listing used to identify the five-person Stage 4 candidate longlist.</x:v>
      </x:c>
      <x:c r="H3277" s="17" t="str">
        <x:v>Brown University current faculty roster</x:v>
      </x:c>
      <x:c r="I3277" s="17" t="str">
        <x:v>Brown University</x:v>
      </x:c>
      <x:c r="J3277" s="17" t="str">
        <x:v>official</x:v>
      </x:c>
      <x:c r="K3277" s="17" t="str">
        <x:v>2026-09-11</x:v>
      </x:c>
      <x:c r="L3277" s="17" t="str"/>
      <x:c r="M3277" s="17" t="str">
        <x:v>high</x:v>
      </x:c>
      <x:c r="N3277" s="17" t="str">
        <x:v>verified</x:v>
      </x:c>
      <x:c r="O3277" s="17" t="str">
        <x:v>Roster evidence establishes a current listing, not program-specific supervision authority or recruiting.</x:v>
      </x:c>
      <x:c r="P3277" s="18" t="e">
        <x:f>HYPERLINK("https://cs.brown.edu/people/faculty/","Open source")</x:f>
        <x:v>HYPERLINK is not implemented. linkLocation=https://cs.brown.edu/people/faculty/, friendlyName=Open source</x:v>
      </x:c>
    </x:row>
    <x:row r="3278" ht="46" customHeight="1">
      <x:c r="A3278" s="17" t="str">
        <x:v>stage4src:9e43ed044513969a</x:v>
      </x:c>
      <x:c r="B3278" s="17" t="str">
        <x:v>professor</x:v>
      </x:c>
      <x:c r="C3278" s="17" t="str">
        <x:v>University of Saskatchewan</x:v>
      </x:c>
      <x:c r="D3278" s="17" t="str">
        <x:v>ca:dli:O19425660421:program:thesis-or-research-master-s:msc-in-computer-science-thesis</x:v>
      </x:c>
      <x:c r="E3278" s="17" t="str">
        <x:v>ca:dli:O19425660421:faculty:chanchal-k-roy</x:v>
      </x:c>
      <x:c r="F3278" s="17" t="str">
        <x:v>recent work|research fit</x:v>
      </x:c>
      <x:c r="G3278" s="17" t="str">
        <x:v>Recent work supports the recorded TerraProbe/Evidex research overlap for Chanchal K. Roy.</x:v>
      </x:c>
      <x:c r="H3278" s="17" t="str">
        <x:v>Recent scholarly work</x:v>
      </x:c>
      <x:c r="I3278" s="17" t="str">
        <x:v>OpenAlex / cited venue</x:v>
      </x:c>
      <x:c r="J3278" s="17" t="str">
        <x:v>secondary</x:v>
      </x:c>
      <x:c r="K3278" s="17" t="str">
        <x:v>2026-09-11</x:v>
      </x:c>
      <x:c r="L3278" s="17" t="str">
        <x:v>2026</x:v>
      </x:c>
      <x:c r="M3278" s="17" t="str">
        <x:v>high</x:v>
      </x:c>
      <x:c r="N3278" s="17" t="str">
        <x:v>verified</x:v>
      </x:c>
      <x:c r="O3278" s="17" t="str">
        <x:v>Carried from verified regional deep-review evidence.</x:v>
      </x:c>
      <x:c r="P3278" s="18" t="e">
        <x:f>HYPERLINK("https://clones.usask.ca/publication/","Open source")</x:f>
        <x:v>HYPERLINK is not implemented. linkLocation=https://clones.usask.ca/publication/, friendlyName=Open source</x:v>
      </x:c>
    </x:row>
    <x:row r="3279" ht="46" customHeight="1">
      <x:c r="A3279" s="17" t="str">
        <x:v>stage4src:9e87d434aba6d1fc</x:v>
      </x:c>
      <x:c r="B3279" s="17" t="str">
        <x:v>professor</x:v>
      </x:c>
      <x:c r="C3279" s="17" t="str">
        <x:v>North Dakota State University-Main Campus</x:v>
      </x:c>
      <x:c r="D3279" s="17" t="str">
        <x:v>us:ipeds:200332:program:phd:ph-d-in-software-and-security-engineering</x:v>
      </x:c>
      <x:c r="E3279" s="17" t="str">
        <x:v>us:ipeds:200332:faculty:muhammad-zubair-malik</x:v>
      </x:c>
      <x:c r="F3279" s="17" t="str">
        <x:v>current appointment|research themes|email</x:v>
      </x:c>
      <x:c r="G3279" s="17" t="str">
        <x:v>The current roster identifies Malik as Assistant Professor, gives his NDSU email, and lists program analysis, repair, secure development, verification, testing, and formal-methods research.</x:v>
      </x:c>
      <x:c r="H3279" s="17" t="str">
        <x:v>Computer Science Faculty</x:v>
      </x:c>
      <x:c r="I3279" s="17" t="str">
        <x:v>North Dakota State University-Main Campus</x:v>
      </x:c>
      <x:c r="J3279" s="17" t="str">
        <x:v>official</x:v>
      </x:c>
      <x:c r="K3279" s="17" t="str">
        <x:v>2026-09-11</x:v>
      </x:c>
      <x:c r="L3279" s="17" t="str">
        <x:v>2026</x:v>
      </x:c>
      <x:c r="M3279" s="17" t="str">
        <x:v>high</x:v>
      </x:c>
      <x:c r="N3279" s="17" t="str">
        <x:v>verified</x:v>
      </x:c>
      <x:c r="O3279" s="17" t="str">
        <x:v>Current official roster checked 2026-09-10.</x:v>
      </x:c>
      <x:c r="P3279" s="18" t="e">
        <x:f>HYPERLINK("https://www.ndsu.edu/cs/people/faculty/","Open source")</x:f>
        <x:v>HYPERLINK is not implemented. linkLocation=https://www.ndsu.edu/cs/people/faculty/, friendlyName=Open source</x:v>
      </x:c>
    </x:row>
    <x:row r="3280" ht="46" customHeight="1">
      <x:c r="A3280" s="17" t="str">
        <x:v>stage4src:9e9144761a5a560a</x:v>
      </x:c>
      <x:c r="B3280" s="17" t="str">
        <x:v>professor</x:v>
      </x:c>
      <x:c r="C3280" s="17" t="str">
        <x:v>Georgia State University</x:v>
      </x:c>
      <x:c r="D3280" s="17" t="str">
        <x:v>us:ipeds:139940:program:phd:computer-science-phd</x:v>
      </x:c>
      <x:c r="E3280" s="17" t="str">
        <x:v>us:ipeds:139940:faculty:wei-lisa-li</x:v>
      </x:c>
      <x:c r="F3280" s="17" t="str">
        <x:v>recent work|privacy-preserving computing|distributed data|strong fit</x:v>
      </x:c>
      <x:c r="G3280" s="17" t="str">
        <x:v>The publication record identifies Li's 2025 work on distributed multi-source data synthesis and privacy-preserving multimodal analysis.</x:v>
      </x:c>
      <x:c r="H3280" s="17" t="str">
        <x:v>Wei (Lisa) Li Publications</x:v>
      </x:c>
      <x:c r="I3280" s="17" t="str">
        <x:v>Georgia State University</x:v>
      </x:c>
      <x:c r="J3280" s="17" t="str">
        <x:v>official</x:v>
      </x:c>
      <x:c r="K3280" s="17" t="str">
        <x:v>2026-09-11</x:v>
      </x:c>
      <x:c r="L3280" s="17" t="str">
        <x:v>2025</x:v>
      </x:c>
      <x:c r="M3280" s="17" t="str">
        <x:v>high</x:v>
      </x:c>
      <x:c r="N3280" s="17" t="str">
        <x:v>verified</x:v>
      </x:c>
      <x:c r="O3280" s="17" t="str">
        <x:v>University-hosted record checked 2026-09-11.</x:v>
      </x:c>
      <x:c r="P3280" s="18" t="e">
        <x:f>HYPERLINK("https://tinman.cs.gsu.edu/~wli28/publication.html","Open source")</x:f>
        <x:v>HYPERLINK is not implemented. linkLocation=https://tinman.cs.gsu.edu/~wli28/publication.html, friendlyName=Open source</x:v>
      </x:c>
    </x:row>
    <x:row r="3281" ht="46" customHeight="1">
      <x:c r="A3281" s="17" t="str">
        <x:v>stage4src:9e9f15facfc73ae1</x:v>
      </x:c>
      <x:c r="B3281" s="17" t="str">
        <x:v>professor</x:v>
      </x:c>
      <x:c r="C3281" s="17" t="str">
        <x:v>St. Francis Xavier University</x:v>
      </x:c>
      <x:c r="D3281" s="17" t="str">
        <x:v>ca:dli:O19391556899:program:thesis-or-research-master-s:master-of-science-in-computer-science</x:v>
      </x:c>
      <x:c r="E3281" s="17" t="str">
        <x:v>ca:dli:O19391556899:faculty:taylor-j-smith</x:v>
      </x:c>
      <x:c r="F3281" s="17" t="str">
        <x:v>recent work|automata|complexity|strong fit</x:v>
      </x:c>
      <x:c r="G3281" s="17" t="str">
        <x:v>The 2025 journal work supports algorithmic approximation and formal-language decision-problem overlap.</x:v>
      </x:c>
      <x:c r="H3281" s="17" t="str">
        <x:v>Improved Randomized Approximation of Hard Universality and Emptiness Problems</x:v>
      </x:c>
      <x:c r="I3281" s="17" t="str">
        <x:v>OpenAlex / cited venue</x:v>
      </x:c>
      <x:c r="J3281" s="17" t="str">
        <x:v>secondary</x:v>
      </x:c>
      <x:c r="K3281" s="17" t="str">
        <x:v>2026-09-11</x:v>
      </x:c>
      <x:c r="L3281" s="17" t="str">
        <x:v>2025</x:v>
      </x:c>
      <x:c r="M3281" s="17" t="str">
        <x:v>high</x:v>
      </x:c>
      <x:c r="N3281" s="17" t="str">
        <x:v>verified</x:v>
      </x:c>
      <x:c r="O3281" s="17" t="str">
        <x:v>Author publication record and arXiv metadata checked 2026-09-11.</x:v>
      </x:c>
      <x:c r="P3281" s="18" t="e">
        <x:f>HYPERLINK("https://arxiv.org/abs/2403.08707","Open source")</x:f>
        <x:v>HYPERLINK is not implemented. linkLocation=https://arxiv.org/abs/2403.08707, friendlyName=Open source</x:v>
      </x:c>
    </x:row>
    <x:row r="3282" ht="46" customHeight="1">
      <x:c r="A3282" s="17" t="str">
        <x:v>stage4src:9f42d47d9cae6e82</x:v>
      </x:c>
      <x:c r="B3282" s="17" t="str">
        <x:v>professor</x:v>
      </x:c>
      <x:c r="C3282" s="17" t="str">
        <x:v>University of Calgary</x:v>
      </x:c>
      <x:c r="D3282" s="17" t="str">
        <x:v>ca:dli:O18886830282:program:direct-entry-phd:phd-in-computer-science-without-completed-msc</x:v>
      </x:c>
      <x:c r="E3282" s="17" t="str">
        <x:v>ca:dli:O18886830282:faculty:gias-uddin</x:v>
      </x:c>
      <x:c r="F3282" s="17" t="str">
        <x:v>discovery publication signal|recent work</x:v>
      </x:c>
      <x:c r="G3282" s="17" t="str">
        <x:v>Publication metadata was examined for shortlist triage only; publication-time affiliation does not establish current appointment, supervision authority, or recruiting.</x:v>
      </x:c>
      <x:c r="H3282" s="17" t="str">
        <x:v>OpenAlex publication signal for Gias Uddin</x:v>
      </x:c>
      <x:c r="I3282" s="17" t="str">
        <x:v>OpenAlex / cited venue</x:v>
      </x:c>
      <x:c r="J3282" s="17" t="str">
        <x:v>secondary</x:v>
      </x:c>
      <x:c r="K3282" s="17" t="str">
        <x:v>2026-09-11</x:v>
      </x:c>
      <x:c r="L3282" s="17" t="str"/>
      <x:c r="M3282" s="17" t="str">
        <x:v>medium</x:v>
      </x:c>
      <x:c r="N3282" s="17" t="str">
        <x:v>discovery_only</x:v>
      </x:c>
      <x:c r="O3282" s="17" t="str">
        <x:v>Not used to award a professor score or faculty-depth point.</x:v>
      </x:c>
      <x:c r="P3282" s="18" t="e">
        <x:f>HYPERLINK("https://openalex.org/A5067154597","Open source")</x:f>
        <x:v>HYPERLINK is not implemented. linkLocation=https://openalex.org/A5067154597, friendlyName=Open source</x:v>
      </x:c>
    </x:row>
    <x:row r="3283" ht="46" customHeight="1">
      <x:c r="A3283" s="17" t="str">
        <x:v>stage4src:9f53e23a37f5cc29</x:v>
      </x:c>
      <x:c r="B3283" s="17" t="str">
        <x:v>professor</x:v>
      </x:c>
      <x:c r="C3283" s="17" t="str">
        <x:v>Michigan Technological University</x:v>
      </x:c>
      <x:c r="D3283" s="17" t="str">
        <x:v>us:ipeds:171128:program:phd:computer-science-phd</x:v>
      </x:c>
      <x:c r="E3283" s="17" t="str">
        <x:v>us:ipeds:171128:faculty:jie-wu</x:v>
      </x:c>
      <x:c r="F3283" s="17" t="str">
        <x:v>current appointment|email|research themes|recent work</x:v>
      </x:c>
      <x:c r="G3283" s="17" t="str">
        <x:v>Michigan Tech lists Wu as a current Computer Science Assistant Professor and documents 2024-2025 work on LLM code generation, benchmarking, and code analysis.</x:v>
      </x:c>
      <x:c r="H3283" s="17" t="str">
        <x:v>Jie Wu</x:v>
      </x:c>
      <x:c r="I3283" s="17" t="str">
        <x:v>Michigan Technological University</x:v>
      </x:c>
      <x:c r="J3283" s="17" t="str">
        <x:v>official</x:v>
      </x:c>
      <x:c r="K3283" s="17" t="str">
        <x:v>2026-09-11</x:v>
      </x:c>
      <x:c r="L3283" s="17" t="str">
        <x:v>2026</x:v>
      </x:c>
      <x:c r="M3283" s="17" t="str">
        <x:v>high</x:v>
      </x:c>
      <x:c r="N3283" s="17" t="str">
        <x:v>verified</x:v>
      </x:c>
      <x:c r="O3283" s="17" t="str">
        <x:v>Live official profile checked 2026-09-11.</x:v>
      </x:c>
      <x:c r="P3283" s="18" t="e">
        <x:f>HYPERLINK("https://www-cf.mtu.edu/cs/department/people/faculty/wu/index.html","Open source")</x:f>
        <x:v>HYPERLINK is not implemented. linkLocation=https://www-cf.mtu.edu/cs/department/people/faculty/wu/index.html, friendlyName=Open source</x:v>
      </x:c>
    </x:row>
    <x:row r="3284" ht="46" customHeight="1">
      <x:c r="A3284" s="17" t="str">
        <x:v>stage4src:a01f5ea6e3f9ab1b</x:v>
      </x:c>
      <x:c r="B3284" s="17" t="str">
        <x:v>professor</x:v>
      </x:c>
      <x:c r="C3284" s="17" t="str">
        <x:v>Pennsylvania State University-Main Campus</x:v>
      </x:c>
      <x:c r="D3284" s="17" t="str">
        <x:v>us:ipeds:214777:program:phd:computer-science-and-engineering-phd</x:v>
      </x:c>
      <x:c r="E3284" s="17" t="str"/>
      <x:c r="F3284" s="17" t="str">
        <x:v>current faculty roster|candidate longlist</x:v>
      </x:c>
      <x:c r="G3284" s="17" t="str">
        <x:v>Current official department roster or research-area faculty listing used to identify the five-person Stage 4 candidate longlist.</x:v>
      </x:c>
      <x:c r="H3284" s="17" t="str">
        <x:v>Pennsylvania State University-Main Campus current faculty roster</x:v>
      </x:c>
      <x:c r="I3284" s="17" t="str">
        <x:v>Pennsylvania State University-Main Campus</x:v>
      </x:c>
      <x:c r="J3284" s="17" t="str">
        <x:v>official</x:v>
      </x:c>
      <x:c r="K3284" s="17" t="str">
        <x:v>2026-09-11</x:v>
      </x:c>
      <x:c r="L3284" s="17" t="str"/>
      <x:c r="M3284" s="17" t="str">
        <x:v>high</x:v>
      </x:c>
      <x:c r="N3284" s="17" t="str">
        <x:v>verified</x:v>
      </x:c>
      <x:c r="O3284" s="17" t="str">
        <x:v>Roster evidence establishes a current listing, not program-specific supervision authority or recruiting.</x:v>
      </x:c>
      <x:c r="P3284" s="18" t="e">
        <x:f>HYPERLINK("https://www.eecs.psu.edu/departments/cse-faculty-list.aspx","Open source")</x:f>
        <x:v>HYPERLINK is not implemented. linkLocation=https://www.eecs.psu.edu/departments/cse-faculty-list.aspx, friendlyName=Open source</x:v>
      </x:c>
    </x:row>
    <x:row r="3285" ht="46" customHeight="1">
      <x:c r="A3285" s="17" t="str">
        <x:v>stage4src:a0a7989b07005d41</x:v>
      </x:c>
      <x:c r="B3285" s="17" t="str">
        <x:v>professor</x:v>
      </x:c>
      <x:c r="C3285" s="17" t="str">
        <x:v>University of Wyoming</x:v>
      </x:c>
      <x:c r="D3285" s="17" t="str">
        <x:v>us:ipeds:240727:program:phd:phd-in-computer-science</x:v>
      </x:c>
      <x:c r="E3285" s="17" t="str">
        <x:v>us:ipeds:240727:faculty:yibo-wang</x:v>
      </x:c>
      <x:c r="F3285" s="17" t="str">
        <x:v>discovery publication signal|recent work</x:v>
      </x:c>
      <x:c r="G3285" s="17" t="str">
        <x:v>Publication metadata was examined for shortlist triage only; publication-time affiliation does not establish current appointment, supervision authority, or recruiting.</x:v>
      </x:c>
      <x:c r="H3285" s="17" t="str">
        <x:v>OpenAlex publication signal for Yibo Wang</x:v>
      </x:c>
      <x:c r="I3285" s="17" t="str">
        <x:v>OpenAlex / cited venue</x:v>
      </x:c>
      <x:c r="J3285" s="17" t="str">
        <x:v>secondary</x:v>
      </x:c>
      <x:c r="K3285" s="17" t="str">
        <x:v>2026-09-11</x:v>
      </x:c>
      <x:c r="L3285" s="17" t="str"/>
      <x:c r="M3285" s="17" t="str">
        <x:v>medium</x:v>
      </x:c>
      <x:c r="N3285" s="17" t="str">
        <x:v>discovery_only</x:v>
      </x:c>
      <x:c r="O3285" s="17" t="str">
        <x:v>Not used to award a professor score or faculty-depth point.</x:v>
      </x:c>
      <x:c r="P3285" s="18" t="e">
        <x:f>HYPERLINK("https://openalex.org/A5100354985","Open source")</x:f>
        <x:v>HYPERLINK is not implemented. linkLocation=https://openalex.org/A5100354985, friendlyName=Open source</x:v>
      </x:c>
    </x:row>
    <x:row r="3286" ht="46" customHeight="1">
      <x:c r="A3286" s="17" t="str">
        <x:v>stage4src:a109f303b2108ff2</x:v>
      </x:c>
      <x:c r="B3286" s="17" t="str">
        <x:v>professor</x:v>
      </x:c>
      <x:c r="C3286" s="17" t="str">
        <x:v>University of Louisville</x:v>
      </x:c>
      <x:c r="D3286" s="17" t="str">
        <x:v>us:ipeds:157289:program:phd:doctor-of-philosophy-in-computer-science-and-engineering</x:v>
      </x:c>
      <x:c r="E3286" s="17" t="str">
        <x:v>us:ipeds:157289:faculty:roman-yampolskiy</x:v>
      </x:c>
      <x:c r="F3286" s="17" t="str">
        <x:v>current appointment|active research direction|recent work</x:v>
      </x:c>
      <x:c r="G3286" s="17" t="str">
        <x:v>The July 2024 feature identifies Yampolskiy as a current associate professor conducting AI-safety and controllability research and discusses his 2024 book.</x:v>
      </x:c>
      <x:c r="H3286" s="17" t="str">
        <x:v>Q&amp;A: UofL AI safety expert says artificial superintelligence could harm humanity</x:v>
      </x:c>
      <x:c r="I3286" s="17" t="str">
        <x:v>University of Louisville</x:v>
      </x:c>
      <x:c r="J3286" s="17" t="str">
        <x:v>official</x:v>
      </x:c>
      <x:c r="K3286" s="17" t="str">
        <x:v>2026-09-11</x:v>
      </x:c>
      <x:c r="L3286" s="17" t="str">
        <x:v>2024</x:v>
      </x:c>
      <x:c r="M3286" s="17" t="str">
        <x:v>high</x:v>
      </x:c>
      <x:c r="N3286" s="17" t="str">
        <x:v>verified</x:v>
      </x:c>
      <x:c r="O3286" s="17" t="str">
        <x:v>Official research feature checked 2026-09-11.</x:v>
      </x:c>
      <x:c r="P3286" s="18" t="e">
        <x:f>HYPERLINK("https://news.louisville.edu/news/qa-uofl-ai-safety-expert-says-artificial-superintelligence-could-harm-humanity","Open source")</x:f>
        <x:v>HYPERLINK is not implemented. linkLocation=https://news.louisville.edu/news/qa-uofl-ai-safety-expert-says-artificial-superintelligence-could-harm-humanity, friendlyName=Open source</x:v>
      </x:c>
    </x:row>
    <x:row r="3287" ht="46" customHeight="1">
      <x:c r="A3287" s="17" t="str">
        <x:v>stage4src:a137e552ef33ed91</x:v>
      </x:c>
      <x:c r="B3287" s="17" t="str">
        <x:v>professor</x:v>
      </x:c>
      <x:c r="C3287" s="17" t="str">
        <x:v>Brock University</x:v>
      </x:c>
      <x:c r="D3287" s="17" t="str">
        <x:v>ca:dli:O19394569014:program:thesis-or-research-master-s:computer-science-msc-thesis-stream</x:v>
      </x:c>
      <x:c r="E3287" s="17" t="str"/>
      <x:c r="F3287" s="17" t="str">
        <x:v>current faculty roster|candidate longlist</x:v>
      </x:c>
      <x:c r="G3287" s="17" t="str">
        <x:v>Current official department roster or research-area faculty listing used to identify the five-person Stage 4 candidate longlist.</x:v>
      </x:c>
      <x:c r="H3287" s="17" t="str">
        <x:v>Brock University current faculty roster</x:v>
      </x:c>
      <x:c r="I3287" s="17" t="str">
        <x:v>Brock University</x:v>
      </x:c>
      <x:c r="J3287" s="17" t="str">
        <x:v>official</x:v>
      </x:c>
      <x:c r="K3287" s="17" t="str">
        <x:v>2026-09-11</x:v>
      </x:c>
      <x:c r="L3287" s="17" t="str"/>
      <x:c r="M3287" s="17" t="str">
        <x:v>high</x:v>
      </x:c>
      <x:c r="N3287" s="17" t="str">
        <x:v>verified</x:v>
      </x:c>
      <x:c r="O3287" s="17" t="str">
        <x:v>Roster evidence establishes a current listing, not program-specific supervision authority or recruiting.</x:v>
      </x:c>
      <x:c r="P3287" s="18" t="e">
        <x:f>HYPERLINK("https://brocku.ca/mathematics-science/computer-science/faculty-staff/","Open source")</x:f>
        <x:v>HYPERLINK is not implemented. linkLocation=https://brocku.ca/mathematics-science/computer-science/faculty-staff/, friendlyName=Open source</x:v>
      </x:c>
    </x:row>
    <x:row r="3288" ht="46" customHeight="1">
      <x:c r="A3288" s="17" t="str">
        <x:v>stage4src:a165e227be929c31</x:v>
      </x:c>
      <x:c r="B3288" s="17" t="str">
        <x:v>professor</x:v>
      </x:c>
      <x:c r="C3288" s="17" t="str">
        <x:v>Simon Fraser University</x:v>
      </x:c>
      <x:c r="D3288" s="17" t="str">
        <x:v>ca:dli:O18781994282:program:thesis-or-research-master-s:computing-science-master-of-science-thesis</x:v>
      </x:c>
      <x:c r="E3288" s="17" t="str">
        <x:v>ca:dli:O18781994282:faculty:saba-alimadadi</x:v>
      </x:c>
      <x:c r="F3288" s="17" t="str">
        <x:v>recruiting|contact instructions|program supervision authority</x:v>
      </x:c>
      <x:c r="G3288" s="17" t="str">
        <x:v>The current official SFU-hosted page explicitly invites graduate applicants and requests a CV, transcripts, and a brief research-interest statement.</x:v>
      </x:c>
      <x:c r="H3288" s="17" t="str">
        <x:v>Saba Alimadadi — prospective students</x:v>
      </x:c>
      <x:c r="I3288" s="17" t="str">
        <x:v>Simon Fraser University</x:v>
      </x:c>
      <x:c r="J3288" s="17" t="str">
        <x:v>official</x:v>
      </x:c>
      <x:c r="K3288" s="17" t="str">
        <x:v>2026-09-11</x:v>
      </x:c>
      <x:c r="L3288" s="17" t="str">
        <x:v>2026</x:v>
      </x:c>
      <x:c r="M3288" s="17" t="str">
        <x:v>high</x:v>
      </x:c>
      <x:c r="N3288" s="17" t="str">
        <x:v>verified</x:v>
      </x:c>
      <x:c r="O3288" s="17" t="str">
        <x:v>Direct current recruiting and contact instructions checked 2026-09-10.</x:v>
      </x:c>
      <x:c r="P3288" s="18" t="e">
        <x:f>HYPERLINK("https://www.sfu.ca/~saba/","Open source")</x:f>
        <x:v>HYPERLINK is not implemented. linkLocation=https://www.sfu.ca/~saba/, friendlyName=Open source</x:v>
      </x:c>
    </x:row>
    <x:row r="3289" ht="46" customHeight="1">
      <x:c r="A3289" s="17" t="str">
        <x:v>stage4src:a168f73727e60bf3</x:v>
      </x:c>
      <x:c r="B3289" s="17" t="str">
        <x:v>professor</x:v>
      </x:c>
      <x:c r="C3289" s="17" t="str">
        <x:v>George Mason University</x:v>
      </x:c>
      <x:c r="D3289" s="17" t="str">
        <x:v>us:ipeds:232186:program:phd:computer-science-phd</x:v>
      </x:c>
      <x:c r="E3289" s="17" t="str">
        <x:v>us:ipeds:232186:faculty:brittany-johnson-matthews</x:v>
      </x:c>
      <x:c r="F3289" s="17" t="str">
        <x:v>current appointment|program supervision authority|research themes</x:v>
      </x:c>
      <x:c r="G3289" s="17" t="str">
        <x:v>Current faculty research profile</x:v>
      </x:c>
      <x:c r="H3289" s="17" t="str">
        <x:v>Brittany Johnson-Matthews</x:v>
      </x:c>
      <x:c r="I3289" s="17" t="str">
        <x:v>George Mason University</x:v>
      </x:c>
      <x:c r="J3289" s="17" t="str">
        <x:v>official</x:v>
      </x:c>
      <x:c r="K3289" s="17" t="str">
        <x:v>2026-09-11</x:v>
      </x:c>
      <x:c r="L3289" s="17" t="str"/>
      <x:c r="M3289" s="17" t="str">
        <x:v>high</x:v>
      </x:c>
      <x:c r="N3289" s="17" t="str">
        <x:v>verified</x:v>
      </x:c>
      <x:c r="O3289" s="17" t="str"/>
      <x:c r="P3289" s="18" t="e">
        <x:f>HYPERLINK("https://people.cs.gmu.edu/~johnsonb/","Open source")</x:f>
        <x:v>HYPERLINK is not implemented. linkLocation=https://people.cs.gmu.edu/~johnsonb/, friendlyName=Open source</x:v>
      </x:c>
    </x:row>
    <x:row r="3290" ht="46" customHeight="1">
      <x:c r="A3290" s="17" t="str">
        <x:v>stage4src:a1c7be870c726233</x:v>
      </x:c>
      <x:c r="B3290" s="17" t="str">
        <x:v>professor</x:v>
      </x:c>
      <x:c r="C3290" s="17" t="str">
        <x:v>Howard University</x:v>
      </x:c>
      <x:c r="D3290" s="17" t="str">
        <x:v>us:ipeds:131520:program:phd:computer-science-ph-d</x:v>
      </x:c>
      <x:c r="E3290" s="17" t="str">
        <x:v>us:ipeds:131520:faculty:danda-b-rawat</x:v>
      </x:c>
      <x:c r="F3290" s="17" t="str">
        <x:v>recent work|adversarial machine learning|doctoral supervision</x:v>
      </x:c>
      <x:c r="G3290" s="17" t="str">
        <x:v>The 2025 article documents Rawat's adversarial-ML research mentorship through a completed 2024 Howard PhD.</x:v>
      </x:c>
      <x:c r="H3290" s="17" t="str">
        <x:v>How a Million Dollar AI Company Grew from a Howard Student's Drive and Mentor's Vision</x:v>
      </x:c>
      <x:c r="I3290" s="17" t="str">
        <x:v>Howard University</x:v>
      </x:c>
      <x:c r="J3290" s="17" t="str">
        <x:v>official</x:v>
      </x:c>
      <x:c r="K3290" s="17" t="str">
        <x:v>2026-09-11</x:v>
      </x:c>
      <x:c r="L3290" s="17" t="str">
        <x:v>2025</x:v>
      </x:c>
      <x:c r="M3290" s="17" t="str">
        <x:v>high</x:v>
      </x:c>
      <x:c r="N3290" s="17" t="str">
        <x:v>verified</x:v>
      </x:c>
      <x:c r="O3290" s="17" t="str">
        <x:v>Official university article checked 2026-09-11.</x:v>
      </x:c>
      <x:c r="P3290" s="18" t="e">
        <x:f>HYPERLINK("https://cea.howard.edu/articles/how-million-dollar-ai-company-grew-howard-students-drive-and-mentors-vision","Open source")</x:f>
        <x:v>HYPERLINK is not implemented. linkLocation=https://cea.howard.edu/articles/how-million-dollar-ai-company-grew-howard-students-drive-and-mentors-vision, friendlyName=Open source</x:v>
      </x:c>
    </x:row>
    <x:row r="3291" ht="46" customHeight="1">
      <x:c r="A3291" s="17" t="str">
        <x:v>stage4src:a23ee9d70a3a6b51</x:v>
      </x:c>
      <x:c r="B3291" s="17" t="str">
        <x:v>professor</x:v>
      </x:c>
      <x:c r="C3291" s="17" t="str">
        <x:v>University of Wyoming</x:v>
      </x:c>
      <x:c r="D3291" s="17" t="str">
        <x:v>us:ipeds:240727:program:phd:phd-in-computer-science</x:v>
      </x:c>
      <x:c r="E3291" s="17" t="str"/>
      <x:c r="F3291" s="17" t="str">
        <x:v>current faculty roster|candidate longlist</x:v>
      </x:c>
      <x:c r="G3291" s="17" t="str">
        <x:v>Current official department roster or research-area faculty listing used to identify the five-person Stage 4 candidate longlist.</x:v>
      </x:c>
      <x:c r="H3291" s="17" t="str">
        <x:v>University of Wyoming current faculty roster</x:v>
      </x:c>
      <x:c r="I3291" s="17" t="str">
        <x:v>University of Wyoming</x:v>
      </x:c>
      <x:c r="J3291" s="17" t="str">
        <x:v>official</x:v>
      </x:c>
      <x:c r="K3291" s="17" t="str">
        <x:v>2026-09-11</x:v>
      </x:c>
      <x:c r="L3291" s="17" t="str"/>
      <x:c r="M3291" s="17" t="str">
        <x:v>high</x:v>
      </x:c>
      <x:c r="N3291" s="17" t="str">
        <x:v>verified</x:v>
      </x:c>
      <x:c r="O3291" s="17" t="str">
        <x:v>Roster evidence establishes a current listing, not program-specific supervision authority or recruiting.</x:v>
      </x:c>
      <x:c r="P3291" s="18" t="e">
        <x:f>HYPERLINK("https://www.uwyo.edu/eecs/faculty-staff/index.html","Open source")</x:f>
        <x:v>HYPERLINK is not implemented. linkLocation=https://www.uwyo.edu/eecs/faculty-staff/index.html, friendlyName=Open source</x:v>
      </x:c>
    </x:row>
    <x:row r="3292" ht="46" customHeight="1">
      <x:c r="A3292" s="17" t="str">
        <x:v>stage4src:a2545d46a3855a44</x:v>
      </x:c>
      <x:c r="B3292" s="17" t="str">
        <x:v>professor</x:v>
      </x:c>
      <x:c r="C3292" s="17" t="str">
        <x:v>University of Pisa</x:v>
      </x:c>
      <x:c r="D3292" s="17" t="str">
        <x:v>ror:03ad39j10:program:thesis-or-research-master-s:master-s-degree-in-computer-science</x:v>
      </x:c>
      <x:c r="E3292" s="17" t="str">
        <x:v>ror:03ad39j10:faculty:patrizio-dazzi</x:v>
      </x:c>
      <x:c r="F3292" s="17" t="str">
        <x:v>current appointment|department|email|research themes</x:v>
      </x:c>
      <x:c r="G3292" s="17" t="str">
        <x:v>Pisa lists Dazzi as a current Associate Professor in the Department of Computer Science and provides his official contact.</x:v>
      </x:c>
      <x:c r="H3292" s="17" t="str">
        <x:v>Patrizio Dazzi</x:v>
      </x:c>
      <x:c r="I3292" s="17" t="str">
        <x:v>University of Pisa</x:v>
      </x:c>
      <x:c r="J3292" s="17" t="str">
        <x:v>official</x:v>
      </x:c>
      <x:c r="K3292" s="17" t="str">
        <x:v>2026-09-11</x:v>
      </x:c>
      <x:c r="L3292" s="17" t="str">
        <x:v>2026</x:v>
      </x:c>
      <x:c r="M3292" s="17" t="str">
        <x:v>high</x:v>
      </x:c>
      <x:c r="N3292" s="17" t="str">
        <x:v>verified</x:v>
      </x:c>
      <x:c r="O3292" s="17" t="str">
        <x:v>Live official profile checked 2026-09-11.</x:v>
      </x:c>
      <x:c r="P3292" s="18" t="e">
        <x:f>HYPERLINK("https://www.unipi.it/en/about-us/organisation/people/patrizio-dazzi-122892-en/","Open source")</x:f>
        <x:v>HYPERLINK is not implemented. linkLocation=https://www.unipi.it/en/about-us/organisation/people/patrizio-dazzi-122892-en/, friendlyName=Open source</x:v>
      </x:c>
    </x:row>
    <x:row r="3293" ht="46" customHeight="1">
      <x:c r="A3293" s="17" t="str">
        <x:v>stage4src:a254ad4d4bb45e55</x:v>
      </x:c>
      <x:c r="B3293" s="17" t="str">
        <x:v>professor</x:v>
      </x:c>
      <x:c r="C3293" s="17" t="str">
        <x:v>University of Utah</x:v>
      </x:c>
      <x:c r="D3293" s="17" t="str">
        <x:v>us:ipeds:230764:program:phd:computing-phd</x:v>
      </x:c>
      <x:c r="E3293" s="17" t="str">
        <x:v>us:ipeds:230764:faculty:john-regehr</x:v>
      </x:c>
      <x:c r="F3293" s="17" t="str">
        <x:v>recent work|research fit</x:v>
      </x:c>
      <x:c r="G3293" s="17" t="str">
        <x:v>The PLDI 2025 paper supplies current evidence of formal verification work in compiler infrastructure.</x:v>
      </x:c>
      <x:c r="H3293" s="17" t="str">
        <x:v>First-Class Verification Dialects for MLIR</x:v>
      </x:c>
      <x:c r="I3293" s="17" t="str">
        <x:v>University of Utah</x:v>
      </x:c>
      <x:c r="J3293" s="17" t="str">
        <x:v>official</x:v>
      </x:c>
      <x:c r="K3293" s="17" t="str">
        <x:v>2026-09-11</x:v>
      </x:c>
      <x:c r="L3293" s="17" t="str">
        <x:v>2025</x:v>
      </x:c>
      <x:c r="M3293" s="17" t="str">
        <x:v>high</x:v>
      </x:c>
      <x:c r="N3293" s="17" t="str">
        <x:v>verified</x:v>
      </x:c>
      <x:c r="O3293" s="17" t="str">
        <x:v>University-hosted paper checked 2026-09-10.</x:v>
      </x:c>
      <x:c r="P3293" s="18" t="e">
        <x:f>HYPERLINK("https://users.cs.utah.edu/~regehr/papers/pldi25.pdf","Open source")</x:f>
        <x:v>HYPERLINK is not implemented. linkLocation=https://users.cs.utah.edu/~regehr/papers/pldi25.pdf, friendlyName=Open source</x:v>
      </x:c>
    </x:row>
    <x:row r="3294" ht="46" customHeight="1">
      <x:c r="A3294" s="17" t="str">
        <x:v>stage4src:a32dcca6aef9b66b</x:v>
      </x:c>
      <x:c r="B3294" s="17" t="str">
        <x:v>professor</x:v>
      </x:c>
      <x:c r="C3294" s="17" t="str">
        <x:v>Ontario Tech University</x:v>
      </x:c>
      <x:c r="D3294" s="17" t="str">
        <x:v>ca:dli:O19315945002:program:thesis-or-research-master-s:software-engineering-masc</x:v>
      </x:c>
      <x:c r="E3294" s="17" t="str">
        <x:v>ca:dli:O19315945002:faculty:kundi-yao</x:v>
      </x:c>
      <x:c r="F3294" s="17" t="str">
        <x:v>current appointment|research themes|email</x:v>
      </x:c>
      <x:c r="G3294" s="17" t="str">
        <x:v>The current profile identifies Yao as Assistant Professor and records software engineering, AIOps, testing, maintenance, performance, and repository-mining research.</x:v>
      </x:c>
      <x:c r="H3294" s="17" t="str">
        <x:v>Kundi Yao</x:v>
      </x:c>
      <x:c r="I3294" s="17" t="str">
        <x:v>Ontario Tech University</x:v>
      </x:c>
      <x:c r="J3294" s="17" t="str">
        <x:v>official</x:v>
      </x:c>
      <x:c r="K3294" s="17" t="str">
        <x:v>2026-09-11</x:v>
      </x:c>
      <x:c r="L3294" s="17" t="str">
        <x:v>2026</x:v>
      </x:c>
      <x:c r="M3294" s="17" t="str">
        <x:v>high</x:v>
      </x:c>
      <x:c r="N3294" s="17" t="str">
        <x:v>verified</x:v>
      </x:c>
      <x:c r="O3294" s="17" t="str">
        <x:v>Current official profile checked 2026-09-10.</x:v>
      </x:c>
      <x:c r="P3294" s="18" t="e">
        <x:f>HYPERLINK("https://engineering.ontariotechu.ca/people/ecse/kundi-yao.php","Open source")</x:f>
        <x:v>HYPERLINK is not implemented. linkLocation=https://engineering.ontariotechu.ca/people/ecse/kundi-yao.php, friendlyName=Open source</x:v>
      </x:c>
    </x:row>
    <x:row r="3295" ht="46" customHeight="1">
      <x:c r="A3295" s="17" t="str">
        <x:v>stage4src:a3927a57d357e79f</x:v>
      </x:c>
      <x:c r="B3295" s="17" t="str">
        <x:v>professor</x:v>
      </x:c>
      <x:c r="C3295" s="17" t="str">
        <x:v>University of Toronto</x:v>
      </x:c>
      <x:c r="D3295" s="17" t="str">
        <x:v>ca:dli:O19332746152:program:direct-entry-phd:phd-in-computer-science-phd-u</x:v>
      </x:c>
      <x:c r="E3295" s="17" t="str">
        <x:v>ca:dli:O19332746152:faculty:marsha-chechik</x:v>
      </x:c>
      <x:c r="F3295" s="17" t="str">
        <x:v>recent work|research fit</x:v>
      </x:c>
      <x:c r="G3295" s="17" t="str">
        <x:v>Recent work supports the recorded TerraProbe/Evidex research overlap for Marsha Chechik.</x:v>
      </x:c>
      <x:c r="H3295" s="17" t="str">
        <x:v>Recent scholarly work</x:v>
      </x:c>
      <x:c r="I3295" s="17" t="str">
        <x:v>OpenAlex / cited venue</x:v>
      </x:c>
      <x:c r="J3295" s="17" t="str">
        <x:v>secondary</x:v>
      </x:c>
      <x:c r="K3295" s="17" t="str">
        <x:v>2026-09-11</x:v>
      </x:c>
      <x:c r="L3295" s="17" t="str">
        <x:v>2024</x:v>
      </x:c>
      <x:c r="M3295" s="17" t="str">
        <x:v>high</x:v>
      </x:c>
      <x:c r="N3295" s="17" t="str">
        <x:v>verified</x:v>
      </x:c>
      <x:c r="O3295" s="17" t="str">
        <x:v>Carried from verified regional deep-review evidence.</x:v>
      </x:c>
      <x:c r="P3295" s="18" t="e">
        <x:f>HYPERLINK("https://arxiv.org/abs/2406.08216","Open source")</x:f>
        <x:v>HYPERLINK is not implemented. linkLocation=https://arxiv.org/abs/2406.08216, friendlyName=Open source</x:v>
      </x:c>
    </x:row>
    <x:row r="3296" ht="46" customHeight="1">
      <x:c r="A3296" s="17" t="str">
        <x:v>stage4src:a39b29c737a8d4f4</x:v>
      </x:c>
      <x:c r="B3296" s="17" t="str">
        <x:v>professor</x:v>
      </x:c>
      <x:c r="C3296" s="17" t="str">
        <x:v>Concordia University</x:v>
      </x:c>
      <x:c r="D3296" s="17" t="str">
        <x:v>ca:dli:O19359011007:program:thesis-or-research-master-s:software-engineering-masc</x:v>
      </x:c>
      <x:c r="E3296" s="17" t="str">
        <x:v>ca:dli:O19359011007:faculty:abdelwahab-hamou-lhadj</x:v>
      </x:c>
      <x:c r="F3296" s="17" t="str">
        <x:v>discovery publication signal|recent work</x:v>
      </x:c>
      <x:c r="G3296" s="17" t="str">
        <x:v>Publication metadata was examined for shortlist triage only; publication-time affiliation does not establish current appointment, supervision authority, or recruiting.</x:v>
      </x:c>
      <x:c r="H3296" s="17" t="str">
        <x:v>OpenAlex publication signal for Abdelwahab Hamou-Lhadj</x:v>
      </x:c>
      <x:c r="I3296" s="17" t="str">
        <x:v>OpenAlex / cited venue</x:v>
      </x:c>
      <x:c r="J3296" s="17" t="str">
        <x:v>secondary</x:v>
      </x:c>
      <x:c r="K3296" s="17" t="str">
        <x:v>2026-09-11</x:v>
      </x:c>
      <x:c r="L3296" s="17" t="str"/>
      <x:c r="M3296" s="17" t="str">
        <x:v>medium</x:v>
      </x:c>
      <x:c r="N3296" s="17" t="str">
        <x:v>discovery_only</x:v>
      </x:c>
      <x:c r="O3296" s="17" t="str">
        <x:v>Not used to award a professor score or faculty-depth point.</x:v>
      </x:c>
      <x:c r="P3296" s="18" t="e">
        <x:f>HYPERLINK("https://openalex.org/A5058884064","Open source")</x:f>
        <x:v>HYPERLINK is not implemented. linkLocation=https://openalex.org/A5058884064, friendlyName=Open source</x:v>
      </x:c>
    </x:row>
    <x:row r="3297" ht="46" customHeight="1">
      <x:c r="A3297" s="17" t="str">
        <x:v>stage4src:a3a9b5f689594d79</x:v>
      </x:c>
      <x:c r="B3297" s="17" t="str">
        <x:v>professor</x:v>
      </x:c>
      <x:c r="C3297" s="17" t="str">
        <x:v>Texas A&amp;M University-College Station</x:v>
      </x:c>
      <x:c r="D3297" s="17" t="str">
        <x:v>us:ipeds:228723:program:phd:doctor-of-philosophy-in-computer-science</x:v>
      </x:c>
      <x:c r="E3297" s="17" t="str">
        <x:v>us:ipeds:228723:faculty:jeff-huang</x:v>
      </x:c>
      <x:c r="F3297" s="17" t="str">
        <x:v>recent work|microservice verification|edge cloud security</x:v>
      </x:c>
      <x:c r="G3297" s="17" t="str">
        <x:v>The official article names Huang as co-investigator on scalable verification and security transformation across microservices.</x:v>
      </x:c>
      <x:c r="H3297" s="17" t="str">
        <x:v>Researchers receive NSF grant to enhance security of next-generation wireless systems</x:v>
      </x:c>
      <x:c r="I3297" s="17" t="str">
        <x:v>Texas A&amp;M University-College Station</x:v>
      </x:c>
      <x:c r="J3297" s="17" t="str">
        <x:v>official</x:v>
      </x:c>
      <x:c r="K3297" s="17" t="str">
        <x:v>2026-09-11</x:v>
      </x:c>
      <x:c r="L3297" s="17" t="str">
        <x:v>2022</x:v>
      </x:c>
      <x:c r="M3297" s="17" t="str">
        <x:v>high</x:v>
      </x:c>
      <x:c r="N3297" s="17" t="str">
        <x:v>verified</x:v>
      </x:c>
      <x:c r="O3297" s="17" t="str">
        <x:v>Official university article checked 2026-09-11.</x:v>
      </x:c>
      <x:c r="P3297" s="18" t="e">
        <x:f>HYPERLINK("https://engineering.tamu.edu/news/2022/07/csce-researchers-receive-nsf-grant-to-enhance-security-of-next-generation-wireless-systems.html","Open source")</x:f>
        <x:v>HYPERLINK is not implemented. linkLocation=https://engineering.tamu.edu/news/2022/07/csce-researchers-receive-nsf-grant-to-enhance-security-of-next-generation-wireless-systems.html, friendlyName=Open source</x:v>
      </x:c>
    </x:row>
    <x:row r="3298" ht="46" customHeight="1">
      <x:c r="A3298" s="17" t="str">
        <x:v>stage4src:a4b77dc201b55939</x:v>
      </x:c>
      <x:c r="B3298" s="17" t="str">
        <x:v>professor</x:v>
      </x:c>
      <x:c r="C3298" s="17" t="str">
        <x:v>Simon Fraser University</x:v>
      </x:c>
      <x:c r="D3298" s="17" t="str">
        <x:v>ca:dli:O18781994282:program:thesis-or-research-master-s:computing-science-master-of-science-thesis</x:v>
      </x:c>
      <x:c r="E3298" s="17" t="str">
        <x:v>ca:dli:O18781994282:faculty:saba-alimadadi</x:v>
      </x:c>
      <x:c r="F3298" s="17" t="str">
        <x:v>current appointment|program supervision authority|research themes</x:v>
      </x:c>
      <x:c r="G3298" s="17" t="str">
        <x:v>Current SFU Computing Science Assistant Professor profile documents software engineering, program analysis, debugging, and testing research.</x:v>
      </x:c>
      <x:c r="H3298" s="17" t="str">
        <x:v>Saba Alimadadi</x:v>
      </x:c>
      <x:c r="I3298" s="17" t="str">
        <x:v>Simon Fraser University</x:v>
      </x:c>
      <x:c r="J3298" s="17" t="str">
        <x:v>official</x:v>
      </x:c>
      <x:c r="K3298" s="17" t="str">
        <x:v>2026-09-11</x:v>
      </x:c>
      <x:c r="L3298" s="17" t="str">
        <x:v>2026</x:v>
      </x:c>
      <x:c r="M3298" s="17" t="str">
        <x:v>high</x:v>
      </x:c>
      <x:c r="N3298" s="17" t="str">
        <x:v>verified</x:v>
      </x:c>
      <x:c r="O3298" s="17" t="str">
        <x:v>Official faculty profile checked 2026-09-10.</x:v>
      </x:c>
      <x:c r="P3298" s="18" t="e">
        <x:f>HYPERLINK("https://www.sfu.ca/fas/computing/people/faculty/faculty-members/saba-alimadadi.html","Open source")</x:f>
        <x:v>HYPERLINK is not implemented. linkLocation=https://www.sfu.ca/fas/computing/people/faculty/faculty-members/saba-alimadadi.html, friendlyName=Open source</x:v>
      </x:c>
    </x:row>
    <x:row r="3299" ht="46" customHeight="1">
      <x:c r="A3299" s="17" t="str">
        <x:v>stage4src:a4c43035d8bb08e4</x:v>
      </x:c>
      <x:c r="B3299" s="17" t="str">
        <x:v>professor</x:v>
      </x:c>
      <x:c r="C3299" s="17" t="str">
        <x:v>University of California-San Diego</x:v>
      </x:c>
      <x:c r="D3299" s="17" t="str">
        <x:v>us:ipeds:110680:program:phd:computer-science-and-engineering-phd</x:v>
      </x:c>
      <x:c r="E3299" s="17" t="str">
        <x:v>us:ipeds:110680:faculty:nadia-polikarpova</x:v>
      </x:c>
      <x:c r="F3299" s="17" t="str">
        <x:v>recent work|research fit</x:v>
      </x:c>
      <x:c r="G3299" s="17" t="str">
        <x:v>The current CV records 2025 work on automated verification and intentional code generation.</x:v>
      </x:c>
      <x:c r="H3299" s="17" t="str">
        <x:v>Nadia Polikarpova curriculum vitae</x:v>
      </x:c>
      <x:c r="I3299" s="17" t="str">
        <x:v>University of California-San Diego</x:v>
      </x:c>
      <x:c r="J3299" s="17" t="str">
        <x:v>official</x:v>
      </x:c>
      <x:c r="K3299" s="17" t="str">
        <x:v>2026-09-11</x:v>
      </x:c>
      <x:c r="L3299" s="17" t="str">
        <x:v>2025</x:v>
      </x:c>
      <x:c r="M3299" s="17" t="str">
        <x:v>high</x:v>
      </x:c>
      <x:c r="N3299" s="17" t="str">
        <x:v>verified</x:v>
      </x:c>
      <x:c r="O3299" s="17" t="str">
        <x:v>University-hosted CV checked 2026-09-10.</x:v>
      </x:c>
      <x:c r="P3299" s="18" t="e">
        <x:f>HYPERLINK("https://cseweb.ucsd.edu/~npolikarpova/cv_nadia_polikarpova.pdf","Open source")</x:f>
        <x:v>HYPERLINK is not implemented. linkLocation=https://cseweb.ucsd.edu/~npolikarpova/cv_nadia_polikarpova.pdf, friendlyName=Open source</x:v>
      </x:c>
    </x:row>
    <x:row r="3300" ht="46" customHeight="1">
      <x:c r="A3300" s="17" t="str">
        <x:v>stage4src:a4ef0eca86ff0b6a</x:v>
      </x:c>
      <x:c r="B3300" s="17" t="str">
        <x:v>professor</x:v>
      </x:c>
      <x:c r="C3300" s="17" t="str">
        <x:v>University of Virginia-Main Campus</x:v>
      </x:c>
      <x:c r="D3300" s="17" t="str">
        <x:v>us:ipeds:234076:program:phd:computer-science-phd</x:v>
      </x:c>
      <x:c r="E3300" s="17" t="str">
        <x:v>us:ipeds:234076:faculty:homa-alemzadeh</x:v>
      </x:c>
      <x:c r="F3300" s="17" t="str">
        <x:v>current appointment|research themes</x:v>
      </x:c>
      <x:c r="G3300" s="17" t="str">
        <x:v>Current profile verifies an ECE Associate Professor appointment, a courtesy Computer Science appointment, and dependable/secure systems assurance research; it does not establish exact CS PhD supervision authority.</x:v>
      </x:c>
      <x:c r="H3300" s="17" t="str">
        <x:v>Homa Alemzadeh</x:v>
      </x:c>
      <x:c r="I3300" s="17" t="str">
        <x:v>University of Virginia-Main Campus</x:v>
      </x:c>
      <x:c r="J3300" s="17" t="str">
        <x:v>official</x:v>
      </x:c>
      <x:c r="K3300" s="17" t="str">
        <x:v>2026-09-11</x:v>
      </x:c>
      <x:c r="L3300" s="17" t="str">
        <x:v>2026</x:v>
      </x:c>
      <x:c r="M3300" s="17" t="str">
        <x:v>high</x:v>
      </x:c>
      <x:c r="N3300" s="17" t="str">
        <x:v>verified</x:v>
      </x:c>
      <x:c r="O3300" s="17" t="str">
        <x:v>Official profile checked 2026-09-10; supervision uncertainty preserved.</x:v>
      </x:c>
      <x:c r="P3300" s="18" t="e">
        <x:f>HYPERLINK("https://engineering.virginia.edu/faculty/homa-alemzadeh","Open source")</x:f>
        <x:v>HYPERLINK is not implemented. linkLocation=https://engineering.virginia.edu/faculty/homa-alemzadeh, friendlyName=Open source</x:v>
      </x:c>
    </x:row>
    <x:row r="3301" ht="46" customHeight="1">
      <x:c r="A3301" s="17" t="str">
        <x:v>stage4src:a568ee7790faaaeb</x:v>
      </x:c>
      <x:c r="B3301" s="17" t="str">
        <x:v>professor</x:v>
      </x:c>
      <x:c r="C3301" s="17" t="str">
        <x:v>University of Saskatchewan</x:v>
      </x:c>
      <x:c r="D3301" s="17" t="str">
        <x:v>ca:dli:O19425660421:program:thesis-or-research-master-s:msc-in-computer-science-thesis</x:v>
      </x:c>
      <x:c r="E3301" s="17" t="str"/>
      <x:c r="F3301" s="17" t="str">
        <x:v>current faculty roster|candidate longlist</x:v>
      </x:c>
      <x:c r="G3301" s="17" t="str">
        <x:v>Current official department roster or research-area faculty listing used to identify the five-person Stage 4 candidate longlist.</x:v>
      </x:c>
      <x:c r="H3301" s="17" t="str">
        <x:v>University of Saskatchewan current faculty roster</x:v>
      </x:c>
      <x:c r="I3301" s="17" t="str">
        <x:v>University of Saskatchewan</x:v>
      </x:c>
      <x:c r="J3301" s="17" t="str">
        <x:v>official</x:v>
      </x:c>
      <x:c r="K3301" s="17" t="str">
        <x:v>2026-09-11</x:v>
      </x:c>
      <x:c r="L3301" s="17" t="str"/>
      <x:c r="M3301" s="17" t="str">
        <x:v>high</x:v>
      </x:c>
      <x:c r="N3301" s="17" t="str">
        <x:v>verified</x:v>
      </x:c>
      <x:c r="O3301" s="17" t="str">
        <x:v>Roster evidence establishes a current listing, not program-specific supervision authority or recruiting.</x:v>
      </x:c>
      <x:c r="P3301" s="18" t="e">
        <x:f>HYPERLINK("https://www.cs.usask.ca/people/faculty.php","Open source")</x:f>
        <x:v>HYPERLINK is not implemented. linkLocation=https://www.cs.usask.ca/people/faculty.php, friendlyName=Open source</x:v>
      </x:c>
    </x:row>
    <x:row r="3302" ht="46" customHeight="1">
      <x:c r="A3302" s="17" t="str">
        <x:v>stage4src:a61fb71d66a61ba9</x:v>
      </x:c>
      <x:c r="B3302" s="17" t="str">
        <x:v>professor</x:v>
      </x:c>
      <x:c r="C3302" s="17" t="str">
        <x:v>University of Connecticut</x:v>
      </x:c>
      <x:c r="D3302" s="17" t="str">
        <x:v>us:ipeds:129020:program:phd:computer-science-and-engineering-phd</x:v>
      </x:c>
      <x:c r="E3302" s="17" t="str">
        <x:v>us:ipeds:129020:faculty:amir-herzberg</x:v>
      </x:c>
      <x:c r="F3302" s="17" t="str">
        <x:v>recent work|research fit</x:v>
      </x:c>
      <x:c r="G3302" s="17" t="str">
        <x:v>DBLP records Herzberg as coauthor of the 2024 work on provable PKI security.</x:v>
      </x:c>
      <x:c r="H3302" s="17" t="str">
        <x:v>Provable Security for Public Key Infrastructure Schemes</x:v>
      </x:c>
      <x:c r="I3302" s="17" t="str">
        <x:v>OpenAlex / cited venue</x:v>
      </x:c>
      <x:c r="J3302" s="17" t="str">
        <x:v>secondary</x:v>
      </x:c>
      <x:c r="K3302" s="17" t="str">
        <x:v>2026-09-11</x:v>
      </x:c>
      <x:c r="L3302" s="17" t="str">
        <x:v>2024</x:v>
      </x:c>
      <x:c r="M3302" s="17" t="str">
        <x:v>high</x:v>
      </x:c>
      <x:c r="N3302" s="17" t="str">
        <x:v>verified</x:v>
      </x:c>
      <x:c r="O3302" s="17" t="str">
        <x:v>Scholarly metadata checked 2026-09-11.</x:v>
      </x:c>
      <x:c r="P3302" s="18" t="e">
        <x:f>HYPERLINK("https://dblp.org/rec/conf/ccs/WrotniakLSH24","Open source")</x:f>
        <x:v>HYPERLINK is not implemented. linkLocation=https://dblp.org/rec/conf/ccs/WrotniakLSH24, friendlyName=Open source</x:v>
      </x:c>
    </x:row>
    <x:row r="3303" ht="46" customHeight="1">
      <x:c r="A3303" s="17" t="str">
        <x:v>stage4src:a64513e5abb85f6e</x:v>
      </x:c>
      <x:c r="B3303" s="17" t="str">
        <x:v>professor</x:v>
      </x:c>
      <x:c r="C3303" s="17" t="str">
        <x:v>Concordia University</x:v>
      </x:c>
      <x:c r="D3303" s="17" t="str">
        <x:v>ca:dli:O19359011007:program:thesis-or-research-master-s:cybersecurity-engineering-masc</x:v>
      </x:c>
      <x:c r="E3303" s="17" t="str">
        <x:v>ca:dli:O19359011007:faculty:mourad-debbabi</x:v>
      </x:c>
      <x:c r="F3303" s="17" t="str">
        <x:v>confirmed recruiting|contact instructions|program supervision context</x:v>
      </x:c>
      <x:c r="G3303" s="17" t="str">
        <x:v>Concordia advertises multiple current MASc and PhD positions at SRC and directs qualified applicants to email Debbabi and named collaborators.</x:v>
      </x:c>
      <x:c r="H3303" s="17" t="str">
        <x:v>Open Positions: PhD and MASc, Information Systems Security</x:v>
      </x:c>
      <x:c r="I3303" s="17" t="str">
        <x:v>Concordia University</x:v>
      </x:c>
      <x:c r="J3303" s="17" t="str">
        <x:v>official</x:v>
      </x:c>
      <x:c r="K3303" s="17" t="str">
        <x:v>2026-09-11</x:v>
      </x:c>
      <x:c r="L3303" s="17" t="str">
        <x:v>2026</x:v>
      </x:c>
      <x:c r="M3303" s="17" t="str">
        <x:v>high</x:v>
      </x:c>
      <x:c r="N3303" s="17" t="str">
        <x:v>verified</x:v>
      </x:c>
      <x:c r="O3303" s="17" t="str">
        <x:v>Live official notice checked 2026-09-11; exact Fall 2027 timing should be confirmed.</x:v>
      </x:c>
      <x:c r="P3303" s="18" t="e">
        <x:f>HYPERLINK("https://www.concordia.ca/ginacody/about/jobs/graduate/phd-masc-information-systems-security.html","Open source")</x:f>
        <x:v>HYPERLINK is not implemented. linkLocation=https://www.concordia.ca/ginacody/about/jobs/graduate/phd-masc-information-systems-security.html, friendlyName=Open source</x:v>
      </x:c>
    </x:row>
    <x:row r="3304" ht="46" customHeight="1">
      <x:c r="A3304" s="17" t="str">
        <x:v>stage4src:a653d9efc0a6a1ca</x:v>
      </x:c>
      <x:c r="B3304" s="17" t="str">
        <x:v>professor</x:v>
      </x:c>
      <x:c r="C3304" s="17" t="str">
        <x:v>University of Rhode Island</x:v>
      </x:c>
      <x:c r="D3304" s="17" t="str">
        <x:v>us:ipeds:217484:program:phd:computer-science-ph-d</x:v>
      </x:c>
      <x:c r="E3304" s="17" t="str"/>
      <x:c r="F3304" s="17" t="str">
        <x:v>current faculty roster|candidate longlist</x:v>
      </x:c>
      <x:c r="G3304" s="17" t="str">
        <x:v>Current official department roster or research-area faculty listing used to identify the five-person Stage 4 candidate longlist.</x:v>
      </x:c>
      <x:c r="H3304" s="17" t="str">
        <x:v>University of Rhode Island current faculty roster</x:v>
      </x:c>
      <x:c r="I3304" s="17" t="str">
        <x:v>University of Rhode Island</x:v>
      </x:c>
      <x:c r="J3304" s="17" t="str">
        <x:v>official</x:v>
      </x:c>
      <x:c r="K3304" s="17" t="str">
        <x:v>2026-09-11</x:v>
      </x:c>
      <x:c r="L3304" s="17" t="str"/>
      <x:c r="M3304" s="17" t="str">
        <x:v>high</x:v>
      </x:c>
      <x:c r="N3304" s="17" t="str">
        <x:v>verified</x:v>
      </x:c>
      <x:c r="O3304" s="17" t="str">
        <x:v>Roster evidence establishes a current listing, not program-specific supervision authority or recruiting.</x:v>
      </x:c>
      <x:c r="P3304" s="18" t="e">
        <x:f>HYPERLINK("https://web.uri.edu/cs/people/","Open source")</x:f>
        <x:v>HYPERLINK is not implemented. linkLocation=https://web.uri.edu/cs/people/, friendlyName=Open source</x:v>
      </x:c>
    </x:row>
    <x:row r="3305" ht="46" customHeight="1">
      <x:c r="A3305" s="17" t="str">
        <x:v>stage4src:a6808608dac57840</x:v>
      </x:c>
      <x:c r="B3305" s="17" t="str">
        <x:v>professor</x:v>
      </x:c>
      <x:c r="C3305" s="17" t="str">
        <x:v>Simon Fraser University</x:v>
      </x:c>
      <x:c r="D3305" s="17" t="str">
        <x:v>ca:dli:O18781994282:program:thesis-or-research-master-s:computing-science-master-of-science-thesis</x:v>
      </x:c>
      <x:c r="E3305" s="17" t="str">
        <x:v>ca:dli:O18781994282:faculty:steven-y-ko</x:v>
      </x:c>
      <x:c r="F3305" s="17" t="str">
        <x:v>discovery publication signal|recent work</x:v>
      </x:c>
      <x:c r="G3305" s="17" t="str">
        <x:v>Publication metadata was examined for shortlist triage only; publication-time affiliation does not establish current appointment, supervision authority, or recruiting.</x:v>
      </x:c>
      <x:c r="H3305" s="17" t="str">
        <x:v>OpenAlex publication signal for Steven Y. Ko</x:v>
      </x:c>
      <x:c r="I3305" s="17" t="str">
        <x:v>OpenAlex / cited venue</x:v>
      </x:c>
      <x:c r="J3305" s="17" t="str">
        <x:v>secondary</x:v>
      </x:c>
      <x:c r="K3305" s="17" t="str">
        <x:v>2026-09-11</x:v>
      </x:c>
      <x:c r="L3305" s="17" t="str"/>
      <x:c r="M3305" s="17" t="str">
        <x:v>medium</x:v>
      </x:c>
      <x:c r="N3305" s="17" t="str">
        <x:v>discovery_only</x:v>
      </x:c>
      <x:c r="O3305" s="17" t="str">
        <x:v>Not used to award a professor score or faculty-depth point.</x:v>
      </x:c>
      <x:c r="P3305" s="18" t="e">
        <x:f>HYPERLINK("https://openalex.org/A5109113161","Open source")</x:f>
        <x:v>HYPERLINK is not implemented. linkLocation=https://openalex.org/A5109113161, friendlyName=Open source</x:v>
      </x:c>
    </x:row>
    <x:row r="3306" ht="46" customHeight="1">
      <x:c r="A3306" s="17" t="str">
        <x:v>stage4src:a68cebcc56a689b6</x:v>
      </x:c>
      <x:c r="B3306" s="17" t="str">
        <x:v>professor</x:v>
      </x:c>
      <x:c r="C3306" s="17" t="str">
        <x:v>Baylor University</x:v>
      </x:c>
      <x:c r="D3306" s="17" t="str">
        <x:v>us:ipeds:223232:program:phd:ph-d-in-computer-science</x:v>
      </x:c>
      <x:c r="E3306" s="17" t="str">
        <x:v>us:ipeds:223232:faculty:mengfei-ren</x:v>
      </x:c>
      <x:c r="F3306" s="17" t="str">
        <x:v>current appointment|research themes|email|recent work</x:v>
      </x:c>
      <x:c r="G3306" s="17" t="str">
        <x:v>Baylor lists Ren as a current Computer Science Assistant Professor, provides her email and research interests, and lists 2024-2025 publications.</x:v>
      </x:c>
      <x:c r="H3306" s="17" t="str">
        <x:v>Mengfei Ren, Ph.D.</x:v>
      </x:c>
      <x:c r="I3306" s="17" t="str">
        <x:v>Baylor University</x:v>
      </x:c>
      <x:c r="J3306" s="17" t="str">
        <x:v>official</x:v>
      </x:c>
      <x:c r="K3306" s="17" t="str">
        <x:v>2026-09-11</x:v>
      </x:c>
      <x:c r="L3306" s="17" t="str">
        <x:v>2026</x:v>
      </x:c>
      <x:c r="M3306" s="17" t="str">
        <x:v>high</x:v>
      </x:c>
      <x:c r="N3306" s="17" t="str">
        <x:v>verified</x:v>
      </x:c>
      <x:c r="O3306" s="17" t="str">
        <x:v>Current official page checked 2026-09-10.</x:v>
      </x:c>
      <x:c r="P3306" s="18" t="e">
        <x:f>HYPERLINK("https://www.ecs.baylor.edu/person/mengfei-ren-phd","Open source")</x:f>
        <x:v>HYPERLINK is not implemented. linkLocation=https://www.ecs.baylor.edu/person/mengfei-ren-phd, friendlyName=Open source</x:v>
      </x:c>
    </x:row>
    <x:row r="3307" ht="46" customHeight="1">
      <x:c r="A3307" s="17" t="str">
        <x:v>stage4src:a787eb29feb9ae9e</x:v>
      </x:c>
      <x:c r="B3307" s="17" t="str">
        <x:v>professor</x:v>
      </x:c>
      <x:c r="C3307" s="17" t="str">
        <x:v>Johns Hopkins University</x:v>
      </x:c>
      <x:c r="D3307" s="17" t="str">
        <x:v>us:ipeds:162928:program:phd:phd-in-computer-science</x:v>
      </x:c>
      <x:c r="E3307" s="17" t="str">
        <x:v>us:ipeds:162928:faculty:yinzhi-cao</x:v>
      </x:c>
      <x:c r="F3307" s="17" t="str">
        <x:v>recent project|cyber reasoning|graduate supervision context</x:v>
      </x:c>
      <x:c r="G3307" s="17" t="str">
        <x:v>JHU documents Cao's 2024 automated cyber-reasoning project and identifies several of Cao's Computer Science graduate and PhD students participating in it.</x:v>
      </x:c>
      <x:c r="H3307" s="17" t="str">
        <x:v>Yinzhi Cao to participate in DARPA competition</x:v>
      </x:c>
      <x:c r="I3307" s="17" t="str">
        <x:v>Johns Hopkins University</x:v>
      </x:c>
      <x:c r="J3307" s="17" t="str">
        <x:v>official</x:v>
      </x:c>
      <x:c r="K3307" s="17" t="str">
        <x:v>2026-09-11</x:v>
      </x:c>
      <x:c r="L3307" s="17" t="str">
        <x:v>2024</x:v>
      </x:c>
      <x:c r="M3307" s="17" t="str">
        <x:v>high</x:v>
      </x:c>
      <x:c r="N3307" s="17" t="str">
        <x:v>verified</x:v>
      </x:c>
      <x:c r="O3307" s="17" t="str">
        <x:v>Official article checked 2026-09-11; current students corroborate supervision but not recruiting.</x:v>
      </x:c>
      <x:c r="P3307" s="18" t="e">
        <x:f>HYPERLINK("https://www.cs.jhu.edu/news/yinzhi-cao-to-participate-in-darpa-competition/","Open source")</x:f>
        <x:v>HYPERLINK is not implemented. linkLocation=https://www.cs.jhu.edu/news/yinzhi-cao-to-participate-in-darpa-competition/, friendlyName=Open source</x:v>
      </x:c>
    </x:row>
    <x:row r="3308" ht="46" customHeight="1">
      <x:c r="A3308" s="17" t="str">
        <x:v>stage4src:a82fb5ac12d71d2e</x:v>
      </x:c>
      <x:c r="B3308" s="17" t="str">
        <x:v>professor</x:v>
      </x:c>
      <x:c r="C3308" s="17" t="str">
        <x:v>Brandeis University</x:v>
      </x:c>
      <x:c r="D3308" s="17" t="str">
        <x:v>us:ipeds:165015:program:phd:computer-science-phd</x:v>
      </x:c>
      <x:c r="E3308" s="17" t="str">
        <x:v>us:ipeds:165015:faculty:subhadeep-sarkar</x:v>
      </x:c>
      <x:c r="F3308" s="17" t="str">
        <x:v>program supervision authority|adviser model</x:v>
      </x:c>
      <x:c r="G3308" s="17" t="str">
        <x:v>Brandeis requires each PhD student to obtain a Computer Science faculty member's consent to serve as adviser and dissertation committee chair.</x:v>
      </x:c>
      <x:c r="H3308" s="17" t="str">
        <x:v>Computer Science PhD Requirements</x:v>
      </x:c>
      <x:c r="I3308" s="17" t="str">
        <x:v>Brandeis University</x:v>
      </x:c>
      <x:c r="J3308" s="17" t="str">
        <x:v>official</x:v>
      </x:c>
      <x:c r="K3308" s="17" t="str">
        <x:v>2026-09-11</x:v>
      </x:c>
      <x:c r="L3308" s="17" t="str">
        <x:v>2026</x:v>
      </x:c>
      <x:c r="M3308" s="17" t="str">
        <x:v>high</x:v>
      </x:c>
      <x:c r="N3308" s="17" t="str">
        <x:v>verified</x:v>
      </x:c>
      <x:c r="O3308" s="17" t="str">
        <x:v>Live official requirements checked 2026-09-11.</x:v>
      </x:c>
      <x:c r="P3308" s="18" t="e">
        <x:f>HYPERLINK("https://www.brandeis.edu/computer-science/phd/requirements.html","Open source")</x:f>
        <x:v>HYPERLINK is not implemented. linkLocation=https://www.brandeis.edu/computer-science/phd/requirements.html, friendlyName=Open source</x:v>
      </x:c>
    </x:row>
    <x:row r="3309" ht="46" customHeight="1">
      <x:c r="A3309" s="17" t="str">
        <x:v>stage4src:a96195483f5b6850</x:v>
      </x:c>
      <x:c r="B3309" s="17" t="str">
        <x:v>professor</x:v>
      </x:c>
      <x:c r="C3309" s="17" t="str">
        <x:v>University of California-Riverside</x:v>
      </x:c>
      <x:c r="D3309" s="17" t="str">
        <x:v>us:ipeds:110671:program:phd:phd-in-computer-science</x:v>
      </x:c>
      <x:c r="E3309" s="17" t="str">
        <x:v>us:ipeds:110671:faculty:qian-zhang</x:v>
      </x:c>
      <x:c r="F3309" s="17" t="str">
        <x:v>recent work|research fit</x:v>
      </x:c>
      <x:c r="G3309" s="17" t="str">
        <x:v>The page records 2026 work on traceable mutation testing, continuous software evolution, agentic software engineering, and testing AI systems.</x:v>
      </x:c>
      <x:c r="H3309" s="17" t="str">
        <x:v>Qian Zhang Research</x:v>
      </x:c>
      <x:c r="I3309" s="17" t="str">
        <x:v>University of California-Riverside</x:v>
      </x:c>
      <x:c r="J3309" s="17" t="str">
        <x:v>official</x:v>
      </x:c>
      <x:c r="K3309" s="17" t="str">
        <x:v>2026-09-11</x:v>
      </x:c>
      <x:c r="L3309" s="17" t="str">
        <x:v>2026</x:v>
      </x:c>
      <x:c r="M3309" s="17" t="str">
        <x:v>high</x:v>
      </x:c>
      <x:c r="N3309" s="17" t="str">
        <x:v>verified</x:v>
      </x:c>
      <x:c r="O3309" s="17" t="str">
        <x:v>Current official research page checked 2026-09-10.</x:v>
      </x:c>
      <x:c r="P3309" s="18" t="e">
        <x:f>HYPERLINK("https://cs.ucr.edu/~qzhang/research.html","Open source")</x:f>
        <x:v>HYPERLINK is not implemented. linkLocation=https://cs.ucr.edu/~qzhang/research.html, friendlyName=Open source</x:v>
      </x:c>
    </x:row>
    <x:row r="3310" ht="46" customHeight="1">
      <x:c r="A3310" s="17" t="str">
        <x:v>stage4src:a9eea3d50d6184a9</x:v>
      </x:c>
      <x:c r="B3310" s="17" t="str">
        <x:v>professor</x:v>
      </x:c>
      <x:c r="C3310" s="17" t="str">
        <x:v>École Polytechnique de Montréal</x:v>
      </x:c>
      <x:c r="D3310" s="17" t="str">
        <x:v>ca:dli:O19359011070:program:thesis-or-research-master-s:research-master-s-in-computer-engineering-software-engineering-option</x:v>
      </x:c>
      <x:c r="E3310" s="17" t="str">
        <x:v>ca:dli:O19359011070:faculty:heng-li</x:v>
      </x:c>
      <x:c r="F3310" s="17" t="str">
        <x:v>discovery publication signal|recent work</x:v>
      </x:c>
      <x:c r="G3310" s="17" t="str">
        <x:v>Publication metadata was examined for shortlist triage only; publication-time affiliation does not establish current appointment, supervision authority, or recruiting.</x:v>
      </x:c>
      <x:c r="H3310" s="17" t="str">
        <x:v>OpenAlex publication signal for Heng Li</x:v>
      </x:c>
      <x:c r="I3310" s="17" t="str">
        <x:v>OpenAlex / cited venue</x:v>
      </x:c>
      <x:c r="J3310" s="17" t="str">
        <x:v>secondary</x:v>
      </x:c>
      <x:c r="K3310" s="17" t="str">
        <x:v>2026-09-11</x:v>
      </x:c>
      <x:c r="L3310" s="17" t="str"/>
      <x:c r="M3310" s="17" t="str">
        <x:v>medium</x:v>
      </x:c>
      <x:c r="N3310" s="17" t="str">
        <x:v>discovery_only</x:v>
      </x:c>
      <x:c r="O3310" s="17" t="str">
        <x:v>Not used to award a professor score or faculty-depth point.</x:v>
      </x:c>
      <x:c r="P3310" s="18" t="e">
        <x:f>HYPERLINK("https://openalex.org/A5130742697","Open source")</x:f>
        <x:v>HYPERLINK is not implemented. linkLocation=https://openalex.org/A5130742697, friendlyName=Open source</x:v>
      </x:c>
    </x:row>
    <x:row r="3311" ht="46" customHeight="1">
      <x:c r="A3311" s="17" t="str">
        <x:v>stage4src:aaa0a5c517587992</x:v>
      </x:c>
      <x:c r="B3311" s="17" t="str">
        <x:v>professor</x:v>
      </x:c>
      <x:c r="C3311" s="17" t="str">
        <x:v>Drexel University</x:v>
      </x:c>
      <x:c r="D3311" s="17" t="str">
        <x:v>us:ipeds:212054:program:phd:phd-in-computer-science</x:v>
      </x:c>
      <x:c r="E3311" s="17" t="str">
        <x:v>us:ipeds:212054:faculty:yuanfang-cai</x:v>
      </x:c>
      <x:c r="F3311" s="17" t="str">
        <x:v>recent work|software design comprehension</x:v>
      </x:c>
      <x:c r="G3311" s="17" t="str">
        <x:v>The institutional record lists Cai as co-author of a 2025 IEEE TSE article on automated explanation of software design structures.</x:v>
      </x:c>
      <x:c r="H3311" s="17" t="str">
        <x:v>A Holistic Approach to Design Understanding through Concept Explanation</x:v>
      </x:c>
      <x:c r="I3311" s="17" t="str">
        <x:v>Drexel University</x:v>
      </x:c>
      <x:c r="J3311" s="17" t="str">
        <x:v>official</x:v>
      </x:c>
      <x:c r="K3311" s="17" t="str">
        <x:v>2026-09-11</x:v>
      </x:c>
      <x:c r="L3311" s="17" t="str">
        <x:v>2025</x:v>
      </x:c>
      <x:c r="M3311" s="17" t="str">
        <x:v>high</x:v>
      </x:c>
      <x:c r="N3311" s="17" t="str">
        <x:v>verified</x:v>
      </x:c>
      <x:c r="O3311" s="17" t="str">
        <x:v>Official institutional record checked 2026-09-11.</x:v>
      </x:c>
      <x:c r="P3311" s="18" t="e">
        <x:f>HYPERLINK("https://researchdiscovery.drexel.edu/esploro/outputs/journalArticle/A-Holistic-Approach-to-Design-Understanding/991022011882204721","Open source")</x:f>
        <x:v>HYPERLINK is not implemented. linkLocation=https://researchdiscovery.drexel.edu/esploro/outputs/journalArticle/A-Holistic-Approach-to-Design-Understanding/991022011882204721, friendlyName=Open source</x:v>
      </x:c>
    </x:row>
    <x:row r="3312" ht="46" customHeight="1">
      <x:c r="A3312" s="17" t="str">
        <x:v>stage4src:ab086170728b1650</x:v>
      </x:c>
      <x:c r="B3312" s="17" t="str">
        <x:v>professor</x:v>
      </x:c>
      <x:c r="C3312" s="17" t="str">
        <x:v>University of Alberta</x:v>
      </x:c>
      <x:c r="D3312" s="17" t="str">
        <x:v>ca:dli:O19257171832:program:thesis-or-research-master-s:msc-in-computing-science-thesis</x:v>
      </x:c>
      <x:c r="E3312" s="17" t="str">
        <x:v>ca:dli:O19257171832:faculty:abram-hindle</x:v>
      </x:c>
      <x:c r="F3312" s="17" t="str">
        <x:v>current appointment|program supervision authority|research themes</x:v>
      </x:c>
      <x:c r="G3312" s="17" t="str">
        <x:v>Abram Hindle is current Professor in Computing Science focused on empirical software engineering and repository mining.</x:v>
      </x:c>
      <x:c r="H3312" s="17" t="str">
        <x:v>Abram Hindle directory profile</x:v>
      </x:c>
      <x:c r="I3312" s="17" t="str">
        <x:v>University of Alberta</x:v>
      </x:c>
      <x:c r="J3312" s="17" t="str">
        <x:v>official</x:v>
      </x:c>
      <x:c r="K3312" s="17" t="str">
        <x:v>2026-09-11</x:v>
      </x:c>
      <x:c r="L3312" s="17" t="str"/>
      <x:c r="M3312" s="17" t="str">
        <x:v>high</x:v>
      </x:c>
      <x:c r="N3312" s="17" t="str">
        <x:v>verified</x:v>
      </x:c>
      <x:c r="O3312" s="17" t="str">
        <x:v>No search snippet used as final evidence; URL/page content reviewed.</x:v>
      </x:c>
      <x:c r="P3312" s="18" t="e">
        <x:f>HYPERLINK("https://apps.ualberta.ca/directory/person/hindle1","Open source")</x:f>
        <x:v>HYPERLINK is not implemented. linkLocation=https://apps.ualberta.ca/directory/person/hindle1, friendlyName=Open source</x:v>
      </x:c>
    </x:row>
    <x:row r="3313" ht="46" customHeight="1">
      <x:c r="A3313" s="17" t="str">
        <x:v>stage4src:ab3c6c8479f37cbc</x:v>
      </x:c>
      <x:c r="B3313" s="17" t="str">
        <x:v>professor</x:v>
      </x:c>
      <x:c r="C3313" s="17" t="str">
        <x:v>Georgia State University</x:v>
      </x:c>
      <x:c r="D3313" s="17" t="str">
        <x:v>us:ipeds:139940:program:phd:computer-science-phd</x:v>
      </x:c>
      <x:c r="E3313" s="17" t="str"/>
      <x:c r="F3313" s="17" t="str">
        <x:v>current faculty roster|candidate longlist</x:v>
      </x:c>
      <x:c r="G3313" s="17" t="str">
        <x:v>Current official department roster or research-area faculty listing used to identify the five-person Stage 4 candidate longlist.</x:v>
      </x:c>
      <x:c r="H3313" s="17" t="str">
        <x:v>Georgia State University current faculty roster</x:v>
      </x:c>
      <x:c r="I3313" s="17" t="str">
        <x:v>Georgia State University</x:v>
      </x:c>
      <x:c r="J3313" s="17" t="str">
        <x:v>official</x:v>
      </x:c>
      <x:c r="K3313" s="17" t="str">
        <x:v>2026-09-11</x:v>
      </x:c>
      <x:c r="L3313" s="17" t="str"/>
      <x:c r="M3313" s="17" t="str">
        <x:v>high</x:v>
      </x:c>
      <x:c r="N3313" s="17" t="str">
        <x:v>verified</x:v>
      </x:c>
      <x:c r="O3313" s="17" t="str">
        <x:v>Roster evidence establishes a current listing, not program-specific supervision authority or recruiting.</x:v>
      </x:c>
      <x:c r="P3313" s="18" t="e">
        <x:f>HYPERLINK("https://csds.gsu.edu/directory/","Open source")</x:f>
        <x:v>HYPERLINK is not implemented. linkLocation=https://csds.gsu.edu/directory/, friendlyName=Open source</x:v>
      </x:c>
    </x:row>
    <x:row r="3314" ht="46" customHeight="1">
      <x:c r="A3314" s="17" t="str">
        <x:v>stage4src:ab50b09c570fd68e</x:v>
      </x:c>
      <x:c r="B3314" s="17" t="str">
        <x:v>professor</x:v>
      </x:c>
      <x:c r="C3314" s="17" t="str">
        <x:v>University of Wisconsin-Milwaukee</x:v>
      </x:c>
      <x:c r="D3314" s="17" t="str">
        <x:v>us:ipeds:240453:program:phd:computer-science-phd</x:v>
      </x:c>
      <x:c r="E3314" s="17" t="str">
        <x:v>us:ipeds:240453:faculty:tian-zhao</x:v>
      </x:c>
      <x:c r="F3314" s="17" t="str">
        <x:v>program context|major professor|prospective instructions</x:v>
      </x:c>
      <x:c r="G3314" s="17" t="str">
        <x:v>The UWM PhD requires a qualified major professor and describes its faculty-advised research structure.</x:v>
      </x:c>
      <x:c r="H3314" s="17" t="str">
        <x:v>Computer Science PhD</x:v>
      </x:c>
      <x:c r="I3314" s="17" t="str">
        <x:v>University of Wisconsin-Milwaukee</x:v>
      </x:c>
      <x:c r="J3314" s="17" t="str">
        <x:v>official</x:v>
      </x:c>
      <x:c r="K3314" s="17" t="str">
        <x:v>2026-09-11</x:v>
      </x:c>
      <x:c r="L3314" s="17" t="str">
        <x:v>2026</x:v>
      </x:c>
      <x:c r="M3314" s="17" t="str">
        <x:v>high</x:v>
      </x:c>
      <x:c r="N3314" s="17" t="str">
        <x:v>verified</x:v>
      </x:c>
      <x:c r="O3314" s="17" t="str">
        <x:v>Live program page checked 2026-09-11.</x:v>
      </x:c>
      <x:c r="P3314" s="18" t="e">
        <x:f>HYPERLINK("https://uwm.edu/engineering/academics/computer-science-phd/","Open source")</x:f>
        <x:v>HYPERLINK is not implemented. linkLocation=https://uwm.edu/engineering/academics/computer-science-phd/, friendlyName=Open source</x:v>
      </x:c>
    </x:row>
    <x:row r="3315" ht="46" customHeight="1">
      <x:c r="A3315" s="17" t="str">
        <x:v>stage4src:ab84c6a355422682</x:v>
      </x:c>
      <x:c r="B3315" s="17" t="str">
        <x:v>professor</x:v>
      </x:c>
      <x:c r="C3315" s="17" t="str">
        <x:v>Saint Mary’s University</x:v>
      </x:c>
      <x:c r="D3315" s="17" t="str">
        <x:v>ca:dli:O19021279692:program:thesis-or-research-master-s:msc-in-applied-science-computing-science-research-field</x:v>
      </x:c>
      <x:c r="E3315" s="17" t="str">
        <x:v>ca:dli:O19021279692:faculty:somayeh-kafaie</x:v>
      </x:c>
      <x:c r="F3315" s="17" t="str">
        <x:v>supervisor role|program structure|departmental context</x:v>
      </x:c>
      <x:c r="G3315" s="17" t="str">
        <x:v>The guide describes the thesis supervisor as the first contact and identifies Kafaie in the Mathematics and Computing Science program context.</x:v>
      </x:c>
      <x:c r="H3315" s="17" t="str">
        <x:v>MSc Applied Science Program Guide</x:v>
      </x:c>
      <x:c r="I3315" s="17" t="str">
        <x:v>Saint Mary’s University</x:v>
      </x:c>
      <x:c r="J3315" s="17" t="str">
        <x:v>official</x:v>
      </x:c>
      <x:c r="K3315" s="17" t="str">
        <x:v>2026-09-11</x:v>
      </x:c>
      <x:c r="L3315" s="17" t="str">
        <x:v>2024</x:v>
      </x:c>
      <x:c r="M3315" s="17" t="str">
        <x:v>high</x:v>
      </x:c>
      <x:c r="N3315" s="17" t="str">
        <x:v>verified</x:v>
      </x:c>
      <x:c r="O3315" s="17" t="str">
        <x:v>Official guide checked 2026-09-11.</x:v>
      </x:c>
      <x:c r="P3315" s="18" t="e">
        <x:f>HYPERLINK("https://www.smu.ca/webfiles/MSc_APSC_ProgramGuide_20240909.pdf","Open source")</x:f>
        <x:v>HYPERLINK is not implemented. linkLocation=https://www.smu.ca/webfiles/MSc_APSC_ProgramGuide_20240909.pdf, friendlyName=Open source</x:v>
      </x:c>
    </x:row>
    <x:row r="3316" ht="46" customHeight="1">
      <x:c r="A3316" s="17" t="str">
        <x:v>stage4src:ac5ad90b80e2d9a6</x:v>
      </x:c>
      <x:c r="B3316" s="17" t="str">
        <x:v>professor</x:v>
      </x:c>
      <x:c r="C3316" s="17" t="str">
        <x:v>Portland State University</x:v>
      </x:c>
      <x:c r="D3316" s="17" t="str">
        <x:v>us:ipeds:209807:program:phd:doctoral-degree-in-computer-science-ph-d</x:v>
      </x:c>
      <x:c r="E3316" s="17" t="str">
        <x:v>us:ipeds:209807:faculty:fei-xie</x:v>
      </x:c>
      <x:c r="F3316" s="17" t="str">
        <x:v>recent work|compiler verification|software validation</x:v>
      </x:c>
      <x:c r="G3316" s="17" t="str">
        <x:v>The institutional repository records Xie's 2024 work on automated validation of MLIR compiler transformations.</x:v>
      </x:c>
      <x:c r="H3316" s="17" t="str">
        <x:v>A Systematic Translation Validation Framework for MLIR-Based Compilers</x:v>
      </x:c>
      <x:c r="I3316" s="17" t="str">
        <x:v>Portland State University</x:v>
      </x:c>
      <x:c r="J3316" s="17" t="str">
        <x:v>official</x:v>
      </x:c>
      <x:c r="K3316" s="17" t="str">
        <x:v>2026-09-11</x:v>
      </x:c>
      <x:c r="L3316" s="17" t="str">
        <x:v>2024</x:v>
      </x:c>
      <x:c r="M3316" s="17" t="str">
        <x:v>high</x:v>
      </x:c>
      <x:c r="N3316" s="17" t="str">
        <x:v>verified</x:v>
      </x:c>
      <x:c r="O3316" s="17" t="str">
        <x:v>Official repository record checked 2026-09-11.</x:v>
      </x:c>
      <x:c r="P3316" s="18" t="e">
        <x:f>HYPERLINK("https://pdxscholar.library.pdx.edu/compsci_fac/368/","Open source")</x:f>
        <x:v>HYPERLINK is not implemented. linkLocation=https://pdxscholar.library.pdx.edu/compsci_fac/368/, friendlyName=Open source</x:v>
      </x:c>
    </x:row>
    <x:row r="3317" ht="46" customHeight="1">
      <x:c r="A3317" s="17" t="str">
        <x:v>stage4src:ace2a28dc9bb1648</x:v>
      </x:c>
      <x:c r="B3317" s="17" t="str">
        <x:v>professor</x:v>
      </x:c>
      <x:c r="C3317" s="17" t="str">
        <x:v>Howard University</x:v>
      </x:c>
      <x:c r="D3317" s="17" t="str">
        <x:v>us:ipeds:131520:program:phd:computer-science-ph-d</x:v>
      </x:c>
      <x:c r="E3317" s="17" t="str">
        <x:v>us:ipeds:131520:faculty:danda-b-rawat</x:v>
      </x:c>
      <x:c r="F3317" s="17" t="str">
        <x:v>current appointment|department|email|research themes|doctoral supervision</x:v>
      </x:c>
      <x:c r="G3317" s="17" t="str">
        <x:v>Howard lists Rawat as current EECS Professor and records extensive PhD supervision in cybersecurity, machine learning, and networked systems.</x:v>
      </x:c>
      <x:c r="H3317" s="17" t="str">
        <x:v>Danda Rawat</x:v>
      </x:c>
      <x:c r="I3317" s="17" t="str">
        <x:v>Howard University</x:v>
      </x:c>
      <x:c r="J3317" s="17" t="str">
        <x:v>official</x:v>
      </x:c>
      <x:c r="K3317" s="17" t="str">
        <x:v>2026-09-11</x:v>
      </x:c>
      <x:c r="L3317" s="17" t="str">
        <x:v>2026</x:v>
      </x:c>
      <x:c r="M3317" s="17" t="str">
        <x:v>high</x:v>
      </x:c>
      <x:c r="N3317" s="17" t="str">
        <x:v>verified</x:v>
      </x:c>
      <x:c r="O3317" s="17" t="str">
        <x:v>Live official profile checked 2026-09-11.</x:v>
      </x:c>
      <x:c r="P3317" s="18" t="e">
        <x:f>HYPERLINK("https://profiles.howard.edu/danda-rawat","Open source")</x:f>
        <x:v>HYPERLINK is not implemented. linkLocation=https://profiles.howard.edu/danda-rawat, friendlyName=Open source</x:v>
      </x:c>
    </x:row>
    <x:row r="3318" ht="46" customHeight="1">
      <x:c r="A3318" s="17" t="str">
        <x:v>stage4src:acef4d62a2e17982</x:v>
      </x:c>
      <x:c r="B3318" s="17" t="str">
        <x:v>professor</x:v>
      </x:c>
      <x:c r="C3318" s="17" t="str">
        <x:v>Virginia Commonwealth University</x:v>
      </x:c>
      <x:c r="D3318" s="17" t="str">
        <x:v>us:ipeds:234030:program:phd:doctor-of-philosophy-in-computer-science</x:v>
      </x:c>
      <x:c r="E3318" s="17" t="str">
        <x:v>us:ipeds:234030:faculty:kostadin-damevski</x:v>
      </x:c>
      <x:c r="F3318" s="17" t="str">
        <x:v>current faculty position|graduate program leadership|email|contact instructions</x:v>
      </x:c>
      <x:c r="G3318" s="17" t="str">
        <x:v>VCU identifies Kostadin Damevski as professor and Computer Science graduate program director and provides the program contact channel.</x:v>
      </x:c>
      <x:c r="H3318" s="17" t="str">
        <x:v>VCU Engineering Graduate Programs</x:v>
      </x:c>
      <x:c r="I3318" s="17" t="str">
        <x:v>Virginia Commonwealth University</x:v>
      </x:c>
      <x:c r="J3318" s="17" t="str">
        <x:v>official</x:v>
      </x:c>
      <x:c r="K3318" s="17" t="str">
        <x:v>2026-09-11</x:v>
      </x:c>
      <x:c r="L3318" s="17" t="str">
        <x:v>2026</x:v>
      </x:c>
      <x:c r="M3318" s="17" t="str">
        <x:v>high</x:v>
      </x:c>
      <x:c r="N3318" s="17" t="str">
        <x:v>verified</x:v>
      </x:c>
      <x:c r="O3318" s="17" t="str">
        <x:v>Current official page and 2025-26 graduate handbook checked 2026-09-10.</x:v>
      </x:c>
      <x:c r="P3318" s="18" t="e">
        <x:f>HYPERLINK("https://egr.vcu.edu/future-students/graduate/index.html","Open source")</x:f>
        <x:v>HYPERLINK is not implemented. linkLocation=https://egr.vcu.edu/future-students/graduate/index.html, friendlyName=Open source</x:v>
      </x:c>
    </x:row>
    <x:row r="3319" ht="46" customHeight="1">
      <x:c r="A3319" s="17" t="str">
        <x:v>stage4src:ad7544fea7d2567f</x:v>
      </x:c>
      <x:c r="B3319" s="17" t="str">
        <x:v>professor</x:v>
      </x:c>
      <x:c r="C3319" s="17" t="str">
        <x:v>University of South Florida</x:v>
      </x:c>
      <x:c r="D3319" s="17" t="str">
        <x:v>us:ipeds:137351:program:phd:ph-d-in-computer-science-and-engineering</x:v>
      </x:c>
      <x:c r="E3319" s="17" t="str">
        <x:v>us:ipeds:137351:faculty:kaushal-kafle</x:v>
      </x:c>
      <x:c r="F3319" s="17" t="str">
        <x:v>PhD supervision authority|expired recruiting statement</x:v>
      </x:c>
      <x:c r="G3319" s="17" t="str">
        <x:v>Kafle identifies his USF tenure-track appointment and a prior funded Fall 2025 PhD invitation, establishing advising role but not Fall 2027 capacity.</x:v>
      </x:c>
      <x:c r="H3319" s="17" t="str">
        <x:v>Kaushal Kafle</x:v>
      </x:c>
      <x:c r="I3319" s="17" t="str">
        <x:v>OpenAlex / cited venue</x:v>
      </x:c>
      <x:c r="J3319" s="17" t="str">
        <x:v>secondary</x:v>
      </x:c>
      <x:c r="K3319" s="17" t="str">
        <x:v>2026-09-11</x:v>
      </x:c>
      <x:c r="L3319" s="17" t="str">
        <x:v>2025</x:v>
      </x:c>
      <x:c r="M3319" s="17" t="str">
        <x:v>high</x:v>
      </x:c>
      <x:c r="N3319" s="17" t="str">
        <x:v>verified</x:v>
      </x:c>
      <x:c r="O3319" s="17" t="str">
        <x:v>Faculty page checked 2026-09-10; expired recruiting was not treated as current.</x:v>
      </x:c>
      <x:c r="P3319" s="18" t="e">
        <x:f>HYPERLINK("https://kaushalkafle.com/","Open source")</x:f>
        <x:v>HYPERLINK is not implemented. linkLocation=https://kaushalkafle.com/, friendlyName=Open source</x:v>
      </x:c>
    </x:row>
    <x:row r="3320" ht="46" customHeight="1">
      <x:c r="A3320" s="17" t="str">
        <x:v>stage4src:adcbfa67114fccb6</x:v>
      </x:c>
      <x:c r="B3320" s="17" t="str">
        <x:v>professor</x:v>
      </x:c>
      <x:c r="C3320" s="17" t="str">
        <x:v>Colorado State University-Fort Collins</x:v>
      </x:c>
      <x:c r="D3320" s="17" t="str">
        <x:v>us:ipeds:126818:program:phd:computer-science-phd</x:v>
      </x:c>
      <x:c r="E3320" s="17" t="str">
        <x:v>us:ipeds:126818:faculty:sudipto-ghosh</x:v>
      </x:c>
      <x:c r="F3320" s="17" t="str">
        <x:v>recent work|research fit</x:v>
      </x:c>
      <x:c r="G3320" s="17" t="str">
        <x:v>The publication list records the 2025 BabelRTS regression-test-selection work.</x:v>
      </x:c>
      <x:c r="H3320" s="17" t="str">
        <x:v>Sudipto Ghosh publications</x:v>
      </x:c>
      <x:c r="I3320" s="17" t="str">
        <x:v>Colorado State University-Fort Collins</x:v>
      </x:c>
      <x:c r="J3320" s="17" t="str">
        <x:v>official</x:v>
      </x:c>
      <x:c r="K3320" s="17" t="str">
        <x:v>2026-09-11</x:v>
      </x:c>
      <x:c r="L3320" s="17" t="str">
        <x:v>2025</x:v>
      </x:c>
      <x:c r="M3320" s="17" t="str">
        <x:v>high</x:v>
      </x:c>
      <x:c r="N3320" s="17" t="str">
        <x:v>verified</x:v>
      </x:c>
      <x:c r="O3320" s="17" t="str">
        <x:v>University-hosted publication list checked 2026-09-10.</x:v>
      </x:c>
      <x:c r="P3320" s="18" t="e">
        <x:f>HYPERLINK("https://www.cs.colostate.edu/~ghosh/research/publications.php","Open source")</x:f>
        <x:v>HYPERLINK is not implemented. linkLocation=https://www.cs.colostate.edu/~ghosh/research/publications.php, friendlyName=Open source</x:v>
      </x:c>
    </x:row>
    <x:row r="3321" ht="46" customHeight="1">
      <x:c r="A3321" s="17" t="str">
        <x:v>stage4src:ae0411819222cf22</x:v>
      </x:c>
      <x:c r="B3321" s="17" t="str">
        <x:v>professor</x:v>
      </x:c>
      <x:c r="C3321" s="17" t="str">
        <x:v>University of Illinois Chicago</x:v>
      </x:c>
      <x:c r="D3321" s="17" t="str">
        <x:v>us:ipeds:145600:program:phd:phd-in-computer-science</x:v>
      </x:c>
      <x:c r="E3321" s="17" t="str">
        <x:v>us:ipeds:145600:faculty:mark-grechanik</x:v>
      </x:c>
      <x:c r="F3321" s="17" t="str">
        <x:v>program supervision authority</x:v>
      </x:c>
      <x:c r="G3321" s="17" t="str">
        <x:v>The official graduate catalog lists Mark Grechanik among Computer Science graduate faculty.</x:v>
      </x:c>
      <x:c r="H3321" s="17" t="str">
        <x:v>UIC Graduate Faculty</x:v>
      </x:c>
      <x:c r="I3321" s="17" t="str">
        <x:v>University of Illinois Chicago</x:v>
      </x:c>
      <x:c r="J3321" s="17" t="str">
        <x:v>official</x:v>
      </x:c>
      <x:c r="K3321" s="17" t="str">
        <x:v>2026-09-11</x:v>
      </x:c>
      <x:c r="L3321" s="17" t="str">
        <x:v>2026</x:v>
      </x:c>
      <x:c r="M3321" s="17" t="str">
        <x:v>high</x:v>
      </x:c>
      <x:c r="N3321" s="17" t="str">
        <x:v>verified</x:v>
      </x:c>
      <x:c r="O3321" s="17" t="str">
        <x:v>Current official graduate-faculty catalog checked 2026-09-10.</x:v>
      </x:c>
      <x:c r="P3321" s="18" t="e">
        <x:f>HYPERLINK("https://catalog.uic.edu/gcat/graduatefaculty/","Open source")</x:f>
        <x:v>HYPERLINK is not implemented. linkLocation=https://catalog.uic.edu/gcat/graduatefaculty/, friendlyName=Open source</x:v>
      </x:c>
    </x:row>
    <x:row r="3322" ht="46" customHeight="1">
      <x:c r="A3322" s="17" t="str">
        <x:v>stage4src:af099e591418f696</x:v>
      </x:c>
      <x:c r="B3322" s="17" t="str">
        <x:v>professor</x:v>
      </x:c>
      <x:c r="C3322" s="17" t="str">
        <x:v>University of Calgary</x:v>
      </x:c>
      <x:c r="D3322" s="17" t="str">
        <x:v>ca:dli:O18886830282:program:direct-entry-phd:phd-in-computer-science-without-completed-msc</x:v>
      </x:c>
      <x:c r="E3322" s="17" t="str">
        <x:v>ca:dli:O18886830282:faculty:hadi-hemmati</x:v>
      </x:c>
      <x:c r="F3322" s="17" t="str">
        <x:v>discovery publication signal|recent work</x:v>
      </x:c>
      <x:c r="G3322" s="17" t="str">
        <x:v>Publication metadata was examined for shortlist triage only; publication-time affiliation does not establish current appointment, supervision authority, or recruiting.</x:v>
      </x:c>
      <x:c r="H3322" s="17" t="str">
        <x:v>OpenAlex publication signal for Hadi Hemmati</x:v>
      </x:c>
      <x:c r="I3322" s="17" t="str">
        <x:v>OpenAlex / cited venue</x:v>
      </x:c>
      <x:c r="J3322" s="17" t="str">
        <x:v>secondary</x:v>
      </x:c>
      <x:c r="K3322" s="17" t="str">
        <x:v>2026-09-11</x:v>
      </x:c>
      <x:c r="L3322" s="17" t="str"/>
      <x:c r="M3322" s="17" t="str">
        <x:v>medium</x:v>
      </x:c>
      <x:c r="N3322" s="17" t="str">
        <x:v>discovery_only</x:v>
      </x:c>
      <x:c r="O3322" s="17" t="str">
        <x:v>Not used to award a professor score or faculty-depth point.</x:v>
      </x:c>
      <x:c r="P3322" s="18" t="e">
        <x:f>HYPERLINK("https://openalex.org/A5070634219","Open source")</x:f>
        <x:v>HYPERLINK is not implemented. linkLocation=https://openalex.org/A5070634219, friendlyName=Open source</x:v>
      </x:c>
    </x:row>
    <x:row r="3323" ht="46" customHeight="1">
      <x:c r="A3323" s="17" t="str">
        <x:v>stage4src:af4946a236a7d888</x:v>
      </x:c>
      <x:c r="B3323" s="17" t="str">
        <x:v>professor</x:v>
      </x:c>
      <x:c r="C3323" s="17" t="str">
        <x:v>West Virginia University</x:v>
      </x:c>
      <x:c r="D3323" s="17" t="str">
        <x:v>us:ipeds:238032:program:phd:ph-d-in-computer-science-and-information-science</x:v>
      </x:c>
      <x:c r="E3323" s="17" t="str">
        <x:v>us:ipeds:238032:faculty:katerina-goseva-popstojanova</x:v>
      </x:c>
      <x:c r="F3323" s="17" t="str">
        <x:v>program context|supervision authority|prospective instructions</x:v>
      </x:c>
      <x:c r="G3323" s="17" t="str">
        <x:v>The catalog establishes the Lane Department research PhD and faculty-adviser and committee structure.</x:v>
      </x:c>
      <x:c r="H3323" s="17" t="str">
        <x:v>Computer Science, Ph.D.</x:v>
      </x:c>
      <x:c r="I3323" s="17" t="str">
        <x:v>West Virginia University</x:v>
      </x:c>
      <x:c r="J3323" s="17" t="str">
        <x:v>official</x:v>
      </x:c>
      <x:c r="K3323" s="17" t="str">
        <x:v>2026-09-11</x:v>
      </x:c>
      <x:c r="L3323" s="17" t="str">
        <x:v>2026</x:v>
      </x:c>
      <x:c r="M3323" s="17" t="str">
        <x:v>high</x:v>
      </x:c>
      <x:c r="N3323" s="17" t="str">
        <x:v>verified</x:v>
      </x:c>
      <x:c r="O3323" s="17" t="str">
        <x:v>2026-27 official catalog checked 2026-09-11.</x:v>
      </x:c>
      <x:c r="P3323" s="18" t="e">
        <x:f>HYPERLINK("https://catalog.wvu.edu/graduate/collegeofengineeringandmineralresources/thelanedepartmentofcomputerscienceandelectricalengineering/cs/phd/","Open source")</x:f>
        <x:v>HYPERLINK is not implemented. linkLocation=https://catalog.wvu.edu/graduate/collegeofengineeringandmineralresources/thelanedepartmentofcomputerscienceandelectricalengineering/cs/phd/, friendlyName=Open source</x:v>
      </x:c>
    </x:row>
    <x:row r="3324" ht="46" customHeight="1">
      <x:c r="A3324" s="17" t="str">
        <x:v>stage4src:afcdd8011ec358c4</x:v>
      </x:c>
      <x:c r="B3324" s="17" t="str">
        <x:v>professor</x:v>
      </x:c>
      <x:c r="C3324" s="17" t="str">
        <x:v>St. Francis Xavier University</x:v>
      </x:c>
      <x:c r="D3324" s="17" t="str">
        <x:v>ca:dli:O19391556899:program:thesis-or-research-master-s:master-of-science-in-computer-science</x:v>
      </x:c>
      <x:c r="E3324" s="17" t="str">
        <x:v>ca:dli:O19391556899:faculty:taylor-j-smith</x:v>
      </x:c>
      <x:c r="F3324" s="17" t="str">
        <x:v>current MSc supervision|explicit recruiting|prospective-student instructions|active research</x:v>
      </x:c>
      <x:c r="G3324" s="17" t="str">
        <x:v>FLAReLab lists current master's students and explicitly states that openings are available for graduate students applying to the StFX MSc program.</x:v>
      </x:c>
      <x:c r="H3324" s="17" t="str">
        <x:v>FLAReLab</x:v>
      </x:c>
      <x:c r="I3324" s="17" t="str">
        <x:v>St. Francis Xavier University</x:v>
      </x:c>
      <x:c r="J3324" s="17" t="str">
        <x:v>official</x:v>
      </x:c>
      <x:c r="K3324" s="17" t="str">
        <x:v>2026-09-11</x:v>
      </x:c>
      <x:c r="L3324" s="17" t="str">
        <x:v>2026</x:v>
      </x:c>
      <x:c r="M3324" s="17" t="str">
        <x:v>high</x:v>
      </x:c>
      <x:c r="N3324" s="17" t="str">
        <x:v>verified</x:v>
      </x:c>
      <x:c r="O3324" s="17" t="str">
        <x:v>Live page checked 2026-09-11; opening must be refreshed before contact.</x:v>
      </x:c>
      <x:c r="P3324" s="18" t="e">
        <x:f>HYPERLINK("https://people.stfx.ca/tjsmith/lab/","Open source")</x:f>
        <x:v>HYPERLINK is not implemented. linkLocation=https://people.stfx.ca/tjsmith/lab/, friendlyName=Open source</x:v>
      </x:c>
    </x:row>
    <x:row r="3325" ht="46" customHeight="1">
      <x:c r="A3325" s="17" t="str">
        <x:v>stage4src:afef5e45e087d394</x:v>
      </x:c>
      <x:c r="B3325" s="17" t="str">
        <x:v>professor</x:v>
      </x:c>
      <x:c r="C3325" s="17" t="str">
        <x:v>Old Dominion University</x:v>
      </x:c>
      <x:c r="D3325" s="17" t="str">
        <x:v>us:ipeds:232982:program:phd:computer-science-ph-d</x:v>
      </x:c>
      <x:c r="E3325" s="17" t="str">
        <x:v>us:ipeds:232982:faculty:shuai-hao</x:v>
      </x:c>
      <x:c r="F3325" s="17" t="str">
        <x:v>program context|supervision authority|prospective instructions</x:v>
      </x:c>
      <x:c r="G3325" s="17" t="str">
        <x:v>ODU states CS PhD research is led by graduate faculty, requires a dissertation adviser, and encourages applicants to verify faculty research alignment.</x:v>
      </x:c>
      <x:c r="H3325" s="17" t="str">
        <x:v>Computer Science (PhD)</x:v>
      </x:c>
      <x:c r="I3325" s="17" t="str">
        <x:v>Old Dominion University</x:v>
      </x:c>
      <x:c r="J3325" s="17" t="str">
        <x:v>official</x:v>
      </x:c>
      <x:c r="K3325" s="17" t="str">
        <x:v>2026-09-11</x:v>
      </x:c>
      <x:c r="L3325" s="17" t="str">
        <x:v>2026</x:v>
      </x:c>
      <x:c r="M3325" s="17" t="str">
        <x:v>high</x:v>
      </x:c>
      <x:c r="N3325" s="17" t="str">
        <x:v>verified</x:v>
      </x:c>
      <x:c r="O3325" s="17" t="str">
        <x:v>Live official catalog checked 2026-09-11.</x:v>
      </x:c>
      <x:c r="P3325" s="18" t="e">
        <x:f>HYPERLINK("https://catalog.odu.edu/graduate/sciences/computer-science/computer-science-phd/","Open source")</x:f>
        <x:v>HYPERLINK is not implemented. linkLocation=https://catalog.odu.edu/graduate/sciences/computer-science/computer-science-phd/, friendlyName=Open source</x:v>
      </x:c>
    </x:row>
    <x:row r="3326" ht="46" customHeight="1">
      <x:c r="A3326" s="17" t="str">
        <x:v>stage4src:aff02e9722c0fb7d</x:v>
      </x:c>
      <x:c r="B3326" s="17" t="str">
        <x:v>professor</x:v>
      </x:c>
      <x:c r="C3326" s="17" t="str">
        <x:v>Åbo Akademi University</x:v>
      </x:c>
      <x:c r="D3326" s="17" t="str">
        <x:v>ror:029pk6x14:program:thesis-or-research-master-s:erasmus-mundus-joint-master-in-engineering-of-data-intensive-intelligent-software-systems-ediss</x:v>
      </x:c>
      <x:c r="E3326" s="17" t="str">
        <x:v>ror:029pk6x14:faculty:sebastien-lafond</x:v>
      </x:c>
      <x:c r="F3326" s="17" t="str">
        <x:v>program supervision model|main supervisor assignment|prospective student instructions</x:v>
      </x:c>
      <x:c r="G3326" s="17" t="str">
        <x:v>EDISS states that the main thesis supervisor comes from the student's second-year university, which is selected after the programme begins.</x:v>
      </x:c>
      <x:c r="H3326" s="17" t="str">
        <x:v>EDISS FAQ</x:v>
      </x:c>
      <x:c r="I3326" s="17" t="str">
        <x:v>Åbo Akademi University</x:v>
      </x:c>
      <x:c r="J3326" s="17" t="str">
        <x:v>official</x:v>
      </x:c>
      <x:c r="K3326" s="17" t="str">
        <x:v>2026-09-11</x:v>
      </x:c>
      <x:c r="L3326" s="17" t="str">
        <x:v>2026</x:v>
      </x:c>
      <x:c r="M3326" s="17" t="str">
        <x:v>high</x:v>
      </x:c>
      <x:c r="N3326" s="17" t="str">
        <x:v>verified</x:v>
      </x:c>
      <x:c r="O3326" s="17" t="str">
        <x:v>Live official FAQ checked 2026-09-11.</x:v>
      </x:c>
      <x:c r="P3326" s="18" t="e">
        <x:f>HYPERLINK("https://www.master-ediss.eu/faq/","Open source")</x:f>
        <x:v>HYPERLINK is not implemented. linkLocation=https://www.master-ediss.eu/faq/, friendlyName=Open source</x:v>
      </x:c>
    </x:row>
    <x:row r="3327" ht="46" customHeight="1">
      <x:c r="A3327" s="17" t="str">
        <x:v>stage4src:b0dacf36304b4182</x:v>
      </x:c>
      <x:c r="B3327" s="17" t="str">
        <x:v>professor</x:v>
      </x:c>
      <x:c r="C3327" s="17" t="str">
        <x:v>Ontario Tech University</x:v>
      </x:c>
      <x:c r="D3327" s="17" t="str">
        <x:v>ca:dli:O19315945002:program:thesis-or-research-master-s:software-engineering-masc</x:v>
      </x:c>
      <x:c r="E3327" s="17" t="str">
        <x:v>ca:dli:O19315945002:faculty:kundi-yao</x:v>
      </x:c>
      <x:c r="F3327" s="17" t="str">
        <x:v>recent work|research fit|recruiting status|prospective student instructions</x:v>
      </x:c>
      <x:c r="G3327" s="17" t="str">
        <x:v>The current page says Yao is looking for master's students and requests email, CV, transcripts, and publications.</x:v>
      </x:c>
      <x:c r="H3327" s="17" t="str">
        <x:v>Kundi Yao — Research and Student Opportunities</x:v>
      </x:c>
      <x:c r="I3327" s="17" t="str">
        <x:v>OpenAlex / cited venue</x:v>
      </x:c>
      <x:c r="J3327" s="17" t="str">
        <x:v>secondary</x:v>
      </x:c>
      <x:c r="K3327" s="17" t="str">
        <x:v>2026-09-11</x:v>
      </x:c>
      <x:c r="L3327" s="17" t="str">
        <x:v>2026</x:v>
      </x:c>
      <x:c r="M3327" s="17" t="str">
        <x:v>high</x:v>
      </x:c>
      <x:c r="N3327" s="17" t="str">
        <x:v>verified</x:v>
      </x:c>
      <x:c r="O3327" s="17" t="str">
        <x:v>Current author page checked 2026-09-10; direct statement supports recruiting classification.</x:v>
      </x:c>
      <x:c r="P3327" s="18" t="e">
        <x:f>HYPERLINK("https://kdyao.github.io/","Open source")</x:f>
        <x:v>HYPERLINK is not implemented. linkLocation=https://kdyao.github.io/, friendlyName=Open source</x:v>
      </x:c>
    </x:row>
    <x:row r="3328" ht="46" customHeight="1">
      <x:c r="A3328" s="17" t="str">
        <x:v>stage4src:b19f8809f970286a</x:v>
      </x:c>
      <x:c r="B3328" s="17" t="str">
        <x:v>professor</x:v>
      </x:c>
      <x:c r="C3328" s="17" t="str">
        <x:v>Washington State University</x:v>
      </x:c>
      <x:c r="D3328" s="17" t="str">
        <x:v>us:ipeds:236939:program:phd:doctor-of-philosophy-in-computer-science</x:v>
      </x:c>
      <x:c r="E3328" s="17" t="str"/>
      <x:c r="F3328" s="17" t="str">
        <x:v>current faculty roster|candidate longlist</x:v>
      </x:c>
      <x:c r="G3328" s="17" t="str">
        <x:v>Current official department roster or research-area faculty listing used to identify the five-person Stage 4 candidate longlist.</x:v>
      </x:c>
      <x:c r="H3328" s="17" t="str">
        <x:v>Washington State University current faculty roster</x:v>
      </x:c>
      <x:c r="I3328" s="17" t="str">
        <x:v>Washington State University</x:v>
      </x:c>
      <x:c r="J3328" s="17" t="str">
        <x:v>official</x:v>
      </x:c>
      <x:c r="K3328" s="17" t="str">
        <x:v>2026-09-11</x:v>
      </x:c>
      <x:c r="L3328" s="17" t="str"/>
      <x:c r="M3328" s="17" t="str">
        <x:v>high</x:v>
      </x:c>
      <x:c r="N3328" s="17" t="str">
        <x:v>verified</x:v>
      </x:c>
      <x:c r="O3328" s="17" t="str">
        <x:v>Roster evidence establishes a current listing, not program-specific supervision authority or recruiting.</x:v>
      </x:c>
      <x:c r="P3328" s="18" t="e">
        <x:f>HYPERLINK("https://school.eecs.wsu.edu/directory/","Open source")</x:f>
        <x:v>HYPERLINK is not implemented. linkLocation=https://school.eecs.wsu.edu/directory/, friendlyName=Open source</x:v>
      </x:c>
    </x:row>
    <x:row r="3329" ht="46" customHeight="1">
      <x:c r="A3329" s="17" t="str">
        <x:v>stage4src:b1b709e015a13552</x:v>
      </x:c>
      <x:c r="B3329" s="17" t="str">
        <x:v>professor</x:v>
      </x:c>
      <x:c r="C3329" s="17" t="str">
        <x:v>Portland State University</x:v>
      </x:c>
      <x:c r="D3329" s="17" t="str">
        <x:v>us:ipeds:209807:program:phd:doctoral-degree-in-computer-science-ph-d</x:v>
      </x:c>
      <x:c r="E3329" s="17" t="str">
        <x:v>us:ipeds:209807:faculty:fei-xie</x:v>
      </x:c>
      <x:c r="F3329" s="17" t="str">
        <x:v>current faculty roster|candidate longlist</x:v>
      </x:c>
      <x:c r="G3329" s="17" t="str">
        <x:v>The page lists Xie and the four encoded alternatives across current CS research areas.</x:v>
      </x:c>
      <x:c r="H3329" s="17" t="str">
        <x:v>Computer Science Research</x:v>
      </x:c>
      <x:c r="I3329" s="17" t="str">
        <x:v>Portland State University</x:v>
      </x:c>
      <x:c r="J3329" s="17" t="str">
        <x:v>official</x:v>
      </x:c>
      <x:c r="K3329" s="17" t="str">
        <x:v>2026-09-11</x:v>
      </x:c>
      <x:c r="L3329" s="17" t="str">
        <x:v>2026</x:v>
      </x:c>
      <x:c r="M3329" s="17" t="str">
        <x:v>high</x:v>
      </x:c>
      <x:c r="N3329" s="17" t="str">
        <x:v>verified</x:v>
      </x:c>
      <x:c r="O3329" s="17" t="str">
        <x:v>Official roster checked 2026-09-11.</x:v>
      </x:c>
      <x:c r="P3329" s="18" t="e">
        <x:f>HYPERLINK("https://www.pdx.edu/engineering/CS-research","Open source")</x:f>
        <x:v>HYPERLINK is not implemented. linkLocation=https://www.pdx.edu/engineering/CS-research, friendlyName=Open source</x:v>
      </x:c>
    </x:row>
    <x:row r="3330" ht="46" customHeight="1">
      <x:c r="A3330" s="17" t="str">
        <x:v>stage4src:b1ed00b99eca7c90</x:v>
      </x:c>
      <x:c r="B3330" s="17" t="str">
        <x:v>professor</x:v>
      </x:c>
      <x:c r="C3330" s="17" t="str">
        <x:v>West Virginia University</x:v>
      </x:c>
      <x:c r="D3330" s="17" t="str">
        <x:v>us:ipeds:238032:program:phd:ph-d-in-computer-science-and-information-science</x:v>
      </x:c>
      <x:c r="E3330" s="17" t="str">
        <x:v>us:ipeds:238032:faculty:katerina-goseva-popstojanova</x:v>
      </x:c>
      <x:c r="F3330" s="17" t="str">
        <x:v>current appointment|department|email|program supervision context</x:v>
      </x:c>
      <x:c r="G3330" s="17" t="str">
        <x:v>WVU lists Goseva-Popstojanova as a current Lane Department Professor and Cybersecurity Program Director with official email.</x:v>
      </x:c>
      <x:c r="H3330" s="17" t="str">
        <x:v>Statler College tenure-track faculty</x:v>
      </x:c>
      <x:c r="I3330" s="17" t="str">
        <x:v>West Virginia University</x:v>
      </x:c>
      <x:c r="J3330" s="17" t="str">
        <x:v>official</x:v>
      </x:c>
      <x:c r="K3330" s="17" t="str">
        <x:v>2026-09-11</x:v>
      </x:c>
      <x:c r="L3330" s="17" t="str">
        <x:v>2026</x:v>
      </x:c>
      <x:c r="M3330" s="17" t="str">
        <x:v>high</x:v>
      </x:c>
      <x:c r="N3330" s="17" t="str">
        <x:v>verified</x:v>
      </x:c>
      <x:c r="O3330" s="17" t="str">
        <x:v>Live official directory checked 2026-09-11.</x:v>
      </x:c>
      <x:c r="P3330" s="18" t="e">
        <x:f>HYPERLINK("https://directory.statler.wvu.edu/tenure-track-faculty","Open source")</x:f>
        <x:v>HYPERLINK is not implemented. linkLocation=https://directory.statler.wvu.edu/tenure-track-faculty, friendlyName=Open source</x:v>
      </x:c>
    </x:row>
    <x:row r="3331" ht="46" customHeight="1">
      <x:c r="A3331" s="17" t="str">
        <x:v>stage4src:b1f2f224beb3a0f0</x:v>
      </x:c>
      <x:c r="B3331" s="17" t="str">
        <x:v>professor</x:v>
      </x:c>
      <x:c r="C3331" s="17" t="str">
        <x:v>University of British Columbia</x:v>
      </x:c>
      <x:c r="D3331" s="17" t="str">
        <x:v>ca:dli:O19330231062:program:thesis-or-research-master-s:msc-in-computer-science-research</x:v>
      </x:c>
      <x:c r="E3331" s="17" t="str">
        <x:v>ca:dli:O19330231062:faculty:reid-holmes</x:v>
      </x:c>
      <x:c r="F3331" s="17" t="str">
        <x:v>recent work|research fit</x:v>
      </x:c>
      <x:c r="G3331" s="17" t="str">
        <x:v>Recent work supports the recorded TerraProbe/Evidex research overlap for Reid Holmes.</x:v>
      </x:c>
      <x:c r="H3331" s="17" t="str">
        <x:v>Recent scholarly work</x:v>
      </x:c>
      <x:c r="I3331" s="17" t="str">
        <x:v>OpenAlex / cited venue</x:v>
      </x:c>
      <x:c r="J3331" s="17" t="str">
        <x:v>secondary</x:v>
      </x:c>
      <x:c r="K3331" s="17" t="str">
        <x:v>2026-09-11</x:v>
      </x:c>
      <x:c r="L3331" s="17" t="str">
        <x:v>2024</x:v>
      </x:c>
      <x:c r="M3331" s="17" t="str">
        <x:v>high</x:v>
      </x:c>
      <x:c r="N3331" s="17" t="str">
        <x:v>verified</x:v>
      </x:c>
      <x:c r="O3331" s="17" t="str">
        <x:v>Carried from verified regional deep-review evidence.</x:v>
      </x:c>
      <x:c r="P3331" s="18" t="e">
        <x:f>HYPERLINK("https://www.cs.ubc.ca/~rtholmes/publications.html","Open source")</x:f>
        <x:v>HYPERLINK is not implemented. linkLocation=https://www.cs.ubc.ca/~rtholmes/publications.html, friendlyName=Open source</x:v>
      </x:c>
    </x:row>
    <x:row r="3332" ht="46" customHeight="1">
      <x:c r="A3332" s="17" t="str">
        <x:v>stage4src:b276f33253625029</x:v>
      </x:c>
      <x:c r="B3332" s="17" t="str">
        <x:v>professor</x:v>
      </x:c>
      <x:c r="C3332" s="17" t="str">
        <x:v>Southern Methodist University</x:v>
      </x:c>
      <x:c r="D3332" s="17" t="str">
        <x:v>us:ipeds:228246:program:phd:ph-d-in-computer-science</x:v>
      </x:c>
      <x:c r="E3332" s="17" t="str"/>
      <x:c r="F3332" s="17" t="str">
        <x:v>current faculty roster|candidate longlist</x:v>
      </x:c>
      <x:c r="G3332" s="17" t="str">
        <x:v>Current official department roster or research-area faculty listing used to identify the five-person Stage 4 candidate longlist.</x:v>
      </x:c>
      <x:c r="H3332" s="17" t="str">
        <x:v>Southern Methodist University current faculty roster</x:v>
      </x:c>
      <x:c r="I3332" s="17" t="str">
        <x:v>Southern Methodist University</x:v>
      </x:c>
      <x:c r="J3332" s="17" t="str">
        <x:v>official</x:v>
      </x:c>
      <x:c r="K3332" s="17" t="str">
        <x:v>2026-09-11</x:v>
      </x:c>
      <x:c r="L3332" s="17" t="str"/>
      <x:c r="M3332" s="17" t="str">
        <x:v>high</x:v>
      </x:c>
      <x:c r="N3332" s="17" t="str">
        <x:v>verified</x:v>
      </x:c>
      <x:c r="O3332" s="17" t="str">
        <x:v>Roster evidence establishes a current listing, not program-specific supervision authority or recruiting.</x:v>
      </x:c>
      <x:c r="P3332" s="18" t="e">
        <x:f>HYPERLINK("https://www.smu.edu/lyle/departments/cs/people/faculty","Open source")</x:f>
        <x:v>HYPERLINK is not implemented. linkLocation=https://www.smu.edu/lyle/departments/cs/people/faculty, friendlyName=Open source</x:v>
      </x:c>
    </x:row>
    <x:row r="3333" ht="46" customHeight="1">
      <x:c r="A3333" s="17" t="str">
        <x:v>stage4src:b28a15eda275d6c0</x:v>
      </x:c>
      <x:c r="B3333" s="17" t="str">
        <x:v>professor</x:v>
      </x:c>
      <x:c r="C3333" s="17" t="str">
        <x:v>Brandeis University</x:v>
      </x:c>
      <x:c r="D3333" s="17" t="str">
        <x:v>us:ipeds:165015:program:phd:computer-science-phd</x:v>
      </x:c>
      <x:c r="E3333" s="17" t="str">
        <x:v>us:ipeds:165015:faculty:subhadeep-sarkar</x:v>
      </x:c>
      <x:c r="F3333" s="17" t="str">
        <x:v>current appointment|department|email|research themes</x:v>
      </x:c>
      <x:c r="G3333" s="17" t="str">
        <x:v>Brandeis lists Sarkar as Assistant Professor of Computer Science, provides his email, and records data systems, storage, privacy, and cloud research.</x:v>
      </x:c>
      <x:c r="H3333" s="17" t="str">
        <x:v>Computer Science Faculty and Staff</x:v>
      </x:c>
      <x:c r="I3333" s="17" t="str">
        <x:v>Brandeis University</x:v>
      </x:c>
      <x:c r="J3333" s="17" t="str">
        <x:v>official</x:v>
      </x:c>
      <x:c r="K3333" s="17" t="str">
        <x:v>2026-09-11</x:v>
      </x:c>
      <x:c r="L3333" s="17" t="str">
        <x:v>2026</x:v>
      </x:c>
      <x:c r="M3333" s="17" t="str">
        <x:v>high</x:v>
      </x:c>
      <x:c r="N3333" s="17" t="str">
        <x:v>verified</x:v>
      </x:c>
      <x:c r="O3333" s="17" t="str">
        <x:v>Live official roster checked 2026-09-11.</x:v>
      </x:c>
      <x:c r="P3333" s="18" t="e">
        <x:f>HYPERLINK("https://www.brandeis.edu/computer-science/people/index.html","Open source")</x:f>
        <x:v>HYPERLINK is not implemented. linkLocation=https://www.brandeis.edu/computer-science/people/index.html, friendlyName=Open source</x:v>
      </x:c>
    </x:row>
    <x:row r="3334" ht="46" customHeight="1">
      <x:c r="A3334" s="17" t="str">
        <x:v>stage4src:b28f19ea9484e2a6</x:v>
      </x:c>
      <x:c r="B3334" s="17" t="str">
        <x:v>professor</x:v>
      </x:c>
      <x:c r="C3334" s="17" t="str">
        <x:v>Georgia State University</x:v>
      </x:c>
      <x:c r="D3334" s="17" t="str">
        <x:v>us:ipeds:139940:program:phd:computer-science-phd</x:v>
      </x:c>
      <x:c r="E3334" s="17" t="str">
        <x:v>us:ipeds:139940:faculty:wei-lisa-li</x:v>
      </x:c>
      <x:c r="F3334" s="17" t="str">
        <x:v>current appointment|department|email|graduate leadership</x:v>
      </x:c>
      <x:c r="G3334" s="17" t="str">
        <x:v>Georgia State lists Li as Associate Professor in Computer Science and Associate Director of Graduate Studies and provides her official email.</x:v>
      </x:c>
      <x:c r="H3334" s="17" t="str">
        <x:v>Computer Science Profile Directory</x:v>
      </x:c>
      <x:c r="I3334" s="17" t="str">
        <x:v>Georgia State University</x:v>
      </x:c>
      <x:c r="J3334" s="17" t="str">
        <x:v>official</x:v>
      </x:c>
      <x:c r="K3334" s="17" t="str">
        <x:v>2026-09-11</x:v>
      </x:c>
      <x:c r="L3334" s="17" t="str">
        <x:v>2026</x:v>
      </x:c>
      <x:c r="M3334" s="17" t="str">
        <x:v>high</x:v>
      </x:c>
      <x:c r="N3334" s="17" t="str">
        <x:v>verified</x:v>
      </x:c>
      <x:c r="O3334" s="17" t="str">
        <x:v>Live official directory checked 2026-09-11.</x:v>
      </x:c>
      <x:c r="P3334" s="18" t="e">
        <x:f>HYPERLINK("https://csds.gsu.edu/directory/","Open source")</x:f>
        <x:v>HYPERLINK is not implemented. linkLocation=https://csds.gsu.edu/directory/, friendlyName=Open source</x:v>
      </x:c>
    </x:row>
    <x:row r="3335" ht="46" customHeight="1">
      <x:c r="A3335" s="17" t="str">
        <x:v>stage4src:b2c161689363006a</x:v>
      </x:c>
      <x:c r="B3335" s="17" t="str">
        <x:v>professor</x:v>
      </x:c>
      <x:c r="C3335" s="17" t="str">
        <x:v>Clemson University</x:v>
      </x:c>
      <x:c r="D3335" s="17" t="str">
        <x:v>us:ipeds:217882:program:phd:computer-science-phd</x:v>
      </x:c>
      <x:c r="E3335" s="17" t="str">
        <x:v>us:ipeds:217882:faculty:paige-rodeghero</x:v>
      </x:c>
      <x:c r="F3335" s="17" t="str">
        <x:v>current research themes|research fit</x:v>
      </x:c>
      <x:c r="G3335" s="17" t="str">
        <x:v>The current directory identifies Rodeghero's DevLab and its AI-assisted software-development, developer-productivity, and collaboration agenda.</x:v>
      </x:c>
      <x:c r="H3335" s="17" t="str">
        <x:v>School of Computing Research Labs</x:v>
      </x:c>
      <x:c r="I3335" s="17" t="str">
        <x:v>Clemson University</x:v>
      </x:c>
      <x:c r="J3335" s="17" t="str">
        <x:v>official</x:v>
      </x:c>
      <x:c r="K3335" s="17" t="str">
        <x:v>2026-09-11</x:v>
      </x:c>
      <x:c r="L3335" s="17" t="str">
        <x:v>2026</x:v>
      </x:c>
      <x:c r="M3335" s="17" t="str">
        <x:v>high</x:v>
      </x:c>
      <x:c r="N3335" s="17" t="str">
        <x:v>verified</x:v>
      </x:c>
      <x:c r="O3335" s="17" t="str">
        <x:v>Current official lab directory checked 2026-09-10.</x:v>
      </x:c>
      <x:c r="P3335" s="18" t="e">
        <x:f>HYPERLINK("https://www.clemson.edu/cecas/departments/computing/research/labs/","Open source")</x:f>
        <x:v>HYPERLINK is not implemented. linkLocation=https://www.clemson.edu/cecas/departments/computing/research/labs/, friendlyName=Open source</x:v>
      </x:c>
    </x:row>
    <x:row r="3336" ht="46" customHeight="1">
      <x:c r="A3336" s="17" t="str">
        <x:v>stage4src:b382c0a2a337ecc5</x:v>
      </x:c>
      <x:c r="B3336" s="17" t="str">
        <x:v>professor</x:v>
      </x:c>
      <x:c r="C3336" s="17" t="str">
        <x:v>University of Alabama in Huntsville</x:v>
      </x:c>
      <x:c r="D3336" s="17" t="str">
        <x:v>us:ipeds:100706:program:phd:computer-science-ph-d</x:v>
      </x:c>
      <x:c r="E3336" s="17" t="str">
        <x:v>us:ipeds:100706:faculty:bramwell-brizendine</x:v>
      </x:c>
      <x:c r="F3336" s="17" t="str">
        <x:v>current appointment|recent project|research fit</x:v>
      </x:c>
      <x:c r="G3336" s="17" t="str">
        <x:v>UAH identifies Brizendine as a current Assistant Professor and describes the active BEAST malware-emulation and anti-forensics project.</x:v>
      </x:c>
      <x:c r="H3336" s="17" t="str">
        <x:v>UAH Assistant Professor Receives DARPA Young Faculty Award</x:v>
      </x:c>
      <x:c r="I3336" s="17" t="str">
        <x:v>University of Alabama in Huntsville</x:v>
      </x:c>
      <x:c r="J3336" s="17" t="str">
        <x:v>official</x:v>
      </x:c>
      <x:c r="K3336" s="17" t="str">
        <x:v>2026-09-11</x:v>
      </x:c>
      <x:c r="L3336" s="17" t="str">
        <x:v>2025</x:v>
      </x:c>
      <x:c r="M3336" s="17" t="str">
        <x:v>high</x:v>
      </x:c>
      <x:c r="N3336" s="17" t="str">
        <x:v>verified</x:v>
      </x:c>
      <x:c r="O3336" s="17" t="str">
        <x:v>Official announcement checked 2026-09-11; award activity is not recruiting evidence.</x:v>
      </x:c>
      <x:c r="P3336" s="18" t="e">
        <x:f>HYPERLINK("https://www.uah.edu/science/departments/computer-science/news/19833-uah-assistant-professor-receives-darpa-young-faculty-award","Open source")</x:f>
        <x:v>HYPERLINK is not implemented. linkLocation=https://www.uah.edu/science/departments/computer-science/news/19833-uah-assistant-professor-receives-darpa-young-faculty-award, friendlyName=Open source</x:v>
      </x:c>
    </x:row>
    <x:row r="3337" ht="46" customHeight="1">
      <x:c r="A3337" s="17" t="str">
        <x:v>stage4src:b3a854e934ed9e89</x:v>
      </x:c>
      <x:c r="B3337" s="17" t="str">
        <x:v>professor</x:v>
      </x:c>
      <x:c r="C3337" s="17" t="str">
        <x:v>Lehigh University</x:v>
      </x:c>
      <x:c r="D3337" s="17" t="str">
        <x:v>us:ipeds:213543:program:phd:phd-in-computer-science</x:v>
      </x:c>
      <x:c r="E3337" s="17" t="str">
        <x:v>us:ipeds:213543:faculty:lichao-sun</x:v>
      </x:c>
      <x:c r="F3337" s="17" t="str">
        <x:v>program supervision authority|current advisees</x:v>
      </x:c>
      <x:c r="G3337" s="17" t="str">
        <x:v>The current CSE doctoral roster identifies PhD students advised by Lichao Sun.</x:v>
      </x:c>
      <x:c r="H3337" s="17" t="str">
        <x:v>CSE Doctoral Students</x:v>
      </x:c>
      <x:c r="I3337" s="17" t="str">
        <x:v>Lehigh University</x:v>
      </x:c>
      <x:c r="J3337" s="17" t="str">
        <x:v>official</x:v>
      </x:c>
      <x:c r="K3337" s="17" t="str">
        <x:v>2026-09-11</x:v>
      </x:c>
      <x:c r="L3337" s="17" t="str">
        <x:v>2026</x:v>
      </x:c>
      <x:c r="M3337" s="17" t="str">
        <x:v>high</x:v>
      </x:c>
      <x:c r="N3337" s="17" t="str">
        <x:v>verified</x:v>
      </x:c>
      <x:c r="O3337" s="17" t="str">
        <x:v>Live official roster checked 2026-09-11.</x:v>
      </x:c>
      <x:c r="P3337" s="18" t="e">
        <x:f>HYPERLINK("https://engineering.lehigh.edu/cse/faculty/grad-students","Open source")</x:f>
        <x:v>HYPERLINK is not implemented. linkLocation=https://engineering.lehigh.edu/cse/faculty/grad-students, friendlyName=Open source</x:v>
      </x:c>
    </x:row>
    <x:row r="3338" ht="46" customHeight="1">
      <x:c r="A3338" s="17" t="str">
        <x:v>stage4src:b3bd761adf521bc1</x:v>
      </x:c>
      <x:c r="B3338" s="17" t="str">
        <x:v>professor</x:v>
      </x:c>
      <x:c r="C3338" s="17" t="str">
        <x:v>University College London</x:v>
      </x:c>
      <x:c r="D3338" s="17" t="str">
        <x:v>ror:02jx3x895:program:integrated-or-structured-doctorate:computer-science-mphil-phd</x:v>
      </x:c>
      <x:c r="E3338" s="17" t="str">
        <x:v>ror:02jx3x895:faculty:sergey-mechtaev</x:v>
      </x:c>
      <x:c r="F3338" s="17" t="str">
        <x:v>discovery publication signal|recent work</x:v>
      </x:c>
      <x:c r="G3338" s="17" t="str">
        <x:v>Publication metadata was examined for shortlist triage only; publication-time affiliation does not establish current appointment, supervision authority, or recruiting.</x:v>
      </x:c>
      <x:c r="H3338" s="17" t="str">
        <x:v>OpenAlex publication signal for Sergey Mechtaev</x:v>
      </x:c>
      <x:c r="I3338" s="17" t="str">
        <x:v>OpenAlex / cited venue</x:v>
      </x:c>
      <x:c r="J3338" s="17" t="str">
        <x:v>secondary</x:v>
      </x:c>
      <x:c r="K3338" s="17" t="str">
        <x:v>2026-09-11</x:v>
      </x:c>
      <x:c r="L3338" s="17" t="str"/>
      <x:c r="M3338" s="17" t="str">
        <x:v>medium</x:v>
      </x:c>
      <x:c r="N3338" s="17" t="str">
        <x:v>discovery_only</x:v>
      </x:c>
      <x:c r="O3338" s="17" t="str">
        <x:v>Not used to award a professor score or faculty-depth point.</x:v>
      </x:c>
      <x:c r="P3338" s="18" t="e">
        <x:f>HYPERLINK("https://openalex.org/A5011184280","Open source")</x:f>
        <x:v>HYPERLINK is not implemented. linkLocation=https://openalex.org/A5011184280, friendlyName=Open source</x:v>
      </x:c>
    </x:row>
    <x:row r="3339" ht="46" customHeight="1">
      <x:c r="A3339" s="17" t="str">
        <x:v>stage4src:b4480ebdfe3644c8</x:v>
      </x:c>
      <x:c r="B3339" s="17" t="str">
        <x:v>professor</x:v>
      </x:c>
      <x:c r="C3339" s="17" t="str">
        <x:v>University of Alabama in Huntsville</x:v>
      </x:c>
      <x:c r="D3339" s="17" t="str">
        <x:v>us:ipeds:100706:program:phd:computer-science-ph-d</x:v>
      </x:c>
      <x:c r="E3339" s="17" t="str">
        <x:v>us:ipeds:100706:faculty:bramwell-brizendine</x:v>
      </x:c>
      <x:c r="F3339" s="17" t="str">
        <x:v>recent work|research fit</x:v>
      </x:c>
      <x:c r="G3339" s="17" t="str">
        <x:v>The 2025 work evaluates ASLR bypass paths and mitigations for modern software defenses.</x:v>
      </x:c>
      <x:c r="H3339" s="17" t="str">
        <x:v>Predictable Paths: Novel ASLR Bypass Methods and Mitigations</x:v>
      </x:c>
      <x:c r="I3339" s="17" t="str">
        <x:v>OpenAlex / cited venue</x:v>
      </x:c>
      <x:c r="J3339" s="17" t="str">
        <x:v>secondary</x:v>
      </x:c>
      <x:c r="K3339" s="17" t="str">
        <x:v>2026-09-11</x:v>
      </x:c>
      <x:c r="L3339" s="17" t="str">
        <x:v>2025</x:v>
      </x:c>
      <x:c r="M3339" s="17" t="str">
        <x:v>high</x:v>
      </x:c>
      <x:c r="N3339" s="17" t="str">
        <x:v>verified</x:v>
      </x:c>
      <x:c r="O3339" s="17" t="str">
        <x:v>Publisher DOI and indexed metadata checked 2026-09-11.</x:v>
      </x:c>
      <x:c r="P3339" s="18" t="e">
        <x:f>HYPERLINK("https://doi.org/10.1109/ACCESS.2025.3578602","Open source")</x:f>
        <x:v>HYPERLINK is not implemented. linkLocation=https://doi.org/10.1109/ACCESS.2025.3578602, friendlyName=Open source</x:v>
      </x:c>
    </x:row>
    <x:row r="3340" ht="46" customHeight="1">
      <x:c r="A3340" s="17" t="str">
        <x:v>stage4src:b4fca2b12e49365c</x:v>
      </x:c>
      <x:c r="B3340" s="17" t="str">
        <x:v>professor</x:v>
      </x:c>
      <x:c r="C3340" s="17" t="str">
        <x:v>Illinois Institute of Technology</x:v>
      </x:c>
      <x:c r="D3340" s="17" t="str">
        <x:v>us:ipeds:145725:program:phd:computer-science-ph-d</x:v>
      </x:c>
      <x:c r="E3340" s="17" t="str">
        <x:v>us:ipeds:145725:faculty:nik-sultana</x:v>
      </x:c>
      <x:c r="F3340" s="17" t="str">
        <x:v>recruiting evidence|tuition and stipend|prospective instructions</x:v>
      </x:c>
      <x:c r="G3340" s="17" t="str">
        <x:v>Sultana explicitly seeks domestic and international Computer Science PhD students and advertises competitive tuition and stipend support.</x:v>
      </x:c>
      <x:c r="H3340" s="17" t="str">
        <x:v>PhD student opportunities</x:v>
      </x:c>
      <x:c r="I3340" s="17" t="str">
        <x:v>Illinois Institute of Technology</x:v>
      </x:c>
      <x:c r="J3340" s="17" t="str">
        <x:v>official</x:v>
      </x:c>
      <x:c r="K3340" s="17" t="str">
        <x:v>2026-09-11</x:v>
      </x:c>
      <x:c r="L3340" s="17" t="str">
        <x:v>2026</x:v>
      </x:c>
      <x:c r="M3340" s="17" t="str">
        <x:v>high</x:v>
      </x:c>
      <x:c r="N3340" s="17" t="str">
        <x:v>verified</x:v>
      </x:c>
      <x:c r="O3340" s="17" t="str">
        <x:v>Page updated 2026-02-20 and checked 2026-09-11; Fall 2027 persistence remains unverified.</x:v>
      </x:c>
      <x:c r="P3340" s="18" t="e">
        <x:f>HYPERLINK("https://cs.iit.edu/~nsultana1/student_projects/phd.html","Open source")</x:f>
        <x:v>HYPERLINK is not implemented. linkLocation=https://cs.iit.edu/~nsultana1/student_projects/phd.html, friendlyName=Open source</x:v>
      </x:c>
    </x:row>
    <x:row r="3341" ht="46" customHeight="1">
      <x:c r="A3341" s="17" t="str">
        <x:v>stage4src:b59a83259fb16534</x:v>
      </x:c>
      <x:c r="B3341" s="17" t="str">
        <x:v>professor</x:v>
      </x:c>
      <x:c r="C3341" s="17" t="str">
        <x:v>University of Waterloo</x:v>
      </x:c>
      <x:c r="D3341" s="17" t="str">
        <x:v>ca:dli:O19305471522:program:thesis-or-research-master-s:mmath-in-computer-science-thesis</x:v>
      </x:c>
      <x:c r="E3341" s="17" t="str">
        <x:v>ca:dli:O19305471522:faculty:shane-mcintosh</x:v>
      </x:c>
      <x:c r="F3341" s="17" t="str">
        <x:v>current appointment|program supervision authority|research themes</x:v>
      </x:c>
      <x:c r="G3341" s="17" t="str">
        <x:v>Shane McIntosh is current Associate Professor working in empirical SE, software delivery/DevOps and quality.</x:v>
      </x:c>
      <x:c r="H3341" s="17" t="str">
        <x:v>Shane McIntosh</x:v>
      </x:c>
      <x:c r="I3341" s="17" t="str">
        <x:v>University of Waterloo</x:v>
      </x:c>
      <x:c r="J3341" s="17" t="str">
        <x:v>official</x:v>
      </x:c>
      <x:c r="K3341" s="17" t="str">
        <x:v>2026-09-11</x:v>
      </x:c>
      <x:c r="L3341" s="17" t="str"/>
      <x:c r="M3341" s="17" t="str">
        <x:v>high</x:v>
      </x:c>
      <x:c r="N3341" s="17" t="str">
        <x:v>verified</x:v>
      </x:c>
      <x:c r="O3341" s="17" t="str">
        <x:v>No search snippet used as final evidence; URL/page content reviewed.</x:v>
      </x:c>
      <x:c r="P3341" s="18" t="e">
        <x:f>HYPERLINK("https://uwaterloo.ca/computer-science/about/people/s4mcinto","Open source")</x:f>
        <x:v>HYPERLINK is not implemented. linkLocation=https://uwaterloo.ca/computer-science/about/people/s4mcinto, friendlyName=Open source</x:v>
      </x:c>
    </x:row>
    <x:row r="3342" ht="46" customHeight="1">
      <x:c r="A3342" s="17" t="str">
        <x:v>stage4src:b5e56618562d413f</x:v>
      </x:c>
      <x:c r="B3342" s="17" t="str">
        <x:v>professor</x:v>
      </x:c>
      <x:c r="C3342" s="17" t="str">
        <x:v>St. Francis Xavier University</x:v>
      </x:c>
      <x:c r="D3342" s="17" t="str">
        <x:v>ca:dli:O19391556899:program:thesis-or-research-master-s:master-of-science-in-computer-science</x:v>
      </x:c>
      <x:c r="E3342" s="17" t="str"/>
      <x:c r="F3342" s="17" t="str">
        <x:v>current faculty roster|candidate longlist</x:v>
      </x:c>
      <x:c r="G3342" s="17" t="str">
        <x:v>Current official department roster or research-area faculty listing used to identify the five-person Stage 4 candidate longlist.</x:v>
      </x:c>
      <x:c r="H3342" s="17" t="str">
        <x:v>St. Francis Xavier University current faculty roster</x:v>
      </x:c>
      <x:c r="I3342" s="17" t="str">
        <x:v>St. Francis Xavier University</x:v>
      </x:c>
      <x:c r="J3342" s="17" t="str">
        <x:v>official</x:v>
      </x:c>
      <x:c r="K3342" s="17" t="str">
        <x:v>2026-09-11</x:v>
      </x:c>
      <x:c r="L3342" s="17" t="str"/>
      <x:c r="M3342" s="17" t="str">
        <x:v>high</x:v>
      </x:c>
      <x:c r="N3342" s="17" t="str">
        <x:v>verified</x:v>
      </x:c>
      <x:c r="O3342" s="17" t="str">
        <x:v>Roster evidence establishes a current listing, not program-specific supervision authority or recruiting.</x:v>
      </x:c>
      <x:c r="P3342" s="18" t="e">
        <x:f>HYPERLINK("https://www.stfx.ca/directory-department/761?groupid=581","Open source")</x:f>
        <x:v>HYPERLINK is not implemented. linkLocation=https://www.stfx.ca/directory-department/761?groupid=581, friendlyName=Open source</x:v>
      </x:c>
    </x:row>
    <x:row r="3343" ht="46" customHeight="1">
      <x:c r="A3343" s="17" t="str">
        <x:v>stage4src:b5e787dc7ed4a200</x:v>
      </x:c>
      <x:c r="B3343" s="17" t="str">
        <x:v>professor</x:v>
      </x:c>
      <x:c r="C3343" s="17" t="str">
        <x:v>University of British Columbia</x:v>
      </x:c>
      <x:c r="D3343" s="17" t="str">
        <x:v>ca:dli:O19330231062:program:thesis-or-research-master-s:msc-in-computer-science-research</x:v>
      </x:c>
      <x:c r="E3343" s="17" t="str"/>
      <x:c r="F3343" s="17" t="str">
        <x:v>current faculty roster|candidate longlist</x:v>
      </x:c>
      <x:c r="G3343" s="17" t="str">
        <x:v>Current official department roster or research-area faculty listing used to identify the five-person Stage 4 candidate longlist.</x:v>
      </x:c>
      <x:c r="H3343" s="17" t="str">
        <x:v>University of British Columbia current faculty roster</x:v>
      </x:c>
      <x:c r="I3343" s="17" t="str">
        <x:v>University of British Columbia</x:v>
      </x:c>
      <x:c r="J3343" s="17" t="str">
        <x:v>official</x:v>
      </x:c>
      <x:c r="K3343" s="17" t="str">
        <x:v>2026-09-11</x:v>
      </x:c>
      <x:c r="L3343" s="17" t="str"/>
      <x:c r="M3343" s="17" t="str">
        <x:v>high</x:v>
      </x:c>
      <x:c r="N3343" s="17" t="str">
        <x:v>verified</x:v>
      </x:c>
      <x:c r="O3343" s="17" t="str">
        <x:v>Roster evidence establishes a current listing, not program-specific supervision authority or recruiting.</x:v>
      </x:c>
      <x:c r="P3343" s="18" t="e">
        <x:f>HYPERLINK("https://ece.ubc.ca/people/faculty/","Open source")</x:f>
        <x:v>HYPERLINK is not implemented. linkLocation=https://ece.ubc.ca/people/faculty/, friendlyName=Open source</x:v>
      </x:c>
    </x:row>
    <x:row r="3344" ht="46" customHeight="1">
      <x:c r="A3344" s="17" t="str">
        <x:v>stage4src:b6168d7078cf5dde</x:v>
      </x:c>
      <x:c r="B3344" s="17" t="str">
        <x:v>professor</x:v>
      </x:c>
      <x:c r="C3344" s="17" t="str">
        <x:v>Louisiana State University and Agricultural &amp; Mechanical College</x:v>
      </x:c>
      <x:c r="D3344" s="17" t="str">
        <x:v>us:ipeds:159391:program:phd:ph-d-in-computer-science-and-engineering</x:v>
      </x:c>
      <x:c r="E3344" s="17" t="str">
        <x:v>us:ipeds:159391:faculty:elias-bou-harb</x:v>
      </x:c>
      <x:c r="F3344" s="17" t="str">
        <x:v>current appointment|department|research group|program supervision context</x:v>
      </x:c>
      <x:c r="G3344" s="17" t="str">
        <x:v>The official CSE page lists current security, software, programming-systems, and cyber-physical research groups used for the bounded longlist.</x:v>
      </x:c>
      <x:c r="H3344" s="17" t="str">
        <x:v>CSE Research Groups</x:v>
      </x:c>
      <x:c r="I3344" s="17" t="str">
        <x:v>Louisiana State University and Agricultural &amp; Mechanical College</x:v>
      </x:c>
      <x:c r="J3344" s="17" t="str">
        <x:v>official</x:v>
      </x:c>
      <x:c r="K3344" s="17" t="str">
        <x:v>2026-09-11</x:v>
      </x:c>
      <x:c r="L3344" s="17" t="str">
        <x:v>2026</x:v>
      </x:c>
      <x:c r="M3344" s="17" t="str">
        <x:v>high</x:v>
      </x:c>
      <x:c r="N3344" s="17" t="str">
        <x:v>verified</x:v>
      </x:c>
      <x:c r="O3344" s="17" t="str">
        <x:v>Live official page checked 2026-09-11.</x:v>
      </x:c>
      <x:c r="P3344" s="18" t="e">
        <x:f>HYPERLINK("https://www.lsu.edu/eng/cse/research/researchgroups.php","Open source")</x:f>
        <x:v>HYPERLINK is not implemented. linkLocation=https://www.lsu.edu/eng/cse/research/researchgroups.php, friendlyName=Open source</x:v>
      </x:c>
    </x:row>
    <x:row r="3345" ht="46" customHeight="1">
      <x:c r="A3345" s="17" t="str">
        <x:v>stage4src:b6227af6b18d3e26</x:v>
      </x:c>
      <x:c r="B3345" s="17" t="str">
        <x:v>professor</x:v>
      </x:c>
      <x:c r="C3345" s="17" t="str">
        <x:v>Emory University</x:v>
      </x:c>
      <x:c r="D3345" s="17" t="str">
        <x:v>us:ipeds:139658:program:phd:phd-in-computer-science-and-informatics</x:v>
      </x:c>
      <x:c r="E3345" s="17" t="str">
        <x:v>us:ipeds:139658:faculty:dorian-arnold</x:v>
      </x:c>
      <x:c r="F3345" s="17" t="str">
        <x:v>prospective-student instructions|contact appropriateness</x:v>
      </x:c>
      <x:c r="G3345" s="17" t="str">
        <x:v>Emory encourages applicants to identify at least two faculty of interest, study their work, and keep any outreach specific and informed.</x:v>
      </x:c>
      <x:c r="H3345" s="17" t="str">
        <x:v>FAQs for PhD Applicants</x:v>
      </x:c>
      <x:c r="I3345" s="17" t="str">
        <x:v>Emory University</x:v>
      </x:c>
      <x:c r="J3345" s="17" t="str">
        <x:v>official</x:v>
      </x:c>
      <x:c r="K3345" s="17" t="str">
        <x:v>2026-09-11</x:v>
      </x:c>
      <x:c r="L3345" s="17" t="str">
        <x:v>2026</x:v>
      </x:c>
      <x:c r="M3345" s="17" t="str">
        <x:v>high</x:v>
      </x:c>
      <x:c r="N3345" s="17" t="str">
        <x:v>verified</x:v>
      </x:c>
      <x:c r="O3345" s="17" t="str">
        <x:v>Live official instructions checked 2026-09-11; the general contact invitation is not an individual opening.</x:v>
      </x:c>
      <x:c r="P3345" s="18" t="e">
        <x:f>HYPERLINK("https://computerscience.emory.edu/graduate-phd/admissions/phd-faqs.html","Open source")</x:f>
        <x:v>HYPERLINK is not implemented. linkLocation=https://computerscience.emory.edu/graduate-phd/admissions/phd-faqs.html, friendlyName=Open source</x:v>
      </x:c>
    </x:row>
    <x:row r="3346" ht="46" customHeight="1">
      <x:c r="A3346" s="17" t="str">
        <x:v>stage4src:b6ccdd0ca4b6b41a</x:v>
      </x:c>
      <x:c r="B3346" s="17" t="str">
        <x:v>professor</x:v>
      </x:c>
      <x:c r="C3346" s="17" t="str">
        <x:v>University of Calgary</x:v>
      </x:c>
      <x:c r="D3346" s="17" t="str">
        <x:v>ca:dli:O18886830282:program:thesis-or-research-master-s:msc-in-computer-science-thesis</x:v>
      </x:c>
      <x:c r="E3346" s="17" t="str">
        <x:v>ca:dli:O18886830282:faculty:mahmoud-alfadel</x:v>
      </x:c>
      <x:c r="F3346" s="17" t="str">
        <x:v>recent work|research fit</x:v>
      </x:c>
      <x:c r="G3346" s="17" t="str">
        <x:v>Bibliographic record lists 2025 bug-localization and build-system work.</x:v>
      </x:c>
      <x:c r="H3346" s="17" t="str">
        <x:v>Mahmoud Alfadel bibliography</x:v>
      </x:c>
      <x:c r="I3346" s="17" t="str">
        <x:v>OpenAlex / cited venue</x:v>
      </x:c>
      <x:c r="J3346" s="17" t="str">
        <x:v>secondary</x:v>
      </x:c>
      <x:c r="K3346" s="17" t="str">
        <x:v>2026-09-11</x:v>
      </x:c>
      <x:c r="L3346" s="17" t="str">
        <x:v>2025</x:v>
      </x:c>
      <x:c r="M3346" s="17" t="str">
        <x:v>high</x:v>
      </x:c>
      <x:c r="N3346" s="17" t="str">
        <x:v>verified</x:v>
      </x:c>
      <x:c r="O3346" s="17" t="str">
        <x:v>No search snippet used as final evidence; URL/page content reviewed.</x:v>
      </x:c>
      <x:c r="P3346" s="18" t="e">
        <x:f>HYPERLINK("https://dblp.org/pid/272/9685.html","Open source")</x:f>
        <x:v>HYPERLINK is not implemented. linkLocation=https://dblp.org/pid/272/9685.html, friendlyName=Open source</x:v>
      </x:c>
    </x:row>
    <x:row r="3347" ht="46" customHeight="1">
      <x:c r="A3347" s="17" t="str">
        <x:v>stage4src:b86432acd0536f61</x:v>
      </x:c>
      <x:c r="B3347" s="17" t="str">
        <x:v>professor</x:v>
      </x:c>
      <x:c r="C3347" s="17" t="str">
        <x:v>Boise State University</x:v>
      </x:c>
      <x:c r="D3347" s="17" t="str">
        <x:v>us:ipeds:142115:program:phd:computing-phd-computer-science-or-cybersecurity-emphasis</x:v>
      </x:c>
      <x:c r="E3347" s="17" t="str">
        <x:v>us:ipeds:142115:faculty:elena-sherman</x:v>
      </x:c>
      <x:c r="F3347" s="17" t="str">
        <x:v>current appointment|recent work|research fit</x:v>
      </x:c>
      <x:c r="G3347" s="17" t="str">
        <x:v>The current profile records Sherman's Associate Professor and Associate Chair roles, active work, and 2023 symbolic-execution publication.</x:v>
      </x:c>
      <x:c r="H3347" s="17" t="str">
        <x:v>Elena Sherman — Boise State Experts</x:v>
      </x:c>
      <x:c r="I3347" s="17" t="str">
        <x:v>Boise State University</x:v>
      </x:c>
      <x:c r="J3347" s="17" t="str">
        <x:v>official</x:v>
      </x:c>
      <x:c r="K3347" s="17" t="str">
        <x:v>2026-09-11</x:v>
      </x:c>
      <x:c r="L3347" s="17" t="str">
        <x:v>2026</x:v>
      </x:c>
      <x:c r="M3347" s="17" t="str">
        <x:v>high</x:v>
      </x:c>
      <x:c r="N3347" s="17" t="str">
        <x:v>verified</x:v>
      </x:c>
      <x:c r="O3347" s="17" t="str">
        <x:v>Current official profile checked 2026-09-10.</x:v>
      </x:c>
      <x:c r="P3347" s="18" t="e">
        <x:f>HYPERLINK("https://experts.boisestate.edu/en/persons/elena-sherman/","Open source")</x:f>
        <x:v>HYPERLINK is not implemented. linkLocation=https://experts.boisestate.edu/en/persons/elena-sherman/, friendlyName=Open source</x:v>
      </x:c>
    </x:row>
    <x:row r="3348" ht="46" customHeight="1">
      <x:c r="A3348" s="17" t="str">
        <x:v>stage4src:b86678f7852231ce</x:v>
      </x:c>
      <x:c r="B3348" s="17" t="str">
        <x:v>professor</x:v>
      </x:c>
      <x:c r="C3348" s="17" t="str">
        <x:v>Lehigh University</x:v>
      </x:c>
      <x:c r="D3348" s="17" t="str">
        <x:v>us:ipeds:213543:program:phd:phd-in-computer-science</x:v>
      </x:c>
      <x:c r="E3348" s="17" t="str">
        <x:v>us:ipeds:213543:faculty:lichao-sun</x:v>
      </x:c>
      <x:c r="F3348" s="17" t="str">
        <x:v>current appointment|department|email|research themes</x:v>
      </x:c>
      <x:c r="G3348" s="17" t="str">
        <x:v>Lehigh lists Sun as an Assistant Professor of CSE researching AI security and privacy.</x:v>
      </x:c>
      <x:c r="H3348" s="17" t="str">
        <x:v>Lichao Sun</x:v>
      </x:c>
      <x:c r="I3348" s="17" t="str">
        <x:v>Lehigh University</x:v>
      </x:c>
      <x:c r="J3348" s="17" t="str">
        <x:v>official</x:v>
      </x:c>
      <x:c r="K3348" s="17" t="str">
        <x:v>2026-09-11</x:v>
      </x:c>
      <x:c r="L3348" s="17" t="str">
        <x:v>2026</x:v>
      </x:c>
      <x:c r="M3348" s="17" t="str">
        <x:v>high</x:v>
      </x:c>
      <x:c r="N3348" s="17" t="str">
        <x:v>verified</x:v>
      </x:c>
      <x:c r="O3348" s="17" t="str">
        <x:v>Live official profile checked 2026-09-11.</x:v>
      </x:c>
      <x:c r="P3348" s="18" t="e">
        <x:f>HYPERLINK("https://engineering.lehigh.edu/faculty/lichao-sun","Open source")</x:f>
        <x:v>HYPERLINK is not implemented. linkLocation=https://engineering.lehigh.edu/faculty/lichao-sun, friendlyName=Open source</x:v>
      </x:c>
    </x:row>
    <x:row r="3349" ht="46" customHeight="1">
      <x:c r="A3349" s="17" t="str">
        <x:v>stage4src:b894bdd2c02ba197</x:v>
      </x:c>
      <x:c r="B3349" s="17" t="str">
        <x:v>professor</x:v>
      </x:c>
      <x:c r="C3349" s="17" t="str">
        <x:v>Purdue University-Main Campus</x:v>
      </x:c>
      <x:c r="D3349" s="17" t="str">
        <x:v>us:ipeds:243780:program:phd:computer-science-phd</x:v>
      </x:c>
      <x:c r="E3349" s="17" t="str">
        <x:v>us:ipeds:243780:faculty:lin-tan</x:v>
      </x:c>
      <x:c r="F3349" s="17" t="str">
        <x:v>recent work|research fit</x:v>
      </x:c>
      <x:c r="G3349" s="17" t="str">
        <x:v>Recent software-dependability/AI-SE work</x:v>
      </x:c>
      <x:c r="H3349" s="17" t="str">
        <x:v>Lin Tan Research</x:v>
      </x:c>
      <x:c r="I3349" s="17" t="str">
        <x:v>Purdue University-Main Campus</x:v>
      </x:c>
      <x:c r="J3349" s="17" t="str">
        <x:v>official</x:v>
      </x:c>
      <x:c r="K3349" s="17" t="str">
        <x:v>2026-09-11</x:v>
      </x:c>
      <x:c r="L3349" s="17" t="str">
        <x:v>2025</x:v>
      </x:c>
      <x:c r="M3349" s="17" t="str">
        <x:v>high</x:v>
      </x:c>
      <x:c r="N3349" s="17" t="str">
        <x:v>verified</x:v>
      </x:c>
      <x:c r="O3349" s="17" t="str"/>
      <x:c r="P3349" s="18" t="e">
        <x:f>HYPERLINK("https://www.cs.purdue.edu/homes/lintan/text.html","Open source")</x:f>
        <x:v>HYPERLINK is not implemented. linkLocation=https://www.cs.purdue.edu/homes/lintan/text.html, friendlyName=Open source</x:v>
      </x:c>
    </x:row>
    <x:row r="3350" ht="46" customHeight="1">
      <x:c r="A3350" s="17" t="str">
        <x:v>stage4src:b8dab6f8e76a9285</x:v>
      </x:c>
      <x:c r="B3350" s="17" t="str">
        <x:v>professor</x:v>
      </x:c>
      <x:c r="C3350" s="17" t="str">
        <x:v>Åbo Akademi University</x:v>
      </x:c>
      <x:c r="D3350" s="17" t="str">
        <x:v>ror:029pk6x14:program:thesis-or-research-master-s:erasmus-mundus-joint-master-in-engineering-of-data-intensive-intelligent-software-systems-ediss</x:v>
      </x:c>
      <x:c r="E3350" s="17" t="str">
        <x:v>ror:029pk6x14:faculty:sebastien-lafond</x:v>
      </x:c>
      <x:c r="F3350" s="17" t="str">
        <x:v>mobility structure|second-year assignment</x:v>
      </x:c>
      <x:c r="G3350" s="17" t="str">
        <x:v>The second-year institution is decided during the second semester using student preferences, academic performance, and teaching-staff input.</x:v>
      </x:c>
      <x:c r="H3350" s="17" t="str">
        <x:v>EDISS Programme</x:v>
      </x:c>
      <x:c r="I3350" s="17" t="str">
        <x:v>Åbo Akademi University</x:v>
      </x:c>
      <x:c r="J3350" s="17" t="str">
        <x:v>official</x:v>
      </x:c>
      <x:c r="K3350" s="17" t="str">
        <x:v>2026-09-11</x:v>
      </x:c>
      <x:c r="L3350" s="17" t="str">
        <x:v>2026</x:v>
      </x:c>
      <x:c r="M3350" s="17" t="str">
        <x:v>high</x:v>
      </x:c>
      <x:c r="N3350" s="17" t="str">
        <x:v>verified</x:v>
      </x:c>
      <x:c r="O3350" s="17" t="str">
        <x:v>Live official programme page checked 2026-09-11.</x:v>
      </x:c>
      <x:c r="P3350" s="18" t="e">
        <x:f>HYPERLINK("https://www.master-ediss.eu/programme/","Open source")</x:f>
        <x:v>HYPERLINK is not implemented. linkLocation=https://www.master-ediss.eu/programme/, friendlyName=Open source</x:v>
      </x:c>
    </x:row>
    <x:row r="3351" ht="46" customHeight="1">
      <x:c r="A3351" s="17" t="str">
        <x:v>stage4src:b94fce52167c89cc</x:v>
      </x:c>
      <x:c r="B3351" s="17" t="str">
        <x:v>professor</x:v>
      </x:c>
      <x:c r="C3351" s="17" t="str">
        <x:v>Kansas State University</x:v>
      </x:c>
      <x:c r="D3351" s="17" t="str">
        <x:v>us:ipeds:155399:program:phd:doctor-of-philosophy-in-computer-science</x:v>
      </x:c>
      <x:c r="E3351" s="17" t="str"/>
      <x:c r="F3351" s="17" t="str">
        <x:v>current faculty roster|candidate longlist</x:v>
      </x:c>
      <x:c r="G3351" s="17" t="str">
        <x:v>Current official department roster or research-area faculty listing used to identify the five-person Stage 4 candidate longlist.</x:v>
      </x:c>
      <x:c r="H3351" s="17" t="str">
        <x:v>Kansas State University current faculty roster</x:v>
      </x:c>
      <x:c r="I3351" s="17" t="str">
        <x:v>Kansas State University</x:v>
      </x:c>
      <x:c r="J3351" s="17" t="str">
        <x:v>official</x:v>
      </x:c>
      <x:c r="K3351" s="17" t="str">
        <x:v>2026-09-11</x:v>
      </x:c>
      <x:c r="L3351" s="17" t="str"/>
      <x:c r="M3351" s="17" t="str">
        <x:v>high</x:v>
      </x:c>
      <x:c r="N3351" s="17" t="str">
        <x:v>verified</x:v>
      </x:c>
      <x:c r="O3351" s="17" t="str">
        <x:v>Roster evidence establishes a current listing, not program-specific supervision authority or recruiting.</x:v>
      </x:c>
      <x:c r="P3351" s="18" t="e">
        <x:f>HYPERLINK("https://www.cs.ksu.edu/about/people/faculty/","Open source")</x:f>
        <x:v>HYPERLINK is not implemented. linkLocation=https://www.cs.ksu.edu/about/people/faculty/, friendlyName=Open source</x:v>
      </x:c>
    </x:row>
    <x:row r="3352" ht="46" customHeight="1">
      <x:c r="A3352" s="17" t="str">
        <x:v>stage4src:b98b240e522a4ee5</x:v>
      </x:c>
      <x:c r="B3352" s="17" t="str">
        <x:v>professor</x:v>
      </x:c>
      <x:c r="C3352" s="17" t="str">
        <x:v>Emory University</x:v>
      </x:c>
      <x:c r="D3352" s="17" t="str">
        <x:v>us:ipeds:139658:program:phd:phd-in-computer-science-and-informatics</x:v>
      </x:c>
      <x:c r="E3352" s="17" t="str"/>
      <x:c r="F3352" s="17" t="str">
        <x:v>current faculty roster|candidate longlist</x:v>
      </x:c>
      <x:c r="G3352" s="17" t="str">
        <x:v>Current official department roster or research-area faculty listing used to identify the five-person Stage 4 candidate longlist.</x:v>
      </x:c>
      <x:c r="H3352" s="17" t="str">
        <x:v>Emory University current faculty roster</x:v>
      </x:c>
      <x:c r="I3352" s="17" t="str">
        <x:v>Emory University</x:v>
      </x:c>
      <x:c r="J3352" s="17" t="str">
        <x:v>official</x:v>
      </x:c>
      <x:c r="K3352" s="17" t="str">
        <x:v>2026-09-11</x:v>
      </x:c>
      <x:c r="L3352" s="17" t="str"/>
      <x:c r="M3352" s="17" t="str">
        <x:v>high</x:v>
      </x:c>
      <x:c r="N3352" s="17" t="str">
        <x:v>verified</x:v>
      </x:c>
      <x:c r="O3352" s="17" t="str">
        <x:v>Roster evidence establishes a current listing, not program-specific supervision authority or recruiting.</x:v>
      </x:c>
      <x:c r="P3352" s="18" t="e">
        <x:f>HYPERLINK("https://computerscience.emory.edu/graduate-phd/csi-faculty.html","Open source")</x:f>
        <x:v>HYPERLINK is not implemented. linkLocation=https://computerscience.emory.edu/graduate-phd/csi-faculty.html, friendlyName=Open source</x:v>
      </x:c>
    </x:row>
    <x:row r="3353" ht="46" customHeight="1">
      <x:c r="A3353" s="17" t="str">
        <x:v>stage4src:b98b3e3b141d07c0</x:v>
      </x:c>
      <x:c r="B3353" s="17" t="str">
        <x:v>professor</x:v>
      </x:c>
      <x:c r="C3353" s="17" t="str">
        <x:v>Queen’s University</x:v>
      </x:c>
      <x:c r="D3353" s="17" t="str">
        <x:v>ca:dli:O19376023352:program:thesis-or-research-master-s:msc-in-computing-research-pattern</x:v>
      </x:c>
      <x:c r="E3353" s="17" t="str"/>
      <x:c r="F3353" s="17" t="str">
        <x:v>current faculty roster|candidate longlist</x:v>
      </x:c>
      <x:c r="G3353" s="17" t="str">
        <x:v>Current official department roster or research-area faculty listing used to identify the five-person Stage 4 candidate longlist.</x:v>
      </x:c>
      <x:c r="H3353" s="17" t="str">
        <x:v>Queen’s University current faculty roster</x:v>
      </x:c>
      <x:c r="I3353" s="17" t="str">
        <x:v>Queen’s University</x:v>
      </x:c>
      <x:c r="J3353" s="17" t="str">
        <x:v>official</x:v>
      </x:c>
      <x:c r="K3353" s="17" t="str">
        <x:v>2026-09-11</x:v>
      </x:c>
      <x:c r="L3353" s="17" t="str"/>
      <x:c r="M3353" s="17" t="str">
        <x:v>high</x:v>
      </x:c>
      <x:c r="N3353" s="17" t="str">
        <x:v>verified</x:v>
      </x:c>
      <x:c r="O3353" s="17" t="str">
        <x:v>Roster evidence establishes a current listing, not program-specific supervision authority or recruiting.</x:v>
      </x:c>
      <x:c r="P3353" s="18" t="e">
        <x:f>HYPERLINK("https://www.cs.queensu.ca/research/faculty/","Open source")</x:f>
        <x:v>HYPERLINK is not implemented. linkLocation=https://www.cs.queensu.ca/research/faculty/, friendlyName=Open source</x:v>
      </x:c>
    </x:row>
    <x:row r="3354" ht="46" customHeight="1">
      <x:c r="A3354" s="17" t="str">
        <x:v>stage4src:b9f4e91084f61f29</x:v>
      </x:c>
      <x:c r="B3354" s="17" t="str">
        <x:v>professor</x:v>
      </x:c>
      <x:c r="C3354" s="17" t="str">
        <x:v>New Mexico Institute of Mining and Technology</x:v>
      </x:c>
      <x:c r="D3354" s="17" t="str">
        <x:v>us:ipeds:187967:program:phd:doctor-of-philosophy-in-computer-science</x:v>
      </x:c>
      <x:c r="E3354" s="17" t="str">
        <x:v>us:ipeds:187967:faculty:dongwan-shin</x:v>
      </x:c>
      <x:c r="F3354" s="17" t="str">
        <x:v>recent active project|graduate supervision|research fit</x:v>
      </x:c>
      <x:c r="G3354" s="17" t="str">
        <x:v>The center identifies Shin and a graduate researcher on a current flexible security-policy framework for wireless sensor networks.</x:v>
      </x:c>
      <x:c r="H3354" s="17" t="str">
        <x:v>Advanced Research and Training Capabilities</x:v>
      </x:c>
      <x:c r="I3354" s="17" t="str">
        <x:v>New Mexico Institute of Mining and Technology</x:v>
      </x:c>
      <x:c r="J3354" s="17" t="str">
        <x:v>official</x:v>
      </x:c>
      <x:c r="K3354" s="17" t="str">
        <x:v>2026-09-11</x:v>
      </x:c>
      <x:c r="L3354" s="17" t="str">
        <x:v>2026</x:v>
      </x:c>
      <x:c r="M3354" s="17" t="str">
        <x:v>high</x:v>
      </x:c>
      <x:c r="N3354" s="17" t="str">
        <x:v>verified</x:v>
      </x:c>
      <x:c r="O3354" s="17" t="str">
        <x:v>Live current-project page checked 2026-09-11.</x:v>
      </x:c>
      <x:c r="P3354" s="18" t="e">
        <x:f>HYPERLINK("https://www.prtc.nmt.edu/capabilities","Open source")</x:f>
        <x:v>HYPERLINK is not implemented. linkLocation=https://www.prtc.nmt.edu/capabilities, friendlyName=Open source</x:v>
      </x:c>
    </x:row>
    <x:row r="3355" ht="46" customHeight="1">
      <x:c r="A3355" s="17" t="str">
        <x:v>stage4src:ba42277c5189a082</x:v>
      </x:c>
      <x:c r="B3355" s="17" t="str">
        <x:v>professor</x:v>
      </x:c>
      <x:c r="C3355" s="17" t="str">
        <x:v>University of Wisconsin-Milwaukee</x:v>
      </x:c>
      <x:c r="D3355" s="17" t="str">
        <x:v>us:ipeds:240453:program:phd:computer-science-phd</x:v>
      </x:c>
      <x:c r="E3355" s="17" t="str">
        <x:v>us:ipeds:240453:faculty:tian-zhao</x:v>
      </x:c>
      <x:c r="F3355" s="17" t="str">
        <x:v>current appointment|candidate longlist</x:v>
      </x:c>
      <x:c r="G3355" s="17" t="str">
        <x:v>The current Computer Science roster lists Zhao and the four bounded alternatives.</x:v>
      </x:c>
      <x:c r="H3355" s="17" t="str">
        <x:v>Computer Science People</x:v>
      </x:c>
      <x:c r="I3355" s="17" t="str">
        <x:v>University of Wisconsin-Milwaukee</x:v>
      </x:c>
      <x:c r="J3355" s="17" t="str">
        <x:v>official</x:v>
      </x:c>
      <x:c r="K3355" s="17" t="str">
        <x:v>2026-09-11</x:v>
      </x:c>
      <x:c r="L3355" s="17" t="str">
        <x:v>2026</x:v>
      </x:c>
      <x:c r="M3355" s="17" t="str">
        <x:v>high</x:v>
      </x:c>
      <x:c r="N3355" s="17" t="str">
        <x:v>verified</x:v>
      </x:c>
      <x:c r="O3355" s="17" t="str">
        <x:v>Live roster checked 2026-09-11.</x:v>
      </x:c>
      <x:c r="P3355" s="18" t="e">
        <x:f>HYPERLINK("https://uwm.edu/engineering/departments/computer-science/people-faculty-and-staff/","Open source")</x:f>
        <x:v>HYPERLINK is not implemented. linkLocation=https://uwm.edu/engineering/departments/computer-science/people-faculty-and-staff/, friendlyName=Open source</x:v>
      </x:c>
    </x:row>
    <x:row r="3356" ht="46" customHeight="1">
      <x:c r="A3356" s="17" t="str">
        <x:v>stage4src:badf3f33a9864e17</x:v>
      </x:c>
      <x:c r="B3356" s="17" t="str">
        <x:v>professor</x:v>
      </x:c>
      <x:c r="C3356" s="17" t="str">
        <x:v>University of Louisiana at Lafayette</x:v>
      </x:c>
      <x:c r="D3356" s="17" t="str">
        <x:v>us:ipeds:160658:program:phd:phd-in-applied-computing-and-information-sciences</x:v>
      </x:c>
      <x:c r="E3356" s="17" t="str"/>
      <x:c r="F3356" s="17" t="str">
        <x:v>current faculty roster|candidate longlist</x:v>
      </x:c>
      <x:c r="G3356" s="17" t="str">
        <x:v>Current official department roster or research-area faculty listing used to identify the five-person Stage 4 candidate longlist.</x:v>
      </x:c>
      <x:c r="H3356" s="17" t="str">
        <x:v>University of Louisiana at Lafayette current faculty roster</x:v>
      </x:c>
      <x:c r="I3356" s="17" t="str">
        <x:v>University of Louisiana at Lafayette</x:v>
      </x:c>
      <x:c r="J3356" s="17" t="str">
        <x:v>official</x:v>
      </x:c>
      <x:c r="K3356" s="17" t="str">
        <x:v>2026-09-11</x:v>
      </x:c>
      <x:c r="L3356" s="17" t="str"/>
      <x:c r="M3356" s="17" t="str">
        <x:v>high</x:v>
      </x:c>
      <x:c r="N3356" s="17" t="str">
        <x:v>verified</x:v>
      </x:c>
      <x:c r="O3356" s="17" t="str">
        <x:v>Roster evidence establishes a current listing, not program-specific supervision authority or recruiting.</x:v>
      </x:c>
      <x:c r="P3356" s="18" t="e">
        <x:f>HYPERLINK("https://computing.louisiana.edu/about-us/faculty-staff-0","Open source")</x:f>
        <x:v>HYPERLINK is not implemented. linkLocation=https://computing.louisiana.edu/about-us/faculty-staff-0, friendlyName=Open source</x:v>
      </x:c>
    </x:row>
    <x:row r="3357" ht="46" customHeight="1">
      <x:c r="A3357" s="17" t="str">
        <x:v>stage4src:bae7d5c1c20856cc</x:v>
      </x:c>
      <x:c r="B3357" s="17" t="str">
        <x:v>professor</x:v>
      </x:c>
      <x:c r="C3357" s="17" t="str">
        <x:v>University of Tulsa</x:v>
      </x:c>
      <x:c r="D3357" s="17" t="str">
        <x:v>us:ipeds:207971:program:phd:computer-science-ph-d</x:v>
      </x:c>
      <x:c r="E3357" s="17" t="str"/>
      <x:c r="F3357" s="17" t="str">
        <x:v>current faculty roster|candidate longlist</x:v>
      </x:c>
      <x:c r="G3357" s="17" t="str">
        <x:v>Current official department roster or research-area faculty listing used to identify the five-person Stage 4 candidate longlist.</x:v>
      </x:c>
      <x:c r="H3357" s="17" t="str">
        <x:v>University of Tulsa current faculty roster</x:v>
      </x:c>
      <x:c r="I3357" s="17" t="str">
        <x:v>University of Tulsa</x:v>
      </x:c>
      <x:c r="J3357" s="17" t="str">
        <x:v>official</x:v>
      </x:c>
      <x:c r="K3357" s="17" t="str">
        <x:v>2026-09-11</x:v>
      </x:c>
      <x:c r="L3357" s="17" t="str"/>
      <x:c r="M3357" s="17" t="str">
        <x:v>high</x:v>
      </x:c>
      <x:c r="N3357" s="17" t="str">
        <x:v>verified</x:v>
      </x:c>
      <x:c r="O3357" s="17" t="str">
        <x:v>Roster evidence establishes a current listing, not program-specific supervision authority or recruiting.</x:v>
      </x:c>
      <x:c r="P3357" s="18" t="e">
        <x:f>HYPERLINK("https://utulsa.edu/departments/computer-science/","Open source")</x:f>
        <x:v>HYPERLINK is not implemented. linkLocation=https://utulsa.edu/departments/computer-science/, friendlyName=Open source</x:v>
      </x:c>
    </x:row>
    <x:row r="3358" ht="46" customHeight="1">
      <x:c r="A3358" s="17" t="str">
        <x:v>stage4src:bba8d3a9cf1cd776</x:v>
      </x:c>
      <x:c r="B3358" s="17" t="str">
        <x:v>professor</x:v>
      </x:c>
      <x:c r="C3358" s="17" t="str">
        <x:v>Baylor University</x:v>
      </x:c>
      <x:c r="D3358" s="17" t="str">
        <x:v>us:ipeds:223232:program:phd:ph-d-in-computer-science</x:v>
      </x:c>
      <x:c r="E3358" s="17" t="str">
        <x:v>us:ipeds:223232:faculty:mengfei-ren</x:v>
      </x:c>
      <x:c r="F3358" s="17" t="str">
        <x:v>recent work|research fit</x:v>
      </x:c>
      <x:c r="G3358" s="17" t="str">
        <x:v>The 2025 FSE paper supports current binary-analysis and software-correctness overlap.</x:v>
      </x:c>
      <x:c r="H3358" s="17" t="str">
        <x:v>Revisiting Optimization-Resilience Claims in Binary Diffing Tools</x:v>
      </x:c>
      <x:c r="I3358" s="17" t="str">
        <x:v>OpenAlex / cited venue</x:v>
      </x:c>
      <x:c r="J3358" s="17" t="str">
        <x:v>secondary</x:v>
      </x:c>
      <x:c r="K3358" s="17" t="str">
        <x:v>2026-09-11</x:v>
      </x:c>
      <x:c r="L3358" s="17" t="str">
        <x:v>2025</x:v>
      </x:c>
      <x:c r="M3358" s="17" t="str">
        <x:v>high</x:v>
      </x:c>
      <x:c r="N3358" s="17" t="str">
        <x:v>verified</x:v>
      </x:c>
      <x:c r="O3358" s="17" t="str">
        <x:v>DOI and Baylor profile checked 2026-09-10.</x:v>
      </x:c>
      <x:c r="P3358" s="18" t="e">
        <x:f>HYPERLINK("https://doi.org/10.1145/3729389","Open source")</x:f>
        <x:v>HYPERLINK is not implemented. linkLocation=https://doi.org/10.1145/3729389, friendlyName=Open source</x:v>
      </x:c>
    </x:row>
    <x:row r="3359" ht="46" customHeight="1">
      <x:c r="A3359" s="17" t="str">
        <x:v>stage4src:bbbb6c7246b224f0</x:v>
      </x:c>
      <x:c r="B3359" s="17" t="str">
        <x:v>professor</x:v>
      </x:c>
      <x:c r="C3359" s="17" t="str">
        <x:v>McMaster University</x:v>
      </x:c>
      <x:c r="D3359" s="17" t="str">
        <x:v>ca:dli:O19395535729:program:thesis-or-research-master-s:software-engineering-masc</x:v>
      </x:c>
      <x:c r="E3359" s="17" t="str">
        <x:v>ca:dli:O19395535729:faculty:richard-paige</x:v>
      </x:c>
      <x:c r="F3359" s="17" t="str">
        <x:v>Software Engineering MASc supervision authority|prospective student instructions|contact appropriateness</x:v>
      </x:c>
      <x:c r="G3359" s="17" t="str">
        <x:v>All Computing and Software programs require faculty supervisor acceptance; applicants name three potential supervisors and may send a concise research-fit introduction.</x:v>
      </x:c>
      <x:c r="H3359" s="17" t="str">
        <x:v>Graduate Application FAQ — Computing and Software</x:v>
      </x:c>
      <x:c r="I3359" s="17" t="str">
        <x:v>McMaster University</x:v>
      </x:c>
      <x:c r="J3359" s="17" t="str">
        <x:v>official</x:v>
      </x:c>
      <x:c r="K3359" s="17" t="str">
        <x:v>2026-09-11</x:v>
      </x:c>
      <x:c r="L3359" s="17" t="str">
        <x:v>2026</x:v>
      </x:c>
      <x:c r="M3359" s="17" t="str">
        <x:v>high</x:v>
      </x:c>
      <x:c r="N3359" s="17" t="str">
        <x:v>verified</x:v>
      </x:c>
      <x:c r="O3359" s="17" t="str">
        <x:v>Current official FAQ checked 2026-09-10.</x:v>
      </x:c>
      <x:c r="P3359" s="18" t="e">
        <x:f>HYPERLINK("https://www.eng.mcmaster.ca/app/uploads/2024/03/Application_FAQ_Graduate_Computing-and-Software.pdf","Open source")</x:f>
        <x:v>HYPERLINK is not implemented. linkLocation=https://www.eng.mcmaster.ca/app/uploads/2024/03/Application_FAQ_Graduate_Computing-and-Software.pdf, friendlyName=Open source</x:v>
      </x:c>
    </x:row>
    <x:row r="3360" ht="46" customHeight="1">
      <x:c r="A3360" s="17" t="str">
        <x:v>stage4src:bc14129f2e0d3dea</x:v>
      </x:c>
      <x:c r="B3360" s="17" t="str">
        <x:v>professor</x:v>
      </x:c>
      <x:c r="C3360" s="17" t="str">
        <x:v>Washington State University</x:v>
      </x:c>
      <x:c r="D3360" s="17" t="str">
        <x:v>us:ipeds:236939:program:phd:doctor-of-philosophy-in-computer-science</x:v>
      </x:c>
      <x:c r="E3360" s="17" t="str">
        <x:v>us:ipeds:236939:faculty:thomas-gilray</x:v>
      </x:c>
      <x:c r="F3360" s="17" t="str">
        <x:v>exact program|faculty supervision authority|prospective instructions</x:v>
      </x:c>
      <x:c r="G3360" s="17" t="str">
        <x:v>The handbook establishes the Computer Science PhD, its EECS faculty-supervision structure, and program-analysis and software-engineering research areas.</x:v>
      </x:c>
      <x:c r="H3360" s="17" t="str">
        <x:v>EECS Graduate Student Handbook 2025-2027</x:v>
      </x:c>
      <x:c r="I3360" s="17" t="str">
        <x:v>Washington State University</x:v>
      </x:c>
      <x:c r="J3360" s="17" t="str">
        <x:v>official</x:v>
      </x:c>
      <x:c r="K3360" s="17" t="str">
        <x:v>2026-09-11</x:v>
      </x:c>
      <x:c r="L3360" s="17" t="str">
        <x:v>2025</x:v>
      </x:c>
      <x:c r="M3360" s="17" t="str">
        <x:v>high</x:v>
      </x:c>
      <x:c r="N3360" s="17" t="str">
        <x:v>verified</x:v>
      </x:c>
      <x:c r="O3360" s="17" t="str">
        <x:v>Current official handbook checked 2026-09-10.</x:v>
      </x:c>
      <x:c r="P3360" s="18" t="e">
        <x:f>HYPERLINK("https://school.eecs.wsu.edu/academics/graduate-program/current-students/graduate-student-handbook-2025-2027/","Open source")</x:f>
        <x:v>HYPERLINK is not implemented. linkLocation=https://school.eecs.wsu.edu/academics/graduate-program/current-students/graduate-student-handbook-2025-2027/, friendlyName=Open source</x:v>
      </x:c>
    </x:row>
    <x:row r="3361" ht="46" customHeight="1">
      <x:c r="A3361" s="17" t="str">
        <x:v>stage4src:bc1ecf06f511f03d</x:v>
      </x:c>
      <x:c r="B3361" s="17" t="str">
        <x:v>professor</x:v>
      </x:c>
      <x:c r="C3361" s="17" t="str">
        <x:v>Montana State University</x:v>
      </x:c>
      <x:c r="D3361" s="17" t="str">
        <x:v>us:ipeds:180461:program:phd:computer-science-phd</x:v>
      </x:c>
      <x:c r="E3361" s="17" t="str"/>
      <x:c r="F3361" s="17" t="str">
        <x:v>current faculty roster|candidate longlist</x:v>
      </x:c>
      <x:c r="G3361" s="17" t="str">
        <x:v>Current official department roster or research-area faculty listing used to identify the five-person Stage 4 candidate longlist.</x:v>
      </x:c>
      <x:c r="H3361" s="17" t="str">
        <x:v>Montana State University current faculty roster</x:v>
      </x:c>
      <x:c r="I3361" s="17" t="str">
        <x:v>Montana State University</x:v>
      </x:c>
      <x:c r="J3361" s="17" t="str">
        <x:v>official</x:v>
      </x:c>
      <x:c r="K3361" s="17" t="str">
        <x:v>2026-09-11</x:v>
      </x:c>
      <x:c r="L3361" s="17" t="str"/>
      <x:c r="M3361" s="17" t="str">
        <x:v>high</x:v>
      </x:c>
      <x:c r="N3361" s="17" t="str">
        <x:v>verified</x:v>
      </x:c>
      <x:c r="O3361" s="17" t="str">
        <x:v>Roster evidence establishes a current listing, not program-specific supervision authority or recruiting.</x:v>
      </x:c>
      <x:c r="P3361" s="18" t="e">
        <x:f>HYPERLINK("https://web1vm.cs.montana.edu/research.html","Open source")</x:f>
        <x:v>HYPERLINK is not implemented. linkLocation=https://web1vm.cs.montana.edu/research.html, friendlyName=Open source</x:v>
      </x:c>
    </x:row>
    <x:row r="3362" ht="46" customHeight="1">
      <x:c r="A3362" s="17" t="str">
        <x:v>stage4src:bc4b9651237fa4fa</x:v>
      </x:c>
      <x:c r="B3362" s="17" t="str">
        <x:v>professor</x:v>
      </x:c>
      <x:c r="C3362" s="17" t="str">
        <x:v>University of Connecticut</x:v>
      </x:c>
      <x:c r="D3362" s="17" t="str">
        <x:v>us:ipeds:129020:program:phd:computer-science-and-engineering-phd</x:v>
      </x:c>
      <x:c r="E3362" s="17" t="str">
        <x:v>us:ipeds:129020:faculty:amir-herzberg</x:v>
      </x:c>
      <x:c r="F3362" s="17" t="str">
        <x:v>recent work|research fit</x:v>
      </x:c>
      <x:c r="G3362" s="17" t="str">
        <x:v>DBLP records Herzberg as coauthor of the 2024 NDSS work on improved Internet-routing security.</x:v>
      </x:c>
      <x:c r="H3362" s="17" t="str">
        <x:v>BGP-iSec</x:v>
      </x:c>
      <x:c r="I3362" s="17" t="str">
        <x:v>OpenAlex / cited venue</x:v>
      </x:c>
      <x:c r="J3362" s="17" t="str">
        <x:v>secondary</x:v>
      </x:c>
      <x:c r="K3362" s="17" t="str">
        <x:v>2026-09-11</x:v>
      </x:c>
      <x:c r="L3362" s="17" t="str">
        <x:v>2024</x:v>
      </x:c>
      <x:c r="M3362" s="17" t="str">
        <x:v>high</x:v>
      </x:c>
      <x:c r="N3362" s="17" t="str">
        <x:v>verified</x:v>
      </x:c>
      <x:c r="O3362" s="17" t="str">
        <x:v>Scholarly metadata checked 2026-09-11.</x:v>
      </x:c>
      <x:c r="P3362" s="18" t="e">
        <x:f>HYPERLINK("https://dblp.org/rec/conf/ndss/MorrisH0S24","Open source")</x:f>
        <x:v>HYPERLINK is not implemented. linkLocation=https://dblp.org/rec/conf/ndss/MorrisH0S24, friendlyName=Open source</x:v>
      </x:c>
    </x:row>
    <x:row r="3363" ht="46" customHeight="1">
      <x:c r="A3363" s="17" t="str">
        <x:v>stage4src:bd04d07a4898fa9b</x:v>
      </x:c>
      <x:c r="B3363" s="17" t="str">
        <x:v>professor</x:v>
      </x:c>
      <x:c r="C3363" s="17" t="str">
        <x:v>École Polytechnique de Montréal</x:v>
      </x:c>
      <x:c r="D3363" s="17" t="str">
        <x:v>ca:dli:O19359011070:program:thesis-or-research-master-s:research-master-s-in-computer-engineering-software-engineering-option</x:v>
      </x:c>
      <x:c r="E3363" s="17" t="str">
        <x:v>ca:dli:O19359011070:faculty:maxime-lamothe</x:v>
      </x:c>
      <x:c r="F3363" s="17" t="str">
        <x:v>research master's route|software engineering option|supervision context</x:v>
      </x:c>
      <x:c r="G3363" s="17" t="str">
        <x:v>The department lists the research Master of Applied Science in Computer Engineering with a Software Engineering option and a supervised research thesis.</x:v>
      </x:c>
      <x:c r="H3363" s="17" t="str">
        <x:v>Graduate Studies Programs Offered</x:v>
      </x:c>
      <x:c r="I3363" s="17" t="str">
        <x:v>École Polytechnique de Montréal</x:v>
      </x:c>
      <x:c r="J3363" s="17" t="str">
        <x:v>official</x:v>
      </x:c>
      <x:c r="K3363" s="17" t="str">
        <x:v>2026-09-11</x:v>
      </x:c>
      <x:c r="L3363" s="17" t="str">
        <x:v>2026</x:v>
      </x:c>
      <x:c r="M3363" s="17" t="str">
        <x:v>high</x:v>
      </x:c>
      <x:c r="N3363" s="17" t="str">
        <x:v>verified</x:v>
      </x:c>
      <x:c r="O3363" s="17" t="str">
        <x:v>Current official page checked 2026-09-10.</x:v>
      </x:c>
      <x:c r="P3363" s="18" t="e">
        <x:f>HYPERLINK("https://www.polymtl.ca/gigl/en/programs-offered/graduate-studies","Open source")</x:f>
        <x:v>HYPERLINK is not implemented. linkLocation=https://www.polymtl.ca/gigl/en/programs-offered/graduate-studies, friendlyName=Open source</x:v>
      </x:c>
    </x:row>
    <x:row r="3364" ht="46" customHeight="1">
      <x:c r="A3364" s="17" t="str">
        <x:v>stage4src:bd409d9203c351d9</x:v>
      </x:c>
      <x:c r="B3364" s="17" t="str">
        <x:v>professor</x:v>
      </x:c>
      <x:c r="C3364" s="17" t="str">
        <x:v>University of Utah</x:v>
      </x:c>
      <x:c r="D3364" s="17" t="str">
        <x:v>us:ipeds:230764:program:phd:computing-phd</x:v>
      </x:c>
      <x:c r="E3364" s="17" t="str">
        <x:v>us:ipeds:230764:faculty:john-regehr</x:v>
      </x:c>
      <x:c r="F3364" s="17" t="str">
        <x:v>current faculty roster|program supervision authority</x:v>
      </x:c>
      <x:c r="G3364" s="17" t="str">
        <x:v>The current official roster lists John Regehr as Professor in the Kahlert School of Computing.</x:v>
      </x:c>
      <x:c r="H3364" s="17" t="str">
        <x:v>Kahlert School of Computing Faculty</x:v>
      </x:c>
      <x:c r="I3364" s="17" t="str">
        <x:v>University of Utah</x:v>
      </x:c>
      <x:c r="J3364" s="17" t="str">
        <x:v>official</x:v>
      </x:c>
      <x:c r="K3364" s="17" t="str">
        <x:v>2026-09-11</x:v>
      </x:c>
      <x:c r="L3364" s="17" t="str"/>
      <x:c r="M3364" s="17" t="str">
        <x:v>high</x:v>
      </x:c>
      <x:c r="N3364" s="17" t="str">
        <x:v>verified</x:v>
      </x:c>
      <x:c r="O3364" s="17" t="str">
        <x:v>Current roster checked 2026-09-10.</x:v>
      </x:c>
      <x:c r="P3364" s="18" t="e">
        <x:f>HYPERLINK("https://www.cs.utah.edu/people/faculty/","Open source")</x:f>
        <x:v>HYPERLINK is not implemented. linkLocation=https://www.cs.utah.edu/people/faculty/, friendlyName=Open source</x:v>
      </x:c>
    </x:row>
    <x:row r="3365" ht="46" customHeight="1">
      <x:c r="A3365" s="17" t="str">
        <x:v>stage4src:bd93a341facdb6be</x:v>
      </x:c>
      <x:c r="B3365" s="17" t="str">
        <x:v>professor</x:v>
      </x:c>
      <x:c r="C3365" s="17" t="str">
        <x:v>University College London</x:v>
      </x:c>
      <x:c r="D3365" s="17" t="str">
        <x:v>ror:02jx3x895:program:integrated-or-structured-doctorate:computer-science-mphil-phd</x:v>
      </x:c>
      <x:c r="E3365" s="17" t="str"/>
      <x:c r="F3365" s="17" t="str">
        <x:v>current faculty roster|candidate longlist</x:v>
      </x:c>
      <x:c r="G3365" s="17" t="str">
        <x:v>Current official department roster or research-area faculty listing used to identify the five-person Stage 4 candidate longlist.</x:v>
      </x:c>
      <x:c r="H3365" s="17" t="str">
        <x:v>University College London current faculty roster</x:v>
      </x:c>
      <x:c r="I3365" s="17" t="str">
        <x:v>University College London</x:v>
      </x:c>
      <x:c r="J3365" s="17" t="str">
        <x:v>official</x:v>
      </x:c>
      <x:c r="K3365" s="17" t="str">
        <x:v>2026-09-11</x:v>
      </x:c>
      <x:c r="L3365" s="17" t="str"/>
      <x:c r="M3365" s="17" t="str">
        <x:v>high</x:v>
      </x:c>
      <x:c r="N3365" s="17" t="str">
        <x:v>verified</x:v>
      </x:c>
      <x:c r="O3365" s="17" t="str">
        <x:v>Roster evidence establishes a current listing, not program-specific supervision authority or recruiting.</x:v>
      </x:c>
      <x:c r="P3365" s="18" t="e">
        <x:f>HYPERLINK("https://www.ucl.ac.uk/engineering/computer-science/people/academic-staff-ucl-profiles","Open source")</x:f>
        <x:v>HYPERLINK is not implemented. linkLocation=https://www.ucl.ac.uk/engineering/computer-science/people/academic-staff-ucl-profiles, friendlyName=Open source</x:v>
      </x:c>
    </x:row>
    <x:row r="3366" ht="46" customHeight="1">
      <x:c r="A3366" s="17" t="str">
        <x:v>stage4src:bdd2edd842a1d12f</x:v>
      </x:c>
      <x:c r="B3366" s="17" t="str">
        <x:v>professor</x:v>
      </x:c>
      <x:c r="C3366" s="17" t="str">
        <x:v>Trinity College Dublin</x:v>
      </x:c>
      <x:c r="D3366" s="17" t="str">
        <x:v>ror:02tyrky19:program:phd:phd-in-computer-science-and-statistics</x:v>
      </x:c>
      <x:c r="E3366" s="17" t="str">
        <x:v>ror:02tyrky19:faculty:david-lewis</x:v>
      </x:c>
      <x:c r="F3366" s="17" t="str">
        <x:v>discovery publication signal|recent work</x:v>
      </x:c>
      <x:c r="G3366" s="17" t="str">
        <x:v>Publication metadata was examined for shortlist triage only; publication-time affiliation does not establish current appointment, supervision authority, or recruiting.</x:v>
      </x:c>
      <x:c r="H3366" s="17" t="str">
        <x:v>OpenAlex publication signal for David Lewis</x:v>
      </x:c>
      <x:c r="I3366" s="17" t="str">
        <x:v>OpenAlex / cited venue</x:v>
      </x:c>
      <x:c r="J3366" s="17" t="str">
        <x:v>secondary</x:v>
      </x:c>
      <x:c r="K3366" s="17" t="str">
        <x:v>2026-09-11</x:v>
      </x:c>
      <x:c r="L3366" s="17" t="str"/>
      <x:c r="M3366" s="17" t="str">
        <x:v>medium</x:v>
      </x:c>
      <x:c r="N3366" s="17" t="str">
        <x:v>discovery_only</x:v>
      </x:c>
      <x:c r="O3366" s="17" t="str">
        <x:v>Not used to award a professor score or faculty-depth point.</x:v>
      </x:c>
      <x:c r="P3366" s="18" t="e">
        <x:f>HYPERLINK("https://openalex.org/A5020081385","Open source")</x:f>
        <x:v>HYPERLINK is not implemented. linkLocation=https://openalex.org/A5020081385, friendlyName=Open source</x:v>
      </x:c>
    </x:row>
    <x:row r="3367" ht="46" customHeight="1">
      <x:c r="A3367" s="17" t="str">
        <x:v>stage4src:be06ca4a09b346f7</x:v>
      </x:c>
      <x:c r="B3367" s="17" t="str">
        <x:v>professor</x:v>
      </x:c>
      <x:c r="C3367" s="17" t="str">
        <x:v>Southern Methodist University</x:v>
      </x:c>
      <x:c r="D3367" s="17" t="str">
        <x:v>us:ipeds:228246:program:phd:ph-d-in-computer-science</x:v>
      </x:c>
      <x:c r="E3367" s="17" t="str">
        <x:v>us:ipeds:228246:faculty:jia-zhang</x:v>
      </x:c>
      <x:c r="F3367" s="17" t="str">
        <x:v>current appointment|department|email|research themes|recent work</x:v>
      </x:c>
      <x:c r="G3367" s="17" t="str">
        <x:v>SMU lists Zhang as current CS chair and professor working in workflows, provenance, software discovery, knowledge graphs, cloud computing, and data infrastructure.</x:v>
      </x:c>
      <x:c r="H3367" s="17" t="str">
        <x:v>Jia Zhang</x:v>
      </x:c>
      <x:c r="I3367" s="17" t="str">
        <x:v>Southern Methodist University</x:v>
      </x:c>
      <x:c r="J3367" s="17" t="str">
        <x:v>official</x:v>
      </x:c>
      <x:c r="K3367" s="17" t="str">
        <x:v>2026-09-11</x:v>
      </x:c>
      <x:c r="L3367" s="17" t="str">
        <x:v>2026</x:v>
      </x:c>
      <x:c r="M3367" s="17" t="str">
        <x:v>high</x:v>
      </x:c>
      <x:c r="N3367" s="17" t="str">
        <x:v>verified</x:v>
      </x:c>
      <x:c r="O3367" s="17" t="str">
        <x:v>Live official profile checked 2026-09-11.</x:v>
      </x:c>
      <x:c r="P3367" s="18" t="e">
        <x:f>HYPERLINK("https://www.smu.edu/lyle/departments/cs/people/faculty/zhang-jia","Open source")</x:f>
        <x:v>HYPERLINK is not implemented. linkLocation=https://www.smu.edu/lyle/departments/cs/people/faculty/zhang-jia, friendlyName=Open source</x:v>
      </x:c>
    </x:row>
    <x:row r="3368" ht="46" customHeight="1">
      <x:c r="A3368" s="17" t="str">
        <x:v>stage4src:be777a4dedfa94d4</x:v>
      </x:c>
      <x:c r="B3368" s="17" t="str">
        <x:v>professor</x:v>
      </x:c>
      <x:c r="C3368" s="17" t="str">
        <x:v>University of Waterloo</x:v>
      </x:c>
      <x:c r="D3368" s="17" t="str">
        <x:v>ca:dli:O19305471522:program:direct-entry-phd:phd-in-computer-science-direct-from-bachelor-s-exception</x:v>
      </x:c>
      <x:c r="E3368" s="17" t="str">
        <x:v>ca:dli:O19305471522:faculty:shane-mcintosh</x:v>
      </x:c>
      <x:c r="F3368" s="17" t="str">
        <x:v>current appointment|program supervision authority|research themes</x:v>
      </x:c>
      <x:c r="G3368" s="17" t="str">
        <x:v>Shane McIntosh is current Associate Professor working in empirical SE, software delivery/DevOps and quality.</x:v>
      </x:c>
      <x:c r="H3368" s="17" t="str">
        <x:v>Shane McIntosh</x:v>
      </x:c>
      <x:c r="I3368" s="17" t="str">
        <x:v>University of Waterloo</x:v>
      </x:c>
      <x:c r="J3368" s="17" t="str">
        <x:v>official</x:v>
      </x:c>
      <x:c r="K3368" s="17" t="str">
        <x:v>2026-09-11</x:v>
      </x:c>
      <x:c r="L3368" s="17" t="str"/>
      <x:c r="M3368" s="17" t="str">
        <x:v>high</x:v>
      </x:c>
      <x:c r="N3368" s="17" t="str">
        <x:v>verified</x:v>
      </x:c>
      <x:c r="O3368" s="17" t="str">
        <x:v>No search snippet used as final evidence; URL/page content reviewed.</x:v>
      </x:c>
      <x:c r="P3368" s="18" t="e">
        <x:f>HYPERLINK("https://uwaterloo.ca/computer-science/about/people/s4mcinto","Open source")</x:f>
        <x:v>HYPERLINK is not implemented. linkLocation=https://uwaterloo.ca/computer-science/about/people/s4mcinto, friendlyName=Open source</x:v>
      </x:c>
    </x:row>
    <x:row r="3369" ht="46" customHeight="1">
      <x:c r="A3369" s="17" t="str">
        <x:v>stage4src:bf221ddf7e80d82c</x:v>
      </x:c>
      <x:c r="B3369" s="17" t="str">
        <x:v>professor</x:v>
      </x:c>
      <x:c r="C3369" s="17" t="str">
        <x:v>University of Colorado Colorado Springs</x:v>
      </x:c>
      <x:c r="D3369" s="17" t="str">
        <x:v>us:ipeds:126580:program:phd:cybersecurity-phd</x:v>
      </x:c>
      <x:c r="E3369" s="17" t="str">
        <x:v>us:ipeds:126580:faculty:sang-yoon-chang</x:v>
      </x:c>
      <x:c r="F3369" s="17" t="str">
        <x:v>recruiting evidence|assistantship terms|prospective instructions</x:v>
      </x:c>
      <x:c r="G3369" s="17" t="str">
        <x:v>Chang states he is seeking students and that RA tuition and stipend are available for qualified PhD students regardless of citizenship, and requests a CV and research summary by email.</x:v>
      </x:c>
      <x:c r="H3369" s="17" t="str">
        <x:v>Research at UCCS with Sang-Yoon Chang — Prospective Students</x:v>
      </x:c>
      <x:c r="I3369" s="17" t="str">
        <x:v>University of Colorado Colorado Springs</x:v>
      </x:c>
      <x:c r="J3369" s="17" t="str">
        <x:v>official</x:v>
      </x:c>
      <x:c r="K3369" s="17" t="str">
        <x:v>2026-09-11</x:v>
      </x:c>
      <x:c r="L3369" s="17" t="str">
        <x:v>2026</x:v>
      </x:c>
      <x:c r="M3369" s="17" t="str">
        <x:v>high</x:v>
      </x:c>
      <x:c r="N3369" s="17" t="str">
        <x:v>verified</x:v>
      </x:c>
      <x:c r="O3369" s="17" t="str">
        <x:v>Live faculty-hosted notice checked 2026-09-11; exact Fall 2027 capacity remains unverified.</x:v>
      </x:c>
      <x:c r="P3369" s="18" t="e">
        <x:f>HYPERLINK("https://academics.uccs.edu/~schang2/docs/Prospective_Students_UCCS_Systems_Security_Lab.pdf","Open source")</x:f>
        <x:v>HYPERLINK is not implemented. linkLocation=https://academics.uccs.edu/~schang2/docs/Prospective_Students_UCCS_Systems_Security_Lab.pdf, friendlyName=Open source</x:v>
      </x:c>
    </x:row>
    <x:row r="3370" ht="46" customHeight="1">
      <x:c r="A3370" s="17" t="str">
        <x:v>stage4src:bf5971db8719dc7e</x:v>
      </x:c>
      <x:c r="B3370" s="17" t="str">
        <x:v>professor</x:v>
      </x:c>
      <x:c r="C3370" s="17" t="str">
        <x:v>University of Trento</x:v>
      </x:c>
      <x:c r="D3370" s="17" t="str">
        <x:v>ror:05trd4x28:program:thesis-or-research-master-s:master-s-degree-in-computer-science</x:v>
      </x:c>
      <x:c r="E3370" s="17" t="str">
        <x:v>ror:05trd4x28:faculty:sandro-luigi-fiore</x:v>
      </x:c>
      <x:c r="F3370" s="17" t="str">
        <x:v>master's supervision authority|recent work|research fit</x:v>
      </x:c>
      <x:c r="G3370" s="17" t="str">
        <x:v>The official record lists current master's thesis supervision by Fiore, including graph-native RAG for scientific-workflow provenance.</x:v>
      </x:c>
      <x:c r="H3370" s="17" t="str">
        <x:v>DISI Master's Final Examination Candidates — March 2026</x:v>
      </x:c>
      <x:c r="I3370" s="17" t="str">
        <x:v>University of Trento</x:v>
      </x:c>
      <x:c r="J3370" s="17" t="str">
        <x:v>official</x:v>
      </x:c>
      <x:c r="K3370" s="17" t="str">
        <x:v>2026-09-11</x:v>
      </x:c>
      <x:c r="L3370" s="17" t="str">
        <x:v>2026</x:v>
      </x:c>
      <x:c r="M3370" s="17" t="str">
        <x:v>high</x:v>
      </x:c>
      <x:c r="N3370" s="17" t="str">
        <x:v>verified</x:v>
      </x:c>
      <x:c r="O3370" s="17" t="str">
        <x:v>Official university PDF checked 2026-09-10.</x:v>
      </x:c>
      <x:c r="P3370" s="18" t="e">
        <x:f>HYPERLINK("https://corsi.unitn.it/sites/cds/files/2026-03/candidati-esame-finale-lm-disi-marzo-2026.pdf","Open source")</x:f>
        <x:v>HYPERLINK is not implemented. linkLocation=https://corsi.unitn.it/sites/cds/files/2026-03/candidati-esame-finale-lm-disi-marzo-2026.pdf, friendlyName=Open source</x:v>
      </x:c>
    </x:row>
    <x:row r="3371" ht="46" customHeight="1">
      <x:c r="A3371" s="17" t="str">
        <x:v>stage4src:bf80adeaf4d4ebfd</x:v>
      </x:c>
      <x:c r="B3371" s="17" t="str">
        <x:v>professor</x:v>
      </x:c>
      <x:c r="C3371" s="17" t="str">
        <x:v>University of British Columbia</x:v>
      </x:c>
      <x:c r="D3371" s="17" t="str">
        <x:v>ca:dli:O19330231062:program:thesis-or-research-master-s:master-of-applied-science-in-electrical-and-computer-engineering</x:v>
      </x:c>
      <x:c r="E3371" s="17" t="str">
        <x:v>ca:dli:O19330231062:faculty:karthik-pattabiraman</x:v>
      </x:c>
      <x:c r="F3371" s="17" t="str">
        <x:v>recent work|software reliability|ML reliability|software security</x:v>
      </x:c>
      <x:c r="G3371" s="17" t="str">
        <x:v>The current publication record lists 2025 work on software-based fault injection, ML resilience, and security auditing.</x:v>
      </x:c>
      <x:c r="H3371" s="17" t="str">
        <x:v>Karthik Pattabiraman publications</x:v>
      </x:c>
      <x:c r="I3371" s="17" t="str">
        <x:v>University of British Columbia</x:v>
      </x:c>
      <x:c r="J3371" s="17" t="str">
        <x:v>official</x:v>
      </x:c>
      <x:c r="K3371" s="17" t="str">
        <x:v>2026-09-11</x:v>
      </x:c>
      <x:c r="L3371" s="17" t="str">
        <x:v>2025</x:v>
      </x:c>
      <x:c r="M3371" s="17" t="str">
        <x:v>high</x:v>
      </x:c>
      <x:c r="N3371" s="17" t="str">
        <x:v>verified</x:v>
      </x:c>
      <x:c r="O3371" s="17" t="str">
        <x:v>University-hosted faculty record checked 2026-09-11.</x:v>
      </x:c>
      <x:c r="P3371" s="18" t="e">
        <x:f>HYPERLINK("https://people.ece.ubc.ca/~karthikp/publications.html","Open source")</x:f>
        <x:v>HYPERLINK is not implemented. linkLocation=https://people.ece.ubc.ca/~karthikp/publications.html, friendlyName=Open source</x:v>
      </x:c>
    </x:row>
    <x:row r="3372" ht="46" customHeight="1">
      <x:c r="A3372" s="17" t="str">
        <x:v>stage4src:bfa0cb936f895c25</x:v>
      </x:c>
      <x:c r="B3372" s="17" t="str">
        <x:v>professor</x:v>
      </x:c>
      <x:c r="C3372" s="17" t="str">
        <x:v>Ohio State University-Main Campus</x:v>
      </x:c>
      <x:c r="D3372" s="17" t="str">
        <x:v>us:ipeds:204796:program:phd:computer-science-and-engineering-phd</x:v>
      </x:c>
      <x:c r="E3372" s="17" t="str">
        <x:v>us:ipeds:204796:faculty:zhiqiang-lin</x:v>
      </x:c>
      <x:c r="F3372" s="17" t="str">
        <x:v>current doctoral supervision|recruiting|contact instructions</x:v>
      </x:c>
      <x:c r="G3372" s="17" t="str">
        <x:v>The current laboratory page identifies the group and directly invites interested PhD students to email.</x:v>
      </x:c>
      <x:c r="H3372" s="17" t="str">
        <x:v>Computer Security Laboratory</x:v>
      </x:c>
      <x:c r="I3372" s="17" t="str">
        <x:v>Ohio State University-Main Campus</x:v>
      </x:c>
      <x:c r="J3372" s="17" t="str">
        <x:v>official</x:v>
      </x:c>
      <x:c r="K3372" s="17" t="str">
        <x:v>2026-09-11</x:v>
      </x:c>
      <x:c r="L3372" s="17" t="str">
        <x:v>2026</x:v>
      </x:c>
      <x:c r="M3372" s="17" t="str">
        <x:v>high</x:v>
      </x:c>
      <x:c r="N3372" s="17" t="str">
        <x:v>verified</x:v>
      </x:c>
      <x:c r="O3372" s="17" t="str">
        <x:v>Current official laboratory page checked 2026-09-10; individual capacity still requires confirmation.</x:v>
      </x:c>
      <x:c r="P3372" s="18" t="e">
        <x:f>HYPERLINK("https://cse.osu.edu/computer-security-laboratory","Open source")</x:f>
        <x:v>HYPERLINK is not implemented. linkLocation=https://cse.osu.edu/computer-security-laboratory, friendlyName=Open source</x:v>
      </x:c>
    </x:row>
    <x:row r="3373" ht="46" customHeight="1">
      <x:c r="A3373" s="17" t="str">
        <x:v>stage4src:bfa6b4c9201d4ce6</x:v>
      </x:c>
      <x:c r="B3373" s="17" t="str">
        <x:v>professor</x:v>
      </x:c>
      <x:c r="C3373" s="17" t="str">
        <x:v>The University of Tennessee-Knoxville</x:v>
      </x:c>
      <x:c r="D3373" s="17" t="str">
        <x:v>us:ipeds:221759:program:phd:computer-science-phd</x:v>
      </x:c>
      <x:c r="E3373" s="17" t="str">
        <x:v>us:ipeds:221759:faculty:audris-mockus</x:v>
      </x:c>
      <x:c r="F3373" s="17" t="str">
        <x:v>Computer Science doctoral supervision authority</x:v>
      </x:c>
      <x:c r="G3373" s="17" t="str">
        <x:v>The official dissertation record identifies Audris Mockus on a Computer Science doctoral committee; other university records identify him as major professor.</x:v>
      </x:c>
      <x:c r="H3373" s="17" t="str">
        <x:v>Computer Science dissertation record</x:v>
      </x:c>
      <x:c r="I3373" s="17" t="str">
        <x:v>The University of Tennessee-Knoxville</x:v>
      </x:c>
      <x:c r="J3373" s="17" t="str">
        <x:v>official</x:v>
      </x:c>
      <x:c r="K3373" s="17" t="str">
        <x:v>2026-09-11</x:v>
      </x:c>
      <x:c r="L3373" s="17" t="str">
        <x:v>2023</x:v>
      </x:c>
      <x:c r="M3373" s="17" t="str">
        <x:v>high</x:v>
      </x:c>
      <x:c r="N3373" s="17" t="str">
        <x:v>verified</x:v>
      </x:c>
      <x:c r="O3373" s="17" t="str">
        <x:v>Official university doctoral record checked 2026-09-10.</x:v>
      </x:c>
      <x:c r="P3373" s="18" t="e">
        <x:f>HYPERLINK("https://voljournals.utk.edu/utk_graddiss/8658/","Open source")</x:f>
        <x:v>HYPERLINK is not implemented. linkLocation=https://voljournals.utk.edu/utk_graddiss/8658/, friendlyName=Open source</x:v>
      </x:c>
    </x:row>
    <x:row r="3374" ht="46" customHeight="1">
      <x:c r="A3374" s="17" t="str">
        <x:v>stage4src:bfef67e7b45c554c</x:v>
      </x:c>
      <x:c r="B3374" s="17" t="str">
        <x:v>professor</x:v>
      </x:c>
      <x:c r="C3374" s="17" t="str">
        <x:v>University of Minnesota-Twin Cities</x:v>
      </x:c>
      <x:c r="D3374" s="17" t="str">
        <x:v>us:ipeds:174066:program:phd:computer-science-phd</x:v>
      </x:c>
      <x:c r="E3374" s="17" t="str"/>
      <x:c r="F3374" s="17" t="str">
        <x:v>current faculty roster|candidate longlist</x:v>
      </x:c>
      <x:c r="G3374" s="17" t="str">
        <x:v>Current official department roster or research-area faculty listing used to identify the five-person Stage 4 candidate longlist.</x:v>
      </x:c>
      <x:c r="H3374" s="17" t="str">
        <x:v>University of Minnesota-Twin Cities current faculty roster</x:v>
      </x:c>
      <x:c r="I3374" s="17" t="str">
        <x:v>University of Minnesota-Twin Cities</x:v>
      </x:c>
      <x:c r="J3374" s="17" t="str">
        <x:v>official</x:v>
      </x:c>
      <x:c r="K3374" s="17" t="str">
        <x:v>2026-09-11</x:v>
      </x:c>
      <x:c r="L3374" s="17" t="str"/>
      <x:c r="M3374" s="17" t="str">
        <x:v>high</x:v>
      </x:c>
      <x:c r="N3374" s="17" t="str">
        <x:v>verified</x:v>
      </x:c>
      <x:c r="O3374" s="17" t="str">
        <x:v>Roster evidence establishes a current listing, not program-specific supervision authority or recruiting.</x:v>
      </x:c>
      <x:c r="P3374" s="18" t="e">
        <x:f>HYPERLINK("https://cse.umn.edu/cs/faculty","Open source")</x:f>
        <x:v>HYPERLINK is not implemented. linkLocation=https://cse.umn.edu/cs/faculty, friendlyName=Open source</x:v>
      </x:c>
    </x:row>
    <x:row r="3375" ht="46" customHeight="1">
      <x:c r="A3375" s="17" t="str">
        <x:v>stage4src:c063532a7aa9e86e</x:v>
      </x:c>
      <x:c r="B3375" s="17" t="str">
        <x:v>professor</x:v>
      </x:c>
      <x:c r="C3375" s="17" t="str">
        <x:v>University of Notre Dame</x:v>
      </x:c>
      <x:c r="D3375" s="17" t="str">
        <x:v>us:ipeds:152080:program:phd:computer-science-and-engineering-phd</x:v>
      </x:c>
      <x:c r="E3375" s="17" t="str">
        <x:v>us:ipeds:152080:faculty:joanna-cecilia-da-silva-santos</x:v>
      </x:c>
      <x:c r="F3375" s="17" t="str">
        <x:v>recent work|research fit</x:v>
      </x:c>
      <x:c r="G3375" s="17" t="str">
        <x:v>2024 LLM-generated security-testing project</x:v>
      </x:c>
      <x:c r="H3375" s="17" t="str">
        <x:v>Santos Wins Google Research Award</x:v>
      </x:c>
      <x:c r="I3375" s="17" t="str">
        <x:v>University of Notre Dame</x:v>
      </x:c>
      <x:c r="J3375" s="17" t="str">
        <x:v>official</x:v>
      </x:c>
      <x:c r="K3375" s="17" t="str">
        <x:v>2026-09-11</x:v>
      </x:c>
      <x:c r="L3375" s="17" t="str">
        <x:v>2024</x:v>
      </x:c>
      <x:c r="M3375" s="17" t="str">
        <x:v>high</x:v>
      </x:c>
      <x:c r="N3375" s="17" t="str">
        <x:v>verified</x:v>
      </x:c>
      <x:c r="O3375" s="17" t="str"/>
      <x:c r="P3375" s="18" t="e">
        <x:f>HYPERLINK("https://cse.nd.edu/news/santos-wins-google-research-award/","Open source")</x:f>
        <x:v>HYPERLINK is not implemented. linkLocation=https://cse.nd.edu/news/santos-wins-google-research-award/, friendlyName=Open source</x:v>
      </x:c>
    </x:row>
    <x:row r="3376" ht="46" customHeight="1">
      <x:c r="A3376" s="17" t="str">
        <x:v>stage4src:c0cebc5590dcbbac</x:v>
      </x:c>
      <x:c r="B3376" s="17" t="str">
        <x:v>professor</x:v>
      </x:c>
      <x:c r="C3376" s="17" t="str">
        <x:v>University of Victoria</x:v>
      </x:c>
      <x:c r="D3376" s="17" t="str">
        <x:v>ca:dli:O19280533442:program:thesis-or-research-master-s:master-of-applied-science-in-electrical-and-computer-engineering</x:v>
      </x:c>
      <x:c r="E3376" s="17" t="str"/>
      <x:c r="F3376" s="17" t="str">
        <x:v>current faculty roster|candidate longlist</x:v>
      </x:c>
      <x:c r="G3376" s="17" t="str">
        <x:v>Current official department roster or research-area faculty listing used to identify the five-person Stage 4 candidate longlist.</x:v>
      </x:c>
      <x:c r="H3376" s="17" t="str">
        <x:v>University of Victoria current faculty roster</x:v>
      </x:c>
      <x:c r="I3376" s="17" t="str">
        <x:v>University of Victoria</x:v>
      </x:c>
      <x:c r="J3376" s="17" t="str">
        <x:v>official</x:v>
      </x:c>
      <x:c r="K3376" s="17" t="str">
        <x:v>2026-09-11</x:v>
      </x:c>
      <x:c r="L3376" s="17" t="str"/>
      <x:c r="M3376" s="17" t="str">
        <x:v>high</x:v>
      </x:c>
      <x:c r="N3376" s="17" t="str">
        <x:v>verified</x:v>
      </x:c>
      <x:c r="O3376" s="17" t="str">
        <x:v>Roster evidence establishes a current listing, not program-specific supervision authority or recruiting.</x:v>
      </x:c>
      <x:c r="P3376" s="18" t="e">
        <x:f>HYPERLINK("https://www.uvic.ca/ecs/software/research/our-researchers/index.php","Open source")</x:f>
        <x:v>HYPERLINK is not implemented. linkLocation=https://www.uvic.ca/ecs/software/research/our-researchers/index.php, friendlyName=Open source</x:v>
      </x:c>
    </x:row>
    <x:row r="3377" ht="46" customHeight="1">
      <x:c r="A3377" s="17" t="str">
        <x:v>stage4src:c0f78075e4727ea3</x:v>
      </x:c>
      <x:c r="B3377" s="17" t="str">
        <x:v>professor</x:v>
      </x:c>
      <x:c r="C3377" s="17" t="str">
        <x:v>University of Idaho</x:v>
      </x:c>
      <x:c r="D3377" s="17" t="str">
        <x:v>us:ipeds:142285:program:phd:computer-science-ph-d</x:v>
      </x:c>
      <x:c r="E3377" s="17" t="str"/>
      <x:c r="F3377" s="17" t="str">
        <x:v>current faculty roster|candidate longlist</x:v>
      </x:c>
      <x:c r="G3377" s="17" t="str">
        <x:v>Current official department roster or research-area faculty listing used to identify the five-person Stage 4 candidate longlist.</x:v>
      </x:c>
      <x:c r="H3377" s="17" t="str">
        <x:v>University of Idaho current faculty roster</x:v>
      </x:c>
      <x:c r="I3377" s="17" t="str">
        <x:v>University of Idaho</x:v>
      </x:c>
      <x:c r="J3377" s="17" t="str">
        <x:v>official</x:v>
      </x:c>
      <x:c r="K3377" s="17" t="str">
        <x:v>2026-09-11</x:v>
      </x:c>
      <x:c r="L3377" s="17" t="str"/>
      <x:c r="M3377" s="17" t="str">
        <x:v>high</x:v>
      </x:c>
      <x:c r="N3377" s="17" t="str">
        <x:v>verified</x:v>
      </x:c>
      <x:c r="O3377" s="17" t="str">
        <x:v>Roster evidence establishes a current listing, not program-specific supervision authority or recruiting.</x:v>
      </x:c>
      <x:c r="P3377" s="18" t="e">
        <x:f>HYPERLINK("https://www.uidaho.edu/engineering/academics/computer-science","Open source")</x:f>
        <x:v>HYPERLINK is not implemented. linkLocation=https://www.uidaho.edu/engineering/academics/computer-science, friendlyName=Open source</x:v>
      </x:c>
    </x:row>
    <x:row r="3378" ht="46" customHeight="1">
      <x:c r="A3378" s="17" t="str">
        <x:v>stage4src:c1392ef9ba05a212</x:v>
      </x:c>
      <x:c r="B3378" s="17" t="str">
        <x:v>professor</x:v>
      </x:c>
      <x:c r="C3378" s="17" t="str">
        <x:v>West Virginia University</x:v>
      </x:c>
      <x:c r="D3378" s="17" t="str">
        <x:v>us:ipeds:238032:program:phd:ph-d-in-computer-science-and-information-science</x:v>
      </x:c>
      <x:c r="E3378" s="17" t="str"/>
      <x:c r="F3378" s="17" t="str">
        <x:v>current faculty roster|candidate longlist</x:v>
      </x:c>
      <x:c r="G3378" s="17" t="str">
        <x:v>Current official department roster or research-area faculty listing used to identify the five-person Stage 4 candidate longlist.</x:v>
      </x:c>
      <x:c r="H3378" s="17" t="str">
        <x:v>West Virginia University current faculty roster</x:v>
      </x:c>
      <x:c r="I3378" s="17" t="str">
        <x:v>West Virginia University</x:v>
      </x:c>
      <x:c r="J3378" s="17" t="str">
        <x:v>official</x:v>
      </x:c>
      <x:c r="K3378" s="17" t="str">
        <x:v>2026-09-11</x:v>
      </x:c>
      <x:c r="L3378" s="17" t="str"/>
      <x:c r="M3378" s="17" t="str">
        <x:v>high</x:v>
      </x:c>
      <x:c r="N3378" s="17" t="str">
        <x:v>verified</x:v>
      </x:c>
      <x:c r="O3378" s="17" t="str">
        <x:v>Roster evidence establishes a current listing, not program-specific supervision authority or recruiting.</x:v>
      </x:c>
      <x:c r="P3378" s="18" t="e">
        <x:f>HYPERLINK("https://directory.statler.wvu.edu/tenure-track-faculty","Open source")</x:f>
        <x:v>HYPERLINK is not implemented. linkLocation=https://directory.statler.wvu.edu/tenure-track-faculty, friendlyName=Open source</x:v>
      </x:c>
    </x:row>
    <x:row r="3379" ht="46" customHeight="1">
      <x:c r="A3379" s="17" t="str">
        <x:v>stage4src:c154aa603b9916fa</x:v>
      </x:c>
      <x:c r="B3379" s="17" t="str">
        <x:v>professor</x:v>
      </x:c>
      <x:c r="C3379" s="17" t="str">
        <x:v>University of Massachusetts-Lowell</x:v>
      </x:c>
      <x:c r="D3379" s="17" t="str">
        <x:v>us:ipeds:166513:program:phd:doctor-of-philosophy-ph-d-in-computer-science</x:v>
      </x:c>
      <x:c r="E3379" s="17" t="str">
        <x:v>us:ipeds:166513:faculty:matteo-cimini</x:v>
      </x:c>
      <x:c r="F3379" s="17" t="str">
        <x:v>current appointment|email|current alternatives</x:v>
      </x:c>
      <x:c r="G3379" s="17" t="str">
        <x:v>The official faculty roster lists Cimini and all four bounded alternatives.</x:v>
      </x:c>
      <x:c r="H3379" s="17" t="str">
        <x:v>Miner School Computer Science Faculty</x:v>
      </x:c>
      <x:c r="I3379" s="17" t="str">
        <x:v>University of Massachusetts-Lowell</x:v>
      </x:c>
      <x:c r="J3379" s="17" t="str">
        <x:v>official</x:v>
      </x:c>
      <x:c r="K3379" s="17" t="str">
        <x:v>2026-09-11</x:v>
      </x:c>
      <x:c r="L3379" s="17" t="str">
        <x:v>2026</x:v>
      </x:c>
      <x:c r="M3379" s="17" t="str">
        <x:v>high</x:v>
      </x:c>
      <x:c r="N3379" s="17" t="str">
        <x:v>verified</x:v>
      </x:c>
      <x:c r="O3379" s="17" t="str">
        <x:v>Live official roster checked 2026-09-11.</x:v>
      </x:c>
      <x:c r="P3379" s="18" t="e">
        <x:f>HYPERLINK("https://www.uml.edu/sciences/computer-science/people/faculty.aspx","Open source")</x:f>
        <x:v>HYPERLINK is not implemented. linkLocation=https://www.uml.edu/sciences/computer-science/people/faculty.aspx, friendlyName=Open source</x:v>
      </x:c>
    </x:row>
    <x:row r="3380" ht="46" customHeight="1">
      <x:c r="A3380" s="17" t="str">
        <x:v>stage4src:c1a889cb56283eb5</x:v>
      </x:c>
      <x:c r="B3380" s="17" t="str">
        <x:v>professor</x:v>
      </x:c>
      <x:c r="C3380" s="17" t="str">
        <x:v>University of Trento</x:v>
      </x:c>
      <x:c r="D3380" s="17" t="str">
        <x:v>ror:05trd4x28:program:thesis-or-research-master-s:master-s-degree-in-computer-science</x:v>
      </x:c>
      <x:c r="E3380" s="17" t="str">
        <x:v>ror:05trd4x28:faculty:sandro-luigi-fiore</x:v>
      </x:c>
      <x:c r="F3380" s="17" t="str">
        <x:v>exact program|prospective student instructions|contact appropriateness</x:v>
      </x:c>
      <x:c r="G3380" s="17" t="str">
        <x:v>The current page establishes the research-oriented Master's in Computer Science and centralized admissions route without a prior-supervisor requirement.</x:v>
      </x:c>
      <x:c r="H3380" s="17" t="str">
        <x:v>Master's Degree in Computer Science</x:v>
      </x:c>
      <x:c r="I3380" s="17" t="str">
        <x:v>University of Trento</x:v>
      </x:c>
      <x:c r="J3380" s="17" t="str">
        <x:v>official</x:v>
      </x:c>
      <x:c r="K3380" s="17" t="str">
        <x:v>2026-09-11</x:v>
      </x:c>
      <x:c r="L3380" s="17" t="str">
        <x:v>2026</x:v>
      </x:c>
      <x:c r="M3380" s="17" t="str">
        <x:v>high</x:v>
      </x:c>
      <x:c r="N3380" s="17" t="str">
        <x:v>verified</x:v>
      </x:c>
      <x:c r="O3380" s="17" t="str">
        <x:v>Current official page checked 2026-09-10.</x:v>
      </x:c>
      <x:c r="P3380" s="18" t="e">
        <x:f>HYPERLINK("https://corsi.unitn.it/en/computer-science-master","Open source")</x:f>
        <x:v>HYPERLINK is not implemented. linkLocation=https://corsi.unitn.it/en/computer-science-master, friendlyName=Open source</x:v>
      </x:c>
    </x:row>
    <x:row r="3381" ht="46" customHeight="1">
      <x:c r="A3381" s="17" t="str">
        <x:v>stage4src:c21d46a2f495f6c5</x:v>
      </x:c>
      <x:c r="B3381" s="17" t="str">
        <x:v>professor</x:v>
      </x:c>
      <x:c r="C3381" s="17" t="str">
        <x:v>Colorado State University-Fort Collins</x:v>
      </x:c>
      <x:c r="D3381" s="17" t="str">
        <x:v>us:ipeds:126818:program:phd:computer-science-phd</x:v>
      </x:c>
      <x:c r="E3381" s="17" t="str">
        <x:v>us:ipeds:126818:faculty:sudipto-ghosh</x:v>
      </x:c>
      <x:c r="F3381" s="17" t="str">
        <x:v>current appointment|program supervision authority|research themes|email</x:v>
      </x:c>
      <x:c r="G3381" s="17" t="str">
        <x:v>The current page identifies Sudipto Ghosh as a Computer Science professor and Graduate Program Director and provides his email and research themes.</x:v>
      </x:c>
      <x:c r="H3381" s="17" t="str">
        <x:v>Sudipto Ghosh</x:v>
      </x:c>
      <x:c r="I3381" s="17" t="str">
        <x:v>Colorado State University-Fort Collins</x:v>
      </x:c>
      <x:c r="J3381" s="17" t="str">
        <x:v>official</x:v>
      </x:c>
      <x:c r="K3381" s="17" t="str">
        <x:v>2026-09-11</x:v>
      </x:c>
      <x:c r="L3381" s="17" t="str">
        <x:v>2026</x:v>
      </x:c>
      <x:c r="M3381" s="17" t="str">
        <x:v>high</x:v>
      </x:c>
      <x:c r="N3381" s="17" t="str">
        <x:v>verified</x:v>
      </x:c>
      <x:c r="O3381" s="17" t="str">
        <x:v>Current official page checked 2026-09-10.</x:v>
      </x:c>
      <x:c r="P3381" s="18" t="e">
        <x:f>HYPERLINK("https://www.cs.colostate.edu/~ghosh/","Open source")</x:f>
        <x:v>HYPERLINK is not implemented. linkLocation=https://www.cs.colostate.edu/~ghosh/, friendlyName=Open source</x:v>
      </x:c>
    </x:row>
    <x:row r="3382" ht="46" customHeight="1">
      <x:c r="A3382" s="17" t="str">
        <x:v>stage4src:c30718e1ad8e76e8</x:v>
      </x:c>
      <x:c r="B3382" s="17" t="str">
        <x:v>professor</x:v>
      </x:c>
      <x:c r="C3382" s="17" t="str">
        <x:v>McGill University</x:v>
      </x:c>
      <x:c r="D3382" s="17" t="str">
        <x:v>ca:dli:O19359011033:program:thesis-or-research-master-s:electrical-engineering-thesis-m-sc</x:v>
      </x:c>
      <x:c r="E3382" s="17" t="str">
        <x:v>ca:dli:O19359011033:faculty:d-niel-varr</x:v>
      </x:c>
      <x:c r="F3382" s="17" t="str">
        <x:v>program supervision authority|supervisor qualifications</x:v>
      </x:c>
      <x:c r="G3382" s="17" t="str">
        <x:v>Every ECE MSc thesis student has a research supervisor, who must be a tenured or tenure-track ECE professor.</x:v>
      </x:c>
      <x:c r="H3382" s="17" t="str">
        <x:v>MSc Thesis Regulations and Policies</x:v>
      </x:c>
      <x:c r="I3382" s="17" t="str">
        <x:v>McGill University</x:v>
      </x:c>
      <x:c r="J3382" s="17" t="str">
        <x:v>official</x:v>
      </x:c>
      <x:c r="K3382" s="17" t="str">
        <x:v>2026-09-11</x:v>
      </x:c>
      <x:c r="L3382" s="17" t="str">
        <x:v>2022</x:v>
      </x:c>
      <x:c r="M3382" s="17" t="str">
        <x:v>high</x:v>
      </x:c>
      <x:c r="N3382" s="17" t="str">
        <x:v>verified</x:v>
      </x:c>
      <x:c r="O3382" s="17" t="str">
        <x:v>Official policy checked 2026-09-11.</x:v>
      </x:c>
      <x:c r="P3382" s="18" t="e">
        <x:f>HYPERLINK("https://www.mcgill.ca/ece/files/ece/msc_thesis_regulations_policies_dec_2022.pdf","Open source")</x:f>
        <x:v>HYPERLINK is not implemented. linkLocation=https://www.mcgill.ca/ece/files/ece/msc_thesis_regulations_policies_dec_2022.pdf, friendlyName=Open source</x:v>
      </x:c>
    </x:row>
    <x:row r="3383" ht="46" customHeight="1">
      <x:c r="A3383" s="17" t="str">
        <x:v>stage4src:c3c40e584ba21793</x:v>
      </x:c>
      <x:c r="B3383" s="17" t="str">
        <x:v>professor</x:v>
      </x:c>
      <x:c r="C3383" s="17" t="str">
        <x:v>Purdue University-Main Campus</x:v>
      </x:c>
      <x:c r="D3383" s="17" t="str">
        <x:v>us:ipeds:243780:program:phd:computer-science-phd</x:v>
      </x:c>
      <x:c r="E3383" s="17" t="str"/>
      <x:c r="F3383" s="17" t="str">
        <x:v>current faculty roster|candidate longlist</x:v>
      </x:c>
      <x:c r="G3383" s="17" t="str">
        <x:v>Current official department roster or research-area faculty listing used to identify the five-person Stage 4 candidate longlist.</x:v>
      </x:c>
      <x:c r="H3383" s="17" t="str">
        <x:v>Purdue University-Main Campus current faculty roster</x:v>
      </x:c>
      <x:c r="I3383" s="17" t="str">
        <x:v>Purdue University-Main Campus</x:v>
      </x:c>
      <x:c r="J3383" s="17" t="str">
        <x:v>official</x:v>
      </x:c>
      <x:c r="K3383" s="17" t="str">
        <x:v>2026-09-11</x:v>
      </x:c>
      <x:c r="L3383" s="17" t="str"/>
      <x:c r="M3383" s="17" t="str">
        <x:v>high</x:v>
      </x:c>
      <x:c r="N3383" s="17" t="str">
        <x:v>verified</x:v>
      </x:c>
      <x:c r="O3383" s="17" t="str">
        <x:v>Roster evidence establishes a current listing, not program-specific supervision authority or recruiting.</x:v>
      </x:c>
      <x:c r="P3383" s="18" t="e">
        <x:f>HYPERLINK("https://www.cs.purdue.edu/research/software-engineering.html","Open source")</x:f>
        <x:v>HYPERLINK is not implemented. linkLocation=https://www.cs.purdue.edu/research/software-engineering.html, friendlyName=Open source</x:v>
      </x:c>
    </x:row>
    <x:row r="3384" ht="46" customHeight="1">
      <x:c r="A3384" s="17" t="str">
        <x:v>stage4src:c52695b172cc5ba2</x:v>
      </x:c>
      <x:c r="B3384" s="17" t="str">
        <x:v>professor</x:v>
      </x:c>
      <x:c r="C3384" s="17" t="str">
        <x:v>University of Wisconsin-Milwaukee</x:v>
      </x:c>
      <x:c r="D3384" s="17" t="str">
        <x:v>us:ipeds:240453:program:phd:computer-science-phd</x:v>
      </x:c>
      <x:c r="E3384" s="17" t="str"/>
      <x:c r="F3384" s="17" t="str">
        <x:v>current faculty roster|candidate longlist</x:v>
      </x:c>
      <x:c r="G3384" s="17" t="str">
        <x:v>Current official department roster or research-area faculty listing used to identify the five-person Stage 4 candidate longlist.</x:v>
      </x:c>
      <x:c r="H3384" s="17" t="str">
        <x:v>University of Wisconsin-Milwaukee current faculty roster</x:v>
      </x:c>
      <x:c r="I3384" s="17" t="str">
        <x:v>University of Wisconsin-Milwaukee</x:v>
      </x:c>
      <x:c r="J3384" s="17" t="str">
        <x:v>official</x:v>
      </x:c>
      <x:c r="K3384" s="17" t="str">
        <x:v>2026-09-11</x:v>
      </x:c>
      <x:c r="L3384" s="17" t="str"/>
      <x:c r="M3384" s="17" t="str">
        <x:v>high</x:v>
      </x:c>
      <x:c r="N3384" s="17" t="str">
        <x:v>verified</x:v>
      </x:c>
      <x:c r="O3384" s="17" t="str">
        <x:v>Roster evidence establishes a current listing, not program-specific supervision authority or recruiting.</x:v>
      </x:c>
      <x:c r="P3384" s="18" t="e">
        <x:f>HYPERLINK("https://uwm.edu/engineering/departments/computer-science/people-faculty-and-staff/","Open source")</x:f>
        <x:v>HYPERLINK is not implemented. linkLocation=https://uwm.edu/engineering/departments/computer-science/people-faculty-and-staff/, friendlyName=Open source</x:v>
      </x:c>
    </x:row>
    <x:row r="3385" ht="46" customHeight="1">
      <x:c r="A3385" s="17" t="str">
        <x:v>stage4src:c59fa387022aab4a</x:v>
      </x:c>
      <x:c r="B3385" s="17" t="str">
        <x:v>professor</x:v>
      </x:c>
      <x:c r="C3385" s="17" t="str">
        <x:v>University of Victoria</x:v>
      </x:c>
      <x:c r="D3385" s="17" t="str">
        <x:v>ca:dli:O19280533442:program:thesis-or-research-master-s:msc-in-computer-science-thesis</x:v>
      </x:c>
      <x:c r="E3385" s="17" t="str"/>
      <x:c r="F3385" s="17" t="str">
        <x:v>current faculty roster|candidate longlist</x:v>
      </x:c>
      <x:c r="G3385" s="17" t="str">
        <x:v>Current official department roster or research-area faculty listing used to identify the five-person Stage 4 candidate longlist.</x:v>
      </x:c>
      <x:c r="H3385" s="17" t="str">
        <x:v>University of Victoria current faculty roster</x:v>
      </x:c>
      <x:c r="I3385" s="17" t="str">
        <x:v>University of Victoria</x:v>
      </x:c>
      <x:c r="J3385" s="17" t="str">
        <x:v>official</x:v>
      </x:c>
      <x:c r="K3385" s="17" t="str">
        <x:v>2026-09-11</x:v>
      </x:c>
      <x:c r="L3385" s="17" t="str"/>
      <x:c r="M3385" s="17" t="str">
        <x:v>high</x:v>
      </x:c>
      <x:c r="N3385" s="17" t="str">
        <x:v>verified</x:v>
      </x:c>
      <x:c r="O3385" s="17" t="str">
        <x:v>Roster evidence establishes a current listing, not program-specific supervision authority or recruiting.</x:v>
      </x:c>
      <x:c r="P3385" s="18" t="e">
        <x:f>HYPERLINK("https://www.uvic.ca/ecs/software/research/our-researchers/index.php","Open source")</x:f>
        <x:v>HYPERLINK is not implemented. linkLocation=https://www.uvic.ca/ecs/software/research/our-researchers/index.php, friendlyName=Open source</x:v>
      </x:c>
    </x:row>
    <x:row r="3386" ht="46" customHeight="1">
      <x:c r="A3386" s="17" t="str">
        <x:v>stage4src:c661d813c29e43c8</x:v>
      </x:c>
      <x:c r="B3386" s="17" t="str">
        <x:v>professor</x:v>
      </x:c>
      <x:c r="C3386" s="17" t="str">
        <x:v>Clemson University</x:v>
      </x:c>
      <x:c r="D3386" s="17" t="str">
        <x:v>us:ipeds:217882:program:phd:computer-science-phd</x:v>
      </x:c>
      <x:c r="E3386" s="17" t="str"/>
      <x:c r="F3386" s="17" t="str">
        <x:v>current faculty roster|candidate longlist</x:v>
      </x:c>
      <x:c r="G3386" s="17" t="str">
        <x:v>Current official department roster or research-area faculty listing used to identify the five-person Stage 4 candidate longlist.</x:v>
      </x:c>
      <x:c r="H3386" s="17" t="str">
        <x:v>Clemson University current faculty roster</x:v>
      </x:c>
      <x:c r="I3386" s="17" t="str">
        <x:v>Clemson University</x:v>
      </x:c>
      <x:c r="J3386" s="17" t="str">
        <x:v>official</x:v>
      </x:c>
      <x:c r="K3386" s="17" t="str">
        <x:v>2026-09-11</x:v>
      </x:c>
      <x:c r="L3386" s="17" t="str"/>
      <x:c r="M3386" s="17" t="str">
        <x:v>high</x:v>
      </x:c>
      <x:c r="N3386" s="17" t="str">
        <x:v>verified</x:v>
      </x:c>
      <x:c r="O3386" s="17" t="str">
        <x:v>Roster evidence establishes a current listing, not program-specific supervision authority or recruiting.</x:v>
      </x:c>
      <x:c r="P3386" s="18" t="e">
        <x:f>HYPERLINK("https://www.clemson.edu/cecas/departments/computing/people/","Open source")</x:f>
        <x:v>HYPERLINK is not implemented. linkLocation=https://www.clemson.edu/cecas/departments/computing/people/, friendlyName=Open source</x:v>
      </x:c>
    </x:row>
    <x:row r="3387" ht="46" customHeight="1">
      <x:c r="A3387" s="17" t="str">
        <x:v>stage4src:c68bc8a1c8e82fbc</x:v>
      </x:c>
      <x:c r="B3387" s="17" t="str">
        <x:v>professor</x:v>
      </x:c>
      <x:c r="C3387" s="17" t="str">
        <x:v>St. Francis Xavier University</x:v>
      </x:c>
      <x:c r="D3387" s="17" t="str">
        <x:v>ca:dli:O19391556899:program:thesis-or-research-master-s:master-of-science-in-computer-science</x:v>
      </x:c>
      <x:c r="E3387" s="17" t="str">
        <x:v>ca:dli:O19391556899:faculty:taylor-j-smith</x:v>
      </x:c>
      <x:c r="F3387" s="17" t="str">
        <x:v>supervision authority|prospective-student instructions|admissions model</x:v>
      </x:c>
      <x:c r="G3387" s="17" t="str">
        <x:v>StFX describes a thesis-based MSc, directs applicants to contact willing prospective supervisors, and rejects applications without a verifiable potential supervisor.</x:v>
      </x:c>
      <x:c r="H3387" s="17" t="str">
        <x:v>Master of Science in Computer Science</x:v>
      </x:c>
      <x:c r="I3387" s="17" t="str">
        <x:v>St. Francis Xavier University</x:v>
      </x:c>
      <x:c r="J3387" s="17" t="str">
        <x:v>official</x:v>
      </x:c>
      <x:c r="K3387" s="17" t="str">
        <x:v>2026-09-11</x:v>
      </x:c>
      <x:c r="L3387" s="17" t="str">
        <x:v>2026</x:v>
      </x:c>
      <x:c r="M3387" s="17" t="str">
        <x:v>high</x:v>
      </x:c>
      <x:c r="N3387" s="17" t="str">
        <x:v>verified</x:v>
      </x:c>
      <x:c r="O3387" s="17" t="str">
        <x:v>Live official program page checked 2026-09-11.</x:v>
      </x:c>
      <x:c r="P3387" s="18" t="e">
        <x:f>HYPERLINK("https://www.stfx.ca/programs-courses/programs/master-science-computer-science","Open source")</x:f>
        <x:v>HYPERLINK is not implemented. linkLocation=https://www.stfx.ca/programs-courses/programs/master-science-computer-science, friendlyName=Open source</x:v>
      </x:c>
    </x:row>
    <x:row r="3388" ht="46" customHeight="1">
      <x:c r="A3388" s="17" t="str">
        <x:v>stage4src:c6da6fa537c3e7a3</x:v>
      </x:c>
      <x:c r="B3388" s="17" t="str">
        <x:v>professor</x:v>
      </x:c>
      <x:c r="C3388" s="17" t="str">
        <x:v>Trinity College Dublin</x:v>
      </x:c>
      <x:c r="D3388" s="17" t="str">
        <x:v>ror:02tyrky19:program:phd:phd-in-computer-science-and-statistics</x:v>
      </x:c>
      <x:c r="E3388" s="17" t="str">
        <x:v>ror:02tyrky19:faculty:abeba-birhane</x:v>
      </x:c>
      <x:c r="F3388" s="17" t="str">
        <x:v>discovery publication signal|recent work</x:v>
      </x:c>
      <x:c r="G3388" s="17" t="str">
        <x:v>Publication metadata was examined for shortlist triage only; publication-time affiliation does not establish current appointment, supervision authority, or recruiting.</x:v>
      </x:c>
      <x:c r="H3388" s="17" t="str">
        <x:v>OpenAlex publication signal for Abeba Birhane</x:v>
      </x:c>
      <x:c r="I3388" s="17" t="str">
        <x:v>OpenAlex / cited venue</x:v>
      </x:c>
      <x:c r="J3388" s="17" t="str">
        <x:v>secondary</x:v>
      </x:c>
      <x:c r="K3388" s="17" t="str">
        <x:v>2026-09-11</x:v>
      </x:c>
      <x:c r="L3388" s="17" t="str"/>
      <x:c r="M3388" s="17" t="str">
        <x:v>medium</x:v>
      </x:c>
      <x:c r="N3388" s="17" t="str">
        <x:v>discovery_only</x:v>
      </x:c>
      <x:c r="O3388" s="17" t="str">
        <x:v>Not used to award a professor score or faculty-depth point.</x:v>
      </x:c>
      <x:c r="P3388" s="18" t="e">
        <x:f>HYPERLINK("https://openalex.org/A5038758207","Open source")</x:f>
        <x:v>HYPERLINK is not implemented. linkLocation=https://openalex.org/A5038758207, friendlyName=Open source</x:v>
      </x:c>
    </x:row>
    <x:row r="3389" ht="46" customHeight="1">
      <x:c r="A3389" s="17" t="str">
        <x:v>stage4src:c73c729addee9e02</x:v>
      </x:c>
      <x:c r="B3389" s="17" t="str">
        <x:v>professor</x:v>
      </x:c>
      <x:c r="C3389" s="17" t="str">
        <x:v>University of South Carolina-Columbia</x:v>
      </x:c>
      <x:c r="D3389" s="17" t="str">
        <x:v>us:ipeds:218663:program:phd:doctor-of-philosophy-in-computer-science</x:v>
      </x:c>
      <x:c r="E3389" s="17" t="str">
        <x:v>us:ipeds:218663:faculty:chin-tser-huang</x:v>
      </x:c>
      <x:c r="F3389" s="17" t="str">
        <x:v>program supervision context|prospective-student instructions</x:v>
      </x:c>
      <x:c r="G3389" s="17" t="str">
        <x:v>South Carolina provides the controlling Computer Science PhD research and application context.</x:v>
      </x:c>
      <x:c r="H3389" s="17" t="str">
        <x:v>Computer Science PhD</x:v>
      </x:c>
      <x:c r="I3389" s="17" t="str">
        <x:v>University of South Carolina-Columbia</x:v>
      </x:c>
      <x:c r="J3389" s="17" t="str">
        <x:v>official</x:v>
      </x:c>
      <x:c r="K3389" s="17" t="str">
        <x:v>2026-09-11</x:v>
      </x:c>
      <x:c r="L3389" s="17" t="str">
        <x:v>2026</x:v>
      </x:c>
      <x:c r="M3389" s="17" t="str">
        <x:v>high</x:v>
      </x:c>
      <x:c r="N3389" s="17" t="str">
        <x:v>verified</x:v>
      </x:c>
      <x:c r="O3389" s="17" t="str">
        <x:v>Live official program page checked 2026-09-11.</x:v>
      </x:c>
      <x:c r="P3389" s="18" t="e">
        <x:f>HYPERLINK("https://cse.sc.edu/graduate/phd","Open source")</x:f>
        <x:v>HYPERLINK is not implemented. linkLocation=https://cse.sc.edu/graduate/phd, friendlyName=Open source</x:v>
      </x:c>
    </x:row>
    <x:row r="3390" ht="46" customHeight="1">
      <x:c r="A3390" s="17" t="str">
        <x:v>stage4src:c77a4a0219336f1d</x:v>
      </x:c>
      <x:c r="B3390" s="17" t="str">
        <x:v>professor</x:v>
      </x:c>
      <x:c r="C3390" s="17" t="str">
        <x:v>University of Alabama at Birmingham</x:v>
      </x:c>
      <x:c r="D3390" s="17" t="str">
        <x:v>us:ipeds:100663:program:phd:ph-d-in-computer-science</x:v>
      </x:c>
      <x:c r="E3390" s="17" t="str">
        <x:v>us:ipeds:100663:faculty:ragib-hasan</x:v>
      </x:c>
      <x:c r="F3390" s="17" t="str">
        <x:v>current appointment|research themes|email</x:v>
      </x:c>
      <x:c r="G3390" s="17" t="str">
        <x:v>The current profile identifies Hasan as Professor of Computer Science and documents cloud security, secure provenance, IoT, digital forensics, and trustworthy systems research.</x:v>
      </x:c>
      <x:c r="H3390" s="17" t="str">
        <x:v>Ragib Hasan</x:v>
      </x:c>
      <x:c r="I3390" s="17" t="str">
        <x:v>University of Alabama at Birmingham</x:v>
      </x:c>
      <x:c r="J3390" s="17" t="str">
        <x:v>official</x:v>
      </x:c>
      <x:c r="K3390" s="17" t="str">
        <x:v>2026-09-11</x:v>
      </x:c>
      <x:c r="L3390" s="17" t="str">
        <x:v>2026</x:v>
      </x:c>
      <x:c r="M3390" s="17" t="str">
        <x:v>high</x:v>
      </x:c>
      <x:c r="N3390" s="17" t="str">
        <x:v>verified</x:v>
      </x:c>
      <x:c r="O3390" s="17" t="str">
        <x:v>Current official profile checked 2026-09-10.</x:v>
      </x:c>
      <x:c r="P3390" s="18" t="e">
        <x:f>HYPERLINK("https://www.uab.edu/cas/computerscience/people/faculty-directory/faculty/ragib-hasan","Open source")</x:f>
        <x:v>HYPERLINK is not implemented. linkLocation=https://www.uab.edu/cas/computerscience/people/faculty-directory/faculty/ragib-hasan, friendlyName=Open source</x:v>
      </x:c>
    </x:row>
    <x:row r="3391" ht="46" customHeight="1">
      <x:c r="A3391" s="17" t="str">
        <x:v>stage4src:c7ed34b1b865f902</x:v>
      </x:c>
      <x:c r="B3391" s="17" t="str">
        <x:v>professor</x:v>
      </x:c>
      <x:c r="C3391" s="17" t="str">
        <x:v>The University of Tennessee-Knoxville</x:v>
      </x:c>
      <x:c r="D3391" s="17" t="str">
        <x:v>us:ipeds:221759:program:phd:computer-science-phd</x:v>
      </x:c>
      <x:c r="E3391" s="17" t="str"/>
      <x:c r="F3391" s="17" t="str">
        <x:v>current faculty roster|candidate longlist</x:v>
      </x:c>
      <x:c r="G3391" s="17" t="str">
        <x:v>Current official department roster or research-area faculty listing used to identify the five-person Stage 4 candidate longlist.</x:v>
      </x:c>
      <x:c r="H3391" s="17" t="str">
        <x:v>The University of Tennessee-Knoxville current faculty roster</x:v>
      </x:c>
      <x:c r="I3391" s="17" t="str">
        <x:v>The University of Tennessee-Knoxville</x:v>
      </x:c>
      <x:c r="J3391" s="17" t="str">
        <x:v>official</x:v>
      </x:c>
      <x:c r="K3391" s="17" t="str">
        <x:v>2026-09-11</x:v>
      </x:c>
      <x:c r="L3391" s="17" t="str"/>
      <x:c r="M3391" s="17" t="str">
        <x:v>high</x:v>
      </x:c>
      <x:c r="N3391" s="17" t="str">
        <x:v>verified</x:v>
      </x:c>
      <x:c r="O3391" s="17" t="str">
        <x:v>Roster evidence establishes a current listing, not program-specific supervision authority or recruiting.</x:v>
      </x:c>
      <x:c r="P3391" s="18" t="e">
        <x:f>HYPERLINK("https://eecs.utk.edu/faculty/","Open source")</x:f>
        <x:v>HYPERLINK is not implemented. linkLocation=https://eecs.utk.edu/faculty/, friendlyName=Open source</x:v>
      </x:c>
    </x:row>
    <x:row r="3392" ht="46" customHeight="1">
      <x:c r="A3392" s="17" t="str">
        <x:v>stage4src:c82efa7741bce6b9</x:v>
      </x:c>
      <x:c r="B3392" s="17" t="str">
        <x:v>professor</x:v>
      </x:c>
      <x:c r="C3392" s="17" t="str">
        <x:v>Brock University</x:v>
      </x:c>
      <x:c r="D3392" s="17" t="str">
        <x:v>ca:dli:O19394569014:program:thesis-or-research-master-s:computer-science-msc-thesis-stream</x:v>
      </x:c>
      <x:c r="E3392" s="17" t="str">
        <x:v>ca:dli:O19394569014:faculty:robson-de-grande</x:v>
      </x:c>
      <x:c r="F3392" s="17" t="str">
        <x:v>recent work|current supervision activity</x:v>
      </x:c>
      <x:c r="G3392" s="17" t="str">
        <x:v>The page records 2025 MSc thesis defenses and 2026 doctoral activity in the group.</x:v>
      </x:c>
      <x:c r="H3392" s="17" t="str">
        <x:v>WiDI research seminars and events</x:v>
      </x:c>
      <x:c r="I3392" s="17" t="str">
        <x:v>Brock University</x:v>
      </x:c>
      <x:c r="J3392" s="17" t="str">
        <x:v>official</x:v>
      </x:c>
      <x:c r="K3392" s="17" t="str">
        <x:v>2026-09-11</x:v>
      </x:c>
      <x:c r="L3392" s="17" t="str">
        <x:v>2026</x:v>
      </x:c>
      <x:c r="M3392" s="17" t="str">
        <x:v>high</x:v>
      </x:c>
      <x:c r="N3392" s="17" t="str">
        <x:v>verified</x:v>
      </x:c>
      <x:c r="O3392" s="17" t="str">
        <x:v>Used for activity and supervision context, not recruiting evidence.</x:v>
      </x:c>
      <x:c r="P3392" s="18" t="e">
        <x:f>HYPERLINK("https://www.cosc.brocku.ca/~rdegrande/widi/events","Open source")</x:f>
        <x:v>HYPERLINK is not implemented. linkLocation=https://www.cosc.brocku.ca/~rdegrande/widi/events, friendlyName=Open source</x:v>
      </x:c>
    </x:row>
    <x:row r="3393" ht="46" customHeight="1">
      <x:c r="A3393" s="17" t="str">
        <x:v>stage4src:c83a2aa8172422de</x:v>
      </x:c>
      <x:c r="B3393" s="17" t="str">
        <x:v>professor</x:v>
      </x:c>
      <x:c r="C3393" s="17" t="str">
        <x:v>McGill University</x:v>
      </x:c>
      <x:c r="D3393" s="17" t="str">
        <x:v>ca:dli:O19359011033:program:thesis-or-research-master-s:electrical-engineering-thesis-m-sc</x:v>
      </x:c>
      <x:c r="E3393" s="17" t="str">
        <x:v>ca:dli:O19359011033:faculty:d-niel-varr</x:v>
      </x:c>
      <x:c r="F3393" s="17" t="str">
        <x:v>current faculty roster|candidate longlist</x:v>
      </x:c>
      <x:c r="G3393" s="17" t="str">
        <x:v>The ECE profiles directory provides the current faculty roster used for this bounded review.</x:v>
      </x:c>
      <x:c r="H3393" s="17" t="str">
        <x:v>ECE Faculty Profiles</x:v>
      </x:c>
      <x:c r="I3393" s="17" t="str">
        <x:v>McGill University</x:v>
      </x:c>
      <x:c r="J3393" s="17" t="str">
        <x:v>official</x:v>
      </x:c>
      <x:c r="K3393" s="17" t="str">
        <x:v>2026-09-11</x:v>
      </x:c>
      <x:c r="L3393" s="17" t="str">
        <x:v>2026</x:v>
      </x:c>
      <x:c r="M3393" s="17" t="str">
        <x:v>high</x:v>
      </x:c>
      <x:c r="N3393" s="17" t="str">
        <x:v>verified</x:v>
      </x:c>
      <x:c r="O3393" s="17" t="str">
        <x:v>Live official directory checked 2026-09-11.</x:v>
      </x:c>
      <x:c r="P3393" s="18" t="e">
        <x:f>HYPERLINK("https://www.mcgill.ca/ece/people?page=2","Open source")</x:f>
        <x:v>HYPERLINK is not implemented. linkLocation=https://www.mcgill.ca/ece/people?page=2, friendlyName=Open source</x:v>
      </x:c>
    </x:row>
    <x:row r="3394" ht="46" customHeight="1">
      <x:c r="A3394" s="17" t="str">
        <x:v>stage4src:c84130ba7e202624</x:v>
      </x:c>
      <x:c r="B3394" s="17" t="str">
        <x:v>professor</x:v>
      </x:c>
      <x:c r="C3394" s="17" t="str">
        <x:v>University of Waterloo</x:v>
      </x:c>
      <x:c r="D3394" s="17" t="str">
        <x:v>ca:dli:O19305471522:program:thesis-or-research-master-s:mmath-in-computer-science-thesis</x:v>
      </x:c>
      <x:c r="E3394" s="17" t="str"/>
      <x:c r="F3394" s="17" t="str">
        <x:v>current faculty roster|candidate longlist</x:v>
      </x:c>
      <x:c r="G3394" s="17" t="str">
        <x:v>Current official department roster or research-area faculty listing used to identify the five-person Stage 4 candidate longlist.</x:v>
      </x:c>
      <x:c r="H3394" s="17" t="str">
        <x:v>University of Waterloo current faculty roster</x:v>
      </x:c>
      <x:c r="I3394" s="17" t="str">
        <x:v>University of Waterloo</x:v>
      </x:c>
      <x:c r="J3394" s="17" t="str">
        <x:v>official</x:v>
      </x:c>
      <x:c r="K3394" s="17" t="str">
        <x:v>2026-09-11</x:v>
      </x:c>
      <x:c r="L3394" s="17" t="str"/>
      <x:c r="M3394" s="17" t="str">
        <x:v>high</x:v>
      </x:c>
      <x:c r="N3394" s="17" t="str">
        <x:v>verified</x:v>
      </x:c>
      <x:c r="O3394" s="17" t="str">
        <x:v>Roster evidence establishes a current listing, not program-specific supervision authority or recruiting.</x:v>
      </x:c>
      <x:c r="P3394" s="18" t="e">
        <x:f>HYPERLINK("https://uwaterloo.ca/electrical-computer-engineering/contacts?group%5B61%5D=61&amp;title=","Open source")</x:f>
        <x:v>HYPERLINK is not implemented. linkLocation=https://uwaterloo.ca/electrical-computer-engineering/contacts?group%5B61%5D=61&amp;title=, friendlyName=Open source</x:v>
      </x:c>
    </x:row>
    <x:row r="3395" ht="46" customHeight="1">
      <x:c r="A3395" s="17" t="str">
        <x:v>stage4src:c88c98f7bc1bfba3</x:v>
      </x:c>
      <x:c r="B3395" s="17" t="str">
        <x:v>professor</x:v>
      </x:c>
      <x:c r="C3395" s="17" t="str">
        <x:v>Rensselaer Polytechnic Institute</x:v>
      </x:c>
      <x:c r="D3395" s="17" t="str">
        <x:v>us:ipeds:194824:program:phd:ph-d-in-computer-science</x:v>
      </x:c>
      <x:c r="E3395" s="17" t="str">
        <x:v>us:ipeds:194824:faculty:carlos-a-varela</x:v>
      </x:c>
      <x:c r="F3395" s="17" t="str">
        <x:v>current faculty roster|candidate longlist</x:v>
      </x:c>
      <x:c r="G3395" s="17" t="str">
        <x:v>The current roster lists Varela and the four encoded alternatives in Computer Science.</x:v>
      </x:c>
      <x:c r="H3395" s="17" t="str">
        <x:v>Computer Science Faculty</x:v>
      </x:c>
      <x:c r="I3395" s="17" t="str">
        <x:v>Rensselaer Polytechnic Institute</x:v>
      </x:c>
      <x:c r="J3395" s="17" t="str">
        <x:v>official</x:v>
      </x:c>
      <x:c r="K3395" s="17" t="str">
        <x:v>2026-09-11</x:v>
      </x:c>
      <x:c r="L3395" s="17" t="str">
        <x:v>2026</x:v>
      </x:c>
      <x:c r="M3395" s="17" t="str">
        <x:v>high</x:v>
      </x:c>
      <x:c r="N3395" s="17" t="str">
        <x:v>verified</x:v>
      </x:c>
      <x:c r="O3395" s="17" t="str">
        <x:v>Official roster checked 2026-09-11.</x:v>
      </x:c>
      <x:c r="P3395" s="18" t="e">
        <x:f>HYPERLINK("https://faculty.rpi.edu/departments/computer-science","Open source")</x:f>
        <x:v>HYPERLINK is not implemented. linkLocation=https://faculty.rpi.edu/departments/computer-science, friendlyName=Open source</x:v>
      </x:c>
    </x:row>
    <x:row r="3396" ht="46" customHeight="1">
      <x:c r="A3396" s="17" t="str">
        <x:v>stage4src:c899f266c4e38f12</x:v>
      </x:c>
      <x:c r="B3396" s="17" t="str">
        <x:v>professor</x:v>
      </x:c>
      <x:c r="C3396" s="17" t="str">
        <x:v>Oklahoma State University-Main Campus</x:v>
      </x:c>
      <x:c r="D3396" s="17" t="str">
        <x:v>us:ipeds:207388:program:phd:doctor-of-philosophy-in-computer-science</x:v>
      </x:c>
      <x:c r="E3396" s="17" t="str">
        <x:v>us:ipeds:207388:faculty:cong-pu</x:v>
      </x:c>
      <x:c r="F3396" s="17" t="str">
        <x:v>current appointment|department|email|research themes|recruiting status|active direction</x:v>
      </x:c>
      <x:c r="G3396" s="17" t="str">
        <x:v>OSU identifies Pu as current Assistant Professor and SecNet director and explicitly invites prospective graduate students in network security and privacy.</x:v>
      </x:c>
      <x:c r="H3396" s="17" t="str">
        <x:v>SecNet Lab</x:v>
      </x:c>
      <x:c r="I3396" s="17" t="str">
        <x:v>Oklahoma State University-Main Campus</x:v>
      </x:c>
      <x:c r="J3396" s="17" t="str">
        <x:v>official</x:v>
      </x:c>
      <x:c r="K3396" s="17" t="str">
        <x:v>2026-09-11</x:v>
      </x:c>
      <x:c r="L3396" s="17" t="str">
        <x:v>2026</x:v>
      </x:c>
      <x:c r="M3396" s="17" t="str">
        <x:v>high</x:v>
      </x:c>
      <x:c r="N3396" s="17" t="str">
        <x:v>verified</x:v>
      </x:c>
      <x:c r="O3396" s="17" t="str">
        <x:v>Live official page checked 2026-09-11.</x:v>
      </x:c>
      <x:c r="P3396" s="18" t="e">
        <x:f>HYPERLINK("https://cas.okstate.edu/computer_science/about_us/dr_pu_lab","Open source")</x:f>
        <x:v>HYPERLINK is not implemented. linkLocation=https://cas.okstate.edu/computer_science/about_us/dr_pu_lab, friendlyName=Open source</x:v>
      </x:c>
    </x:row>
    <x:row r="3397" ht="46" customHeight="1">
      <x:c r="A3397" s="17" t="str">
        <x:v>stage4src:c9714bc3917a04e9</x:v>
      </x:c>
      <x:c r="B3397" s="17" t="str">
        <x:v>professor</x:v>
      </x:c>
      <x:c r="C3397" s="17" t="str">
        <x:v>Duke University</x:v>
      </x:c>
      <x:c r="D3397" s="17" t="str">
        <x:v>us:ipeds:198419:program:phd:computer-science-phd</x:v>
      </x:c>
      <x:c r="E3397" s="17" t="str"/>
      <x:c r="F3397" s="17" t="str">
        <x:v>current faculty roster|candidate longlist</x:v>
      </x:c>
      <x:c r="G3397" s="17" t="str">
        <x:v>Current official department roster or research-area faculty listing used to identify the five-person Stage 4 candidate longlist.</x:v>
      </x:c>
      <x:c r="H3397" s="17" t="str">
        <x:v>Duke University current faculty roster</x:v>
      </x:c>
      <x:c r="I3397" s="17" t="str">
        <x:v>Duke University</x:v>
      </x:c>
      <x:c r="J3397" s="17" t="str">
        <x:v>official</x:v>
      </x:c>
      <x:c r="K3397" s="17" t="str">
        <x:v>2026-09-11</x:v>
      </x:c>
      <x:c r="L3397" s="17" t="str"/>
      <x:c r="M3397" s="17" t="str">
        <x:v>high</x:v>
      </x:c>
      <x:c r="N3397" s="17" t="str">
        <x:v>verified</x:v>
      </x:c>
      <x:c r="O3397" s="17" t="str">
        <x:v>Roster evidence establishes a current listing, not program-specific supervision authority or recruiting.</x:v>
      </x:c>
      <x:c r="P3397" s="18" t="e">
        <x:f>HYPERLINK("https://cs.duke.edu/research/security-and-privacy","Open source")</x:f>
        <x:v>HYPERLINK is not implemented. linkLocation=https://cs.duke.edu/research/security-and-privacy, friendlyName=Open source</x:v>
      </x:c>
    </x:row>
    <x:row r="3398" ht="46" customHeight="1">
      <x:c r="A3398" s="17" t="str">
        <x:v>stage4src:c9843fe64afaacd7</x:v>
      </x:c>
      <x:c r="B3398" s="17" t="str">
        <x:v>professor</x:v>
      </x:c>
      <x:c r="C3398" s="17" t="str">
        <x:v>North Carolina State University at Raleigh</x:v>
      </x:c>
      <x:c r="D3398" s="17" t="str">
        <x:v>us:ipeds:199193:program:phd:computer-science-phd</x:v>
      </x:c>
      <x:c r="E3398" s="17" t="str"/>
      <x:c r="F3398" s="17" t="str">
        <x:v>current faculty roster|candidate longlist</x:v>
      </x:c>
      <x:c r="G3398" s="17" t="str">
        <x:v>Current official department roster or research-area faculty listing used to identify the five-person Stage 4 candidate longlist.</x:v>
      </x:c>
      <x:c r="H3398" s="17" t="str">
        <x:v>North Carolina State University at Raleigh current faculty roster</x:v>
      </x:c>
      <x:c r="I3398" s="17" t="str">
        <x:v>North Carolina State University at Raleigh</x:v>
      </x:c>
      <x:c r="J3398" s="17" t="str">
        <x:v>official</x:v>
      </x:c>
      <x:c r="K3398" s="17" t="str">
        <x:v>2026-09-11</x:v>
      </x:c>
      <x:c r="L3398" s="17" t="str"/>
      <x:c r="M3398" s="17" t="str">
        <x:v>high</x:v>
      </x:c>
      <x:c r="N3398" s="17" t="str">
        <x:v>verified</x:v>
      </x:c>
      <x:c r="O3398" s="17" t="str">
        <x:v>Roster evidence establishes a current listing, not program-specific supervision authority or recruiting.</x:v>
      </x:c>
      <x:c r="P3398" s="18" t="e">
        <x:f>HYPERLINK("https://www7.csc.ncsu.edu/directories/graduate_faculty.php","Open source")</x:f>
        <x:v>HYPERLINK is not implemented. linkLocation=https://www7.csc.ncsu.edu/directories/graduate_faculty.php, friendlyName=Open source</x:v>
      </x:c>
    </x:row>
    <x:row r="3399" ht="46" customHeight="1">
      <x:c r="A3399" s="17" t="str">
        <x:v>stage4src:c9c602d5f37f04b5</x:v>
      </x:c>
      <x:c r="B3399" s="17" t="str">
        <x:v>professor</x:v>
      </x:c>
      <x:c r="C3399" s="17" t="str">
        <x:v>University of Wisconsin-Madison</x:v>
      </x:c>
      <x:c r="D3399" s="17" t="str">
        <x:v>us:ipeds:240444:program:phd:computer-sciences-phd</x:v>
      </x:c>
      <x:c r="E3399" s="17" t="str">
        <x:v>us:ipeds:240444:faculty:aws-albarghouthi</x:v>
      </x:c>
      <x:c r="F3399" s="17" t="str">
        <x:v>current appointment|research themes|program supervision authority</x:v>
      </x:c>
      <x:c r="G3399" s="17" t="str">
        <x:v>Current UW-Madison CS associate professor profile records program synthesis, verification, and AI-agent correctness research.</x:v>
      </x:c>
      <x:c r="H3399" s="17" t="str">
        <x:v>Aws Albarghouthi</x:v>
      </x:c>
      <x:c r="I3399" s="17" t="str">
        <x:v>University of Wisconsin-Madison</x:v>
      </x:c>
      <x:c r="J3399" s="17" t="str">
        <x:v>official</x:v>
      </x:c>
      <x:c r="K3399" s="17" t="str">
        <x:v>2026-09-11</x:v>
      </x:c>
      <x:c r="L3399" s="17" t="str"/>
      <x:c r="M3399" s="17" t="str">
        <x:v>high</x:v>
      </x:c>
      <x:c r="N3399" s="17" t="str">
        <x:v>verified</x:v>
      </x:c>
      <x:c r="O3399" s="17" t="str">
        <x:v>Current official university-hosted profile checked 2026-09-10.</x:v>
      </x:c>
      <x:c r="P3399" s="18" t="e">
        <x:f>HYPERLINK("https://pages.cs.wisc.edu/~aws/","Open source")</x:f>
        <x:v>HYPERLINK is not implemented. linkLocation=https://pages.cs.wisc.edu/~aws/, friendlyName=Open source</x:v>
      </x:c>
    </x:row>
    <x:row r="3400" ht="46" customHeight="1">
      <x:c r="A3400" s="17" t="str">
        <x:v>stage4src:caea63c7692421a2</x:v>
      </x:c>
      <x:c r="B3400" s="17" t="str">
        <x:v>professor</x:v>
      </x:c>
      <x:c r="C3400" s="17" t="str">
        <x:v>University of Alberta</x:v>
      </x:c>
      <x:c r="D3400" s="17" t="str">
        <x:v>ca:dli:O19257171832:program:thesis-or-research-master-s:msc-in-computing-science-thesis</x:v>
      </x:c>
      <x:c r="E3400" s="17" t="str">
        <x:v>ca:dli:O19257171832:faculty:abram-hindle</x:v>
      </x:c>
      <x:c r="F3400" s="17" t="str">
        <x:v>recent work|research fit</x:v>
      </x:c>
      <x:c r="G3400" s="17" t="str">
        <x:v>2023 paper studies defect-inducing changes in visual code.</x:v>
      </x:c>
      <x:c r="H3400" s="17" t="str">
        <x:v>Identifying Defect-Inducing Changes in Visual Code</x:v>
      </x:c>
      <x:c r="I3400" s="17" t="str">
        <x:v>OpenAlex / cited venue</x:v>
      </x:c>
      <x:c r="J3400" s="17" t="str">
        <x:v>secondary</x:v>
      </x:c>
      <x:c r="K3400" s="17" t="str">
        <x:v>2026-09-11</x:v>
      </x:c>
      <x:c r="L3400" s="17" t="str">
        <x:v>2023</x:v>
      </x:c>
      <x:c r="M3400" s="17" t="str">
        <x:v>high</x:v>
      </x:c>
      <x:c r="N3400" s="17" t="str">
        <x:v>verified</x:v>
      </x:c>
      <x:c r="O3400" s="17" t="str">
        <x:v>No search snippet used as final evidence; URL/page content reviewed.</x:v>
      </x:c>
      <x:c r="P3400" s="18" t="e">
        <x:f>HYPERLINK("https://arxiv.org/abs/2309.03411","Open source")</x:f>
        <x:v>HYPERLINK is not implemented. linkLocation=https://arxiv.org/abs/2309.03411, friendlyName=Open source</x:v>
      </x:c>
    </x:row>
    <x:row r="3401" ht="46" customHeight="1">
      <x:c r="A3401" s="17" t="str">
        <x:v>stage4src:cafca1a725c85583</x:v>
      </x:c>
      <x:c r="B3401" s="17" t="str">
        <x:v>professor</x:v>
      </x:c>
      <x:c r="C3401" s="17" t="str">
        <x:v>University of Saskatchewan</x:v>
      </x:c>
      <x:c r="D3401" s="17" t="str">
        <x:v>ca:dli:O19425660421:program:thesis-or-research-master-s:msc-in-computer-science-thesis</x:v>
      </x:c>
      <x:c r="E3401" s="17" t="str">
        <x:v>ca:dli:O19425660421:faculty:chanchal-k-roy</x:v>
      </x:c>
      <x:c r="F3401" s="17" t="str">
        <x:v>current appointment|program supervision authority|research themes</x:v>
      </x:c>
      <x:c r="G3401" s="17" t="str">
        <x:v>Chanchal Roy is current Professor in software engineering and maintenance/evolution.</x:v>
      </x:c>
      <x:c r="H3401" s="17" t="str">
        <x:v>Chanchal Roy</x:v>
      </x:c>
      <x:c r="I3401" s="17" t="str">
        <x:v>University of Saskatchewan</x:v>
      </x:c>
      <x:c r="J3401" s="17" t="str">
        <x:v>official</x:v>
      </x:c>
      <x:c r="K3401" s="17" t="str">
        <x:v>2026-09-11</x:v>
      </x:c>
      <x:c r="L3401" s="17" t="str"/>
      <x:c r="M3401" s="17" t="str">
        <x:v>high</x:v>
      </x:c>
      <x:c r="N3401" s="17" t="str">
        <x:v>verified</x:v>
      </x:c>
      <x:c r="O3401" s="17" t="str">
        <x:v>No search snippet used as final evidence; URL/page content reviewed.</x:v>
      </x:c>
      <x:c r="P3401" s="18" t="e">
        <x:f>HYPERLINK("https://www.cs.usask.ca/people/faculty%20profiles/chanchal-roy.php","Open source")</x:f>
        <x:v>HYPERLINK is not implemented. linkLocation=https://www.cs.usask.ca/people/faculty%20profiles/chanchal-roy.php, friendlyName=Open source</x:v>
      </x:c>
    </x:row>
    <x:row r="3402" ht="46" customHeight="1">
      <x:c r="A3402" s="17" t="str">
        <x:v>stage4src:cb0fba9d54d16c9d</x:v>
      </x:c>
      <x:c r="B3402" s="17" t="str">
        <x:v>professor</x:v>
      </x:c>
      <x:c r="C3402" s="17" t="str">
        <x:v>University of Illinois Chicago</x:v>
      </x:c>
      <x:c r="D3402" s="17" t="str">
        <x:v>us:ipeds:145600:program:phd:phd-in-computer-science</x:v>
      </x:c>
      <x:c r="E3402" s="17" t="str">
        <x:v>us:ipeds:145600:faculty:mark-grechanik</x:v>
      </x:c>
      <x:c r="F3402" s="17" t="str">
        <x:v>current appointment|research themes|email</x:v>
      </x:c>
      <x:c r="G3402" s="17" t="str">
        <x:v>The current UIC profile lists Grechanik as a Computer Science Associate Professor and provides his email and software-systems research themes.</x:v>
      </x:c>
      <x:c r="H3402" s="17" t="str">
        <x:v>Mark Grechanik</x:v>
      </x:c>
      <x:c r="I3402" s="17" t="str">
        <x:v>University of Illinois Chicago</x:v>
      </x:c>
      <x:c r="J3402" s="17" t="str">
        <x:v>official</x:v>
      </x:c>
      <x:c r="K3402" s="17" t="str">
        <x:v>2026-09-11</x:v>
      </x:c>
      <x:c r="L3402" s="17" t="str"/>
      <x:c r="M3402" s="17" t="str">
        <x:v>high</x:v>
      </x:c>
      <x:c r="N3402" s="17" t="str">
        <x:v>verified</x:v>
      </x:c>
      <x:c r="O3402" s="17" t="str">
        <x:v>Current official profile checked 2026-09-10.</x:v>
      </x:c>
      <x:c r="P3402" s="18" t="e">
        <x:f>HYPERLINK("https://cs.uic.edu/profiles/mark-grechanik/","Open source")</x:f>
        <x:v>HYPERLINK is not implemented. linkLocation=https://cs.uic.edu/profiles/mark-grechanik/, friendlyName=Open source</x:v>
      </x:c>
    </x:row>
    <x:row r="3403" ht="46" customHeight="1">
      <x:c r="A3403" s="17" t="str">
        <x:v>stage4src:cb4977035917557e</x:v>
      </x:c>
      <x:c r="B3403" s="17" t="str">
        <x:v>professor</x:v>
      </x:c>
      <x:c r="C3403" s="17" t="str">
        <x:v>University at Albany</x:v>
      </x:c>
      <x:c r="D3403" s="17" t="str">
        <x:v>us:ipeds:196060:program:phd:doctor-of-philosophy-in-computer-science</x:v>
      </x:c>
      <x:c r="E3403" s="17" t="str">
        <x:v>us:ipeds:196060:faculty:jeff-offutt</x:v>
      </x:c>
      <x:c r="F3403" s="17" t="str">
        <x:v>program supervision authority|research advisor eligibility</x:v>
      </x:c>
      <x:c r="G3403" s="17" t="str">
        <x:v>The current PhD rules require the research advisor to be a tenured or tenure-track full-time CS faculty member; Offutt meets that rule.</x:v>
      </x:c>
      <x:c r="H3403" s="17" t="str">
        <x:v>Computer Science Doctoral Degree Program</x:v>
      </x:c>
      <x:c r="I3403" s="17" t="str">
        <x:v>University at Albany</x:v>
      </x:c>
      <x:c r="J3403" s="17" t="str">
        <x:v>official</x:v>
      </x:c>
      <x:c r="K3403" s="17" t="str">
        <x:v>2026-09-11</x:v>
      </x:c>
      <x:c r="L3403" s="17" t="str">
        <x:v>2026</x:v>
      </x:c>
      <x:c r="M3403" s="17" t="str">
        <x:v>high</x:v>
      </x:c>
      <x:c r="N3403" s="17" t="str">
        <x:v>verified</x:v>
      </x:c>
      <x:c r="O3403" s="17" t="str">
        <x:v>Live official bulletin checked 2026-09-11.</x:v>
      </x:c>
      <x:c r="P3403" s="18" t="e">
        <x:f>HYPERLINK("https://www.albany.edu/graduate-bulletin/computer-science-phd.php","Open source")</x:f>
        <x:v>HYPERLINK is not implemented. linkLocation=https://www.albany.edu/graduate-bulletin/computer-science-phd.php, friendlyName=Open source</x:v>
      </x:c>
    </x:row>
    <x:row r="3404" ht="46" customHeight="1">
      <x:c r="A3404" s="17" t="str">
        <x:v>stage4src:cb6deea6b413cfdb</x:v>
      </x:c>
      <x:c r="B3404" s="17" t="str">
        <x:v>professor</x:v>
      </x:c>
      <x:c r="C3404" s="17" t="str">
        <x:v>University of Houston</x:v>
      </x:c>
      <x:c r="D3404" s="17" t="str">
        <x:v>us:ipeds:225511:program:phd:phd-in-computer-science</x:v>
      </x:c>
      <x:c r="E3404" s="17" t="str">
        <x:v>us:ipeds:225511:faculty:ali-shokri</x:v>
      </x:c>
      <x:c r="F3404" s="17" t="str">
        <x:v>recent work|research fit</x:v>
      </x:c>
      <x:c r="G3404" s="17" t="str">
        <x:v>The official archive records Shokri's 2025 software-productivity and code-quality research presentation.</x:v>
      </x:c>
      <x:c r="H3404" s="17" t="str">
        <x:v>Computer Science Seminar Archive</x:v>
      </x:c>
      <x:c r="I3404" s="17" t="str">
        <x:v>University of Houston</x:v>
      </x:c>
      <x:c r="J3404" s="17" t="str">
        <x:v>official</x:v>
      </x:c>
      <x:c r="K3404" s="17" t="str">
        <x:v>2026-09-11</x:v>
      </x:c>
      <x:c r="L3404" s="17" t="str">
        <x:v>2025</x:v>
      </x:c>
      <x:c r="M3404" s="17" t="str">
        <x:v>high</x:v>
      </x:c>
      <x:c r="N3404" s="17" t="str">
        <x:v>verified</x:v>
      </x:c>
      <x:c r="O3404" s="17" t="str">
        <x:v>Official seminar archive checked 2026-09-10.</x:v>
      </x:c>
      <x:c r="P3404" s="18" t="e">
        <x:f>HYPERLINK("https://www.uh.edu/nsm/computer-science/events/seminars/archive/","Open source")</x:f>
        <x:v>HYPERLINK is not implemented. linkLocation=https://www.uh.edu/nsm/computer-science/events/seminars/archive/, friendlyName=Open source</x:v>
      </x:c>
    </x:row>
    <x:row r="3405" ht="46" customHeight="1">
      <x:c r="A3405" s="17" t="str">
        <x:v>stage4src:cbf272f8aea46b9c</x:v>
      </x:c>
      <x:c r="B3405" s="17" t="str">
        <x:v>professor</x:v>
      </x:c>
      <x:c r="C3405" s="17" t="str">
        <x:v>University of Toronto</x:v>
      </x:c>
      <x:c r="D3405" s="17" t="str">
        <x:v>ca:dli:O19332746152:program:thesis-or-research-master-s:master-of-applied-science-in-electrical-and-computer-engineering</x:v>
      </x:c>
      <x:c r="E3405" s="17" t="str">
        <x:v>ca:dli:O19332746152:faculty:david-lie</x:v>
      </x:c>
      <x:c r="F3405" s="17" t="str">
        <x:v>recent work|symbolic analysis|machine learning</x:v>
      </x:c>
      <x:c r="G3405" s="17" t="str">
        <x:v>Lie co-authored the 2024 SANER paper on ML-guided symbolic analysis.</x:v>
      </x:c>
      <x:c r="H3405" s="17" t="str">
        <x:v>Exploring Strategies for Guiding Symbolic Analysis with Machine Learning Prediction</x:v>
      </x:c>
      <x:c r="I3405" s="17" t="str">
        <x:v>University of Toronto</x:v>
      </x:c>
      <x:c r="J3405" s="17" t="str">
        <x:v>official</x:v>
      </x:c>
      <x:c r="K3405" s="17" t="str">
        <x:v>2026-09-11</x:v>
      </x:c>
      <x:c r="L3405" s="17" t="str">
        <x:v>2024</x:v>
      </x:c>
      <x:c r="M3405" s="17" t="str">
        <x:v>high</x:v>
      </x:c>
      <x:c r="N3405" s="17" t="str">
        <x:v>verified</x:v>
      </x:c>
      <x:c r="O3405" s="17" t="str">
        <x:v>University-hosted record checked 2026-09-11.</x:v>
      </x:c>
      <x:c r="P3405" s="18" t="e">
        <x:f>HYPERLINK("https://security.csl.toronto.edu/blog/wp-publications/syangsaner2024mlsymbex/","Open source")</x:f>
        <x:v>HYPERLINK is not implemented. linkLocation=https://security.csl.toronto.edu/blog/wp-publications/syangsaner2024mlsymbex/, friendlyName=Open source</x:v>
      </x:c>
    </x:row>
    <x:row r="3406" ht="46" customHeight="1">
      <x:c r="A3406" s="17" t="str">
        <x:v>stage4src:cc6787e9735c482e</x:v>
      </x:c>
      <x:c r="B3406" s="17" t="str">
        <x:v>professor</x:v>
      </x:c>
      <x:c r="C3406" s="17" t="str">
        <x:v>Åbo Akademi University</x:v>
      </x:c>
      <x:c r="D3406" s="17" t="str">
        <x:v>ror:029pk6x14:program:thesis-or-research-master-s:erasmus-mundus-joint-master-in-engineering-of-data-intensive-intelligent-software-systems-ediss</x:v>
      </x:c>
      <x:c r="E3406" s="17" t="str">
        <x:v>ror:029pk6x14:faculty:sebastien-lafond</x:v>
      </x:c>
      <x:c r="F3406" s="17" t="str">
        <x:v>current appointment|email|recent work|EDISS leadership</x:v>
      </x:c>
      <x:c r="G3406" s="17" t="str">
        <x:v>Åbo lists Lafond as current Information Technology Professor, EDISS 2 principal investigator, and co-author of 2026 work on ML-based microservice autoscaling.</x:v>
      </x:c>
      <x:c r="H3406" s="17" t="str">
        <x:v>Sebastien Lafond</x:v>
      </x:c>
      <x:c r="I3406" s="17" t="str">
        <x:v>Åbo Akademi University</x:v>
      </x:c>
      <x:c r="J3406" s="17" t="str">
        <x:v>official</x:v>
      </x:c>
      <x:c r="K3406" s="17" t="str">
        <x:v>2026-09-11</x:v>
      </x:c>
      <x:c r="L3406" s="17" t="str">
        <x:v>2026</x:v>
      </x:c>
      <x:c r="M3406" s="17" t="str">
        <x:v>high</x:v>
      </x:c>
      <x:c r="N3406" s="17" t="str">
        <x:v>verified</x:v>
      </x:c>
      <x:c r="O3406" s="17" t="str">
        <x:v>Live official profile checked 2026-09-11.</x:v>
      </x:c>
      <x:c r="P3406" s="18" t="e">
        <x:f>HYPERLINK("https://research.abo.fi/en/persons/sebastien-lafond/","Open source")</x:f>
        <x:v>HYPERLINK is not implemented. linkLocation=https://research.abo.fi/en/persons/sebastien-lafond/, friendlyName=Open source</x:v>
      </x:c>
    </x:row>
    <x:row r="3407" ht="46" customHeight="1">
      <x:c r="A3407" s="17" t="str">
        <x:v>stage4src:cca87d83d789ad3e</x:v>
      </x:c>
      <x:c r="B3407" s="17" t="str">
        <x:v>professor</x:v>
      </x:c>
      <x:c r="C3407" s="17" t="str">
        <x:v>University of British Columbia</x:v>
      </x:c>
      <x:c r="D3407" s="17" t="str">
        <x:v>ca:dli:O19330231062:program:thesis-or-research-master-s:master-of-applied-science-in-electrical-and-computer-engineering</x:v>
      </x:c>
      <x:c r="E3407" s="17" t="str">
        <x:v>ca:dli:O19330231062:faculty:karthik-pattabiraman</x:v>
      </x:c>
      <x:c r="F3407" s="17" t="str">
        <x:v>current faculty roster|email|candidate longlist</x:v>
      </x:c>
      <x:c r="G3407" s="17" t="str">
        <x:v>The ECE directory lists Pattabiraman and all four encoded alternatives as current faculty.</x:v>
      </x:c>
      <x:c r="H3407" s="17" t="str">
        <x:v>ECE Faculty Directory</x:v>
      </x:c>
      <x:c r="I3407" s="17" t="str">
        <x:v>University of British Columbia</x:v>
      </x:c>
      <x:c r="J3407" s="17" t="str">
        <x:v>official</x:v>
      </x:c>
      <x:c r="K3407" s="17" t="str">
        <x:v>2026-09-11</x:v>
      </x:c>
      <x:c r="L3407" s="17" t="str">
        <x:v>2026</x:v>
      </x:c>
      <x:c r="M3407" s="17" t="str">
        <x:v>high</x:v>
      </x:c>
      <x:c r="N3407" s="17" t="str">
        <x:v>verified</x:v>
      </x:c>
      <x:c r="O3407" s="17" t="str">
        <x:v>Live official directory checked 2026-09-11.</x:v>
      </x:c>
      <x:c r="P3407" s="18" t="e">
        <x:f>HYPERLINK("https://ece.ubc.ca/people/faculty/","Open source")</x:f>
        <x:v>HYPERLINK is not implemented. linkLocation=https://ece.ubc.ca/people/faculty/, friendlyName=Open source</x:v>
      </x:c>
    </x:row>
    <x:row r="3408" ht="46" customHeight="1">
      <x:c r="A3408" s="17" t="str">
        <x:v>stage4src:ccf3d2830e5da425</x:v>
      </x:c>
      <x:c r="B3408" s="17" t="str">
        <x:v>professor</x:v>
      </x:c>
      <x:c r="C3408" s="17" t="str">
        <x:v>Rice University</x:v>
      </x:c>
      <x:c r="D3408" s="17" t="str">
        <x:v>us:ipeds:227757:program:phd:ph-d-in-computer-science</x:v>
      </x:c>
      <x:c r="E3408" s="17" t="str">
        <x:v>us:ipeds:227757:faculty:jiarong-xing</x:v>
      </x:c>
      <x:c r="F3408" s="17" t="str">
        <x:v>exact program|prospective instructions|contact appropriateness</x:v>
      </x:c>
      <x:c r="G3408" s="17" t="str">
        <x:v>Rice's current CS PhD page establishes the exact route and department-led application process.</x:v>
      </x:c>
      <x:c r="H3408" s="17" t="str">
        <x:v>Computer Science PhD Program</x:v>
      </x:c>
      <x:c r="I3408" s="17" t="str">
        <x:v>Rice University</x:v>
      </x:c>
      <x:c r="J3408" s="17" t="str">
        <x:v>official</x:v>
      </x:c>
      <x:c r="K3408" s="17" t="str">
        <x:v>2026-09-11</x:v>
      </x:c>
      <x:c r="L3408" s="17" t="str">
        <x:v>2027</x:v>
      </x:c>
      <x:c r="M3408" s="17" t="str">
        <x:v>high</x:v>
      </x:c>
      <x:c r="N3408" s="17" t="str">
        <x:v>verified</x:v>
      </x:c>
      <x:c r="O3408" s="17" t="str">
        <x:v>Explicit Fall 2027 route checked 2026-09-10.</x:v>
      </x:c>
      <x:c r="P3408" s="18" t="e">
        <x:f>HYPERLINK("https://compsci.rice.edu/academics/graduate-programs/phd-program","Open source")</x:f>
        <x:v>HYPERLINK is not implemented. linkLocation=https://compsci.rice.edu/academics/graduate-programs/phd-program, friendlyName=Open source</x:v>
      </x:c>
    </x:row>
    <x:row r="3409" ht="46" customHeight="1">
      <x:c r="A3409" s="17" t="str">
        <x:v>stage4src:cd3aee21b26c93bd</x:v>
      </x:c>
      <x:c r="B3409" s="17" t="str">
        <x:v>professor</x:v>
      </x:c>
      <x:c r="C3409" s="17" t="str">
        <x:v>University of New Mexico-Main Campus</x:v>
      </x:c>
      <x:c r="D3409" s="17" t="str">
        <x:v>us:ipeds:187985:program:phd:phd-in-computer-science</x:v>
      </x:c>
      <x:c r="E3409" s="17" t="str">
        <x:v>us:ipeds:187985:faculty:pavithra-prabhakar</x:v>
      </x:c>
      <x:c r="F3409" s="17" t="str">
        <x:v>current appointment|program supervision authority|email</x:v>
      </x:c>
      <x:c r="G3409" s="17" t="str">
        <x:v>The current directory lists Prabhakar as a Computer Science professor and endowed chair and provides her official email.</x:v>
      </x:c>
      <x:c r="H3409" s="17" t="str">
        <x:v>UNM Computer Science faculty directory</x:v>
      </x:c>
      <x:c r="I3409" s="17" t="str">
        <x:v>University of New Mexico-Main Campus</x:v>
      </x:c>
      <x:c r="J3409" s="17" t="str">
        <x:v>official</x:v>
      </x:c>
      <x:c r="K3409" s="17" t="str">
        <x:v>2026-09-11</x:v>
      </x:c>
      <x:c r="L3409" s="17" t="str">
        <x:v>2026</x:v>
      </x:c>
      <x:c r="M3409" s="17" t="str">
        <x:v>high</x:v>
      </x:c>
      <x:c r="N3409" s="17" t="str">
        <x:v>verified</x:v>
      </x:c>
      <x:c r="O3409" s="17" t="str">
        <x:v>Current official faculty directory checked 2026-09-10.</x:v>
      </x:c>
      <x:c r="P3409" s="18" t="e">
        <x:f>HYPERLINK("https://www.cs.unm.edu/directory/index.html","Open source")</x:f>
        <x:v>HYPERLINK is not implemented. linkLocation=https://www.cs.unm.edu/directory/index.html, friendlyName=Open source</x:v>
      </x:c>
    </x:row>
    <x:row r="3410" ht="46" customHeight="1">
      <x:c r="A3410" s="17" t="str">
        <x:v>stage4src:cd49a6a40725a76c</x:v>
      </x:c>
      <x:c r="B3410" s="17" t="str">
        <x:v>professor</x:v>
      </x:c>
      <x:c r="C3410" s="17" t="str">
        <x:v>University of Nebraska-Lincoln</x:v>
      </x:c>
      <x:c r="D3410" s="17" t="str">
        <x:v>us:ipeds:181464:program:phd:computer-science-phd</x:v>
      </x:c>
      <x:c r="E3410" s="17" t="str">
        <x:v>us:ipeds:181464:faculty:hamid-bagheri</x:v>
      </x:c>
      <x:c r="F3410" s="17" t="str">
        <x:v>recent work|research fit</x:v>
      </x:c>
      <x:c r="G3410" s="17" t="str">
        <x:v>2025–26 LLM/program-repair work</x:v>
      </x:c>
      <x:c r="H3410" s="17" t="str">
        <x:v>Hamid Bagheri Publications</x:v>
      </x:c>
      <x:c r="I3410" s="17" t="str">
        <x:v>University of Nebraska-Lincoln</x:v>
      </x:c>
      <x:c r="J3410" s="17" t="str">
        <x:v>official</x:v>
      </x:c>
      <x:c r="K3410" s="17" t="str">
        <x:v>2026-09-11</x:v>
      </x:c>
      <x:c r="L3410" s="17" t="str">
        <x:v>2026</x:v>
      </x:c>
      <x:c r="M3410" s="17" t="str">
        <x:v>high</x:v>
      </x:c>
      <x:c r="N3410" s="17" t="str">
        <x:v>verified</x:v>
      </x:c>
      <x:c r="O3410" s="17" t="str"/>
      <x:c r="P3410" s="18" t="e">
        <x:f>HYPERLINK("https://cse.unl.edu/~hbagheri/publications.html","Open source")</x:f>
        <x:v>HYPERLINK is not implemented. linkLocation=https://cse.unl.edu/~hbagheri/publications.html, friendlyName=Open source</x:v>
      </x:c>
    </x:row>
    <x:row r="3411" ht="46" customHeight="1">
      <x:c r="A3411" s="17" t="str">
        <x:v>stage4src:cd61fafefc832bc9</x:v>
      </x:c>
      <x:c r="B3411" s="17" t="str">
        <x:v>professor</x:v>
      </x:c>
      <x:c r="C3411" s="17" t="str">
        <x:v>Temple University</x:v>
      </x:c>
      <x:c r="D3411" s="17" t="str">
        <x:v>us:ipeds:216339:program:phd:computer-and-information-science-phd</x:v>
      </x:c>
      <x:c r="E3411" s="17" t="str">
        <x:v>us:ipeds:216339:faculty:stephen-macneil</x:v>
      </x:c>
      <x:c r="F3411" s="17" t="str">
        <x:v>current appointment|department|email|current alternatives</x:v>
      </x:c>
      <x:c r="G3411" s="17" t="str">
        <x:v>Temple lists MacNeil as a tenure-track research-focused Assistant Professor and supplies his official email; the roster supports four alternatives.</x:v>
      </x:c>
      <x:c r="H3411" s="17" t="str">
        <x:v>Computer and Information Sciences Faculty</x:v>
      </x:c>
      <x:c r="I3411" s="17" t="str">
        <x:v>Temple University</x:v>
      </x:c>
      <x:c r="J3411" s="17" t="str">
        <x:v>official</x:v>
      </x:c>
      <x:c r="K3411" s="17" t="str">
        <x:v>2026-09-11</x:v>
      </x:c>
      <x:c r="L3411" s="17" t="str">
        <x:v>2026</x:v>
      </x:c>
      <x:c r="M3411" s="17" t="str">
        <x:v>high</x:v>
      </x:c>
      <x:c r="N3411" s="17" t="str">
        <x:v>verified</x:v>
      </x:c>
      <x:c r="O3411" s="17" t="str">
        <x:v>Live official roster checked 2026-09-11.</x:v>
      </x:c>
      <x:c r="P3411" s="18" t="e">
        <x:f>HYPERLINK("https://cis.temple.edu/people/faculty/?s=cs","Open source")</x:f>
        <x:v>HYPERLINK is not implemented. linkLocation=https://cis.temple.edu/people/faculty/?s=cs, friendlyName=Open source</x:v>
      </x:c>
    </x:row>
    <x:row r="3412" ht="46" customHeight="1">
      <x:c r="A3412" s="17" t="str">
        <x:v>stage4src:cd830216689d0893</x:v>
      </x:c>
      <x:c r="B3412" s="17" t="str">
        <x:v>professor</x:v>
      </x:c>
      <x:c r="C3412" s="17" t="str">
        <x:v>University of Manitoba</x:v>
      </x:c>
      <x:c r="D3412" s="17" t="str">
        <x:v>ca:dli:O19091528512:program:phd:phd-in-computer-science</x:v>
      </x:c>
      <x:c r="E3412" s="17" t="str">
        <x:v>ca:dli:O19091528512:faculty:shaowei-wang</x:v>
      </x:c>
      <x:c r="F3412" s="17" t="str">
        <x:v>recent work|research fit|graduate supervision</x:v>
      </x:c>
      <x:c r="G3412" s="17" t="str">
        <x:v>The 2026 thesis identifies Wang as advisor and documents compiler-validated LLM code synthesis.</x:v>
      </x:c>
      <x:c r="H3412" s="17" t="str">
        <x:v>Zero-Shot Synthesis of Compilable Code for Incomplete Code Snippets Using LLMs</x:v>
      </x:c>
      <x:c r="I3412" s="17" t="str">
        <x:v>University of Manitoba</x:v>
      </x:c>
      <x:c r="J3412" s="17" t="str">
        <x:v>official</x:v>
      </x:c>
      <x:c r="K3412" s="17" t="str">
        <x:v>2026-09-11</x:v>
      </x:c>
      <x:c r="L3412" s="17" t="str">
        <x:v>2026</x:v>
      </x:c>
      <x:c r="M3412" s="17" t="str">
        <x:v>high</x:v>
      </x:c>
      <x:c r="N3412" s="17" t="str">
        <x:v>verified</x:v>
      </x:c>
      <x:c r="O3412" s="17" t="str">
        <x:v>Official university thesis checked 2026-09-10.</x:v>
      </x:c>
      <x:c r="P3412" s="18" t="e">
        <x:f>HYPERLINK("https://mspace.lib.umanitoba.ca/bitstreams/f558c11f-293c-4302-b6cd-b6edf88f08ce/download","Open source")</x:f>
        <x:v>HYPERLINK is not implemented. linkLocation=https://mspace.lib.umanitoba.ca/bitstreams/f558c11f-293c-4302-b6cd-b6edf88f08ce/download, friendlyName=Open source</x:v>
      </x:c>
    </x:row>
    <x:row r="3413" ht="46" customHeight="1">
      <x:c r="A3413" s="17" t="str">
        <x:v>stage4src:ce3d35f0056f1126</x:v>
      </x:c>
      <x:c r="B3413" s="17" t="str">
        <x:v>professor</x:v>
      </x:c>
      <x:c r="C3413" s="17" t="str">
        <x:v>University of Michigan-Ann Arbor</x:v>
      </x:c>
      <x:c r="D3413" s="17" t="str">
        <x:v>us:ipeds:170976:program:phd:computer-science-and-engineering-phd</x:v>
      </x:c>
      <x:c r="E3413" s="17" t="str"/>
      <x:c r="F3413" s="17" t="str">
        <x:v>current faculty roster|candidate longlist</x:v>
      </x:c>
      <x:c r="G3413" s="17" t="str">
        <x:v>Current official department roster or research-area faculty listing used to identify the five-person Stage 4 candidate longlist.</x:v>
      </x:c>
      <x:c r="H3413" s="17" t="str">
        <x:v>University of Michigan-Ann Arbor current faculty roster</x:v>
      </x:c>
      <x:c r="I3413" s="17" t="str">
        <x:v>University of Michigan-Ann Arbor</x:v>
      </x:c>
      <x:c r="J3413" s="17" t="str">
        <x:v>official</x:v>
      </x:c>
      <x:c r="K3413" s="17" t="str">
        <x:v>2026-09-11</x:v>
      </x:c>
      <x:c r="L3413" s="17" t="str"/>
      <x:c r="M3413" s="17" t="str">
        <x:v>high</x:v>
      </x:c>
      <x:c r="N3413" s="17" t="str">
        <x:v>verified</x:v>
      </x:c>
      <x:c r="O3413" s="17" t="str">
        <x:v>Roster evidence establishes a current listing, not program-specific supervision authority or recruiting.</x:v>
      </x:c>
      <x:c r="P3413" s="18" t="e">
        <x:f>HYPERLINK("https://cse.engin.umich.edu/people/faculty/","Open source")</x:f>
        <x:v>HYPERLINK is not implemented. linkLocation=https://cse.engin.umich.edu/people/faculty/, friendlyName=Open source</x:v>
      </x:c>
    </x:row>
    <x:row r="3414" ht="46" customHeight="1">
      <x:c r="A3414" s="17" t="str">
        <x:v>stage4src:cea7b6d3bce93470</x:v>
      </x:c>
      <x:c r="B3414" s="17" t="str">
        <x:v>professor</x:v>
      </x:c>
      <x:c r="C3414" s="17" t="str">
        <x:v>University at Albany</x:v>
      </x:c>
      <x:c r="D3414" s="17" t="str">
        <x:v>us:ipeds:196060:program:phd:doctor-of-philosophy-in-computer-science</x:v>
      </x:c>
      <x:c r="E3414" s="17" t="str"/>
      <x:c r="F3414" s="17" t="str">
        <x:v>current faculty roster|candidate longlist</x:v>
      </x:c>
      <x:c r="G3414" s="17" t="str">
        <x:v>Current official department roster or research-area faculty listing used to identify the five-person Stage 4 candidate longlist.</x:v>
      </x:c>
      <x:c r="H3414" s="17" t="str">
        <x:v>University at Albany current faculty roster</x:v>
      </x:c>
      <x:c r="I3414" s="17" t="str">
        <x:v>University at Albany</x:v>
      </x:c>
      <x:c r="J3414" s="17" t="str">
        <x:v>official</x:v>
      </x:c>
      <x:c r="K3414" s="17" t="str">
        <x:v>2026-09-11</x:v>
      </x:c>
      <x:c r="L3414" s="17" t="str"/>
      <x:c r="M3414" s="17" t="str">
        <x:v>high</x:v>
      </x:c>
      <x:c r="N3414" s="17" t="str">
        <x:v>verified</x:v>
      </x:c>
      <x:c r="O3414" s="17" t="str">
        <x:v>Roster evidence establishes a current listing, not program-specific supervision authority or recruiting.</x:v>
      </x:c>
      <x:c r="P3414" s="18" t="e">
        <x:f>HYPERLINK("https://www.albany.edu/computer-science/faculty-staff","Open source")</x:f>
        <x:v>HYPERLINK is not implemented. linkLocation=https://www.albany.edu/computer-science/faculty-staff, friendlyName=Open source</x:v>
      </x:c>
    </x:row>
    <x:row r="3415" ht="46" customHeight="1">
      <x:c r="A3415" s="17" t="str">
        <x:v>stage4src:ceb50b016209242c</x:v>
      </x:c>
      <x:c r="B3415" s="17" t="str">
        <x:v>professor</x:v>
      </x:c>
      <x:c r="C3415" s="17" t="str">
        <x:v>Carleton University</x:v>
      </x:c>
      <x:c r="D3415" s="17" t="str">
        <x:v>ca:dli:O19332687812:program:thesis-or-research-master-s:electrical-and-computer-engineering-masc-software-engineering-concentration</x:v>
      </x:c>
      <x:c r="E3415" s="17" t="str">
        <x:v>ca:dli:O19332687812:faculty:yvan-labiche</x:v>
      </x:c>
      <x:c r="F3415" s="17" t="str">
        <x:v>exact program|prospective student instructions|contact appropriateness</x:v>
      </x:c>
      <x:c r="G3415" s="17" t="str">
        <x:v>The current page establishes the ECE MASc research route and supports optional supervisor alignment before application.</x:v>
      </x:c>
      <x:c r="H3415" s="17" t="str">
        <x:v>Electrical and Computer Engineering Master's Programs</x:v>
      </x:c>
      <x:c r="I3415" s="17" t="str">
        <x:v>Carleton University</x:v>
      </x:c>
      <x:c r="J3415" s="17" t="str">
        <x:v>official</x:v>
      </x:c>
      <x:c r="K3415" s="17" t="str">
        <x:v>2026-09-11</x:v>
      </x:c>
      <x:c r="L3415" s="17" t="str">
        <x:v>2026</x:v>
      </x:c>
      <x:c r="M3415" s="17" t="str">
        <x:v>high</x:v>
      </x:c>
      <x:c r="N3415" s="17" t="str">
        <x:v>verified</x:v>
      </x:c>
      <x:c r="O3415" s="17" t="str">
        <x:v>Current official page checked 2026-09-10.</x:v>
      </x:c>
      <x:c r="P3415" s="18" t="e">
        <x:f>HYPERLINK("https://graduate.carleton.ca/program/electrical-and-computer-engineering-masters-programs/","Open source")</x:f>
        <x:v>HYPERLINK is not implemented. linkLocation=https://graduate.carleton.ca/program/electrical-and-computer-engineering-masters-programs/, friendlyName=Open source</x:v>
      </x:c>
    </x:row>
    <x:row r="3416" ht="46" customHeight="1">
      <x:c r="A3416" s="17" t="str">
        <x:v>stage4src:cec0d82cd7543b5d</x:v>
      </x:c>
      <x:c r="B3416" s="17" t="str">
        <x:v>professor</x:v>
      </x:c>
      <x:c r="C3416" s="17" t="str">
        <x:v>University of Pittsburgh-Pittsburgh Campus</x:v>
      </x:c>
      <x:c r="D3416" s="17" t="str">
        <x:v>us:ipeds:215293:program:phd:phd-in-computer-science</x:v>
      </x:c>
      <x:c r="E3416" s="17" t="str">
        <x:v>us:ipeds:215293:faculty:adam-j-lee</x:v>
      </x:c>
      <x:c r="F3416" s="17" t="str">
        <x:v>recent work|cryptographic access control|strong fit</x:v>
      </x:c>
      <x:c r="G3416" s="17" t="str">
        <x:v>The 2022 journal article supports access-control enforcement and security-performance trade-off overlap.</x:v>
      </x:c>
      <x:c r="H3416" s="17" t="str">
        <x:v>Formal Modelling and Automated Trade-off Analysis of Enforcement Architectures for Cryptographic Access Control in the Cloud</x:v>
      </x:c>
      <x:c r="I3416" s="17" t="str">
        <x:v>OpenAlex / cited venue</x:v>
      </x:c>
      <x:c r="J3416" s="17" t="str">
        <x:v>secondary</x:v>
      </x:c>
      <x:c r="K3416" s="17" t="str">
        <x:v>2026-09-11</x:v>
      </x:c>
      <x:c r="L3416" s="17" t="str">
        <x:v>2022</x:v>
      </x:c>
      <x:c r="M3416" s="17" t="str">
        <x:v>high</x:v>
      </x:c>
      <x:c r="N3416" s="17" t="str">
        <x:v>verified</x:v>
      </x:c>
      <x:c r="O3416" s="17" t="str">
        <x:v>DOI metadata checked 2026-09-11.</x:v>
      </x:c>
      <x:c r="P3416" s="18" t="e">
        <x:f>HYPERLINK("https://doi.org/10.1145/3474056","Open source")</x:f>
        <x:v>HYPERLINK is not implemented. linkLocation=https://doi.org/10.1145/3474056, friendlyName=Open source</x:v>
      </x:c>
    </x:row>
    <x:row r="3417" ht="46" customHeight="1">
      <x:c r="A3417" s="17" t="str">
        <x:v>stage4src:cefe43d905827728</x:v>
      </x:c>
      <x:c r="B3417" s="17" t="str">
        <x:v>professor</x:v>
      </x:c>
      <x:c r="C3417" s="17" t="str">
        <x:v>University of Illinois Chicago</x:v>
      </x:c>
      <x:c r="D3417" s="17" t="str">
        <x:v>us:ipeds:145600:program:phd:phd-in-computer-science</x:v>
      </x:c>
      <x:c r="E3417" s="17" t="str">
        <x:v>us:ipeds:145600:faculty:mark-grechanik</x:v>
      </x:c>
      <x:c r="F3417" s="17" t="str">
        <x:v>recent work|doctoral supervision|research fit</x:v>
      </x:c>
      <x:c r="G3417" s="17" t="str">
        <x:v>The official 2024 thesis record identifies Mark Grechanik as advisor for compiler and program-analysis research.</x:v>
      </x:c>
      <x:c r="H3417" s="17" t="str">
        <x:v>A Language-Independent Approach to Generating Comprehensive Random Programs</x:v>
      </x:c>
      <x:c r="I3417" s="17" t="str">
        <x:v>University of Illinois Chicago</x:v>
      </x:c>
      <x:c r="J3417" s="17" t="str">
        <x:v>official</x:v>
      </x:c>
      <x:c r="K3417" s="17" t="str">
        <x:v>2026-09-11</x:v>
      </x:c>
      <x:c r="L3417" s="17" t="str">
        <x:v>2024</x:v>
      </x:c>
      <x:c r="M3417" s="17" t="str">
        <x:v>high</x:v>
      </x:c>
      <x:c r="N3417" s="17" t="str">
        <x:v>verified</x:v>
      </x:c>
      <x:c r="O3417" s="17" t="str">
        <x:v>Official university thesis record checked 2026-09-10.</x:v>
      </x:c>
      <x:c r="P3417" s="18" t="e">
        <x:f>HYPERLINK("https://indigo.uic.edu/articles/thesis/A_Language-Independent_Approach_to_Generating_Comprehensive_Random_Programs/27152529","Open source")</x:f>
        <x:v>HYPERLINK is not implemented. linkLocation=https://indigo.uic.edu/articles/thesis/A_Language-Independent_Approach_to_Generating_Comprehensive_Random_Programs/27152529, friendlyName=Open source</x:v>
      </x:c>
    </x:row>
    <x:row r="3418" ht="46" customHeight="1">
      <x:c r="A3418" s="17" t="str">
        <x:v>stage4src:cf41ff1c8bdfddb5</x:v>
      </x:c>
      <x:c r="B3418" s="17" t="str">
        <x:v>professor</x:v>
      </x:c>
      <x:c r="C3418" s="17" t="str">
        <x:v>Tennessee Technological University</x:v>
      </x:c>
      <x:c r="D3418" s="17" t="str">
        <x:v>us:ipeds:221847:program:phd:computer-science-phd</x:v>
      </x:c>
      <x:c r="E3418" s="17" t="str">
        <x:v>us:ipeds:221847:faculty:muhammad-ismail</x:v>
      </x:c>
      <x:c r="F3418" s="17" t="str">
        <x:v>recent projects|sustained research|strong fit</x:v>
      </x:c>
      <x:c r="G3418" s="17" t="str">
        <x:v>The report documents Ismail's 2025 quantum-enabled security, QKD testbed, and NSF EQUIS directions.</x:v>
      </x:c>
      <x:c r="H3418" s="17" t="str">
        <x:v>CEROC FY2025 Annual Report</x:v>
      </x:c>
      <x:c r="I3418" s="17" t="str">
        <x:v>Tennessee Technological University</x:v>
      </x:c>
      <x:c r="J3418" s="17" t="str">
        <x:v>official</x:v>
      </x:c>
      <x:c r="K3418" s="17" t="str">
        <x:v>2026-09-11</x:v>
      </x:c>
      <x:c r="L3418" s="17" t="str">
        <x:v>2025</x:v>
      </x:c>
      <x:c r="M3418" s="17" t="str">
        <x:v>high</x:v>
      </x:c>
      <x:c r="N3418" s="17" t="str">
        <x:v>verified</x:v>
      </x:c>
      <x:c r="O3418" s="17" t="str">
        <x:v>Official report checked 2026-09-11; projects and funding are not recruiting evidence.</x:v>
      </x:c>
      <x:c r="P3418" s="18" t="e">
        <x:f>HYPERLINK("https://www.tntech.edu/ceroc/pdf/annual_reports/FY25_Annual_Report.pdf","Open source")</x:f>
        <x:v>HYPERLINK is not implemented. linkLocation=https://www.tntech.edu/ceroc/pdf/annual_reports/FY25_Annual_Report.pdf, friendlyName=Open source</x:v>
      </x:c>
    </x:row>
    <x:row r="3419" ht="46" customHeight="1">
      <x:c r="A3419" s="17" t="str">
        <x:v>stage4src:cf93a983d8910dca</x:v>
      </x:c>
      <x:c r="B3419" s="17" t="str">
        <x:v>professor</x:v>
      </x:c>
      <x:c r="C3419" s="17" t="str">
        <x:v>University of Cambridge</x:v>
      </x:c>
      <x:c r="D3419" s="17" t="str">
        <x:v>ror:013meh722:program:phd:phd-in-computer-science</x:v>
      </x:c>
      <x:c r="E3419" s="17" t="str">
        <x:v>ror:013meh722:faculty:robert-n-m-watson</x:v>
      </x:c>
      <x:c r="F3419" s="17" t="str">
        <x:v>discovery publication signal|recent work</x:v>
      </x:c>
      <x:c r="G3419" s="17" t="str">
        <x:v>Publication metadata was examined for shortlist triage only; publication-time affiliation does not establish current appointment, supervision authority, or recruiting.</x:v>
      </x:c>
      <x:c r="H3419" s="17" t="str">
        <x:v>OpenAlex publication signal for Robert N. M. Watson</x:v>
      </x:c>
      <x:c r="I3419" s="17" t="str">
        <x:v>OpenAlex / cited venue</x:v>
      </x:c>
      <x:c r="J3419" s="17" t="str">
        <x:v>secondary</x:v>
      </x:c>
      <x:c r="K3419" s="17" t="str">
        <x:v>2026-09-11</x:v>
      </x:c>
      <x:c r="L3419" s="17" t="str"/>
      <x:c r="M3419" s="17" t="str">
        <x:v>medium</x:v>
      </x:c>
      <x:c r="N3419" s="17" t="str">
        <x:v>discovery_only</x:v>
      </x:c>
      <x:c r="O3419" s="17" t="str">
        <x:v>Not used to award a professor score or faculty-depth point.</x:v>
      </x:c>
      <x:c r="P3419" s="18" t="e">
        <x:f>HYPERLINK("https://openalex.org/A5013006563","Open source")</x:f>
        <x:v>HYPERLINK is not implemented. linkLocation=https://openalex.org/A5013006563, friendlyName=Open source</x:v>
      </x:c>
    </x:row>
    <x:row r="3420" ht="46" customHeight="1">
      <x:c r="A3420" s="17" t="str">
        <x:v>stage4src:cf9f0015bf4e597e</x:v>
      </x:c>
      <x:c r="B3420" s="17" t="str">
        <x:v>professor</x:v>
      </x:c>
      <x:c r="C3420" s="17" t="str">
        <x:v>University of Toronto</x:v>
      </x:c>
      <x:c r="D3420" s="17" t="str">
        <x:v>ca:dli:O19332746152:program:thesis-or-research-master-s:master-of-applied-science-in-electrical-and-computer-engineering</x:v>
      </x:c>
      <x:c r="E3420" s="17" t="str">
        <x:v>ca:dli:O19332746152:faculty:david-lie</x:v>
      </x:c>
      <x:c r="F3420" s="17" t="str">
        <x:v>recent work|LLM formal verification|software analysis</x:v>
      </x:c>
      <x:c r="G3420" s="17" t="str">
        <x:v>The record lists 2026 RFC2TLA+ work using continuous LLM feedback and 2024 software-analysis work.</x:v>
      </x:c>
      <x:c r="H3420" s="17" t="str">
        <x:v>David Lie publications</x:v>
      </x:c>
      <x:c r="I3420" s="17" t="str">
        <x:v>University of Toronto</x:v>
      </x:c>
      <x:c r="J3420" s="17" t="str">
        <x:v>official</x:v>
      </x:c>
      <x:c r="K3420" s="17" t="str">
        <x:v>2026-09-11</x:v>
      </x:c>
      <x:c r="L3420" s="17" t="str">
        <x:v>2026</x:v>
      </x:c>
      <x:c r="M3420" s="17" t="str">
        <x:v>high</x:v>
      </x:c>
      <x:c r="N3420" s="17" t="str">
        <x:v>verified</x:v>
      </x:c>
      <x:c r="O3420" s="17" t="str">
        <x:v>University-hosted faculty record checked 2026-09-11.</x:v>
      </x:c>
      <x:c r="P3420" s="18" t="e">
        <x:f>HYPERLINK("https://security.csl.toronto.edu/publications/","Open source")</x:f>
        <x:v>HYPERLINK is not implemented. linkLocation=https://security.csl.toronto.edu/publications/, friendlyName=Open source</x:v>
      </x:c>
    </x:row>
    <x:row r="3421" ht="46" customHeight="1">
      <x:c r="A3421" s="17" t="str">
        <x:v>stage4src:cfd5b5e6c7fea570</x:v>
      </x:c>
      <x:c r="B3421" s="17" t="str">
        <x:v>professor</x:v>
      </x:c>
      <x:c r="C3421" s="17" t="str">
        <x:v>Washington University in St Louis</x:v>
      </x:c>
      <x:c r="D3421" s="17" t="str">
        <x:v>us:ipeds:179867:program:phd:computer-science-phd</x:v>
      </x:c>
      <x:c r="E3421" s="17" t="str">
        <x:v>us:ipeds:179867:faculty:umar-iqbal</x:v>
      </x:c>
      <x:c r="F3421" s="17" t="str">
        <x:v>current appointment|program supervision authority|research themes</x:v>
      </x:c>
      <x:c r="G3421" s="17" t="str">
        <x:v>Current appointment, email, and agent/security research</x:v>
      </x:c>
      <x:c r="H3421" s="17" t="str">
        <x:v>Umar Iqbal</x:v>
      </x:c>
      <x:c r="I3421" s="17" t="str">
        <x:v>Washington University in St Louis</x:v>
      </x:c>
      <x:c r="J3421" s="17" t="str">
        <x:v>official</x:v>
      </x:c>
      <x:c r="K3421" s="17" t="str">
        <x:v>2026-09-11</x:v>
      </x:c>
      <x:c r="L3421" s="17" t="str"/>
      <x:c r="M3421" s="17" t="str">
        <x:v>high</x:v>
      </x:c>
      <x:c r="N3421" s="17" t="str">
        <x:v>verified</x:v>
      </x:c>
      <x:c r="O3421" s="17" t="str"/>
      <x:c r="P3421" s="18" t="e">
        <x:f>HYPERLINK("https://engineering.washu.edu/faculty/Umar-Iqbal.html","Open source")</x:f>
        <x:v>HYPERLINK is not implemented. linkLocation=https://engineering.washu.edu/faculty/Umar-Iqbal.html, friendlyName=Open source</x:v>
      </x:c>
    </x:row>
    <x:row r="3422" ht="46" customHeight="1">
      <x:c r="A3422" s="17" t="str">
        <x:v>stage4src:cfd88ed4995052f4</x:v>
      </x:c>
      <x:c r="B3422" s="17" t="str">
        <x:v>professor</x:v>
      </x:c>
      <x:c r="C3422" s="17" t="str">
        <x:v>University of Trento</x:v>
      </x:c>
      <x:c r="D3422" s="17" t="str">
        <x:v>ror:05trd4x28:program:thesis-or-research-master-s:master-s-degree-in-computer-science</x:v>
      </x:c>
      <x:c r="E3422" s="17" t="str"/>
      <x:c r="F3422" s="17" t="str">
        <x:v>current faculty roster|candidate longlist</x:v>
      </x:c>
      <x:c r="G3422" s="17" t="str">
        <x:v>Current official department roster or research-area faculty listing used to identify the five-person Stage 4 candidate longlist.</x:v>
      </x:c>
      <x:c r="H3422" s="17" t="str">
        <x:v>University of Trento current faculty roster</x:v>
      </x:c>
      <x:c r="I3422" s="17" t="str">
        <x:v>University of Trento</x:v>
      </x:c>
      <x:c r="J3422" s="17" t="str">
        <x:v>official</x:v>
      </x:c>
      <x:c r="K3422" s="17" t="str">
        <x:v>2026-09-11</x:v>
      </x:c>
      <x:c r="L3422" s="17" t="str"/>
      <x:c r="M3422" s="17" t="str">
        <x:v>high</x:v>
      </x:c>
      <x:c r="N3422" s="17" t="str">
        <x:v>verified</x:v>
      </x:c>
      <x:c r="O3422" s="17" t="str">
        <x:v>Roster evidence establishes a current listing, not program-specific supervision authority or recruiting.</x:v>
      </x:c>
      <x:c r="P3422" s="18" t="e">
        <x:f>HYPERLINK("https://www.disi.unitn.it/research/programs/sweng","Open source")</x:f>
        <x:v>HYPERLINK is not implemented. linkLocation=https://www.disi.unitn.it/research/programs/sweng, friendlyName=Open source</x:v>
      </x:c>
    </x:row>
    <x:row r="3423" ht="46" customHeight="1">
      <x:c r="A3423" s="17" t="str">
        <x:v>stage4src:cfec593501b8c254</x:v>
      </x:c>
      <x:c r="B3423" s="17" t="str">
        <x:v>professor</x:v>
      </x:c>
      <x:c r="C3423" s="17" t="str">
        <x:v>Åbo Akademi University</x:v>
      </x:c>
      <x:c r="D3423" s="17" t="str">
        <x:v>ror:029pk6x14:program:thesis-or-research-master-s:erasmus-mundus-joint-master-in-engineering-of-data-intensive-intelligent-software-systems-ediss</x:v>
      </x:c>
      <x:c r="E3423" s="17" t="str"/>
      <x:c r="F3423" s="17" t="str">
        <x:v>current faculty roster|candidate longlist</x:v>
      </x:c>
      <x:c r="G3423" s="17" t="str">
        <x:v>Current official department roster or research-area faculty listing used to identify the five-person Stage 4 candidate longlist.</x:v>
      </x:c>
      <x:c r="H3423" s="17" t="str">
        <x:v>Åbo Akademi University current faculty roster</x:v>
      </x:c>
      <x:c r="I3423" s="17" t="str">
        <x:v>Åbo Akademi University</x:v>
      </x:c>
      <x:c r="J3423" s="17" t="str">
        <x:v>official</x:v>
      </x:c>
      <x:c r="K3423" s="17" t="str">
        <x:v>2026-09-11</x:v>
      </x:c>
      <x:c r="L3423" s="17" t="str"/>
      <x:c r="M3423" s="17" t="str">
        <x:v>high</x:v>
      </x:c>
      <x:c r="N3423" s="17" t="str">
        <x:v>verified</x:v>
      </x:c>
      <x:c r="O3423" s="17" t="str">
        <x:v>Roster evidence establishes a current listing, not program-specific supervision authority or recruiting.</x:v>
      </x:c>
      <x:c r="P3423" s="18" t="e">
        <x:f>HYPERLINK("https://www.abo.fi/en/information-technology-research-and-researchers-2-2-2/","Open source")</x:f>
        <x:v>HYPERLINK is not implemented. linkLocation=https://www.abo.fi/en/information-technology-research-and-researchers-2-2-2/, friendlyName=Open source</x:v>
      </x:c>
    </x:row>
    <x:row r="3424" ht="46" customHeight="1">
      <x:c r="A3424" s="17" t="str">
        <x:v>stage4src:d03292b0df21ae8d</x:v>
      </x:c>
      <x:c r="B3424" s="17" t="str">
        <x:v>professor</x:v>
      </x:c>
      <x:c r="C3424" s="17" t="str">
        <x:v>Johns Hopkins University</x:v>
      </x:c>
      <x:c r="D3424" s="17" t="str">
        <x:v>us:ipeds:162928:program:phd:phd-in-computer-science</x:v>
      </x:c>
      <x:c r="E3424" s="17" t="str">
        <x:v>us:ipeds:162928:faculty:yinzhi-cao</x:v>
      </x:c>
      <x:c r="F3424" s="17" t="str">
        <x:v>recent work|web vulnerability analysis|graduate supervision context</x:v>
      </x:c>
      <x:c r="G3424" s="17" t="str">
        <x:v>JHU documents Cao's 2025 award-winning large-scale prototype-pollution study with CS PhD students.</x:v>
      </x:c>
      <x:c r="H3424" s="17" t="str">
        <x:v>Yinzhi Cao receives multiple awards at IEEE Security and Privacy 2025</x:v>
      </x:c>
      <x:c r="I3424" s="17" t="str">
        <x:v>Johns Hopkins University</x:v>
      </x:c>
      <x:c r="J3424" s="17" t="str">
        <x:v>official</x:v>
      </x:c>
      <x:c r="K3424" s="17" t="str">
        <x:v>2026-09-11</x:v>
      </x:c>
      <x:c r="L3424" s="17" t="str">
        <x:v>2025</x:v>
      </x:c>
      <x:c r="M3424" s="17" t="str">
        <x:v>high</x:v>
      </x:c>
      <x:c r="N3424" s="17" t="str">
        <x:v>verified</x:v>
      </x:c>
      <x:c r="O3424" s="17" t="str">
        <x:v>Official article checked 2026-09-11; student participation is not recruiting evidence.</x:v>
      </x:c>
      <x:c r="P3424" s="18" t="e">
        <x:f>HYPERLINK("https://www.cs.jhu.edu/news/yinzhi-cao-receives-multiple-awards-at-ieee-security-and-privacy-2025/","Open source")</x:f>
        <x:v>HYPERLINK is not implemented. linkLocation=https://www.cs.jhu.edu/news/yinzhi-cao-receives-multiple-awards-at-ieee-security-and-privacy-2025/, friendlyName=Open source</x:v>
      </x:c>
    </x:row>
    <x:row r="3425" ht="46" customHeight="1">
      <x:c r="A3425" s="17" t="str">
        <x:v>stage4src:d0354129105f2c8b</x:v>
      </x:c>
      <x:c r="B3425" s="17" t="str">
        <x:v>professor</x:v>
      </x:c>
      <x:c r="C3425" s="17" t="str">
        <x:v>University of California-Riverside</x:v>
      </x:c>
      <x:c r="D3425" s="17" t="str">
        <x:v>us:ipeds:110671:program:phd:phd-in-computer-science</x:v>
      </x:c>
      <x:c r="E3425" s="17" t="str">
        <x:v>us:ipeds:110671:faculty:qian-zhang</x:v>
      </x:c>
      <x:c r="F3425" s="17" t="str">
        <x:v>current appointment|current PhD supervision|research themes|email|recent work</x:v>
      </x:c>
      <x:c r="G3425" s="17" t="str">
        <x:v>The page identifies Zhang as a current tenure-track CSE Assistant Professor, lists current MS/PhD advisees, email, and 2024 software-testing activity.</x:v>
      </x:c>
      <x:c r="H3425" s="17" t="str">
        <x:v>Qian Zhang</x:v>
      </x:c>
      <x:c r="I3425" s="17" t="str">
        <x:v>University of California-Riverside</x:v>
      </x:c>
      <x:c r="J3425" s="17" t="str">
        <x:v>official</x:v>
      </x:c>
      <x:c r="K3425" s="17" t="str">
        <x:v>2026-09-11</x:v>
      </x:c>
      <x:c r="L3425" s="17" t="str">
        <x:v>2026</x:v>
      </x:c>
      <x:c r="M3425" s="17" t="str">
        <x:v>high</x:v>
      </x:c>
      <x:c r="N3425" s="17" t="str">
        <x:v>verified</x:v>
      </x:c>
      <x:c r="O3425" s="17" t="str">
        <x:v>Current official page checked 2026-09-10.</x:v>
      </x:c>
      <x:c r="P3425" s="18" t="e">
        <x:f>HYPERLINK("https://cs.ucr.edu/~qzhang/index.html","Open source")</x:f>
        <x:v>HYPERLINK is not implemented. linkLocation=https://cs.ucr.edu/~qzhang/index.html, friendlyName=Open source</x:v>
      </x:c>
    </x:row>
    <x:row r="3426" ht="46" customHeight="1">
      <x:c r="A3426" s="17" t="str">
        <x:v>stage4src:d04dabe7ef2025f0</x:v>
      </x:c>
      <x:c r="B3426" s="17" t="str">
        <x:v>professor</x:v>
      </x:c>
      <x:c r="C3426" s="17" t="str">
        <x:v>Oklahoma State University-Main Campus</x:v>
      </x:c>
      <x:c r="D3426" s="17" t="str">
        <x:v>us:ipeds:207388:program:phd:doctor-of-philosophy-in-computer-science</x:v>
      </x:c>
      <x:c r="E3426" s="17" t="str">
        <x:v>us:ipeds:207388:faculty:cong-pu</x:v>
      </x:c>
      <x:c r="F3426" s="17" t="str">
        <x:v>recent work|research fit</x:v>
      </x:c>
      <x:c r="G3426" s="17" t="str">
        <x:v>The 2024 paper records Pu's work on cross-domain authentication for Internet-of-Drones networks.</x:v>
      </x:c>
      <x:c r="H3426" s="17" t="str">
        <x:v>Cross-Domain Authentication Protocol for IoD Networks</x:v>
      </x:c>
      <x:c r="I3426" s="17" t="str">
        <x:v>OpenAlex / cited venue</x:v>
      </x:c>
      <x:c r="J3426" s="17" t="str">
        <x:v>secondary</x:v>
      </x:c>
      <x:c r="K3426" s="17" t="str">
        <x:v>2026-09-11</x:v>
      </x:c>
      <x:c r="L3426" s="17" t="str">
        <x:v>2024</x:v>
      </x:c>
      <x:c r="M3426" s="17" t="str">
        <x:v>high</x:v>
      </x:c>
      <x:c r="N3426" s="17" t="str">
        <x:v>verified</x:v>
      </x:c>
      <x:c r="O3426" s="17" t="str">
        <x:v>Author copy checked 2026-09-11.</x:v>
      </x:c>
      <x:c r="P3426" s="18" t="e">
        <x:f>HYPERLINK("https://congpu.github.io/document/paper/pu2023chebyshev.pdf","Open source")</x:f>
        <x:v>HYPERLINK is not implemented. linkLocation=https://congpu.github.io/document/paper/pu2023chebyshev.pdf, friendlyName=Open source</x:v>
      </x:c>
    </x:row>
    <x:row r="3427" ht="46" customHeight="1">
      <x:c r="A3427" s="17" t="str">
        <x:v>stage4src:d05ea15100ab734f</x:v>
      </x:c>
      <x:c r="B3427" s="17" t="str">
        <x:v>professor</x:v>
      </x:c>
      <x:c r="C3427" s="17" t="str">
        <x:v>University at Albany</x:v>
      </x:c>
      <x:c r="D3427" s="17" t="str">
        <x:v>us:ipeds:196060:program:phd:doctor-of-philosophy-in-computer-science</x:v>
      </x:c>
      <x:c r="E3427" s="17" t="str">
        <x:v>us:ipeds:196060:faculty:jeff-offutt</x:v>
      </x:c>
      <x:c r="F3427" s="17" t="str">
        <x:v>current appointment|recent work|software testing</x:v>
      </x:c>
      <x:c r="G3427" s="17" t="str">
        <x:v>The January 2025 CV documents Offutt's current UAlbany appointment and 2023 peer-reviewed work on model-to-code test transformation.</x:v>
      </x:c>
      <x:c r="H3427" s="17" t="str">
        <x:v>Jeff Offutt curriculum vitae</x:v>
      </x:c>
      <x:c r="I3427" s="17" t="str">
        <x:v>University at Albany</x:v>
      </x:c>
      <x:c r="J3427" s="17" t="str">
        <x:v>official</x:v>
      </x:c>
      <x:c r="K3427" s="17" t="str">
        <x:v>2026-09-11</x:v>
      </x:c>
      <x:c r="L3427" s="17" t="str">
        <x:v>2025</x:v>
      </x:c>
      <x:c r="M3427" s="17" t="str">
        <x:v>high</x:v>
      </x:c>
      <x:c r="N3427" s="17" t="str">
        <x:v>verified</x:v>
      </x:c>
      <x:c r="O3427" s="17" t="str">
        <x:v>Official university-hosted CV checked 2026-09-11.</x:v>
      </x:c>
      <x:c r="P3427" s="18" t="e">
        <x:f>HYPERLINK("https://www.albany.edu/faculty/offutt/resume.pdf","Open source")</x:f>
        <x:v>HYPERLINK is not implemented. linkLocation=https://www.albany.edu/faculty/offutt/resume.pdf, friendlyName=Open source</x:v>
      </x:c>
    </x:row>
    <x:row r="3428" ht="46" customHeight="1">
      <x:c r="A3428" s="17" t="str">
        <x:v>stage4src:d09771f38725bcbc</x:v>
      </x:c>
      <x:c r="B3428" s="17" t="str">
        <x:v>professor</x:v>
      </x:c>
      <x:c r="C3428" s="17" t="str">
        <x:v>University of Nebraska-Lincoln</x:v>
      </x:c>
      <x:c r="D3428" s="17" t="str">
        <x:v>us:ipeds:181464:program:phd:computer-science-phd</x:v>
      </x:c>
      <x:c r="E3428" s="17" t="str"/>
      <x:c r="F3428" s="17" t="str">
        <x:v>current faculty roster|candidate longlist</x:v>
      </x:c>
      <x:c r="G3428" s="17" t="str">
        <x:v>Current official department roster or research-area faculty listing used to identify the five-person Stage 4 candidate longlist.</x:v>
      </x:c>
      <x:c r="H3428" s="17" t="str">
        <x:v>University of Nebraska-Lincoln current faculty roster</x:v>
      </x:c>
      <x:c r="I3428" s="17" t="str">
        <x:v>University of Nebraska-Lincoln</x:v>
      </x:c>
      <x:c r="J3428" s="17" t="str">
        <x:v>official</x:v>
      </x:c>
      <x:c r="K3428" s="17" t="str">
        <x:v>2026-09-11</x:v>
      </x:c>
      <x:c r="L3428" s="17" t="str"/>
      <x:c r="M3428" s="17" t="str">
        <x:v>high</x:v>
      </x:c>
      <x:c r="N3428" s="17" t="str">
        <x:v>verified</x:v>
      </x:c>
      <x:c r="O3428" s="17" t="str">
        <x:v>Roster evidence establishes a current listing, not program-specific supervision authority or recruiting.</x:v>
      </x:c>
      <x:c r="P3428" s="18" t="e">
        <x:f>HYPERLINK("https://computing.unl.edu/research-innovation/","Open source")</x:f>
        <x:v>HYPERLINK is not implemented. linkLocation=https://computing.unl.edu/research-innovation/, friendlyName=Open source</x:v>
      </x:c>
    </x:row>
    <x:row r="3429" ht="46" customHeight="1">
      <x:c r="A3429" s="17" t="str">
        <x:v>stage4src:d0e0f3cb74d1480d</x:v>
      </x:c>
      <x:c r="B3429" s="17" t="str">
        <x:v>professor</x:v>
      </x:c>
      <x:c r="C3429" s="17" t="str">
        <x:v>Georgia State University</x:v>
      </x:c>
      <x:c r="D3429" s="17" t="str">
        <x:v>us:ipeds:139940:program:phd:computer-science-phd</x:v>
      </x:c>
      <x:c r="E3429" s="17" t="str">
        <x:v>us:ipeds:139940:faculty:wei-lisa-li</x:v>
      </x:c>
      <x:c r="F3429" s="17" t="str">
        <x:v>recent project|privacy-aware networked systems|strong fit</x:v>
      </x:c>
      <x:c r="G3429" s="17" t="str">
        <x:v>The page records Li's 2024-2027 NSF project on privacy-aware quality assessment for immersive video.</x:v>
      </x:c>
      <x:c r="H3429" s="17" t="str">
        <x:v>Wei (Lisa) Li Grants</x:v>
      </x:c>
      <x:c r="I3429" s="17" t="str">
        <x:v>Georgia State University</x:v>
      </x:c>
      <x:c r="J3429" s="17" t="str">
        <x:v>official</x:v>
      </x:c>
      <x:c r="K3429" s="17" t="str">
        <x:v>2026-09-11</x:v>
      </x:c>
      <x:c r="L3429" s="17" t="str">
        <x:v>2024</x:v>
      </x:c>
      <x:c r="M3429" s="17" t="str">
        <x:v>high</x:v>
      </x:c>
      <x:c r="N3429" s="17" t="str">
        <x:v>verified</x:v>
      </x:c>
      <x:c r="O3429" s="17" t="str">
        <x:v>University-hosted page checked 2026-09-11; funding is not recruiting evidence.</x:v>
      </x:c>
      <x:c r="P3429" s="18" t="e">
        <x:f>HYPERLINK("https://tinman.cs.gsu.edu/~wli28/grant.html","Open source")</x:f>
        <x:v>HYPERLINK is not implemented. linkLocation=https://tinman.cs.gsu.edu/~wli28/grant.html, friendlyName=Open source</x:v>
      </x:c>
    </x:row>
    <x:row r="3430" ht="46" customHeight="1">
      <x:c r="A3430" s="17" t="str">
        <x:v>stage4src:d0ed93129dc7387f</x:v>
      </x:c>
      <x:c r="B3430" s="17" t="str">
        <x:v>professor</x:v>
      </x:c>
      <x:c r="C3430" s="17" t="str">
        <x:v>University of British Columbia</x:v>
      </x:c>
      <x:c r="D3430" s="17" t="str">
        <x:v>ca:dli:O19330231062:program:integrated-or-structured-doctorate:phd-track-via-msc</x:v>
      </x:c>
      <x:c r="E3430" s="17" t="str"/>
      <x:c r="F3430" s="17" t="str">
        <x:v>current faculty roster|candidate longlist</x:v>
      </x:c>
      <x:c r="G3430" s="17" t="str">
        <x:v>Current official department roster or research-area faculty listing used to identify the five-person Stage 4 candidate longlist.</x:v>
      </x:c>
      <x:c r="H3430" s="17" t="str">
        <x:v>University of British Columbia current faculty roster</x:v>
      </x:c>
      <x:c r="I3430" s="17" t="str">
        <x:v>University of British Columbia</x:v>
      </x:c>
      <x:c r="J3430" s="17" t="str">
        <x:v>official</x:v>
      </x:c>
      <x:c r="K3430" s="17" t="str">
        <x:v>2026-09-11</x:v>
      </x:c>
      <x:c r="L3430" s="17" t="str"/>
      <x:c r="M3430" s="17" t="str">
        <x:v>high</x:v>
      </x:c>
      <x:c r="N3430" s="17" t="str">
        <x:v>verified</x:v>
      </x:c>
      <x:c r="O3430" s="17" t="str">
        <x:v>Roster evidence establishes a current listing, not program-specific supervision authority or recruiting.</x:v>
      </x:c>
      <x:c r="P3430" s="18" t="e">
        <x:f>HYPERLINK("https://ece.ubc.ca/people/faculty/","Open source")</x:f>
        <x:v>HYPERLINK is not implemented. linkLocation=https://ece.ubc.ca/people/faculty/, friendlyName=Open source</x:v>
      </x:c>
    </x:row>
    <x:row r="3431" ht="46" customHeight="1">
      <x:c r="A3431" s="17" t="str">
        <x:v>stage4src:d11981906b8ab9c9</x:v>
      </x:c>
      <x:c r="B3431" s="17" t="str">
        <x:v>professor</x:v>
      </x:c>
      <x:c r="C3431" s="17" t="str">
        <x:v>University of California-Santa Barbara</x:v>
      </x:c>
      <x:c r="D3431" s="17" t="str">
        <x:v>us:ipeds:110705:program:phd:computer-science-phd</x:v>
      </x:c>
      <x:c r="E3431" s="17" t="str"/>
      <x:c r="F3431" s="17" t="str">
        <x:v>current faculty roster|candidate longlist</x:v>
      </x:c>
      <x:c r="G3431" s="17" t="str">
        <x:v>Current official department roster or research-area faculty listing used to identify the five-person Stage 4 candidate longlist.</x:v>
      </x:c>
      <x:c r="H3431" s="17" t="str">
        <x:v>University of California-Santa Barbara current faculty roster</x:v>
      </x:c>
      <x:c r="I3431" s="17" t="str">
        <x:v>University of California-Santa Barbara</x:v>
      </x:c>
      <x:c r="J3431" s="17" t="str">
        <x:v>official</x:v>
      </x:c>
      <x:c r="K3431" s="17" t="str">
        <x:v>2026-09-11</x:v>
      </x:c>
      <x:c r="L3431" s="17" t="str"/>
      <x:c r="M3431" s="17" t="str">
        <x:v>high</x:v>
      </x:c>
      <x:c r="N3431" s="17" t="str">
        <x:v>verified</x:v>
      </x:c>
      <x:c r="O3431" s="17" t="str">
        <x:v>Roster evidence establishes a current listing, not program-specific supervision authority or recruiting.</x:v>
      </x:c>
      <x:c r="P3431" s="18" t="e">
        <x:f>HYPERLINK("https://www.cs.ucsb.edu/people/faculty","Open source")</x:f>
        <x:v>HYPERLINK is not implemented. linkLocation=https://www.cs.ucsb.edu/people/faculty, friendlyName=Open source</x:v>
      </x:c>
    </x:row>
    <x:row r="3432" ht="46" customHeight="1">
      <x:c r="A3432" s="17" t="str">
        <x:v>stage4src:d13c934141b4cddc</x:v>
      </x:c>
      <x:c r="B3432" s="17" t="str">
        <x:v>professor</x:v>
      </x:c>
      <x:c r="C3432" s="17" t="str">
        <x:v>The University of Texas at San Antonio</x:v>
      </x:c>
      <x:c r="D3432" s="17" t="str">
        <x:v>us:ipeds:229027:program:phd:phd-in-computer-science</x:v>
      </x:c>
      <x:c r="E3432" s="17" t="str">
        <x:v>us:ipeds:229027:faculty:xiaoyin-wang</x:v>
      </x:c>
      <x:c r="F3432" s="17" t="str">
        <x:v>recent work|research fit|email</x:v>
      </x:c>
      <x:c r="G3432" s="17" t="str">
        <x:v>The university-hosted page records recent bug-signature, software-analysis, and security work and provides Wang's email.</x:v>
      </x:c>
      <x:c r="H3432" s="17" t="str">
        <x:v>Xiaoyin Wang Homepage</x:v>
      </x:c>
      <x:c r="I3432" s="17" t="str">
        <x:v>The University of Texas at San Antonio</x:v>
      </x:c>
      <x:c r="J3432" s="17" t="str">
        <x:v>official</x:v>
      </x:c>
      <x:c r="K3432" s="17" t="str">
        <x:v>2026-09-11</x:v>
      </x:c>
      <x:c r="L3432" s="17" t="str">
        <x:v>2023</x:v>
      </x:c>
      <x:c r="M3432" s="17" t="str">
        <x:v>high</x:v>
      </x:c>
      <x:c r="N3432" s="17" t="str">
        <x:v>verified</x:v>
      </x:c>
      <x:c r="O3432" s="17" t="str">
        <x:v>Official university-hosted page checked 2026-09-10.</x:v>
      </x:c>
      <x:c r="P3432" s="18" t="e">
        <x:f>HYPERLINK("https://www.cs.utsa.edu/~xwang/","Open source")</x:f>
        <x:v>HYPERLINK is not implemented. linkLocation=https://www.cs.utsa.edu/~xwang/, friendlyName=Open source</x:v>
      </x:c>
    </x:row>
    <x:row r="3433" ht="46" customHeight="1">
      <x:c r="A3433" s="17" t="str">
        <x:v>stage4src:d17d7b94876ca5e3</x:v>
      </x:c>
      <x:c r="B3433" s="17" t="str">
        <x:v>professor</x:v>
      </x:c>
      <x:c r="C3433" s="17" t="str">
        <x:v>Rutgers University-New Brunswick</x:v>
      </x:c>
      <x:c r="D3433" s="17" t="str">
        <x:v>us:ipeds:186380:program:phd:computer-science-phd</x:v>
      </x:c>
      <x:c r="E3433" s="17" t="str">
        <x:v>us:ipeds:186380:faculty:santosh-nagarakatte</x:v>
      </x:c>
      <x:c r="F3433" s="17" t="str">
        <x:v>current appointment|program supervision authority|research themes|email</x:v>
      </x:c>
      <x:c r="G3433" s="17" t="str">
        <x:v>The current Rutgers profile lists Santosh Nagarakatte as a Computer Science professor and provides his research areas and official email.</x:v>
      </x:c>
      <x:c r="H3433" s="17" t="str">
        <x:v>Santosh Nagarakatte</x:v>
      </x:c>
      <x:c r="I3433" s="17" t="str">
        <x:v>Rutgers University-New Brunswick</x:v>
      </x:c>
      <x:c r="J3433" s="17" t="str">
        <x:v>official</x:v>
      </x:c>
      <x:c r="K3433" s="17" t="str">
        <x:v>2026-09-11</x:v>
      </x:c>
      <x:c r="L3433" s="17" t="str"/>
      <x:c r="M3433" s="17" t="str">
        <x:v>high</x:v>
      </x:c>
      <x:c r="N3433" s="17" t="str">
        <x:v>verified</x:v>
      </x:c>
      <x:c r="O3433" s="17" t="str">
        <x:v>Current official profile checked 2026-09-10.</x:v>
      </x:c>
      <x:c r="P3433" s="18" t="e">
        <x:f>HYPERLINK("https://www.cs.rutgers.edu/people/professors/details/santosh-nagarakatte","Open source")</x:f>
        <x:v>HYPERLINK is not implemented. linkLocation=https://www.cs.rutgers.edu/people/professors/details/santosh-nagarakatte, friendlyName=Open source</x:v>
      </x:c>
    </x:row>
    <x:row r="3434" ht="46" customHeight="1">
      <x:c r="A3434" s="17" t="str">
        <x:v>stage4src:d1d03dfa55460cc0</x:v>
      </x:c>
      <x:c r="B3434" s="17" t="str">
        <x:v>professor</x:v>
      </x:c>
      <x:c r="C3434" s="17" t="str">
        <x:v>Baylor University</x:v>
      </x:c>
      <x:c r="D3434" s="17" t="str">
        <x:v>us:ipeds:223232:program:phd:ph-d-in-computer-science</x:v>
      </x:c>
      <x:c r="E3434" s="17" t="str">
        <x:v>us:ipeds:223232:faculty:mengfei-ren</x:v>
      </x:c>
      <x:c r="F3434" s="17" t="str">
        <x:v>exact program|faculty mentorship|prospective instructions</x:v>
      </x:c>
      <x:c r="G3434" s="17" t="str">
        <x:v>The current research doctorate is conducted through faculty mentorship and does not publish a prior-commitment requirement.</x:v>
      </x:c>
      <x:c r="H3434" s="17" t="str">
        <x:v>PhD in Computer Science</x:v>
      </x:c>
      <x:c r="I3434" s="17" t="str">
        <x:v>Baylor University</x:v>
      </x:c>
      <x:c r="J3434" s="17" t="str">
        <x:v>official</x:v>
      </x:c>
      <x:c r="K3434" s="17" t="str">
        <x:v>2026-09-11</x:v>
      </x:c>
      <x:c r="L3434" s="17" t="str">
        <x:v>2026</x:v>
      </x:c>
      <x:c r="M3434" s="17" t="str">
        <x:v>high</x:v>
      </x:c>
      <x:c r="N3434" s="17" t="str">
        <x:v>verified</x:v>
      </x:c>
      <x:c r="O3434" s="17" t="str">
        <x:v>Current official page checked 2026-09-10.</x:v>
      </x:c>
      <x:c r="P3434" s="18" t="e">
        <x:f>HYPERLINK("https://www.ecs.baylor.edu/students-academics/degree-programs/graduate/phd-cs","Open source")</x:f>
        <x:v>HYPERLINK is not implemented. linkLocation=https://www.ecs.baylor.edu/students-academics/degree-programs/graduate/phd-cs, friendlyName=Open source</x:v>
      </x:c>
    </x:row>
    <x:row r="3435" ht="46" customHeight="1">
      <x:c r="A3435" s="17" t="str">
        <x:v>stage4src:d1fce4d8938aad1b</x:v>
      </x:c>
      <x:c r="B3435" s="17" t="str">
        <x:v>professor</x:v>
      </x:c>
      <x:c r="C3435" s="17" t="str">
        <x:v>York University</x:v>
      </x:c>
      <x:c r="D3435" s="17" t="str">
        <x:v>ca:dli:O19361109242:program:thesis-or-research-master-s:masc-in-electrical-and-computer-engineering</x:v>
      </x:c>
      <x:c r="E3435" s="17" t="str">
        <x:v>ca:dli:O19361109242:faculty:maleknaz-nayebi</x:v>
      </x:c>
      <x:c r="F3435" s="17" t="str">
        <x:v>recent work|open-source software ecosystems|foundation models</x:v>
      </x:c>
      <x:c r="G3435" s="17" t="str">
        <x:v>York documents Nayebi's 2025 Journal of Systems and Software work on open-source ecosystem extension decisions and 2025 COMPSAC work on foundation models.</x:v>
      </x:c>
      <x:c r="H3435" s="17" t="str">
        <x:v>YEMERGE Research and Publications</x:v>
      </x:c>
      <x:c r="I3435" s="17" t="str">
        <x:v>York University</x:v>
      </x:c>
      <x:c r="J3435" s="17" t="str">
        <x:v>official</x:v>
      </x:c>
      <x:c r="K3435" s="17" t="str">
        <x:v>2026-09-11</x:v>
      </x:c>
      <x:c r="L3435" s="17" t="str">
        <x:v>2025</x:v>
      </x:c>
      <x:c r="M3435" s="17" t="str">
        <x:v>high</x:v>
      </x:c>
      <x:c r="N3435" s="17" t="str">
        <x:v>verified</x:v>
      </x:c>
      <x:c r="O3435" s="17" t="str">
        <x:v>Official research record checked 2026-09-11.</x:v>
      </x:c>
      <x:c r="P3435" s="18" t="e">
        <x:f>HYPERLINK("https://www.yorku.ca/research/yemerge/research-publications/","Open source")</x:f>
        <x:v>HYPERLINK is not implemented. linkLocation=https://www.yorku.ca/research/yemerge/research-publications/, friendlyName=Open source</x:v>
      </x:c>
    </x:row>
    <x:row r="3436" ht="46" customHeight="1">
      <x:c r="A3436" s="17" t="str">
        <x:v>stage4src:d2292d47769b8077</x:v>
      </x:c>
      <x:c r="B3436" s="17" t="str">
        <x:v>professor</x:v>
      </x:c>
      <x:c r="C3436" s="17" t="str">
        <x:v>Michigan Technological University</x:v>
      </x:c>
      <x:c r="D3436" s="17" t="str">
        <x:v>us:ipeds:171128:program:phd:computer-science-phd</x:v>
      </x:c>
      <x:c r="E3436" s="17" t="str">
        <x:v>us:ipeds:171128:faculty:jie-wu</x:v>
      </x:c>
      <x:c r="F3436" s="17" t="str">
        <x:v>doctoral supervision authority|contact instructions|historical recruiting evidence</x:v>
      </x:c>
      <x:c r="G3436" s="17" t="str">
        <x:v>Wu invited applications for a fully funded Computer Science PhD position beginning Fall 2026, establishing supervision authority and contact appropriateness but not Fall 2027 recruiting.</x:v>
      </x:c>
      <x:c r="H3436" s="17" t="str">
        <x:v>PhD Position in AI for Software Engineering</x:v>
      </x:c>
      <x:c r="I3436" s="17" t="str">
        <x:v>Michigan Technological University</x:v>
      </x:c>
      <x:c r="J3436" s="17" t="str">
        <x:v>official</x:v>
      </x:c>
      <x:c r="K3436" s="17" t="str">
        <x:v>2026-09-11</x:v>
      </x:c>
      <x:c r="L3436" s="17" t="str">
        <x:v>2026</x:v>
      </x:c>
      <x:c r="M3436" s="17" t="str">
        <x:v>high</x:v>
      </x:c>
      <x:c r="N3436" s="17" t="str">
        <x:v>verified</x:v>
      </x:c>
      <x:c r="O3436" s="17" t="str">
        <x:v>Official Fall 2026 notice checked 2026-09-11; treated as stale for the Fall 2027 target.</x:v>
      </x:c>
      <x:c r="P3436" s="18" t="e">
        <x:f>HYPERLINK("https://www.mtu.edu/cs/graduate/advising/phd-ai-softwareengineering-jiewu.pdf","Open source")</x:f>
        <x:v>HYPERLINK is not implemented. linkLocation=https://www.mtu.edu/cs/graduate/advising/phd-ai-softwareengineering-jiewu.pdf, friendlyName=Open source</x:v>
      </x:c>
    </x:row>
    <x:row r="3437" ht="46" customHeight="1">
      <x:c r="A3437" s="17" t="str">
        <x:v>stage4src:d2e53bde9820c9c0</x:v>
      </x:c>
      <x:c r="B3437" s="17" t="str">
        <x:v>professor</x:v>
      </x:c>
      <x:c r="C3437" s="17" t="str">
        <x:v>University of Oregon</x:v>
      </x:c>
      <x:c r="D3437" s="17" t="str">
        <x:v>us:ipeds:209551:program:phd:phd-in-computer-science</x:v>
      </x:c>
      <x:c r="E3437" s="17" t="str">
        <x:v>us:ipeds:209551:faculty:suyash-gupta</x:v>
      </x:c>
      <x:c r="F3437" s="17" t="str">
        <x:v>program context|prospective-student instructions</x:v>
      </x:c>
      <x:c r="G3437" s="17" t="str">
        <x:v>Oregon presents the Computer Science PhD as a faculty-guided research degree and provides the controlling program context.</x:v>
      </x:c>
      <x:c r="H3437" s="17" t="str">
        <x:v>PhD in Computer Science</x:v>
      </x:c>
      <x:c r="I3437" s="17" t="str">
        <x:v>University of Oregon</x:v>
      </x:c>
      <x:c r="J3437" s="17" t="str">
        <x:v>official</x:v>
      </x:c>
      <x:c r="K3437" s="17" t="str">
        <x:v>2026-09-11</x:v>
      </x:c>
      <x:c r="L3437" s="17" t="str">
        <x:v>2026</x:v>
      </x:c>
      <x:c r="M3437" s="17" t="str">
        <x:v>high</x:v>
      </x:c>
      <x:c r="N3437" s="17" t="str">
        <x:v>verified</x:v>
      </x:c>
      <x:c r="O3437" s="17" t="str">
        <x:v>Live official program page checked 2026-09-11.</x:v>
      </x:c>
      <x:c r="P3437" s="18" t="e">
        <x:f>HYPERLINK("https://scds.uoregon.edu/cs/graduate-programs/cs-phd","Open source")</x:f>
        <x:v>HYPERLINK is not implemented. linkLocation=https://scds.uoregon.edu/cs/graduate-programs/cs-phd, friendlyName=Open source</x:v>
      </x:c>
    </x:row>
    <x:row r="3438" ht="46" customHeight="1">
      <x:c r="A3438" s="17" t="str">
        <x:v>stage4src:d36a8f43b04e635a</x:v>
      </x:c>
      <x:c r="B3438" s="17" t="str">
        <x:v>professor</x:v>
      </x:c>
      <x:c r="C3438" s="17" t="str">
        <x:v>McMaster University</x:v>
      </x:c>
      <x:c r="D3438" s="17" t="str">
        <x:v>ca:dli:O19395535729:program:thesis-or-research-master-s:software-engineering-masc</x:v>
      </x:c>
      <x:c r="E3438" s="17" t="str">
        <x:v>ca:dli:O19395535729:faculty:richard-paige</x:v>
      </x:c>
      <x:c r="F3438" s="17" t="str">
        <x:v>current research direction|recent work|research fit|recruiting evidence</x:v>
      </x:c>
      <x:c r="G3438" s="17" t="str">
        <x:v>The current page identifies Paige as principal investigator on software engineering, safety, security, code-generation, and machine-learning integration for health applications and states that the centre is recruiting researchers.</x:v>
      </x:c>
      <x:c r="H3438" s="17" t="str">
        <x:v>McSCert Research and Recruiting</x:v>
      </x:c>
      <x:c r="I3438" s="17" t="str">
        <x:v>McMaster University</x:v>
      </x:c>
      <x:c r="J3438" s="17" t="str">
        <x:v>official</x:v>
      </x:c>
      <x:c r="K3438" s="17" t="str">
        <x:v>2026-09-11</x:v>
      </x:c>
      <x:c r="L3438" s="17" t="str">
        <x:v>2026</x:v>
      </x:c>
      <x:c r="M3438" s="17" t="str">
        <x:v>high</x:v>
      </x:c>
      <x:c r="N3438" s="17" t="str">
        <x:v>verified</x:v>
      </x:c>
      <x:c r="O3438" s="17" t="str">
        <x:v>Current official centre page checked 2026-09-10.</x:v>
      </x:c>
      <x:c r="P3438" s="18" t="e">
        <x:f>HYPERLINK("https://www.eng.mcmaster.ca/mcscert/research-recruiting/","Open source")</x:f>
        <x:v>HYPERLINK is not implemented. linkLocation=https://www.eng.mcmaster.ca/mcscert/research-recruiting/, friendlyName=Open source</x:v>
      </x:c>
    </x:row>
    <x:row r="3439" ht="46" customHeight="1">
      <x:c r="A3439" s="17" t="str">
        <x:v>stage4src:d3850ef325cb8ed7</x:v>
      </x:c>
      <x:c r="B3439" s="17" t="str">
        <x:v>professor</x:v>
      </x:c>
      <x:c r="C3439" s="17" t="str">
        <x:v>University of California-San Diego</x:v>
      </x:c>
      <x:c r="D3439" s="17" t="str">
        <x:v>us:ipeds:110680:program:phd:computer-science-and-engineering-phd</x:v>
      </x:c>
      <x:c r="E3439" s="17" t="str">
        <x:v>us:ipeds:110680:faculty:nadia-polikarpova</x:v>
      </x:c>
      <x:c r="F3439" s="17" t="str">
        <x:v>program supervision authority|contact instructions</x:v>
      </x:c>
      <x:c r="G3439" s="17" t="str">
        <x:v>The current CSE PhD Graduate Advisors page names Nadia Polikarpova as chair, establishing active authority in the exact doctoral program.</x:v>
      </x:c>
      <x:c r="H3439" s="17" t="str">
        <x:v>CSE PhD Graduate Advisors 2025-2026</x:v>
      </x:c>
      <x:c r="I3439" s="17" t="str">
        <x:v>University of California-San Diego</x:v>
      </x:c>
      <x:c r="J3439" s="17" t="str">
        <x:v>official</x:v>
      </x:c>
      <x:c r="K3439" s="17" t="str">
        <x:v>2026-09-11</x:v>
      </x:c>
      <x:c r="L3439" s="17" t="str">
        <x:v>2025</x:v>
      </x:c>
      <x:c r="M3439" s="17" t="str">
        <x:v>high</x:v>
      </x:c>
      <x:c r="N3439" s="17" t="str">
        <x:v>verified</x:v>
      </x:c>
      <x:c r="O3439" s="17" t="str">
        <x:v>Current program page checked 2026-09-10; it does not establish recruiting.</x:v>
      </x:c>
      <x:c r="P3439" s="18" t="e">
        <x:f>HYPERLINK("https://cse.ucsd.edu/graduate/cse-graduate-advisors","Open source")</x:f>
        <x:v>HYPERLINK is not implemented. linkLocation=https://cse.ucsd.edu/graduate/cse-graduate-advisors, friendlyName=Open source</x:v>
      </x:c>
    </x:row>
    <x:row r="3440" ht="46" customHeight="1">
      <x:c r="A3440" s="17" t="str">
        <x:v>stage4src:d4170ba29289050e</x:v>
      </x:c>
      <x:c r="B3440" s="17" t="str">
        <x:v>professor</x:v>
      </x:c>
      <x:c r="C3440" s="17" t="str">
        <x:v>Illinois Institute of Technology</x:v>
      </x:c>
      <x:c r="D3440" s="17" t="str">
        <x:v>us:ipeds:145725:program:phd:computer-science-ph-d</x:v>
      </x:c>
      <x:c r="E3440" s="17" t="str">
        <x:v>us:ipeds:145725:faculty:nik-sultana</x:v>
      </x:c>
      <x:c r="F3440" s="17" t="str">
        <x:v>recent work|current group|research fit</x:v>
      </x:c>
      <x:c r="G3440" s="17" t="str">
        <x:v>Sultana's page records 2024-2025 work on programmable networking, distributed-systems education, and resilient communication and lists a current PhD group.</x:v>
      </x:c>
      <x:c r="H3440" s="17" t="str">
        <x:v>Nik Sultana</x:v>
      </x:c>
      <x:c r="I3440" s="17" t="str">
        <x:v>Illinois Institute of Technology</x:v>
      </x:c>
      <x:c r="J3440" s="17" t="str">
        <x:v>official</x:v>
      </x:c>
      <x:c r="K3440" s="17" t="str">
        <x:v>2026-09-11</x:v>
      </x:c>
      <x:c r="L3440" s="17" t="str">
        <x:v>2026</x:v>
      </x:c>
      <x:c r="M3440" s="17" t="str">
        <x:v>high</x:v>
      </x:c>
      <x:c r="N3440" s="17" t="str">
        <x:v>verified</x:v>
      </x:c>
      <x:c r="O3440" s="17" t="str">
        <x:v>Live university-hosted page checked 2026-09-11.</x:v>
      </x:c>
      <x:c r="P3440" s="18" t="e">
        <x:f>HYPERLINK("https://www.cs.iit.edu/~nsultana1/","Open source")</x:f>
        <x:v>HYPERLINK is not implemented. linkLocation=https://www.cs.iit.edu/~nsultana1/, friendlyName=Open source</x:v>
      </x:c>
    </x:row>
    <x:row r="3441" ht="46" customHeight="1">
      <x:c r="A3441" s="17" t="str">
        <x:v>stage4src:d4314157535b1af3</x:v>
      </x:c>
      <x:c r="B3441" s="17" t="str">
        <x:v>professor</x:v>
      </x:c>
      <x:c r="C3441" s="17" t="str">
        <x:v>University of Victoria</x:v>
      </x:c>
      <x:c r="D3441" s="17" t="str">
        <x:v>ca:dli:O19280533442:program:thesis-or-research-master-s:msc-in-computer-science-thesis</x:v>
      </x:c>
      <x:c r="E3441" s="17" t="str">
        <x:v>ca:dli:O19280533442:faculty:neil-ernst</x:v>
      </x:c>
      <x:c r="F3441" s="17" t="str">
        <x:v>discovery publication signal|recent work</x:v>
      </x:c>
      <x:c r="G3441" s="17" t="str">
        <x:v>Publication metadata was examined for shortlist triage only; publication-time affiliation does not establish current appointment, supervision authority, or recruiting.</x:v>
      </x:c>
      <x:c r="H3441" s="17" t="str">
        <x:v>OpenAlex publication signal for Neil Ernst</x:v>
      </x:c>
      <x:c r="I3441" s="17" t="str">
        <x:v>OpenAlex / cited venue</x:v>
      </x:c>
      <x:c r="J3441" s="17" t="str">
        <x:v>secondary</x:v>
      </x:c>
      <x:c r="K3441" s="17" t="str">
        <x:v>2026-09-11</x:v>
      </x:c>
      <x:c r="L3441" s="17" t="str"/>
      <x:c r="M3441" s="17" t="str">
        <x:v>medium</x:v>
      </x:c>
      <x:c r="N3441" s="17" t="str">
        <x:v>discovery_only</x:v>
      </x:c>
      <x:c r="O3441" s="17" t="str">
        <x:v>Not used to award a professor score or faculty-depth point.</x:v>
      </x:c>
      <x:c r="P3441" s="18" t="e">
        <x:f>HYPERLINK("https://openalex.org/A5033114444","Open source")</x:f>
        <x:v>HYPERLINK is not implemented. linkLocation=https://openalex.org/A5033114444, friendlyName=Open source</x:v>
      </x:c>
    </x:row>
    <x:row r="3442" ht="46" customHeight="1">
      <x:c r="A3442" s="17" t="str">
        <x:v>stage4src:d4902b83a0f7db27</x:v>
      </x:c>
      <x:c r="B3442" s="17" t="str">
        <x:v>professor</x:v>
      </x:c>
      <x:c r="C3442" s="17" t="str">
        <x:v>University of Toronto</x:v>
      </x:c>
      <x:c r="D3442" s="17" t="str">
        <x:v>ca:dli:O19332746152:program:direct-entry-phd:phd-in-computer-science-phd-u</x:v>
      </x:c>
      <x:c r="E3442" s="17" t="str">
        <x:v>ca:dli:O19332746152:faculty:marsha-chechik</x:v>
      </x:c>
      <x:c r="F3442" s="17" t="str">
        <x:v>current appointment|program supervision authority|research themes</x:v>
      </x:c>
      <x:c r="G3442" s="17" t="str">
        <x:v>Marsha Chechik is current Professor in software engineering/formal methods.</x:v>
      </x:c>
      <x:c r="H3442" s="17" t="str">
        <x:v>Faculty Directory</x:v>
      </x:c>
      <x:c r="I3442" s="17" t="str">
        <x:v>University of Toronto</x:v>
      </x:c>
      <x:c r="J3442" s="17" t="str">
        <x:v>official</x:v>
      </x:c>
      <x:c r="K3442" s="17" t="str">
        <x:v>2026-09-11</x:v>
      </x:c>
      <x:c r="L3442" s="17" t="str"/>
      <x:c r="M3442" s="17" t="str">
        <x:v>high</x:v>
      </x:c>
      <x:c r="N3442" s="17" t="str">
        <x:v>verified</x:v>
      </x:c>
      <x:c r="O3442" s="17" t="str">
        <x:v>No search snippet used as final evidence; URL/page content reviewed.</x:v>
      </x:c>
      <x:c r="P3442" s="18" t="e">
        <x:f>HYPERLINK("https://web.cs.toronto.edu/people/faculty-directory","Open source")</x:f>
        <x:v>HYPERLINK is not implemented. linkLocation=https://web.cs.toronto.edu/people/faculty-directory, friendlyName=Open source</x:v>
      </x:c>
    </x:row>
    <x:row r="3443" ht="46" customHeight="1">
      <x:c r="A3443" s="17" t="str">
        <x:v>stage4src:d4916a5e94237e26</x:v>
      </x:c>
      <x:c r="B3443" s="17" t="str">
        <x:v>professor</x:v>
      </x:c>
      <x:c r="C3443" s="17" t="str">
        <x:v>University of Pittsburgh-Pittsburgh Campus</x:v>
      </x:c>
      <x:c r="D3443" s="17" t="str">
        <x:v>us:ipeds:215293:program:phd:phd-in-computer-science</x:v>
      </x:c>
      <x:c r="E3443" s="17" t="str">
        <x:v>us:ipeds:215293:faculty:adam-j-lee</x:v>
      </x:c>
      <x:c r="F3443" s="17" t="str">
        <x:v>recent work|privacy|security|distributed systems</x:v>
      </x:c>
      <x:c r="G3443" s="17" t="str">
        <x:v>The publication record identifies Lee's 2022 cryptographic access-control, tangible-privacy, and contextual messaging works.</x:v>
      </x:c>
      <x:c r="H3443" s="17" t="str">
        <x:v>Adam J. Lee — Publications</x:v>
      </x:c>
      <x:c r="I3443" s="17" t="str">
        <x:v>University of Pittsburgh-Pittsburgh Campus</x:v>
      </x:c>
      <x:c r="J3443" s="17" t="str">
        <x:v>official</x:v>
      </x:c>
      <x:c r="K3443" s="17" t="str">
        <x:v>2026-09-11</x:v>
      </x:c>
      <x:c r="L3443" s="17" t="str">
        <x:v>2022</x:v>
      </x:c>
      <x:c r="M3443" s="17" t="str">
        <x:v>high</x:v>
      </x:c>
      <x:c r="N3443" s="17" t="str">
        <x:v>verified</x:v>
      </x:c>
      <x:c r="O3443" s="17" t="str">
        <x:v>University-hosted record checked 2026-09-11.</x:v>
      </x:c>
      <x:c r="P3443" s="18" t="e">
        <x:f>HYPERLINK("https://people.cs.pitt.edu/~adamlee/pubs/index.html","Open source")</x:f>
        <x:v>HYPERLINK is not implemented. linkLocation=https://people.cs.pitt.edu/~adamlee/pubs/index.html, friendlyName=Open source</x:v>
      </x:c>
    </x:row>
    <x:row r="3444" ht="46" customHeight="1">
      <x:c r="A3444" s="17" t="str">
        <x:v>stage4src:d4a60bf1699c3646</x:v>
      </x:c>
      <x:c r="B3444" s="17" t="str">
        <x:v>professor</x:v>
      </x:c>
      <x:c r="C3444" s="17" t="str">
        <x:v>University of Florence</x:v>
      </x:c>
      <x:c r="D3444" s="17" t="str">
        <x:v>ror:04jr1s763:program:thesis-or-research-master-s:msc-in-software-science-and-technology</x:v>
      </x:c>
      <x:c r="E3444" s="17" t="str">
        <x:v>ror:04jr1s763:faculty:andrea-ceccarelli</x:v>
      </x:c>
      <x:c r="F3444" s="17" t="str">
        <x:v>current roster|email|exact-program teaching|supervision authority</x:v>
      </x:c>
      <x:c r="G3444" s="17" t="str">
        <x:v>The department lists Ceccarelli as Associate Professor and ties his teaching to Software: Science and Technology.</x:v>
      </x:c>
      <x:c r="H3444" s="17" t="str">
        <x:v>Staff Members</x:v>
      </x:c>
      <x:c r="I3444" s="17" t="str">
        <x:v>University of Florence</x:v>
      </x:c>
      <x:c r="J3444" s="17" t="str">
        <x:v>official</x:v>
      </x:c>
      <x:c r="K3444" s="17" t="str">
        <x:v>2026-09-11</x:v>
      </x:c>
      <x:c r="L3444" s="17" t="str">
        <x:v>2026</x:v>
      </x:c>
      <x:c r="M3444" s="17" t="str">
        <x:v>high</x:v>
      </x:c>
      <x:c r="N3444" s="17" t="str">
        <x:v>verified</x:v>
      </x:c>
      <x:c r="O3444" s="17" t="str">
        <x:v>Live official page checked 2026-09-11.</x:v>
      </x:c>
      <x:c r="P3444" s="18" t="e">
        <x:f>HYPERLINK("https://www.dimai.unifi.it/vp-484-staff-members.html","Open source")</x:f>
        <x:v>HYPERLINK is not implemented. linkLocation=https://www.dimai.unifi.it/vp-484-staff-members.html, friendlyName=Open source</x:v>
      </x:c>
    </x:row>
    <x:row r="3445" ht="46" customHeight="1">
      <x:c r="A3445" s="17" t="str">
        <x:v>stage4src:d526dcf5525b67a2</x:v>
      </x:c>
      <x:c r="B3445" s="17" t="str">
        <x:v>professor</x:v>
      </x:c>
      <x:c r="C3445" s="17" t="str">
        <x:v>Colorado State University-Fort Collins</x:v>
      </x:c>
      <x:c r="D3445" s="17" t="str">
        <x:v>us:ipeds:126818:program:phd:computer-science-phd</x:v>
      </x:c>
      <x:c r="E3445" s="17" t="str"/>
      <x:c r="F3445" s="17" t="str">
        <x:v>current faculty roster|candidate longlist</x:v>
      </x:c>
      <x:c r="G3445" s="17" t="str">
        <x:v>Current official department roster or research-area faculty listing used to identify the five-person Stage 4 candidate longlist.</x:v>
      </x:c>
      <x:c r="H3445" s="17" t="str">
        <x:v>Colorado State University-Fort Collins current faculty roster</x:v>
      </x:c>
      <x:c r="I3445" s="17" t="str">
        <x:v>Colorado State University-Fort Collins</x:v>
      </x:c>
      <x:c r="J3445" s="17" t="str">
        <x:v>official</x:v>
      </x:c>
      <x:c r="K3445" s="17" t="str">
        <x:v>2026-09-11</x:v>
      </x:c>
      <x:c r="L3445" s="17" t="str"/>
      <x:c r="M3445" s="17" t="str">
        <x:v>high</x:v>
      </x:c>
      <x:c r="N3445" s="17" t="str">
        <x:v>verified</x:v>
      </x:c>
      <x:c r="O3445" s="17" t="str">
        <x:v>Roster evidence establishes a current listing, not program-specific supervision authority or recruiting.</x:v>
      </x:c>
      <x:c r="P3445" s="18" t="e">
        <x:f>HYPERLINK("https://compsci.colostate.edu/people/","Open source")</x:f>
        <x:v>HYPERLINK is not implemented. linkLocation=https://compsci.colostate.edu/people/, friendlyName=Open source</x:v>
      </x:c>
    </x:row>
    <x:row r="3446" ht="46" customHeight="1">
      <x:c r="A3446" s="17" t="str">
        <x:v>stage4src:d57104edab934c4c</x:v>
      </x:c>
      <x:c r="B3446" s="17" t="str">
        <x:v>professor</x:v>
      </x:c>
      <x:c r="C3446" s="17" t="str">
        <x:v>York University</x:v>
      </x:c>
      <x:c r="D3446" s="17" t="str">
        <x:v>ca:dli:O19361109242:program:thesis-or-research-master-s:computer-science-msc-thesis-option</x:v>
      </x:c>
      <x:c r="E3446" s="17" t="str">
        <x:v>ca:dli:O19361109242:faculty:zhen-ming-jack-jiang</x:v>
      </x:c>
      <x:c r="F3446" s="17" t="str">
        <x:v>contact instructions|recruiting interpretation</x:v>
      </x:c>
      <x:c r="G3446" s="17" t="str">
        <x:v>York instructs prospective graduate researchers to contact faculty to determine whether they are accepting students.</x:v>
      </x:c>
      <x:c r="H3446" s="17" t="str">
        <x:v>Graduate research opportunities</x:v>
      </x:c>
      <x:c r="I3446" s="17" t="str">
        <x:v>York University</x:v>
      </x:c>
      <x:c r="J3446" s="17" t="str">
        <x:v>official</x:v>
      </x:c>
      <x:c r="K3446" s="17" t="str">
        <x:v>2026-09-11</x:v>
      </x:c>
      <x:c r="L3446" s="17" t="str">
        <x:v>2026</x:v>
      </x:c>
      <x:c r="M3446" s="17" t="str">
        <x:v>high</x:v>
      </x:c>
      <x:c r="N3446" s="17" t="str">
        <x:v>verified</x:v>
      </x:c>
      <x:c r="O3446" s="17" t="str">
        <x:v>Current official guidance checked 2026-09-10; the guidance does not guarantee capacity.</x:v>
      </x:c>
      <x:c r="P3446" s="18" t="e">
        <x:f>HYPERLINK("https://lassonde.yorku.ca/grad-research-opportunities","Open source")</x:f>
        <x:v>HYPERLINK is not implemented. linkLocation=https://lassonde.yorku.ca/grad-research-opportunities, friendlyName=Open source</x:v>
      </x:c>
    </x:row>
    <x:row r="3447" ht="46" customHeight="1">
      <x:c r="A3447" s="17" t="str">
        <x:v>stage4src:d58b393502a5c5b2</x:v>
      </x:c>
      <x:c r="B3447" s="17" t="str">
        <x:v>professor</x:v>
      </x:c>
      <x:c r="C3447" s="17" t="str">
        <x:v>Northeastern University</x:v>
      </x:c>
      <x:c r="D3447" s="17" t="str">
        <x:v>us:ipeds:167358:program:phd:computer-science-phd</x:v>
      </x:c>
      <x:c r="E3447" s="17" t="str">
        <x:v>us:ipeds:167358:faculty:jonathan-bell</x:v>
      </x:c>
      <x:c r="F3447" s="17" t="str">
        <x:v>current appointment|program supervision authority|research themes</x:v>
      </x:c>
      <x:c r="G3447" s="17" t="str">
        <x:v>Current appointment, email, and research themes</x:v>
      </x:c>
      <x:c r="H3447" s="17" t="str">
        <x:v>Jonathan Bell</x:v>
      </x:c>
      <x:c r="I3447" s="17" t="str">
        <x:v>Northeastern University</x:v>
      </x:c>
      <x:c r="J3447" s="17" t="str">
        <x:v>official</x:v>
      </x:c>
      <x:c r="K3447" s="17" t="str">
        <x:v>2026-09-11</x:v>
      </x:c>
      <x:c r="L3447" s="17" t="str"/>
      <x:c r="M3447" s="17" t="str">
        <x:v>high</x:v>
      </x:c>
      <x:c r="N3447" s="17" t="str">
        <x:v>verified</x:v>
      </x:c>
      <x:c r="O3447" s="17" t="str"/>
      <x:c r="P3447" s="18" t="e">
        <x:f>HYPERLINK("https://www.khoury.northeastern.edu/people/jonathan-bell/","Open source")</x:f>
        <x:v>HYPERLINK is not implemented. linkLocation=https://www.khoury.northeastern.edu/people/jonathan-bell/, friendlyName=Open source</x:v>
      </x:c>
    </x:row>
    <x:row r="3448" ht="46" customHeight="1">
      <x:c r="A3448" s="17" t="str">
        <x:v>stage4src:d5a527b0e3d6ce24</x:v>
      </x:c>
      <x:c r="B3448" s="17" t="str">
        <x:v>professor</x:v>
      </x:c>
      <x:c r="C3448" s="17" t="str">
        <x:v>University of South Carolina-Columbia</x:v>
      </x:c>
      <x:c r="D3448" s="17" t="str">
        <x:v>us:ipeds:218663:program:phd:doctor-of-philosophy-in-computer-science</x:v>
      </x:c>
      <x:c r="E3448" s="17" t="str">
        <x:v>us:ipeds:218663:faculty:chin-tser-huang</x:v>
      </x:c>
      <x:c r="F3448" s="17" t="str">
        <x:v>current appointment|department|email|research themes</x:v>
      </x:c>
      <x:c r="G3448" s="17" t="str">
        <x:v>South Carolina lists Huang as Professor of Computer Science and Engineering, provides his email, and records protocol verification, distributed systems, intrusion detection, and wireless security.</x:v>
      </x:c>
      <x:c r="H3448" s="17" t="str">
        <x:v>Chin-Tser Huang</x:v>
      </x:c>
      <x:c r="I3448" s="17" t="str">
        <x:v>University of South Carolina-Columbia</x:v>
      </x:c>
      <x:c r="J3448" s="17" t="str">
        <x:v>official</x:v>
      </x:c>
      <x:c r="K3448" s="17" t="str">
        <x:v>2026-09-11</x:v>
      </x:c>
      <x:c r="L3448" s="17" t="str">
        <x:v>2026</x:v>
      </x:c>
      <x:c r="M3448" s="17" t="str">
        <x:v>high</x:v>
      </x:c>
      <x:c r="N3448" s="17" t="str">
        <x:v>verified</x:v>
      </x:c>
      <x:c r="O3448" s="17" t="str">
        <x:v>Live official profile checked 2026-09-11.</x:v>
      </x:c>
      <x:c r="P3448" s="18" t="e">
        <x:f>HYPERLINK("https://sc.edu/study/colleges_schools/engineering_and_computing/faculty-staff/chintserhuang.php","Open source")</x:f>
        <x:v>HYPERLINK is not implemented. linkLocation=https://sc.edu/study/colleges_schools/engineering_and_computing/faculty-staff/chintserhuang.php, friendlyName=Open source</x:v>
      </x:c>
    </x:row>
    <x:row r="3449" ht="46" customHeight="1">
      <x:c r="A3449" s="17" t="str">
        <x:v>stage4src:d5bb485d60384e51</x:v>
      </x:c>
      <x:c r="B3449" s="17" t="str">
        <x:v>professor</x:v>
      </x:c>
      <x:c r="C3449" s="17" t="str">
        <x:v>University of Victoria</x:v>
      </x:c>
      <x:c r="D3449" s="17" t="str">
        <x:v>ca:dli:O19280533442:program:thesis-or-research-master-s:master-of-applied-science-in-electrical-and-computer-engineering</x:v>
      </x:c>
      <x:c r="E3449" s="17" t="str">
        <x:v>ca:dli:O19280533442:faculty:neil-ernst</x:v>
      </x:c>
      <x:c r="F3449" s="17" t="str">
        <x:v>discovery publication signal|recent work</x:v>
      </x:c>
      <x:c r="G3449" s="17" t="str">
        <x:v>Publication metadata was examined for shortlist triage only; publication-time affiliation does not establish current appointment, supervision authority, or recruiting.</x:v>
      </x:c>
      <x:c r="H3449" s="17" t="str">
        <x:v>OpenAlex publication signal for Neil Ernst</x:v>
      </x:c>
      <x:c r="I3449" s="17" t="str">
        <x:v>OpenAlex / cited venue</x:v>
      </x:c>
      <x:c r="J3449" s="17" t="str">
        <x:v>secondary</x:v>
      </x:c>
      <x:c r="K3449" s="17" t="str">
        <x:v>2026-09-11</x:v>
      </x:c>
      <x:c r="L3449" s="17" t="str"/>
      <x:c r="M3449" s="17" t="str">
        <x:v>medium</x:v>
      </x:c>
      <x:c r="N3449" s="17" t="str">
        <x:v>discovery_only</x:v>
      </x:c>
      <x:c r="O3449" s="17" t="str">
        <x:v>Not used to award a professor score or faculty-depth point.</x:v>
      </x:c>
      <x:c r="P3449" s="18" t="e">
        <x:f>HYPERLINK("https://openalex.org/A5033114444","Open source")</x:f>
        <x:v>HYPERLINK is not implemented. linkLocation=https://openalex.org/A5033114444, friendlyName=Open source</x:v>
      </x:c>
    </x:row>
    <x:row r="3450" ht="46" customHeight="1">
      <x:c r="A3450" s="17" t="str">
        <x:v>stage4src:d5c90599d89df284</x:v>
      </x:c>
      <x:c r="B3450" s="17" t="str">
        <x:v>professor</x:v>
      </x:c>
      <x:c r="C3450" s="17" t="str">
        <x:v>Emory University</x:v>
      </x:c>
      <x:c r="D3450" s="17" t="str">
        <x:v>us:ipeds:139658:program:phd:phd-in-computer-science-and-informatics</x:v>
      </x:c>
      <x:c r="E3450" s="17" t="str">
        <x:v>us:ipeds:139658:faculty:dorian-arnold</x:v>
      </x:c>
      <x:c r="F3450" s="17" t="str">
        <x:v>current appointment|email|program supervision authority|research themes</x:v>
      </x:c>
      <x:c r="G3450" s="17" t="str">
        <x:v>Emory lists Arnold as Associate Professor and CSI Director of Graduate Studies, provides his email and systems research areas, and assigns the DGS advising and mentoring responsibilities.</x:v>
      </x:c>
      <x:c r="H3450" s="17" t="str">
        <x:v>CSI Administrators</x:v>
      </x:c>
      <x:c r="I3450" s="17" t="str">
        <x:v>Emory University</x:v>
      </x:c>
      <x:c r="J3450" s="17" t="str">
        <x:v>official</x:v>
      </x:c>
      <x:c r="K3450" s="17" t="str">
        <x:v>2026-09-11</x:v>
      </x:c>
      <x:c r="L3450" s="17" t="str">
        <x:v>2026</x:v>
      </x:c>
      <x:c r="M3450" s="17" t="str">
        <x:v>high</x:v>
      </x:c>
      <x:c r="N3450" s="17" t="str">
        <x:v>verified</x:v>
      </x:c>
      <x:c r="O3450" s="17" t="str">
        <x:v>Live official page checked 2026-09-11.</x:v>
      </x:c>
      <x:c r="P3450" s="18" t="e">
        <x:f>HYPERLINK("https://computerscience.emory.edu/graduate-phd/csi-admin.html","Open source")</x:f>
        <x:v>HYPERLINK is not implemented. linkLocation=https://computerscience.emory.edu/graduate-phd/csi-admin.html, friendlyName=Open source</x:v>
      </x:c>
    </x:row>
    <x:row r="3451" ht="46" customHeight="1">
      <x:c r="A3451" s="17" t="str">
        <x:v>stage4src:d5ceec2e3566ee25</x:v>
      </x:c>
      <x:c r="B3451" s="17" t="str">
        <x:v>professor</x:v>
      </x:c>
      <x:c r="C3451" s="17" t="str">
        <x:v>The University of Texas at San Antonio</x:v>
      </x:c>
      <x:c r="D3451" s="17" t="str">
        <x:v>us:ipeds:229027:program:phd:phd-in-computer-science</x:v>
      </x:c>
      <x:c r="E3451" s="17" t="str">
        <x:v>us:ipeds:229027:faculty:xiaoyin-wang</x:v>
      </x:c>
      <x:c r="F3451" s="17" t="str">
        <x:v>current Computer Science PhD supervision|recent work|research fit</x:v>
      </x:c>
      <x:c r="G3451" s="17" t="str">
        <x:v>The current roster lists Wang as advisor to current Computer Science PhD students and a 2025 Computer Science PhD graduate studying cross-environment software inconsistencies.</x:v>
      </x:c>
      <x:c r="H3451" s="17" t="str">
        <x:v>Institute for Cyber Security People</x:v>
      </x:c>
      <x:c r="I3451" s="17" t="str">
        <x:v>The University of Texas at San Antonio</x:v>
      </x:c>
      <x:c r="J3451" s="17" t="str">
        <x:v>official</x:v>
      </x:c>
      <x:c r="K3451" s="17" t="str">
        <x:v>2026-09-11</x:v>
      </x:c>
      <x:c r="L3451" s="17" t="str">
        <x:v>2026</x:v>
      </x:c>
      <x:c r="M3451" s="17" t="str">
        <x:v>high</x:v>
      </x:c>
      <x:c r="N3451" s="17" t="str">
        <x:v>verified</x:v>
      </x:c>
      <x:c r="O3451" s="17" t="str">
        <x:v>Current official roster checked 2026-09-10.</x:v>
      </x:c>
      <x:c r="P3451" s="18" t="e">
        <x:f>HYPERLINK("https://ics.utsa.edu/people.html","Open source")</x:f>
        <x:v>HYPERLINK is not implemented. linkLocation=https://ics.utsa.edu/people.html, friendlyName=Open source</x:v>
      </x:c>
    </x:row>
    <x:row r="3452" ht="46" customHeight="1">
      <x:c r="A3452" s="17" t="str">
        <x:v>stage4src:d5ec4455ec889ee5</x:v>
      </x:c>
      <x:c r="B3452" s="17" t="str">
        <x:v>professor</x:v>
      </x:c>
      <x:c r="C3452" s="17" t="str">
        <x:v>The University of Texas at Austin</x:v>
      </x:c>
      <x:c r="D3452" s="17" t="str">
        <x:v>us:ipeds:228778:program:phd:computer-science-phd</x:v>
      </x:c>
      <x:c r="E3452" s="17" t="str">
        <x:v>us:ipeds:228778:faculty:isil-dillig</x:v>
      </x:c>
      <x:c r="F3452" s="17" t="str">
        <x:v>recent work|research fit</x:v>
      </x:c>
      <x:c r="G3452" s="17" t="str">
        <x:v>2026 formal-verification benchmark publication</x:v>
      </x:c>
      <x:c r="H3452" s="17" t="str">
        <x:v>Isil Dillig Publications</x:v>
      </x:c>
      <x:c r="I3452" s="17" t="str">
        <x:v>The University of Texas at Austin</x:v>
      </x:c>
      <x:c r="J3452" s="17" t="str">
        <x:v>official</x:v>
      </x:c>
      <x:c r="K3452" s="17" t="str">
        <x:v>2026-09-11</x:v>
      </x:c>
      <x:c r="L3452" s="17" t="str">
        <x:v>2026</x:v>
      </x:c>
      <x:c r="M3452" s="17" t="str">
        <x:v>high</x:v>
      </x:c>
      <x:c r="N3452" s="17" t="str">
        <x:v>verified</x:v>
      </x:c>
      <x:c r="O3452" s="17" t="str"/>
      <x:c r="P3452" s="18" t="e">
        <x:f>HYPERLINK("https://www.cs.utexas.edu/~isil/publications.html","Open source")</x:f>
        <x:v>HYPERLINK is not implemented. linkLocation=https://www.cs.utexas.edu/~isil/publications.html, friendlyName=Open source</x:v>
      </x:c>
    </x:row>
    <x:row r="3453" ht="46" customHeight="1">
      <x:c r="A3453" s="17" t="str">
        <x:v>stage4src:d5f1015a8156107d</x:v>
      </x:c>
      <x:c r="B3453" s="17" t="str">
        <x:v>professor</x:v>
      </x:c>
      <x:c r="C3453" s="17" t="str">
        <x:v>Howard University</x:v>
      </x:c>
      <x:c r="D3453" s="17" t="str">
        <x:v>us:ipeds:131520:program:phd:computer-science-ph-d</x:v>
      </x:c>
      <x:c r="E3453" s="17" t="str">
        <x:v>us:ipeds:131520:faculty:danda-b-rawat</x:v>
      </x:c>
      <x:c r="F3453" s="17" t="str">
        <x:v>recent direction|trustworthy AI|current leadership</x:v>
      </x:c>
      <x:c r="G3453" s="17" t="str">
        <x:v>Howard identifies Rawat as current EECS Professor and director of the Trustworthy AI Research Lab.</x:v>
      </x:c>
      <x:c r="H3453" s="17" t="str">
        <x:v>CETLA AI Faculty Scholar Community</x:v>
      </x:c>
      <x:c r="I3453" s="17" t="str">
        <x:v>Howard University</x:v>
      </x:c>
      <x:c r="J3453" s="17" t="str">
        <x:v>official</x:v>
      </x:c>
      <x:c r="K3453" s="17" t="str">
        <x:v>2026-09-11</x:v>
      </x:c>
      <x:c r="L3453" s="17" t="str">
        <x:v>2026</x:v>
      </x:c>
      <x:c r="M3453" s="17" t="str">
        <x:v>high</x:v>
      </x:c>
      <x:c r="N3453" s="17" t="str">
        <x:v>verified</x:v>
      </x:c>
      <x:c r="O3453" s="17" t="str">
        <x:v>Official university page checked 2026-09-11.</x:v>
      </x:c>
      <x:c r="P3453" s="18" t="e">
        <x:f>HYPERLINK("https://provost.howard.edu/cetla/AI","Open source")</x:f>
        <x:v>HYPERLINK is not implemented. linkLocation=https://provost.howard.edu/cetla/AI, friendlyName=Open source</x:v>
      </x:c>
    </x:row>
    <x:row r="3454" ht="46" customHeight="1">
      <x:c r="A3454" s="17" t="str">
        <x:v>stage4src:d6dd6fc103ca1448</x:v>
      </x:c>
      <x:c r="B3454" s="17" t="str">
        <x:v>professor</x:v>
      </x:c>
      <x:c r="C3454" s="17" t="str">
        <x:v>Old Dominion University</x:v>
      </x:c>
      <x:c r="D3454" s="17" t="str">
        <x:v>us:ipeds:232982:program:phd:computer-science-ph-d</x:v>
      </x:c>
      <x:c r="E3454" s="17" t="str">
        <x:v>us:ipeds:232982:faculty:shuai-hao</x:v>
      </x:c>
      <x:c r="F3454" s="17" t="str">
        <x:v>current faculty|current alternatives</x:v>
      </x:c>
      <x:c r="G3454" s="17" t="str">
        <x:v>The current department directory supports the bounded five-person roster review.</x:v>
      </x:c>
      <x:c r="H3454" s="17" t="str">
        <x:v>Computer Science Faculty Directory</x:v>
      </x:c>
      <x:c r="I3454" s="17" t="str">
        <x:v>Old Dominion University</x:v>
      </x:c>
      <x:c r="J3454" s="17" t="str">
        <x:v>official</x:v>
      </x:c>
      <x:c r="K3454" s="17" t="str">
        <x:v>2026-09-11</x:v>
      </x:c>
      <x:c r="L3454" s="17" t="str">
        <x:v>2026</x:v>
      </x:c>
      <x:c r="M3454" s="17" t="str">
        <x:v>high</x:v>
      </x:c>
      <x:c r="N3454" s="17" t="str">
        <x:v>verified</x:v>
      </x:c>
      <x:c r="O3454" s="17" t="str">
        <x:v>Live official directory checked 2026-09-11.</x:v>
      </x:c>
      <x:c r="P3454" s="18" t="e">
        <x:f>HYPERLINK("https://faculty.pages.cs.odu.edu/","Open source")</x:f>
        <x:v>HYPERLINK is not implemented. linkLocation=https://faculty.pages.cs.odu.edu/, friendlyName=Open source</x:v>
      </x:c>
    </x:row>
    <x:row r="3455" ht="46" customHeight="1">
      <x:c r="A3455" s="17" t="str">
        <x:v>stage4src:d74bf8815422a307</x:v>
      </x:c>
      <x:c r="B3455" s="17" t="str">
        <x:v>professor</x:v>
      </x:c>
      <x:c r="C3455" s="17" t="str">
        <x:v>University of South Florida</x:v>
      </x:c>
      <x:c r="D3455" s="17" t="str">
        <x:v>us:ipeds:137351:program:phd:ph-d-in-computer-science-and-engineering</x:v>
      </x:c>
      <x:c r="E3455" s="17" t="str">
        <x:v>us:ipeds:137351:faculty:kaushal-kafle</x:v>
      </x:c>
      <x:c r="F3455" s="17" t="str">
        <x:v>recent work|research fit</x:v>
      </x:c>
      <x:c r="G3455" s="17" t="str">
        <x:v>Kafle's publications page lists current 2024 security and privacy work.</x:v>
      </x:c>
      <x:c r="H3455" s="17" t="str">
        <x:v>Publications</x:v>
      </x:c>
      <x:c r="I3455" s="17" t="str">
        <x:v>OpenAlex / cited venue</x:v>
      </x:c>
      <x:c r="J3455" s="17" t="str">
        <x:v>secondary</x:v>
      </x:c>
      <x:c r="K3455" s="17" t="str">
        <x:v>2026-09-11</x:v>
      </x:c>
      <x:c r="L3455" s="17" t="str">
        <x:v>2024</x:v>
      </x:c>
      <x:c r="M3455" s="17" t="str">
        <x:v>high</x:v>
      </x:c>
      <x:c r="N3455" s="17" t="str">
        <x:v>verified</x:v>
      </x:c>
      <x:c r="O3455" s="17" t="str">
        <x:v>Faculty-maintained page checked 2026-09-10.</x:v>
      </x:c>
      <x:c r="P3455" s="18" t="e">
        <x:f>HYPERLINK("https://kaushalkafle.com/publications","Open source")</x:f>
        <x:v>HYPERLINK is not implemented. linkLocation=https://kaushalkafle.com/publications, friendlyName=Open source</x:v>
      </x:c>
    </x:row>
    <x:row r="3456" ht="46" customHeight="1">
      <x:c r="A3456" s="17" t="str">
        <x:v>stage4src:d7e92b0510142238</x:v>
      </x:c>
      <x:c r="B3456" s="17" t="str">
        <x:v>professor</x:v>
      </x:c>
      <x:c r="C3456" s="17" t="str">
        <x:v>New Jersey Institute of Technology</x:v>
      </x:c>
      <x:c r="D3456" s="17" t="str">
        <x:v>us:ipeds:185828:program:phd:ph-d-computer-science</x:v>
      </x:c>
      <x:c r="E3456" s="17" t="str">
        <x:v>us:ipeds:185828:faculty:martin-kellogg</x:v>
      </x:c>
      <x:c r="F3456" s="17" t="str">
        <x:v>program context|faculty advisor|prospective instructions</x:v>
      </x:c>
      <x:c r="G3456" s="17" t="str">
        <x:v>NJIT describes a faculty-advised Computer Science dissertation and doctoral research structure.</x:v>
      </x:c>
      <x:c r="H3456" s="17" t="str">
        <x:v>Computer Science PhD</x:v>
      </x:c>
      <x:c r="I3456" s="17" t="str">
        <x:v>New Jersey Institute of Technology</x:v>
      </x:c>
      <x:c r="J3456" s="17" t="str">
        <x:v>official</x:v>
      </x:c>
      <x:c r="K3456" s="17" t="str">
        <x:v>2026-09-11</x:v>
      </x:c>
      <x:c r="L3456" s="17" t="str">
        <x:v>2026</x:v>
      </x:c>
      <x:c r="M3456" s="17" t="str">
        <x:v>high</x:v>
      </x:c>
      <x:c r="N3456" s="17" t="str">
        <x:v>verified</x:v>
      </x:c>
      <x:c r="O3456" s="17" t="str">
        <x:v>Live program page checked 2026-09-11.</x:v>
      </x:c>
      <x:c r="P3456" s="18" t="e">
        <x:f>HYPERLINK("https://cs.njit.edu/phd-computer-science","Open source")</x:f>
        <x:v>HYPERLINK is not implemented. linkLocation=https://cs.njit.edu/phd-computer-science, friendlyName=Open source</x:v>
      </x:c>
    </x:row>
    <x:row r="3457" ht="46" customHeight="1">
      <x:c r="A3457" s="17" t="str">
        <x:v>stage4src:d82adcfa4dad0550</x:v>
      </x:c>
      <x:c r="B3457" s="17" t="str">
        <x:v>professor</x:v>
      </x:c>
      <x:c r="C3457" s="17" t="str">
        <x:v>West Virginia University</x:v>
      </x:c>
      <x:c r="D3457" s="17" t="str">
        <x:v>us:ipeds:238032:program:phd:ph-d-in-computer-science-and-information-science</x:v>
      </x:c>
      <x:c r="E3457" s="17" t="str">
        <x:v>us:ipeds:238032:faculty:katerina-goseva-popstojanova</x:v>
      </x:c>
      <x:c r="F3457" s="17" t="str">
        <x:v>recent work|research fit</x:v>
      </x:c>
      <x:c r="G3457" s="17" t="str">
        <x:v>The index records 2025 work on security-bug identification and vulnerability-class replication.</x:v>
      </x:c>
      <x:c r="H3457" s="17" t="str">
        <x:v>Katerina Goseva-Popstojanova publication record</x:v>
      </x:c>
      <x:c r="I3457" s="17" t="str">
        <x:v>OpenAlex / cited venue</x:v>
      </x:c>
      <x:c r="J3457" s="17" t="str">
        <x:v>secondary</x:v>
      </x:c>
      <x:c r="K3457" s="17" t="str">
        <x:v>2026-09-11</x:v>
      </x:c>
      <x:c r="L3457" s="17" t="str">
        <x:v>2025</x:v>
      </x:c>
      <x:c r="M3457" s="17" t="str">
        <x:v>high</x:v>
      </x:c>
      <x:c r="N3457" s="17" t="str">
        <x:v>verified</x:v>
      </x:c>
      <x:c r="O3457" s="17" t="str">
        <x:v>Used only for publication metadata, not appointment, supervision, or recruiting.</x:v>
      </x:c>
      <x:c r="P3457" s="18" t="e">
        <x:f>HYPERLINK("https://dblp.org/pid/g/KaterinaGosevaPopstojanova.html?view=by-year","Open source")</x:f>
        <x:v>HYPERLINK is not implemented. linkLocation=https://dblp.org/pid/g/KaterinaGosevaPopstojanova.html?view=by-year, friendlyName=Open source</x:v>
      </x:c>
    </x:row>
    <x:row r="3458" ht="46" customHeight="1">
      <x:c r="A3458" s="17" t="str">
        <x:v>stage4src:d83b7e2596b07f10</x:v>
      </x:c>
      <x:c r="B3458" s="17" t="str">
        <x:v>professor</x:v>
      </x:c>
      <x:c r="C3458" s="17" t="str">
        <x:v>École Polytechnique de Montréal</x:v>
      </x:c>
      <x:c r="D3458" s="17" t="str">
        <x:v>ca:dli:O19359011070:program:thesis-or-research-master-s:research-master-s-in-computer-engineering-software-engineering-option</x:v>
      </x:c>
      <x:c r="E3458" s="17" t="str">
        <x:v>ca:dli:O19359011070:faculty:maxime-lamothe</x:v>
      </x:c>
      <x:c r="F3458" s="17" t="str">
        <x:v>current appointment|department|email|research themes|supervision history|explicit recruiting</x:v>
      </x:c>
      <x:c r="G3458" s="17" t="str">
        <x:v>Polytechnique lists Lamothe as a current Assistant Professor in Computer and Software Engineering, gives his email and supervision record, and explicitly says he is seeking master's and PhD students.</x:v>
      </x:c>
      <x:c r="H3458" s="17" t="str">
        <x:v>Lamothe, Maxime</x:v>
      </x:c>
      <x:c r="I3458" s="17" t="str">
        <x:v>École Polytechnique de Montréal</x:v>
      </x:c>
      <x:c r="J3458" s="17" t="str">
        <x:v>official</x:v>
      </x:c>
      <x:c r="K3458" s="17" t="str">
        <x:v>2026-09-11</x:v>
      </x:c>
      <x:c r="L3458" s="17" t="str">
        <x:v>2026</x:v>
      </x:c>
      <x:c r="M3458" s="17" t="str">
        <x:v>high</x:v>
      </x:c>
      <x:c r="N3458" s="17" t="str">
        <x:v>verified</x:v>
      </x:c>
      <x:c r="O3458" s="17" t="str">
        <x:v>Live official profile checked 2026-09-10; recruiting statement requires refresh before contact.</x:v>
      </x:c>
      <x:c r="P3458" s="18" t="e">
        <x:f>HYPERLINK("https://www.polymtl.ca/expertises/en/node/46300","Open source")</x:f>
        <x:v>HYPERLINK is not implemented. linkLocation=https://www.polymtl.ca/expertises/en/node/46300, friendlyName=Open source</x:v>
      </x:c>
    </x:row>
    <x:row r="3459" ht="46" customHeight="1">
      <x:c r="A3459" s="17" t="str">
        <x:v>stage4src:d850f0e8a838c2bd</x:v>
      </x:c>
      <x:c r="B3459" s="17" t="str">
        <x:v>professor</x:v>
      </x:c>
      <x:c r="C3459" s="17" t="str">
        <x:v>Colorado State University-Fort Collins</x:v>
      </x:c>
      <x:c r="D3459" s="17" t="str">
        <x:v>us:ipeds:126818:program:phd:computer-science-phd</x:v>
      </x:c>
      <x:c r="E3459" s="17" t="str">
        <x:v>us:ipeds:126818:faculty:sudipto-ghosh</x:v>
      </x:c>
      <x:c r="F3459" s="17" t="str">
        <x:v>current doctoral supervision|recent direction</x:v>
      </x:c>
      <x:c r="G3459" s="17" t="str">
        <x:v>The current course page identifies Ghosh as instructor and describes faculty mentoring for thesis and dissertation research.</x:v>
      </x:c>
      <x:c r="H3459" s="17" t="str">
        <x:v>CS 501 Introduction to Research in Computer Science</x:v>
      </x:c>
      <x:c r="I3459" s="17" t="str">
        <x:v>Colorado State University-Fort Collins</x:v>
      </x:c>
      <x:c r="J3459" s="17" t="str">
        <x:v>official</x:v>
      </x:c>
      <x:c r="K3459" s="17" t="str">
        <x:v>2026-09-11</x:v>
      </x:c>
      <x:c r="L3459" s="17" t="str">
        <x:v>2026</x:v>
      </x:c>
      <x:c r="M3459" s="17" t="str">
        <x:v>high</x:v>
      </x:c>
      <x:c r="N3459" s="17" t="str">
        <x:v>verified</x:v>
      </x:c>
      <x:c r="O3459" s="17" t="str">
        <x:v>Current official course page checked 2026-09-10.</x:v>
      </x:c>
      <x:c r="P3459" s="18" t="e">
        <x:f>HYPERLINK("https://courses.cs.colostate.edu/cs501/","Open source")</x:f>
        <x:v>HYPERLINK is not implemented. linkLocation=https://courses.cs.colostate.edu/cs501/, friendlyName=Open source</x:v>
      </x:c>
    </x:row>
    <x:row r="3460" ht="46" customHeight="1">
      <x:c r="A3460" s="17" t="str">
        <x:v>stage4src:d87ce6c6e6d391db</x:v>
      </x:c>
      <x:c r="B3460" s="17" t="str">
        <x:v>professor</x:v>
      </x:c>
      <x:c r="C3460" s="17" t="str">
        <x:v>University of Colorado Colorado Springs</x:v>
      </x:c>
      <x:c r="D3460" s="17" t="str">
        <x:v>us:ipeds:126580:program:phd:cybersecurity-phd</x:v>
      </x:c>
      <x:c r="E3460" s="17" t="str">
        <x:v>us:ipeds:126580:faculty:sang-yoon-chang</x:v>
      </x:c>
      <x:c r="F3460" s="17" t="str">
        <x:v>recent work|research fit</x:v>
      </x:c>
      <x:c r="G3460" s="17" t="str">
        <x:v>The page records 2024 work on secure first-hop access, privacy-preserving federated aggregation, and attacks on anonymous Bitcoin routing.</x:v>
      </x:c>
      <x:c r="H3460" s="17" t="str">
        <x:v>Sang-Yoon Chang — Refereed Publications</x:v>
      </x:c>
      <x:c r="I3460" s="17" t="str">
        <x:v>University of Colorado Colorado Springs</x:v>
      </x:c>
      <x:c r="J3460" s="17" t="str">
        <x:v>official</x:v>
      </x:c>
      <x:c r="K3460" s="17" t="str">
        <x:v>2026-09-11</x:v>
      </x:c>
      <x:c r="L3460" s="17" t="str">
        <x:v>2024</x:v>
      </x:c>
      <x:c r="M3460" s="17" t="str">
        <x:v>high</x:v>
      </x:c>
      <x:c r="N3460" s="17" t="str">
        <x:v>verified</x:v>
      </x:c>
      <x:c r="O3460" s="17" t="str">
        <x:v>Live university-hosted publication list checked 2026-09-11.</x:v>
      </x:c>
      <x:c r="P3460" s="18" t="e">
        <x:f>HYPERLINK("https://academics.uccs.edu/~schang2/publications.html","Open source")</x:f>
        <x:v>HYPERLINK is not implemented. linkLocation=https://academics.uccs.edu/~schang2/publications.html, friendlyName=Open source</x:v>
      </x:c>
    </x:row>
    <x:row r="3461" ht="46" customHeight="1">
      <x:c r="A3461" s="17" t="str">
        <x:v>stage4src:d8c0aedfef0b7e78</x:v>
      </x:c>
      <x:c r="B3461" s="17" t="str">
        <x:v>professor</x:v>
      </x:c>
      <x:c r="C3461" s="17" t="str">
        <x:v>University of Manitoba</x:v>
      </x:c>
      <x:c r="D3461" s="17" t="str">
        <x:v>ca:dli:O19091528512:program:phd:phd-in-computer-science</x:v>
      </x:c>
      <x:c r="E3461" s="17" t="str"/>
      <x:c r="F3461" s="17" t="str">
        <x:v>current faculty roster|candidate longlist</x:v>
      </x:c>
      <x:c r="G3461" s="17" t="str">
        <x:v>Current official department roster or research-area faculty listing used to identify the five-person Stage 4 candidate longlist.</x:v>
      </x:c>
      <x:c r="H3461" s="17" t="str">
        <x:v>University of Manitoba current faculty roster</x:v>
      </x:c>
      <x:c r="I3461" s="17" t="str">
        <x:v>University of Manitoba</x:v>
      </x:c>
      <x:c r="J3461" s="17" t="str">
        <x:v>official</x:v>
      </x:c>
      <x:c r="K3461" s="17" t="str">
        <x:v>2026-09-11</x:v>
      </x:c>
      <x:c r="L3461" s="17" t="str"/>
      <x:c r="M3461" s="17" t="str">
        <x:v>high</x:v>
      </x:c>
      <x:c r="N3461" s="17" t="str">
        <x:v>verified</x:v>
      </x:c>
      <x:c r="O3461" s="17" t="str">
        <x:v>Roster evidence establishes a current listing, not program-specific supervision authority or recruiting.</x:v>
      </x:c>
      <x:c r="P3461" s="18" t="e">
        <x:f>HYPERLINK("https://umanitoba.ca/science/directory/computer-science","Open source")</x:f>
        <x:v>HYPERLINK is not implemented. linkLocation=https://umanitoba.ca/science/directory/computer-science, friendlyName=Open source</x:v>
      </x:c>
    </x:row>
    <x:row r="3462" ht="46" customHeight="1">
      <x:c r="A3462" s="17" t="str">
        <x:v>stage4src:d8d9784418cc1013</x:v>
      </x:c>
      <x:c r="B3462" s="17" t="str">
        <x:v>professor</x:v>
      </x:c>
      <x:c r="C3462" s="17" t="str">
        <x:v>The University of Texas at Arlington</x:v>
      </x:c>
      <x:c r="D3462" s="17" t="str">
        <x:v>us:ipeds:228769:program:phd:doctoral-degree-in-computer-science-computer-engineering</x:v>
      </x:c>
      <x:c r="E3462" s="17" t="str">
        <x:v>us:ipeds:228769:faculty:christoph-csallner</x:v>
      </x:c>
      <x:c r="F3462" s="17" t="str">
        <x:v>CSE doctoral supervision authority|recent work</x:v>
      </x:c>
      <x:c r="G3462" s="17" t="str">
        <x:v>The official program identifies Csallner as supervising professor for a CSE dissertation on corpora, language models, and Simulink toolchain testing.</x:v>
      </x:c>
      <x:c r="H3462" s="17" t="str">
        <x:v>Fall 2023 Commencement Program</x:v>
      </x:c>
      <x:c r="I3462" s="17" t="str">
        <x:v>The University of Texas at Arlington</x:v>
      </x:c>
      <x:c r="J3462" s="17" t="str">
        <x:v>official</x:v>
      </x:c>
      <x:c r="K3462" s="17" t="str">
        <x:v>2026-09-11</x:v>
      </x:c>
      <x:c r="L3462" s="17" t="str">
        <x:v>2023</x:v>
      </x:c>
      <x:c r="M3462" s="17" t="str">
        <x:v>high</x:v>
      </x:c>
      <x:c r="N3462" s="17" t="str">
        <x:v>verified</x:v>
      </x:c>
      <x:c r="O3462" s="17" t="str">
        <x:v>Official doctoral record checked 2026-09-10.</x:v>
      </x:c>
      <x:c r="P3462" s="18" t="e">
        <x:f>HYPERLINK("https://cdn.web.uta.edu/-/media/project/website/commencement/programs/2023/fall/commprog-inside_2023_fall_web.ashx","Open source")</x:f>
        <x:v>HYPERLINK is not implemented. linkLocation=https://cdn.web.uta.edu/-/media/project/website/commencement/programs/2023/fall/commprog-inside_2023_fall_web.ashx, friendlyName=Open source</x:v>
      </x:c>
    </x:row>
    <x:row r="3463" ht="46" customHeight="1">
      <x:c r="A3463" s="17" t="str">
        <x:v>stage4src:d9084c837588e33a</x:v>
      </x:c>
      <x:c r="B3463" s="17" t="str">
        <x:v>professor</x:v>
      </x:c>
      <x:c r="C3463" s="17" t="str">
        <x:v>University of Nevada-Reno</x:v>
      </x:c>
      <x:c r="D3463" s="17" t="str">
        <x:v>us:ipeds:182290:program:phd:ph-d-in-computer-science-and-engineering</x:v>
      </x:c>
      <x:c r="E3463" s="17" t="str"/>
      <x:c r="F3463" s="17" t="str">
        <x:v>current faculty roster|candidate longlist</x:v>
      </x:c>
      <x:c r="G3463" s="17" t="str">
        <x:v>Current official department roster or research-area faculty listing used to identify the five-person Stage 4 candidate longlist.</x:v>
      </x:c>
      <x:c r="H3463" s="17" t="str">
        <x:v>University of Nevada-Reno current faculty roster</x:v>
      </x:c>
      <x:c r="I3463" s="17" t="str">
        <x:v>University of Nevada-Reno</x:v>
      </x:c>
      <x:c r="J3463" s="17" t="str">
        <x:v>official</x:v>
      </x:c>
      <x:c r="K3463" s="17" t="str">
        <x:v>2026-09-11</x:v>
      </x:c>
      <x:c r="L3463" s="17" t="str"/>
      <x:c r="M3463" s="17" t="str">
        <x:v>high</x:v>
      </x:c>
      <x:c r="N3463" s="17" t="str">
        <x:v>verified</x:v>
      </x:c>
      <x:c r="O3463" s="17" t="str">
        <x:v>Roster evidence establishes a current listing, not program-specific supervision authority or recruiting.</x:v>
      </x:c>
      <x:c r="P3463" s="18" t="e">
        <x:f>HYPERLINK("https://www.unr.edu/cse/people","Open source")</x:f>
        <x:v>HYPERLINK is not implemented. linkLocation=https://www.unr.edu/cse/people, friendlyName=Open source</x:v>
      </x:c>
    </x:row>
    <x:row r="3464" ht="46" customHeight="1">
      <x:c r="A3464" s="17" t="str">
        <x:v>stage4src:d927e19831c9ef33</x:v>
      </x:c>
      <x:c r="B3464" s="17" t="str">
        <x:v>professor</x:v>
      </x:c>
      <x:c r="C3464" s="17" t="str">
        <x:v>Southern Illinois University-Carbondale</x:v>
      </x:c>
      <x:c r="D3464" s="17" t="str">
        <x:v>us:ipeds:149222:program:phd:computer-science-doctor-of-philosophy</x:v>
      </x:c>
      <x:c r="E3464" s="17" t="str"/>
      <x:c r="F3464" s="17" t="str">
        <x:v>current faculty roster|candidate longlist</x:v>
      </x:c>
      <x:c r="G3464" s="17" t="str">
        <x:v>Current official department roster or research-area faculty listing used to identify the five-person Stage 4 candidate longlist.</x:v>
      </x:c>
      <x:c r="H3464" s="17" t="str">
        <x:v>Southern Illinois University-Carbondale current faculty roster</x:v>
      </x:c>
      <x:c r="I3464" s="17" t="str">
        <x:v>Southern Illinois University-Carbondale</x:v>
      </x:c>
      <x:c r="J3464" s="17" t="str">
        <x:v>official</x:v>
      </x:c>
      <x:c r="K3464" s="17" t="str">
        <x:v>2026-09-11</x:v>
      </x:c>
      <x:c r="L3464" s="17" t="str"/>
      <x:c r="M3464" s="17" t="str">
        <x:v>high</x:v>
      </x:c>
      <x:c r="N3464" s="17" t="str">
        <x:v>verified</x:v>
      </x:c>
      <x:c r="O3464" s="17" t="str">
        <x:v>Roster evidence establishes a current listing, not program-specific supervision authority or recruiting.</x:v>
      </x:c>
      <x:c r="P3464" s="18" t="e">
        <x:f>HYPERLINK("https://soc.siu.edu/our-people/","Open source")</x:f>
        <x:v>HYPERLINK is not implemented. linkLocation=https://soc.siu.edu/our-people/, friendlyName=Open source</x:v>
      </x:c>
    </x:row>
    <x:row r="3465" ht="46" customHeight="1">
      <x:c r="A3465" s="17" t="str">
        <x:v>stage4src:d99d6f931d406524</x:v>
      </x:c>
      <x:c r="B3465" s="17" t="str">
        <x:v>professor</x:v>
      </x:c>
      <x:c r="C3465" s="17" t="str">
        <x:v>University of Pittsburgh-Pittsburgh Campus</x:v>
      </x:c>
      <x:c r="D3465" s="17" t="str">
        <x:v>us:ipeds:215293:program:phd:phd-in-computer-science</x:v>
      </x:c>
      <x:c r="E3465" s="17" t="str">
        <x:v>us:ipeds:215293:faculty:adam-j-lee</x:v>
      </x:c>
      <x:c r="F3465" s="17" t="str">
        <x:v>supervision evidence|prospective-student instructions|recruiting uncertainty</x:v>
      </x:c>
      <x:c r="G3465" s="17" t="str">
        <x:v>Lee identifies current and graduated PhD advisees, states that Pitt CS admission is centralized, and does not state a current opening.</x:v>
      </x:c>
      <x:c r="H3465" s="17" t="str">
        <x:v>Adam J. Lee — Students and admissions note</x:v>
      </x:c>
      <x:c r="I3465" s="17" t="str">
        <x:v>University of Pittsburgh-Pittsburgh Campus</x:v>
      </x:c>
      <x:c r="J3465" s="17" t="str">
        <x:v>official</x:v>
      </x:c>
      <x:c r="K3465" s="17" t="str">
        <x:v>2026-09-11</x:v>
      </x:c>
      <x:c r="L3465" s="17" t="str">
        <x:v>2023</x:v>
      </x:c>
      <x:c r="M3465" s="17" t="str">
        <x:v>high</x:v>
      </x:c>
      <x:c r="N3465" s="17" t="str">
        <x:v>verified</x:v>
      </x:c>
      <x:c r="O3465" s="17" t="str">
        <x:v>University-hosted page checked 2026-09-11; dated instructions are treated conservatively.</x:v>
      </x:c>
      <x:c r="P3465" s="18" t="e">
        <x:f>HYPERLINK("https://people.cs.pitt.edu/~adamlee/","Open source")</x:f>
        <x:v>HYPERLINK is not implemented. linkLocation=https://people.cs.pitt.edu/~adamlee/, friendlyName=Open source</x:v>
      </x:c>
    </x:row>
    <x:row r="3466" ht="46" customHeight="1">
      <x:c r="A3466" s="17" t="str">
        <x:v>stage4src:d9e53b9c6855f76f</x:v>
      </x:c>
      <x:c r="B3466" s="17" t="str">
        <x:v>professor</x:v>
      </x:c>
      <x:c r="C3466" s="17" t="str">
        <x:v>Clemson University</x:v>
      </x:c>
      <x:c r="D3466" s="17" t="str">
        <x:v>us:ipeds:217882:program:phd:computer-science-phd</x:v>
      </x:c>
      <x:c r="E3466" s="17" t="str">
        <x:v>us:ipeds:217882:faculty:paige-rodeghero</x:v>
      </x:c>
      <x:c r="F3466" s="17" t="str">
        <x:v>Computer Science PhD supervision authority|recent work|research fit</x:v>
      </x:c>
      <x:c r="G3466" s="17" t="str">
        <x:v>The 2024 Computer Science dissertation identifies Rodeghero as committee chair/advisor for AI-assisted developer-onboarding research.</x:v>
      </x:c>
      <x:c r="H3466" s="17" t="str">
        <x:v>Remote Onboarding of Software Developers</x:v>
      </x:c>
      <x:c r="I3466" s="17" t="str">
        <x:v>Clemson University</x:v>
      </x:c>
      <x:c r="J3466" s="17" t="str">
        <x:v>official</x:v>
      </x:c>
      <x:c r="K3466" s="17" t="str">
        <x:v>2026-09-11</x:v>
      </x:c>
      <x:c r="L3466" s="17" t="str">
        <x:v>2024</x:v>
      </x:c>
      <x:c r="M3466" s="17" t="str">
        <x:v>high</x:v>
      </x:c>
      <x:c r="N3466" s="17" t="str">
        <x:v>verified</x:v>
      </x:c>
      <x:c r="O3466" s="17" t="str">
        <x:v>Official doctoral record checked 2026-09-10.</x:v>
      </x:c>
      <x:c r="P3466" s="18" t="e">
        <x:f>HYPERLINK("https://open.clemson.edu/all_dissertations/3707/","Open source")</x:f>
        <x:v>HYPERLINK is not implemented. linkLocation=https://open.clemson.edu/all_dissertations/3707/, friendlyName=Open source</x:v>
      </x:c>
    </x:row>
    <x:row r="3467" ht="46" customHeight="1">
      <x:c r="A3467" s="17" t="str">
        <x:v>stage4src:da06617bb117cb5d</x:v>
      </x:c>
      <x:c r="B3467" s="17" t="str">
        <x:v>professor</x:v>
      </x:c>
      <x:c r="C3467" s="17" t="str">
        <x:v>Florida Atlantic University</x:v>
      </x:c>
      <x:c r="D3467" s="17" t="str">
        <x:v>us:ipeds:133669:program:phd:doctor-of-philosophy-with-major-in-computer-science</x:v>
      </x:c>
      <x:c r="E3467" s="17" t="str">
        <x:v>us:ipeds:133669:faculty:taghi-m-khoshgoftaar</x:v>
      </x:c>
      <x:c r="F3467" s="17" t="str">
        <x:v>recent active direction|doctoral supervision|research continuity</x:v>
      </x:c>
      <x:c r="G3467" s="17" t="str">
        <x:v>FAU documents Khoshgoftaar's active 2019-2024 research, sponsored projects, software and security themes, and 40 completed PhD dissertations.</x:v>
      </x:c>
      <x:c r="H3467" s="17" t="str">
        <x:v>FAU Engineering Professor Achieves Highly Cited Google Scholar Ranking</x:v>
      </x:c>
      <x:c r="I3467" s="17" t="str">
        <x:v>Florida Atlantic University</x:v>
      </x:c>
      <x:c r="J3467" s="17" t="str">
        <x:v>official</x:v>
      </x:c>
      <x:c r="K3467" s="17" t="str">
        <x:v>2026-09-11</x:v>
      </x:c>
      <x:c r="L3467" s="17" t="str">
        <x:v>2024</x:v>
      </x:c>
      <x:c r="M3467" s="17" t="str">
        <x:v>high</x:v>
      </x:c>
      <x:c r="N3467" s="17" t="str">
        <x:v>verified</x:v>
      </x:c>
      <x:c r="O3467" s="17" t="str">
        <x:v>Official article dated 2024-09-05; checked 2026-09-11.</x:v>
      </x:c>
      <x:c r="P3467" s="18" t="e">
        <x:f>HYPERLINK("https://www.fau.edu/engineering/eecs/news/2409-fau-engineering-professor-google-scholar/","Open source")</x:f>
        <x:v>HYPERLINK is not implemented. linkLocation=https://www.fau.edu/engineering/eecs/news/2409-fau-engineering-professor-google-scholar/, friendlyName=Open source</x:v>
      </x:c>
    </x:row>
    <x:row r="3468" ht="46" customHeight="1">
      <x:c r="A3468" s="17" t="str">
        <x:v>stage4src:da4864516850e783</x:v>
      </x:c>
      <x:c r="B3468" s="17" t="str">
        <x:v>professor</x:v>
      </x:c>
      <x:c r="C3468" s="17" t="str">
        <x:v>The University of Texas at El Paso</x:v>
      </x:c>
      <x:c r="D3468" s="17" t="str">
        <x:v>us:ipeds:228796:program:phd:doctor-of-philosophy-in-computer-science</x:v>
      </x:c>
      <x:c r="E3468" s="17" t="str">
        <x:v>us:ipeds:228796:faculty:yoonsik-cheon</x:v>
      </x:c>
      <x:c r="F3468" s="17" t="str">
        <x:v>current appointment|email|current alternatives</x:v>
      </x:c>
      <x:c r="G3468" s="17" t="str">
        <x:v>The current department roster includes Cheon and the four bounded alternative candidates.</x:v>
      </x:c>
      <x:c r="H3468" s="17" t="str">
        <x:v>Computer Science People</x:v>
      </x:c>
      <x:c r="I3468" s="17" t="str">
        <x:v>The University of Texas at El Paso</x:v>
      </x:c>
      <x:c r="J3468" s="17" t="str">
        <x:v>official</x:v>
      </x:c>
      <x:c r="K3468" s="17" t="str">
        <x:v>2026-09-11</x:v>
      </x:c>
      <x:c r="L3468" s="17" t="str">
        <x:v>2026</x:v>
      </x:c>
      <x:c r="M3468" s="17" t="str">
        <x:v>high</x:v>
      </x:c>
      <x:c r="N3468" s="17" t="str">
        <x:v>verified</x:v>
      </x:c>
      <x:c r="O3468" s="17" t="str">
        <x:v>Live official roster checked 2026-09-11.</x:v>
      </x:c>
      <x:c r="P3468" s="18" t="e">
        <x:f>HYPERLINK("https://www.utep.edu/cs/people/","Open source")</x:f>
        <x:v>HYPERLINK is not implemented. linkLocation=https://www.utep.edu/cs/people/, friendlyName=Open source</x:v>
      </x:c>
    </x:row>
    <x:row r="3469" ht="46" customHeight="1">
      <x:c r="A3469" s="17" t="str">
        <x:v>stage4src:da7843af17add558</x:v>
      </x:c>
      <x:c r="B3469" s="17" t="str">
        <x:v>professor</x:v>
      </x:c>
      <x:c r="C3469" s="17" t="str">
        <x:v>University of Colorado Colorado Springs</x:v>
      </x:c>
      <x:c r="D3469" s="17" t="str">
        <x:v>us:ipeds:126580:program:phd:cybersecurity-phd</x:v>
      </x:c>
      <x:c r="E3469" s="17" t="str">
        <x:v>us:ipeds:126580:faculty:sang-yoon-chang</x:v>
      </x:c>
      <x:c r="F3469" s="17" t="str">
        <x:v>current appointment|email|current alternatives</x:v>
      </x:c>
      <x:c r="G3469" s="17" t="str">
        <x:v>The official roster lists Chang as Associate Professor and supports the four bounded alternatives.</x:v>
      </x:c>
      <x:c r="H3469" s="17" t="str">
        <x:v>Computer Science Faculty</x:v>
      </x:c>
      <x:c r="I3469" s="17" t="str">
        <x:v>University of Colorado Colorado Springs</x:v>
      </x:c>
      <x:c r="J3469" s="17" t="str">
        <x:v>official</x:v>
      </x:c>
      <x:c r="K3469" s="17" t="str">
        <x:v>2026-09-11</x:v>
      </x:c>
      <x:c r="L3469" s="17" t="str">
        <x:v>2026</x:v>
      </x:c>
      <x:c r="M3469" s="17" t="str">
        <x:v>high</x:v>
      </x:c>
      <x:c r="N3469" s="17" t="str">
        <x:v>verified</x:v>
      </x:c>
      <x:c r="O3469" s="17" t="str">
        <x:v>Live official roster checked 2026-09-11.</x:v>
      </x:c>
      <x:c r="P3469" s="18" t="e">
        <x:f>HYPERLINK("https://eas.uccs.edu/departments/computer-science/directory/faculty","Open source")</x:f>
        <x:v>HYPERLINK is not implemented. linkLocation=https://eas.uccs.edu/departments/computer-science/directory/faculty, friendlyName=Open source</x:v>
      </x:c>
    </x:row>
    <x:row r="3470" ht="46" customHeight="1">
      <x:c r="A3470" s="17" t="str">
        <x:v>stage4src:da9e0f1a35c4b388</x:v>
      </x:c>
      <x:c r="B3470" s="17" t="str">
        <x:v>professor</x:v>
      </x:c>
      <x:c r="C3470" s="17" t="str">
        <x:v>University of Calgary</x:v>
      </x:c>
      <x:c r="D3470" s="17" t="str">
        <x:v>ca:dli:O18886830282:program:direct-entry-phd:phd-in-computer-science-without-completed-msc</x:v>
      </x:c>
      <x:c r="E3470" s="17" t="str">
        <x:v>ca:dli:O18886830282:faculty:mahmoud-alfadel</x:v>
      </x:c>
      <x:c r="F3470" s="17" t="str">
        <x:v>recent work|research fit</x:v>
      </x:c>
      <x:c r="G3470" s="17" t="str">
        <x:v>Recent work supports the recorded TerraProbe/Evidex research overlap for Mahmoud Alfadel.</x:v>
      </x:c>
      <x:c r="H3470" s="17" t="str">
        <x:v>Recent scholarly work</x:v>
      </x:c>
      <x:c r="I3470" s="17" t="str">
        <x:v>OpenAlex / cited venue</x:v>
      </x:c>
      <x:c r="J3470" s="17" t="str">
        <x:v>secondary</x:v>
      </x:c>
      <x:c r="K3470" s="17" t="str">
        <x:v>2026-09-11</x:v>
      </x:c>
      <x:c r="L3470" s="17" t="str">
        <x:v>2025</x:v>
      </x:c>
      <x:c r="M3470" s="17" t="str">
        <x:v>high</x:v>
      </x:c>
      <x:c r="N3470" s="17" t="str">
        <x:v>verified</x:v>
      </x:c>
      <x:c r="O3470" s="17" t="str">
        <x:v>Carried from verified regional deep-review evidence.</x:v>
      </x:c>
      <x:c r="P3470" s="18" t="e">
        <x:f>HYPERLINK("https://rebels.cs.uwaterloo.ca/member/mahmoud.html","Open source")</x:f>
        <x:v>HYPERLINK is not implemented. linkLocation=https://rebels.cs.uwaterloo.ca/member/mahmoud.html, friendlyName=Open source</x:v>
      </x:c>
    </x:row>
    <x:row r="3471" ht="46" customHeight="1">
      <x:c r="A3471" s="17" t="str">
        <x:v>stage4src:dac5b8f6308954c7</x:v>
      </x:c>
      <x:c r="B3471" s="17" t="str">
        <x:v>professor</x:v>
      </x:c>
      <x:c r="C3471" s="17" t="str">
        <x:v>Georgia Institute of Technology-Main Campus</x:v>
      </x:c>
      <x:c r="D3471" s="17" t="str">
        <x:v>us:ipeds:139755:program:phd:computer-science-phd</x:v>
      </x:c>
      <x:c r="E3471" s="17" t="str">
        <x:v>us:ipeds:139755:faculty:alessandro-orso</x:v>
      </x:c>
      <x:c r="F3471" s="17" t="str">
        <x:v>current appointment|program supervision authority|research themes</x:v>
      </x:c>
      <x:c r="G3471" s="17" t="str">
        <x:v>Current appointment, email, and testing/program-analysis research</x:v>
      </x:c>
      <x:c r="H3471" s="17" t="str">
        <x:v>Alessandro Orso</x:v>
      </x:c>
      <x:c r="I3471" s="17" t="str">
        <x:v>Georgia Institute of Technology-Main Campus</x:v>
      </x:c>
      <x:c r="J3471" s="17" t="str">
        <x:v>official</x:v>
      </x:c>
      <x:c r="K3471" s="17" t="str">
        <x:v>2026-09-11</x:v>
      </x:c>
      <x:c r="L3471" s="17" t="str"/>
      <x:c r="M3471" s="17" t="str">
        <x:v>high</x:v>
      </x:c>
      <x:c r="N3471" s="17" t="str">
        <x:v>verified</x:v>
      </x:c>
      <x:c r="O3471" s="17" t="str"/>
      <x:c r="P3471" s="18" t="e">
        <x:f>HYPERLINK("https://people.research.gatech.edu/alessandro-orso","Open source")</x:f>
        <x:v>HYPERLINK is not implemented. linkLocation=https://people.research.gatech.edu/alessandro-orso, friendlyName=Open source</x:v>
      </x:c>
    </x:row>
    <x:row r="3472" ht="46" customHeight="1">
      <x:c r="A3472" s="17" t="str">
        <x:v>stage4src:daf8345c9f68b695</x:v>
      </x:c>
      <x:c r="B3472" s="17" t="str">
        <x:v>professor</x:v>
      </x:c>
      <x:c r="C3472" s="17" t="str">
        <x:v>Kansas State University</x:v>
      </x:c>
      <x:c r="D3472" s="17" t="str">
        <x:v>us:ipeds:155399:program:phd:doctor-of-philosophy-in-computer-science</x:v>
      </x:c>
      <x:c r="E3472" s="17" t="str">
        <x:v>us:ipeds:155399:faculty:robby</x:v>
      </x:c>
      <x:c r="F3472" s="17" t="str">
        <x:v>program context|supervision authority|prospective instructions</x:v>
      </x:c>
      <x:c r="G3472" s="17" t="str">
        <x:v>The official PhD page establishes the faculty-advised research-doctoral route.</x:v>
      </x:c>
      <x:c r="H3472" s="17" t="str">
        <x:v>Computer Science Ph.D.</x:v>
      </x:c>
      <x:c r="I3472" s="17" t="str">
        <x:v>Kansas State University</x:v>
      </x:c>
      <x:c r="J3472" s="17" t="str">
        <x:v>official</x:v>
      </x:c>
      <x:c r="K3472" s="17" t="str">
        <x:v>2026-09-11</x:v>
      </x:c>
      <x:c r="L3472" s="17" t="str">
        <x:v>2026</x:v>
      </x:c>
      <x:c r="M3472" s="17" t="str">
        <x:v>high</x:v>
      </x:c>
      <x:c r="N3472" s="17" t="str">
        <x:v>verified</x:v>
      </x:c>
      <x:c r="O3472" s="17" t="str">
        <x:v>Live official page checked 2026-09-11.</x:v>
      </x:c>
      <x:c r="P3472" s="18" t="e">
        <x:f>HYPERLINK("https://www.cs.ksu.edu/academics/graduate/phd/","Open source")</x:f>
        <x:v>HYPERLINK is not implemented. linkLocation=https://www.cs.ksu.edu/academics/graduate/phd/, friendlyName=Open source</x:v>
      </x:c>
    </x:row>
    <x:row r="3473" ht="46" customHeight="1">
      <x:c r="A3473" s="17" t="str">
        <x:v>stage4src:db046658e111ad34</x:v>
      </x:c>
      <x:c r="B3473" s="17" t="str">
        <x:v>professor</x:v>
      </x:c>
      <x:c r="C3473" s="17" t="str">
        <x:v>University of Connecticut</x:v>
      </x:c>
      <x:c r="D3473" s="17" t="str">
        <x:v>us:ipeds:129020:program:phd:computer-science-and-engineering-phd</x:v>
      </x:c>
      <x:c r="E3473" s="17" t="str"/>
      <x:c r="F3473" s="17" t="str">
        <x:v>current faculty roster|candidate longlist</x:v>
      </x:c>
      <x:c r="G3473" s="17" t="str">
        <x:v>Current official department roster or research-area faculty listing used to identify the five-person Stage 4 candidate longlist.</x:v>
      </x:c>
      <x:c r="H3473" s="17" t="str">
        <x:v>University of Connecticut current faculty roster</x:v>
      </x:c>
      <x:c r="I3473" s="17" t="str">
        <x:v>University of Connecticut</x:v>
      </x:c>
      <x:c r="J3473" s="17" t="str">
        <x:v>official</x:v>
      </x:c>
      <x:c r="K3473" s="17" t="str">
        <x:v>2026-09-11</x:v>
      </x:c>
      <x:c r="L3473" s="17" t="str"/>
      <x:c r="M3473" s="17" t="str">
        <x:v>high</x:v>
      </x:c>
      <x:c r="N3473" s="17" t="str">
        <x:v>verified</x:v>
      </x:c>
      <x:c r="O3473" s="17" t="str">
        <x:v>Roster evidence establishes a current listing, not program-specific supervision authority or recruiting.</x:v>
      </x:c>
      <x:c r="P3473" s="18" t="e">
        <x:f>HYPERLINK("https://computing.engineering.uconn.edu/people/faculty/","Open source")</x:f>
        <x:v>HYPERLINK is not implemented. linkLocation=https://computing.engineering.uconn.edu/people/faculty/, friendlyName=Open source</x:v>
      </x:c>
    </x:row>
    <x:row r="3474" ht="46" customHeight="1">
      <x:c r="A3474" s="17" t="str">
        <x:v>stage4src:db24192a03b175bb</x:v>
      </x:c>
      <x:c r="B3474" s="17" t="str">
        <x:v>professor</x:v>
      </x:c>
      <x:c r="C3474" s="17" t="str">
        <x:v>University of Alabama at Birmingham</x:v>
      </x:c>
      <x:c r="D3474" s="17" t="str">
        <x:v>us:ipeds:100663:program:phd:ph-d-in-computer-science</x:v>
      </x:c>
      <x:c r="E3474" s="17" t="str">
        <x:v>us:ipeds:100663:faculty:ragib-hasan</x:v>
      </x:c>
      <x:c r="F3474" s="17" t="str">
        <x:v>Computer Science PhD supervision authority|recent work|research fit</x:v>
      </x:c>
      <x:c r="G3474" s="17" t="str">
        <x:v>The 2023 official article identifies Hasan as mentor to a UAB Computer Science PhD graduate whose dissertation developed the StreetBit privacy and pedestrian-safety system.</x:v>
      </x:c>
      <x:c r="H3474" s="17" t="str">
        <x:v>Couples Who Dream Together, Stay Together</x:v>
      </x:c>
      <x:c r="I3474" s="17" t="str">
        <x:v>University of Alabama at Birmingham</x:v>
      </x:c>
      <x:c r="J3474" s="17" t="str">
        <x:v>official</x:v>
      </x:c>
      <x:c r="K3474" s="17" t="str">
        <x:v>2026-09-11</x:v>
      </x:c>
      <x:c r="L3474" s="17" t="str">
        <x:v>2023</x:v>
      </x:c>
      <x:c r="M3474" s="17" t="str">
        <x:v>high</x:v>
      </x:c>
      <x:c r="N3474" s="17" t="str">
        <x:v>verified</x:v>
      </x:c>
      <x:c r="O3474" s="17" t="str">
        <x:v>Official university article checked 2026-09-10.</x:v>
      </x:c>
      <x:c r="P3474" s="18" t="e">
        <x:f>HYPERLINK("https://www.uab.edu/news/people-of-uab/couples-who-dream-together-stay-together-bangladeshi-couple-graduates-with-their-ph-d-s","Open source")</x:f>
        <x:v>HYPERLINK is not implemented. linkLocation=https://www.uab.edu/news/people-of-uab/couples-who-dream-together-stay-together-bangladeshi-couple-graduates-with-their-ph-d-s, friendlyName=Open source</x:v>
      </x:c>
    </x:row>
    <x:row r="3475" ht="46" customHeight="1">
      <x:c r="A3475" s="17" t="str">
        <x:v>stage4src:db2c2761698b7083</x:v>
      </x:c>
      <x:c r="B3475" s="17" t="str">
        <x:v>professor</x:v>
      </x:c>
      <x:c r="C3475" s="17" t="str">
        <x:v>University of Oregon</x:v>
      </x:c>
      <x:c r="D3475" s="17" t="str">
        <x:v>us:ipeds:209551:program:phd:phd-in-computer-science</x:v>
      </x:c>
      <x:c r="E3475" s="17" t="str"/>
      <x:c r="F3475" s="17" t="str">
        <x:v>current faculty roster|candidate longlist</x:v>
      </x:c>
      <x:c r="G3475" s="17" t="str">
        <x:v>Current official department roster or research-area faculty listing used to identify the five-person Stage 4 candidate longlist.</x:v>
      </x:c>
      <x:c r="H3475" s="17" t="str">
        <x:v>University of Oregon current faculty roster</x:v>
      </x:c>
      <x:c r="I3475" s="17" t="str">
        <x:v>University of Oregon</x:v>
      </x:c>
      <x:c r="J3475" s="17" t="str">
        <x:v>official</x:v>
      </x:c>
      <x:c r="K3475" s="17" t="str">
        <x:v>2026-09-11</x:v>
      </x:c>
      <x:c r="L3475" s="17" t="str"/>
      <x:c r="M3475" s="17" t="str">
        <x:v>high</x:v>
      </x:c>
      <x:c r="N3475" s="17" t="str">
        <x:v>verified</x:v>
      </x:c>
      <x:c r="O3475" s="17" t="str">
        <x:v>Roster evidence establishes a current listing, not program-specific supervision authority or recruiting.</x:v>
      </x:c>
      <x:c r="P3475" s="18" t="e">
        <x:f>HYPERLINK("https://cas.uoregon.edu/directory/computer-science-faculty","Open source")</x:f>
        <x:v>HYPERLINK is not implemented. linkLocation=https://cas.uoregon.edu/directory/computer-science-faculty, friendlyName=Open source</x:v>
      </x:c>
    </x:row>
    <x:row r="3476" ht="46" customHeight="1">
      <x:c r="A3476" s="17" t="str">
        <x:v>stage4src:db34f486ef935682</x:v>
      </x:c>
      <x:c r="B3476" s="17" t="str">
        <x:v>professor</x:v>
      </x:c>
      <x:c r="C3476" s="17" t="str">
        <x:v>The University of Texas at Dallas</x:v>
      </x:c>
      <x:c r="D3476" s="17" t="str">
        <x:v>us:ipeds:228787:program:phd:computer-science-phd</x:v>
      </x:c>
      <x:c r="E3476" s="17" t="str"/>
      <x:c r="F3476" s="17" t="str">
        <x:v>current faculty roster|candidate longlist</x:v>
      </x:c>
      <x:c r="G3476" s="17" t="str">
        <x:v>Current official department roster or research-area faculty listing used to identify the five-person Stage 4 candidate longlist.</x:v>
      </x:c>
      <x:c r="H3476" s="17" t="str">
        <x:v>The University of Texas at Dallas current faculty roster</x:v>
      </x:c>
      <x:c r="I3476" s="17" t="str">
        <x:v>The University of Texas at Dallas</x:v>
      </x:c>
      <x:c r="J3476" s="17" t="str">
        <x:v>official</x:v>
      </x:c>
      <x:c r="K3476" s="17" t="str">
        <x:v>2026-09-11</x:v>
      </x:c>
      <x:c r="L3476" s="17" t="str"/>
      <x:c r="M3476" s="17" t="str">
        <x:v>high</x:v>
      </x:c>
      <x:c r="N3476" s="17" t="str">
        <x:v>verified</x:v>
      </x:c>
      <x:c r="O3476" s="17" t="str">
        <x:v>Roster evidence establishes a current listing, not program-specific supervision authority or recruiting.</x:v>
      </x:c>
      <x:c r="P3476" s="18" t="e">
        <x:f>HYPERLINK("https://cs.utdallas.edu/people/faculty/","Open source")</x:f>
        <x:v>HYPERLINK is not implemented. linkLocation=https://cs.utdallas.edu/people/faculty/, friendlyName=Open source</x:v>
      </x:c>
    </x:row>
    <x:row r="3477" ht="46" customHeight="1">
      <x:c r="A3477" s="17" t="str">
        <x:v>stage4src:db928f31b01d9b15</x:v>
      </x:c>
      <x:c r="B3477" s="17" t="str">
        <x:v>professor</x:v>
      </x:c>
      <x:c r="C3477" s="17" t="str">
        <x:v>Stevens Institute of Technology</x:v>
      </x:c>
      <x:c r="D3477" s="17" t="str">
        <x:v>us:ipeds:186867:program:phd:phd-in-computer-science</x:v>
      </x:c>
      <x:c r="E3477" s="17" t="str">
        <x:v>us:ipeds:186867:faculty:tegan-brennan</x:v>
      </x:c>
      <x:c r="F3477" s="17" t="str">
        <x:v>current appointment|research themes|recent work</x:v>
      </x:c>
      <x:c r="G3477" s="17" t="str">
        <x:v>The current Stevens profile lists Brennan as a Computer Science Assistant Professor and records software-verification, security, and 2024-2025 work.</x:v>
      </x:c>
      <x:c r="H3477" s="17" t="str">
        <x:v>Tegan Brennan</x:v>
      </x:c>
      <x:c r="I3477" s="17" t="str">
        <x:v>Stevens Institute of Technology</x:v>
      </x:c>
      <x:c r="J3477" s="17" t="str">
        <x:v>official</x:v>
      </x:c>
      <x:c r="K3477" s="17" t="str">
        <x:v>2026-09-11</x:v>
      </x:c>
      <x:c r="L3477" s="17" t="str">
        <x:v>2025</x:v>
      </x:c>
      <x:c r="M3477" s="17" t="str">
        <x:v>high</x:v>
      </x:c>
      <x:c r="N3477" s="17" t="str">
        <x:v>verified</x:v>
      </x:c>
      <x:c r="O3477" s="17" t="str">
        <x:v>Current official profile checked 2026-09-10; the rendered email address was masked.</x:v>
      </x:c>
      <x:c r="P3477" s="18" t="e">
        <x:f>HYPERLINK("https://www.stevens.edu/profile/tbrenna5","Open source")</x:f>
        <x:v>HYPERLINK is not implemented. linkLocation=https://www.stevens.edu/profile/tbrenna5, friendlyName=Open source</x:v>
      </x:c>
    </x:row>
    <x:row r="3478" ht="46" customHeight="1">
      <x:c r="A3478" s="17" t="str">
        <x:v>stage4src:dc06b7af56301fee</x:v>
      </x:c>
      <x:c r="B3478" s="17" t="str">
        <x:v>professor</x:v>
      </x:c>
      <x:c r="C3478" s="17" t="str">
        <x:v>University of Trento</x:v>
      </x:c>
      <x:c r="D3478" s="17" t="str">
        <x:v>ror:05trd4x28:program:thesis-or-research-master-s:master-s-degree-in-computer-science</x:v>
      </x:c>
      <x:c r="E3478" s="17" t="str">
        <x:v>ror:05trd4x28:faculty:sandro-luigi-fiore</x:v>
      </x:c>
      <x:c r="F3478" s="17" t="str">
        <x:v>Master's in Computer Science supervision authority|recent work|research fit</x:v>
      </x:c>
      <x:c r="G3478" s="17" t="str">
        <x:v>The official record lists Computer Science master's thesis work supervised by Sandro Luigi Fiore on provenance-related systems.</x:v>
      </x:c>
      <x:c r="H3478" s="17" t="str">
        <x:v>DISI Master's Final Examination Candidates — December 2025</x:v>
      </x:c>
      <x:c r="I3478" s="17" t="str">
        <x:v>University of Trento</x:v>
      </x:c>
      <x:c r="J3478" s="17" t="str">
        <x:v>official</x:v>
      </x:c>
      <x:c r="K3478" s="17" t="str">
        <x:v>2026-09-11</x:v>
      </x:c>
      <x:c r="L3478" s="17" t="str">
        <x:v>2025</x:v>
      </x:c>
      <x:c r="M3478" s="17" t="str">
        <x:v>high</x:v>
      </x:c>
      <x:c r="N3478" s="17" t="str">
        <x:v>verified</x:v>
      </x:c>
      <x:c r="O3478" s="17" t="str">
        <x:v>Official university PDF checked 2026-09-10.</x:v>
      </x:c>
      <x:c r="P3478" s="18" t="e">
        <x:f>HYPERLINK("https://corsi.unitn.it/sites/cds/files/2025-12/candidati-esame-finale-lm-disi-dicembre-25_0.pdf","Open source")</x:f>
        <x:v>HYPERLINK is not implemented. linkLocation=https://corsi.unitn.it/sites/cds/files/2025-12/candidati-esame-finale-lm-disi-dicembre-25_0.pdf, friendlyName=Open source</x:v>
      </x:c>
    </x:row>
    <x:row r="3479" ht="46" customHeight="1">
      <x:c r="A3479" s="17" t="str">
        <x:v>stage4src:dc0e233186857f19</x:v>
      </x:c>
      <x:c r="B3479" s="17" t="str">
        <x:v>professor</x:v>
      </x:c>
      <x:c r="C3479" s="17" t="str">
        <x:v>Boise State University</x:v>
      </x:c>
      <x:c r="D3479" s="17" t="str">
        <x:v>us:ipeds:142115:program:phd:computing-phd-computer-science-or-cybersecurity-emphasis</x:v>
      </x:c>
      <x:c r="E3479" s="17" t="str">
        <x:v>us:ipeds:142115:faculty:elena-sherman</x:v>
      </x:c>
      <x:c r="F3479" s="17" t="str">
        <x:v>prospective student instructions|contact appropriateness</x:v>
      </x:c>
      <x:c r="G3479" s="17" t="str">
        <x:v>The application guidance supports aligned-faculty contact while preserving the formal doctoral admissions process.</x:v>
      </x:c>
      <x:c r="H3479" s="17" t="str">
        <x:v>Computing PhD Application Requirements</x:v>
      </x:c>
      <x:c r="I3479" s="17" t="str">
        <x:v>Boise State University</x:v>
      </x:c>
      <x:c r="J3479" s="17" t="str">
        <x:v>official</x:v>
      </x:c>
      <x:c r="K3479" s="17" t="str">
        <x:v>2026-09-11</x:v>
      </x:c>
      <x:c r="L3479" s="17" t="str">
        <x:v>2026</x:v>
      </x:c>
      <x:c r="M3479" s="17" t="str">
        <x:v>high</x:v>
      </x:c>
      <x:c r="N3479" s="17" t="str">
        <x:v>verified</x:v>
      </x:c>
      <x:c r="O3479" s="17" t="str">
        <x:v>Current official page checked 2026-09-10.</x:v>
      </x:c>
      <x:c r="P3479" s="18" t="e">
        <x:f>HYPERLINK("https://www.boisestate.edu/computing/academics/doctoral-program/application-requirements-ph-d/","Open source")</x:f>
        <x:v>HYPERLINK is not implemented. linkLocation=https://www.boisestate.edu/computing/academics/doctoral-program/application-requirements-ph-d/, friendlyName=Open source</x:v>
      </x:c>
    </x:row>
    <x:row r="3480" ht="46" customHeight="1">
      <x:c r="A3480" s="17" t="str">
        <x:v>stage4src:dc0fb7f60a32214c</x:v>
      </x:c>
      <x:c r="B3480" s="17" t="str">
        <x:v>professor</x:v>
      </x:c>
      <x:c r="C3480" s="17" t="str">
        <x:v>University of Nebraska at Omaha</x:v>
      </x:c>
      <x:c r="D3480" s="17" t="str">
        <x:v>us:ipeds:181394:program:phd:computing-information-science-ph-d</x:v>
      </x:c>
      <x:c r="E3480" s="17" t="str">
        <x:v>us:ipeds:181394:faculty:myoungkyu-song</x:v>
      </x:c>
      <x:c r="F3480" s="17" t="str">
        <x:v>program context|faculty advising|research fit</x:v>
      </x:c>
      <x:c r="G3480" s="17" t="str">
        <x:v>UNO describes a faculty-advised research doctorate spanning software engineering and cybersecurity within the college that houses Song's department.</x:v>
      </x:c>
      <x:c r="H3480" s="17" t="str">
        <x:v>Computing &amp; Information Science PhD</x:v>
      </x:c>
      <x:c r="I3480" s="17" t="str">
        <x:v>University of Nebraska at Omaha</x:v>
      </x:c>
      <x:c r="J3480" s="17" t="str">
        <x:v>official</x:v>
      </x:c>
      <x:c r="K3480" s="17" t="str">
        <x:v>2026-09-11</x:v>
      </x:c>
      <x:c r="L3480" s="17" t="str">
        <x:v>2026</x:v>
      </x:c>
      <x:c r="M3480" s="17" t="str">
        <x:v>high</x:v>
      </x:c>
      <x:c r="N3480" s="17" t="str">
        <x:v>verified</x:v>
      </x:c>
      <x:c r="O3480" s="17" t="str">
        <x:v>Live official program page checked 2026-09-11.</x:v>
      </x:c>
      <x:c r="P3480" s="18" t="e">
        <x:f>HYPERLINK("https://www.unomaha.edu/college-of-information-science-and-technology/academics/computing_and_information_science_phd.php","Open source")</x:f>
        <x:v>HYPERLINK is not implemented. linkLocation=https://www.unomaha.edu/college-of-information-science-and-technology/academics/computing_and_information_science_phd.php, friendlyName=Open source</x:v>
      </x:c>
    </x:row>
    <x:row r="3481" ht="46" customHeight="1">
      <x:c r="A3481" s="17" t="str">
        <x:v>stage4src:dc3f64ba402bbfb1</x:v>
      </x:c>
      <x:c r="B3481" s="17" t="str">
        <x:v>professor</x:v>
      </x:c>
      <x:c r="C3481" s="17" t="str">
        <x:v>University of Pisa</x:v>
      </x:c>
      <x:c r="D3481" s="17" t="str">
        <x:v>ror:03ad39j10:program:thesis-or-research-master-s:master-s-degree-in-computer-science</x:v>
      </x:c>
      <x:c r="E3481" s="17" t="str"/>
      <x:c r="F3481" s="17" t="str">
        <x:v>current faculty roster|candidate longlist</x:v>
      </x:c>
      <x:c r="G3481" s="17" t="str">
        <x:v>Current official department roster or research-area faculty listing used to identify the five-person Stage 4 candidate longlist.</x:v>
      </x:c>
      <x:c r="H3481" s="17" t="str">
        <x:v>University of Pisa current faculty roster</x:v>
      </x:c>
      <x:c r="I3481" s="17" t="str">
        <x:v>University of Pisa</x:v>
      </x:c>
      <x:c r="J3481" s="17" t="str">
        <x:v>official</x:v>
      </x:c>
      <x:c r="K3481" s="17" t="str">
        <x:v>2026-09-11</x:v>
      </x:c>
      <x:c r="L3481" s="17" t="str"/>
      <x:c r="M3481" s="17" t="str">
        <x:v>high</x:v>
      </x:c>
      <x:c r="N3481" s="17" t="str">
        <x:v>verified</x:v>
      </x:c>
      <x:c r="O3481" s="17" t="str">
        <x:v>Roster evidence establishes a current listing, not program-specific supervision authority or recruiting.</x:v>
      </x:c>
      <x:c r="P3481" s="18" t="e">
        <x:f>HYPERLINK("https://di.unipi.it/en/people/","Open source")</x:f>
        <x:v>HYPERLINK is not implemented. linkLocation=https://di.unipi.it/en/people/, friendlyName=Open source</x:v>
      </x:c>
    </x:row>
    <x:row r="3482" ht="46" customHeight="1">
      <x:c r="A3482" s="17" t="str">
        <x:v>stage4src:dce9379d3ed07053</x:v>
      </x:c>
      <x:c r="B3482" s="17" t="str">
        <x:v>professor</x:v>
      </x:c>
      <x:c r="C3482" s="17" t="str">
        <x:v>North Dakota State University-Main Campus</x:v>
      </x:c>
      <x:c r="D3482" s="17" t="str">
        <x:v>us:ipeds:200332:program:phd:ph-d-in-software-and-security-engineering</x:v>
      </x:c>
      <x:c r="E3482" s="17" t="str">
        <x:v>us:ipeds:200332:faculty:muhammad-zubair-malik</x:v>
      </x:c>
      <x:c r="F3482" s="17" t="str">
        <x:v>exact program|prospective student instructions|contact appropriateness</x:v>
      </x:c>
      <x:c r="G3482" s="17" t="str">
        <x:v>The current doctoral page establishes the exact research program and advises applicants to contact aligned faculty without requiring prior commitment.</x:v>
      </x:c>
      <x:c r="H3482" s="17" t="str">
        <x:v>Software and Security Engineering Doctorate</x:v>
      </x:c>
      <x:c r="I3482" s="17" t="str">
        <x:v>North Dakota State University-Main Campus</x:v>
      </x:c>
      <x:c r="J3482" s="17" t="str">
        <x:v>official</x:v>
      </x:c>
      <x:c r="K3482" s="17" t="str">
        <x:v>2026-09-11</x:v>
      </x:c>
      <x:c r="L3482" s="17" t="str">
        <x:v>2026</x:v>
      </x:c>
      <x:c r="M3482" s="17" t="str">
        <x:v>high</x:v>
      </x:c>
      <x:c r="N3482" s="17" t="str">
        <x:v>verified</x:v>
      </x:c>
      <x:c r="O3482" s="17" t="str">
        <x:v>Current official page checked 2026-09-10.</x:v>
      </x:c>
      <x:c r="P3482" s="18" t="e">
        <x:f>HYPERLINK("https://catalog.ndsu.edu/curriculum/graduate/software-and-security-engineering-doctorate/","Open source")</x:f>
        <x:v>HYPERLINK is not implemented. linkLocation=https://catalog.ndsu.edu/curriculum/graduate/software-and-security-engineering-doctorate/, friendlyName=Open source</x:v>
      </x:c>
    </x:row>
    <x:row r="3483" ht="46" customHeight="1">
      <x:c r="A3483" s="17" t="str">
        <x:v>stage4src:dcfc38fc377b52c4</x:v>
      </x:c>
      <x:c r="B3483" s="17" t="str">
        <x:v>professor</x:v>
      </x:c>
      <x:c r="C3483" s="17" t="str">
        <x:v>University of Illinois Urbana-Champaign</x:v>
      </x:c>
      <x:c r="D3483" s="17" t="str">
        <x:v>us:ipeds:145637:program:phd:computer-science-phd</x:v>
      </x:c>
      <x:c r="E3483" s="17" t="str"/>
      <x:c r="F3483" s="17" t="str">
        <x:v>current faculty roster|candidate longlist</x:v>
      </x:c>
      <x:c r="G3483" s="17" t="str">
        <x:v>Current official department roster or research-area faculty listing used to identify the five-person Stage 4 candidate longlist.</x:v>
      </x:c>
      <x:c r="H3483" s="17" t="str">
        <x:v>University of Illinois Urbana-Champaign current faculty roster</x:v>
      </x:c>
      <x:c r="I3483" s="17" t="str">
        <x:v>University of Illinois Urbana-Champaign</x:v>
      </x:c>
      <x:c r="J3483" s="17" t="str">
        <x:v>official</x:v>
      </x:c>
      <x:c r="K3483" s="17" t="str">
        <x:v>2026-09-11</x:v>
      </x:c>
      <x:c r="L3483" s="17" t="str"/>
      <x:c r="M3483" s="17" t="str">
        <x:v>high</x:v>
      </x:c>
      <x:c r="N3483" s="17" t="str">
        <x:v>verified</x:v>
      </x:c>
      <x:c r="O3483" s="17" t="str">
        <x:v>Roster evidence establishes a current listing, not program-specific supervision authority or recruiting.</x:v>
      </x:c>
      <x:c r="P3483" s="18" t="e">
        <x:f>HYPERLINK("https://siebelschool.illinois.edu/about/people/all-faculty","Open source")</x:f>
        <x:v>HYPERLINK is not implemented. linkLocation=https://siebelschool.illinois.edu/about/people/all-faculty, friendlyName=Open source</x:v>
      </x:c>
    </x:row>
    <x:row r="3484" ht="46" customHeight="1">
      <x:c r="A3484" s="17" t="str">
        <x:v>stage4src:dd1a4b45dfd1a5a2</x:v>
      </x:c>
      <x:c r="B3484" s="17" t="str">
        <x:v>professor</x:v>
      </x:c>
      <x:c r="C3484" s="17" t="str">
        <x:v>University of Calgary</x:v>
      </x:c>
      <x:c r="D3484" s="17" t="str">
        <x:v>ca:dli:O18886830282:program:thesis-or-research-master-s:msc-in-computer-science-thesis</x:v>
      </x:c>
      <x:c r="E3484" s="17" t="str">
        <x:v>ca:dli:O18886830282:faculty:yani-ioannou</x:v>
      </x:c>
      <x:c r="F3484" s="17" t="str">
        <x:v>discovery publication signal|recent work</x:v>
      </x:c>
      <x:c r="G3484" s="17" t="str">
        <x:v>Publication metadata was examined for shortlist triage only; publication-time affiliation does not establish current appointment, supervision authority, or recruiting.</x:v>
      </x:c>
      <x:c r="H3484" s="17" t="str">
        <x:v>OpenAlex publication signal for Yani Ioannou</x:v>
      </x:c>
      <x:c r="I3484" s="17" t="str">
        <x:v>OpenAlex / cited venue</x:v>
      </x:c>
      <x:c r="J3484" s="17" t="str">
        <x:v>secondary</x:v>
      </x:c>
      <x:c r="K3484" s="17" t="str">
        <x:v>2026-09-11</x:v>
      </x:c>
      <x:c r="L3484" s="17" t="str"/>
      <x:c r="M3484" s="17" t="str">
        <x:v>medium</x:v>
      </x:c>
      <x:c r="N3484" s="17" t="str">
        <x:v>discovery_only</x:v>
      </x:c>
      <x:c r="O3484" s="17" t="str">
        <x:v>Not used to award a professor score or faculty-depth point.</x:v>
      </x:c>
      <x:c r="P3484" s="18" t="e">
        <x:f>HYPERLINK("https://openalex.org/A5139733644","Open source")</x:f>
        <x:v>HYPERLINK is not implemented. linkLocation=https://openalex.org/A5139733644, friendlyName=Open source</x:v>
      </x:c>
    </x:row>
    <x:row r="3485" ht="46" customHeight="1">
      <x:c r="A3485" s="17" t="str">
        <x:v>stage4src:de1317b6b6a0fa4e</x:v>
      </x:c>
      <x:c r="B3485" s="17" t="str">
        <x:v>professor</x:v>
      </x:c>
      <x:c r="C3485" s="17" t="str">
        <x:v>Trinity College Dublin</x:v>
      </x:c>
      <x:c r="D3485" s="17" t="str">
        <x:v>ror:02tyrky19:program:phd:phd-in-computer-science-and-statistics</x:v>
      </x:c>
      <x:c r="E3485" s="17" t="str"/>
      <x:c r="F3485" s="17" t="str">
        <x:v>current faculty roster|candidate longlist</x:v>
      </x:c>
      <x:c r="G3485" s="17" t="str">
        <x:v>Current official department roster or research-area faculty listing used to identify the five-person Stage 4 candidate longlist.</x:v>
      </x:c>
      <x:c r="H3485" s="17" t="str">
        <x:v>Trinity College Dublin current faculty roster</x:v>
      </x:c>
      <x:c r="I3485" s="17" t="str">
        <x:v>Trinity College Dublin</x:v>
      </x:c>
      <x:c r="J3485" s="17" t="str">
        <x:v>official</x:v>
      </x:c>
      <x:c r="K3485" s="17" t="str">
        <x:v>2026-09-11</x:v>
      </x:c>
      <x:c r="L3485" s="17" t="str"/>
      <x:c r="M3485" s="17" t="str">
        <x:v>high</x:v>
      </x:c>
      <x:c r="N3485" s="17" t="str">
        <x:v>verified</x:v>
      </x:c>
      <x:c r="O3485" s="17" t="str">
        <x:v>Roster evidence establishes a current listing, not program-specific supervision authority or recruiting.</x:v>
      </x:c>
      <x:c r="P3485" s="18" t="e">
        <x:f>HYPERLINK("https://www.tcd.ie/scss/people/academic-staff/","Open source")</x:f>
        <x:v>HYPERLINK is not implemented. linkLocation=https://www.tcd.ie/scss/people/academic-staff/, friendlyName=Open source</x:v>
      </x:c>
    </x:row>
    <x:row r="3486" ht="46" customHeight="1">
      <x:c r="A3486" s="17" t="str">
        <x:v>stage4src:de6cb977a917fdcc</x:v>
      </x:c>
      <x:c r="B3486" s="17" t="str">
        <x:v>professor</x:v>
      </x:c>
      <x:c r="C3486" s="17" t="str">
        <x:v>New Jersey Institute of Technology</x:v>
      </x:c>
      <x:c r="D3486" s="17" t="str">
        <x:v>us:ipeds:185828:program:phd:ph-d-computer-science</x:v>
      </x:c>
      <x:c r="E3486" s="17" t="str">
        <x:v>us:ipeds:185828:faculty:martin-kellogg</x:v>
      </x:c>
      <x:c r="F3486" s="17" t="str">
        <x:v>recent work|active grants|research fit</x:v>
      </x:c>
      <x:c r="G3486" s="17" t="str">
        <x:v>NJIT records 2023-2025 work on resource-leak repair, checking, and specification inference and active funded projects.</x:v>
      </x:c>
      <x:c r="H3486" s="17" t="str">
        <x:v>Martin Kellogg research profile</x:v>
      </x:c>
      <x:c r="I3486" s="17" t="str">
        <x:v>New Jersey Institute of Technology</x:v>
      </x:c>
      <x:c r="J3486" s="17" t="str">
        <x:v>official</x:v>
      </x:c>
      <x:c r="K3486" s="17" t="str">
        <x:v>2026-09-11</x:v>
      </x:c>
      <x:c r="L3486" s="17" t="str">
        <x:v>2026</x:v>
      </x:c>
      <x:c r="M3486" s="17" t="str">
        <x:v>high</x:v>
      </x:c>
      <x:c r="N3486" s="17" t="str">
        <x:v>verified</x:v>
      </x:c>
      <x:c r="O3486" s="17" t="str">
        <x:v>Live institutional profile checked 2026-09-11; grants were not treated as recruiting.</x:v>
      </x:c>
      <x:c r="P3486" s="18" t="e">
        <x:f>HYPERLINK("https://researchwith.njit.edu/en/persons/martin-kellogg/","Open source")</x:f>
        <x:v>HYPERLINK is not implemented. linkLocation=https://researchwith.njit.edu/en/persons/martin-kellogg/, friendlyName=Open source</x:v>
      </x:c>
    </x:row>
    <x:row r="3487" ht="46" customHeight="1">
      <x:c r="A3487" s="17" t="str">
        <x:v>stage4src:df25fa6ce208656f</x:v>
      </x:c>
      <x:c r="B3487" s="17" t="str">
        <x:v>professor</x:v>
      </x:c>
      <x:c r="C3487" s="17" t="str">
        <x:v>George Washington University</x:v>
      </x:c>
      <x:c r="D3487" s="17" t="str">
        <x:v>us:ipeds:131469:program:phd:phd-in-computer-science</x:v>
      </x:c>
      <x:c r="E3487" s="17" t="str">
        <x:v>us:ipeds:131469:faculty:gabriel-parmer</x:v>
      </x:c>
      <x:c r="F3487" s="17" t="str">
        <x:v>current appointment|department|email|research themes</x:v>
      </x:c>
      <x:c r="G3487" s="17" t="str">
        <x:v>GW identifies Parmer as current CS faculty leading work on fault tolerance, regenerative systems, component composition, and systems security.</x:v>
      </x:c>
      <x:c r="H3487" s="17" t="str">
        <x:v>Gabriel Parmer</x:v>
      </x:c>
      <x:c r="I3487" s="17" t="str">
        <x:v>George Washington University</x:v>
      </x:c>
      <x:c r="J3487" s="17" t="str">
        <x:v>official</x:v>
      </x:c>
      <x:c r="K3487" s="17" t="str">
        <x:v>2026-09-11</x:v>
      </x:c>
      <x:c r="L3487" s="17" t="str">
        <x:v>2026</x:v>
      </x:c>
      <x:c r="M3487" s="17" t="str">
        <x:v>high</x:v>
      </x:c>
      <x:c r="N3487" s="17" t="str">
        <x:v>verified</x:v>
      </x:c>
      <x:c r="O3487" s="17" t="str">
        <x:v>Live official profile checked 2026-09-11; individual page rank lags the directory.</x:v>
      </x:c>
      <x:c r="P3487" s="18" t="e">
        <x:f>HYPERLINK("https://cs.engineering.gwu.edu/gabriel-parmer","Open source")</x:f>
        <x:v>HYPERLINK is not implemented. linkLocation=https://cs.engineering.gwu.edu/gabriel-parmer, friendlyName=Open source</x:v>
      </x:c>
    </x:row>
    <x:row r="3488" ht="46" customHeight="1">
      <x:c r="A3488" s="17" t="str">
        <x:v>stage4src:df65cf408a5bb429</x:v>
      </x:c>
      <x:c r="B3488" s="17" t="str">
        <x:v>professor</x:v>
      </x:c>
      <x:c r="C3488" s="17" t="str">
        <x:v>Montana State University</x:v>
      </x:c>
      <x:c r="D3488" s="17" t="str">
        <x:v>us:ipeds:180461:program:phd:computer-science-phd</x:v>
      </x:c>
      <x:c r="E3488" s="17" t="str">
        <x:v>us:ipeds:180461:faculty:charlie-murphy</x:v>
      </x:c>
      <x:c r="F3488" s="17" t="str">
        <x:v>program context|supervision authority|prospective-student instructions</x:v>
      </x:c>
      <x:c r="G3488" s="17" t="str">
        <x:v>The official page establishes the CS PhD and its faculty-guided research context.</x:v>
      </x:c>
      <x:c r="H3488" s="17" t="str">
        <x:v>PhD Degree in Computer Science</x:v>
      </x:c>
      <x:c r="I3488" s="17" t="str">
        <x:v>Montana State University</x:v>
      </x:c>
      <x:c r="J3488" s="17" t="str">
        <x:v>official</x:v>
      </x:c>
      <x:c r="K3488" s="17" t="str">
        <x:v>2026-09-11</x:v>
      </x:c>
      <x:c r="L3488" s="17" t="str">
        <x:v>2026</x:v>
      </x:c>
      <x:c r="M3488" s="17" t="str">
        <x:v>high</x:v>
      </x:c>
      <x:c r="N3488" s="17" t="str">
        <x:v>verified</x:v>
      </x:c>
      <x:c r="O3488" s="17" t="str">
        <x:v>Live official page checked 2026-09-11.</x:v>
      </x:c>
      <x:c r="P3488" s="18" t="e">
        <x:f>HYPERLINK("https://www.cs.montana.edu/phd-degree.html","Open source")</x:f>
        <x:v>HYPERLINK is not implemented. linkLocation=https://www.cs.montana.edu/phd-degree.html, friendlyName=Open source</x:v>
      </x:c>
    </x:row>
    <x:row r="3489" ht="46" customHeight="1">
      <x:c r="A3489" s="17" t="str">
        <x:v>stage4src:df801feebe891dca</x:v>
      </x:c>
      <x:c r="B3489" s="17" t="str">
        <x:v>professor</x:v>
      </x:c>
      <x:c r="C3489" s="17" t="str">
        <x:v>Concordia University</x:v>
      </x:c>
      <x:c r="D3489" s="17" t="str">
        <x:v>ca:dli:O19359011007:program:thesis-or-research-master-s:master-of-computer-science-thesis</x:v>
      </x:c>
      <x:c r="E3489" s="17" t="str">
        <x:v>ca:dli:O19359011007:faculty:zhijie-wang</x:v>
      </x:c>
      <x:c r="F3489" s="17" t="str">
        <x:v>discovery publication signal|recent work</x:v>
      </x:c>
      <x:c r="G3489" s="17" t="str">
        <x:v>Publication metadata was examined for shortlist triage only; publication-time affiliation does not establish current appointment, supervision authority, or recruiting.</x:v>
      </x:c>
      <x:c r="H3489" s="17" t="str">
        <x:v>OpenAlex publication signal for Zhijie Wang</x:v>
      </x:c>
      <x:c r="I3489" s="17" t="str">
        <x:v>OpenAlex / cited venue</x:v>
      </x:c>
      <x:c r="J3489" s="17" t="str">
        <x:v>secondary</x:v>
      </x:c>
      <x:c r="K3489" s="17" t="str">
        <x:v>2026-09-11</x:v>
      </x:c>
      <x:c r="L3489" s="17" t="str"/>
      <x:c r="M3489" s="17" t="str">
        <x:v>medium</x:v>
      </x:c>
      <x:c r="N3489" s="17" t="str">
        <x:v>discovery_only</x:v>
      </x:c>
      <x:c r="O3489" s="17" t="str">
        <x:v>Not used to award a professor score or faculty-depth point.</x:v>
      </x:c>
      <x:c r="P3489" s="18" t="e">
        <x:f>HYPERLINK("https://openalex.org/A5100419338","Open source")</x:f>
        <x:v>HYPERLINK is not implemented. linkLocation=https://openalex.org/A5100419338, friendlyName=Open source</x:v>
      </x:c>
    </x:row>
    <x:row r="3490" ht="46" customHeight="1">
      <x:c r="A3490" s="17" t="str">
        <x:v>stage4src:df98b3da05f94318</x:v>
      </x:c>
      <x:c r="B3490" s="17" t="str">
        <x:v>professor</x:v>
      </x:c>
      <x:c r="C3490" s="17" t="str">
        <x:v>McGill University</x:v>
      </x:c>
      <x:c r="D3490" s="17" t="str">
        <x:v>ca:dli:O19359011033:program:thesis-or-research-master-s:electrical-engineering-thesis-m-sc</x:v>
      </x:c>
      <x:c r="E3490" s="17" t="str">
        <x:v>ca:dli:O19359011033:faculty:d-niel-varr</x:v>
      </x:c>
      <x:c r="F3490" s="17" t="str">
        <x:v>recent work|automated program repair|LLM software engineering|supervision</x:v>
      </x:c>
      <x:c r="G3490" s="17" t="str">
        <x:v>The 2026 ECE record identifies Varró as co-supervisor of work on automated defect detection and repair, software testing, and LLMs for software artifacts.</x:v>
      </x:c>
      <x:c r="H3490" s="17" t="str">
        <x:v>PhD defence: detecting and repairing defects in low-resource software artifacts</x:v>
      </x:c>
      <x:c r="I3490" s="17" t="str">
        <x:v>McGill University</x:v>
      </x:c>
      <x:c r="J3490" s="17" t="str">
        <x:v>official</x:v>
      </x:c>
      <x:c r="K3490" s="17" t="str">
        <x:v>2026-09-11</x:v>
      </x:c>
      <x:c r="L3490" s="17" t="str">
        <x:v>2026</x:v>
      </x:c>
      <x:c r="M3490" s="17" t="str">
        <x:v>high</x:v>
      </x:c>
      <x:c r="N3490" s="17" t="str">
        <x:v>verified</x:v>
      </x:c>
      <x:c r="O3490" s="17" t="str">
        <x:v>Official ECE record checked 2026-09-11.</x:v>
      </x:c>
      <x:c r="P3490" s="18" t="e">
        <x:f>HYPERLINK("https://www.mcgill.ca/ece/channels/event/phd-defence-masoumzadeh-sogol-application-machine-learning-techniques-automatically-detecting-and-373636","Open source")</x:f>
        <x:v>HYPERLINK is not implemented. linkLocation=https://www.mcgill.ca/ece/channels/event/phd-defence-masoumzadeh-sogol-application-machine-learning-techniques-automatically-detecting-and-373636, friendlyName=Open source</x:v>
      </x:c>
    </x:row>
    <x:row r="3491" ht="46" customHeight="1">
      <x:c r="A3491" s="17" t="str">
        <x:v>stage4src:dffc2b2fa0efdf27</x:v>
      </x:c>
      <x:c r="B3491" s="17" t="str">
        <x:v>professor</x:v>
      </x:c>
      <x:c r="C3491" s="17" t="str">
        <x:v>University of New Mexico-Main Campus</x:v>
      </x:c>
      <x:c r="D3491" s="17" t="str">
        <x:v>us:ipeds:187985:program:phd:phd-in-computer-science</x:v>
      </x:c>
      <x:c r="E3491" s="17" t="str"/>
      <x:c r="F3491" s="17" t="str">
        <x:v>current faculty roster|candidate longlist</x:v>
      </x:c>
      <x:c r="G3491" s="17" t="str">
        <x:v>Current official department roster or research-area faculty listing used to identify the five-person Stage 4 candidate longlist.</x:v>
      </x:c>
      <x:c r="H3491" s="17" t="str">
        <x:v>University of New Mexico-Main Campus current faculty roster</x:v>
      </x:c>
      <x:c r="I3491" s="17" t="str">
        <x:v>University of New Mexico-Main Campus</x:v>
      </x:c>
      <x:c r="J3491" s="17" t="str">
        <x:v>official</x:v>
      </x:c>
      <x:c r="K3491" s="17" t="str">
        <x:v>2026-09-11</x:v>
      </x:c>
      <x:c r="L3491" s="17" t="str"/>
      <x:c r="M3491" s="17" t="str">
        <x:v>high</x:v>
      </x:c>
      <x:c r="N3491" s="17" t="str">
        <x:v>verified</x:v>
      </x:c>
      <x:c r="O3491" s="17" t="str">
        <x:v>Roster evidence establishes a current listing, not program-specific supervision authority or recruiting.</x:v>
      </x:c>
      <x:c r="P3491" s="18" t="e">
        <x:f>HYPERLINK("https://www.cs.unm.edu/directory/index.html","Open source")</x:f>
        <x:v>HYPERLINK is not implemented. linkLocation=https://www.cs.unm.edu/directory/index.html, friendlyName=Open source</x:v>
      </x:c>
    </x:row>
    <x:row r="3492" ht="46" customHeight="1">
      <x:c r="A3492" s="17" t="str">
        <x:v>stage4src:e004ec95f2742bde</x:v>
      </x:c>
      <x:c r="B3492" s="17" t="str">
        <x:v>professor</x:v>
      </x:c>
      <x:c r="C3492" s="17" t="str">
        <x:v>Simon Fraser University</x:v>
      </x:c>
      <x:c r="D3492" s="17" t="str">
        <x:v>ca:dli:O18781994282:program:thesis-or-research-master-s:computing-science-master-of-science-thesis</x:v>
      </x:c>
      <x:c r="E3492" s="17" t="str">
        <x:v>ca:dli:O18781994282:faculty:saba-alimadadi</x:v>
      </x:c>
      <x:c r="F3492" s="17" t="str">
        <x:v>research themes|program supervision authority</x:v>
      </x:c>
      <x:c r="G3492" s="17" t="str">
        <x:v>The official research-area page documents Programming Languages, Software Engineering, Networks and Systems as an active Computing Science research area.</x:v>
      </x:c>
      <x:c r="H3492" s="17" t="str">
        <x:v>SFU Computing Science Research Areas</x:v>
      </x:c>
      <x:c r="I3492" s="17" t="str">
        <x:v>Simon Fraser University</x:v>
      </x:c>
      <x:c r="J3492" s="17" t="str">
        <x:v>official</x:v>
      </x:c>
      <x:c r="K3492" s="17" t="str">
        <x:v>2026-09-11</x:v>
      </x:c>
      <x:c r="L3492" s="17" t="str"/>
      <x:c r="M3492" s="17" t="str">
        <x:v>high</x:v>
      </x:c>
      <x:c r="N3492" s="17" t="str">
        <x:v>verified</x:v>
      </x:c>
      <x:c r="O3492" s="17" t="str">
        <x:v>Official research-area page checked 2026-09-10.</x:v>
      </x:c>
      <x:c r="P3492" s="18" t="e">
        <x:f>HYPERLINK("https://www.sfu.ca/fas/computing/research/research-areas.html","Open source")</x:f>
        <x:v>HYPERLINK is not implemented. linkLocation=https://www.sfu.ca/fas/computing/research/research-areas.html, friendlyName=Open source</x:v>
      </x:c>
    </x:row>
    <x:row r="3493" ht="46" customHeight="1">
      <x:c r="A3493" s="17" t="str">
        <x:v>stage4src:e07888f767000b73</x:v>
      </x:c>
      <x:c r="B3493" s="17" t="str">
        <x:v>professor</x:v>
      </x:c>
      <x:c r="C3493" s="17" t="str">
        <x:v>University of Florence</x:v>
      </x:c>
      <x:c r="D3493" s="17" t="str">
        <x:v>ror:04jr1s763:program:thesis-or-research-master-s:msc-in-software-science-and-technology</x:v>
      </x:c>
      <x:c r="E3493" s="17" t="str"/>
      <x:c r="F3493" s="17" t="str">
        <x:v>current faculty roster|candidate longlist</x:v>
      </x:c>
      <x:c r="G3493" s="17" t="str">
        <x:v>Current official department roster or research-area faculty listing used to identify the five-person Stage 4 candidate longlist.</x:v>
      </x:c>
      <x:c r="H3493" s="17" t="str">
        <x:v>University of Florence current faculty roster</x:v>
      </x:c>
      <x:c r="I3493" s="17" t="str">
        <x:v>University of Florence</x:v>
      </x:c>
      <x:c r="J3493" s="17" t="str">
        <x:v>official</x:v>
      </x:c>
      <x:c r="K3493" s="17" t="str">
        <x:v>2026-09-11</x:v>
      </x:c>
      <x:c r="L3493" s="17" t="str"/>
      <x:c r="M3493" s="17" t="str">
        <x:v>high</x:v>
      </x:c>
      <x:c r="N3493" s="17" t="str">
        <x:v>verified</x:v>
      </x:c>
      <x:c r="O3493" s="17" t="str">
        <x:v>Roster evidence establishes a current listing, not program-specific supervision authority or recruiting.</x:v>
      </x:c>
      <x:c r="P3493" s="18" t="e">
        <x:f>HYPERLINK("https://www.dimai.unifi.it/vp-484-staff-members.html","Open source")</x:f>
        <x:v>HYPERLINK is not implemented. linkLocation=https://www.dimai.unifi.it/vp-484-staff-members.html, friendlyName=Open source</x:v>
      </x:c>
    </x:row>
    <x:row r="3494" ht="46" customHeight="1">
      <x:c r="A3494" s="17" t="str">
        <x:v>stage4src:e0be62b20ba76983</x:v>
      </x:c>
      <x:c r="B3494" s="17" t="str">
        <x:v>professor</x:v>
      </x:c>
      <x:c r="C3494" s="17" t="str">
        <x:v>University of Oregon</x:v>
      </x:c>
      <x:c r="D3494" s="17" t="str">
        <x:v>us:ipeds:209551:program:phd:phd-in-computer-science</x:v>
      </x:c>
      <x:c r="E3494" s="17" t="str">
        <x:v>us:ipeds:209551:faculty:suyash-gupta</x:v>
      </x:c>
      <x:c r="F3494" s="17" t="str">
        <x:v>program supervision context|recent work|strong fit</x:v>
      </x:c>
      <x:c r="G3494" s="17" t="str">
        <x:v>The prospective-PhD page identifies Gupta and his 2023-2024 work in BFT consensus, reliable serverless-edge transactions, ResilientDB, and transfer learning.</x:v>
      </x:c>
      <x:c r="H3494" s="17" t="str">
        <x:v>Faculty Research Highlights for Prospective PhD Students</x:v>
      </x:c>
      <x:c r="I3494" s="17" t="str">
        <x:v>University of Oregon</x:v>
      </x:c>
      <x:c r="J3494" s="17" t="str">
        <x:v>official</x:v>
      </x:c>
      <x:c r="K3494" s="17" t="str">
        <x:v>2026-09-11</x:v>
      </x:c>
      <x:c r="L3494" s="17" t="str">
        <x:v>2024</x:v>
      </x:c>
      <x:c r="M3494" s="17" t="str">
        <x:v>high</x:v>
      </x:c>
      <x:c r="N3494" s="17" t="str">
        <x:v>verified</x:v>
      </x:c>
      <x:c r="O3494" s="17" t="str">
        <x:v>Live official page checked 2026-09-11; prospective-student framing supports program relevance, not current recruiting.</x:v>
      </x:c>
      <x:c r="P3494" s="18" t="e">
        <x:f>HYPERLINK("https://scds.uoregon.edu/cs/research/faculty-research-highlights","Open source")</x:f>
        <x:v>HYPERLINK is not implemented. linkLocation=https://scds.uoregon.edu/cs/research/faculty-research-highlights, friendlyName=Open source</x:v>
      </x:c>
    </x:row>
    <x:row r="3495" ht="46" customHeight="1">
      <x:c r="A3495" s="17" t="str">
        <x:v>stage4src:e13466c7b2c14daf</x:v>
      </x:c>
      <x:c r="B3495" s="17" t="str">
        <x:v>professor</x:v>
      </x:c>
      <x:c r="C3495" s="17" t="str">
        <x:v>Texas A&amp;M University-College Station</x:v>
      </x:c>
      <x:c r="D3495" s="17" t="str">
        <x:v>us:ipeds:228723:program:phd:doctor-of-philosophy-in-computer-science</x:v>
      </x:c>
      <x:c r="E3495" s="17" t="str">
        <x:v>us:ipeds:228723:faculty:jeff-huang</x:v>
      </x:c>
      <x:c r="F3495" s="17" t="str">
        <x:v>recent work|LLM-assisted repair|vulnerability detection</x:v>
      </x:c>
      <x:c r="G3495" s="17" t="str">
        <x:v>Huang led a 2024 LLM-based autonomous cyber reasoning system that detects and patches software vulnerabilities.</x:v>
      </x:c>
      <x:c r="H3495" s="17" t="str">
        <x:v>Texas A&amp;M Team Advances to DARPA AIxCC Finals</x:v>
      </x:c>
      <x:c r="I3495" s="17" t="str">
        <x:v>Texas A&amp;M University-College Station</x:v>
      </x:c>
      <x:c r="J3495" s="17" t="str">
        <x:v>official</x:v>
      </x:c>
      <x:c r="K3495" s="17" t="str">
        <x:v>2026-09-11</x:v>
      </x:c>
      <x:c r="L3495" s="17" t="str">
        <x:v>2024</x:v>
      </x:c>
      <x:c r="M3495" s="17" t="str">
        <x:v>high</x:v>
      </x:c>
      <x:c r="N3495" s="17" t="str">
        <x:v>verified</x:v>
      </x:c>
      <x:c r="O3495" s="17" t="str">
        <x:v>Official university article checked 2026-09-11.</x:v>
      </x:c>
      <x:c r="P3495" s="18" t="e">
        <x:f>HYPERLINK("https://engineering.tamu.edu/news/2024/10/texas-am-team-advances-to-darpa-aixcc-finals.html","Open source")</x:f>
        <x:v>HYPERLINK is not implemented. linkLocation=https://engineering.tamu.edu/news/2024/10/texas-am-team-advances-to-darpa-aixcc-finals.html, friendlyName=Open source</x:v>
      </x:c>
    </x:row>
    <x:row r="3496" ht="46" customHeight="1">
      <x:c r="A3496" s="17" t="str">
        <x:v>stage4src:e14b14205c4b5d27</x:v>
      </x:c>
      <x:c r="B3496" s="17" t="str">
        <x:v>professor</x:v>
      </x:c>
      <x:c r="C3496" s="17" t="str">
        <x:v>The University of Texas at El Paso</x:v>
      </x:c>
      <x:c r="D3496" s="17" t="str">
        <x:v>us:ipeds:228796:program:phd:doctor-of-philosophy-in-computer-science</x:v>
      </x:c>
      <x:c r="E3496" s="17" t="str">
        <x:v>us:ipeds:228796:faculty:yoonsik-cheon</x:v>
      </x:c>
      <x:c r="F3496" s="17" t="str">
        <x:v>current appointment|department|email|recent work|research fit</x:v>
      </x:c>
      <x:c r="G3496" s="17" t="str">
        <x:v>UTEP lists Cheon as a current Associate Professor and records three 2025 works in contracts, test assertions, and LLM-based model-driven development.</x:v>
      </x:c>
      <x:c r="H3496" s="17" t="str">
        <x:v>Yoonsik Cheon</x:v>
      </x:c>
      <x:c r="I3496" s="17" t="str">
        <x:v>The University of Texas at El Paso</x:v>
      </x:c>
      <x:c r="J3496" s="17" t="str">
        <x:v>official</x:v>
      </x:c>
      <x:c r="K3496" s="17" t="str">
        <x:v>2026-09-11</x:v>
      </x:c>
      <x:c r="L3496" s="17" t="str">
        <x:v>2026</x:v>
      </x:c>
      <x:c r="M3496" s="17" t="str">
        <x:v>high</x:v>
      </x:c>
      <x:c r="N3496" s="17" t="str">
        <x:v>verified</x:v>
      </x:c>
      <x:c r="O3496" s="17" t="str">
        <x:v>Live official profile checked 2026-09-11.</x:v>
      </x:c>
      <x:c r="P3496" s="18" t="e">
        <x:f>HYPERLINK("https://hb2504.utep.edu/Home/Profile?username=ycheon","Open source")</x:f>
        <x:v>HYPERLINK is not implemented. linkLocation=https://hb2504.utep.edu/Home/Profile?username=ycheon, friendlyName=Open source</x:v>
      </x:c>
    </x:row>
    <x:row r="3497" ht="46" customHeight="1">
      <x:c r="A3497" s="17" t="str">
        <x:v>stage4src:e1c76a974f3100e6</x:v>
      </x:c>
      <x:c r="B3497" s="17" t="str">
        <x:v>professor</x:v>
      </x:c>
      <x:c r="C3497" s="17" t="str">
        <x:v>University of Delaware</x:v>
      </x:c>
      <x:c r="D3497" s="17" t="str">
        <x:v>us:ipeds:130943:program:phd:computer-science-phd</x:v>
      </x:c>
      <x:c r="E3497" s="17" t="str"/>
      <x:c r="F3497" s="17" t="str">
        <x:v>current faculty roster|candidate longlist</x:v>
      </x:c>
      <x:c r="G3497" s="17" t="str">
        <x:v>Current official department roster or research-area faculty listing used to identify the five-person Stage 4 candidate longlist.</x:v>
      </x:c>
      <x:c r="H3497" s="17" t="str">
        <x:v>University of Delaware current faculty roster</x:v>
      </x:c>
      <x:c r="I3497" s="17" t="str">
        <x:v>University of Delaware</x:v>
      </x:c>
      <x:c r="J3497" s="17" t="str">
        <x:v>official</x:v>
      </x:c>
      <x:c r="K3497" s="17" t="str">
        <x:v>2026-09-11</x:v>
      </x:c>
      <x:c r="L3497" s="17" t="str"/>
      <x:c r="M3497" s="17" t="str">
        <x:v>high</x:v>
      </x:c>
      <x:c r="N3497" s="17" t="str">
        <x:v>verified</x:v>
      </x:c>
      <x:c r="O3497" s="17" t="str">
        <x:v>Roster evidence establishes a current listing, not program-specific supervision authority or recruiting.</x:v>
      </x:c>
      <x:c r="P3497" s="18" t="e">
        <x:f>HYPERLINK("https://www.cis.udel.edu/research/computing-foundations/","Open source")</x:f>
        <x:v>HYPERLINK is not implemented. linkLocation=https://www.cis.udel.edu/research/computing-foundations/, friendlyName=Open source</x:v>
      </x:c>
    </x:row>
    <x:row r="3498" ht="46" customHeight="1">
      <x:c r="A3498" s="17" t="str">
        <x:v>stage4src:e1cca691360dd134</x:v>
      </x:c>
      <x:c r="B3498" s="17" t="str">
        <x:v>professor</x:v>
      </x:c>
      <x:c r="C3498" s="17" t="str">
        <x:v>Clemson University</x:v>
      </x:c>
      <x:c r="D3498" s="17" t="str">
        <x:v>us:ipeds:217882:program:phd:computer-science-phd</x:v>
      </x:c>
      <x:c r="E3498" s="17" t="str">
        <x:v>us:ipeds:217882:faculty:paige-rodeghero</x:v>
      </x:c>
      <x:c r="F3498" s="17" t="str">
        <x:v>Computer Science PhD supervision authority|recent work|research fit</x:v>
      </x:c>
      <x:c r="G3498" s="17" t="str">
        <x:v>The 2025 School of Computing dissertation identifies Rodeghero as committee chair/advisor for software-development research.</x:v>
      </x:c>
      <x:c r="H3498" s="17" t="str">
        <x:v>Exploring the Pedagogical Impact of Software Development Live Streams</x:v>
      </x:c>
      <x:c r="I3498" s="17" t="str">
        <x:v>Clemson University</x:v>
      </x:c>
      <x:c r="J3498" s="17" t="str">
        <x:v>official</x:v>
      </x:c>
      <x:c r="K3498" s="17" t="str">
        <x:v>2026-09-11</x:v>
      </x:c>
      <x:c r="L3498" s="17" t="str">
        <x:v>2025</x:v>
      </x:c>
      <x:c r="M3498" s="17" t="str">
        <x:v>high</x:v>
      </x:c>
      <x:c r="N3498" s="17" t="str">
        <x:v>verified</x:v>
      </x:c>
      <x:c r="O3498" s="17" t="str">
        <x:v>Official doctoral record checked 2026-09-10.</x:v>
      </x:c>
      <x:c r="P3498" s="18" t="e">
        <x:f>HYPERLINK("https://open.clemson.edu/all_dissertations/3901/","Open source")</x:f>
        <x:v>HYPERLINK is not implemented. linkLocation=https://open.clemson.edu/all_dissertations/3901/, friendlyName=Open source</x:v>
      </x:c>
    </x:row>
    <x:row r="3499" ht="46" customHeight="1">
      <x:c r="A3499" s="17" t="str">
        <x:v>stage4src:e1d60470b57b5905</x:v>
      </x:c>
      <x:c r="B3499" s="17" t="str">
        <x:v>professor</x:v>
      </x:c>
      <x:c r="C3499" s="17" t="str">
        <x:v>University of Gothenburg</x:v>
      </x:c>
      <x:c r="D3499" s="17" t="str">
        <x:v>ror:01tm6cn81:program:thesis-or-research-master-s:software-engineering-and-management-master-s-programme</x:v>
      </x:c>
      <x:c r="E3499" s="17" t="str">
        <x:v>ror:01tm6cn81:faculty:miroslaw-staron</x:v>
      </x:c>
      <x:c r="F3499" s="17" t="str">
        <x:v>exact-program thesis supervision authority</x:v>
      </x:c>
      <x:c r="G3499" s="17" t="str">
        <x:v>The institutional thesis record documents Staron supervising a Software Engineering and Management master's thesis.</x:v>
      </x:c>
      <x:c r="H3499" s="17" t="str">
        <x:v>Master's thesis supervised by Miroslaw Staron</x:v>
      </x:c>
      <x:c r="I3499" s="17" t="str">
        <x:v>University of Gothenburg</x:v>
      </x:c>
      <x:c r="J3499" s="17" t="str">
        <x:v>official</x:v>
      </x:c>
      <x:c r="K3499" s="17" t="str">
        <x:v>2026-09-11</x:v>
      </x:c>
      <x:c r="L3499" s="17" t="str">
        <x:v>2008</x:v>
      </x:c>
      <x:c r="M3499" s="17" t="str">
        <x:v>high</x:v>
      </x:c>
      <x:c r="N3499" s="17" t="str">
        <x:v>verified</x:v>
      </x:c>
      <x:c r="O3499" s="17" t="str">
        <x:v>Institutional repository record checked 2026-09-10; used only for authority, not current research or recruiting.</x:v>
      </x:c>
      <x:c r="P3499" s="18" t="e">
        <x:f>HYPERLINK("https://gupea.ub.gu.se/server/api/core/bitstreams/4c562f79-65b9-49da-b138-18520865d581/content","Open source")</x:f>
        <x:v>HYPERLINK is not implemented. linkLocation=https://gupea.ub.gu.se/server/api/core/bitstreams/4c562f79-65b9-49da-b138-18520865d581/content, friendlyName=Open source</x:v>
      </x:c>
    </x:row>
    <x:row r="3500" ht="46" customHeight="1">
      <x:c r="A3500" s="17" t="str">
        <x:v>stage4src:e20faa58e1d61aea</x:v>
      </x:c>
      <x:c r="B3500" s="17" t="str">
        <x:v>professor</x:v>
      </x:c>
      <x:c r="C3500" s="17" t="str">
        <x:v>Virginia Polytechnic Institute and State University</x:v>
      </x:c>
      <x:c r="D3500" s="17" t="str">
        <x:v>us:ipeds:233921:program:phd:computer-science-phd</x:v>
      </x:c>
      <x:c r="E3500" s="17" t="str"/>
      <x:c r="F3500" s="17" t="str">
        <x:v>current faculty roster|candidate longlist</x:v>
      </x:c>
      <x:c r="G3500" s="17" t="str">
        <x:v>Current official department roster or research-area faculty listing used to identify the five-person Stage 4 candidate longlist.</x:v>
      </x:c>
      <x:c r="H3500" s="17" t="str">
        <x:v>Virginia Polytechnic Institute and State University current faculty roster</x:v>
      </x:c>
      <x:c r="I3500" s="17" t="str">
        <x:v>Virginia Polytechnic Institute and State University</x:v>
      </x:c>
      <x:c r="J3500" s="17" t="str">
        <x:v>official</x:v>
      </x:c>
      <x:c r="K3500" s="17" t="str">
        <x:v>2026-09-11</x:v>
      </x:c>
      <x:c r="L3500" s="17" t="str"/>
      <x:c r="M3500" s="17" t="str">
        <x:v>high</x:v>
      </x:c>
      <x:c r="N3500" s="17" t="str">
        <x:v>verified</x:v>
      </x:c>
      <x:c r="O3500" s="17" t="str">
        <x:v>Roster evidence establishes a current listing, not program-specific supervision authority or recruiting.</x:v>
      </x:c>
      <x:c r="P3500" s="18" t="e">
        <x:f>HYPERLINK("https://cs.vt.edu/people/faculty.html","Open source")</x:f>
        <x:v>HYPERLINK is not implemented. linkLocation=https://cs.vt.edu/people/faculty.html, friendlyName=Open source</x:v>
      </x:c>
    </x:row>
    <x:row r="3501" ht="46" customHeight="1">
      <x:c r="A3501" s="17" t="str">
        <x:v>stage4src:e27a876a90333ce2</x:v>
      </x:c>
      <x:c r="B3501" s="17" t="str">
        <x:v>professor</x:v>
      </x:c>
      <x:c r="C3501" s="17" t="str">
        <x:v>University of Nevada-Reno</x:v>
      </x:c>
      <x:c r="D3501" s="17" t="str">
        <x:v>us:ipeds:182290:program:phd:ph-d-in-computer-science-and-engineering</x:v>
      </x:c>
      <x:c r="E3501" s="17" t="str">
        <x:v>us:ipeds:182290:faculty:sergiu-dascalu</x:v>
      </x:c>
      <x:c r="F3501" s="17" t="str">
        <x:v>recent project|scientific software|edge data systems|strong fit</x:v>
      </x:c>
      <x:c r="G3501" s="17" t="str">
        <x:v>The current project page records active 2025-2028 scientific software/data work and the 2022-2026 edge-to-edge climate services platform.</x:v>
      </x:c>
      <x:c r="H3501" s="17" t="str">
        <x:v>Sergiu Dascalu Recent Projects</x:v>
      </x:c>
      <x:c r="I3501" s="17" t="str">
        <x:v>University of Nevada-Reno</x:v>
      </x:c>
      <x:c r="J3501" s="17" t="str">
        <x:v>official</x:v>
      </x:c>
      <x:c r="K3501" s="17" t="str">
        <x:v>2026-09-11</x:v>
      </x:c>
      <x:c r="L3501" s="17" t="str">
        <x:v>2025</x:v>
      </x:c>
      <x:c r="M3501" s="17" t="str">
        <x:v>high</x:v>
      </x:c>
      <x:c r="N3501" s="17" t="str">
        <x:v>verified</x:v>
      </x:c>
      <x:c r="O3501" s="17" t="str">
        <x:v>University-hosted page checked 2026-09-11.</x:v>
      </x:c>
      <x:c r="P3501" s="18" t="e">
        <x:f>HYPERLINK("https://www.cse.unr.edu/~dascalus/wps.html","Open source")</x:f>
        <x:v>HYPERLINK is not implemented. linkLocation=https://www.cse.unr.edu/~dascalus/wps.html, friendlyName=Open source</x:v>
      </x:c>
    </x:row>
    <x:row r="3502" ht="46" customHeight="1">
      <x:c r="A3502" s="17" t="str">
        <x:v>stage4src:e2a97a680ad13bc3</x:v>
      </x:c>
      <x:c r="B3502" s="17" t="str">
        <x:v>professor</x:v>
      </x:c>
      <x:c r="C3502" s="17" t="str">
        <x:v>Oregon State University</x:v>
      </x:c>
      <x:c r="D3502" s="17" t="str">
        <x:v>us:ipeds:209542:program:phd:computer-science-phd</x:v>
      </x:c>
      <x:c r="E3502" s="17" t="str">
        <x:v>us:ipeds:209542:faculty:manish-motwani</x:v>
      </x:c>
      <x:c r="F3502" s="17" t="str">
        <x:v>current appointment|program supervision authority|research themes</x:v>
      </x:c>
      <x:c r="G3502" s="17" t="str">
        <x:v>Current appointment, email, and research themes</x:v>
      </x:c>
      <x:c r="H3502" s="17" t="str">
        <x:v>Manish Motwani</x:v>
      </x:c>
      <x:c r="I3502" s="17" t="str">
        <x:v>Oregon State University</x:v>
      </x:c>
      <x:c r="J3502" s="17" t="str">
        <x:v>official</x:v>
      </x:c>
      <x:c r="K3502" s="17" t="str">
        <x:v>2026-09-11</x:v>
      </x:c>
      <x:c r="L3502" s="17" t="str"/>
      <x:c r="M3502" s="17" t="str">
        <x:v>high</x:v>
      </x:c>
      <x:c r="N3502" s="17" t="str">
        <x:v>verified</x:v>
      </x:c>
      <x:c r="O3502" s="17" t="str"/>
      <x:c r="P3502" s="18" t="e">
        <x:f>HYPERLINK("https://engineering.oregonstate.edu/people/manish-motwani","Open source")</x:f>
        <x:v>HYPERLINK is not implemented. linkLocation=https://engineering.oregonstate.edu/people/manish-motwani, friendlyName=Open source</x:v>
      </x:c>
    </x:row>
    <x:row r="3503" ht="46" customHeight="1">
      <x:c r="A3503" s="17" t="str">
        <x:v>stage4src:e2f10f18b96fcbdb</x:v>
      </x:c>
      <x:c r="B3503" s="17" t="str">
        <x:v>professor</x:v>
      </x:c>
      <x:c r="C3503" s="17" t="str">
        <x:v>The University of Texas at El Paso</x:v>
      </x:c>
      <x:c r="D3503" s="17" t="str">
        <x:v>us:ipeds:228796:program:phd:doctor-of-philosophy-in-computer-science</x:v>
      </x:c>
      <x:c r="E3503" s="17" t="str">
        <x:v>us:ipeds:228796:faculty:yoonsik-cheon</x:v>
      </x:c>
      <x:c r="F3503" s="17" t="str">
        <x:v>current appointment|research themes|research fit</x:v>
      </x:c>
      <x:c r="G3503" s="17" t="str">
        <x:v>The current university-hosted page describes Cheon's formal-methods, programming-languages, software-engineering, and mobile-app research.</x:v>
      </x:c>
      <x:c r="H3503" s="17" t="str">
        <x:v>Yoonsik Cheon</x:v>
      </x:c>
      <x:c r="I3503" s="17" t="str">
        <x:v>The University of Texas at El Paso</x:v>
      </x:c>
      <x:c r="J3503" s="17" t="str">
        <x:v>official</x:v>
      </x:c>
      <x:c r="K3503" s="17" t="str">
        <x:v>2026-09-11</x:v>
      </x:c>
      <x:c r="L3503" s="17" t="str">
        <x:v>2026</x:v>
      </x:c>
      <x:c r="M3503" s="17" t="str">
        <x:v>high</x:v>
      </x:c>
      <x:c r="N3503" s="17" t="str">
        <x:v>verified</x:v>
      </x:c>
      <x:c r="O3503" s="17" t="str">
        <x:v>Page updated 2026-01-20 and checked 2026-09-11.</x:v>
      </x:c>
      <x:c r="P3503" s="18" t="e">
        <x:f>HYPERLINK("https://www.cs.utep.edu/cheon/","Open source")</x:f>
        <x:v>HYPERLINK is not implemented. linkLocation=https://www.cs.utep.edu/cheon/, friendlyName=Open source</x:v>
      </x:c>
    </x:row>
    <x:row r="3504" ht="46" customHeight="1">
      <x:c r="A3504" s="17" t="str">
        <x:v>stage4src:e2fdf6e13838df44</x:v>
      </x:c>
      <x:c r="B3504" s="17" t="str">
        <x:v>professor</x:v>
      </x:c>
      <x:c r="C3504" s="17" t="str">
        <x:v>Concordia University</x:v>
      </x:c>
      <x:c r="D3504" s="17" t="str">
        <x:v>ca:dli:O19359011007:program:thesis-or-research-master-s:cybersecurity-engineering-masc</x:v>
      </x:c>
      <x:c r="E3504" s="17" t="str">
        <x:v>ca:dli:O19359011007:faculty:mourad-debbabi</x:v>
      </x:c>
      <x:c r="F3504" s="17" t="str">
        <x:v>program context|degree rename linkage|supervision authority</x:v>
      </x:c>
      <x:c r="G3504" s="17" t="str">
        <x:v>The current program page establishes the thesis-based Cybersecurity Engineering MASc in CISE.</x:v>
      </x:c>
      <x:c r="H3504" s="17" t="str">
        <x:v>Cybersecurity Engineering MASc</x:v>
      </x:c>
      <x:c r="I3504" s="17" t="str">
        <x:v>Concordia University</x:v>
      </x:c>
      <x:c r="J3504" s="17" t="str">
        <x:v>official</x:v>
      </x:c>
      <x:c r="K3504" s="17" t="str">
        <x:v>2026-09-11</x:v>
      </x:c>
      <x:c r="L3504" s="17" t="str">
        <x:v>2026</x:v>
      </x:c>
      <x:c r="M3504" s="17" t="str">
        <x:v>high</x:v>
      </x:c>
      <x:c r="N3504" s="17" t="str">
        <x:v>verified</x:v>
      </x:c>
      <x:c r="O3504" s="17" t="str">
        <x:v>Live official page checked 2026-09-11.</x:v>
      </x:c>
      <x:c r="P3504" s="18" t="e">
        <x:f>HYPERLINK("https://www.concordia.ca/academics/graduate/cybersecurity-engineering-masc.html","Open source")</x:f>
        <x:v>HYPERLINK is not implemented. linkLocation=https://www.concordia.ca/academics/graduate/cybersecurity-engineering-masc.html, friendlyName=Open source</x:v>
      </x:c>
    </x:row>
    <x:row r="3505" ht="46" customHeight="1">
      <x:c r="A3505" s="17" t="str">
        <x:v>stage4src:e339111319aca68c</x:v>
      </x:c>
      <x:c r="B3505" s="17" t="str">
        <x:v>professor</x:v>
      </x:c>
      <x:c r="C3505" s="17" t="str">
        <x:v>Rice University</x:v>
      </x:c>
      <x:c r="D3505" s="17" t="str">
        <x:v>us:ipeds:227757:program:phd:ph-d-in-computer-science</x:v>
      </x:c>
      <x:c r="E3505" s="17" t="str">
        <x:v>us:ipeds:227757:faculty:jiarong-xing</x:v>
      </x:c>
      <x:c r="F3505" s="17" t="str">
        <x:v>current appointment|PhD supervision|recent work|historic recruiting</x:v>
      </x:c>
      <x:c r="G3505" s="17" t="str">
        <x:v>Rice reported Xing's appointment, 2023 distinguished paper, work with two Rice PhD students, and a September 2025 student invitation.</x:v>
      </x:c>
      <x:c r="H3505" s="17" t="str">
        <x:v>Jiarong Xing returns to Rice as Computer Science faculty member</x:v>
      </x:c>
      <x:c r="I3505" s="17" t="str">
        <x:v>Rice University</x:v>
      </x:c>
      <x:c r="J3505" s="17" t="str">
        <x:v>official</x:v>
      </x:c>
      <x:c r="K3505" s="17" t="str">
        <x:v>2026-09-11</x:v>
      </x:c>
      <x:c r="L3505" s="17" t="str">
        <x:v>2025</x:v>
      </x:c>
      <x:c r="M3505" s="17" t="str">
        <x:v>high</x:v>
      </x:c>
      <x:c r="N3505" s="17" t="str">
        <x:v>verified</x:v>
      </x:c>
      <x:c r="O3505" s="17" t="str">
        <x:v>Official Rice article checked 2026-09-10; its recruiting statement is not projected to Fall 2027.</x:v>
      </x:c>
      <x:c r="P3505" s="18" t="e">
        <x:f>HYPERLINK("https://compsci.rice.edu/news/jiarong-xing-returns-rice-computer-science-faculty-member","Open source")</x:f>
        <x:v>HYPERLINK is not implemented. linkLocation=https://compsci.rice.edu/news/jiarong-xing-returns-rice-computer-science-faculty-member, friendlyName=Open source</x:v>
      </x:c>
    </x:row>
    <x:row r="3506" ht="46" customHeight="1">
      <x:c r="A3506" s="17" t="str">
        <x:v>stage4src:e3a24327cde55d15</x:v>
      </x:c>
      <x:c r="B3506" s="17" t="str">
        <x:v>professor</x:v>
      </x:c>
      <x:c r="C3506" s="17" t="str">
        <x:v>Queen’s University</x:v>
      </x:c>
      <x:c r="D3506" s="17" t="str">
        <x:v>ca:dli:O19376023352:program:thesis-or-research-master-s:msc-in-computing-research-pattern</x:v>
      </x:c>
      <x:c r="E3506" s="17" t="str">
        <x:v>ca:dli:O19376023352:faculty:ahmed-e-hassan</x:v>
      </x:c>
      <x:c r="F3506" s="17" t="str">
        <x:v>recent work|research fit</x:v>
      </x:c>
      <x:c r="G3506" s="17" t="str">
        <x:v>Ahmed Hassan is current Professor/CRC; lab ledger lists 2025 work on model releases and GenAI product readiness.</x:v>
      </x:c>
      <x:c r="H3506" s="17" t="str">
        <x:v>Ahmed E. Hassan / MCIS publications</x:v>
      </x:c>
      <x:c r="I3506" s="17" t="str">
        <x:v>Queen’s University</x:v>
      </x:c>
      <x:c r="J3506" s="17" t="str">
        <x:v>official</x:v>
      </x:c>
      <x:c r="K3506" s="17" t="str">
        <x:v>2026-09-11</x:v>
      </x:c>
      <x:c r="L3506" s="17" t="str">
        <x:v>2025</x:v>
      </x:c>
      <x:c r="M3506" s="17" t="str">
        <x:v>high</x:v>
      </x:c>
      <x:c r="N3506" s="17" t="str">
        <x:v>verified</x:v>
      </x:c>
      <x:c r="O3506" s="17" t="str">
        <x:v>No search snippet used as final evidence; URL/page content reviewed.</x:v>
      </x:c>
      <x:c r="P3506" s="18" t="e">
        <x:f>HYPERLINK("https://mcis.cs.queensu.ca/publications","Open source")</x:f>
        <x:v>HYPERLINK is not implemented. linkLocation=https://mcis.cs.queensu.ca/publications, friendlyName=Open source</x:v>
      </x:c>
    </x:row>
    <x:row r="3507" ht="46" customHeight="1">
      <x:c r="A3507" s="17" t="str">
        <x:v>stage4src:e3a85ba544f0b3a0</x:v>
      </x:c>
      <x:c r="B3507" s="17" t="str">
        <x:v>professor</x:v>
      </x:c>
      <x:c r="C3507" s="17" t="str">
        <x:v>University of Wisconsin-Milwaukee</x:v>
      </x:c>
      <x:c r="D3507" s="17" t="str">
        <x:v>us:ipeds:240453:program:phd:computer-science-phd</x:v>
      </x:c>
      <x:c r="E3507" s="17" t="str">
        <x:v>us:ipeds:240453:faculty:tian-zhao</x:v>
      </x:c>
      <x:c r="F3507" s="17" t="str">
        <x:v>current appointment|department|email|research themes</x:v>
      </x:c>
      <x:c r="G3507" s="17" t="str">
        <x:v>UWM lists Zhao as a current Computer Science Associate Professor working in programming languages, semantics, DSLs, and ML systems.</x:v>
      </x:c>
      <x:c r="H3507" s="17" t="str">
        <x:v>Tian Zhao</x:v>
      </x:c>
      <x:c r="I3507" s="17" t="str">
        <x:v>University of Wisconsin-Milwaukee</x:v>
      </x:c>
      <x:c r="J3507" s="17" t="str">
        <x:v>official</x:v>
      </x:c>
      <x:c r="K3507" s="17" t="str">
        <x:v>2026-09-11</x:v>
      </x:c>
      <x:c r="L3507" s="17" t="str">
        <x:v>2026</x:v>
      </x:c>
      <x:c r="M3507" s="17" t="str">
        <x:v>high</x:v>
      </x:c>
      <x:c r="N3507" s="17" t="str">
        <x:v>verified</x:v>
      </x:c>
      <x:c r="O3507" s="17" t="str">
        <x:v>Live profile checked 2026-09-11.</x:v>
      </x:c>
      <x:c r="P3507" s="18" t="e">
        <x:f>HYPERLINK("https://uwm.edu/engineering/directory/zhao-tian/","Open source")</x:f>
        <x:v>HYPERLINK is not implemented. linkLocation=https://uwm.edu/engineering/directory/zhao-tian/, friendlyName=Open source</x:v>
      </x:c>
    </x:row>
    <x:row r="3508" ht="46" customHeight="1">
      <x:c r="A3508" s="17" t="str">
        <x:v>stage4src:e3bbf628612e90e6</x:v>
      </x:c>
      <x:c r="B3508" s="17" t="str">
        <x:v>professor</x:v>
      </x:c>
      <x:c r="C3508" s="17" t="str">
        <x:v>The University of Texas at San Antonio</x:v>
      </x:c>
      <x:c r="D3508" s="17" t="str">
        <x:v>us:ipeds:229027:program:phd:phd-in-computer-science</x:v>
      </x:c>
      <x:c r="E3508" s="17" t="str"/>
      <x:c r="F3508" s="17" t="str">
        <x:v>current faculty roster|candidate longlist</x:v>
      </x:c>
      <x:c r="G3508" s="17" t="str">
        <x:v>Current official department roster or research-area faculty listing used to identify the five-person Stage 4 candidate longlist.</x:v>
      </x:c>
      <x:c r="H3508" s="17" t="str">
        <x:v>The University of Texas at San Antonio current faculty roster</x:v>
      </x:c>
      <x:c r="I3508" s="17" t="str">
        <x:v>The University of Texas at San Antonio</x:v>
      </x:c>
      <x:c r="J3508" s="17" t="str">
        <x:v>official</x:v>
      </x:c>
      <x:c r="K3508" s="17" t="str">
        <x:v>2026-09-11</x:v>
      </x:c>
      <x:c r="L3508" s="17" t="str"/>
      <x:c r="M3508" s="17" t="str">
        <x:v>high</x:v>
      </x:c>
      <x:c r="N3508" s="17" t="str">
        <x:v>verified</x:v>
      </x:c>
      <x:c r="O3508" s="17" t="str">
        <x:v>Roster evidence establishes a current listing, not program-specific supervision authority or recruiting.</x:v>
      </x:c>
      <x:c r="P3508" s="18" t="e">
        <x:f>HYPERLINK("https://sciences.utsa.edu/computer-science/faculty/","Open source")</x:f>
        <x:v>HYPERLINK is not implemented. linkLocation=https://sciences.utsa.edu/computer-science/faculty/, friendlyName=Open source</x:v>
      </x:c>
    </x:row>
    <x:row r="3509" ht="46" customHeight="1">
      <x:c r="A3509" s="17" t="str">
        <x:v>stage4src:e3f8fe44081e7e4a</x:v>
      </x:c>
      <x:c r="B3509" s="17" t="str">
        <x:v>professor</x:v>
      </x:c>
      <x:c r="C3509" s="17" t="str">
        <x:v>University of Kansas</x:v>
      </x:c>
      <x:c r="D3509" s="17" t="str">
        <x:v>us:ipeds:155317:program:phd:doctor-of-philosophy-in-computer-science</x:v>
      </x:c>
      <x:c r="E3509" s="17" t="str">
        <x:v>us:ipeds:155317:faculty:perry-alexander</x:v>
      </x:c>
      <x:c r="F3509" s="17" t="str">
        <x:v>current appointment|research themes|email|recent direction</x:v>
      </x:c>
      <x:c r="G3509" s="17" t="str">
        <x:v>The current KU profile lists Alexander as a Distinguished Professor and institute director and documents active formal-methods, verification, synthesis, and trusted-computing research.</x:v>
      </x:c>
      <x:c r="H3509" s="17" t="str">
        <x:v>Perry Alexander</x:v>
      </x:c>
      <x:c r="I3509" s="17" t="str">
        <x:v>University of Kansas</x:v>
      </x:c>
      <x:c r="J3509" s="17" t="str">
        <x:v>official</x:v>
      </x:c>
      <x:c r="K3509" s="17" t="str">
        <x:v>2026-09-11</x:v>
      </x:c>
      <x:c r="L3509" s="17" t="str">
        <x:v>2026</x:v>
      </x:c>
      <x:c r="M3509" s="17" t="str">
        <x:v>high</x:v>
      </x:c>
      <x:c r="N3509" s="17" t="str">
        <x:v>verified</x:v>
      </x:c>
      <x:c r="O3509" s="17" t="str">
        <x:v>Current official profile checked 2026-09-10.</x:v>
      </x:c>
      <x:c r="P3509" s="18" t="e">
        <x:f>HYPERLINK("https://eecs.ku.edu/people/perry-alexander","Open source")</x:f>
        <x:v>HYPERLINK is not implemented. linkLocation=https://eecs.ku.edu/people/perry-alexander, friendlyName=Open source</x:v>
      </x:c>
    </x:row>
    <x:row r="3510" ht="46" customHeight="1">
      <x:c r="A3510" s="17" t="str">
        <x:v>stage4src:e3ff6341b0c41ed7</x:v>
      </x:c>
      <x:c r="B3510" s="17" t="str">
        <x:v>professor</x:v>
      </x:c>
      <x:c r="C3510" s="17" t="str">
        <x:v>Trinity College Dublin</x:v>
      </x:c>
      <x:c r="D3510" s="17" t="str">
        <x:v>ror:02tyrky19:program:phd:phd-in-computer-science-and-statistics</x:v>
      </x:c>
      <x:c r="E3510" s="17" t="str">
        <x:v>ror:02tyrky19:faculty:ivana-dusparic</x:v>
      </x:c>
      <x:c r="F3510" s="17" t="str">
        <x:v>discovery publication signal|recent work</x:v>
      </x:c>
      <x:c r="G3510" s="17" t="str">
        <x:v>Publication metadata was examined for shortlist triage only; publication-time affiliation does not establish current appointment, supervision authority, or recruiting.</x:v>
      </x:c>
      <x:c r="H3510" s="17" t="str">
        <x:v>OpenAlex publication signal for Ivana Dusparic</x:v>
      </x:c>
      <x:c r="I3510" s="17" t="str">
        <x:v>OpenAlex / cited venue</x:v>
      </x:c>
      <x:c r="J3510" s="17" t="str">
        <x:v>secondary</x:v>
      </x:c>
      <x:c r="K3510" s="17" t="str">
        <x:v>2026-09-11</x:v>
      </x:c>
      <x:c r="L3510" s="17" t="str"/>
      <x:c r="M3510" s="17" t="str">
        <x:v>medium</x:v>
      </x:c>
      <x:c r="N3510" s="17" t="str">
        <x:v>discovery_only</x:v>
      </x:c>
      <x:c r="O3510" s="17" t="str">
        <x:v>Not used to award a professor score or faculty-depth point.</x:v>
      </x:c>
      <x:c r="P3510" s="18" t="e">
        <x:f>HYPERLINK("https://openalex.org/A5059738292","Open source")</x:f>
        <x:v>HYPERLINK is not implemented. linkLocation=https://openalex.org/A5059738292, friendlyName=Open source</x:v>
      </x:c>
    </x:row>
    <x:row r="3511" ht="46" customHeight="1">
      <x:c r="A3511" s="17" t="str">
        <x:v>stage4src:e4d876f4746c28e8</x:v>
      </x:c>
      <x:c r="B3511" s="17" t="str">
        <x:v>professor</x:v>
      </x:c>
      <x:c r="C3511" s="17" t="str">
        <x:v>University of Victoria</x:v>
      </x:c>
      <x:c r="D3511" s="17" t="str">
        <x:v>ca:dli:O19280533442:program:thesis-or-research-master-s:master-of-applied-science-in-electrical-and-computer-engineering</x:v>
      </x:c>
      <x:c r="E3511" s="17" t="str">
        <x:v>ca:dli:O19280533442:faculty:issa-traor</x:v>
      </x:c>
      <x:c r="F3511" s="17" t="str">
        <x:v>exact program|supervision authority|prospective instructions|contact appropriateness</x:v>
      </x:c>
      <x:c r="G3511" s="17" t="str">
        <x:v>UVic's MASc page requires an agreeing faculty supervisor and explicitly lists Issa Traoré among potential supervisors.</x:v>
      </x:c>
      <x:c r="H3511" s="17" t="str">
        <x:v>Electrical and Computer Engineering MASc</x:v>
      </x:c>
      <x:c r="I3511" s="17" t="str">
        <x:v>University of Victoria</x:v>
      </x:c>
      <x:c r="J3511" s="17" t="str">
        <x:v>official</x:v>
      </x:c>
      <x:c r="K3511" s="17" t="str">
        <x:v>2026-09-11</x:v>
      </x:c>
      <x:c r="L3511" s="17" t="str">
        <x:v>2026</x:v>
      </x:c>
      <x:c r="M3511" s="17" t="str">
        <x:v>high</x:v>
      </x:c>
      <x:c r="N3511" s="17" t="str">
        <x:v>verified</x:v>
      </x:c>
      <x:c r="O3511" s="17" t="str">
        <x:v>Current official program page checked 2026-09-10.</x:v>
      </x:c>
      <x:c r="P3511" s="18" t="e">
        <x:f>HYPERLINK("https://www.uvic.ca/graduate/programs/graduate-programs/credential-pages/electrical-computer-engineering-cred/electrical-and-computer-engineering-masc.php","Open source")</x:f>
        <x:v>HYPERLINK is not implemented. linkLocation=https://www.uvic.ca/graduate/programs/graduate-programs/credential-pages/electrical-computer-engineering-cred/electrical-and-computer-engineering-masc.php, friendlyName=Open source</x:v>
      </x:c>
    </x:row>
    <x:row r="3512" ht="46" customHeight="1">
      <x:c r="A3512" s="17" t="str">
        <x:v>stage4src:e505dbbfe2bdebf9</x:v>
      </x:c>
      <x:c r="B3512" s="17" t="str">
        <x:v>professor</x:v>
      </x:c>
      <x:c r="C3512" s="17" t="str">
        <x:v>Pennsylvania State University-Main Campus</x:v>
      </x:c>
      <x:c r="D3512" s="17" t="str">
        <x:v>us:ipeds:214777:program:phd:computer-science-and-engineering-phd</x:v>
      </x:c>
      <x:c r="E3512" s="17" t="str">
        <x:v>us:ipeds:214777:faculty:gang-tan</x:v>
      </x:c>
      <x:c r="F3512" s="17" t="str">
        <x:v>current appointment|program supervision authority|research themes</x:v>
      </x:c>
      <x:c r="G3512" s="17" t="str">
        <x:v>Current appointment, email, themes, and 2024 work</x:v>
      </x:c>
      <x:c r="H3512" s="17" t="str">
        <x:v>Gang Tan</x:v>
      </x:c>
      <x:c r="I3512" s="17" t="str">
        <x:v>Pennsylvania State University-Main Campus</x:v>
      </x:c>
      <x:c r="J3512" s="17" t="str">
        <x:v>official</x:v>
      </x:c>
      <x:c r="K3512" s="17" t="str">
        <x:v>2026-09-11</x:v>
      </x:c>
      <x:c r="L3512" s="17" t="str">
        <x:v>2024</x:v>
      </x:c>
      <x:c r="M3512" s="17" t="str">
        <x:v>high</x:v>
      </x:c>
      <x:c r="N3512" s="17" t="str">
        <x:v>verified</x:v>
      </x:c>
      <x:c r="O3512" s="17" t="str"/>
      <x:c r="P3512" s="18" t="e">
        <x:f>HYPERLINK("https://www.eecs.psu.edu/departments/directory-detail-g.aspx?q=gxt29","Open source")</x:f>
        <x:v>HYPERLINK is not implemented. linkLocation=https://www.eecs.psu.edu/departments/directory-detail-g.aspx?q=gxt29, friendlyName=Open source</x:v>
      </x:c>
    </x:row>
    <x:row r="3513" ht="46" customHeight="1">
      <x:c r="A3513" s="17" t="str">
        <x:v>stage4src:e51975acb1dfc848</x:v>
      </x:c>
      <x:c r="B3513" s="17" t="str">
        <x:v>professor</x:v>
      </x:c>
      <x:c r="C3513" s="17" t="str">
        <x:v>University of Illinois Urbana-Champaign</x:v>
      </x:c>
      <x:c r="D3513" s="17" t="str">
        <x:v>us:ipeds:145637:program:phd:computer-science-phd</x:v>
      </x:c>
      <x:c r="E3513" s="17" t="str">
        <x:v>us:ipeds:145637:faculty:lingming-zhang</x:v>
      </x:c>
      <x:c r="F3513" s="17" t="str">
        <x:v>recent work|research fit</x:v>
      </x:c>
      <x:c r="G3513" s="17" t="str">
        <x:v>2025 LLM-based software-engineering agents paper</x:v>
      </x:c>
      <x:c r="H3513" s="17" t="str">
        <x:v>Demystifying LLM-Based Software Engineering Agents</x:v>
      </x:c>
      <x:c r="I3513" s="17" t="str">
        <x:v>University of Illinois Urbana-Champaign</x:v>
      </x:c>
      <x:c r="J3513" s="17" t="str">
        <x:v>official</x:v>
      </x:c>
      <x:c r="K3513" s="17" t="str">
        <x:v>2026-09-11</x:v>
      </x:c>
      <x:c r="L3513" s="17" t="str">
        <x:v>2025</x:v>
      </x:c>
      <x:c r="M3513" s="17" t="str">
        <x:v>high</x:v>
      </x:c>
      <x:c r="N3513" s="17" t="str">
        <x:v>verified</x:v>
      </x:c>
      <x:c r="O3513" s="17" t="str"/>
      <x:c r="P3513" s="18" t="e">
        <x:f>HYPERLINK("https://lingming.cs.illinois.edu/publications/fse2025.pdf","Open source")</x:f>
        <x:v>HYPERLINK is not implemented. linkLocation=https://lingming.cs.illinois.edu/publications/fse2025.pdf, friendlyName=Open source</x:v>
      </x:c>
    </x:row>
    <x:row r="3514" ht="46" customHeight="1">
      <x:c r="A3514" s="17" t="str">
        <x:v>stage4src:e5a3ae6328cc0f1b</x:v>
      </x:c>
      <x:c r="B3514" s="17" t="str">
        <x:v>professor</x:v>
      </x:c>
      <x:c r="C3514" s="17" t="str">
        <x:v>Virginia Commonwealth University</x:v>
      </x:c>
      <x:c r="D3514" s="17" t="str">
        <x:v>us:ipeds:234030:program:phd:doctor-of-philosophy-in-computer-science</x:v>
      </x:c>
      <x:c r="E3514" s="17" t="str">
        <x:v>us:ipeds:234030:faculty:kostadin-damevski</x:v>
      </x:c>
      <x:c r="F3514" s="17" t="str">
        <x:v>recent work|developer communication|research fit</x:v>
      </x:c>
      <x:c r="G3514" s="17" t="str">
        <x:v>The 2024 ICSE paper supports repository mining and developer-communication analysis overlap.</x:v>
      </x:c>
      <x:c r="H3514" s="17" t="str">
        <x:v>Shedding Light on Software Engineering-Specific Metaphors and Idioms</x:v>
      </x:c>
      <x:c r="I3514" s="17" t="str">
        <x:v>OpenAlex / cited venue</x:v>
      </x:c>
      <x:c r="J3514" s="17" t="str">
        <x:v>secondary</x:v>
      </x:c>
      <x:c r="K3514" s="17" t="str">
        <x:v>2026-09-11</x:v>
      </x:c>
      <x:c r="L3514" s="17" t="str">
        <x:v>2024</x:v>
      </x:c>
      <x:c r="M3514" s="17" t="str">
        <x:v>high</x:v>
      </x:c>
      <x:c r="N3514" s="17" t="str">
        <x:v>verified</x:v>
      </x:c>
      <x:c r="O3514" s="17" t="str">
        <x:v>DOI metadata checked 2026-09-10.</x:v>
      </x:c>
      <x:c r="P3514" s="18" t="e">
        <x:f>HYPERLINK("https://doi.org/10.1145/3597503.3639585","Open source")</x:f>
        <x:v>HYPERLINK is not implemented. linkLocation=https://doi.org/10.1145/3597503.3639585, friendlyName=Open source</x:v>
      </x:c>
    </x:row>
    <x:row r="3515" ht="46" customHeight="1">
      <x:c r="A3515" s="17" t="str">
        <x:v>stage4src:e5ce7323e5f9dcae</x:v>
      </x:c>
      <x:c r="B3515" s="17" t="str">
        <x:v>professor</x:v>
      </x:c>
      <x:c r="C3515" s="17" t="str">
        <x:v>George Washington University</x:v>
      </x:c>
      <x:c r="D3515" s="17" t="str">
        <x:v>us:ipeds:131469:program:phd:phd-in-computer-science</x:v>
      </x:c>
      <x:c r="E3515" s="17" t="str">
        <x:v>us:ipeds:131469:faculty:gabriel-parmer</x:v>
      </x:c>
      <x:c r="F3515" s="17" t="str">
        <x:v>current faculty roster|current rank|candidate longlist</x:v>
      </x:c>
      <x:c r="G3515" s="17" t="str">
        <x:v>The current directory lists Parmer as Professor and lists the four encoded alternatives.</x:v>
      </x:c>
      <x:c r="H3515" s="17" t="str">
        <x:v>Computer Science Faculty Directory</x:v>
      </x:c>
      <x:c r="I3515" s="17" t="str">
        <x:v>George Washington University</x:v>
      </x:c>
      <x:c r="J3515" s="17" t="str">
        <x:v>official</x:v>
      </x:c>
      <x:c r="K3515" s="17" t="str">
        <x:v>2026-09-11</x:v>
      </x:c>
      <x:c r="L3515" s="17" t="str">
        <x:v>2026</x:v>
      </x:c>
      <x:c r="M3515" s="17" t="str">
        <x:v>high</x:v>
      </x:c>
      <x:c r="N3515" s="17" t="str">
        <x:v>verified</x:v>
      </x:c>
      <x:c r="O3515" s="17" t="str">
        <x:v>Live official directory checked 2026-09-11.</x:v>
      </x:c>
      <x:c r="P3515" s="18" t="e">
        <x:f>HYPERLINK("https://cs.engineering.gwu.edu/faculty-directory","Open source")</x:f>
        <x:v>HYPERLINK is not implemented. linkLocation=https://cs.engineering.gwu.edu/faculty-directory, friendlyName=Open source</x:v>
      </x:c>
    </x:row>
    <x:row r="3516" ht="46" customHeight="1">
      <x:c r="A3516" s="17" t="str">
        <x:v>stage4src:e649457665ecef1a</x:v>
      </x:c>
      <x:c r="B3516" s="17" t="str">
        <x:v>professor</x:v>
      </x:c>
      <x:c r="C3516" s="17" t="str">
        <x:v>University of British Columbia</x:v>
      </x:c>
      <x:c r="D3516" s="17" t="str">
        <x:v>ca:dli:O19330231062:program:thesis-or-research-master-s:master-of-applied-science-in-electrical-and-computer-engineering</x:v>
      </x:c>
      <x:c r="E3516" s="17" t="str"/>
      <x:c r="F3516" s="17" t="str">
        <x:v>current faculty roster|candidate longlist</x:v>
      </x:c>
      <x:c r="G3516" s="17" t="str">
        <x:v>Current official department roster or research-area faculty listing used to identify the five-person Stage 4 candidate longlist.</x:v>
      </x:c>
      <x:c r="H3516" s="17" t="str">
        <x:v>University of British Columbia current faculty roster</x:v>
      </x:c>
      <x:c r="I3516" s="17" t="str">
        <x:v>University of British Columbia</x:v>
      </x:c>
      <x:c r="J3516" s="17" t="str">
        <x:v>official</x:v>
      </x:c>
      <x:c r="K3516" s="17" t="str">
        <x:v>2026-09-11</x:v>
      </x:c>
      <x:c r="L3516" s="17" t="str"/>
      <x:c r="M3516" s="17" t="str">
        <x:v>high</x:v>
      </x:c>
      <x:c r="N3516" s="17" t="str">
        <x:v>verified</x:v>
      </x:c>
      <x:c r="O3516" s="17" t="str">
        <x:v>Roster evidence establishes a current listing, not program-specific supervision authority or recruiting.</x:v>
      </x:c>
      <x:c r="P3516" s="18" t="e">
        <x:f>HYPERLINK("https://ece.ubc.ca/people/faculty/","Open source")</x:f>
        <x:v>HYPERLINK is not implemented. linkLocation=https://ece.ubc.ca/people/faculty/, friendlyName=Open source</x:v>
      </x:c>
    </x:row>
    <x:row r="3517" ht="46" customHeight="1">
      <x:c r="A3517" s="17" t="str">
        <x:v>stage4src:e669a8955ffb952e</x:v>
      </x:c>
      <x:c r="B3517" s="17" t="str">
        <x:v>professor</x:v>
      </x:c>
      <x:c r="C3517" s="17" t="str">
        <x:v>University of Michigan-Ann Arbor</x:v>
      </x:c>
      <x:c r="D3517" s="17" t="str">
        <x:v>us:ipeds:170976:program:phd:computer-science-and-engineering-phd</x:v>
      </x:c>
      <x:c r="E3517" s="17" t="str">
        <x:v>us:ipeds:170976:faculty:westley-weimer</x:v>
      </x:c>
      <x:c r="F3517" s="17" t="str">
        <x:v>recent work|research fit</x:v>
      </x:c>
      <x:c r="G3517" s="17" t="str">
        <x:v>2025 automated program repair work</x:v>
      </x:c>
      <x:c r="H3517" s="17" t="str">
        <x:v>Automated Program Repair: Emerging Trends</x:v>
      </x:c>
      <x:c r="I3517" s="17" t="str">
        <x:v>OpenAlex / cited venue</x:v>
      </x:c>
      <x:c r="J3517" s="17" t="str">
        <x:v>secondary</x:v>
      </x:c>
      <x:c r="K3517" s="17" t="str">
        <x:v>2026-09-11</x:v>
      </x:c>
      <x:c r="L3517" s="17" t="str">
        <x:v>2025</x:v>
      </x:c>
      <x:c r="M3517" s="17" t="str">
        <x:v>high</x:v>
      </x:c>
      <x:c r="N3517" s="17" t="str">
        <x:v>verified</x:v>
      </x:c>
      <x:c r="O3517" s="17" t="str"/>
      <x:c r="P3517" s="18" t="e">
        <x:f>HYPERLINK("https://doi.org/10.1145/3704997","Open source")</x:f>
        <x:v>HYPERLINK is not implemented. linkLocation=https://doi.org/10.1145/3704997, friendlyName=Open source</x:v>
      </x:c>
    </x:row>
    <x:row r="3518" ht="46" customHeight="1">
      <x:c r="A3518" s="17" t="str">
        <x:v>stage4src:e68581d9a551c930</x:v>
      </x:c>
      <x:c r="B3518" s="17" t="str">
        <x:v>professor</x:v>
      </x:c>
      <x:c r="C3518" s="17" t="str">
        <x:v>Johns Hopkins University</x:v>
      </x:c>
      <x:c r="D3518" s="17" t="str">
        <x:v>us:ipeds:162928:program:phd:phd-in-computer-science</x:v>
      </x:c>
      <x:c r="E3518" s="17" t="str"/>
      <x:c r="F3518" s="17" t="str">
        <x:v>current faculty roster|candidate longlist</x:v>
      </x:c>
      <x:c r="G3518" s="17" t="str">
        <x:v>Current official department roster or research-area faculty listing used to identify the five-person Stage 4 candidate longlist.</x:v>
      </x:c>
      <x:c r="H3518" s="17" t="str">
        <x:v>Johns Hopkins University current faculty roster</x:v>
      </x:c>
      <x:c r="I3518" s="17" t="str">
        <x:v>Johns Hopkins University</x:v>
      </x:c>
      <x:c r="J3518" s="17" t="str">
        <x:v>official</x:v>
      </x:c>
      <x:c r="K3518" s="17" t="str">
        <x:v>2026-09-11</x:v>
      </x:c>
      <x:c r="L3518" s="17" t="str"/>
      <x:c r="M3518" s="17" t="str">
        <x:v>high</x:v>
      </x:c>
      <x:c r="N3518" s="17" t="str">
        <x:v>verified</x:v>
      </x:c>
      <x:c r="O3518" s="17" t="str">
        <x:v>Roster evidence establishes a current listing, not program-specific supervision authority or recruiting.</x:v>
      </x:c>
      <x:c r="P3518" s="18" t="e">
        <x:f>HYPERLINK("https://www.cs.jhu.edu/faculty/","Open source")</x:f>
        <x:v>HYPERLINK is not implemented. linkLocation=https://www.cs.jhu.edu/faculty/, friendlyName=Open source</x:v>
      </x:c>
    </x:row>
    <x:row r="3519" ht="46" customHeight="1">
      <x:c r="A3519" s="17" t="str">
        <x:v>stage4src:e758190b80f7902f</x:v>
      </x:c>
      <x:c r="B3519" s="17" t="str">
        <x:v>professor</x:v>
      </x:c>
      <x:c r="C3519" s="17" t="str">
        <x:v>University of Connecticut</x:v>
      </x:c>
      <x:c r="D3519" s="17" t="str">
        <x:v>us:ipeds:129020:program:phd:computer-science-and-engineering-phd</x:v>
      </x:c>
      <x:c r="E3519" s="17" t="str">
        <x:v>us:ipeds:129020:faculty:amir-herzberg</x:v>
      </x:c>
      <x:c r="F3519" s="17" t="str">
        <x:v>current appointment|candidate longlist</x:v>
      </x:c>
      <x:c r="G3519" s="17" t="str">
        <x:v>The current School of Computing roster lists Herzberg and the four bounded alternatives.</x:v>
      </x:c>
      <x:c r="H3519" s="17" t="str">
        <x:v>School of Computing Faculty</x:v>
      </x:c>
      <x:c r="I3519" s="17" t="str">
        <x:v>University of Connecticut</x:v>
      </x:c>
      <x:c r="J3519" s="17" t="str">
        <x:v>official</x:v>
      </x:c>
      <x:c r="K3519" s="17" t="str">
        <x:v>2026-09-11</x:v>
      </x:c>
      <x:c r="L3519" s="17" t="str">
        <x:v>2026</x:v>
      </x:c>
      <x:c r="M3519" s="17" t="str">
        <x:v>high</x:v>
      </x:c>
      <x:c r="N3519" s="17" t="str">
        <x:v>verified</x:v>
      </x:c>
      <x:c r="O3519" s="17" t="str">
        <x:v>Live roster checked 2026-09-11.</x:v>
      </x:c>
      <x:c r="P3519" s="18" t="e">
        <x:f>HYPERLINK("https://computing.engineering.uconn.edu/people/faculty/","Open source")</x:f>
        <x:v>HYPERLINK is not implemented. linkLocation=https://computing.engineering.uconn.edu/people/faculty/, friendlyName=Open source</x:v>
      </x:c>
    </x:row>
    <x:row r="3520" ht="46" customHeight="1">
      <x:c r="A3520" s="17" t="str">
        <x:v>stage4src:e76c7d7d7585745b</x:v>
      </x:c>
      <x:c r="B3520" s="17" t="str">
        <x:v>professor</x:v>
      </x:c>
      <x:c r="C3520" s="17" t="str">
        <x:v>University of Rhode Island</x:v>
      </x:c>
      <x:c r="D3520" s="17" t="str">
        <x:v>us:ipeds:217484:program:phd:computer-science-ph-d</x:v>
      </x:c>
      <x:c r="E3520" s="17" t="str">
        <x:v>us:ipeds:217484:faculty:kaleel-mahmood</x:v>
      </x:c>
      <x:c r="F3520" s="17" t="str">
        <x:v>current faculty|current alternatives</x:v>
      </x:c>
      <x:c r="G3520" s="17" t="str">
        <x:v>The department's current people page supports the bounded five-person roster review.</x:v>
      </x:c>
      <x:c r="H3520" s="17" t="str">
        <x:v>Computer Science and Statistics People</x:v>
      </x:c>
      <x:c r="I3520" s="17" t="str">
        <x:v>University of Rhode Island</x:v>
      </x:c>
      <x:c r="J3520" s="17" t="str">
        <x:v>official</x:v>
      </x:c>
      <x:c r="K3520" s="17" t="str">
        <x:v>2026-09-11</x:v>
      </x:c>
      <x:c r="L3520" s="17" t="str">
        <x:v>2026</x:v>
      </x:c>
      <x:c r="M3520" s="17" t="str">
        <x:v>high</x:v>
      </x:c>
      <x:c r="N3520" s="17" t="str">
        <x:v>verified</x:v>
      </x:c>
      <x:c r="O3520" s="17" t="str">
        <x:v>Live official roster checked 2026-09-11.</x:v>
      </x:c>
      <x:c r="P3520" s="18" t="e">
        <x:f>HYPERLINK("https://web.uri.edu/cs/people/","Open source")</x:f>
        <x:v>HYPERLINK is not implemented. linkLocation=https://web.uri.edu/cs/people/, friendlyName=Open source</x:v>
      </x:c>
    </x:row>
    <x:row r="3521" ht="46" customHeight="1">
      <x:c r="A3521" s="17" t="str">
        <x:v>stage4src:e77d2ca75ae41a56</x:v>
      </x:c>
      <x:c r="B3521" s="17" t="str">
        <x:v>professor</x:v>
      </x:c>
      <x:c r="C3521" s="17" t="str">
        <x:v>University of California-Davis</x:v>
      </x:c>
      <x:c r="D3521" s="17" t="str">
        <x:v>us:ipeds:110644:program:phd:computer-science-phd</x:v>
      </x:c>
      <x:c r="E3521" s="17" t="str"/>
      <x:c r="F3521" s="17" t="str">
        <x:v>current faculty roster|candidate longlist</x:v>
      </x:c>
      <x:c r="G3521" s="17" t="str">
        <x:v>Current official department roster or research-area faculty listing used to identify the five-person Stage 4 candidate longlist.</x:v>
      </x:c>
      <x:c r="H3521" s="17" t="str">
        <x:v>University of California-Davis current faculty roster</x:v>
      </x:c>
      <x:c r="I3521" s="17" t="str">
        <x:v>University of California-Davis</x:v>
      </x:c>
      <x:c r="J3521" s="17" t="str">
        <x:v>official</x:v>
      </x:c>
      <x:c r="K3521" s="17" t="str">
        <x:v>2026-09-11</x:v>
      </x:c>
      <x:c r="L3521" s="17" t="str"/>
      <x:c r="M3521" s="17" t="str">
        <x:v>high</x:v>
      </x:c>
      <x:c r="N3521" s="17" t="str">
        <x:v>verified</x:v>
      </x:c>
      <x:c r="O3521" s="17" t="str">
        <x:v>Roster evidence establishes a current listing, not program-specific supervision authority or recruiting.</x:v>
      </x:c>
      <x:c r="P3521" s="18" t="e">
        <x:f>HYPERLINK("https://cs.ucdavis.edu/person-type/faculty","Open source")</x:f>
        <x:v>HYPERLINK is not implemented. linkLocation=https://cs.ucdavis.edu/person-type/faculty, friendlyName=Open source</x:v>
      </x:c>
    </x:row>
    <x:row r="3522" ht="46" customHeight="1">
      <x:c r="A3522" s="17" t="str">
        <x:v>stage4src:e7e516ed2a15de73</x:v>
      </x:c>
      <x:c r="B3522" s="17" t="str">
        <x:v>professor</x:v>
      </x:c>
      <x:c r="C3522" s="17" t="str">
        <x:v>Kansas State University</x:v>
      </x:c>
      <x:c r="D3522" s="17" t="str">
        <x:v>us:ipeds:155399:program:phd:doctor-of-philosophy-in-computer-science</x:v>
      </x:c>
      <x:c r="E3522" s="17" t="str">
        <x:v>us:ipeds:155399:faculty:robby</x:v>
      </x:c>
      <x:c r="F3522" s="17" t="str">
        <x:v>current appointment|department|email|research themes|strong fit</x:v>
      </x:c>
      <x:c r="G3522" s="17" t="str">
        <x:v>K-State lists Robby as a current Professor working in formal methods, software engineering, programming languages, specification, and verification.</x:v>
      </x:c>
      <x:c r="H3522" s="17" t="str">
        <x:v>Professor Robby</x:v>
      </x:c>
      <x:c r="I3522" s="17" t="str">
        <x:v>Kansas State University</x:v>
      </x:c>
      <x:c r="J3522" s="17" t="str">
        <x:v>official</x:v>
      </x:c>
      <x:c r="K3522" s="17" t="str">
        <x:v>2026-09-11</x:v>
      </x:c>
      <x:c r="L3522" s="17" t="str">
        <x:v>2026</x:v>
      </x:c>
      <x:c r="M3522" s="17" t="str">
        <x:v>high</x:v>
      </x:c>
      <x:c r="N3522" s="17" t="str">
        <x:v>verified</x:v>
      </x:c>
      <x:c r="O3522" s="17" t="str">
        <x:v>Official profile updated 2026-04-24 and checked 2026-09-11.</x:v>
      </x:c>
      <x:c r="P3522" s="18" t="e">
        <x:f>HYPERLINK("https://www.cs.ksu.edu/about/people/faculty/robby/","Open source")</x:f>
        <x:v>HYPERLINK is not implemented. linkLocation=https://www.cs.ksu.edu/about/people/faculty/robby/, friendlyName=Open source</x:v>
      </x:c>
    </x:row>
    <x:row r="3523" ht="46" customHeight="1">
      <x:c r="A3523" s="17" t="str">
        <x:v>stage4src:e84858a29aaea8a8</x:v>
      </x:c>
      <x:c r="B3523" s="17" t="str">
        <x:v>professor</x:v>
      </x:c>
      <x:c r="C3523" s="17" t="str">
        <x:v>Ohio State University-Main Campus</x:v>
      </x:c>
      <x:c r="D3523" s="17" t="str">
        <x:v>us:ipeds:204796:program:phd:computer-science-and-engineering-phd</x:v>
      </x:c>
      <x:c r="E3523" s="17" t="str">
        <x:v>us:ipeds:204796:faculty:zhiqiang-lin</x:v>
      </x:c>
      <x:c r="F3523" s="17" t="str">
        <x:v>current appointment|program supervision authority|research themes|email|recent direction</x:v>
      </x:c>
      <x:c r="G3523" s="17" t="str">
        <x:v>The current Ohio State profile lists Zhiqiang Lin as a Distinguished Professor in CSE and documents software-security, program-analysis, and secure-AI coding research.</x:v>
      </x:c>
      <x:c r="H3523" s="17" t="str">
        <x:v>Zhiqiang Lin</x:v>
      </x:c>
      <x:c r="I3523" s="17" t="str">
        <x:v>Ohio State University-Main Campus</x:v>
      </x:c>
      <x:c r="J3523" s="17" t="str">
        <x:v>official</x:v>
      </x:c>
      <x:c r="K3523" s="17" t="str">
        <x:v>2026-09-11</x:v>
      </x:c>
      <x:c r="L3523" s="17" t="str">
        <x:v>2026</x:v>
      </x:c>
      <x:c r="M3523" s="17" t="str">
        <x:v>high</x:v>
      </x:c>
      <x:c r="N3523" s="17" t="str">
        <x:v>verified</x:v>
      </x:c>
      <x:c r="O3523" s="17" t="str">
        <x:v>Current official profile checked 2026-09-10.</x:v>
      </x:c>
      <x:c r="P3523" s="18" t="e">
        <x:f>HYPERLINK("https://engineering.osu.edu/people/lin.3021","Open source")</x:f>
        <x:v>HYPERLINK is not implemented. linkLocation=https://engineering.osu.edu/people/lin.3021, friendlyName=Open source</x:v>
      </x:c>
    </x:row>
    <x:row r="3524" ht="46" customHeight="1">
      <x:c r="A3524" s="17" t="str">
        <x:v>stage4src:e8872965f9652bf3</x:v>
      </x:c>
      <x:c r="B3524" s="17" t="str">
        <x:v>professor</x:v>
      </x:c>
      <x:c r="C3524" s="17" t="str">
        <x:v>Concordia University</x:v>
      </x:c>
      <x:c r="D3524" s="17" t="str">
        <x:v>ca:dli:O19359011007:program:thesis-or-research-master-s:software-engineering-masc</x:v>
      </x:c>
      <x:c r="E3524" s="17" t="str">
        <x:v>ca:dli:O19359011007:faculty:zhijie-wang</x:v>
      </x:c>
      <x:c r="F3524" s="17" t="str">
        <x:v>discovery publication signal|recent work</x:v>
      </x:c>
      <x:c r="G3524" s="17" t="str">
        <x:v>Publication metadata was examined for shortlist triage only; publication-time affiliation does not establish current appointment, supervision authority, or recruiting.</x:v>
      </x:c>
      <x:c r="H3524" s="17" t="str">
        <x:v>OpenAlex publication signal for Zhijie Wang</x:v>
      </x:c>
      <x:c r="I3524" s="17" t="str">
        <x:v>OpenAlex / cited venue</x:v>
      </x:c>
      <x:c r="J3524" s="17" t="str">
        <x:v>secondary</x:v>
      </x:c>
      <x:c r="K3524" s="17" t="str">
        <x:v>2026-09-11</x:v>
      </x:c>
      <x:c r="L3524" s="17" t="str"/>
      <x:c r="M3524" s="17" t="str">
        <x:v>medium</x:v>
      </x:c>
      <x:c r="N3524" s="17" t="str">
        <x:v>discovery_only</x:v>
      </x:c>
      <x:c r="O3524" s="17" t="str">
        <x:v>Not used to award a professor score or faculty-depth point.</x:v>
      </x:c>
      <x:c r="P3524" s="18" t="e">
        <x:f>HYPERLINK("https://openalex.org/A5100419338","Open source")</x:f>
        <x:v>HYPERLINK is not implemented. linkLocation=https://openalex.org/A5100419338, friendlyName=Open source</x:v>
      </x:c>
    </x:row>
    <x:row r="3525" ht="46" customHeight="1">
      <x:c r="A3525" s="17" t="str">
        <x:v>stage4src:e8f4319ec9df844d</x:v>
      </x:c>
      <x:c r="B3525" s="17" t="str">
        <x:v>professor</x:v>
      </x:c>
      <x:c r="C3525" s="17" t="str">
        <x:v>University of Iowa</x:v>
      </x:c>
      <x:c r="D3525" s="17" t="str">
        <x:v>us:ipeds:153658:program:phd:phd-in-computer-science</x:v>
      </x:c>
      <x:c r="E3525" s="17" t="str">
        <x:v>us:ipeds:153658:faculty:cesare-tinelli</x:v>
      </x:c>
      <x:c r="F3525" s="17" t="str">
        <x:v>current appointment|research themes|email|recent work</x:v>
      </x:c>
      <x:c r="G3525" s="17" t="str">
        <x:v>The current profile identifies Tinelli as Erich Funke Professor and records formal methods, software verification, automated reasoning, and a 2024 publication.</x:v>
      </x:c>
      <x:c r="H3525" s="17" t="str">
        <x:v>Cesare Tinelli</x:v>
      </x:c>
      <x:c r="I3525" s="17" t="str">
        <x:v>University of Iowa</x:v>
      </x:c>
      <x:c r="J3525" s="17" t="str">
        <x:v>official</x:v>
      </x:c>
      <x:c r="K3525" s="17" t="str">
        <x:v>2026-09-11</x:v>
      </x:c>
      <x:c r="L3525" s="17" t="str">
        <x:v>2024</x:v>
      </x:c>
      <x:c r="M3525" s="17" t="str">
        <x:v>high</x:v>
      </x:c>
      <x:c r="N3525" s="17" t="str">
        <x:v>verified</x:v>
      </x:c>
      <x:c r="O3525" s="17" t="str">
        <x:v>Current official profile checked 2026-09-10.</x:v>
      </x:c>
      <x:c r="P3525" s="18" t="e">
        <x:f>HYPERLINK("https://cs.uiowa.edu/people/cesare-tinelli","Open source")</x:f>
        <x:v>HYPERLINK is not implemented. linkLocation=https://cs.uiowa.edu/people/cesare-tinelli, friendlyName=Open source</x:v>
      </x:c>
    </x:row>
    <x:row r="3526" ht="46" customHeight="1">
      <x:c r="A3526" s="17" t="str">
        <x:v>stage4src:e902316fc58d2266</x:v>
      </x:c>
      <x:c r="B3526" s="17" t="str">
        <x:v>professor</x:v>
      </x:c>
      <x:c r="C3526" s="17" t="str">
        <x:v>Florida International University</x:v>
      </x:c>
      <x:c r="D3526" s="17" t="str">
        <x:v>us:ipeds:133951:program:phd:doctor-of-philosophy-in-computer-science</x:v>
      </x:c>
      <x:c r="E3526" s="17" t="str">
        <x:v>us:ipeds:133951:faculty:amin-kharraz</x:v>
      </x:c>
      <x:c r="F3526" s="17" t="str">
        <x:v>current appointment|research themes|email</x:v>
      </x:c>
      <x:c r="G3526" s="17" t="str">
        <x:v>The current profile identifies Kharraz as Assistant Professor and records web, browser, malicious-code, and AI-driven security research.</x:v>
      </x:c>
      <x:c r="H3526" s="17" t="str">
        <x:v>Amin Kharraz</x:v>
      </x:c>
      <x:c r="I3526" s="17" t="str">
        <x:v>Florida International University</x:v>
      </x:c>
      <x:c r="J3526" s="17" t="str">
        <x:v>official</x:v>
      </x:c>
      <x:c r="K3526" s="17" t="str">
        <x:v>2026-09-11</x:v>
      </x:c>
      <x:c r="L3526" s="17" t="str">
        <x:v>2026</x:v>
      </x:c>
      <x:c r="M3526" s="17" t="str">
        <x:v>high</x:v>
      </x:c>
      <x:c r="N3526" s="17" t="str">
        <x:v>verified</x:v>
      </x:c>
      <x:c r="O3526" s="17" t="str">
        <x:v>Current official profile checked 2026-09-10.</x:v>
      </x:c>
      <x:c r="P3526" s="18" t="e">
        <x:f>HYPERLINK("https://cec.fiu.edu/about/directory/profiles/amin-kharraz.html","Open source")</x:f>
        <x:v>HYPERLINK is not implemented. linkLocation=https://cec.fiu.edu/about/directory/profiles/amin-kharraz.html, friendlyName=Open source</x:v>
      </x:c>
    </x:row>
    <x:row r="3527" ht="46" customHeight="1">
      <x:c r="A3527" s="17" t="str">
        <x:v>stage4src:e905b6ca2198936c</x:v>
      </x:c>
      <x:c r="B3527" s="17" t="str">
        <x:v>professor</x:v>
      </x:c>
      <x:c r="C3527" s="17" t="str">
        <x:v>University of California-San Diego</x:v>
      </x:c>
      <x:c r="D3527" s="17" t="str">
        <x:v>us:ipeds:110680:program:phd:computer-science-and-engineering-phd</x:v>
      </x:c>
      <x:c r="E3527" s="17" t="str">
        <x:v>us:ipeds:110680:faculty:nadia-polikarpova</x:v>
      </x:c>
      <x:c r="F3527" s="17" t="str">
        <x:v>current appointment|research themes</x:v>
      </x:c>
      <x:c r="G3527" s="17" t="str">
        <x:v>Current UCSD CSE Associate Professor profile documents program synthesis, verification, AI-assisted programming, and graduate-education leadership.</x:v>
      </x:c>
      <x:c r="H3527" s="17" t="str">
        <x:v>Nadia Polikarpova</x:v>
      </x:c>
      <x:c r="I3527" s="17" t="str">
        <x:v>University of California-San Diego</x:v>
      </x:c>
      <x:c r="J3527" s="17" t="str">
        <x:v>official</x:v>
      </x:c>
      <x:c r="K3527" s="17" t="str">
        <x:v>2026-09-11</x:v>
      </x:c>
      <x:c r="L3527" s="17" t="str">
        <x:v>2026</x:v>
      </x:c>
      <x:c r="M3527" s="17" t="str">
        <x:v>high</x:v>
      </x:c>
      <x:c r="N3527" s="17" t="str">
        <x:v>verified</x:v>
      </x:c>
      <x:c r="O3527" s="17" t="str">
        <x:v>Official university-hosted profile checked 2026-09-10.</x:v>
      </x:c>
      <x:c r="P3527" s="18" t="e">
        <x:f>HYPERLINK("https://cseweb.ucsd.edu/~npolikarpova/","Open source")</x:f>
        <x:v>HYPERLINK is not implemented. linkLocation=https://cseweb.ucsd.edu/~npolikarpova/, friendlyName=Open source</x:v>
      </x:c>
    </x:row>
    <x:row r="3528" ht="46" customHeight="1">
      <x:c r="A3528" s="17" t="str">
        <x:v>stage4src:e926908f032da1c4</x:v>
      </x:c>
      <x:c r="B3528" s="17" t="str">
        <x:v>professor</x:v>
      </x:c>
      <x:c r="C3528" s="17" t="str">
        <x:v>University of Rhode Island</x:v>
      </x:c>
      <x:c r="D3528" s="17" t="str">
        <x:v>us:ipeds:217484:program:phd:computer-science-ph-d</x:v>
      </x:c>
      <x:c r="E3528" s="17" t="str">
        <x:v>us:ipeds:217484:faculty:kaleel-mahmood</x:v>
      </x:c>
      <x:c r="F3528" s="17" t="str">
        <x:v>program context|prospective instructions|research environment</x:v>
      </x:c>
      <x:c r="G3528" s="17" t="str">
        <x:v>URI states that the department offers MS and PhD programs in Computer Science and describes current AI, cybersecurity, and research activity.</x:v>
      </x:c>
      <x:c r="H3528" s="17" t="str">
        <x:v>Department of Computer Science and Statistics</x:v>
      </x:c>
      <x:c r="I3528" s="17" t="str">
        <x:v>University of Rhode Island</x:v>
      </x:c>
      <x:c r="J3528" s="17" t="str">
        <x:v>official</x:v>
      </x:c>
      <x:c r="K3528" s="17" t="str">
        <x:v>2026-09-11</x:v>
      </x:c>
      <x:c r="L3528" s="17" t="str">
        <x:v>2026</x:v>
      </x:c>
      <x:c r="M3528" s="17" t="str">
        <x:v>high</x:v>
      </x:c>
      <x:c r="N3528" s="17" t="str">
        <x:v>verified</x:v>
      </x:c>
      <x:c r="O3528" s="17" t="str">
        <x:v>Live official page checked 2026-09-11.</x:v>
      </x:c>
      <x:c r="P3528" s="18" t="e">
        <x:f>HYPERLINK("https://web.uri.edu/cs/","Open source")</x:f>
        <x:v>HYPERLINK is not implemented. linkLocation=https://web.uri.edu/cs/, friendlyName=Open source</x:v>
      </x:c>
    </x:row>
    <x:row r="3529" ht="46" customHeight="1">
      <x:c r="A3529" s="17" t="str">
        <x:v>stage4src:e9a8597f4999bf55</x:v>
      </x:c>
      <x:c r="B3529" s="17" t="str">
        <x:v>professor</x:v>
      </x:c>
      <x:c r="C3529" s="17" t="str">
        <x:v>University of British Columbia</x:v>
      </x:c>
      <x:c r="D3529" s="17" t="str">
        <x:v>ca:dli:O19330231062:program:integrated-or-structured-doctorate:phd-track-via-msc</x:v>
      </x:c>
      <x:c r="E3529" s="17" t="str">
        <x:v>ca:dli:O19330231062:faculty:reid-holmes</x:v>
      </x:c>
      <x:c r="F3529" s="17" t="str">
        <x:v>current appointment|program supervision authority|research themes</x:v>
      </x:c>
      <x:c r="G3529" s="17" t="str">
        <x:v>Reid Holmes is current Professor in software engineering/program analysis; official publications list 2024 work.</x:v>
      </x:c>
      <x:c r="H3529" s="17" t="str">
        <x:v>Reid Holmes</x:v>
      </x:c>
      <x:c r="I3529" s="17" t="str">
        <x:v>University of British Columbia</x:v>
      </x:c>
      <x:c r="J3529" s="17" t="str">
        <x:v>official</x:v>
      </x:c>
      <x:c r="K3529" s="17" t="str">
        <x:v>2026-09-11</x:v>
      </x:c>
      <x:c r="L3529" s="17" t="str"/>
      <x:c r="M3529" s="17" t="str">
        <x:v>high</x:v>
      </x:c>
      <x:c r="N3529" s="17" t="str">
        <x:v>verified</x:v>
      </x:c>
      <x:c r="O3529" s="17" t="str">
        <x:v>No search snippet used as final evidence; URL/page content reviewed.</x:v>
      </x:c>
      <x:c r="P3529" s="18" t="e">
        <x:f>HYPERLINK("https://www.cs.ubc.ca/people/reid-holmes","Open source")</x:f>
        <x:v>HYPERLINK is not implemented. linkLocation=https://www.cs.ubc.ca/people/reid-holmes, friendlyName=Open source</x:v>
      </x:c>
    </x:row>
    <x:row r="3530" ht="46" customHeight="1">
      <x:c r="A3530" s="17" t="str">
        <x:v>stage4src:e9d0d47f16df14a0</x:v>
      </x:c>
      <x:c r="B3530" s="17" t="str">
        <x:v>professor</x:v>
      </x:c>
      <x:c r="C3530" s="17" t="str">
        <x:v>University of Wyoming</x:v>
      </x:c>
      <x:c r="D3530" s="17" t="str">
        <x:v>us:ipeds:240727:program:phd:phd-in-computer-science</x:v>
      </x:c>
      <x:c r="E3530" s="17" t="str">
        <x:v>us:ipeds:240727:faculty:vinit-katariya</x:v>
      </x:c>
      <x:c r="F3530" s="17" t="str">
        <x:v>current appointment|department|email|research themes|recent work|strong fit</x:v>
      </x:c>
      <x:c r="G3530" s="17" t="str">
        <x:v>Wyoming lists Katariya as current EECS and CS faculty and records 2024 edge-AI, IoT, trajectory-data, and transformer work.</x:v>
      </x:c>
      <x:c r="H3530" s="17" t="str">
        <x:v>Vinit Katariya</x:v>
      </x:c>
      <x:c r="I3530" s="17" t="str">
        <x:v>University of Wyoming</x:v>
      </x:c>
      <x:c r="J3530" s="17" t="str">
        <x:v>official</x:v>
      </x:c>
      <x:c r="K3530" s="17" t="str">
        <x:v>2026-09-11</x:v>
      </x:c>
      <x:c r="L3530" s="17" t="str">
        <x:v>2024</x:v>
      </x:c>
      <x:c r="M3530" s="17" t="str">
        <x:v>high</x:v>
      </x:c>
      <x:c r="N3530" s="17" t="str">
        <x:v>verified</x:v>
      </x:c>
      <x:c r="O3530" s="17" t="str">
        <x:v>Live official profile checked 2026-09-11; activity is not recruiting evidence.</x:v>
      </x:c>
      <x:c r="P3530" s="18" t="e">
        <x:f>HYPERLINK("https://www.uwyo.edu/eecs/faculty-staff/faculty/vinit-katariya.html","Open source")</x:f>
        <x:v>HYPERLINK is not implemented. linkLocation=https://www.uwyo.edu/eecs/faculty-staff/faculty/vinit-katariya.html, friendlyName=Open source</x:v>
      </x:c>
    </x:row>
    <x:row r="3531" ht="46" customHeight="1">
      <x:c r="A3531" s="17" t="str">
        <x:v>stage4src:e9d1b44a0e60975c</x:v>
      </x:c>
      <x:c r="B3531" s="17" t="str">
        <x:v>professor</x:v>
      </x:c>
      <x:c r="C3531" s="17" t="str">
        <x:v>The University of Texas at Arlington</x:v>
      </x:c>
      <x:c r="D3531" s="17" t="str">
        <x:v>us:ipeds:228769:program:phd:doctoral-degree-in-computer-science-computer-engineering</x:v>
      </x:c>
      <x:c r="E3531" s="17" t="str"/>
      <x:c r="F3531" s="17" t="str">
        <x:v>current faculty roster|candidate longlist</x:v>
      </x:c>
      <x:c r="G3531" s="17" t="str">
        <x:v>Current official department roster or research-area faculty listing used to identify the five-person Stage 4 candidate longlist.</x:v>
      </x:c>
      <x:c r="H3531" s="17" t="str">
        <x:v>The University of Texas at Arlington current faculty roster</x:v>
      </x:c>
      <x:c r="I3531" s="17" t="str">
        <x:v>The University of Texas at Arlington</x:v>
      </x:c>
      <x:c r="J3531" s="17" t="str">
        <x:v>official</x:v>
      </x:c>
      <x:c r="K3531" s="17" t="str">
        <x:v>2026-09-11</x:v>
      </x:c>
      <x:c r="L3531" s="17" t="str"/>
      <x:c r="M3531" s="17" t="str">
        <x:v>high</x:v>
      </x:c>
      <x:c r="N3531" s="17" t="str">
        <x:v>verified</x:v>
      </x:c>
      <x:c r="O3531" s="17" t="str">
        <x:v>Roster evidence establishes a current listing, not program-specific supervision authority or recruiting.</x:v>
      </x:c>
      <x:c r="P3531" s="18" t="e">
        <x:f>HYPERLINK("https://www.uta.edu/academics/schools-colleges/engineering/academics/departments/cse/faculty-directory","Open source")</x:f>
        <x:v>HYPERLINK is not implemented. linkLocation=https://www.uta.edu/academics/schools-colleges/engineering/academics/departments/cse/faculty-directory, friendlyName=Open source</x:v>
      </x:c>
    </x:row>
    <x:row r="3532" ht="46" customHeight="1">
      <x:c r="A3532" s="17" t="str">
        <x:v>stage4src:ea50633f8058ec18</x:v>
      </x:c>
      <x:c r="B3532" s="17" t="str">
        <x:v>professor</x:v>
      </x:c>
      <x:c r="C3532" s="17" t="str">
        <x:v>University of Georgia</x:v>
      </x:c>
      <x:c r="D3532" s="17" t="str">
        <x:v>us:ipeds:139959:program:phd:doctor-of-philosophy-in-computer-science</x:v>
      </x:c>
      <x:c r="E3532" s="17" t="str">
        <x:v>us:ipeds:139959:faculty:le-guan</x:v>
      </x:c>
      <x:c r="F3532" s="17" t="str">
        <x:v>recent direction|MCU security|strong fit</x:v>
      </x:c>
      <x:c r="G3532" s="17" t="str">
        <x:v>The 2025 university symposium program identifies Guan presenting the current direction MCU Security.</x:v>
      </x:c>
      <x:c r="H3532" s="17" t="str">
        <x:v>Cyber-Physical Systems Innovation Symposium 2025</x:v>
      </x:c>
      <x:c r="I3532" s="17" t="str">
        <x:v>University of Georgia</x:v>
      </x:c>
      <x:c r="J3532" s="17" t="str">
        <x:v>official</x:v>
      </x:c>
      <x:c r="K3532" s="17" t="str">
        <x:v>2026-09-11</x:v>
      </x:c>
      <x:c r="L3532" s="17" t="str">
        <x:v>2025</x:v>
      </x:c>
      <x:c r="M3532" s="17" t="str">
        <x:v>high</x:v>
      </x:c>
      <x:c r="N3532" s="17" t="str">
        <x:v>verified</x:v>
      </x:c>
      <x:c r="O3532" s="17" t="str">
        <x:v>Official program checked 2026-09-11.</x:v>
      </x:c>
      <x:c r="P3532" s="18" t="e">
        <x:f>HYPERLINK("https://cps.uga.edu/index.php/cps2025/","Open source")</x:f>
        <x:v>HYPERLINK is not implemented. linkLocation=https://cps.uga.edu/index.php/cps2025/, friendlyName=Open source</x:v>
      </x:c>
    </x:row>
    <x:row r="3533" ht="46" customHeight="1">
      <x:c r="A3533" s="17" t="str">
        <x:v>stage4src:ea58599fa565d815</x:v>
      </x:c>
      <x:c r="B3533" s="17" t="str">
        <x:v>professor</x:v>
      </x:c>
      <x:c r="C3533" s="17" t="str">
        <x:v>Southern Methodist University</x:v>
      </x:c>
      <x:c r="D3533" s="17" t="str">
        <x:v>us:ipeds:228246:program:phd:ph-d-in-computer-science</x:v>
      </x:c>
      <x:c r="E3533" s="17" t="str">
        <x:v>us:ipeds:228246:faculty:jia-zhang</x:v>
      </x:c>
      <x:c r="F3533" s="17" t="str">
        <x:v>recruiting instructions|email|funded projects</x:v>
      </x:c>
      <x:c r="G3533" s="17" t="str">
        <x:v>Zhang states she is recruiting fully funded research assistants at PhD and MS levels and asks interested candidates to email.</x:v>
      </x:c>
      <x:c r="H3533" s="17" t="str">
        <x:v>Jia Zhang</x:v>
      </x:c>
      <x:c r="I3533" s="17" t="str">
        <x:v>Southern Methodist University</x:v>
      </x:c>
      <x:c r="J3533" s="17" t="str">
        <x:v>official</x:v>
      </x:c>
      <x:c r="K3533" s="17" t="str">
        <x:v>2026-09-11</x:v>
      </x:c>
      <x:c r="L3533" s="17" t="str">
        <x:v>2026</x:v>
      </x:c>
      <x:c r="M3533" s="17" t="str">
        <x:v>high</x:v>
      </x:c>
      <x:c r="N3533" s="17" t="str">
        <x:v>verified</x:v>
      </x:c>
      <x:c r="O3533" s="17" t="str">
        <x:v>University-hosted page checked 2026-09-11.</x:v>
      </x:c>
      <x:c r="P3533" s="18" t="e">
        <x:f>HYPERLINK("https://s2.smu.edu/~jiazhang/","Open source")</x:f>
        <x:v>HYPERLINK is not implemented. linkLocation=https://s2.smu.edu/~jiazhang/, friendlyName=Open source</x:v>
      </x:c>
    </x:row>
    <x:row r="3534" ht="46" customHeight="1">
      <x:c r="A3534" s="17" t="str">
        <x:v>stage4src:ea73118829490de1</x:v>
      </x:c>
      <x:c r="B3534" s="17" t="str">
        <x:v>professor</x:v>
      </x:c>
      <x:c r="C3534" s="17" t="str">
        <x:v>University of Wyoming</x:v>
      </x:c>
      <x:c r="D3534" s="17" t="str">
        <x:v>us:ipeds:240727:program:phd:phd-in-computer-science</x:v>
      </x:c>
      <x:c r="E3534" s="17" t="str">
        <x:v>us:ipeds:240727:faculty:vinit-katariya</x:v>
      </x:c>
      <x:c r="F3534" s="17" t="str">
        <x:v>program context|supervision authority|prospective-student instructions</x:v>
      </x:c>
      <x:c r="G3534" s="17" t="str">
        <x:v>The official page establishes the current research PhD within Katariya's department.</x:v>
      </x:c>
      <x:c r="H3534" s="17" t="str">
        <x:v>Computer Science MS and PhD</x:v>
      </x:c>
      <x:c r="I3534" s="17" t="str">
        <x:v>University of Wyoming</x:v>
      </x:c>
      <x:c r="J3534" s="17" t="str">
        <x:v>official</x:v>
      </x:c>
      <x:c r="K3534" s="17" t="str">
        <x:v>2026-09-11</x:v>
      </x:c>
      <x:c r="L3534" s="17" t="str">
        <x:v>2026</x:v>
      </x:c>
      <x:c r="M3534" s="17" t="str">
        <x:v>high</x:v>
      </x:c>
      <x:c r="N3534" s="17" t="str">
        <x:v>verified</x:v>
      </x:c>
      <x:c r="O3534" s="17" t="str">
        <x:v>Live official page checked 2026-09-11.</x:v>
      </x:c>
      <x:c r="P3534" s="18" t="e">
        <x:f>HYPERLINK("https://www.uwyo.edu/uw/degree-programs/computer-science-ms-phd.html","Open source")</x:f>
        <x:v>HYPERLINK is not implemented. linkLocation=https://www.uwyo.edu/uw/degree-programs/computer-science-ms-phd.html, friendlyName=Open source</x:v>
      </x:c>
    </x:row>
    <x:row r="3535" ht="46" customHeight="1">
      <x:c r="A3535" s="17" t="str">
        <x:v>stage4src:eaed3ac28d9d5a8e</x:v>
      </x:c>
      <x:c r="B3535" s="17" t="str">
        <x:v>professor</x:v>
      </x:c>
      <x:c r="C3535" s="17" t="str">
        <x:v>Johns Hopkins University</x:v>
      </x:c>
      <x:c r="D3535" s="17" t="str">
        <x:v>us:ipeds:162928:program:phd:phd-in-computer-science</x:v>
      </x:c>
      <x:c r="E3535" s="17" t="str">
        <x:v>us:ipeds:162928:faculty:yinzhi-cao</x:v>
      </x:c>
      <x:c r="F3535" s="17" t="str">
        <x:v>program context|research adviser model</x:v>
      </x:c>
      <x:c r="G3535" s="17" t="str">
        <x:v>JHU presents the Computer Science PhD as a research program organized around faculty-guided original work.</x:v>
      </x:c>
      <x:c r="H3535" s="17" t="str">
        <x:v>Computer Science PhD Program</x:v>
      </x:c>
      <x:c r="I3535" s="17" t="str">
        <x:v>Johns Hopkins University</x:v>
      </x:c>
      <x:c r="J3535" s="17" t="str">
        <x:v>official</x:v>
      </x:c>
      <x:c r="K3535" s="17" t="str">
        <x:v>2026-09-11</x:v>
      </x:c>
      <x:c r="L3535" s="17" t="str">
        <x:v>2026</x:v>
      </x:c>
      <x:c r="M3535" s="17" t="str">
        <x:v>high</x:v>
      </x:c>
      <x:c r="N3535" s="17" t="str">
        <x:v>verified</x:v>
      </x:c>
      <x:c r="O3535" s="17" t="str">
        <x:v>Live official program page checked 2026-09-11.</x:v>
      </x:c>
      <x:c r="P3535" s="18" t="e">
        <x:f>HYPERLINK("https://www.cs.jhu.edu/academic-programs/graduate-studies/phd-program/","Open source")</x:f>
        <x:v>HYPERLINK is not implemented. linkLocation=https://www.cs.jhu.edu/academic-programs/graduate-studies/phd-program/, friendlyName=Open source</x:v>
      </x:c>
    </x:row>
    <x:row r="3536" ht="46" customHeight="1">
      <x:c r="A3536" s="17" t="str">
        <x:v>stage4src:eb1ab9c2e71f0dd3</x:v>
      </x:c>
      <x:c r="B3536" s="17" t="str">
        <x:v>professor</x:v>
      </x:c>
      <x:c r="C3536" s="17" t="str">
        <x:v>University of Toronto</x:v>
      </x:c>
      <x:c r="D3536" s="17" t="str">
        <x:v>ca:dli:O19332746152:program:direct-entry-phd:phd-in-computer-science-phd-u</x:v>
      </x:c>
      <x:c r="E3536" s="17" t="str"/>
      <x:c r="F3536" s="17" t="str">
        <x:v>current faculty roster|candidate longlist</x:v>
      </x:c>
      <x:c r="G3536" s="17" t="str">
        <x:v>Current official department roster or research-area faculty listing used to identify the five-person Stage 4 candidate longlist.</x:v>
      </x:c>
      <x:c r="H3536" s="17" t="str">
        <x:v>University of Toronto current faculty roster</x:v>
      </x:c>
      <x:c r="I3536" s="17" t="str">
        <x:v>University of Toronto</x:v>
      </x:c>
      <x:c r="J3536" s="17" t="str">
        <x:v>official</x:v>
      </x:c>
      <x:c r="K3536" s="17" t="str">
        <x:v>2026-09-11</x:v>
      </x:c>
      <x:c r="L3536" s="17" t="str"/>
      <x:c r="M3536" s="17" t="str">
        <x:v>high</x:v>
      </x:c>
      <x:c r="N3536" s="17" t="str">
        <x:v>verified</x:v>
      </x:c>
      <x:c r="O3536" s="17" t="str">
        <x:v>Roster evidence establishes a current listing, not program-specific supervision authority or recruiting.</x:v>
      </x:c>
      <x:c r="P3536" s="18" t="e">
        <x:f>HYPERLINK("https://www.ece.utoronto.ca/faculty/faculty-directory/","Open source")</x:f>
        <x:v>HYPERLINK is not implemented. linkLocation=https://www.ece.utoronto.ca/faculty/faculty-directory/, friendlyName=Open source</x:v>
      </x:c>
    </x:row>
    <x:row r="3537" ht="46" customHeight="1">
      <x:c r="A3537" s="17" t="str">
        <x:v>stage4src:eb22568e9f780838</x:v>
      </x:c>
      <x:c r="B3537" s="17" t="str">
        <x:v>professor</x:v>
      </x:c>
      <x:c r="C3537" s="17" t="str">
        <x:v>Carnegie Mellon University</x:v>
      </x:c>
      <x:c r="D3537" s="17" t="str">
        <x:v>us:ipeds:211440:program:phd:software-engineering-phd</x:v>
      </x:c>
      <x:c r="E3537" s="17" t="str">
        <x:v>us:ipeds:211440:faculty:i-pek-zkaya</x:v>
      </x:c>
      <x:c r="F3537" s="17" t="str">
        <x:v>discovery publication signal|recent work</x:v>
      </x:c>
      <x:c r="G3537" s="17" t="str">
        <x:v>Publication metadata was examined for shortlist triage only; publication-time affiliation does not establish current appointment, supervision authority, or recruiting.</x:v>
      </x:c>
      <x:c r="H3537" s="17" t="str">
        <x:v>OpenAlex publication signal for İpek Özkaya</x:v>
      </x:c>
      <x:c r="I3537" s="17" t="str">
        <x:v>OpenAlex / cited venue</x:v>
      </x:c>
      <x:c r="J3537" s="17" t="str">
        <x:v>secondary</x:v>
      </x:c>
      <x:c r="K3537" s="17" t="str">
        <x:v>2026-09-11</x:v>
      </x:c>
      <x:c r="L3537" s="17" t="str"/>
      <x:c r="M3537" s="17" t="str">
        <x:v>medium</x:v>
      </x:c>
      <x:c r="N3537" s="17" t="str">
        <x:v>discovery_only</x:v>
      </x:c>
      <x:c r="O3537" s="17" t="str">
        <x:v>Not used to award a professor score or faculty-depth point.</x:v>
      </x:c>
      <x:c r="P3537" s="18" t="e">
        <x:f>HYPERLINK("https://openalex.org/A5079888779","Open source")</x:f>
        <x:v>HYPERLINK is not implemented. linkLocation=https://openalex.org/A5079888779, friendlyName=Open source</x:v>
      </x:c>
    </x:row>
    <x:row r="3538" ht="46" customHeight="1">
      <x:c r="A3538" s="17" t="str">
        <x:v>stage4src:ec51e4cff1ac4204</x:v>
      </x:c>
      <x:c r="B3538" s="17" t="str">
        <x:v>professor</x:v>
      </x:c>
      <x:c r="C3538" s="17" t="str">
        <x:v>University of Cincinnati-Main Campus</x:v>
      </x:c>
      <x:c r="D3538" s="17" t="str">
        <x:v>us:ipeds:201885:program:phd:ph-d-in-computer-science-and-engineering</x:v>
      </x:c>
      <x:c r="E3538" s="17" t="str">
        <x:v>us:ipeds:201885:faculty:yu-zhao</x:v>
      </x:c>
      <x:c r="F3538" s="17" t="str">
        <x:v>recent work|software security|research fit</x:v>
      </x:c>
      <x:c r="G3538" s="17" t="str">
        <x:v>The 2025 TSE article supports current Android malware-analysis, source/binary evidence fusion, and secure-software overlap.</x:v>
      </x:c>
      <x:c r="H3538" s="17" t="str">
        <x:v>Multimodal Fusion for Android Malware Detection Based on Large Pre-Trained Models</x:v>
      </x:c>
      <x:c r="I3538" s="17" t="str">
        <x:v>OpenAlex / cited venue</x:v>
      </x:c>
      <x:c r="J3538" s="17" t="str">
        <x:v>secondary</x:v>
      </x:c>
      <x:c r="K3538" s="17" t="str">
        <x:v>2026-09-11</x:v>
      </x:c>
      <x:c r="L3538" s="17" t="str">
        <x:v>2025</x:v>
      </x:c>
      <x:c r="M3538" s="17" t="str">
        <x:v>high</x:v>
      </x:c>
      <x:c r="N3538" s="17" t="str">
        <x:v>verified</x:v>
      </x:c>
      <x:c r="O3538" s="17" t="str">
        <x:v>DOI and author metadata checked 2026-09-10.</x:v>
      </x:c>
      <x:c r="P3538" s="18" t="e">
        <x:f>HYPERLINK("https://doi.org/10.1109/TSE.2025.3557577","Open source")</x:f>
        <x:v>HYPERLINK is not implemented. linkLocation=https://doi.org/10.1109/TSE.2025.3557577, friendlyName=Open source</x:v>
      </x:c>
    </x:row>
    <x:row r="3539" ht="46" customHeight="1">
      <x:c r="A3539" s="17" t="str">
        <x:v>stage4src:ee24eeb3f09b44a3</x:v>
      </x:c>
      <x:c r="B3539" s="17" t="str">
        <x:v>professor</x:v>
      </x:c>
      <x:c r="C3539" s="17" t="str">
        <x:v>University of Missouri-Columbia</x:v>
      </x:c>
      <x:c r="D3539" s="17" t="str">
        <x:v>us:ipeds:178396:program:phd:phd-in-computer-science</x:v>
      </x:c>
      <x:c r="E3539" s="17" t="str">
        <x:v>us:ipeds:178396:faculty:rohit-chadha</x:v>
      </x:c>
      <x:c r="F3539" s="17" t="str">
        <x:v>current appointment|candidate longlist</x:v>
      </x:c>
      <x:c r="G3539" s="17" t="str">
        <x:v>The current EECS roster lists Chadha and the four bounded alternatives.</x:v>
      </x:c>
      <x:c r="H3539" s="17" t="str">
        <x:v>Electrical Engineering and Computer Science Faculty</x:v>
      </x:c>
      <x:c r="I3539" s="17" t="str">
        <x:v>University of Missouri-Columbia</x:v>
      </x:c>
      <x:c r="J3539" s="17" t="str">
        <x:v>official</x:v>
      </x:c>
      <x:c r="K3539" s="17" t="str">
        <x:v>2026-09-11</x:v>
      </x:c>
      <x:c r="L3539" s="17" t="str">
        <x:v>2026</x:v>
      </x:c>
      <x:c r="M3539" s="17" t="str">
        <x:v>high</x:v>
      </x:c>
      <x:c r="N3539" s="17" t="str">
        <x:v>verified</x:v>
      </x:c>
      <x:c r="O3539" s="17" t="str">
        <x:v>Live roster checked 2026-09-11.</x:v>
      </x:c>
      <x:c r="P3539" s="18" t="e">
        <x:f>HYPERLINK("https://engineering.missouri.edu/departments/eecs/eecs-faculty/","Open source")</x:f>
        <x:v>HYPERLINK is not implemented. linkLocation=https://engineering.missouri.edu/departments/eecs/eecs-faculty/, friendlyName=Open source</x:v>
      </x:c>
    </x:row>
    <x:row r="3540" ht="46" customHeight="1">
      <x:c r="A3540" s="17" t="str">
        <x:v>stage4src:eecfbf4cf8141682</x:v>
      </x:c>
      <x:c r="B3540" s="17" t="str">
        <x:v>professor</x:v>
      </x:c>
      <x:c r="C3540" s="17" t="str">
        <x:v>Washington State University</x:v>
      </x:c>
      <x:c r="D3540" s="17" t="str">
        <x:v>us:ipeds:236939:program:phd:doctor-of-philosophy-in-computer-science</x:v>
      </x:c>
      <x:c r="E3540" s="17" t="str">
        <x:v>us:ipeds:236939:faculty:thomas-gilray</x:v>
      </x:c>
      <x:c r="F3540" s="17" t="str">
        <x:v>current appointment|research themes|email</x:v>
      </x:c>
      <x:c r="G3540" s="17" t="str">
        <x:v>WSU lists Gilray as a current Associate Professor in EECS and provides his email and program-analysis research focus.</x:v>
      </x:c>
      <x:c r="H3540" s="17" t="str">
        <x:v>Thomas Gilray</x:v>
      </x:c>
      <x:c r="I3540" s="17" t="str">
        <x:v>Washington State University</x:v>
      </x:c>
      <x:c r="J3540" s="17" t="str">
        <x:v>official</x:v>
      </x:c>
      <x:c r="K3540" s="17" t="str">
        <x:v>2026-09-11</x:v>
      </x:c>
      <x:c r="L3540" s="17" t="str">
        <x:v>2026</x:v>
      </x:c>
      <x:c r="M3540" s="17" t="str">
        <x:v>high</x:v>
      </x:c>
      <x:c r="N3540" s="17" t="str">
        <x:v>verified</x:v>
      </x:c>
      <x:c r="O3540" s="17" t="str">
        <x:v>Current official profile checked 2026-09-10.</x:v>
      </x:c>
      <x:c r="P3540" s="18" t="e">
        <x:f>HYPERLINK("https://school.eecs.wsu.edu/research/software-engineering/wsu-profile/thomas-gilray/","Open source")</x:f>
        <x:v>HYPERLINK is not implemented. linkLocation=https://school.eecs.wsu.edu/research/software-engineering/wsu-profile/thomas-gilray/, friendlyName=Open source</x:v>
      </x:c>
    </x:row>
    <x:row r="3541" ht="46" customHeight="1">
      <x:c r="A3541" s="17" t="str">
        <x:v>stage4src:eefeb3bdf3dffb49</x:v>
      </x:c>
      <x:c r="B3541" s="17" t="str">
        <x:v>professor</x:v>
      </x:c>
      <x:c r="C3541" s="17" t="str">
        <x:v>Boston University</x:v>
      </x:c>
      <x:c r="D3541" s="17" t="str">
        <x:v>us:ipeds:164988:program:phd:computer-science-phd</x:v>
      </x:c>
      <x:c r="E3541" s="17" t="str">
        <x:v>us:ipeds:164988:faculty:ankush-das</x:v>
      </x:c>
      <x:c r="F3541" s="17" t="str">
        <x:v>email|current doctoral supervision|recent work|recruiting|contact instructions</x:v>
      </x:c>
      <x:c r="G3541" s="17" t="str">
        <x:v>The current faculty-authored page provides the BU email, lists current advised PhD students and recent work, and explicitly invites motivated PhD students to contact him and/or apply.</x:v>
      </x:c>
      <x:c r="H3541" s="17" t="str">
        <x:v>Ankush Das faculty research page</x:v>
      </x:c>
      <x:c r="I3541" s="17" t="str">
        <x:v>Boston University</x:v>
      </x:c>
      <x:c r="J3541" s="17" t="str">
        <x:v>official</x:v>
      </x:c>
      <x:c r="K3541" s="17" t="str">
        <x:v>2026-09-11</x:v>
      </x:c>
      <x:c r="L3541" s="17" t="str">
        <x:v>2026</x:v>
      </x:c>
      <x:c r="M3541" s="17" t="str">
        <x:v>high</x:v>
      </x:c>
      <x:c r="N3541" s="17" t="str">
        <x:v>verified</x:v>
      </x:c>
      <x:c r="O3541" s="17" t="str">
        <x:v>Current faculty-authored page checked 2026-09-10; capacity must be reconfirmed.</x:v>
      </x:c>
      <x:c r="P3541" s="18" t="e">
        <x:f>HYPERLINK("https://ankushdas.github.io/","Open source")</x:f>
        <x:v>HYPERLINK is not implemented. linkLocation=https://ankushdas.github.io/, friendlyName=Open source</x:v>
      </x:c>
    </x:row>
    <x:row r="3542" ht="46" customHeight="1">
      <x:c r="A3542" s="17" t="str">
        <x:v>stage4src:ef68856b31cbea72</x:v>
      </x:c>
      <x:c r="B3542" s="17" t="str">
        <x:v>professor</x:v>
      </x:c>
      <x:c r="C3542" s="17" t="str">
        <x:v>North Carolina State University at Raleigh</x:v>
      </x:c>
      <x:c r="D3542" s="17" t="str">
        <x:v>us:ipeds:199193:program:phd:computer-science-phd</x:v>
      </x:c>
      <x:c r="E3542" s="17" t="str">
        <x:v>us:ipeds:199193:faculty:kathryn-stolee</x:v>
      </x:c>
      <x:c r="F3542" s="17" t="str">
        <x:v>current appointment|program supervision authority|research themes</x:v>
      </x:c>
      <x:c r="G3542" s="17" t="str">
        <x:v>Current appointment and 2026 developer/AI work</x:v>
      </x:c>
      <x:c r="H3542" s="17" t="str">
        <x:v>Kathryn Stolee</x:v>
      </x:c>
      <x:c r="I3542" s="17" t="str">
        <x:v>North Carolina State University at Raleigh</x:v>
      </x:c>
      <x:c r="J3542" s="17" t="str">
        <x:v>official</x:v>
      </x:c>
      <x:c r="K3542" s="17" t="str">
        <x:v>2026-09-11</x:v>
      </x:c>
      <x:c r="L3542" s="17" t="str">
        <x:v>2026</x:v>
      </x:c>
      <x:c r="M3542" s="17" t="str">
        <x:v>high</x:v>
      </x:c>
      <x:c r="N3542" s="17" t="str">
        <x:v>verified</x:v>
      </x:c>
      <x:c r="O3542" s="17" t="str"/>
      <x:c r="P3542" s="18" t="e">
        <x:f>HYPERLINK("https://csc.ncsu.edu/people/ktstolee/","Open source")</x:f>
        <x:v>HYPERLINK is not implemented. linkLocation=https://csc.ncsu.edu/people/ktstolee/, friendlyName=Open source</x:v>
      </x:c>
    </x:row>
    <x:row r="3543" ht="46" customHeight="1">
      <x:c r="A3543" s="17" t="str">
        <x:v>stage4src:f062b8892e1c913f</x:v>
      </x:c>
      <x:c r="B3543" s="17" t="str">
        <x:v>professor</x:v>
      </x:c>
      <x:c r="C3543" s="17" t="str">
        <x:v>Boston University</x:v>
      </x:c>
      <x:c r="D3543" s="17" t="str">
        <x:v>us:ipeds:164988:program:phd:computer-science-phd</x:v>
      </x:c>
      <x:c r="E3543" s="17" t="str">
        <x:v>us:ipeds:164988:faculty:ankush-das</x:v>
      </x:c>
      <x:c r="F3543" s="17" t="str">
        <x:v>recent work|research fit</x:v>
      </x:c>
      <x:c r="G3543" s="17" t="str">
        <x:v>The faculty-hosted 2026 paper documents current refinement-session-type research.</x:v>
      </x:c>
      <x:c r="H3543" s="17" t="str">
        <x:v>Practical Refinement Session Type Inference</x:v>
      </x:c>
      <x:c r="I3543" s="17" t="str">
        <x:v>Boston University</x:v>
      </x:c>
      <x:c r="J3543" s="17" t="str">
        <x:v>official</x:v>
      </x:c>
      <x:c r="K3543" s="17" t="str">
        <x:v>2026-09-11</x:v>
      </x:c>
      <x:c r="L3543" s="17" t="str">
        <x:v>2026</x:v>
      </x:c>
      <x:c r="M3543" s="17" t="str">
        <x:v>high</x:v>
      </x:c>
      <x:c r="N3543" s="17" t="str">
        <x:v>verified</x:v>
      </x:c>
      <x:c r="O3543" s="17" t="str">
        <x:v>Faculty-hosted scholarly work checked 2026-09-10.</x:v>
      </x:c>
      <x:c r="P3543" s="18" t="e">
        <x:f>HYPERLINK("https://ankushdas.github.io/docs/esop26.pdf","Open source")</x:f>
        <x:v>HYPERLINK is not implemented. linkLocation=https://ankushdas.github.io/docs/esop26.pdf, friendlyName=Open source</x:v>
      </x:c>
    </x:row>
    <x:row r="3544" ht="46" customHeight="1">
      <x:c r="A3544" s="17" t="str">
        <x:v>stage4src:f0a0365070379513</x:v>
      </x:c>
      <x:c r="B3544" s="17" t="str">
        <x:v>professor</x:v>
      </x:c>
      <x:c r="C3544" s="17" t="str">
        <x:v>University of Manitoba</x:v>
      </x:c>
      <x:c r="D3544" s="17" t="str">
        <x:v>ca:dli:O19091528512:program:phd:phd-in-computer-science</x:v>
      </x:c>
      <x:c r="E3544" s="17" t="str">
        <x:v>ca:dli:O19091528512:faculty:shaowei-wang</x:v>
      </x:c>
      <x:c r="F3544" s="17" t="str">
        <x:v>current research direction|research fit</x:v>
      </x:c>
      <x:c r="G3544" s="17" t="str">
        <x:v>The current page documents the active software-engineering and security lab's AI-for-SE, testing, code-generation, vulnerability, AIOps, and software-analytics directions.</x:v>
      </x:c>
      <x:c r="H3544" s="17" t="str">
        <x:v>Research in Computer Science</x:v>
      </x:c>
      <x:c r="I3544" s="17" t="str">
        <x:v>University of Manitoba</x:v>
      </x:c>
      <x:c r="J3544" s="17" t="str">
        <x:v>official</x:v>
      </x:c>
      <x:c r="K3544" s="17" t="str">
        <x:v>2026-09-11</x:v>
      </x:c>
      <x:c r="L3544" s="17" t="str">
        <x:v>2026</x:v>
      </x:c>
      <x:c r="M3544" s="17" t="str">
        <x:v>high</x:v>
      </x:c>
      <x:c r="N3544" s="17" t="str">
        <x:v>verified</x:v>
      </x:c>
      <x:c r="O3544" s="17" t="str">
        <x:v>Current official research page checked 2026-09-10.</x:v>
      </x:c>
      <x:c r="P3544" s="18" t="e">
        <x:f>HYPERLINK("https://umanitoba.ca/science/research/computer-science","Open source")</x:f>
        <x:v>HYPERLINK is not implemented. linkLocation=https://umanitoba.ca/science/research/computer-science, friendlyName=Open source</x:v>
      </x:c>
    </x:row>
    <x:row r="3545" ht="46" customHeight="1">
      <x:c r="A3545" s="17" t="str">
        <x:v>stage4src:f0c2fcf47d2951a1</x:v>
      </x:c>
      <x:c r="B3545" s="17" t="str">
        <x:v>professor</x:v>
      </x:c>
      <x:c r="C3545" s="17" t="str">
        <x:v>University of Toronto</x:v>
      </x:c>
      <x:c r="D3545" s="17" t="str">
        <x:v>ca:dli:O19332746152:program:thesis-or-research-master-s:master-of-applied-science-in-electrical-and-computer-engineering</x:v>
      </x:c>
      <x:c r="E3545" s="17" t="str">
        <x:v>ca:dli:O19332746152:faculty:david-lie</x:v>
      </x:c>
      <x:c r="F3545" s="17" t="str">
        <x:v>program supervision authority|recent advisees</x:v>
      </x:c>
      <x:c r="G3545" s="17" t="str">
        <x:v>The ECE record lists multiple recent theses supervised or co-supervised by David Lie.</x:v>
      </x:c>
      <x:c r="H3545" s="17" t="str">
        <x:v>MASc and PhD Thesis Oral Examinations</x:v>
      </x:c>
      <x:c r="I3545" s="17" t="str">
        <x:v>University of Toronto</x:v>
      </x:c>
      <x:c r="J3545" s="17" t="str">
        <x:v>official</x:v>
      </x:c>
      <x:c r="K3545" s="17" t="str">
        <x:v>2026-09-11</x:v>
      </x:c>
      <x:c r="L3545" s="17" t="str">
        <x:v>2026</x:v>
      </x:c>
      <x:c r="M3545" s="17" t="str">
        <x:v>high</x:v>
      </x:c>
      <x:c r="N3545" s="17" t="str">
        <x:v>verified</x:v>
      </x:c>
      <x:c r="O3545" s="17" t="str">
        <x:v>Live official record checked 2026-09-11.</x:v>
      </x:c>
      <x:c r="P3545" s="18" t="e">
        <x:f>HYPERLINK("https://www.ece.utoronto.ca/graduates/oral-exams/","Open source")</x:f>
        <x:v>HYPERLINK is not implemented. linkLocation=https://www.ece.utoronto.ca/graduates/oral-exams/, friendlyName=Open source</x:v>
      </x:c>
    </x:row>
    <x:row r="3546" ht="46" customHeight="1">
      <x:c r="A3546" s="17" t="str">
        <x:v>stage4src:f0d67f8b9eb6b846</x:v>
      </x:c>
      <x:c r="B3546" s="17" t="str">
        <x:v>professor</x:v>
      </x:c>
      <x:c r="C3546" s="17" t="str">
        <x:v>University of Waterloo</x:v>
      </x:c>
      <x:c r="D3546" s="17" t="str">
        <x:v>ca:dli:O19305471522:program:thesis-or-research-master-s:master-of-applied-science-in-electrical-and-computer-engineering</x:v>
      </x:c>
      <x:c r="E3546" s="17" t="str">
        <x:v>ca:dli:O19305471522:faculty:patrick-lam</x:v>
      </x:c>
      <x:c r="F3546" s="17" t="str">
        <x:v>current appointment|supervision authority|research themes|email|recruiting|prospective instructions</x:v>
      </x:c>
      <x:c r="G3546" s="17" t="str">
        <x:v>Waterloo lists Lam as a current ECE Associate Professor and CS cross-appointee; the profile says he is currently seeking graduate students and instructs applicants to name him.</x:v>
      </x:c>
      <x:c r="H3546" s="17" t="str">
        <x:v>Patrick Lam</x:v>
      </x:c>
      <x:c r="I3546" s="17" t="str">
        <x:v>University of Waterloo</x:v>
      </x:c>
      <x:c r="J3546" s="17" t="str">
        <x:v>official</x:v>
      </x:c>
      <x:c r="K3546" s="17" t="str">
        <x:v>2026-09-11</x:v>
      </x:c>
      <x:c r="L3546" s="17" t="str">
        <x:v>2026</x:v>
      </x:c>
      <x:c r="M3546" s="17" t="str">
        <x:v>high</x:v>
      </x:c>
      <x:c r="N3546" s="17" t="str">
        <x:v>verified</x:v>
      </x:c>
      <x:c r="O3546" s="17" t="str">
        <x:v>Current official profile checked 2026-09-10.</x:v>
      </x:c>
      <x:c r="P3546" s="18" t="e">
        <x:f>HYPERLINK("https://uwaterloo.ca/electrical-computer-engineering/profile/p23lam","Open source")</x:f>
        <x:v>HYPERLINK is not implemented. linkLocation=https://uwaterloo.ca/electrical-computer-engineering/profile/p23lam, friendlyName=Open source</x:v>
      </x:c>
    </x:row>
    <x:row r="3547" ht="46" customHeight="1">
      <x:c r="A3547" s="17" t="str">
        <x:v>stage4src:f0da964a526f519d</x:v>
      </x:c>
      <x:c r="B3547" s="17" t="str">
        <x:v>professor</x:v>
      </x:c>
      <x:c r="C3547" s="17" t="str">
        <x:v>Virginia Commonwealth University</x:v>
      </x:c>
      <x:c r="D3547" s="17" t="str">
        <x:v>us:ipeds:234030:program:phd:doctor-of-philosophy-in-computer-science</x:v>
      </x:c>
      <x:c r="E3547" s="17" t="str">
        <x:v>us:ipeds:234030:faculty:kostadin-damevski</x:v>
      </x:c>
      <x:c r="F3547" s="17" t="str">
        <x:v>current appointment|department</x:v>
      </x:c>
      <x:c r="G3547" s="17" t="str">
        <x:v>The current VCU faculty-award record identifies Damevski as professor in the Department of Computer Science.</x:v>
      </x:c>
      <x:c r="H3547" s="17" t="str">
        <x:v>VCU announces recipients of 2025 faculty awards</x:v>
      </x:c>
      <x:c r="I3547" s="17" t="str">
        <x:v>Virginia Commonwealth University</x:v>
      </x:c>
      <x:c r="J3547" s="17" t="str">
        <x:v>official</x:v>
      </x:c>
      <x:c r="K3547" s="17" t="str">
        <x:v>2026-09-11</x:v>
      </x:c>
      <x:c r="L3547" s="17" t="str">
        <x:v>2025</x:v>
      </x:c>
      <x:c r="M3547" s="17" t="str">
        <x:v>high</x:v>
      </x:c>
      <x:c r="N3547" s="17" t="str">
        <x:v>verified</x:v>
      </x:c>
      <x:c r="O3547" s="17" t="str">
        <x:v>Official VCU page checked 2026-09-10.</x:v>
      </x:c>
      <x:c r="P3547" s="18" t="e">
        <x:f>HYPERLINK("https://blogs.vcu.edu/engineering/2025/09/18/vcu-announces-recipients-of-2025-faculty-awards-for-scholarship-teaching-excellence/","Open source")</x:f>
        <x:v>HYPERLINK is not implemented. linkLocation=https://blogs.vcu.edu/engineering/2025/09/18/vcu-announces-recipients-of-2025-faculty-awards-for-scholarship-teaching-excellence/, friendlyName=Open source</x:v>
      </x:c>
    </x:row>
    <x:row r="3548" ht="46" customHeight="1">
      <x:c r="A3548" s="17" t="str">
        <x:v>stage4src:f0e3f23ac414b951</x:v>
      </x:c>
      <x:c r="B3548" s="17" t="str">
        <x:v>professor</x:v>
      </x:c>
      <x:c r="C3548" s="17" t="str">
        <x:v>The University of Texas at Austin</x:v>
      </x:c>
      <x:c r="D3548" s="17" t="str">
        <x:v>us:ipeds:228778:program:phd:computer-science-phd</x:v>
      </x:c>
      <x:c r="E3548" s="17" t="str">
        <x:v>us:ipeds:228778:faculty:greg-durrett</x:v>
      </x:c>
      <x:c r="F3548" s="17" t="str">
        <x:v>discovery publication signal|recent work</x:v>
      </x:c>
      <x:c r="G3548" s="17" t="str">
        <x:v>Publication metadata was examined for shortlist triage only; publication-time affiliation does not establish current appointment, supervision authority, or recruiting.</x:v>
      </x:c>
      <x:c r="H3548" s="17" t="str">
        <x:v>OpenAlex publication signal for Greg Durrett</x:v>
      </x:c>
      <x:c r="I3548" s="17" t="str">
        <x:v>OpenAlex / cited venue</x:v>
      </x:c>
      <x:c r="J3548" s="17" t="str">
        <x:v>secondary</x:v>
      </x:c>
      <x:c r="K3548" s="17" t="str">
        <x:v>2026-09-11</x:v>
      </x:c>
      <x:c r="L3548" s="17" t="str"/>
      <x:c r="M3548" s="17" t="str">
        <x:v>medium</x:v>
      </x:c>
      <x:c r="N3548" s="17" t="str">
        <x:v>discovery_only</x:v>
      </x:c>
      <x:c r="O3548" s="17" t="str">
        <x:v>Not used to award a professor score or faculty-depth point.</x:v>
      </x:c>
      <x:c r="P3548" s="18" t="e">
        <x:f>HYPERLINK("https://openalex.org/A5015133105","Open source")</x:f>
        <x:v>HYPERLINK is not implemented. linkLocation=https://openalex.org/A5015133105, friendlyName=Open source</x:v>
      </x:c>
    </x:row>
    <x:row r="3549" ht="46" customHeight="1">
      <x:c r="A3549" s="17" t="str">
        <x:v>stage4src:f12d30b7fad8c80f</x:v>
      </x:c>
      <x:c r="B3549" s="17" t="str">
        <x:v>professor</x:v>
      </x:c>
      <x:c r="C3549" s="17" t="str">
        <x:v>The University of Texas at Dallas</x:v>
      </x:c>
      <x:c r="D3549" s="17" t="str">
        <x:v>us:ipeds:228787:program:phd:computer-science-phd</x:v>
      </x:c>
      <x:c r="E3549" s="17" t="str">
        <x:v>us:ipeds:228787:faculty:w-eric-wong</x:v>
      </x:c>
      <x:c r="F3549" s="17" t="str">
        <x:v>recent work|research fit</x:v>
      </x:c>
      <x:c r="G3549" s="17" t="str">
        <x:v>2024 automated program repair survey</x:v>
      </x:c>
      <x:c r="H3549" s="17" t="str">
        <x:v>Search-Based Automated Program Repair: A Survey</x:v>
      </x:c>
      <x:c r="I3549" s="17" t="str">
        <x:v>OpenAlex / cited venue</x:v>
      </x:c>
      <x:c r="J3549" s="17" t="str">
        <x:v>secondary</x:v>
      </x:c>
      <x:c r="K3549" s="17" t="str">
        <x:v>2026-09-11</x:v>
      </x:c>
      <x:c r="L3549" s="17" t="str">
        <x:v>2024</x:v>
      </x:c>
      <x:c r="M3549" s="17" t="str">
        <x:v>high</x:v>
      </x:c>
      <x:c r="N3549" s="17" t="str">
        <x:v>verified</x:v>
      </x:c>
      <x:c r="O3549" s="17" t="str"/>
      <x:c r="P3549" s="18" t="e">
        <x:f>HYPERLINK("https://doi.org/10.1109/QRS-C63300.2024.00063","Open source")</x:f>
        <x:v>HYPERLINK is not implemented. linkLocation=https://doi.org/10.1109/QRS-C63300.2024.00063, friendlyName=Open source</x:v>
      </x:c>
    </x:row>
    <x:row r="3550" ht="46" customHeight="1">
      <x:c r="A3550" s="17" t="str">
        <x:v>stage4src:f1bf2266b4ce0963</x:v>
      </x:c>
      <x:c r="B3550" s="17" t="str">
        <x:v>professor</x:v>
      </x:c>
      <x:c r="C3550" s="17" t="str">
        <x:v>Concordia University</x:v>
      </x:c>
      <x:c r="D3550" s="17" t="str">
        <x:v>ca:dli:O19359011007:program:thesis-or-research-master-s:cybersecurity-engineering-masc</x:v>
      </x:c>
      <x:c r="E3550" s="17" t="str"/>
      <x:c r="F3550" s="17" t="str">
        <x:v>current faculty roster|candidate longlist</x:v>
      </x:c>
      <x:c r="G3550" s="17" t="str">
        <x:v>Current official department roster or research-area faculty listing used to identify the five-person Stage 4 candidate longlist.</x:v>
      </x:c>
      <x:c r="H3550" s="17" t="str">
        <x:v>Concordia University current faculty roster</x:v>
      </x:c>
      <x:c r="I3550" s="17" t="str">
        <x:v>Concordia University</x:v>
      </x:c>
      <x:c r="J3550" s="17" t="str">
        <x:v>official</x:v>
      </x:c>
      <x:c r="K3550" s="17" t="str">
        <x:v>2026-09-11</x:v>
      </x:c>
      <x:c r="L3550" s="17" t="str"/>
      <x:c r="M3550" s="17" t="str">
        <x:v>high</x:v>
      </x:c>
      <x:c r="N3550" s="17" t="str">
        <x:v>verified</x:v>
      </x:c>
      <x:c r="O3550" s="17" t="str">
        <x:v>Roster evidence establishes a current listing, not program-specific supervision authority or recruiting.</x:v>
      </x:c>
      <x:c r="P3550" s="18" t="e">
        <x:f>HYPERLINK("https://www.concordia.ca/ginacody/cybersecurity-intelligent-systems-eng/about/faculty-members.html","Open source")</x:f>
        <x:v>HYPERLINK is not implemented. linkLocation=https://www.concordia.ca/ginacody/cybersecurity-intelligent-systems-eng/about/faculty-members.html, friendlyName=Open source</x:v>
      </x:c>
    </x:row>
    <x:row r="3551" ht="46" customHeight="1">
      <x:c r="A3551" s="17" t="str">
        <x:v>stage4src:f22dc4db1f8965d8</x:v>
      </x:c>
      <x:c r="B3551" s="17" t="str">
        <x:v>professor</x:v>
      </x:c>
      <x:c r="C3551" s="17" t="str">
        <x:v>University of Colorado Boulder</x:v>
      </x:c>
      <x:c r="D3551" s="17" t="str">
        <x:v>us:ipeds:126614:program:phd:computer-science-phd</x:v>
      </x:c>
      <x:c r="E3551" s="17" t="str">
        <x:v>us:ipeds:126614:faculty:sriram-sankaranarayanan</x:v>
      </x:c>
      <x:c r="F3551" s="17" t="str">
        <x:v>recent work|research fit|current faculty roster</x:v>
      </x:c>
      <x:c r="G3551" s="17" t="str">
        <x:v>The current group page lists Sriram Sankaranarayanan and reports 2026 work on static analysis of program revisions.</x:v>
      </x:c>
      <x:c r="H3551" s="17" t="str">
        <x:v>CUPLV — Programming Languages and Verification</x:v>
      </x:c>
      <x:c r="I3551" s="17" t="str">
        <x:v>University of Colorado Boulder</x:v>
      </x:c>
      <x:c r="J3551" s="17" t="str">
        <x:v>official</x:v>
      </x:c>
      <x:c r="K3551" s="17" t="str">
        <x:v>2026-09-11</x:v>
      </x:c>
      <x:c r="L3551" s="17" t="str">
        <x:v>2026</x:v>
      </x:c>
      <x:c r="M3551" s="17" t="str">
        <x:v>high</x:v>
      </x:c>
      <x:c r="N3551" s="17" t="str">
        <x:v>verified</x:v>
      </x:c>
      <x:c r="O3551" s="17" t="str">
        <x:v>Current group page checked 2026-09-10.</x:v>
      </x:c>
      <x:c r="P3551" s="18" t="e">
        <x:f>HYPERLINK("https://plv.colorado.edu/","Open source")</x:f>
        <x:v>HYPERLINK is not implemented. linkLocation=https://plv.colorado.edu/, friendlyName=Open source</x:v>
      </x:c>
    </x:row>
    <x:row r="3552" ht="46" customHeight="1">
      <x:c r="A3552" s="17" t="str">
        <x:v>stage4src:f2e8f4ec253723e3</x:v>
      </x:c>
      <x:c r="B3552" s="17" t="str">
        <x:v>professor</x:v>
      </x:c>
      <x:c r="C3552" s="17" t="str">
        <x:v>Washington University in St Louis</x:v>
      </x:c>
      <x:c r="D3552" s="17" t="str">
        <x:v>us:ipeds:179867:program:phd:computer-science-phd</x:v>
      </x:c>
      <x:c r="E3552" s="17" t="str"/>
      <x:c r="F3552" s="17" t="str">
        <x:v>current faculty roster|candidate longlist</x:v>
      </x:c>
      <x:c r="G3552" s="17" t="str">
        <x:v>Current official department roster or research-area faculty listing used to identify the five-person Stage 4 candidate longlist.</x:v>
      </x:c>
      <x:c r="H3552" s="17" t="str">
        <x:v>Washington University in St Louis current faculty roster</x:v>
      </x:c>
      <x:c r="I3552" s="17" t="str">
        <x:v>Washington University in St Louis</x:v>
      </x:c>
      <x:c r="J3552" s="17" t="str">
        <x:v>official</x:v>
      </x:c>
      <x:c r="K3552" s="17" t="str">
        <x:v>2026-09-11</x:v>
      </x:c>
      <x:c r="L3552" s="17" t="str"/>
      <x:c r="M3552" s="17" t="str">
        <x:v>high</x:v>
      </x:c>
      <x:c r="N3552" s="17" t="str">
        <x:v>verified</x:v>
      </x:c>
      <x:c r="O3552" s="17" t="str">
        <x:v>Roster evidence establishes a current listing, not program-specific supervision authority or recruiting.</x:v>
      </x:c>
      <x:c r="P3552" s="18" t="e">
        <x:f>HYPERLINK("https://engineering.washu.edu/faculty/","Open source")</x:f>
        <x:v>HYPERLINK is not implemented. linkLocation=https://engineering.washu.edu/faculty/, friendlyName=Open source</x:v>
      </x:c>
    </x:row>
    <x:row r="3553" ht="46" customHeight="1">
      <x:c r="A3553" s="17" t="str">
        <x:v>stage4src:f3233dde0c3bc351</x:v>
      </x:c>
      <x:c r="B3553" s="17" t="str">
        <x:v>professor</x:v>
      </x:c>
      <x:c r="C3553" s="17" t="str">
        <x:v>University of Idaho</x:v>
      </x:c>
      <x:c r="D3553" s="17" t="str">
        <x:v>us:ipeds:142285:program:phd:computer-science-ph-d</x:v>
      </x:c>
      <x:c r="E3553" s="17" t="str">
        <x:v>us:ipeds:142285:faculty:jia-song</x:v>
      </x:c>
      <x:c r="F3553" s="17" t="str">
        <x:v>current appointment|department|email|research themes|strong fit</x:v>
      </x:c>
      <x:c r="G3553" s="17" t="str">
        <x:v>The university lists Song as a current Computer Science Associate Professor with software vulnerability, binary analysis, reverse engineering, security testing, and high-assurance expertise.</x:v>
      </x:c>
      <x:c r="H3553" s="17" t="str">
        <x:v>Jia Song</x:v>
      </x:c>
      <x:c r="I3553" s="17" t="str">
        <x:v>University of Idaho</x:v>
      </x:c>
      <x:c r="J3553" s="17" t="str">
        <x:v>official</x:v>
      </x:c>
      <x:c r="K3553" s="17" t="str">
        <x:v>2026-09-11</x:v>
      </x:c>
      <x:c r="L3553" s="17" t="str">
        <x:v>2026</x:v>
      </x:c>
      <x:c r="M3553" s="17" t="str">
        <x:v>high</x:v>
      </x:c>
      <x:c r="N3553" s="17" t="str">
        <x:v>verified</x:v>
      </x:c>
      <x:c r="O3553" s="17" t="str">
        <x:v>Live official profile checked 2026-09-11.</x:v>
      </x:c>
      <x:c r="P3553" s="18" t="e">
        <x:f>HYPERLINK("https://www.uidaho.edu/people/jsong","Open source")</x:f>
        <x:v>HYPERLINK is not implemented. linkLocation=https://www.uidaho.edu/people/jsong, friendlyName=Open source</x:v>
      </x:c>
    </x:row>
    <x:row r="3554" ht="46" customHeight="1">
      <x:c r="A3554" s="17" t="str">
        <x:v>stage4src:f341071f9ae2eed5</x:v>
      </x:c>
      <x:c r="B3554" s="17" t="str">
        <x:v>professor</x:v>
      </x:c>
      <x:c r="C3554" s="17" t="str">
        <x:v>University of Delaware</x:v>
      </x:c>
      <x:c r="D3554" s="17" t="str">
        <x:v>us:ipeds:130943:program:phd:computer-science-phd</x:v>
      </x:c>
      <x:c r="E3554" s="17" t="str">
        <x:v>us:ipeds:130943:faculty:stephen-f-siegel</x:v>
      </x:c>
      <x:c r="F3554" s="17" t="str">
        <x:v>current appointment|program supervision authority|research themes|email</x:v>
      </x:c>
      <x:c r="G3554" s="17" t="str">
        <x:v>The current Delaware profile records Stephen F. Siegel's CIS appointment and formal-verification research.</x:v>
      </x:c>
      <x:c r="H3554" s="17" t="str">
        <x:v>Stephen F. Siegel</x:v>
      </x:c>
      <x:c r="I3554" s="17" t="str">
        <x:v>University of Delaware</x:v>
      </x:c>
      <x:c r="J3554" s="17" t="str">
        <x:v>official</x:v>
      </x:c>
      <x:c r="K3554" s="17" t="str">
        <x:v>2026-09-11</x:v>
      </x:c>
      <x:c r="L3554" s="17" t="str"/>
      <x:c r="M3554" s="17" t="str">
        <x:v>high</x:v>
      </x:c>
      <x:c r="N3554" s="17" t="str">
        <x:v>verified</x:v>
      </x:c>
      <x:c r="O3554" s="17" t="str">
        <x:v>Current official profile checked 2026-09-10.</x:v>
      </x:c>
      <x:c r="P3554" s="18" t="e">
        <x:f>HYPERLINK("https://www.cis.udel.edu/people/faculty/stephen-siegel/","Open source")</x:f>
        <x:v>HYPERLINK is not implemented. linkLocation=https://www.cis.udel.edu/people/faculty/stephen-siegel/, friendlyName=Open source</x:v>
      </x:c>
    </x:row>
    <x:row r="3555" ht="46" customHeight="1">
      <x:c r="A3555" s="17" t="str">
        <x:v>stage4src:f34cc7e67c765a1c</x:v>
      </x:c>
      <x:c r="B3555" s="17" t="str">
        <x:v>professor</x:v>
      </x:c>
      <x:c r="C3555" s="17" t="str">
        <x:v>New Jersey Institute of Technology</x:v>
      </x:c>
      <x:c r="D3555" s="17" t="str">
        <x:v>us:ipeds:185828:program:phd:ph-d-computer-science</x:v>
      </x:c>
      <x:c r="E3555" s="17" t="str"/>
      <x:c r="F3555" s="17" t="str">
        <x:v>current faculty roster|candidate longlist</x:v>
      </x:c>
      <x:c r="G3555" s="17" t="str">
        <x:v>Current official department roster or research-area faculty listing used to identify the five-person Stage 4 candidate longlist.</x:v>
      </x:c>
      <x:c r="H3555" s="17" t="str">
        <x:v>New Jersey Institute of Technology current faculty roster</x:v>
      </x:c>
      <x:c r="I3555" s="17" t="str">
        <x:v>New Jersey Institute of Technology</x:v>
      </x:c>
      <x:c r="J3555" s="17" t="str">
        <x:v>official</x:v>
      </x:c>
      <x:c r="K3555" s="17" t="str">
        <x:v>2026-09-11</x:v>
      </x:c>
      <x:c r="L3555" s="17" t="str"/>
      <x:c r="M3555" s="17" t="str">
        <x:v>high</x:v>
      </x:c>
      <x:c r="N3555" s="17" t="str">
        <x:v>verified</x:v>
      </x:c>
      <x:c r="O3555" s="17" t="str">
        <x:v>Roster evidence establishes a current listing, not program-specific supervision authority or recruiting.</x:v>
      </x:c>
      <x:c r="P3555" s="18" t="e">
        <x:f>HYPERLINK("https://cs.njit.edu/faculty","Open source")</x:f>
        <x:v>HYPERLINK is not implemented. linkLocation=https://cs.njit.edu/faculty, friendlyName=Open source</x:v>
      </x:c>
    </x:row>
    <x:row r="3556" ht="46" customHeight="1">
      <x:c r="A3556" s="17" t="str">
        <x:v>stage4src:f3681f5a85581f7d</x:v>
      </x:c>
      <x:c r="B3556" s="17" t="str">
        <x:v>professor</x:v>
      </x:c>
      <x:c r="C3556" s="17" t="str">
        <x:v>Drexel University</x:v>
      </x:c>
      <x:c r="D3556" s="17" t="str">
        <x:v>us:ipeds:212054:program:phd:phd-in-computer-science</x:v>
      </x:c>
      <x:c r="E3556" s="17" t="str">
        <x:v>us:ipeds:212054:faculty:yuanfang-cai</x:v>
      </x:c>
      <x:c r="F3556" s="17" t="str">
        <x:v>current appointment|department|email|research themes</x:v>
      </x:c>
      <x:c r="G3556" s="17" t="str">
        <x:v>Drexel lists Cai as a current Computer Science Professor working in formal software design analysis, evolution, and modularity.</x:v>
      </x:c>
      <x:c r="H3556" s="17" t="str">
        <x:v>Yuanfang Cai</x:v>
      </x:c>
      <x:c r="I3556" s="17" t="str">
        <x:v>Drexel University</x:v>
      </x:c>
      <x:c r="J3556" s="17" t="str">
        <x:v>official</x:v>
      </x:c>
      <x:c r="K3556" s="17" t="str">
        <x:v>2026-09-11</x:v>
      </x:c>
      <x:c r="L3556" s="17" t="str">
        <x:v>2026</x:v>
      </x:c>
      <x:c r="M3556" s="17" t="str">
        <x:v>high</x:v>
      </x:c>
      <x:c r="N3556" s="17" t="str">
        <x:v>verified</x:v>
      </x:c>
      <x:c r="O3556" s="17" t="str">
        <x:v>Live official profile checked 2026-09-11.</x:v>
      </x:c>
      <x:c r="P3556" s="18" t="e">
        <x:f>HYPERLINK("https://drexel.edu/cci/about/directory/C/Cai-Yuanfang/","Open source")</x:f>
        <x:v>HYPERLINK is not implemented. linkLocation=https://drexel.edu/cci/about/directory/C/Cai-Yuanfang/, friendlyName=Open source</x:v>
      </x:c>
    </x:row>
    <x:row r="3557" ht="46" customHeight="1">
      <x:c r="A3557" s="17" t="str">
        <x:v>stage4src:f40d05a541cf482d</x:v>
      </x:c>
      <x:c r="B3557" s="17" t="str">
        <x:v>professor</x:v>
      </x:c>
      <x:c r="C3557" s="17" t="str">
        <x:v>University of California-Riverside</x:v>
      </x:c>
      <x:c r="D3557" s="17" t="str">
        <x:v>us:ipeds:110671:program:phd:phd-in-computer-science</x:v>
      </x:c>
      <x:c r="E3557" s="17" t="str">
        <x:v>us:ipeds:110671:faculty:qian-zhang</x:v>
      </x:c>
      <x:c r="F3557" s="17" t="str">
        <x:v>current program supervision authority|research fit</x:v>
      </x:c>
      <x:c r="G3557" s="17" t="str">
        <x:v>The current group page lists Zhang among faculty and current PhD students in programming languages and software engineering.</x:v>
      </x:c>
      <x:c r="H3557" s="17" t="str">
        <x:v>Riverside Programming Languages and Software Engineering</x:v>
      </x:c>
      <x:c r="I3557" s="17" t="str">
        <x:v>University of California-Riverside</x:v>
      </x:c>
      <x:c r="J3557" s="17" t="str">
        <x:v>official</x:v>
      </x:c>
      <x:c r="K3557" s="17" t="str">
        <x:v>2026-09-11</x:v>
      </x:c>
      <x:c r="L3557" s="17" t="str">
        <x:v>2026</x:v>
      </x:c>
      <x:c r="M3557" s="17" t="str">
        <x:v>high</x:v>
      </x:c>
      <x:c r="N3557" s="17" t="str">
        <x:v>verified</x:v>
      </x:c>
      <x:c r="O3557" s="17" t="str">
        <x:v>Current official group page checked 2026-09-10.</x:v>
      </x:c>
      <x:c r="P3557" s="18" t="e">
        <x:f>HYPERLINK("https://riple.cs.ucr.edu/","Open source")</x:f>
        <x:v>HYPERLINK is not implemented. linkLocation=https://riple.cs.ucr.edu/, friendlyName=Open source</x:v>
      </x:c>
    </x:row>
    <x:row r="3558" ht="46" customHeight="1">
      <x:c r="A3558" s="17" t="str">
        <x:v>stage4src:f43303861c0c08df</x:v>
      </x:c>
      <x:c r="B3558" s="17" t="str">
        <x:v>professor</x:v>
      </x:c>
      <x:c r="C3558" s="17" t="str">
        <x:v>Saint Mary’s University</x:v>
      </x:c>
      <x:c r="D3558" s="17" t="str">
        <x:v>ca:dli:O19021279692:program:thesis-or-research-master-s:msc-in-applied-science-computing-science-research-field</x:v>
      </x:c>
      <x:c r="E3558" s="17" t="str">
        <x:v>ca:dli:O19021279692:faculty:somayeh-kafaie</x:v>
      </x:c>
      <x:c r="F3558" s="17" t="str">
        <x:v>mandatory supervisor|application sequence|contact appropriateness</x:v>
      </x:c>
      <x:c r="G3558" s="17" t="str">
        <x:v>Saint Mary's requires MSc Applied Science applicants to secure a willing faculty supervisor before applying.</x:v>
      </x:c>
      <x:c r="H3558" s="17" t="str">
        <x:v>Info for Future Students</x:v>
      </x:c>
      <x:c r="I3558" s="17" t="str">
        <x:v>Saint Mary’s University</x:v>
      </x:c>
      <x:c r="J3558" s="17" t="str">
        <x:v>official</x:v>
      </x:c>
      <x:c r="K3558" s="17" t="str">
        <x:v>2026-09-11</x:v>
      </x:c>
      <x:c r="L3558" s="17" t="str">
        <x:v>2026</x:v>
      </x:c>
      <x:c r="M3558" s="17" t="str">
        <x:v>high</x:v>
      </x:c>
      <x:c r="N3558" s="17" t="str">
        <x:v>verified</x:v>
      </x:c>
      <x:c r="O3558" s="17" t="str">
        <x:v>Live official page checked 2026-09-11.</x:v>
      </x:c>
      <x:c r="P3558" s="18" t="e">
        <x:f>HYPERLINK("https://www.smu.ca/faculty-of-science/master-in-applied-science-future-students.html","Open source")</x:f>
        <x:v>HYPERLINK is not implemented. linkLocation=https://www.smu.ca/faculty-of-science/master-in-applied-science-future-students.html, friendlyName=Open source</x:v>
      </x:c>
    </x:row>
    <x:row r="3559" ht="46" customHeight="1">
      <x:c r="A3559" s="17" t="str">
        <x:v>stage4src:f54c5ab8efe7eeb4</x:v>
      </x:c>
      <x:c r="B3559" s="17" t="str">
        <x:v>professor</x:v>
      </x:c>
      <x:c r="C3559" s="17" t="str">
        <x:v>École Polytechnique de Montréal</x:v>
      </x:c>
      <x:c r="D3559" s="17" t="str">
        <x:v>ca:dli:O19359011070:program:thesis-or-research-master-s:research-master-s-in-computer-engineering-software-engineering-option</x:v>
      </x:c>
      <x:c r="E3559" s="17" t="str">
        <x:v>ca:dli:O19359011070:faculty:mohammad-hamdaqa</x:v>
      </x:c>
      <x:c r="F3559" s="17" t="str">
        <x:v>discovery publication signal|recent work</x:v>
      </x:c>
      <x:c r="G3559" s="17" t="str">
        <x:v>Publication metadata was examined for shortlist triage only; publication-time affiliation does not establish current appointment, supervision authority, or recruiting.</x:v>
      </x:c>
      <x:c r="H3559" s="17" t="str">
        <x:v>OpenAlex publication signal for Mohammad Hamdaqa</x:v>
      </x:c>
      <x:c r="I3559" s="17" t="str">
        <x:v>OpenAlex / cited venue</x:v>
      </x:c>
      <x:c r="J3559" s="17" t="str">
        <x:v>secondary</x:v>
      </x:c>
      <x:c r="K3559" s="17" t="str">
        <x:v>2026-09-11</x:v>
      </x:c>
      <x:c r="L3559" s="17" t="str"/>
      <x:c r="M3559" s="17" t="str">
        <x:v>medium</x:v>
      </x:c>
      <x:c r="N3559" s="17" t="str">
        <x:v>discovery_only</x:v>
      </x:c>
      <x:c r="O3559" s="17" t="str">
        <x:v>Not used to award a professor score or faculty-depth point.</x:v>
      </x:c>
      <x:c r="P3559" s="18" t="e">
        <x:f>HYPERLINK("https://openalex.org/A5042033117","Open source")</x:f>
        <x:v>HYPERLINK is not implemented. linkLocation=https://openalex.org/A5042033117, friendlyName=Open source</x:v>
      </x:c>
    </x:row>
    <x:row r="3560" ht="46" customHeight="1">
      <x:c r="A3560" s="17" t="str">
        <x:v>stage4src:f5635a3248c12803</x:v>
      </x:c>
      <x:c r="B3560" s="17" t="str">
        <x:v>professor</x:v>
      </x:c>
      <x:c r="C3560" s="17" t="str">
        <x:v>Northwestern University</x:v>
      </x:c>
      <x:c r="D3560" s="17" t="str">
        <x:v>us:ipeds:147767:program:phd:phd-in-computer-science</x:v>
      </x:c>
      <x:c r="E3560" s="17" t="str">
        <x:v>us:ipeds:147767:faculty:robby-findler</x:v>
      </x:c>
      <x:c r="F3560" s="17" t="str">
        <x:v>recent work|runtime performance|strong fit</x:v>
      </x:c>
      <x:c r="G3560" s="17" t="str">
        <x:v>The 2025 paper supports current empirical runtime and compiler-performance overlap.</x:v>
      </x:c>
      <x:c r="H3560" s="17" t="str">
        <x:v>A Snapshot of the Performance of Wasm Backends for Managed Languages</x:v>
      </x:c>
      <x:c r="I3560" s="17" t="str">
        <x:v>OpenAlex / cited venue</x:v>
      </x:c>
      <x:c r="J3560" s="17" t="str">
        <x:v>secondary</x:v>
      </x:c>
      <x:c r="K3560" s="17" t="str">
        <x:v>2026-09-11</x:v>
      </x:c>
      <x:c r="L3560" s="17" t="str">
        <x:v>2025</x:v>
      </x:c>
      <x:c r="M3560" s="17" t="str">
        <x:v>high</x:v>
      </x:c>
      <x:c r="N3560" s="17" t="str">
        <x:v>verified</x:v>
      </x:c>
      <x:c r="O3560" s="17" t="str">
        <x:v>University-hosted author manuscript checked 2026-09-11.</x:v>
      </x:c>
      <x:c r="P3560" s="18" t="e">
        <x:f>HYPERLINK("https://users.cs.northwestern.edu/~robby/pubs/papers/mplr2025-sf.pdf","Open source")</x:f>
        <x:v>HYPERLINK is not implemented. linkLocation=https://users.cs.northwestern.edu/~robby/pubs/papers/mplr2025-sf.pdf, friendlyName=Open source</x:v>
      </x:c>
    </x:row>
    <x:row r="3561" ht="46" customHeight="1">
      <x:c r="A3561" s="17" t="str">
        <x:v>stage4src:f5a357453b51a07b</x:v>
      </x:c>
      <x:c r="B3561" s="17" t="str">
        <x:v>professor</x:v>
      </x:c>
      <x:c r="C3561" s="17" t="str">
        <x:v>Brock University</x:v>
      </x:c>
      <x:c r="D3561" s="17" t="str">
        <x:v>ca:dli:O19394569014:program:thesis-or-research-master-s:computer-science-msc-thesis-stream</x:v>
      </x:c>
      <x:c r="E3561" s="17" t="str">
        <x:v>ca:dli:O19394569014:faculty:robson-de-grande</x:v>
      </x:c>
      <x:c r="F3561" s="17" t="str">
        <x:v>email|recent work|active projects|recruiting status|prospective instructions|strong fit</x:v>
      </x:c>
      <x:c r="G3561" s="17" t="str">
        <x:v>The current page records 2025-2026 edge and vehicular work and explicitly says De Grande is continually looking for motivated MSc students.</x:v>
      </x:c>
      <x:c r="H3561" s="17" t="str">
        <x:v>Robson E. De Grande</x:v>
      </x:c>
      <x:c r="I3561" s="17" t="str">
        <x:v>Brock University</x:v>
      </x:c>
      <x:c r="J3561" s="17" t="str">
        <x:v>official</x:v>
      </x:c>
      <x:c r="K3561" s="17" t="str">
        <x:v>2026-09-11</x:v>
      </x:c>
      <x:c r="L3561" s="17" t="str">
        <x:v>2026</x:v>
      </x:c>
      <x:c r="M3561" s="17" t="str">
        <x:v>high</x:v>
      </x:c>
      <x:c r="N3561" s="17" t="str">
        <x:v>verified</x:v>
      </x:c>
      <x:c r="O3561" s="17" t="str">
        <x:v>Current university-hosted page checked 2026-09-11.</x:v>
      </x:c>
      <x:c r="P3561" s="18" t="e">
        <x:f>HYPERLINK("https://www.cosc.brocku.ca/~rdegrande/","Open source")</x:f>
        <x:v>HYPERLINK is not implemented. linkLocation=https://www.cosc.brocku.ca/~rdegrande/, friendlyName=Open source</x:v>
      </x:c>
    </x:row>
    <x:row r="3562" ht="46" customHeight="1">
      <x:c r="A3562" s="17" t="str">
        <x:v>stage4src:f62b9266e0405124</x:v>
      </x:c>
      <x:c r="B3562" s="17" t="str">
        <x:v>professor</x:v>
      </x:c>
      <x:c r="C3562" s="17" t="str">
        <x:v>University of Rochester</x:v>
      </x:c>
      <x:c r="D3562" s="17" t="str">
        <x:v>us:ipeds:195030:program:phd:phd-program-in-computer-science</x:v>
      </x:c>
      <x:c r="E3562" s="17" t="str">
        <x:v>us:ipeds:195030:faculty:john-criswell</x:v>
      </x:c>
      <x:c r="F3562" s="17" t="str">
        <x:v>Computer Science PhD supervision authority|recent work</x:v>
      </x:c>
      <x:c r="G3562" s="17" t="str">
        <x:v>The official record identifies John Criswell as advisor to a 2024 Computer Science PhD graduate whose dissertation concerned ARM software security.</x:v>
      </x:c>
      <x:c r="H3562" s="17" t="str">
        <x:v>Computer Science Class of 2024 — PhD Degrees</x:v>
      </x:c>
      <x:c r="I3562" s="17" t="str">
        <x:v>University of Rochester</x:v>
      </x:c>
      <x:c r="J3562" s="17" t="str">
        <x:v>official</x:v>
      </x:c>
      <x:c r="K3562" s="17" t="str">
        <x:v>2026-09-11</x:v>
      </x:c>
      <x:c r="L3562" s="17" t="str">
        <x:v>2024</x:v>
      </x:c>
      <x:c r="M3562" s="17" t="str">
        <x:v>high</x:v>
      </x:c>
      <x:c r="N3562" s="17" t="str">
        <x:v>verified</x:v>
      </x:c>
      <x:c r="O3562" s="17" t="str">
        <x:v>Official doctoral record checked 2026-09-10.</x:v>
      </x:c>
      <x:c r="P3562" s="18" t="e">
        <x:f>HYPERLINK("https://www.cs.rochester.edu/commencement/2024/phd.html","Open source")</x:f>
        <x:v>HYPERLINK is not implemented. linkLocation=https://www.cs.rochester.edu/commencement/2024/phd.html, friendlyName=Open source</x:v>
      </x:c>
    </x:row>
    <x:row r="3563" ht="46" customHeight="1">
      <x:c r="A3563" s="17" t="str">
        <x:v>stage4src:f66105622ce3b485</x:v>
      </x:c>
      <x:c r="B3563" s="17" t="str">
        <x:v>professor</x:v>
      </x:c>
      <x:c r="C3563" s="17" t="str">
        <x:v>George Washington University</x:v>
      </x:c>
      <x:c r="D3563" s="17" t="str">
        <x:v>us:ipeds:131469:program:phd:phd-in-computer-science</x:v>
      </x:c>
      <x:c r="E3563" s="17" t="str">
        <x:v>us:ipeds:131469:faculty:gabriel-parmer</x:v>
      </x:c>
      <x:c r="F3563" s="17" t="str">
        <x:v>recent work|edge systems|operating systems</x:v>
      </x:c>
      <x:c r="G3563" s="17" t="str">
        <x:v>GW records Parmer's recent component-based OS and serverless work and a 2023 RTSS best-student-paper result with his students.</x:v>
      </x:c>
      <x:c r="H3563" s="17" t="str">
        <x:v>Revolutionizing the Way We Live, Work, and Learn through Engineering AND</x:v>
      </x:c>
      <x:c r="I3563" s="17" t="str">
        <x:v>George Washington University</x:v>
      </x:c>
      <x:c r="J3563" s="17" t="str">
        <x:v>official</x:v>
      </x:c>
      <x:c r="K3563" s="17" t="str">
        <x:v>2026-09-11</x:v>
      </x:c>
      <x:c r="L3563" s="17" t="str">
        <x:v>2023</x:v>
      </x:c>
      <x:c r="M3563" s="17" t="str">
        <x:v>high</x:v>
      </x:c>
      <x:c r="N3563" s="17" t="str">
        <x:v>verified</x:v>
      </x:c>
      <x:c r="O3563" s="17" t="str">
        <x:v>Official department feature checked 2026-09-11.</x:v>
      </x:c>
      <x:c r="P3563" s="18" t="e">
        <x:f>HYPERLINK("https://cs.engineering.gwu.edu/revolutionizing-way-we-live-work-and-learn-through-engineering-and-0","Open source")</x:f>
        <x:v>HYPERLINK is not implemented. linkLocation=https://cs.engineering.gwu.edu/revolutionizing-way-we-live-work-and-learn-through-engineering-and-0, friendlyName=Open source</x:v>
      </x:c>
    </x:row>
    <x:row r="3564" ht="46" customHeight="1">
      <x:c r="A3564" s="17" t="str">
        <x:v>stage4src:f6edc8667b344c54</x:v>
      </x:c>
      <x:c r="B3564" s="17" t="str">
        <x:v>professor</x:v>
      </x:c>
      <x:c r="C3564" s="17" t="str">
        <x:v>Baylor University</x:v>
      </x:c>
      <x:c r="D3564" s="17" t="str">
        <x:v>us:ipeds:223232:program:phd:ph-d-in-computer-science</x:v>
      </x:c>
      <x:c r="E3564" s="17" t="str"/>
      <x:c r="F3564" s="17" t="str">
        <x:v>current faculty roster|candidate longlist</x:v>
      </x:c>
      <x:c r="G3564" s="17" t="str">
        <x:v>Current official department roster or research-area faculty listing used to identify the five-person Stage 4 candidate longlist.</x:v>
      </x:c>
      <x:c r="H3564" s="17" t="str">
        <x:v>Baylor University current faculty roster</x:v>
      </x:c>
      <x:c r="I3564" s="17" t="str">
        <x:v>Baylor University</x:v>
      </x:c>
      <x:c r="J3564" s="17" t="str">
        <x:v>official</x:v>
      </x:c>
      <x:c r="K3564" s="17" t="str">
        <x:v>2026-09-11</x:v>
      </x:c>
      <x:c r="L3564" s="17" t="str"/>
      <x:c r="M3564" s="17" t="str">
        <x:v>high</x:v>
      </x:c>
      <x:c r="N3564" s="17" t="str">
        <x:v>verified</x:v>
      </x:c>
      <x:c r="O3564" s="17" t="str">
        <x:v>Roster evidence establishes a current listing, not program-specific supervision authority or recruiting.</x:v>
      </x:c>
      <x:c r="P3564" s="18" t="e">
        <x:f>HYPERLINK("https://www.ecs.baylor.edu/departments/computer-science/computer-science-faculty","Open source")</x:f>
        <x:v>HYPERLINK is not implemented. linkLocation=https://www.ecs.baylor.edu/departments/computer-science/computer-science-faculty, friendlyName=Open source</x:v>
      </x:c>
    </x:row>
    <x:row r="3565" ht="46" customHeight="1">
      <x:c r="A3565" s="17" t="str">
        <x:v>stage4src:f6f2f12c50363cce</x:v>
      </x:c>
      <x:c r="B3565" s="17" t="str">
        <x:v>professor</x:v>
      </x:c>
      <x:c r="C3565" s="17" t="str">
        <x:v>University of Kentucky</x:v>
      </x:c>
      <x:c r="D3565" s="17" t="str">
        <x:v>us:ipeds:157085:program:phd:doctoral-degree-in-computer-science</x:v>
      </x:c>
      <x:c r="E3565" s="17" t="str">
        <x:v>us:ipeds:157085:faculty:mark-marron</x:v>
      </x:c>
      <x:c r="F3565" s="17" t="str">
        <x:v>recent work|research fit</x:v>
      </x:c>
      <x:c r="G3565" s="17" t="str">
        <x:v>The university research profile records programming-language and software-system outputs from 2024 and 2026.</x:v>
      </x:c>
      <x:c r="H3565" s="17" t="str">
        <x:v>Mark Marron research profile</x:v>
      </x:c>
      <x:c r="I3565" s="17" t="str">
        <x:v>University of Kentucky</x:v>
      </x:c>
      <x:c r="J3565" s="17" t="str">
        <x:v>official</x:v>
      </x:c>
      <x:c r="K3565" s="17" t="str">
        <x:v>2026-09-11</x:v>
      </x:c>
      <x:c r="L3565" s="17" t="str">
        <x:v>2026</x:v>
      </x:c>
      <x:c r="M3565" s="17" t="str">
        <x:v>high</x:v>
      </x:c>
      <x:c r="N3565" s="17" t="str">
        <x:v>verified</x:v>
      </x:c>
      <x:c r="O3565" s="17" t="str">
        <x:v>Official university research profile checked 2026-09-10.</x:v>
      </x:c>
      <x:c r="P3565" s="18" t="e">
        <x:f>HYPERLINK("https://scholars.uky.edu/en/persons/mark-marron/","Open source")</x:f>
        <x:v>HYPERLINK is not implemented. linkLocation=https://scholars.uky.edu/en/persons/mark-marron/, friendlyName=Open source</x:v>
      </x:c>
    </x:row>
    <x:row r="3566" ht="46" customHeight="1">
      <x:c r="A3566" s="17" t="str">
        <x:v>stage4src:f70ef2f55ccec070</x:v>
      </x:c>
      <x:c r="B3566" s="17" t="str">
        <x:v>professor</x:v>
      </x:c>
      <x:c r="C3566" s="17" t="str">
        <x:v>Boston University</x:v>
      </x:c>
      <x:c r="D3566" s="17" t="str">
        <x:v>us:ipeds:164988:program:phd:computer-science-phd</x:v>
      </x:c>
      <x:c r="E3566" s="17" t="str">
        <x:v>us:ipeds:164988:faculty:ankush-das</x:v>
      </x:c>
      <x:c r="F3566" s="17" t="str">
        <x:v>current faculty roster|current doctoral research environment|email</x:v>
      </x:c>
      <x:c r="G3566" s="17" t="str">
        <x:v>The current BU group page lists Ankush Das among faculty, current PhD students, and his official BU email.</x:v>
      </x:c>
      <x:c r="H3566" s="17" t="str">
        <x:v>Programming and Verification research group</x:v>
      </x:c>
      <x:c r="I3566" s="17" t="str">
        <x:v>Boston University</x:v>
      </x:c>
      <x:c r="J3566" s="17" t="str">
        <x:v>official</x:v>
      </x:c>
      <x:c r="K3566" s="17" t="str">
        <x:v>2026-09-11</x:v>
      </x:c>
      <x:c r="L3566" s="17" t="str">
        <x:v>2026</x:v>
      </x:c>
      <x:c r="M3566" s="17" t="str">
        <x:v>high</x:v>
      </x:c>
      <x:c r="N3566" s="17" t="str">
        <x:v>verified</x:v>
      </x:c>
      <x:c r="O3566" s="17" t="str">
        <x:v>Current official department page checked 2026-09-10.</x:v>
      </x:c>
      <x:c r="P3566" s="18" t="e">
        <x:f>HYPERLINK("https://www.bu.edu/cs/research-groups/popv/","Open source")</x:f>
        <x:v>HYPERLINK is not implemented. linkLocation=https://www.bu.edu/cs/research-groups/popv/, friendlyName=Open source</x:v>
      </x:c>
    </x:row>
    <x:row r="3567" ht="46" customHeight="1">
      <x:c r="A3567" s="17" t="str">
        <x:v>stage4src:f7d07f45d54ffd9c</x:v>
      </x:c>
      <x:c r="B3567" s="17" t="str">
        <x:v>professor</x:v>
      </x:c>
      <x:c r="C3567" s="17" t="str">
        <x:v>Concordia University</x:v>
      </x:c>
      <x:c r="D3567" s="17" t="str">
        <x:v>ca:dli:O19359011007:program:thesis-or-research-master-s:cybersecurity-engineering-masc</x:v>
      </x:c>
      <x:c r="E3567" s="17" t="str">
        <x:v>ca:dli:O19359011007:faculty:lingyu-wang</x:v>
      </x:c>
      <x:c r="F3567" s="17" t="str">
        <x:v>discovery publication signal|recent work</x:v>
      </x:c>
      <x:c r="G3567" s="17" t="str">
        <x:v>Publication metadata was examined for shortlist triage only; publication-time affiliation does not establish current appointment, supervision authority, or recruiting.</x:v>
      </x:c>
      <x:c r="H3567" s="17" t="str">
        <x:v>OpenAlex publication signal for Lingyu Wang</x:v>
      </x:c>
      <x:c r="I3567" s="17" t="str">
        <x:v>OpenAlex / cited venue</x:v>
      </x:c>
      <x:c r="J3567" s="17" t="str">
        <x:v>secondary</x:v>
      </x:c>
      <x:c r="K3567" s="17" t="str">
        <x:v>2026-09-11</x:v>
      </x:c>
      <x:c r="L3567" s="17" t="str"/>
      <x:c r="M3567" s="17" t="str">
        <x:v>medium</x:v>
      </x:c>
      <x:c r="N3567" s="17" t="str">
        <x:v>discovery_only</x:v>
      </x:c>
      <x:c r="O3567" s="17" t="str">
        <x:v>Not used to award a professor score or faculty-depth point.</x:v>
      </x:c>
      <x:c r="P3567" s="18" t="e">
        <x:f>HYPERLINK("https://openalex.org/A5100730397","Open source")</x:f>
        <x:v>HYPERLINK is not implemented. linkLocation=https://openalex.org/A5100730397, friendlyName=Open source</x:v>
      </x:c>
    </x:row>
    <x:row r="3568" ht="46" customHeight="1">
      <x:c r="A3568" s="17" t="str">
        <x:v>stage4src:f806b29bdd2c9e6c</x:v>
      </x:c>
      <x:c r="B3568" s="17" t="str">
        <x:v>professor</x:v>
      </x:c>
      <x:c r="C3568" s="17" t="str">
        <x:v>Washington University in St Louis</x:v>
      </x:c>
      <x:c r="D3568" s="17" t="str">
        <x:v>us:ipeds:179867:program:phd:computer-science-phd</x:v>
      </x:c>
      <x:c r="E3568" s="17" t="str">
        <x:v>us:ipeds:179867:faculty:umar-iqbal</x:v>
      </x:c>
      <x:c r="F3568" s="17" t="str">
        <x:v>recent work|research fit</x:v>
      </x:c>
      <x:c r="G3568" s="17" t="str">
        <x:v>2026 agent security/reliability project</x:v>
      </x:c>
      <x:c r="H3568" s="17" t="str">
        <x:v>AI Agents Prompt Redesign of Web</x:v>
      </x:c>
      <x:c r="I3568" s="17" t="str">
        <x:v>Washington University in St Louis</x:v>
      </x:c>
      <x:c r="J3568" s="17" t="str">
        <x:v>official</x:v>
      </x:c>
      <x:c r="K3568" s="17" t="str">
        <x:v>2026-09-11</x:v>
      </x:c>
      <x:c r="L3568" s="17" t="str">
        <x:v>2026</x:v>
      </x:c>
      <x:c r="M3568" s="17" t="str">
        <x:v>high</x:v>
      </x:c>
      <x:c r="N3568" s="17" t="str">
        <x:v>verified</x:v>
      </x:c>
      <x:c r="O3568" s="17" t="str"/>
      <x:c r="P3568" s="18" t="e">
        <x:f>HYPERLINK("https://engineering.washu.edu/news/2026/AI-agents-prompt-redesign-of-web-for-security-privacy-reliability.html","Open source")</x:f>
        <x:v>HYPERLINK is not implemented. linkLocation=https://engineering.washu.edu/news/2026/AI-agents-prompt-redesign-of-web-for-security-privacy-reliability.html, friendlyName=Open source</x:v>
      </x:c>
    </x:row>
    <x:row r="3569" ht="46" customHeight="1">
      <x:c r="A3569" s="17" t="str">
        <x:v>stage4src:f8071264902ed96c</x:v>
      </x:c>
      <x:c r="B3569" s="17" t="str">
        <x:v>professor</x:v>
      </x:c>
      <x:c r="C3569" s="17" t="str">
        <x:v>University of Cincinnati-Main Campus</x:v>
      </x:c>
      <x:c r="D3569" s="17" t="str">
        <x:v>us:ipeds:201885:program:phd:ph-d-in-computer-science-and-engineering</x:v>
      </x:c>
      <x:c r="E3569" s="17" t="str">
        <x:v>us:ipeds:201885:faculty:yu-zhao</x:v>
      </x:c>
      <x:c r="F3569" s="17" t="str">
        <x:v>current appointment|department|email|candidate roster</x:v>
      </x:c>
      <x:c r="G3569" s="17" t="str">
        <x:v>The current Computer Science roster lists Zhao as Assistant Professor and supplies the official email used in the dossier.</x:v>
      </x:c>
      <x:c r="H3569" s="17" t="str">
        <x:v>Computer Science Faculty and Staff</x:v>
      </x:c>
      <x:c r="I3569" s="17" t="str">
        <x:v>University of Cincinnati-Main Campus</x:v>
      </x:c>
      <x:c r="J3569" s="17" t="str">
        <x:v>official</x:v>
      </x:c>
      <x:c r="K3569" s="17" t="str">
        <x:v>2026-09-11</x:v>
      </x:c>
      <x:c r="L3569" s="17" t="str">
        <x:v>2026</x:v>
      </x:c>
      <x:c r="M3569" s="17" t="str">
        <x:v>high</x:v>
      </x:c>
      <x:c r="N3569" s="17" t="str">
        <x:v>verified</x:v>
      </x:c>
      <x:c r="O3569" s="17" t="str">
        <x:v>Live roster checked 2026-09-10.</x:v>
      </x:c>
      <x:c r="P3569" s="18" t="e">
        <x:f>HYPERLINK("https://www.ceas.uc.edu/academics/departments/computer-science/computer-science-people.html","Open source")</x:f>
        <x:v>HYPERLINK is not implemented. linkLocation=https://www.ceas.uc.edu/academics/departments/computer-science/computer-science-people.html, friendlyName=Open source</x:v>
      </x:c>
    </x:row>
    <x:row r="3570" ht="46" customHeight="1">
      <x:c r="A3570" s="17" t="str">
        <x:v>stage4src:f8505f33f0f23138</x:v>
      </x:c>
      <x:c r="B3570" s="17" t="str">
        <x:v>professor</x:v>
      </x:c>
      <x:c r="C3570" s="17" t="str">
        <x:v>University of New Mexico-Main Campus</x:v>
      </x:c>
      <x:c r="D3570" s="17" t="str">
        <x:v>us:ipeds:187985:program:phd:phd-in-computer-science</x:v>
      </x:c>
      <x:c r="E3570" s="17" t="str">
        <x:v>us:ipeds:187985:faculty:pavithra-prabhakar</x:v>
      </x:c>
      <x:c r="F3570" s="17" t="str">
        <x:v>current doctoral supervision|recent work|research fit</x:v>
      </x:c>
      <x:c r="G3570" s="17" t="str">
        <x:v>The current lab page lists a Computer Science PhD student, a 2025 EMSOFT paper, and active verification and synthesis directions.</x:v>
      </x:c>
      <x:c r="H3570" s="17" t="str">
        <x:v>Trustworthy AI-enabled Autonomous Systems Lab</x:v>
      </x:c>
      <x:c r="I3570" s="17" t="str">
        <x:v>University of New Mexico-Main Campus</x:v>
      </x:c>
      <x:c r="J3570" s="17" t="str">
        <x:v>official</x:v>
      </x:c>
      <x:c r="K3570" s="17" t="str">
        <x:v>2026-09-11</x:v>
      </x:c>
      <x:c r="L3570" s="17" t="str">
        <x:v>2025</x:v>
      </x:c>
      <x:c r="M3570" s="17" t="str">
        <x:v>high</x:v>
      </x:c>
      <x:c r="N3570" s="17" t="str">
        <x:v>verified</x:v>
      </x:c>
      <x:c r="O3570" s="17" t="str">
        <x:v>Current university-hosted lab page checked 2026-09-10.</x:v>
      </x:c>
      <x:c r="P3570" s="18" t="e">
        <x:f>HYPERLINK("https://www.cs.unm.edu/~pprabhakar/","Open source")</x:f>
        <x:v>HYPERLINK is not implemented. linkLocation=https://www.cs.unm.edu/~pprabhakar/, friendlyName=Open source</x:v>
      </x:c>
    </x:row>
    <x:row r="3571" ht="46" customHeight="1">
      <x:c r="A3571" s="17" t="str">
        <x:v>stage4src:f8b71877f032bcf1</x:v>
      </x:c>
      <x:c r="B3571" s="17" t="str">
        <x:v>professor</x:v>
      </x:c>
      <x:c r="C3571" s="17" t="str">
        <x:v>École Polytechnique de Montréal</x:v>
      </x:c>
      <x:c r="D3571" s="17" t="str">
        <x:v>ca:dli:O19359011070:program:thesis-or-research-master-s:research-master-s-in-computer-engineering-software-engineering-option</x:v>
      </x:c>
      <x:c r="E3571" s="17" t="str">
        <x:v>ca:dli:O19359011070:faculty:maxime-lamothe</x:v>
      </x:c>
      <x:c r="F3571" s="17" t="str">
        <x:v>recent work|anomaly detection|software quality|research fit</x:v>
      </x:c>
      <x:c r="G3571" s="17" t="str">
        <x:v>The official 2025 ICSE publication record supports automated data-pattern inference, anomaly detection, and software-quality overlap.</x:v>
      </x:c>
      <x:c r="H3571" s="17" t="str">
        <x:v>Automated, Unsupervised, and Auto-Parameterized Inference of Data Patterns and Anomaly Detection</x:v>
      </x:c>
      <x:c r="I3571" s="17" t="str">
        <x:v>École Polytechnique de Montréal</x:v>
      </x:c>
      <x:c r="J3571" s="17" t="str">
        <x:v>official</x:v>
      </x:c>
      <x:c r="K3571" s="17" t="str">
        <x:v>2026-09-11</x:v>
      </x:c>
      <x:c r="L3571" s="17" t="str">
        <x:v>2025</x:v>
      </x:c>
      <x:c r="M3571" s="17" t="str">
        <x:v>high</x:v>
      </x:c>
      <x:c r="N3571" s="17" t="str">
        <x:v>verified</x:v>
      </x:c>
      <x:c r="O3571" s="17" t="str">
        <x:v>Official Polytechnique repository record checked 2026-09-10.</x:v>
      </x:c>
      <x:c r="P3571" s="18" t="e">
        <x:f>HYPERLINK("https://publications.polymtl.ca/66389/","Open source")</x:f>
        <x:v>HYPERLINK is not implemented. linkLocation=https://publications.polymtl.ca/66389/, friendlyName=Open source</x:v>
      </x:c>
    </x:row>
    <x:row r="3572" ht="46" customHeight="1">
      <x:c r="A3572" s="17" t="str">
        <x:v>stage4src:f8d1f52aa7af1432</x:v>
      </x:c>
      <x:c r="B3572" s="17" t="str">
        <x:v>professor</x:v>
      </x:c>
      <x:c r="C3572" s="17" t="str">
        <x:v>McGill University</x:v>
      </x:c>
      <x:c r="D3572" s="17" t="str">
        <x:v>ca:dli:O19359011033:program:thesis-or-research-master-s:msc-in-computer-science-thesis</x:v>
      </x:c>
      <x:c r="E3572" s="17" t="str">
        <x:v>ca:dli:O19359011033:faculty:jin-l-c-guo</x:v>
      </x:c>
      <x:c r="F3572" s="17" t="str">
        <x:v>recent work|research fit</x:v>
      </x:c>
      <x:c r="G3572" s="17" t="str">
        <x:v>Recent work supports the recorded TerraProbe/Evidex research overlap for Jin L.C. Guo.</x:v>
      </x:c>
      <x:c r="H3572" s="17" t="str">
        <x:v>Recent scholarly work</x:v>
      </x:c>
      <x:c r="I3572" s="17" t="str">
        <x:v>OpenAlex / cited venue</x:v>
      </x:c>
      <x:c r="J3572" s="17" t="str">
        <x:v>secondary</x:v>
      </x:c>
      <x:c r="K3572" s="17" t="str">
        <x:v>2026-09-11</x:v>
      </x:c>
      <x:c r="L3572" s="17" t="str">
        <x:v>2024</x:v>
      </x:c>
      <x:c r="M3572" s="17" t="str">
        <x:v>high</x:v>
      </x:c>
      <x:c r="N3572" s="17" t="str">
        <x:v>verified</x:v>
      </x:c>
      <x:c r="O3572" s="17" t="str">
        <x:v>Carried from verified regional deep-review evidence.</x:v>
      </x:c>
      <x:c r="P3572" s="18" t="e">
        <x:f>HYPERLINK("https://www.cs.mcgill.ca/~martin/papers.html","Open source")</x:f>
        <x:v>HYPERLINK is not implemented. linkLocation=https://www.cs.mcgill.ca/~martin/papers.html, friendlyName=Open source</x:v>
      </x:c>
    </x:row>
    <x:row r="3573" ht="46" customHeight="1">
      <x:c r="A3573" s="17" t="str">
        <x:v>stage4src:f98a4a0632d9dfa3</x:v>
      </x:c>
      <x:c r="B3573" s="17" t="str">
        <x:v>professor</x:v>
      </x:c>
      <x:c r="C3573" s="17" t="str">
        <x:v>Rutgers University-New Brunswick</x:v>
      </x:c>
      <x:c r="D3573" s="17" t="str">
        <x:v>us:ipeds:186380:program:phd:computer-science-phd</x:v>
      </x:c>
      <x:c r="E3573" s="17" t="str">
        <x:v>us:ipeds:186380:faculty:santosh-nagarakatte</x:v>
      </x:c>
      <x:c r="F3573" s="17" t="str">
        <x:v>current appointment|research themes|recent direction</x:v>
      </x:c>
      <x:c r="G3573" s="17" t="str">
        <x:v>The current faculty research page documents active programming-languages, compilers, and systems research.</x:v>
      </x:c>
      <x:c r="H3573" s="17" t="str">
        <x:v>Santosh Nagarakatte research page</x:v>
      </x:c>
      <x:c r="I3573" s="17" t="str">
        <x:v>Rutgers University-New Brunswick</x:v>
      </x:c>
      <x:c r="J3573" s="17" t="str">
        <x:v>official</x:v>
      </x:c>
      <x:c r="K3573" s="17" t="str">
        <x:v>2026-09-11</x:v>
      </x:c>
      <x:c r="L3573" s="17" t="str">
        <x:v>2026</x:v>
      </x:c>
      <x:c r="M3573" s="17" t="str">
        <x:v>high</x:v>
      </x:c>
      <x:c r="N3573" s="17" t="str">
        <x:v>verified</x:v>
      </x:c>
      <x:c r="O3573" s="17" t="str">
        <x:v>University-hosted faculty page checked 2026-09-10.</x:v>
      </x:c>
      <x:c r="P3573" s="18" t="e">
        <x:f>HYPERLINK("https://people.cs.rutgers.edu/~sn349/","Open source")</x:f>
        <x:v>HYPERLINK is not implemented. linkLocation=https://people.cs.rutgers.edu/~sn349/, friendlyName=Open source</x:v>
      </x:c>
    </x:row>
    <x:row r="3574" ht="46" customHeight="1">
      <x:c r="A3574" s="17" t="str">
        <x:v>stage4src:f9fdcd561b9583d8</x:v>
      </x:c>
      <x:c r="B3574" s="17" t="str">
        <x:v>professor</x:v>
      </x:c>
      <x:c r="C3574" s="17" t="str">
        <x:v>Ontario Tech University</x:v>
      </x:c>
      <x:c r="D3574" s="17" t="str">
        <x:v>ca:dli:O19315945002:program:thesis-or-research-master-s:software-engineering-masc</x:v>
      </x:c>
      <x:c r="E3574" s="17" t="str">
        <x:v>ca:dli:O19315945002:faculty:kundi-yao</x:v>
      </x:c>
      <x:c r="F3574" s="17" t="str">
        <x:v>recent work|research fit</x:v>
      </x:c>
      <x:c r="G3574" s="17" t="str">
        <x:v>The 2025 paper supports the recorded automated-testing and software-quality fit.</x:v>
      </x:c>
      <x:c r="H3574" s="17" t="str">
        <x:v>Who's to Blame? Rethinking Brittleness of Automated Web GUI Testing</x:v>
      </x:c>
      <x:c r="I3574" s="17" t="str">
        <x:v>OpenAlex / cited venue</x:v>
      </x:c>
      <x:c r="J3574" s="17" t="str">
        <x:v>secondary</x:v>
      </x:c>
      <x:c r="K3574" s="17" t="str">
        <x:v>2026-09-11</x:v>
      </x:c>
      <x:c r="L3574" s="17" t="str">
        <x:v>2025</x:v>
      </x:c>
      <x:c r="M3574" s="17" t="str">
        <x:v>high</x:v>
      </x:c>
      <x:c r="N3574" s="17" t="str">
        <x:v>verified</x:v>
      </x:c>
      <x:c r="O3574" s="17" t="str">
        <x:v>Author-hosted paper checked 2026-09-10.</x:v>
      </x:c>
      <x:c r="P3574" s="18" t="e">
        <x:f>HYPERLINK("https://kdyao.github.io/resources/papers/ASE2025_Haonan.pdf","Open source")</x:f>
        <x:v>HYPERLINK is not implemented. linkLocation=https://kdyao.github.io/resources/papers/ASE2025_Haonan.pdf, friendlyName=Open source</x:v>
      </x:c>
    </x:row>
    <x:row r="3575" ht="46" customHeight="1">
      <x:c r="A3575" s="17" t="str">
        <x:v>stage4src:fa4ad620b982c6a0</x:v>
      </x:c>
      <x:c r="B3575" s="17" t="str">
        <x:v>professor</x:v>
      </x:c>
      <x:c r="C3575" s="17" t="str">
        <x:v>University of Waterloo</x:v>
      </x:c>
      <x:c r="D3575" s="17" t="str">
        <x:v>ca:dli:O19305471522:program:thesis-or-research-master-s:master-of-applied-science-in-electrical-and-computer-engineering</x:v>
      </x:c>
      <x:c r="E3575" s="17" t="str"/>
      <x:c r="F3575" s="17" t="str">
        <x:v>current faculty roster|candidate longlist</x:v>
      </x:c>
      <x:c r="G3575" s="17" t="str">
        <x:v>Current official department roster or research-area faculty listing used to identify the five-person Stage 4 candidate longlist.</x:v>
      </x:c>
      <x:c r="H3575" s="17" t="str">
        <x:v>University of Waterloo current faculty roster</x:v>
      </x:c>
      <x:c r="I3575" s="17" t="str">
        <x:v>University of Waterloo</x:v>
      </x:c>
      <x:c r="J3575" s="17" t="str">
        <x:v>official</x:v>
      </x:c>
      <x:c r="K3575" s="17" t="str">
        <x:v>2026-09-11</x:v>
      </x:c>
      <x:c r="L3575" s="17" t="str"/>
      <x:c r="M3575" s="17" t="str">
        <x:v>high</x:v>
      </x:c>
      <x:c r="N3575" s="17" t="str">
        <x:v>verified</x:v>
      </x:c>
      <x:c r="O3575" s="17" t="str">
        <x:v>Roster evidence establishes a current listing, not program-specific supervision authority or recruiting.</x:v>
      </x:c>
      <x:c r="P3575" s="18" t="e">
        <x:f>HYPERLINK("https://uwaterloo.ca/electrical-computer-engineering/contacts?group%5B61%5D=61&amp;title=","Open source")</x:f>
        <x:v>HYPERLINK is not implemented. linkLocation=https://uwaterloo.ca/electrical-computer-engineering/contacts?group%5B61%5D=61&amp;title=, friendlyName=Open source</x:v>
      </x:c>
    </x:row>
    <x:row r="3576" ht="46" customHeight="1">
      <x:c r="A3576" s="17" t="str">
        <x:v>stage4src:fb6aba959088cea5</x:v>
      </x:c>
      <x:c r="B3576" s="17" t="str">
        <x:v>professor</x:v>
      </x:c>
      <x:c r="C3576" s="17" t="str">
        <x:v>Stony Brook University</x:v>
      </x:c>
      <x:c r="D3576" s="17" t="str">
        <x:v>us:ipeds:196097:program:phd:computer-science-phd</x:v>
      </x:c>
      <x:c r="E3576" s="17" t="str">
        <x:v>us:ipeds:196097:faculty:dongyoon-lee</x:v>
      </x:c>
      <x:c r="F3576" s="17" t="str">
        <x:v>recent work|research fit</x:v>
      </x:c>
      <x:c r="G3576" s="17" t="str">
        <x:v>The university research profile records current projects and the 2025 HALO publication.</x:v>
      </x:c>
      <x:c r="H3576" s="17" t="str">
        <x:v>Dongyoon Lee research profile</x:v>
      </x:c>
      <x:c r="I3576" s="17" t="str">
        <x:v>Stony Brook University</x:v>
      </x:c>
      <x:c r="J3576" s="17" t="str">
        <x:v>official</x:v>
      </x:c>
      <x:c r="K3576" s="17" t="str">
        <x:v>2026-09-11</x:v>
      </x:c>
      <x:c r="L3576" s="17" t="str">
        <x:v>2025</x:v>
      </x:c>
      <x:c r="M3576" s="17" t="str">
        <x:v>high</x:v>
      </x:c>
      <x:c r="N3576" s="17" t="str">
        <x:v>verified</x:v>
      </x:c>
      <x:c r="O3576" s="17" t="str">
        <x:v>Official university research profile checked 2026-09-10.</x:v>
      </x:c>
      <x:c r="P3576" s="18" t="e">
        <x:f>HYPERLINK("https://researchconnect.stonybrook.edu/en/persons/dongyoon-lee-2/","Open source")</x:f>
        <x:v>HYPERLINK is not implemented. linkLocation=https://researchconnect.stonybrook.edu/en/persons/dongyoon-lee-2/, friendlyName=Open source</x:v>
      </x:c>
    </x:row>
    <x:row r="3577" ht="46" customHeight="1">
      <x:c r="A3577" s="17" t="str">
        <x:v>stage4src:fb70dd2f96a45a49</x:v>
      </x:c>
      <x:c r="B3577" s="17" t="str">
        <x:v>professor</x:v>
      </x:c>
      <x:c r="C3577" s="17" t="str">
        <x:v>University of Colorado Boulder</x:v>
      </x:c>
      <x:c r="D3577" s="17" t="str">
        <x:v>us:ipeds:126614:program:phd:computer-science-phd</x:v>
      </x:c>
      <x:c r="E3577" s="17" t="str"/>
      <x:c r="F3577" s="17" t="str">
        <x:v>current faculty roster|candidate longlist</x:v>
      </x:c>
      <x:c r="G3577" s="17" t="str">
        <x:v>Current official department roster or research-area faculty listing used to identify the five-person Stage 4 candidate longlist.</x:v>
      </x:c>
      <x:c r="H3577" s="17" t="str">
        <x:v>University of Colorado Boulder current faculty roster</x:v>
      </x:c>
      <x:c r="I3577" s="17" t="str">
        <x:v>University of Colorado Boulder</x:v>
      </x:c>
      <x:c r="J3577" s="17" t="str">
        <x:v>official</x:v>
      </x:c>
      <x:c r="K3577" s="17" t="str">
        <x:v>2026-09-11</x:v>
      </x:c>
      <x:c r="L3577" s="17" t="str"/>
      <x:c r="M3577" s="17" t="str">
        <x:v>high</x:v>
      </x:c>
      <x:c r="N3577" s="17" t="str">
        <x:v>verified</x:v>
      </x:c>
      <x:c r="O3577" s="17" t="str">
        <x:v>Roster evidence establishes a current listing, not program-specific supervision authority or recruiting.</x:v>
      </x:c>
      <x:c r="P3577" s="18" t="e">
        <x:f>HYPERLINK("https://plv.colorado.edu/","Open source")</x:f>
        <x:v>HYPERLINK is not implemented. linkLocation=https://plv.colorado.edu/, friendlyName=Open source</x:v>
      </x:c>
    </x:row>
    <x:row r="3578" ht="46" customHeight="1">
      <x:c r="A3578" s="17" t="str">
        <x:v>stage4src:fb90d62f31fdf9d9</x:v>
      </x:c>
      <x:c r="B3578" s="17" t="str">
        <x:v>professor</x:v>
      </x:c>
      <x:c r="C3578" s="17" t="str">
        <x:v>University College London</x:v>
      </x:c>
      <x:c r="D3578" s="17" t="str">
        <x:v>ror:02jx3x895:program:integrated-or-structured-doctorate:computer-science-mphil-phd</x:v>
      </x:c>
      <x:c r="E3578" s="17" t="str">
        <x:v>ror:02jx3x895:faculty:federica-sarro</x:v>
      </x:c>
      <x:c r="F3578" s="17" t="str">
        <x:v>discovery publication signal|recent work</x:v>
      </x:c>
      <x:c r="G3578" s="17" t="str">
        <x:v>Publication metadata was examined for shortlist triage only; publication-time affiliation does not establish current appointment, supervision authority, or recruiting.</x:v>
      </x:c>
      <x:c r="H3578" s="17" t="str">
        <x:v>OpenAlex publication signal for Federica Sarro</x:v>
      </x:c>
      <x:c r="I3578" s="17" t="str">
        <x:v>OpenAlex / cited venue</x:v>
      </x:c>
      <x:c r="J3578" s="17" t="str">
        <x:v>secondary</x:v>
      </x:c>
      <x:c r="K3578" s="17" t="str">
        <x:v>2026-09-11</x:v>
      </x:c>
      <x:c r="L3578" s="17" t="str"/>
      <x:c r="M3578" s="17" t="str">
        <x:v>medium</x:v>
      </x:c>
      <x:c r="N3578" s="17" t="str">
        <x:v>discovery_only</x:v>
      </x:c>
      <x:c r="O3578" s="17" t="str">
        <x:v>Not used to award a professor score or faculty-depth point.</x:v>
      </x:c>
      <x:c r="P3578" s="18" t="e">
        <x:f>HYPERLINK("https://openalex.org/A5012165852","Open source")</x:f>
        <x:v>HYPERLINK is not implemented. linkLocation=https://openalex.org/A5012165852, friendlyName=Open source</x:v>
      </x:c>
    </x:row>
    <x:row r="3579" ht="46" customHeight="1">
      <x:c r="A3579" s="17" t="str">
        <x:v>stage4src:fc1e659a7ee84d9d</x:v>
      </x:c>
      <x:c r="B3579" s="17" t="str">
        <x:v>professor</x:v>
      </x:c>
      <x:c r="C3579" s="17" t="str">
        <x:v>University of Wisconsin-Madison</x:v>
      </x:c>
      <x:c r="D3579" s="17" t="str">
        <x:v>us:ipeds:240444:program:phd:computer-sciences-phd</x:v>
      </x:c>
      <x:c r="E3579" s="17" t="str">
        <x:v>us:ipeds:240444:faculty:aws-albarghouthi</x:v>
      </x:c>
      <x:c r="F3579" s="17" t="str">
        <x:v>current faculty roster|program supervision authority|research themes</x:v>
      </x:c>
      <x:c r="G3579" s="17" t="str">
        <x:v>The current programming-languages group lists Aws Albarghouthi among faculty and identifies verification, synthesis, language design, and software security as group areas.</x:v>
      </x:c>
      <x:c r="H3579" s="17" t="str">
        <x:v>madPL</x:v>
      </x:c>
      <x:c r="I3579" s="17" t="str">
        <x:v>University of Wisconsin-Madison</x:v>
      </x:c>
      <x:c r="J3579" s="17" t="str">
        <x:v>official</x:v>
      </x:c>
      <x:c r="K3579" s="17" t="str">
        <x:v>2026-09-11</x:v>
      </x:c>
      <x:c r="L3579" s="17" t="str">
        <x:v>2026</x:v>
      </x:c>
      <x:c r="M3579" s="17" t="str">
        <x:v>high</x:v>
      </x:c>
      <x:c r="N3579" s="17" t="str">
        <x:v>verified</x:v>
      </x:c>
      <x:c r="O3579" s="17" t="str">
        <x:v>Current group roster checked 2026-09-10.</x:v>
      </x:c>
      <x:c r="P3579" s="18" t="e">
        <x:f>HYPERLINK("https://madpl.cs.wisc.edu/","Open source")</x:f>
        <x:v>HYPERLINK is not implemented. linkLocation=https://madpl.cs.wisc.edu/, friendlyName=Open source</x:v>
      </x:c>
    </x:row>
    <x:row r="3580" ht="46" customHeight="1">
      <x:c r="A3580" s="17" t="str">
        <x:v>stage4src:fc7b7591ddda1aa6</x:v>
      </x:c>
      <x:c r="B3580" s="17" t="str">
        <x:v>professor</x:v>
      </x:c>
      <x:c r="C3580" s="17" t="str">
        <x:v>Ontario Tech University</x:v>
      </x:c>
      <x:c r="D3580" s="17" t="str">
        <x:v>ca:dli:O19315945002:program:thesis-or-research-master-s:software-engineering-masc</x:v>
      </x:c>
      <x:c r="E3580" s="17" t="str"/>
      <x:c r="F3580" s="17" t="str">
        <x:v>current faculty roster|candidate longlist</x:v>
      </x:c>
      <x:c r="G3580" s="17" t="str">
        <x:v>Current official department roster or research-area faculty listing used to identify the five-person Stage 4 candidate longlist.</x:v>
      </x:c>
      <x:c r="H3580" s="17" t="str">
        <x:v>Ontario Tech University current faculty roster</x:v>
      </x:c>
      <x:c r="I3580" s="17" t="str">
        <x:v>Ontario Tech University</x:v>
      </x:c>
      <x:c r="J3580" s="17" t="str">
        <x:v>official</x:v>
      </x:c>
      <x:c r="K3580" s="17" t="str">
        <x:v>2026-09-11</x:v>
      </x:c>
      <x:c r="L3580" s="17" t="str"/>
      <x:c r="M3580" s="17" t="str">
        <x:v>high</x:v>
      </x:c>
      <x:c r="N3580" s="17" t="str">
        <x:v>verified</x:v>
      </x:c>
      <x:c r="O3580" s="17" t="str">
        <x:v>Roster evidence establishes a current listing, not program-specific supervision authority or recruiting.</x:v>
      </x:c>
      <x:c r="P3580" s="18" t="e">
        <x:f>HYPERLINK("https://engineering.ontariotechu.ca/people/ecse/index.php","Open source")</x:f>
        <x:v>HYPERLINK is not implemented. linkLocation=https://engineering.ontariotechu.ca/people/ecse/index.php, friendlyName=Open source</x:v>
      </x:c>
    </x:row>
    <x:row r="3581" ht="46" customHeight="1">
      <x:c r="A3581" s="17" t="str">
        <x:v>stage4src:fcafc839ac6c3dd8</x:v>
      </x:c>
      <x:c r="B3581" s="17" t="str">
        <x:v>professor</x:v>
      </x:c>
      <x:c r="C3581" s="17" t="str">
        <x:v>Saint Mary’s University</x:v>
      </x:c>
      <x:c r="D3581" s="17" t="str">
        <x:v>ca:dli:O19021279692:program:thesis-or-research-master-s:msc-in-applied-science-computing-science-research-field</x:v>
      </x:c>
      <x:c r="E3581" s="17" t="str">
        <x:v>ca:dli:O19021279692:faculty:somayeh-kafaie</x:v>
      </x:c>
      <x:c r="F3581" s="17" t="str">
        <x:v>active research direction|recruiting uncertainty</x:v>
      </x:c>
      <x:c r="G3581" s="17" t="str">
        <x:v>The directory lists Kafaie opportunities in knowledge graphs and explainable AI but does not establish a funded Fall 2027 MSc seat.</x:v>
      </x:c>
      <x:c r="H3581" s="17" t="str">
        <x:v>Student Research Opportunities</x:v>
      </x:c>
      <x:c r="I3581" s="17" t="str">
        <x:v>Saint Mary’s University</x:v>
      </x:c>
      <x:c r="J3581" s="17" t="str">
        <x:v>official</x:v>
      </x:c>
      <x:c r="K3581" s="17" t="str">
        <x:v>2026-09-11</x:v>
      </x:c>
      <x:c r="L3581" s="17" t="str">
        <x:v>2026</x:v>
      </x:c>
      <x:c r="M3581" s="17" t="str">
        <x:v>high</x:v>
      </x:c>
      <x:c r="N3581" s="17" t="str">
        <x:v>verified</x:v>
      </x:c>
      <x:c r="O3581" s="17" t="str">
        <x:v>Live directory checked 2026-09-11; not treated as candidate-specific graduate recruiting.</x:v>
      </x:c>
      <x:c r="P3581" s="18" t="e">
        <x:f>HYPERLINK("https://www.smu.ca/research/student-research-opportunities.html","Open source")</x:f>
        <x:v>HYPERLINK is not implemented. linkLocation=https://www.smu.ca/research/student-research-opportunities.html, friendlyName=Open source</x:v>
      </x:c>
    </x:row>
    <x:row r="3582" ht="46" customHeight="1">
      <x:c r="A3582" s="17" t="str">
        <x:v>stage4src:fcd10fe0453509b5</x:v>
      </x:c>
      <x:c r="B3582" s="17" t="str">
        <x:v>professor</x:v>
      </x:c>
      <x:c r="C3582" s="17" t="str">
        <x:v>University of Oregon</x:v>
      </x:c>
      <x:c r="D3582" s="17" t="str">
        <x:v>us:ipeds:209551:program:phd:phd-in-computer-science</x:v>
      </x:c>
      <x:c r="E3582" s="17" t="str">
        <x:v>us:ipeds:209551:faculty:suyash-gupta</x:v>
      </x:c>
      <x:c r="F3582" s="17" t="str">
        <x:v>current appointment|department|email|research themes</x:v>
      </x:c>
      <x:c r="G3582" s="17" t="str">
        <x:v>Oregon lists Gupta as Assistant Professor of Computer Science, provides his email, and records distributed systems, databases, fault tolerance, security, and blockchain interests.</x:v>
      </x:c>
      <x:c r="H3582" s="17" t="str">
        <x:v>Computer Science Faculty</x:v>
      </x:c>
      <x:c r="I3582" s="17" t="str">
        <x:v>University of Oregon</x:v>
      </x:c>
      <x:c r="J3582" s="17" t="str">
        <x:v>official</x:v>
      </x:c>
      <x:c r="K3582" s="17" t="str">
        <x:v>2026-09-11</x:v>
      </x:c>
      <x:c r="L3582" s="17" t="str">
        <x:v>2026</x:v>
      </x:c>
      <x:c r="M3582" s="17" t="str">
        <x:v>high</x:v>
      </x:c>
      <x:c r="N3582" s="17" t="str">
        <x:v>verified</x:v>
      </x:c>
      <x:c r="O3582" s="17" t="str">
        <x:v>Live official directory checked 2026-09-11.</x:v>
      </x:c>
      <x:c r="P3582" s="18" t="e">
        <x:f>HYPERLINK("https://cas.uoregon.edu/directory/computer-science-faculty","Open source")</x:f>
        <x:v>HYPERLINK is not implemented. linkLocation=https://cas.uoregon.edu/directory/computer-science-faculty, friendlyName=Open source</x:v>
      </x:c>
    </x:row>
    <x:row r="3583" ht="46" customHeight="1">
      <x:c r="A3583" s="17" t="str">
        <x:v>stage4src:fcef7d6342205896</x:v>
      </x:c>
      <x:c r="B3583" s="17" t="str">
        <x:v>professor</x:v>
      </x:c>
      <x:c r="C3583" s="17" t="str">
        <x:v>Concordia University</x:v>
      </x:c>
      <x:c r="D3583" s="17" t="str">
        <x:v>ca:dli:O19359011007:program:thesis-or-research-master-s:cybersecurity-engineering-masc</x:v>
      </x:c>
      <x:c r="E3583" s="17" t="str">
        <x:v>ca:dli:O19359011007:faculty:suryadipta-majumdar</x:v>
      </x:c>
      <x:c r="F3583" s="17" t="str">
        <x:v>discovery publication signal|recent work</x:v>
      </x:c>
      <x:c r="G3583" s="17" t="str">
        <x:v>Publication metadata was examined for shortlist triage only; publication-time affiliation does not establish current appointment, supervision authority, or recruiting.</x:v>
      </x:c>
      <x:c r="H3583" s="17" t="str">
        <x:v>OpenAlex publication signal for Suryadipta Majumdar</x:v>
      </x:c>
      <x:c r="I3583" s="17" t="str">
        <x:v>OpenAlex / cited venue</x:v>
      </x:c>
      <x:c r="J3583" s="17" t="str">
        <x:v>secondary</x:v>
      </x:c>
      <x:c r="K3583" s="17" t="str">
        <x:v>2026-09-11</x:v>
      </x:c>
      <x:c r="L3583" s="17" t="str"/>
      <x:c r="M3583" s="17" t="str">
        <x:v>medium</x:v>
      </x:c>
      <x:c r="N3583" s="17" t="str">
        <x:v>discovery_only</x:v>
      </x:c>
      <x:c r="O3583" s="17" t="str">
        <x:v>Not used to award a professor score or faculty-depth point.</x:v>
      </x:c>
      <x:c r="P3583" s="18" t="e">
        <x:f>HYPERLINK("https://openalex.org/A5013360015","Open source")</x:f>
        <x:v>HYPERLINK is not implemented. linkLocation=https://openalex.org/A5013360015, friendlyName=Open source</x:v>
      </x:c>
    </x:row>
    <x:row r="3584" ht="46" customHeight="1">
      <x:c r="A3584" s="17" t="str">
        <x:v>stage4src:fd1994cf51580c6b</x:v>
      </x:c>
      <x:c r="B3584" s="17" t="str">
        <x:v>professor</x:v>
      </x:c>
      <x:c r="C3584" s="17" t="str">
        <x:v>University of Massachusetts-Lowell</x:v>
      </x:c>
      <x:c r="D3584" s="17" t="str">
        <x:v>us:ipeds:166513:program:phd:doctor-of-philosophy-ph-d-in-computer-science</x:v>
      </x:c>
      <x:c r="E3584" s="17" t="str">
        <x:v>us:ipeds:166513:faculty:matteo-cimini</x:v>
      </x:c>
      <x:c r="F3584" s="17" t="str">
        <x:v>supervision authority|advisor requirement|program structure</x:v>
      </x:c>
      <x:c r="G3584" s="17" t="str">
        <x:v>The Computer Science PhD requires each student to find a CS faculty member willing to serve as thesis advisor.</x:v>
      </x:c>
      <x:c r="H3584" s="17" t="str">
        <x:v>Computer Science PhD Program Progress Checklist</x:v>
      </x:c>
      <x:c r="I3584" s="17" t="str">
        <x:v>University of Massachusetts-Lowell</x:v>
      </x:c>
      <x:c r="J3584" s="17" t="str">
        <x:v>official</x:v>
      </x:c>
      <x:c r="K3584" s="17" t="str">
        <x:v>2026-09-11</x:v>
      </x:c>
      <x:c r="L3584" s="17" t="str">
        <x:v>2026</x:v>
      </x:c>
      <x:c r="M3584" s="17" t="str">
        <x:v>high</x:v>
      </x:c>
      <x:c r="N3584" s="17" t="str">
        <x:v>verified</x:v>
      </x:c>
      <x:c r="O3584" s="17" t="str">
        <x:v>Live official requirements checked 2026-09-11.</x:v>
      </x:c>
      <x:c r="P3584" s="18" t="e">
        <x:f>HYPERLINK("https://www.uml.edu/sciences/computer-science/programs/masters/doctorate/checklist.aspx","Open source")</x:f>
        <x:v>HYPERLINK is not implemented. linkLocation=https://www.uml.edu/sciences/computer-science/programs/masters/doctorate/checklist.aspx, friendlyName=Open source</x:v>
      </x:c>
    </x:row>
    <x:row r="3585" ht="46" customHeight="1">
      <x:c r="A3585" s="17" t="str">
        <x:v>stage4src:fd240d08618b2961</x:v>
      </x:c>
      <x:c r="B3585" s="17" t="str">
        <x:v>professor</x:v>
      </x:c>
      <x:c r="C3585" s="17" t="str">
        <x:v>Northwestern University</x:v>
      </x:c>
      <x:c r="D3585" s="17" t="str">
        <x:v>us:ipeds:147767:program:phd:phd-in-computer-science</x:v>
      </x:c>
      <x:c r="E3585" s="17" t="str">
        <x:v>us:ipeds:147767:faculty:robby-findler</x:v>
      </x:c>
      <x:c r="F3585" s="17" t="str">
        <x:v>program supervision authority|adviser model</x:v>
      </x:c>
      <x:c r="G3585" s="17" t="str">
        <x:v>Northwestern requires Computer Science PhD students to identify a research adviser and complete adviser-governed milestones; its manual limits advisers to faculty with a CS academic appointment.</x:v>
      </x:c>
      <x:c r="H3585" s="17" t="str">
        <x:v>Curriculum and Requirements for PhD Program</x:v>
      </x:c>
      <x:c r="I3585" s="17" t="str">
        <x:v>Northwestern University</x:v>
      </x:c>
      <x:c r="J3585" s="17" t="str">
        <x:v>official</x:v>
      </x:c>
      <x:c r="K3585" s="17" t="str">
        <x:v>2026-09-11</x:v>
      </x:c>
      <x:c r="L3585" s="17" t="str">
        <x:v>2026</x:v>
      </x:c>
      <x:c r="M3585" s="17" t="str">
        <x:v>high</x:v>
      </x:c>
      <x:c r="N3585" s="17" t="str">
        <x:v>verified</x:v>
      </x:c>
      <x:c r="O3585" s="17" t="str">
        <x:v>Live official requirements checked 2026-09-11.</x:v>
      </x:c>
      <x:c r="P3585" s="18" t="e">
        <x:f>HYPERLINK("https://www.mccormick.northwestern.edu/computer-science/academics/graduate/phd/curriculum.html","Open source")</x:f>
        <x:v>HYPERLINK is not implemented. linkLocation=https://www.mccormick.northwestern.edu/computer-science/academics/graduate/phd/curriculum.html, friendlyName=Open source</x:v>
      </x:c>
    </x:row>
    <x:row r="3586" ht="46" customHeight="1">
      <x:c r="A3586" s="17" t="str">
        <x:v>stage4src:fd6db26bdf01cc58</x:v>
      </x:c>
      <x:c r="B3586" s="17" t="str">
        <x:v>professor</x:v>
      </x:c>
      <x:c r="C3586" s="17" t="str">
        <x:v>University of Colorado Colorado Springs</x:v>
      </x:c>
      <x:c r="D3586" s="17" t="str">
        <x:v>us:ipeds:126580:program:phd:cybersecurity-phd</x:v>
      </x:c>
      <x:c r="E3586" s="17" t="str">
        <x:v>us:ipeds:126580:faculty:sang-yoon-chang</x:v>
      </x:c>
      <x:c r="F3586" s="17" t="str">
        <x:v>program context|advisor role|research doctorate</x:v>
      </x:c>
      <x:c r="G3586" s="17" t="str">
        <x:v>UCCS describes the research-oriented Cybersecurity PhD and the central role of the PhD advisor and advisory committee.</x:v>
      </x:c>
      <x:c r="H3586" s="17" t="str">
        <x:v>Cybersecurity PhD</x:v>
      </x:c>
      <x:c r="I3586" s="17" t="str">
        <x:v>University of Colorado Colorado Springs</x:v>
      </x:c>
      <x:c r="J3586" s="17" t="str">
        <x:v>official</x:v>
      </x:c>
      <x:c r="K3586" s="17" t="str">
        <x:v>2026-09-11</x:v>
      </x:c>
      <x:c r="L3586" s="17" t="str">
        <x:v>2026</x:v>
      </x:c>
      <x:c r="M3586" s="17" t="str">
        <x:v>high</x:v>
      </x:c>
      <x:c r="N3586" s="17" t="str">
        <x:v>verified</x:v>
      </x:c>
      <x:c r="O3586" s="17" t="str">
        <x:v>Live official program page checked 2026-09-11.</x:v>
      </x:c>
      <x:c r="P3586" s="18" t="e">
        <x:f>HYPERLINK("https://www.uccs.edu/academics/programs/security-phd","Open source")</x:f>
        <x:v>HYPERLINK is not implemented. linkLocation=https://www.uccs.edu/academics/programs/security-phd, friendlyName=Open source</x:v>
      </x:c>
    </x:row>
    <x:row r="3587" ht="46" customHeight="1">
      <x:c r="A3587" s="17" t="str">
        <x:v>stage4src:fdc59fa99f469f5e</x:v>
      </x:c>
      <x:c r="B3587" s="17" t="str">
        <x:v>professor</x:v>
      </x:c>
      <x:c r="C3587" s="17" t="str">
        <x:v>Illinois Institute of Technology</x:v>
      </x:c>
      <x:c r="D3587" s="17" t="str">
        <x:v>us:ipeds:145725:program:phd:computer-science-ph-d</x:v>
      </x:c>
      <x:c r="E3587" s="17" t="str">
        <x:v>us:ipeds:145725:faculty:nik-sultana</x:v>
      </x:c>
      <x:c r="F3587" s="17" t="str">
        <x:v>current appointment|active project|research fit</x:v>
      </x:c>
      <x:c r="G3587" s="17" t="str">
        <x:v>The December 2025 feature confirms Sultana's current appointment and active programmable-networking research.</x:v>
      </x:c>
      <x:c r="H3587" s="17" t="str">
        <x:v>Switching Speeds</x:v>
      </x:c>
      <x:c r="I3587" s="17" t="str">
        <x:v>Illinois Institute of Technology</x:v>
      </x:c>
      <x:c r="J3587" s="17" t="str">
        <x:v>official</x:v>
      </x:c>
      <x:c r="K3587" s="17" t="str">
        <x:v>2026-09-11</x:v>
      </x:c>
      <x:c r="L3587" s="17" t="str">
        <x:v>2025</x:v>
      </x:c>
      <x:c r="M3587" s="17" t="str">
        <x:v>high</x:v>
      </x:c>
      <x:c r="N3587" s="17" t="str">
        <x:v>verified</x:v>
      </x:c>
      <x:c r="O3587" s="17" t="str">
        <x:v>Official feature checked 2026-09-11.</x:v>
      </x:c>
      <x:c r="P3587" s="18" t="e">
        <x:f>HYPERLINK("https://www.iit.edu/news/switching-speeds-new-research-explores-how-scientists-can-compute-data-faster","Open source")</x:f>
        <x:v>HYPERLINK is not implemented. linkLocation=https://www.iit.edu/news/switching-speeds-new-research-explores-how-scientists-can-compute-data-faster, friendlyName=Open source</x:v>
      </x:c>
    </x:row>
    <x:row r="3588" ht="46" customHeight="1">
      <x:c r="A3588" s="17" t="str">
        <x:v>stage4src:fdce189aa81e2460</x:v>
      </x:c>
      <x:c r="B3588" s="17" t="str">
        <x:v>professor</x:v>
      </x:c>
      <x:c r="C3588" s="17" t="str">
        <x:v>University of Alabama at Birmingham</x:v>
      </x:c>
      <x:c r="D3588" s="17" t="str">
        <x:v>us:ipeds:100663:program:phd:ph-d-in-computer-science</x:v>
      </x:c>
      <x:c r="E3588" s="17" t="str">
        <x:v>us:ipeds:100663:faculty:ragib-hasan</x:v>
      </x:c>
      <x:c r="F3588" s="17" t="str">
        <x:v>current appointment|email</x:v>
      </x:c>
      <x:c r="G3588" s="17" t="str">
        <x:v>The 2026–2027 roster lists Hasan in Computer Science governance and gives ragib@uab.edu.</x:v>
      </x:c>
      <x:c r="H3588" s="17" t="str">
        <x:v>2026 Faculty Senate Roster</x:v>
      </x:c>
      <x:c r="I3588" s="17" t="str">
        <x:v>University of Alabama at Birmingham</x:v>
      </x:c>
      <x:c r="J3588" s="17" t="str">
        <x:v>official</x:v>
      </x:c>
      <x:c r="K3588" s="17" t="str">
        <x:v>2026-09-11</x:v>
      </x:c>
      <x:c r="L3588" s="17" t="str">
        <x:v>2026</x:v>
      </x:c>
      <x:c r="M3588" s="17" t="str">
        <x:v>high</x:v>
      </x:c>
      <x:c r="N3588" s="17" t="str">
        <x:v>verified</x:v>
      </x:c>
      <x:c r="O3588" s="17" t="str">
        <x:v>Current official roster checked 2026-09-10.</x:v>
      </x:c>
      <x:c r="P3588" s="18" t="e">
        <x:f>HYPERLINK("https://www.uab.edu/facultysenate/roster/officers","Open source")</x:f>
        <x:v>HYPERLINK is not implemented. linkLocation=https://www.uab.edu/facultysenate/roster/officers, friendlyName=Open source</x:v>
      </x:c>
    </x:row>
    <x:row r="3589" ht="46" customHeight="1">
      <x:c r="A3589" s="17" t="str">
        <x:v>stage4src:fe22a089faa28d0c</x:v>
      </x:c>
      <x:c r="B3589" s="17" t="str">
        <x:v>professor</x:v>
      </x:c>
      <x:c r="C3589" s="17" t="str">
        <x:v>University of Rochester</x:v>
      </x:c>
      <x:c r="D3589" s="17" t="str">
        <x:v>us:ipeds:195030:program:phd:phd-program-in-computer-science</x:v>
      </x:c>
      <x:c r="E3589" s="17" t="str">
        <x:v>us:ipeds:195030:faculty:john-criswell</x:v>
      </x:c>
      <x:c r="F3589" s="17" t="str">
        <x:v>current appointment|research themes|email</x:v>
      </x:c>
      <x:c r="G3589" s="17" t="str">
        <x:v>The current profile identifies John Criswell as an Associate Professor of Computer Science and provides his email and compiler-security research themes.</x:v>
      </x:c>
      <x:c r="H3589" s="17" t="str">
        <x:v>John Criswell</x:v>
      </x:c>
      <x:c r="I3589" s="17" t="str">
        <x:v>University of Rochester</x:v>
      </x:c>
      <x:c r="J3589" s="17" t="str">
        <x:v>official</x:v>
      </x:c>
      <x:c r="K3589" s="17" t="str">
        <x:v>2026-09-11</x:v>
      </x:c>
      <x:c r="L3589" s="17" t="str">
        <x:v>2026</x:v>
      </x:c>
      <x:c r="M3589" s="17" t="str">
        <x:v>high</x:v>
      </x:c>
      <x:c r="N3589" s="17" t="str">
        <x:v>verified</x:v>
      </x:c>
      <x:c r="O3589" s="17" t="str">
        <x:v>Current official profile checked 2026-09-10.</x:v>
      </x:c>
      <x:c r="P3589" s="18" t="e">
        <x:f>HYPERLINK("https://cs.rochester.edu/people/faculty/criswell_john/index.html","Open source")</x:f>
        <x:v>HYPERLINK is not implemented. linkLocation=https://cs.rochester.edu/people/faculty/criswell_john/index.html, friendlyName=Open source</x:v>
      </x:c>
    </x:row>
    <x:row r="3590" ht="46" customHeight="1">
      <x:c r="A3590" s="17" t="str">
        <x:v>stage4src:fe7c2cc6f3071899</x:v>
      </x:c>
      <x:c r="B3590" s="17" t="str">
        <x:v>professor</x:v>
      </x:c>
      <x:c r="C3590" s="17" t="str">
        <x:v>Concordia University</x:v>
      </x:c>
      <x:c r="D3590" s="17" t="str">
        <x:v>ca:dli:O19359011007:program:thesis-or-research-master-s:software-engineering-masc</x:v>
      </x:c>
      <x:c r="E3590" s="17" t="str"/>
      <x:c r="F3590" s="17" t="str">
        <x:v>current faculty roster|candidate longlist</x:v>
      </x:c>
      <x:c r="G3590" s="17" t="str">
        <x:v>Current official department roster or research-area faculty listing used to identify the five-person Stage 4 candidate longlist.</x:v>
      </x:c>
      <x:c r="H3590" s="17" t="str">
        <x:v>Concordia University current faculty roster</x:v>
      </x:c>
      <x:c r="I3590" s="17" t="str">
        <x:v>Concordia University</x:v>
      </x:c>
      <x:c r="J3590" s="17" t="str">
        <x:v>official</x:v>
      </x:c>
      <x:c r="K3590" s="17" t="str">
        <x:v>2026-09-11</x:v>
      </x:c>
      <x:c r="L3590" s="17" t="str"/>
      <x:c r="M3590" s="17" t="str">
        <x:v>high</x:v>
      </x:c>
      <x:c r="N3590" s="17" t="str">
        <x:v>verified</x:v>
      </x:c>
      <x:c r="O3590" s="17" t="str">
        <x:v>Roster evidence establishes a current listing, not program-specific supervision authority or recruiting.</x:v>
      </x:c>
      <x:c r="P3590" s="18" t="e">
        <x:f>HYPERLINK("https://www.concordia.ca/ginacody/computer-science-software-eng/about/faculty-members.html","Open source")</x:f>
        <x:v>HYPERLINK is not implemented. linkLocation=https://www.concordia.ca/ginacody/computer-science-software-eng/about/faculty-members.html, friendlyName=Open source</x:v>
      </x:c>
    </x:row>
    <x:row r="3591" ht="46" customHeight="1">
      <x:c r="A3591" s="17" t="str">
        <x:v>stage4src:fe99dd269d5f921b</x:v>
      </x:c>
      <x:c r="B3591" s="17" t="str">
        <x:v>professor</x:v>
      </x:c>
      <x:c r="C3591" s="17" t="str">
        <x:v>University of Kentucky</x:v>
      </x:c>
      <x:c r="D3591" s="17" t="str">
        <x:v>us:ipeds:157085:program:phd:doctoral-degree-in-computer-science</x:v>
      </x:c>
      <x:c r="E3591" s="17" t="str">
        <x:v>us:ipeds:157085:faculty:mark-marron</x:v>
      </x:c>
      <x:c r="F3591" s="17" t="str">
        <x:v>current appointment|program supervision authority|email</x:v>
      </x:c>
      <x:c r="G3591" s="17" t="str">
        <x:v>The current College of Engineering profile lists Marron as a Computer Science Associate Professor and provides his official email.</x:v>
      </x:c>
      <x:c r="H3591" s="17" t="str">
        <x:v>Mark Marron</x:v>
      </x:c>
      <x:c r="I3591" s="17" t="str">
        <x:v>University of Kentucky</x:v>
      </x:c>
      <x:c r="J3591" s="17" t="str">
        <x:v>official</x:v>
      </x:c>
      <x:c r="K3591" s="17" t="str">
        <x:v>2026-09-11</x:v>
      </x:c>
      <x:c r="L3591" s="17" t="str"/>
      <x:c r="M3591" s="17" t="str">
        <x:v>high</x:v>
      </x:c>
      <x:c r="N3591" s="17" t="str">
        <x:v>verified</x:v>
      </x:c>
      <x:c r="O3591" s="17" t="str">
        <x:v>Current official profile checked 2026-09-10.</x:v>
      </x:c>
      <x:c r="P3591" s="18" t="e">
        <x:f>HYPERLINK("https://engr.uky.edu/people/mark-marron","Open source")</x:f>
        <x:v>HYPERLINK is not implemented. linkLocation=https://engr.uky.edu/people/mark-marron, friendlyName=Open source</x:v>
      </x:c>
    </x:row>
    <x:row r="3592" ht="46" customHeight="1">
      <x:c r="A3592" s="17" t="str">
        <x:v>stage4src:fea5d56ebdc87c19</x:v>
      </x:c>
      <x:c r="B3592" s="17" t="str">
        <x:v>professor</x:v>
      </x:c>
      <x:c r="C3592" s="17" t="str">
        <x:v>George Washington University</x:v>
      </x:c>
      <x:c r="D3592" s="17" t="str">
        <x:v>us:ipeds:131469:program:phd:phd-in-computer-science</x:v>
      </x:c>
      <x:c r="E3592" s="17" t="str"/>
      <x:c r="F3592" s="17" t="str">
        <x:v>current faculty roster|candidate longlist</x:v>
      </x:c>
      <x:c r="G3592" s="17" t="str">
        <x:v>Current official department roster or research-area faculty listing used to identify the five-person Stage 4 candidate longlist.</x:v>
      </x:c>
      <x:c r="H3592" s="17" t="str">
        <x:v>George Washington University current faculty roster</x:v>
      </x:c>
      <x:c r="I3592" s="17" t="str">
        <x:v>George Washington University</x:v>
      </x:c>
      <x:c r="J3592" s="17" t="str">
        <x:v>official</x:v>
      </x:c>
      <x:c r="K3592" s="17" t="str">
        <x:v>2026-09-11</x:v>
      </x:c>
      <x:c r="L3592" s="17" t="str"/>
      <x:c r="M3592" s="17" t="str">
        <x:v>high</x:v>
      </x:c>
      <x:c r="N3592" s="17" t="str">
        <x:v>verified</x:v>
      </x:c>
      <x:c r="O3592" s="17" t="str">
        <x:v>Roster evidence establishes a current listing, not program-specific supervision authority or recruiting.</x:v>
      </x:c>
      <x:c r="P3592" s="18" t="e">
        <x:f>HYPERLINK("https://cs.engineering.gwu.edu/faculty-directory","Open source")</x:f>
        <x:v>HYPERLINK is not implemented. linkLocation=https://cs.engineering.gwu.edu/faculty-directory, friendlyName=Open source</x:v>
      </x:c>
    </x:row>
    <x:row r="3593" ht="46" customHeight="1">
      <x:c r="A3593" s="17" t="str">
        <x:v>stage4src:fed7a17ee12dc729</x:v>
      </x:c>
      <x:c r="B3593" s="17" t="str">
        <x:v>professor</x:v>
      </x:c>
      <x:c r="C3593" s="17" t="str">
        <x:v>Concordia University</x:v>
      </x:c>
      <x:c r="D3593" s="17" t="str">
        <x:v>ca:dli:O19359011007:program:thesis-or-research-master-s:cybersecurity-engineering-masc</x:v>
      </x:c>
      <x:c r="E3593" s="17" t="str">
        <x:v>ca:dli:O19359011007:faculty:mourad-debbabi</x:v>
      </x:c>
      <x:c r="F3593" s="17" t="str">
        <x:v>recent work|sustained research|strong fit</x:v>
      </x:c>
      <x:c r="G3593" s="17" t="str">
        <x:v>The page records 2024-2026 work in IoT firmware analysis, NFV verification, and EV-charging security.</x:v>
      </x:c>
      <x:c r="H3593" s="17" t="str">
        <x:v>Mourad Debbabi Publications</x:v>
      </x:c>
      <x:c r="I3593" s="17" t="str">
        <x:v>Concordia University</x:v>
      </x:c>
      <x:c r="J3593" s="17" t="str">
        <x:v>official</x:v>
      </x:c>
      <x:c r="K3593" s="17" t="str">
        <x:v>2026-09-11</x:v>
      </x:c>
      <x:c r="L3593" s="17" t="str">
        <x:v>2026</x:v>
      </x:c>
      <x:c r="M3593" s="17" t="str">
        <x:v>high</x:v>
      </x:c>
      <x:c r="N3593" s="17" t="str">
        <x:v>verified</x:v>
      </x:c>
      <x:c r="O3593" s="17" t="str">
        <x:v>University-hosted page checked 2026-09-11.</x:v>
      </x:c>
      <x:c r="P3593" s="18" t="e">
        <x:f>HYPERLINK("https://users.encs.concordia.ca/~debbabi/","Open source")</x:f>
        <x:v>HYPERLINK is not implemented. linkLocation=https://users.encs.concordia.ca/~debbabi/, friendlyName=Open source</x:v>
      </x:c>
    </x:row>
    <x:row r="3594" ht="46" customHeight="1">
      <x:c r="A3594" s="17" t="str">
        <x:v>stage4src:ff1158a87cf4661f</x:v>
      </x:c>
      <x:c r="B3594" s="17" t="str">
        <x:v>professor</x:v>
      </x:c>
      <x:c r="C3594" s="17" t="str">
        <x:v>University of Rhode Island</x:v>
      </x:c>
      <x:c r="D3594" s="17" t="str">
        <x:v>us:ipeds:217484:program:phd:computer-science-ph-d</x:v>
      </x:c>
      <x:c r="E3594" s="17" t="str">
        <x:v>us:ipeds:217484:faculty:kaleel-mahmood</x:v>
      </x:c>
      <x:c r="F3594" s="17" t="str">
        <x:v>current appointment|department|email|research themes|recruiting evidence</x:v>
      </x:c>
      <x:c r="G3594" s="17" t="str">
        <x:v>URI lists Mahmood as a current Assistant Professor, gives his official email and adversarial-ML research themes, and explicitly invites motivated graduate students to join his research.</x:v>
      </x:c>
      <x:c r="H3594" s="17" t="str">
        <x:v>Kaleel Mahmood</x:v>
      </x:c>
      <x:c r="I3594" s="17" t="str">
        <x:v>University of Rhode Island</x:v>
      </x:c>
      <x:c r="J3594" s="17" t="str">
        <x:v>official</x:v>
      </x:c>
      <x:c r="K3594" s="17" t="str">
        <x:v>2026-09-11</x:v>
      </x:c>
      <x:c r="L3594" s="17" t="str">
        <x:v>2026</x:v>
      </x:c>
      <x:c r="M3594" s="17" t="str">
        <x:v>high</x:v>
      </x:c>
      <x:c r="N3594" s="17" t="str">
        <x:v>verified</x:v>
      </x:c>
      <x:c r="O3594" s="17" t="str">
        <x:v>Live official profile checked 2026-09-11.</x:v>
      </x:c>
      <x:c r="P3594" s="18" t="e">
        <x:f>HYPERLINK("https://web.uri.edu/cs/meet/kaleel-mahmood/","Open source")</x:f>
        <x:v>HYPERLINK is not implemented. linkLocation=https://web.uri.edu/cs/meet/kaleel-mahmood/, friendlyName=Open source</x:v>
      </x:c>
    </x:row>
    <x:row r="3595" ht="46" customHeight="1">
      <x:c r="A3595" s="17" t="str">
        <x:v>stage4src:ff2b499b11543225</x:v>
      </x:c>
      <x:c r="B3595" s="17" t="str">
        <x:v>professor</x:v>
      </x:c>
      <x:c r="C3595" s="17" t="str">
        <x:v>University College London</x:v>
      </x:c>
      <x:c r="D3595" s="17" t="str">
        <x:v>ror:02jx3x895:program:integrated-or-structured-doctorate:computer-science-mphil-phd</x:v>
      </x:c>
      <x:c r="E3595" s="17" t="str">
        <x:v>ror:02jx3x895:faculty:earl-barr</x:v>
      </x:c>
      <x:c r="F3595" s="17" t="str">
        <x:v>recent work|research fit</x:v>
      </x:c>
      <x:c r="G3595" s="17" t="str">
        <x:v>Official repository/profile/paper evidence; absence of a selected recent paper is explicitly marked</x:v>
      </x:c>
      <x:c r="H3595" s="17" t="str">
        <x:v>Earl Barr — official evidence</x:v>
      </x:c>
      <x:c r="I3595" s="17" t="str">
        <x:v>University College London</x:v>
      </x:c>
      <x:c r="J3595" s="17" t="str">
        <x:v>official</x:v>
      </x:c>
      <x:c r="K3595" s="17" t="str">
        <x:v>2026-09-11</x:v>
      </x:c>
      <x:c r="L3595" s="17" t="str">
        <x:v>2024</x:v>
      </x:c>
      <x:c r="M3595" s="17" t="str">
        <x:v>high</x:v>
      </x:c>
      <x:c r="N3595" s="17" t="str">
        <x:v>verified</x:v>
      </x:c>
      <x:c r="O3595" s="17" t="str">
        <x:v>Search snippets were discovery only; final claim points to the official destination. Recheck cycle-specific facts when 2027 material opens.</x:v>
      </x:c>
      <x:c r="P3595" s="18" t="e">
        <x:f>HYPERLINK("https://discovery.ucl.ac.uk/view/people/EBARR53.date.html","Open source")</x:f>
        <x:v>HYPERLINK is not implemented. linkLocation=https://discovery.ucl.ac.uk/view/people/EBARR53.date.html, friendlyName=Open source</x:v>
      </x:c>
    </x:row>
    <x:row r="3596" ht="46" customHeight="1">
      <x:c r="A3596" s="17" t="str">
        <x:v>stage4src:ff521d063eeb7f76</x:v>
      </x:c>
      <x:c r="B3596" s="17" t="str">
        <x:v>professor</x:v>
      </x:c>
      <x:c r="C3596" s="17" t="str">
        <x:v>ETH Zurich</x:v>
      </x:c>
      <x:c r="D3596" s="17" t="str">
        <x:v>ror:05a28rw58:program:direct-entry-phd:direct-doctorate-in-computer-science</x:v>
      </x:c>
      <x:c r="E3596" s="17" t="str"/>
      <x:c r="F3596" s="17" t="str">
        <x:v>current faculty roster|candidate longlist</x:v>
      </x:c>
      <x:c r="G3596" s="17" t="str">
        <x:v>Current official department roster or research-area faculty listing used to identify the five-person Stage 4 candidate longlist.</x:v>
      </x:c>
      <x:c r="H3596" s="17" t="str">
        <x:v>ETH Zurich current faculty roster</x:v>
      </x:c>
      <x:c r="I3596" s="17" t="str">
        <x:v>ETH Zurich</x:v>
      </x:c>
      <x:c r="J3596" s="17" t="str">
        <x:v>official</x:v>
      </x:c>
      <x:c r="K3596" s="17" t="str">
        <x:v>2026-09-11</x:v>
      </x:c>
      <x:c r="L3596" s="17" t="str"/>
      <x:c r="M3596" s="17" t="str">
        <x:v>high</x:v>
      </x:c>
      <x:c r="N3596" s="17" t="str">
        <x:v>verified</x:v>
      </x:c>
      <x:c r="O3596" s="17" t="str">
        <x:v>Roster evidence establishes a current listing, not program-specific supervision authority or recruiting.</x:v>
      </x:c>
      <x:c r="P3596" s="18" t="e">
        <x:f>HYPERLINK("https://inf.ethz.ch/people/faculty/faculty.html","Open source")</x:f>
        <x:v>HYPERLINK is not implemented. linkLocation=https://inf.ethz.ch/people/faculty/faculty.html, friendlyName=Open source</x:v>
      </x:c>
    </x:row>
    <x:row r="3597" ht="46" customHeight="1">
      <x:c r="A3597" s="17" t="str">
        <x:v>stage4src:ff6314d1c754440b</x:v>
      </x:c>
      <x:c r="B3597" s="17" t="str">
        <x:v>professor</x:v>
      </x:c>
      <x:c r="C3597" s="17" t="str">
        <x:v>Johns Hopkins University</x:v>
      </x:c>
      <x:c r="D3597" s="17" t="str">
        <x:v>us:ipeds:162928:program:phd:phd-in-computer-science</x:v>
      </x:c>
      <x:c r="E3597" s="17" t="str">
        <x:v>us:ipeds:162928:faculty:yinzhi-cao</x:v>
      </x:c>
      <x:c r="F3597" s="17" t="str">
        <x:v>recent work|concolic execution|web security|strong fit</x:v>
      </x:c>
      <x:c r="G3597" s="17" t="str">
        <x:v>The 2025 USENIX paper supports automated web-vulnerability discovery using concolic execution and symbolic DOM analysis.</x:v>
      </x:c>
      <x:c r="H3597" s="17" t="str">
        <x:v>The DOMino Effect</x:v>
      </x:c>
      <x:c r="I3597" s="17" t="str">
        <x:v>OpenAlex / cited venue</x:v>
      </x:c>
      <x:c r="J3597" s="17" t="str">
        <x:v>secondary</x:v>
      </x:c>
      <x:c r="K3597" s="17" t="str">
        <x:v>2026-09-11</x:v>
      </x:c>
      <x:c r="L3597" s="17" t="str">
        <x:v>2025</x:v>
      </x:c>
      <x:c r="M3597" s="17" t="str">
        <x:v>high</x:v>
      </x:c>
      <x:c r="N3597" s="17" t="str">
        <x:v>verified</x:v>
      </x:c>
      <x:c r="O3597" s="17" t="str">
        <x:v>Official conference page checked 2026-09-11.</x:v>
      </x:c>
      <x:c r="P3597" s="18" t="e">
        <x:f>HYPERLINK("https://www.usenix.org/conference/usenixsecurity25/presentation/liu-zhengyu","Open source")</x:f>
        <x:v>HYPERLINK is not implemented. linkLocation=https://www.usenix.org/conference/usenixsecurity25/presentation/liu-zhengyu, friendlyName=Open source</x:v>
      </x:c>
    </x:row>
    <x:row r="3598" ht="46" customHeight="1">
      <x:c r="A3598" s="17" t="str">
        <x:v>stage4src:ffa377c93b191320</x:v>
      </x:c>
      <x:c r="B3598" s="17" t="str">
        <x:v>professor</x:v>
      </x:c>
      <x:c r="C3598" s="17" t="str">
        <x:v>University of Central Florida</x:v>
      </x:c>
      <x:c r="D3598" s="17" t="str">
        <x:v>us:ipeds:132903:program:phd:computer-science-phd</x:v>
      </x:c>
      <x:c r="E3598" s="17" t="str">
        <x:v>us:ipeds:132903:faculty:liqiang-wang</x:v>
      </x:c>
      <x:c r="F3598" s="17" t="str">
        <x:v>discovery publication signal|recent work</x:v>
      </x:c>
      <x:c r="G3598" s="17" t="str">
        <x:v>Publication metadata was examined for shortlist triage only; publication-time affiliation does not establish current appointment, supervision authority, or recruiting.</x:v>
      </x:c>
      <x:c r="H3598" s="17" t="str">
        <x:v>OpenAlex publication signal for Liqiang Wang</x:v>
      </x:c>
      <x:c r="I3598" s="17" t="str">
        <x:v>OpenAlex / cited venue</x:v>
      </x:c>
      <x:c r="J3598" s="17" t="str">
        <x:v>secondary</x:v>
      </x:c>
      <x:c r="K3598" s="17" t="str">
        <x:v>2026-09-11</x:v>
      </x:c>
      <x:c r="L3598" s="17" t="str"/>
      <x:c r="M3598" s="17" t="str">
        <x:v>medium</x:v>
      </x:c>
      <x:c r="N3598" s="17" t="str">
        <x:v>discovery_only</x:v>
      </x:c>
      <x:c r="O3598" s="17" t="str">
        <x:v>Not used to award a professor score or faculty-depth point.</x:v>
      </x:c>
      <x:c r="P3598" s="18" t="e">
        <x:f>HYPERLINK("https://openalex.org/A5100427863","Open source")</x:f>
        <x:v>HYPERLINK is not implemented. linkLocation=https://openalex.org/A5100427863, friendlyName=Open source</x:v>
      </x:c>
    </x:row>
    <x:row r="3599" ht="46" customHeight="1">
      <x:c r="A3599" s="17" t="str">
        <x:v>stage4src:ffb1c764c663cfb7</x:v>
      </x:c>
      <x:c r="B3599" s="17" t="str">
        <x:v>professor</x:v>
      </x:c>
      <x:c r="C3599" s="17" t="str">
        <x:v>Clemson University</x:v>
      </x:c>
      <x:c r="D3599" s="17" t="str">
        <x:v>us:ipeds:217882:program:phd:computer-science-phd</x:v>
      </x:c>
      <x:c r="E3599" s="17" t="str">
        <x:v>us:ipeds:217882:faculty:paige-rodeghero</x:v>
      </x:c>
      <x:c r="F3599" s="17" t="str">
        <x:v>Computer Science PhD supervision authority|recent work</x:v>
      </x:c>
      <x:c r="G3599" s="17" t="str">
        <x:v>The 2025 Computer Science dissertation identifies Rodeghero as committee chair/advisor.</x:v>
      </x:c>
      <x:c r="H3599" s="17" t="str">
        <x:v>Learning Through Online Participation: From Breakout Rooms to Discord</x:v>
      </x:c>
      <x:c r="I3599" s="17" t="str">
        <x:v>Clemson University</x:v>
      </x:c>
      <x:c r="J3599" s="17" t="str">
        <x:v>official</x:v>
      </x:c>
      <x:c r="K3599" s="17" t="str">
        <x:v>2026-09-11</x:v>
      </x:c>
      <x:c r="L3599" s="17" t="str">
        <x:v>2025</x:v>
      </x:c>
      <x:c r="M3599" s="17" t="str">
        <x:v>high</x:v>
      </x:c>
      <x:c r="N3599" s="17" t="str">
        <x:v>verified</x:v>
      </x:c>
      <x:c r="O3599" s="17" t="str">
        <x:v>Official doctoral record checked 2026-09-10.</x:v>
      </x:c>
      <x:c r="P3599" s="18" t="e">
        <x:f>HYPERLINK("https://open.clemson.edu/all_dissertations/3900/","Open source")</x:f>
        <x:v>HYPERLINK is not implemented. linkLocation=https://open.clemson.edu/all_dissertations/3900/, friendlyName=Open source</x:v>
      </x:c>
    </x:row>
    <x:row r="3600" ht="46" customHeight="1">
      <x:c r="A3600" s="17" t="str">
        <x:v>stage4src:fffce21396837119</x:v>
      </x:c>
      <x:c r="B3600" s="17" t="str">
        <x:v>professor</x:v>
      </x:c>
      <x:c r="C3600" s="17" t="str">
        <x:v>Worcester Polytechnic Institute</x:v>
      </x:c>
      <x:c r="D3600" s="17" t="str">
        <x:v>us:ipeds:168421:program:phd:phd-in-computer-science</x:v>
      </x:c>
      <x:c r="E3600" s="17" t="str">
        <x:v>us:ipeds:168421:faculty:robert-j-walls</x:v>
      </x:c>
      <x:c r="F3600" s="17" t="str">
        <x:v>program context|faculty research</x:v>
      </x:c>
      <x:c r="G3600" s="17" t="str">
        <x:v>The PhD page places students in research with current CS faculty across security, AI, and software engineering.</x:v>
      </x:c>
      <x:c r="H3600" s="17" t="str">
        <x:v>PhD in Computer Science</x:v>
      </x:c>
      <x:c r="I3600" s="17" t="str">
        <x:v>Worcester Polytechnic Institute</x:v>
      </x:c>
      <x:c r="J3600" s="17" t="str">
        <x:v>official</x:v>
      </x:c>
      <x:c r="K3600" s="17" t="str">
        <x:v>2026-09-11</x:v>
      </x:c>
      <x:c r="L3600" s="17" t="str">
        <x:v>2026</x:v>
      </x:c>
      <x:c r="M3600" s="17" t="str">
        <x:v>high</x:v>
      </x:c>
      <x:c r="N3600" s="17" t="str">
        <x:v>verified</x:v>
      </x:c>
      <x:c r="O3600" s="17" t="str">
        <x:v>Live official program page checked 2026-09-11.</x:v>
      </x:c>
      <x:c r="P3600" s="18" t="e">
        <x:f>HYPERLINK("https://www.wpi.edu/academics/study/computer-science-phd","Open source")</x:f>
        <x:v>HYPERLINK is not implemented. linkLocation=https://www.wpi.edu/academics/study/computer-science-phd, friendlyName=Open source</x:v>
      </x:c>
    </x:row>
  </x:sheetData>
  <x:mergeCells>
    <x:mergeCell ref="A1:P1"/>
    <x:mergeCell ref="A2:P2"/>
    <x:mergeCell ref="A3:P3"/>
  </x:mergeCells>
  <x:pageMargins left="0.7" right="0.7" top="0.75" bottom="0.75" header="0.3" footer="0.3"/>
  <x:tableParts count="1">
    <x:tablePart xmlns:r="http://schemas.openxmlformats.org/officeDocument/2006/relationships" r:id="Rdffaa97540ad4a31"/>
  </x:tableParts>
</x:worksheet>
</file>

<file path=xl/worksheets/sheet10.xml><?xml version="1.0" encoding="utf-8"?>
<x:worksheet xmlns:x="http://schemas.openxmlformats.org/spreadsheetml/2006/main">
  <x:sheetPr>
    <x:tabColor rgb="FF4F81BD"/>
  </x:sheetPr>
  <x:sheetViews>
    <x:sheetView showGridLines="0" workbookViewId="0">
      <x:pane xSplit="2" ySplit="4" topLeftCell="C5" activePane="bottomRight" state="frozen"/>
    </x:sheetView>
  </x:sheetViews>
  <x:sheetFormatPr defaultRowHeight="15"/>
  <x:cols>
    <x:col min="1" max="1" width="12" hidden="0" customWidth="1"/>
    <x:col min="2" max="2" width="27" hidden="0" customWidth="1"/>
    <x:col min="3" max="3" width="38" hidden="0" customWidth="1"/>
    <x:col min="4" max="4" width="18" hidden="0" customWidth="1"/>
    <x:col min="5" max="5" width="18" hidden="0" customWidth="1"/>
    <x:col min="6" max="6" width="38" hidden="0" customWidth="1"/>
    <x:col min="7" max="7" width="38" hidden="0" customWidth="1"/>
    <x:col min="8" max="8" width="34" hidden="0" customWidth="1"/>
    <x:col min="9" max="9" width="34" hidden="0" customWidth="1"/>
    <x:col min="10" max="10" width="11" hidden="0" customWidth="1"/>
    <x:col min="11" max="11" width="34" hidden="0" customWidth="1"/>
    <x:col min="12" max="12" width="11" hidden="0" customWidth="1"/>
    <x:col min="13" max="13" width="18" hidden="0" customWidth="1"/>
  </x:cols>
  <x:sheetData>
    <x:row r="1" ht="28" customHeight="1">
      <x:c r="A1" s="3" t="str">
        <x:v>Outreach Drafts</x:v>
      </x:c>
    </x:row>
    <x:row r="2" ht="34" customHeight="1">
      <x:c r="A2" s="7" t="str">
        <x:v>Only Stage 8-approved first-wave drafts appear here. These are local artifacts; no Gmail draft was created and no message was sent.</x:v>
      </x:c>
    </x:row>
    <x:row r="3" ht="20" customHeight="1">
      <x:c r="A3" s="9" t="str">
        <x:v>Evidence snapshot: 2026-09-11 · 12 records · Use the row-4 filters; uncertainty is intentional.</x:v>
      </x:c>
    </x:row>
    <x:row r="4" ht="34" customHeight="1">
      <x:c r="A4" s="13" t="str">
        <x:v>Priority Rank</x:v>
      </x:c>
      <x:c r="B4" s="13" t="str">
        <x:v>Institution</x:v>
      </x:c>
      <x:c r="C4" s="13" t="str">
        <x:v>Program</x:v>
      </x:c>
      <x:c r="D4" s="13" t="str">
        <x:v>Recipient</x:v>
      </x:c>
      <x:c r="E4" s="13" t="str">
        <x:v>Email</x:v>
      </x:c>
      <x:c r="F4" s="13" t="str">
        <x:v>Subject</x:v>
      </x:c>
      <x:c r="G4" s="13" t="str">
        <x:v>Personalization Anchor</x:v>
      </x:c>
      <x:c r="H4" s="13" t="str">
        <x:v>Question</x:v>
      </x:c>
      <x:c r="I4" s="13" t="str">
        <x:v>Draft Body</x:v>
      </x:c>
      <x:c r="J4" s="13" t="str">
        <x:v>Manual Review</x:v>
      </x:c>
      <x:c r="K4" s="13" t="str">
        <x:v>Draft Ready</x:v>
      </x:c>
      <x:c r="L4" s="13" t="str">
        <x:v>Send Status</x:v>
      </x:c>
      <x:c r="M4" s="13" t="str">
        <x:v>Personalization URL</x:v>
      </x:c>
    </x:row>
    <x:row r="5" ht="46" customHeight="1">
      <x:c r="A5" s="17" t="n">
        <x:v>1</x:v>
      </x:c>
      <x:c r="B5" s="17" t="str">
        <x:v>Trent University</x:v>
      </x:c>
      <x:c r="C5" s="17" t="str">
        <x:v>MSc in Applied Modelling and Quantitative Methods — Thesis Stream</x:v>
      </x:c>
      <x:c r="D5" s="17" t="str">
        <x:v>Omar Alam</x:v>
      </x:c>
      <x:c r="E5" s="17" t="str">
        <x:v>omaralam@trentu.ca</x:v>
      </x:c>
      <x:c r="F5" s="17" t="str">
        <x:v>Fall 2027 MSc inquiry - model validation</x:v>
      </x:c>
      <x:c r="G5" s="17" t="str">
        <x:v>Streamlining CPS Validation: Using Interoperable UML Tools for Seamless Model Exchange</x:v>
      </x:c>
      <x:c r="H5" s="17" t="str">
        <x:v>Would you be open to supervising a funded Fall 2027 master's student on the thesis track who studies evidence-grounded validation of software or cyber-physical models?</x:v>
      </x:c>
      <x:c r="I5" s="17" t="str">
        <x:v>Dear Professor Alam,
I am Chimdumebi Mitchell Nebolisa, an undergraduate studying computer science at East Texas A&amp;M University graduating in May 2027. My Evidex research examines evidence-based claim verification and evaluation.
I was interested in your recent work titled "Streamlining CPS Validation: Using Interoperable UML Tools for Seamless Model Exchange". Your focus on model exchange and conflict detection connects to my interest in producing traceable evidence for validation decisions.
Would you be open to supervising a funded Fall 2027 master's student on the thesis track who studies evidence-grounded validation of software or cyber-physical models?
yours sincerely,
Chimdumebi Mitchell Nebolisa</x:v>
      </x:c>
      <x:c r="J5" s="17" t="str">
        <x:v>Yes</x:v>
      </x:c>
      <x:c r="K5" s="17" t="str">
        <x:v>Yes</x:v>
      </x:c>
      <x:c r="L5" s="17" t="str">
        <x:v>not_sent</x:v>
      </x:c>
      <x:c r="M5" s="18" t="e">
        <x:f>HYPERLINK("https://omaralam.org/publications/","Open source")</x:f>
        <x:v>HYPERLINK is not implemented. linkLocation=https://omaralam.org/publications/, friendlyName=Open source</x:v>
      </x:c>
    </x:row>
    <x:row r="6" ht="46" customHeight="1">
      <x:c r="A6" s="17" t="n">
        <x:v>2</x:v>
      </x:c>
      <x:c r="B6" s="17" t="str">
        <x:v>University of Minnesota-Twin Cities</x:v>
      </x:c>
      <x:c r="C6" s="17" t="str">
        <x:v>PhD in Computer Science</x:v>
      </x:c>
      <x:c r="D6" s="17" t="str">
        <x:v>Kangjie Lu</x:v>
      </x:c>
      <x:c r="E6" s="17" t="str">
        <x:v>kjlu@umn.edu</x:v>
      </x:c>
      <x:c r="F6" s="17" t="str">
        <x:v>Fall 2027 PhD inquiry - secure software</x:v>
      </x:c>
      <x:c r="G6" s="17" t="str">
        <x:v>Secure foundational software, open-source ecosystems, and AI systems</x:v>
      </x:c>
      <x:c r="H6" s="17" t="str">
        <x:v>Do you expect to have funded capacity to advise new PhD students in Fall 2027 working on secure software, patch analysis, or reliable AI-assisted development?</x:v>
      </x:c>
      <x:c r="I6" s="17" t="str">
        <x:v>Dear Professor Lu,
I am Chimdumebi Mitchell Nebolisa, an undergraduate studying computer science at East Texas A&amp;M University graduating in May 2027. TerraProbe, my research on LLM-based Terraform repair, has been accepted as a full paper at ICTAI 2026.
I was interested in your recent work titled "Secure foundational software, open-source ecosystems, and AI systems". I am interested in extending evidence-backed repair methods toward cloud and open-source security, especially where generated patches need rigorous validation.
Do you expect to have funded capacity to advise new PhD students in Fall 2027 working on secure software, patch analysis, or reliable AI-assisted development?
yours sincerely,
Chimdumebi Mitchell Nebolisa</x:v>
      </x:c>
      <x:c r="J6" s="17" t="str">
        <x:v>Yes</x:v>
      </x:c>
      <x:c r="K6" s="17" t="str">
        <x:v>Yes</x:v>
      </x:c>
      <x:c r="L6" s="17" t="str">
        <x:v>not_sent</x:v>
      </x:c>
      <x:c r="M6" s="18" t="e">
        <x:f>HYPERLINK("https://cse.umn.edu/cs/news/meet-faculty-kangjie-lu","Open source")</x:f>
        <x:v>HYPERLINK is not implemented. linkLocation=https://cse.umn.edu/cs/news/meet-faculty-kangjie-lu, friendlyName=Open source</x:v>
      </x:c>
    </x:row>
    <x:row r="7" ht="46" customHeight="1">
      <x:c r="A7" s="17" t="n">
        <x:v>3</x:v>
      </x:c>
      <x:c r="B7" s="17" t="str">
        <x:v>University of Toronto</x:v>
      </x:c>
      <x:c r="C7" s="17" t="str">
        <x:v>Master of Applied Science in Electrical and Computer Engineering</x:v>
      </x:c>
      <x:c r="D7" s="17" t="str">
        <x:v>David Lie</x:v>
      </x:c>
      <x:c r="E7" s="17" t="str">
        <x:v>lie@eecg.toronto.edu</x:v>
      </x:c>
      <x:c r="F7" s="17" t="str">
        <x:v>Fall 2027 MASc inquiry - LLM-assisted verification</x:v>
      </x:c>
      <x:c r="G7" s="17" t="str">
        <x:v>RFC2TLA+: Extracting and Verifying Formal Models from RFC Documents using Continuous LLM Feedback</x:v>
      </x:c>
      <x:c r="H7" s="17" t="str">
        <x:v>Would you be open to supervising a funded Fall 2027 MASc student studying verification methods for AI-assisted software or infrastructure repair?</x:v>
      </x:c>
      <x:c r="I7" s="17" t="str">
        <x:v>Dear Professor Lie,
I am Chimdumebi Mitchell Nebolisa, an undergraduate studying computer science at East Texas A&amp;M University graduating in May 2027. TerraProbe, my research on LLM-based Terraform repair, has been accepted as a full paper at ICTAI 2026.
I was interested in your recent work titled "RFC2TLA+: Extracting and Verifying Formal Models from RFC Documents using Continuous LLM Feedback". The combination of LLM feedback and formal verification is closely related to my interest in making AI-generated infrastructure repairs checkable rather than merely plausible.
Would you be open to supervising a funded Fall 2027 MASc student studying verification methods for AI-assisted software or infrastructure repair?
yours sincerely,
Chimdumebi Mitchell Nebolisa</x:v>
      </x:c>
      <x:c r="J7" s="17" t="str">
        <x:v>Yes</x:v>
      </x:c>
      <x:c r="K7" s="17" t="str">
        <x:v>Yes</x:v>
      </x:c>
      <x:c r="L7" s="17" t="str">
        <x:v>not_sent</x:v>
      </x:c>
      <x:c r="M7" s="18" t="e">
        <x:f>HYPERLINK("https://security.csl.toronto.edu/publications/","Open source")</x:f>
        <x:v>HYPERLINK is not implemented. linkLocation=https://security.csl.toronto.edu/publications/, friendlyName=Open source</x:v>
      </x:c>
    </x:row>
    <x:row r="8" ht="46" customHeight="1">
      <x:c r="A8" s="17" t="n">
        <x:v>4</x:v>
      </x:c>
      <x:c r="B8" s="17" t="str">
        <x:v>University of Utah</x:v>
      </x:c>
      <x:c r="C8" s="17" t="str">
        <x:v>Computing PhD</x:v>
      </x:c>
      <x:c r="D8" s="17" t="str">
        <x:v>John Regehr</x:v>
      </x:c>
      <x:c r="E8" s="17" t="str">
        <x:v>regehr@cs.utah.edu</x:v>
      </x:c>
      <x:c r="F8" s="17" t="str">
        <x:v>Fall 2027 PhD inquiry - software verification</x:v>
      </x:c>
      <x:c r="G8" s="17" t="str">
        <x:v>First-Class Verification Dialects for MLIR</x:v>
      </x:c>
      <x:c r="H8" s="17" t="str">
        <x:v>Do you expect to have funded capacity to advise new PhD students in Fall 2027 working on verification or testing methods relevant to automated software repair?</x:v>
      </x:c>
      <x:c r="I8" s="17" t="str">
        <x:v>Dear Professor Regehr,
I am Chimdumebi Mitchell Nebolisa, an undergraduate studying computer science at East Texas A&amp;M University graduating in May 2027. TerraProbe, my research on LLM-based Terraform repair, has been accepted as a full paper at ICTAI 2026.
I was interested in your recent work titled "First-Class Verification Dialects for MLIR". I am interested in how verification and test-case reduction can produce compact, reproducible evidence that an automated repair is correct.
Do you expect to have funded capacity to advise new PhD students in Fall 2027 working on verification or testing methods relevant to automated software repair?
yours sincerely,
Chimdumebi Mitchell Nebolisa</x:v>
      </x:c>
      <x:c r="J8" s="17" t="str">
        <x:v>Yes</x:v>
      </x:c>
      <x:c r="K8" s="17" t="str">
        <x:v>Yes</x:v>
      </x:c>
      <x:c r="L8" s="17" t="str">
        <x:v>not_sent</x:v>
      </x:c>
      <x:c r="M8" s="18" t="e">
        <x:f>HYPERLINK("https://users.cs.utah.edu/~regehr/papers/pldi25.pdf","Open source")</x:f>
        <x:v>HYPERLINK is not implemented. linkLocation=https://users.cs.utah.edu/~regehr/papers/pldi25.pdf, friendlyName=Open source</x:v>
      </x:c>
    </x:row>
    <x:row r="9" ht="46" customHeight="1">
      <x:c r="A9" s="17" t="n">
        <x:v>5</x:v>
      </x:c>
      <x:c r="B9" s="17" t="str">
        <x:v>University of Waterloo</x:v>
      </x:c>
      <x:c r="C9" s="17" t="str">
        <x:v>Master of Applied Science in Electrical and Computer Engineering</x:v>
      </x:c>
      <x:c r="D9" s="17" t="str">
        <x:v>Patrick Lam</x:v>
      </x:c>
      <x:c r="E9" s="17" t="str">
        <x:v>p23lam@uwaterloo.ca</x:v>
      </x:c>
      <x:c r="F9" s="17" t="str">
        <x:v>Fall 2027 MASc inquiry - static analysis</x:v>
      </x:c>
      <x:c r="G9" s="17" t="str">
        <x:v>Static analysis and verification for more-reliable Rust code</x:v>
      </x:c>
      <x:c r="H9" s="17" t="str">
        <x:v>Do you expect to have funded capacity for a Fall 2027 MASc student working on static analysis or verification for infrastructure and software repair?</x:v>
      </x:c>
      <x:c r="I9" s="17" t="str">
        <x:v>Dear Professor Lam,
I am Chimdumebi Mitchell Nebolisa, an undergraduate studying computer science at East Texas A&amp;M University graduating in May 2027. TerraProbe, my research on LLM-based Terraform repair, has been accepted as a full paper at ICTAI 2026.
I was interested in your recent work titled "Static analysis and verification for more-reliable Rust code". Your direction in static analysis and verification aligns with my goal of validating infrastructure-as-code repairs with reproducible correctness evidence.
Do you expect to have funded capacity for a Fall 2027 MASc student working on static analysis or verification for infrastructure and software repair?
yours sincerely,
Chimdumebi Mitchell Nebolisa</x:v>
      </x:c>
      <x:c r="J9" s="17" t="str">
        <x:v>Yes</x:v>
      </x:c>
      <x:c r="K9" s="17" t="str">
        <x:v>Yes</x:v>
      </x:c>
      <x:c r="L9" s="17" t="str">
        <x:v>not_sent</x:v>
      </x:c>
      <x:c r="M9" s="18" t="e">
        <x:f>HYPERLINK("https://uwaterloo.ca/engineering/news/researchers-awarded-29-million-federal-funding","Open source")</x:f>
        <x:v>HYPERLINK is not implemented. linkLocation=https://uwaterloo.ca/engineering/news/researchers-awarded-29-million-federal-funding, friendlyName=Open source</x:v>
      </x:c>
    </x:row>
    <x:row r="10" ht="46" customHeight="1">
      <x:c r="A10" s="17" t="n">
        <x:v>6</x:v>
      </x:c>
      <x:c r="B10" s="17" t="str">
        <x:v>York University</x:v>
      </x:c>
      <x:c r="C10" s="17" t="str">
        <x:v>Master of Science in Computer Science — Thesis Option</x:v>
      </x:c>
      <x:c r="D10" s="17" t="str">
        <x:v>Zhen Ming (Jack) Jiang</x:v>
      </x:c>
      <x:c r="E10" s="17" t="str">
        <x:v>zmjiang@yorku.ca</x:v>
      </x:c>
      <x:c r="F10" s="17" t="str">
        <x:v>Fall 2027 MSc inquiry - reliable coding agents</x:v>
      </x:c>
      <x:c r="G10" s="17" t="str">
        <x:v>An Experience Report on LLM-Based Agentic Translation from Android to iOS: Pitfalls and Insights</x:v>
      </x:c>
      <x:c r="H10" s="17" t="str">
        <x:v>Do you expect to have funded capacity for a Fall 2027 MSc thesis student studying reliable AI-assisted software engineering?</x:v>
      </x:c>
      <x:c r="I10" s="17" t="str">
        <x:v>Dear Professor Jiang,
I am Chimdumebi Mitchell Nebolisa, an undergraduate studying computer science at East Texas A&amp;M University graduating in May 2027. My research includes TerraProbe, an ICTAI 2026 full paper on LLM-based Terraform repair, and Evidex, which examines evidence-based claim verification and evaluation.
I was interested in your recent work titled "An Experience Report on LLM-Based Agentic Translation from Android to iOS: Pitfalls and Insights". I am especially interested in empirical methods for finding failure modes in coding agents and evaluating whether generated changes are correct and reproducible.
Do you expect to have funded capacity for a Fall 2027 MSc thesis student studying reliable AI-assisted software engineering?
yours sincerely,
Chimdumebi Mitchell Nebolisa</x:v>
      </x:c>
      <x:c r="J10" s="17" t="str">
        <x:v>Yes</x:v>
      </x:c>
      <x:c r="K10" s="17" t="str">
        <x:v>Yes</x:v>
      </x:c>
      <x:c r="L10" s="17" t="str">
        <x:v>not_sent</x:v>
      </x:c>
      <x:c r="M10" s="18" t="e">
        <x:f>HYPERLINK("https://www.eecs.yorku.ca/~wangsong/publication.html","Open source")</x:f>
        <x:v>HYPERLINK is not implemented. linkLocation=https://www.eecs.yorku.ca/~wangsong/publication.html, friendlyName=Open source</x:v>
      </x:c>
    </x:row>
    <x:row r="11" ht="46" customHeight="1">
      <x:c r="A11" s="17" t="n">
        <x:v>7</x:v>
      </x:c>
      <x:c r="B11" s="17" t="str">
        <x:v>Brown University</x:v>
      </x:c>
      <x:c r="C11" s="17" t="str">
        <x:v>Computer Science PhD</x:v>
      </x:c>
      <x:c r="D11" s="17" t="str">
        <x:v>Malte Schwarzkopf</x:v>
      </x:c>
      <x:c r="E11" s="17" t="str">
        <x:v>malte@cs.brown.edu</x:v>
      </x:c>
      <x:c r="F11" s="17" t="str">
        <x:v>Fall 2027 PhD inquiry - practical static analysis</x:v>
      </x:c>
      <x:c r="G11" s="17" t="str">
        <x:v>Paralegal: Practical Static Analysis for Privacy Bugs</x:v>
      </x:c>
      <x:c r="H11" s="17" t="str">
        <x:v>Do you expect to have capacity to advise new PhD students in Fall 2027 working on practical analysis for secure or privacy-preserving AI-assisted systems?</x:v>
      </x:c>
      <x:c r="I11" s="17" t="str">
        <x:v>Dear Professor Schwarzkopf,
I am Chimdumebi Mitchell Nebolisa, an undergraduate studying computer science at East Texas A&amp;M University graduating in May 2027. My research includes TerraProbe, an ICTAI 2026 full paper on LLM-based Terraform repair, and Evidex, which examines evidence-based claim verification and evaluation.
I was interested in your recent work titled "Paralegal: Practical Static Analysis for Privacy Bugs". Privacy-by-construction and practical static analysis connect to my interest in evidence-backed checks for AI-generated software and infrastructure changes.
Do you expect to have capacity to advise new PhD students in Fall 2027 working on practical analysis for secure or privacy-preserving AI-assisted systems?
yours sincerely,
Chimdumebi Mitchell Nebolisa</x:v>
      </x:c>
      <x:c r="J11" s="17" t="str">
        <x:v>Yes</x:v>
      </x:c>
      <x:c r="K11" s="17" t="str">
        <x:v>Yes</x:v>
      </x:c>
      <x:c r="L11" s="17" t="str">
        <x:v>not_sent</x:v>
      </x:c>
      <x:c r="M11" s="18" t="e">
        <x:f>HYPERLINK("https://cs.brown.edu/people/malte/pub/papers/2025-osdi-paralegal.pdf","Open source")</x:f>
        <x:v>HYPERLINK is not implemented. linkLocation=https://cs.brown.edu/people/malte/pub/papers/2025-osdi-paralegal.pdf, friendlyName=Open source</x:v>
      </x:c>
    </x:row>
    <x:row r="12" ht="46" customHeight="1">
      <x:c r="A12" s="17" t="n">
        <x:v>8</x:v>
      </x:c>
      <x:c r="B12" s="17" t="str">
        <x:v>University of Colorado Boulder</x:v>
      </x:c>
      <x:c r="C12" s="17" t="str">
        <x:v>Doctor of Philosophy in Computer Science</x:v>
      </x:c>
      <x:c r="D12" s="17" t="str">
        <x:v>Sriram Sankaranarayanan</x:v>
      </x:c>
      <x:c r="E12" s="17" t="str">
        <x:v>srirams@colorado.edu</x:v>
      </x:c>
      <x:c r="F12" s="17" t="str">
        <x:v>Fall 2027 PhD inquiry - repair verification</x:v>
      </x:c>
      <x:c r="G12" s="17" t="str">
        <x:v>Semantic Foundations for the Static Analysis of Program Revisions</x:v>
      </x:c>
      <x:c r="H12" s="17" t="str">
        <x:v>Do you expect to have funded capacity to advise new PhD students in Fall 2027 working on verification or synthesis for reliable software repair?</x:v>
      </x:c>
      <x:c r="I12" s="17" t="str">
        <x:v>Dear Professor Sankaranarayanan,
I am Chimdumebi Mitchell Nebolisa, an undergraduate studying computer science at East Texas A&amp;M University graduating in May 2027. TerraProbe, my research on LLM-based Terraform repair, has been accepted as a full paper at ICTAI 2026.
I was interested in your recent work titled "Semantic Foundations for the Static Analysis of Program Revisions". I am interested in using formal and static analyses to establish whether an automatically generated repair preserves intended behavior across program revisions.
Do you expect to have funded capacity to advise new PhD students in Fall 2027 working on verification or synthesis for reliable software repair?
yours sincerely,
Chimdumebi Mitchell Nebolisa</x:v>
      </x:c>
      <x:c r="J12" s="17" t="str">
        <x:v>Yes</x:v>
      </x:c>
      <x:c r="K12" s="17" t="str">
        <x:v>Yes</x:v>
      </x:c>
      <x:c r="L12" s="17" t="str">
        <x:v>not_sent</x:v>
      </x:c>
      <x:c r="M12" s="18" t="e">
        <x:f>HYPERLINK("https://plv.colorado.edu/","Open source")</x:f>
        <x:v>HYPERLINK is not implemented. linkLocation=https://plv.colorado.edu/, friendlyName=Open source</x:v>
      </x:c>
    </x:row>
    <x:row r="13" ht="46" customHeight="1">
      <x:c r="A13" s="17" t="n">
        <x:v>9</x:v>
      </x:c>
      <x:c r="B13" s="17" t="str">
        <x:v>Duke University</x:v>
      </x:c>
      <x:c r="C13" s="17" t="str">
        <x:v>Computer Science PhD</x:v>
      </x:c>
      <x:c r="D13" s="17" t="str">
        <x:v>Danfeng Zhang</x:v>
      </x:c>
      <x:c r="E13" s="17" t="str">
        <x:v>dz132@duke.edu</x:v>
      </x:c>
      <x:c r="F13" s="17" t="str">
        <x:v>Fall 2027 PhD inquiry - verification and repair</x:v>
      </x:c>
      <x:c r="G13" s="17" t="str">
        <x:v>Agora: Trust Less and Open More in Verification for Confidential Computing</x:v>
      </x:c>
      <x:c r="H13" s="17" t="str">
        <x:v>Do you expect to have funded capacity to advise new PhD students in Fall 2027 working on verification or automated repair for secure systems?</x:v>
      </x:c>
      <x:c r="I13" s="17" t="str">
        <x:v>Dear Professor Zhang,
I am Chimdumebi Mitchell Nebolisa, an undergraduate studying computer science at East Texas A&amp;M University graduating in May 2027. TerraProbe, my research on LLM-based Terraform repair, has been accepted as a full paper at ICTAI 2026.
I was interested in your recent work titled "Agora: Trust Less and Open More in Verification for Confidential Computing". Your work on verification for confidential computing connects to my interest in producing checkable assurance for automatically generated software fixes.
Do you expect to have funded capacity to advise new PhD students in Fall 2027 working on verification or automated repair for secure systems?
yours sincerely,
Chimdumebi Mitchell Nebolisa</x:v>
      </x:c>
      <x:c r="J13" s="17" t="str">
        <x:v>Yes</x:v>
      </x:c>
      <x:c r="K13" s="17" t="str">
        <x:v>Yes</x:v>
      </x:c>
      <x:c r="L13" s="17" t="str">
        <x:v>not_sent</x:v>
      </x:c>
      <x:c r="M13" s="18" t="e">
        <x:f>HYPERLINK("https://users.cs.duke.edu/~dz132/publication.html","Open source")</x:f>
        <x:v>HYPERLINK is not implemented. linkLocation=https://users.cs.duke.edu/~dz132/publication.html, friendlyName=Open source</x:v>
      </x:c>
    </x:row>
    <x:row r="14" ht="46" customHeight="1">
      <x:c r="A14" s="17" t="n">
        <x:v>10</x:v>
      </x:c>
      <x:c r="B14" s="17" t="str">
        <x:v>Johns Hopkins University</x:v>
      </x:c>
      <x:c r="C14" s="17" t="str">
        <x:v>Doctor of Philosophy in Computer Science</x:v>
      </x:c>
      <x:c r="D14" s="17" t="str">
        <x:v>Yinzhi Cao</x:v>
      </x:c>
      <x:c r="E14" s="17" t="str">
        <x:v>yinzhi.cao@jhu.edu</x:v>
      </x:c>
      <x:c r="F14" s="17" t="str">
        <x:v>Fall 2027 PhD inquiry - vulnerability discovery</x:v>
      </x:c>
      <x:c r="G14" s="17" t="str">
        <x:v>Follow My Flow: Unveiling Client-Side Prototype Pollution Gadgets from One Million Real-World Websites</x:v>
      </x:c>
      <x:c r="H14" s="17" t="str">
        <x:v>Do you expect to have funded capacity to advise new PhD students in Fall 2027 working on automated vulnerability discovery or security evaluation of AI-assisted systems?</x:v>
      </x:c>
      <x:c r="I14" s="17" t="str">
        <x:v>Dear Professor Cao,
I am Chimdumebi Mitchell Nebolisa, an undergraduate studying computer science at East Texas A&amp;M University graduating in May 2027. My research includes TerraProbe, an ICTAI 2026 full paper on LLM-based Terraform repair, and Evidex, which examines evidence-based claim verification and evaluation.
I was interested in your recent work titled "Follow My Flow: Unveiling Client-Side Prototype Pollution Gadgets from One Million Real-World Websites". I am interested in combining automated vulnerability discovery with reproducible evaluation of AI-assisted fixes, particularly for security-critical software.
Do you expect to have funded capacity to advise new PhD students in Fall 2027 working on automated vulnerability discovery or security evaluation of AI-assisted systems?
yours sincerely,
Chimdumebi Mitchell Nebolisa</x:v>
      </x:c>
      <x:c r="J14" s="17" t="str">
        <x:v>Yes</x:v>
      </x:c>
      <x:c r="K14" s="17" t="str">
        <x:v>Yes</x:v>
      </x:c>
      <x:c r="L14" s="17" t="str">
        <x:v>not_sent</x:v>
      </x:c>
      <x:c r="M14" s="18" t="e">
        <x:f>HYPERLINK("https://www.cs.jhu.edu/news/yinzhi-cao-receives-multiple-awards-at-ieee-security-and-privacy-2025/","Open source")</x:f>
        <x:v>HYPERLINK is not implemented. linkLocation=https://www.cs.jhu.edu/news/yinzhi-cao-receives-multiple-awards-at-ieee-security-and-privacy-2025/, friendlyName=Open source</x:v>
      </x:c>
    </x:row>
    <x:row r="15" ht="46" customHeight="1">
      <x:c r="A15" s="17" t="n">
        <x:v>11</x:v>
      </x:c>
      <x:c r="B15" s="17" t="str">
        <x:v>Lehigh University</x:v>
      </x:c>
      <x:c r="C15" s="17" t="str">
        <x:v>PhD in Computer Science</x:v>
      </x:c>
      <x:c r="D15" s="17" t="str">
        <x:v>Lichao Sun</x:v>
      </x:c>
      <x:c r="E15" s="17" t="str">
        <x:v>lis221@lehigh.edu</x:v>
      </x:c>
      <x:c r="F15" s="17" t="str">
        <x:v>Fall 2027 PhD inquiry - trustworthy LLM evaluation</x:v>
      </x:c>
      <x:c r="G15" s="17" t="str">
        <x:v>Finding harmony in the age of artificial intelligence</x:v>
      </x:c>
      <x:c r="H15" s="17" t="str">
        <x:v>Do you expect to have funded capacity to advise new PhD students in Fall 2027 working on trustworthy evaluation of generative AI or LLM-based systems?</x:v>
      </x:c>
      <x:c r="I15" s="17" t="str">
        <x:v>Dear Professor Sun,
I am Chimdumebi Mitchell Nebolisa, an undergraduate studying computer science at East Texas A&amp;M University graduating in May 2027. My Evidex research examines evidence-based claim verification and evaluation.
I was interested in your recent work titled "Finding harmony in the age of artificial intelligence". Your focus on safety, privacy, and security in generative AI connects to my interest in evaluations grounded in verifiable evidence.
Do you expect to have funded capacity to advise new PhD students in Fall 2027 working on trustworthy evaluation of generative AI or LLM-based systems?
yours sincerely,
Chimdumebi Mitchell Nebolisa</x:v>
      </x:c>
      <x:c r="J15" s="17" t="str">
        <x:v>Yes</x:v>
      </x:c>
      <x:c r="K15" s="17" t="str">
        <x:v>Yes</x:v>
      </x:c>
      <x:c r="L15" s="17" t="str">
        <x:v>not_sent</x:v>
      </x:c>
      <x:c r="M15" s="18" t="e">
        <x:f>HYPERLINK("https://engineering.lehigh.edu/research/resolve/volume-1-2025/lichao-sun-finding-harmony-age-artificial-intelligence","Open source")</x:f>
        <x:v>HYPERLINK is not implemented. linkLocation=https://engineering.lehigh.edu/research/resolve/volume-1-2025/lichao-sun-finding-harmony-age-artificial-intelligence, friendlyName=Open source</x:v>
      </x:c>
    </x:row>
    <x:row r="16" ht="46" customHeight="1">
      <x:c r="A16" s="17" t="n">
        <x:v>12</x:v>
      </x:c>
      <x:c r="B16" s="17" t="str">
        <x:v>New Jersey Institute of Technology</x:v>
      </x:c>
      <x:c r="C16" s="17" t="str">
        <x:v>Ph.D. Computer Science</x:v>
      </x:c>
      <x:c r="D16" s="17" t="str">
        <x:v>Martin Kellogg</x:v>
      </x:c>
      <x:c r="E16" s="17" t="str">
        <x:v>martin.kellogg@njit.edu</x:v>
      </x:c>
      <x:c r="F16" s="17" t="str">
        <x:v>Fall 2027 PhD inquiry - automated repair</x:v>
      </x:c>
      <x:c r="G16" s="17" t="str">
        <x:v>Repairing Leaks in Resource Wrappers</x:v>
      </x:c>
      <x:c r="H16" s="17" t="str">
        <x:v>Do you expect to have funded capacity for a Fall 2027 PhD student working on static analysis, specification inference, or automated software repair?</x:v>
      </x:c>
      <x:c r="I16" s="17" t="str">
        <x:v>Dear Professor Kellogg,
I am Chimdumebi Mitchell Nebolisa, an undergraduate studying computer science at East Texas A&amp;M University graduating in May 2027. TerraProbe, my research on LLM-based Terraform repair, has been accepted as a full paper at ICTAI 2026.
I was interested in your recent work titled "Repairing Leaks in Resource Wrappers". Resource-leak repair and lightweight checking closely match my interest in making automated infrastructure repairs both practical and verifiably correct.
Do you expect to have funded capacity for a Fall 2027 PhD student working on static analysis, specification inference, or automated software repair?
yours sincerely,
Chimdumebi Mitchell Nebolisa</x:v>
      </x:c>
      <x:c r="J16" s="17" t="str">
        <x:v>Yes</x:v>
      </x:c>
      <x:c r="K16" s="17" t="str">
        <x:v>Yes</x:v>
      </x:c>
      <x:c r="L16" s="17" t="str">
        <x:v>not_sent</x:v>
      </x:c>
      <x:c r="M16" s="18" t="e">
        <x:f>HYPERLINK("https://researchwith.njit.edu/en/persons/martin-kellogg/","Open source")</x:f>
        <x:v>HYPERLINK is not implemented. linkLocation=https://researchwith.njit.edu/en/persons/martin-kellogg/, friendlyName=Open source</x:v>
      </x:c>
    </x:row>
  </x:sheetData>
  <x:mergeCells>
    <x:mergeCell ref="A1:M1"/>
    <x:mergeCell ref="A2:M2"/>
    <x:mergeCell ref="A3:M3"/>
  </x:mergeCells>
  <x:dataValidations count="2">
    <x:dataValidation type="list" sqref="K5:K16">
      <x:formula1>"Yes,No"</x:formula1>
    </x:dataValidation>
    <x:dataValidation type="list" sqref="L5:L16">
      <x:formula1>"not_sent,sent,withdrawn"</x:formula1>
    </x:dataValidation>
  </x:dataValidations>
  <x:pageMargins left="0.7" right="0.7" top="0.75" bottom="0.75" header="0.3" footer="0.3"/>
  <x:tableParts count="1">
    <x:tablePart xmlns:r="http://schemas.openxmlformats.org/officeDocument/2006/relationships" r:id="R14c60fdec49c4339"/>
  </x:tableParts>
</x:worksheet>
</file>

<file path=xl/worksheets/sheet11.xml><?xml version="1.0" encoding="utf-8"?>
<x:worksheet xmlns:x="http://schemas.openxmlformats.org/spreadsheetml/2006/main">
  <x:sheetPr>
    <x:tabColor rgb="FF4F81BD"/>
  </x:sheetPr>
  <x:sheetViews>
    <x:sheetView showGridLines="0" workbookViewId="0">
      <x:pane xSplit="2" ySplit="4" topLeftCell="C5" activePane="bottomRight" state="frozen"/>
    </x:sheetView>
  </x:sheetViews>
  <x:sheetFormatPr defaultRowHeight="15"/>
  <x:cols>
    <x:col min="1" max="1" width="18" hidden="0" customWidth="1"/>
    <x:col min="2" max="2" width="34" hidden="0" customWidth="1"/>
  </x:cols>
  <x:sheetData>
    <x:row r="1" ht="28" customHeight="1">
      <x:c r="A1" s="3" t="str">
        <x:v>Methodology</x:v>
      </x:c>
    </x:row>
    <x:row r="2" ht="34" customHeight="1">
      <x:c r="A2" s="7" t="str">
        <x:v>Decision rules, evidence boundaries, and interpretation guidance for the final audit.</x:v>
      </x:c>
    </x:row>
    <x:row r="3" ht="20" customHeight="1">
      <x:c r="A3" s="9" t="str">
        <x:v>Evidence snapshot: 2026-09-11 · 12 records · Use the row-4 filters; uncertainty is intentional.</x:v>
      </x:c>
    </x:row>
    <x:row r="4" ht="34" customHeight="1">
      <x:c r="A4" s="13" t="str">
        <x:v>Topic</x:v>
      </x:c>
      <x:c r="B4" s="13" t="str">
        <x:v>Method / Rule</x:v>
      </x:c>
    </x:row>
    <x:row r="5" ht="46" customHeight="1">
      <x:c r="A5" s="17" t="str">
        <x:v>Geographic scope</x:v>
      </x:c>
      <x:c r="B5" s="17" t="str">
        <x:v>United States, Canada, and Europe were screened with region-specific registries and official program sources.</x:v>
      </x:c>
    </x:row>
    <x:row r="6" ht="46" customHeight="1">
      <x:c r="A6" s="17" t="str">
        <x:v>Candidate funnel</x:v>
      </x:c>
      <x:c r="B6" s="17" t="str">
        <x:v>Registry and bounded discovery signals were separated from exact-program verification. Discovery alone never established eligibility, funding, or recruiting.</x:v>
      </x:c>
    </x:row>
    <x:row r="7" ht="46" customHeight="1">
      <x:c r="A7" s="17" t="str">
        <x:v>Program verification</x:v>
      </x:c>
      <x:c r="B7" s="17" t="str">
        <x:v>Exact degree route, current status, bachelor's entry, international eligibility, language, deadline cycle, fees, and funding were recorded with official source IDs.</x:v>
      </x:c>
    </x:row>
    <x:row r="8" ht="46" customHeight="1">
      <x:c r="A8" s="17" t="str">
        <x:v>Professor verification</x:v>
      </x:c>
      <x:c r="B8" s="17" t="str">
        <x:v>Current appointment, exact-program supervision authority, specific research overlap, and recent work were all required for a retained strong match.</x:v>
      </x:c>
    </x:row>
    <x:row r="9" ht="46" customHeight="1">
      <x:c r="A9" s="17" t="str">
        <x:v>Recruiting</x:v>
      </x:c>
      <x:c r="B9" s="17" t="str">
        <x:v>Confirmed only from an explicit statement/opening. Active labs, papers, grants, current students, or silence were not treated as recruiting evidence.</x:v>
      </x:c>
    </x:row>
    <x:row r="10" ht="46" customHeight="1">
      <x:c r="A10" s="17" t="str">
        <x:v>Scoring</x:v>
      </x:c>
      <x:c r="B10" s="17" t="str">
        <x:v>Professor alignment 30; department depth 15; funding/net viability 25; eligibility 15; degree/admissions alignment 10; application economics 5.</x:v>
      </x:c>
    </x:row>
    <x:row r="11" ht="46" customHeight="1">
      <x:c r="A11" s="17" t="str">
        <x:v>Hard gates</x:v>
      </x:c>
      <x:c r="B11" s="17" t="str">
        <x:v>Funding, professor, eligibility, degree structure, and coursework exceptions were evaluated before ranking. Gated-out scores are diagnostic only.</x:v>
      </x:c>
    </x:row>
    <x:row r="12" ht="46" customHeight="1">
      <x:c r="A12" s="17" t="str">
        <x:v>Portfolio</x:v>
      </x:c>
      <x:c r="B12" s="17" t="str">
        <x:v>Quality-first core working range 12–16; normally one primary program per university; reserves remain evidence- and reply-dependent.</x:v>
      </x:c>
    </x:row>
    <x:row r="13" ht="46" customHeight="1">
      <x:c r="A13" s="17" t="str">
        <x:v>Cycle labels</x:v>
      </x:c>
      <x:c r="B13" s="17" t="str">
        <x:v>Only dates explicitly labeled for Fall 2027 are confirmed. Recurring, inferred, prior-cycle, and conflicting dates retain their caveats.</x:v>
      </x:c>
    </x:row>
    <x:row r="14" ht="46" customHeight="1">
      <x:c r="A14" s="17" t="str">
        <x:v>Independent verification</x:v>
      </x:c>
      <x:c r="B14" s="17" t="str">
        <x:v>Every core program received five domain rechecks; all scores and distinct-professor counts were independently recalculated; confirmed recruiting claims were rechecked.</x:v>
      </x:c>
    </x:row>
    <x:row r="15" ht="46" customHeight="1">
      <x:c r="A15" s="17" t="str">
        <x:v>Validation categories</x:v>
      </x:c>
      <x:c r="B15" s="17" t="str">
        <x:v>Structural, evidence-completeness, substantive second-source, portfolio-rule, outreach-quality, and visual workbook results are reported separately.</x:v>
      </x:c>
    </x:row>
    <x:row r="16" ht="46" customHeight="1">
      <x:c r="A16" s="17" t="str">
        <x:v>Human follow-up</x:v>
      </x:c>
      <x:c r="B16" s="17" t="str">
        <x:v>Faculty capacity, offer-specific funding, final fees, and unpublished deadlines require replies or later official updates. Non-response is not negative evidence.</x:v>
      </x:c>
    </x:row>
  </x:sheetData>
  <x:mergeCells>
    <x:mergeCell ref="A1:B1"/>
    <x:mergeCell ref="A2:B2"/>
    <x:mergeCell ref="A3:B3"/>
  </x:mergeCells>
  <x:pageMargins left="0.7" right="0.7" top="0.75" bottom="0.75" header="0.3" footer="0.3"/>
  <x:tableParts count="1">
    <x:tablePart xmlns:r="http://schemas.openxmlformats.org/officeDocument/2006/relationships" r:id="Rc4d75ef5652a4f78"/>
  </x:tableParts>
</x:worksheet>
</file>